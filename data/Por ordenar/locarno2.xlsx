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nacho\OneDrive - udd.cl\INVESTIGACION DISENO 2024\PUBLICACIONES\paper_2024_toledo-et-al_03_complex_01\data\"/>
    </mc:Choice>
  </mc:AlternateContent>
  <xr:revisionPtr revIDLastSave="0" documentId="13_ncr:1_{2D7E9008-88B6-4836-9A58-80FFD96D2899}" xr6:coauthVersionLast="47" xr6:coauthVersionMax="47" xr10:uidLastSave="{00000000-0000-0000-0000-000000000000}"/>
  <bookViews>
    <workbookView xWindow="-28920" yWindow="-7995" windowWidth="29040" windowHeight="15840" activeTab="3" xr2:uid="{00000000-000D-0000-FFFF-FFFF00000000}"/>
  </bookViews>
  <sheets>
    <sheet name="categories" sheetId="1" r:id="rId1"/>
    <sheet name="locarno" sheetId="2" r:id="rId2"/>
    <sheet name="awards" sheetId="3" r:id="rId3"/>
    <sheet name="Hoja1" sheetId="4" r:id="rId4"/>
  </sheets>
  <definedNames>
    <definedName name="_xlnm._FilterDatabase" localSheetId="0" hidden="1">categories!$A$1:$D$1</definedName>
    <definedName name="_xlnm._FilterDatabase" localSheetId="1" hidden="1">locarno!$A$1:$Q$5670</definedName>
    <definedName name="DatosExternos_1" localSheetId="2">awards!$A$1:$B$95</definedName>
    <definedName name="DatosExternos_1" localSheetId="1">locarno!$A$1:$J$5670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8ZKKJrEfVEF8fYHTcVAXQQyC+xvWHoMhthSy5oNhT2k="/>
    </ext>
  </extLst>
</workbook>
</file>

<file path=xl/calcChain.xml><?xml version="1.0" encoding="utf-8"?>
<calcChain xmlns="http://schemas.openxmlformats.org/spreadsheetml/2006/main">
  <c r="K3132" i="2" l="1"/>
  <c r="L3132" i="2"/>
  <c r="K3133" i="2"/>
  <c r="L3133" i="2"/>
  <c r="K3134" i="2"/>
  <c r="L3134" i="2"/>
  <c r="K3135" i="2"/>
  <c r="L3135" i="2"/>
  <c r="K3136" i="2"/>
  <c r="L3136" i="2"/>
  <c r="K3137" i="2"/>
  <c r="L3137" i="2"/>
  <c r="K3138" i="2"/>
  <c r="L3138" i="2"/>
  <c r="K3139" i="2"/>
  <c r="L3139"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M2433" i="2"/>
  <c r="M2432" i="2"/>
  <c r="M2431" i="2"/>
  <c r="M2430" i="2"/>
  <c r="M2429" i="2"/>
  <c r="M2428" i="2"/>
  <c r="L5670" i="2"/>
  <c r="K5670" i="2"/>
  <c r="L5669" i="2"/>
  <c r="K5669" i="2"/>
  <c r="L5668" i="2"/>
  <c r="K5668" i="2"/>
  <c r="L5667" i="2"/>
  <c r="K5667" i="2"/>
  <c r="L5666" i="2"/>
  <c r="K5666" i="2"/>
  <c r="L5665" i="2"/>
  <c r="K5665" i="2"/>
  <c r="L5664" i="2"/>
  <c r="K5664" i="2"/>
  <c r="L5663" i="2"/>
  <c r="K5663" i="2"/>
  <c r="L5662" i="2"/>
  <c r="K5662" i="2"/>
  <c r="L5661" i="2"/>
  <c r="K5661" i="2"/>
  <c r="L5660" i="2"/>
  <c r="K5660" i="2"/>
  <c r="L5659" i="2"/>
  <c r="K5659" i="2"/>
  <c r="L5658" i="2"/>
  <c r="K5658" i="2"/>
  <c r="L5657" i="2"/>
  <c r="K5657" i="2"/>
  <c r="L5656" i="2"/>
  <c r="K5656" i="2"/>
  <c r="L5655" i="2"/>
  <c r="K5655" i="2"/>
  <c r="L5654" i="2"/>
  <c r="K5654" i="2"/>
  <c r="L5653" i="2"/>
  <c r="K5653" i="2"/>
  <c r="L5652" i="2"/>
  <c r="K5652" i="2"/>
  <c r="L5651" i="2"/>
  <c r="K5651" i="2"/>
  <c r="L5650" i="2"/>
  <c r="K5650" i="2"/>
  <c r="L5649" i="2"/>
  <c r="K5649" i="2"/>
  <c r="L5648" i="2"/>
  <c r="K5648" i="2"/>
  <c r="L5647" i="2"/>
  <c r="K5647" i="2"/>
  <c r="L5646" i="2"/>
  <c r="K5646" i="2"/>
  <c r="L5645" i="2"/>
  <c r="K5645" i="2"/>
  <c r="L5644" i="2"/>
  <c r="K5644" i="2"/>
  <c r="L5643" i="2"/>
  <c r="K5643" i="2"/>
  <c r="L5642" i="2"/>
  <c r="K5642" i="2"/>
  <c r="L5641" i="2"/>
  <c r="K5641" i="2"/>
  <c r="L5640" i="2"/>
  <c r="K5640" i="2"/>
  <c r="L5639" i="2"/>
  <c r="K5639" i="2"/>
  <c r="L5638" i="2"/>
  <c r="K5638" i="2"/>
  <c r="L5637" i="2"/>
  <c r="K5637" i="2"/>
  <c r="L5636" i="2"/>
  <c r="K5636" i="2"/>
  <c r="L5635" i="2"/>
  <c r="K5635" i="2"/>
  <c r="L5634" i="2"/>
  <c r="K5634" i="2"/>
  <c r="L5633" i="2"/>
  <c r="K5633" i="2"/>
  <c r="L5632" i="2"/>
  <c r="K5632" i="2"/>
  <c r="L5631" i="2"/>
  <c r="K5631" i="2"/>
  <c r="L5630" i="2"/>
  <c r="K5630" i="2"/>
  <c r="L5629" i="2"/>
  <c r="K5629" i="2"/>
  <c r="L5628" i="2"/>
  <c r="K5628" i="2"/>
  <c r="L5627" i="2"/>
  <c r="K5627" i="2"/>
  <c r="L5626" i="2"/>
  <c r="K5626" i="2"/>
  <c r="L5625" i="2"/>
  <c r="K5625" i="2"/>
  <c r="L5624" i="2"/>
  <c r="K5624" i="2"/>
  <c r="L5623" i="2"/>
  <c r="K5623" i="2"/>
  <c r="L5622" i="2"/>
  <c r="K5622" i="2"/>
  <c r="L5621" i="2"/>
  <c r="K5621" i="2"/>
  <c r="L5620" i="2"/>
  <c r="K5620" i="2"/>
  <c r="L5619" i="2"/>
  <c r="K5619" i="2"/>
  <c r="L5618" i="2"/>
  <c r="K5618" i="2"/>
  <c r="L5617" i="2"/>
  <c r="K5617" i="2"/>
  <c r="L5616" i="2"/>
  <c r="K5616" i="2"/>
  <c r="L5615" i="2"/>
  <c r="K5615" i="2"/>
  <c r="L5614" i="2"/>
  <c r="K5614" i="2"/>
  <c r="L5613" i="2"/>
  <c r="K5613" i="2"/>
  <c r="L5612" i="2"/>
  <c r="K5612" i="2"/>
  <c r="L5611" i="2"/>
  <c r="K5611" i="2"/>
  <c r="L5610" i="2"/>
  <c r="K5610" i="2"/>
  <c r="L5609" i="2"/>
  <c r="K5609" i="2"/>
  <c r="L5608" i="2"/>
  <c r="K5608" i="2"/>
  <c r="L5607" i="2"/>
  <c r="K5607" i="2"/>
  <c r="L5606" i="2"/>
  <c r="K5606" i="2"/>
  <c r="L5605" i="2"/>
  <c r="K5605" i="2"/>
  <c r="L5604" i="2"/>
  <c r="K5604" i="2"/>
  <c r="L5603" i="2"/>
  <c r="K5603" i="2"/>
  <c r="L5602" i="2"/>
  <c r="K5602" i="2"/>
  <c r="L5601" i="2"/>
  <c r="K5601" i="2"/>
  <c r="L5600" i="2"/>
  <c r="K5600" i="2"/>
  <c r="L5599" i="2"/>
  <c r="K5599" i="2"/>
  <c r="L5598" i="2"/>
  <c r="K5598" i="2"/>
  <c r="L5597" i="2"/>
  <c r="K5597" i="2"/>
  <c r="L5596" i="2"/>
  <c r="K5596" i="2"/>
  <c r="L5595" i="2"/>
  <c r="K5595" i="2"/>
  <c r="L5594" i="2"/>
  <c r="K5594" i="2"/>
  <c r="L5593" i="2"/>
  <c r="K5593" i="2"/>
  <c r="L5592" i="2"/>
  <c r="K5592" i="2"/>
  <c r="L5591" i="2"/>
  <c r="K5591" i="2"/>
  <c r="L5590" i="2"/>
  <c r="K5590" i="2"/>
  <c r="L5589" i="2"/>
  <c r="K5589" i="2"/>
  <c r="L5588" i="2"/>
  <c r="K5588" i="2"/>
  <c r="L5587" i="2"/>
  <c r="K5587" i="2"/>
  <c r="L5586" i="2"/>
  <c r="K5586" i="2"/>
  <c r="L5585" i="2"/>
  <c r="K5585" i="2"/>
  <c r="L5584" i="2"/>
  <c r="K5584" i="2"/>
  <c r="L5583" i="2"/>
  <c r="K5583" i="2"/>
  <c r="L5582" i="2"/>
  <c r="K5582" i="2"/>
  <c r="L5581" i="2"/>
  <c r="K5581" i="2"/>
  <c r="L5580" i="2"/>
  <c r="K5580" i="2"/>
  <c r="L5579" i="2"/>
  <c r="K5579" i="2"/>
  <c r="L5578" i="2"/>
  <c r="K5578" i="2"/>
  <c r="L5577" i="2"/>
  <c r="K5577" i="2"/>
  <c r="L5576" i="2"/>
  <c r="K5576" i="2"/>
  <c r="L5575" i="2"/>
  <c r="K5575" i="2"/>
  <c r="L5574" i="2"/>
  <c r="K5574" i="2"/>
  <c r="L5573" i="2"/>
  <c r="K5573" i="2"/>
  <c r="L5572" i="2"/>
  <c r="K5572" i="2"/>
  <c r="L5571" i="2"/>
  <c r="K5571" i="2"/>
  <c r="L5570" i="2"/>
  <c r="K5570" i="2"/>
  <c r="L5569" i="2"/>
  <c r="K5569" i="2"/>
  <c r="L5568" i="2"/>
  <c r="K5568" i="2"/>
  <c r="L5567" i="2"/>
  <c r="K5567" i="2"/>
  <c r="L5566" i="2"/>
  <c r="K5566" i="2"/>
  <c r="L5565" i="2"/>
  <c r="K5565" i="2"/>
  <c r="L5564" i="2"/>
  <c r="K5564" i="2"/>
  <c r="L5563" i="2"/>
  <c r="K5563" i="2"/>
  <c r="L5562" i="2"/>
  <c r="K5562" i="2"/>
  <c r="L5561" i="2"/>
  <c r="K5561" i="2"/>
  <c r="L5560" i="2"/>
  <c r="K5560" i="2"/>
  <c r="L5559" i="2"/>
  <c r="K5559" i="2"/>
  <c r="L5558" i="2"/>
  <c r="K5558" i="2"/>
  <c r="L5557" i="2"/>
  <c r="K5557" i="2"/>
  <c r="L5556" i="2"/>
  <c r="K5556" i="2"/>
  <c r="L5555" i="2"/>
  <c r="K5555" i="2"/>
  <c r="L5554" i="2"/>
  <c r="K5554" i="2"/>
  <c r="L5553" i="2"/>
  <c r="K5553" i="2"/>
  <c r="L5552" i="2"/>
  <c r="K5552" i="2"/>
  <c r="L5551" i="2"/>
  <c r="K5551" i="2"/>
  <c r="L5550" i="2"/>
  <c r="K5550" i="2"/>
  <c r="L5549" i="2"/>
  <c r="K5549" i="2"/>
  <c r="L5548" i="2"/>
  <c r="K5548" i="2"/>
  <c r="L5547" i="2"/>
  <c r="K5547" i="2"/>
  <c r="L5546" i="2"/>
  <c r="K5546" i="2"/>
  <c r="L5545" i="2"/>
  <c r="K5545" i="2"/>
  <c r="L5544" i="2"/>
  <c r="K5544" i="2"/>
  <c r="L5543" i="2"/>
  <c r="K5543" i="2"/>
  <c r="L5542" i="2"/>
  <c r="K5542" i="2"/>
  <c r="L5541" i="2"/>
  <c r="K5541" i="2"/>
  <c r="L5540" i="2"/>
  <c r="K5540" i="2"/>
  <c r="L5539" i="2"/>
  <c r="K5539" i="2"/>
  <c r="L5538" i="2"/>
  <c r="K5538" i="2"/>
  <c r="L5537" i="2"/>
  <c r="K5537" i="2"/>
  <c r="L5536" i="2"/>
  <c r="K5536" i="2"/>
  <c r="L5535" i="2"/>
  <c r="K5535" i="2"/>
  <c r="L5534" i="2"/>
  <c r="K5534" i="2"/>
  <c r="L5533" i="2"/>
  <c r="K5533" i="2"/>
  <c r="L5532" i="2"/>
  <c r="K5532" i="2"/>
  <c r="L5531" i="2"/>
  <c r="K5531" i="2"/>
  <c r="L5530" i="2"/>
  <c r="K5530" i="2"/>
  <c r="L5529" i="2"/>
  <c r="K5529" i="2"/>
  <c r="L5528" i="2"/>
  <c r="K5528" i="2"/>
  <c r="L5527" i="2"/>
  <c r="K5527" i="2"/>
  <c r="L5526" i="2"/>
  <c r="K5526" i="2"/>
  <c r="L5525" i="2"/>
  <c r="K5525" i="2"/>
  <c r="L5524" i="2"/>
  <c r="K5524" i="2"/>
  <c r="L5523" i="2"/>
  <c r="K5523" i="2"/>
  <c r="L5522" i="2"/>
  <c r="K5522" i="2"/>
  <c r="L5521" i="2"/>
  <c r="K5521" i="2"/>
  <c r="L5520" i="2"/>
  <c r="K5520" i="2"/>
  <c r="L5519" i="2"/>
  <c r="K5519" i="2"/>
  <c r="L5518" i="2"/>
  <c r="K5518" i="2"/>
  <c r="L5517" i="2"/>
  <c r="K5517" i="2"/>
  <c r="L5516" i="2"/>
  <c r="K5516" i="2"/>
  <c r="L5515" i="2"/>
  <c r="K5515" i="2"/>
  <c r="L5514" i="2"/>
  <c r="K5514" i="2"/>
  <c r="L5513" i="2"/>
  <c r="K5513" i="2"/>
  <c r="L5512" i="2"/>
  <c r="K5512" i="2"/>
  <c r="L5511" i="2"/>
  <c r="K5511" i="2"/>
  <c r="L5510" i="2"/>
  <c r="K5510" i="2"/>
  <c r="L5509" i="2"/>
  <c r="K5509" i="2"/>
  <c r="L5508" i="2"/>
  <c r="K5508" i="2"/>
  <c r="L5507" i="2"/>
  <c r="K5507" i="2"/>
  <c r="L5506" i="2"/>
  <c r="K5506" i="2"/>
  <c r="L5505" i="2"/>
  <c r="K5505" i="2"/>
  <c r="L5504" i="2"/>
  <c r="K5504" i="2"/>
  <c r="L5503" i="2"/>
  <c r="K5503" i="2"/>
  <c r="L5502" i="2"/>
  <c r="K5502" i="2"/>
  <c r="L5501" i="2"/>
  <c r="K5501" i="2"/>
  <c r="L5500" i="2"/>
  <c r="K5500" i="2"/>
  <c r="L5499" i="2"/>
  <c r="K5499" i="2"/>
  <c r="L5498" i="2"/>
  <c r="K5498" i="2"/>
  <c r="L5497" i="2"/>
  <c r="K5497" i="2"/>
  <c r="L5496" i="2"/>
  <c r="K5496" i="2"/>
  <c r="L5495" i="2"/>
  <c r="K5495" i="2"/>
  <c r="L5494" i="2"/>
  <c r="K5494" i="2"/>
  <c r="L5493" i="2"/>
  <c r="K5493" i="2"/>
  <c r="L5492" i="2"/>
  <c r="K5492" i="2"/>
  <c r="L5491" i="2"/>
  <c r="K5491" i="2"/>
  <c r="L5490" i="2"/>
  <c r="K5490" i="2"/>
  <c r="L5489" i="2"/>
  <c r="K5489" i="2"/>
  <c r="L5488" i="2"/>
  <c r="K5488" i="2"/>
  <c r="L5487" i="2"/>
  <c r="K5487" i="2"/>
  <c r="L5486" i="2"/>
  <c r="K5486" i="2"/>
  <c r="L5485" i="2"/>
  <c r="K5485" i="2"/>
  <c r="L5484" i="2"/>
  <c r="K5484" i="2"/>
  <c r="L5483" i="2"/>
  <c r="K5483" i="2"/>
  <c r="L5482" i="2"/>
  <c r="K5482" i="2"/>
  <c r="L5481" i="2"/>
  <c r="K5481" i="2"/>
  <c r="L5480" i="2"/>
  <c r="K5480" i="2"/>
  <c r="L5479" i="2"/>
  <c r="K5479" i="2"/>
  <c r="L5478" i="2"/>
  <c r="K5478" i="2"/>
  <c r="L5477" i="2"/>
  <c r="K5477" i="2"/>
  <c r="L5476" i="2"/>
  <c r="K5476" i="2"/>
  <c r="L5475" i="2"/>
  <c r="K5475" i="2"/>
  <c r="L5474" i="2"/>
  <c r="K5474" i="2"/>
  <c r="L5473" i="2"/>
  <c r="K5473" i="2"/>
  <c r="L5472" i="2"/>
  <c r="K5472" i="2"/>
  <c r="L5471" i="2"/>
  <c r="K5471" i="2"/>
  <c r="L5470" i="2"/>
  <c r="K5470" i="2"/>
  <c r="L5469" i="2"/>
  <c r="K5469" i="2"/>
  <c r="L5468" i="2"/>
  <c r="K5468" i="2"/>
  <c r="L5467" i="2"/>
  <c r="K5467" i="2"/>
  <c r="L5466" i="2"/>
  <c r="K5466" i="2"/>
  <c r="L5465" i="2"/>
  <c r="K5465" i="2"/>
  <c r="L5464" i="2"/>
  <c r="K5464" i="2"/>
  <c r="L5463" i="2"/>
  <c r="K5463" i="2"/>
  <c r="L5462" i="2"/>
  <c r="K5462" i="2"/>
  <c r="L5461" i="2"/>
  <c r="K5461" i="2"/>
  <c r="L5460" i="2"/>
  <c r="K5460" i="2"/>
  <c r="L5459" i="2"/>
  <c r="K5459" i="2"/>
  <c r="L5458" i="2"/>
  <c r="K5458" i="2"/>
  <c r="L5457" i="2"/>
  <c r="K5457" i="2"/>
  <c r="L5456" i="2"/>
  <c r="K5456" i="2"/>
  <c r="L5455" i="2"/>
  <c r="K5455" i="2"/>
  <c r="L5454" i="2"/>
  <c r="K5454" i="2"/>
  <c r="L5453" i="2"/>
  <c r="K5453" i="2"/>
  <c r="L5452" i="2"/>
  <c r="K5452" i="2"/>
  <c r="L5451" i="2"/>
  <c r="K5451" i="2"/>
  <c r="L5450" i="2"/>
  <c r="K5450" i="2"/>
  <c r="L5449" i="2"/>
  <c r="K5449" i="2"/>
  <c r="L5448" i="2"/>
  <c r="K5448" i="2"/>
  <c r="L5447" i="2"/>
  <c r="K5447" i="2"/>
  <c r="L5446" i="2"/>
  <c r="K5446" i="2"/>
  <c r="L5445" i="2"/>
  <c r="K5445" i="2"/>
  <c r="L5444" i="2"/>
  <c r="K5444" i="2"/>
  <c r="L5443" i="2"/>
  <c r="K5443" i="2"/>
  <c r="L5442" i="2"/>
  <c r="K5442" i="2"/>
  <c r="L5441" i="2"/>
  <c r="K5441" i="2"/>
  <c r="L5440" i="2"/>
  <c r="K5440" i="2"/>
  <c r="L5439" i="2"/>
  <c r="K5439" i="2"/>
  <c r="L5438" i="2"/>
  <c r="K5438" i="2"/>
  <c r="L5437" i="2"/>
  <c r="K5437" i="2"/>
  <c r="L5436" i="2"/>
  <c r="K5436" i="2"/>
  <c r="L5435" i="2"/>
  <c r="K5435" i="2"/>
  <c r="L5434" i="2"/>
  <c r="K5434" i="2"/>
  <c r="L5433" i="2"/>
  <c r="K5433" i="2"/>
  <c r="L5432" i="2"/>
  <c r="K5432" i="2"/>
  <c r="L5431" i="2"/>
  <c r="K5431" i="2"/>
  <c r="L5430" i="2"/>
  <c r="K5430" i="2"/>
  <c r="L5429" i="2"/>
  <c r="K5429" i="2"/>
  <c r="L5428" i="2"/>
  <c r="K5428" i="2"/>
  <c r="L5427" i="2"/>
  <c r="K5427" i="2"/>
  <c r="L5426" i="2"/>
  <c r="K5426" i="2"/>
  <c r="L5425" i="2"/>
  <c r="K5425" i="2"/>
  <c r="L5424" i="2"/>
  <c r="K5424" i="2"/>
  <c r="L5423" i="2"/>
  <c r="K5423" i="2"/>
  <c r="L5422" i="2"/>
  <c r="K5422" i="2"/>
  <c r="L5421" i="2"/>
  <c r="K5421" i="2"/>
  <c r="L5420" i="2"/>
  <c r="K5420" i="2"/>
  <c r="L5419" i="2"/>
  <c r="K5419" i="2"/>
  <c r="L5418" i="2"/>
  <c r="K5418" i="2"/>
  <c r="L5417" i="2"/>
  <c r="K5417" i="2"/>
  <c r="L5416" i="2"/>
  <c r="K5416" i="2"/>
  <c r="L5415" i="2"/>
  <c r="K5415" i="2"/>
  <c r="L5414" i="2"/>
  <c r="K5414" i="2"/>
  <c r="L5413" i="2"/>
  <c r="K5413" i="2"/>
  <c r="L5412" i="2"/>
  <c r="K5412" i="2"/>
  <c r="L5411" i="2"/>
  <c r="K5411" i="2"/>
  <c r="L5410" i="2"/>
  <c r="K5410" i="2"/>
  <c r="L5409" i="2"/>
  <c r="K5409" i="2"/>
  <c r="L5408" i="2"/>
  <c r="K5408" i="2"/>
  <c r="L5407" i="2"/>
  <c r="K5407" i="2"/>
  <c r="L5406" i="2"/>
  <c r="K5406" i="2"/>
  <c r="L5405" i="2"/>
  <c r="K5405" i="2"/>
  <c r="L5404" i="2"/>
  <c r="K5404" i="2"/>
  <c r="L5403" i="2"/>
  <c r="K5403" i="2"/>
  <c r="L5402" i="2"/>
  <c r="K5402" i="2"/>
  <c r="L5401" i="2"/>
  <c r="K5401" i="2"/>
  <c r="L5400" i="2"/>
  <c r="K5400" i="2"/>
  <c r="L5399" i="2"/>
  <c r="K5399" i="2"/>
  <c r="L5398" i="2"/>
  <c r="K5398" i="2"/>
  <c r="L5397" i="2"/>
  <c r="K5397" i="2"/>
  <c r="L5396" i="2"/>
  <c r="K5396" i="2"/>
  <c r="L5395" i="2"/>
  <c r="K5395" i="2"/>
  <c r="L5394" i="2"/>
  <c r="K5394" i="2"/>
  <c r="L5393" i="2"/>
  <c r="K5393" i="2"/>
  <c r="L5392" i="2"/>
  <c r="K5392" i="2"/>
  <c r="L5391" i="2"/>
  <c r="K5391" i="2"/>
  <c r="L5390" i="2"/>
  <c r="K5390" i="2"/>
  <c r="L5389" i="2"/>
  <c r="K5389" i="2"/>
  <c r="L5388" i="2"/>
  <c r="K5388" i="2"/>
  <c r="L5387" i="2"/>
  <c r="K5387" i="2"/>
  <c r="L5386" i="2"/>
  <c r="K5386" i="2"/>
  <c r="L5385" i="2"/>
  <c r="K5385" i="2"/>
  <c r="L5384" i="2"/>
  <c r="K5384" i="2"/>
  <c r="L5383" i="2"/>
  <c r="K5383" i="2"/>
  <c r="L5382" i="2"/>
  <c r="K5382" i="2"/>
  <c r="L5381" i="2"/>
  <c r="K5381" i="2"/>
  <c r="L5380" i="2"/>
  <c r="K5380" i="2"/>
  <c r="L5379" i="2"/>
  <c r="K5379" i="2"/>
  <c r="L5378" i="2"/>
  <c r="K5378" i="2"/>
  <c r="L5377" i="2"/>
  <c r="K5377" i="2"/>
  <c r="L5376" i="2"/>
  <c r="K5376" i="2"/>
  <c r="L5375" i="2"/>
  <c r="K5375" i="2"/>
  <c r="L5374" i="2"/>
  <c r="K5374" i="2"/>
  <c r="L5373" i="2"/>
  <c r="K5373" i="2"/>
  <c r="L5372" i="2"/>
  <c r="K5372" i="2"/>
  <c r="L5371" i="2"/>
  <c r="K5371" i="2"/>
  <c r="L5370" i="2"/>
  <c r="K5370" i="2"/>
  <c r="L5369" i="2"/>
  <c r="K5369" i="2"/>
  <c r="L5368" i="2"/>
  <c r="K5368" i="2"/>
  <c r="L5367" i="2"/>
  <c r="K5367" i="2"/>
  <c r="L5366" i="2"/>
  <c r="K5366" i="2"/>
  <c r="L5365" i="2"/>
  <c r="K5365" i="2"/>
  <c r="L5364" i="2"/>
  <c r="K5364" i="2"/>
  <c r="L5363" i="2"/>
  <c r="K5363" i="2"/>
  <c r="L5362" i="2"/>
  <c r="K5362" i="2"/>
  <c r="L5361" i="2"/>
  <c r="K5361" i="2"/>
  <c r="L5360" i="2"/>
  <c r="K5360" i="2"/>
  <c r="L5359" i="2"/>
  <c r="K5359" i="2"/>
  <c r="L5358" i="2"/>
  <c r="K5358" i="2"/>
  <c r="L5357" i="2"/>
  <c r="K5357" i="2"/>
  <c r="L5356" i="2"/>
  <c r="K5356" i="2"/>
  <c r="L5355" i="2"/>
  <c r="K5355" i="2"/>
  <c r="L5354" i="2"/>
  <c r="K5354" i="2"/>
  <c r="L5353" i="2"/>
  <c r="K5353" i="2"/>
  <c r="L5352" i="2"/>
  <c r="K5352" i="2"/>
  <c r="L5351" i="2"/>
  <c r="K5351" i="2"/>
  <c r="L5350" i="2"/>
  <c r="K5350" i="2"/>
  <c r="L5349" i="2"/>
  <c r="K5349" i="2"/>
  <c r="L5348" i="2"/>
  <c r="K5348" i="2"/>
  <c r="L5347" i="2"/>
  <c r="K5347" i="2"/>
  <c r="L5346" i="2"/>
  <c r="K5346" i="2"/>
  <c r="L5345" i="2"/>
  <c r="K5345" i="2"/>
  <c r="L5344" i="2"/>
  <c r="K5344" i="2"/>
  <c r="L5343" i="2"/>
  <c r="K5343" i="2"/>
  <c r="L5342" i="2"/>
  <c r="K5342" i="2"/>
  <c r="L5341" i="2"/>
  <c r="K5341" i="2"/>
  <c r="L5340" i="2"/>
  <c r="K5340" i="2"/>
  <c r="L5339" i="2"/>
  <c r="K5339" i="2"/>
  <c r="L5338" i="2"/>
  <c r="K5338" i="2"/>
  <c r="L5337" i="2"/>
  <c r="K5337" i="2"/>
  <c r="L5336" i="2"/>
  <c r="K5336" i="2"/>
  <c r="L5335" i="2"/>
  <c r="K5335" i="2"/>
  <c r="L5334" i="2"/>
  <c r="K5334" i="2"/>
  <c r="L5333" i="2"/>
  <c r="K5333" i="2"/>
  <c r="L5332" i="2"/>
  <c r="K5332" i="2"/>
  <c r="L5331" i="2"/>
  <c r="K5331" i="2"/>
  <c r="L5330" i="2"/>
  <c r="K5330" i="2"/>
  <c r="L5329" i="2"/>
  <c r="K5329" i="2"/>
  <c r="L5328" i="2"/>
  <c r="K5328" i="2"/>
  <c r="L5327" i="2"/>
  <c r="K5327" i="2"/>
  <c r="L5326" i="2"/>
  <c r="K5326" i="2"/>
  <c r="L5325" i="2"/>
  <c r="K5325" i="2"/>
  <c r="L5324" i="2"/>
  <c r="K5324" i="2"/>
  <c r="L5323" i="2"/>
  <c r="K5323" i="2"/>
  <c r="L5322" i="2"/>
  <c r="K5322" i="2"/>
  <c r="L5321" i="2"/>
  <c r="K5321" i="2"/>
  <c r="L5320" i="2"/>
  <c r="K5320" i="2"/>
  <c r="L5319" i="2"/>
  <c r="K5319" i="2"/>
  <c r="L5318" i="2"/>
  <c r="K5318" i="2"/>
  <c r="L5317" i="2"/>
  <c r="K5317" i="2"/>
  <c r="L5316" i="2"/>
  <c r="K5316" i="2"/>
  <c r="L5315" i="2"/>
  <c r="K5315" i="2"/>
  <c r="L5314" i="2"/>
  <c r="K5314" i="2"/>
  <c r="L5313" i="2"/>
  <c r="K5313" i="2"/>
  <c r="L5312" i="2"/>
  <c r="K5312" i="2"/>
  <c r="L5311" i="2"/>
  <c r="K5311" i="2"/>
  <c r="L5310" i="2"/>
  <c r="K5310" i="2"/>
  <c r="L5309" i="2"/>
  <c r="K5309" i="2"/>
  <c r="L5308" i="2"/>
  <c r="K5308" i="2"/>
  <c r="L5307" i="2"/>
  <c r="K5307" i="2"/>
  <c r="L5306" i="2"/>
  <c r="K5306" i="2"/>
  <c r="L5305" i="2"/>
  <c r="K5305" i="2"/>
  <c r="L5304" i="2"/>
  <c r="K5304" i="2"/>
  <c r="L5303" i="2"/>
  <c r="K5303" i="2"/>
  <c r="L5302" i="2"/>
  <c r="K5302" i="2"/>
  <c r="L5301" i="2"/>
  <c r="K5301" i="2"/>
  <c r="L5300" i="2"/>
  <c r="K5300" i="2"/>
  <c r="L5299" i="2"/>
  <c r="K5299" i="2"/>
  <c r="L5298" i="2"/>
  <c r="K5298" i="2"/>
  <c r="L5297" i="2"/>
  <c r="K5297" i="2"/>
  <c r="L5296" i="2"/>
  <c r="K5296" i="2"/>
  <c r="L5295" i="2"/>
  <c r="K5295" i="2"/>
  <c r="L5294" i="2"/>
  <c r="K5294" i="2"/>
  <c r="L5293" i="2"/>
  <c r="K5293" i="2"/>
  <c r="L5292" i="2"/>
  <c r="K5292" i="2"/>
  <c r="L5291" i="2"/>
  <c r="K5291" i="2"/>
  <c r="L5290" i="2"/>
  <c r="K5290" i="2"/>
  <c r="L5289" i="2"/>
  <c r="K5289" i="2"/>
  <c r="L5288" i="2"/>
  <c r="K5288" i="2"/>
  <c r="L5287" i="2"/>
  <c r="K5287" i="2"/>
  <c r="L5286" i="2"/>
  <c r="K5286" i="2"/>
  <c r="L5285" i="2"/>
  <c r="K5285" i="2"/>
  <c r="L5284" i="2"/>
  <c r="K5284" i="2"/>
  <c r="L5283" i="2"/>
  <c r="K5283" i="2"/>
  <c r="L5282" i="2"/>
  <c r="K5282" i="2"/>
  <c r="L5281" i="2"/>
  <c r="K5281" i="2"/>
  <c r="L5280" i="2"/>
  <c r="K5280" i="2"/>
  <c r="L5279" i="2"/>
  <c r="K5279" i="2"/>
  <c r="L5278" i="2"/>
  <c r="K5278" i="2"/>
  <c r="L5277" i="2"/>
  <c r="K5277" i="2"/>
  <c r="L5276" i="2"/>
  <c r="K5276" i="2"/>
  <c r="L5275" i="2"/>
  <c r="K5275" i="2"/>
  <c r="L5274" i="2"/>
  <c r="K5274" i="2"/>
  <c r="L5273" i="2"/>
  <c r="K5273" i="2"/>
  <c r="L5272" i="2"/>
  <c r="K5272" i="2"/>
  <c r="L5271" i="2"/>
  <c r="K5271" i="2"/>
  <c r="L5270" i="2"/>
  <c r="K5270" i="2"/>
  <c r="L5269" i="2"/>
  <c r="K5269" i="2"/>
  <c r="L5268" i="2"/>
  <c r="K5268" i="2"/>
  <c r="L5267" i="2"/>
  <c r="K5267" i="2"/>
  <c r="L5266" i="2"/>
  <c r="K5266" i="2"/>
  <c r="L5265" i="2"/>
  <c r="K5265" i="2"/>
  <c r="L5264" i="2"/>
  <c r="K5264" i="2"/>
  <c r="L5263" i="2"/>
  <c r="K5263" i="2"/>
  <c r="L5262" i="2"/>
  <c r="K5262" i="2"/>
  <c r="L5261" i="2"/>
  <c r="K5261" i="2"/>
  <c r="L5260" i="2"/>
  <c r="K5260" i="2"/>
  <c r="L5259" i="2"/>
  <c r="K5259" i="2"/>
  <c r="L5258" i="2"/>
  <c r="K5258" i="2"/>
  <c r="L5257" i="2"/>
  <c r="K5257" i="2"/>
  <c r="L5256" i="2"/>
  <c r="K5256" i="2"/>
  <c r="L5255" i="2"/>
  <c r="K5255" i="2"/>
  <c r="L5254" i="2"/>
  <c r="K5254" i="2"/>
  <c r="L5253" i="2"/>
  <c r="K5253" i="2"/>
  <c r="L5252" i="2"/>
  <c r="K5252" i="2"/>
  <c r="L5251" i="2"/>
  <c r="K5251" i="2"/>
  <c r="L5250" i="2"/>
  <c r="K5250" i="2"/>
  <c r="L5249" i="2"/>
  <c r="K5249" i="2"/>
  <c r="L5248" i="2"/>
  <c r="K5248" i="2"/>
  <c r="L5247" i="2"/>
  <c r="K5247" i="2"/>
  <c r="L5246" i="2"/>
  <c r="K5246" i="2"/>
  <c r="L5245" i="2"/>
  <c r="K5245" i="2"/>
  <c r="L5244" i="2"/>
  <c r="K5244" i="2"/>
  <c r="L5243" i="2"/>
  <c r="K5243" i="2"/>
  <c r="L5242" i="2"/>
  <c r="K5242" i="2"/>
  <c r="L5241" i="2"/>
  <c r="K5241" i="2"/>
  <c r="L5240" i="2"/>
  <c r="K5240" i="2"/>
  <c r="L5239" i="2"/>
  <c r="K5239" i="2"/>
  <c r="L5238" i="2"/>
  <c r="K5238" i="2"/>
  <c r="L5237" i="2"/>
  <c r="K5237" i="2"/>
  <c r="L5236" i="2"/>
  <c r="K5236" i="2"/>
  <c r="L5235" i="2"/>
  <c r="K5235" i="2"/>
  <c r="L5234" i="2"/>
  <c r="K5234" i="2"/>
  <c r="L5233" i="2"/>
  <c r="K5233" i="2"/>
  <c r="L5232" i="2"/>
  <c r="K5232" i="2"/>
  <c r="L5231" i="2"/>
  <c r="K5231" i="2"/>
  <c r="L5230" i="2"/>
  <c r="K5230" i="2"/>
  <c r="L5229" i="2"/>
  <c r="K5229" i="2"/>
  <c r="L5228" i="2"/>
  <c r="K5228" i="2"/>
  <c r="L5227" i="2"/>
  <c r="K5227" i="2"/>
  <c r="L5226" i="2"/>
  <c r="K5226" i="2"/>
  <c r="L5225" i="2"/>
  <c r="K5225" i="2"/>
  <c r="L5224" i="2"/>
  <c r="K5224" i="2"/>
  <c r="L5223" i="2"/>
  <c r="K5223" i="2"/>
  <c r="L5222" i="2"/>
  <c r="K5222" i="2"/>
  <c r="L5221" i="2"/>
  <c r="K5221" i="2"/>
  <c r="L5220" i="2"/>
  <c r="K5220" i="2"/>
  <c r="L5219" i="2"/>
  <c r="K5219" i="2"/>
  <c r="L5218" i="2"/>
  <c r="K5218" i="2"/>
  <c r="L5217" i="2"/>
  <c r="K5217" i="2"/>
  <c r="L5216" i="2"/>
  <c r="K5216" i="2"/>
  <c r="L5215" i="2"/>
  <c r="K5215" i="2"/>
  <c r="L5214" i="2"/>
  <c r="K5214" i="2"/>
  <c r="L5213" i="2"/>
  <c r="K5213" i="2"/>
  <c r="L5212" i="2"/>
  <c r="K5212" i="2"/>
  <c r="L5211" i="2"/>
  <c r="K5211" i="2"/>
  <c r="L5210" i="2"/>
  <c r="K5210" i="2"/>
  <c r="L5209" i="2"/>
  <c r="K5209" i="2"/>
  <c r="L5208" i="2"/>
  <c r="K5208" i="2"/>
  <c r="L5207" i="2"/>
  <c r="K5207" i="2"/>
  <c r="L5206" i="2"/>
  <c r="K5206" i="2"/>
  <c r="L5205" i="2"/>
  <c r="K5205" i="2"/>
  <c r="L5204" i="2"/>
  <c r="K5204" i="2"/>
  <c r="L5203" i="2"/>
  <c r="K5203" i="2"/>
  <c r="L5202" i="2"/>
  <c r="K5202" i="2"/>
  <c r="L5201" i="2"/>
  <c r="K5201" i="2"/>
  <c r="L5200" i="2"/>
  <c r="K5200" i="2"/>
  <c r="L5199" i="2"/>
  <c r="K5199" i="2"/>
  <c r="L5198" i="2"/>
  <c r="K5198" i="2"/>
  <c r="L5197" i="2"/>
  <c r="K5197" i="2"/>
  <c r="L5196" i="2"/>
  <c r="K5196" i="2"/>
  <c r="L5195" i="2"/>
  <c r="K5195" i="2"/>
  <c r="L5194" i="2"/>
  <c r="K5194" i="2"/>
  <c r="L5193" i="2"/>
  <c r="K5193" i="2"/>
  <c r="L5192" i="2"/>
  <c r="K5192" i="2"/>
  <c r="L5191" i="2"/>
  <c r="K5191" i="2"/>
  <c r="L5190" i="2"/>
  <c r="K5190" i="2"/>
  <c r="L5189" i="2"/>
  <c r="K5189" i="2"/>
  <c r="L5188" i="2"/>
  <c r="K5188" i="2"/>
  <c r="L5187" i="2"/>
  <c r="K5187" i="2"/>
  <c r="L5186" i="2"/>
  <c r="K5186" i="2"/>
  <c r="L5185" i="2"/>
  <c r="K5185" i="2"/>
  <c r="L5184" i="2"/>
  <c r="K5184" i="2"/>
  <c r="L5183" i="2"/>
  <c r="K5183" i="2"/>
  <c r="L5182" i="2"/>
  <c r="K5182" i="2"/>
  <c r="L5181" i="2"/>
  <c r="K5181" i="2"/>
  <c r="L5180" i="2"/>
  <c r="K5180" i="2"/>
  <c r="L5179" i="2"/>
  <c r="K5179" i="2"/>
  <c r="L5178" i="2"/>
  <c r="K5178" i="2"/>
  <c r="L5177" i="2"/>
  <c r="K5177" i="2"/>
  <c r="L5176" i="2"/>
  <c r="K5176" i="2"/>
  <c r="L5175" i="2"/>
  <c r="K5175" i="2"/>
  <c r="L5174" i="2"/>
  <c r="K5174" i="2"/>
  <c r="L5173" i="2"/>
  <c r="K5173" i="2"/>
  <c r="L5172" i="2"/>
  <c r="K5172" i="2"/>
  <c r="L5171" i="2"/>
  <c r="K5171" i="2"/>
  <c r="L5170" i="2"/>
  <c r="K5170" i="2"/>
  <c r="L5169" i="2"/>
  <c r="K5169" i="2"/>
  <c r="L5168" i="2"/>
  <c r="K5168" i="2"/>
  <c r="L5167" i="2"/>
  <c r="K5167" i="2"/>
  <c r="L5166" i="2"/>
  <c r="K5166" i="2"/>
  <c r="L5165" i="2"/>
  <c r="K5165" i="2"/>
  <c r="L5164" i="2"/>
  <c r="K5164" i="2"/>
  <c r="L5163" i="2"/>
  <c r="K5163" i="2"/>
  <c r="L5162" i="2"/>
  <c r="K5162" i="2"/>
  <c r="L5161" i="2"/>
  <c r="K5161" i="2"/>
  <c r="L5160" i="2"/>
  <c r="K5160" i="2"/>
  <c r="L5159" i="2"/>
  <c r="K5159" i="2"/>
  <c r="L5158" i="2"/>
  <c r="K5158" i="2"/>
  <c r="L5157" i="2"/>
  <c r="K5157" i="2"/>
  <c r="L5156" i="2"/>
  <c r="K5156" i="2"/>
  <c r="L5155" i="2"/>
  <c r="K5155" i="2"/>
  <c r="L5154" i="2"/>
  <c r="K5154" i="2"/>
  <c r="L5153" i="2"/>
  <c r="K5153" i="2"/>
  <c r="L5152" i="2"/>
  <c r="K5152" i="2"/>
  <c r="L5151" i="2"/>
  <c r="K5151" i="2"/>
  <c r="L5150" i="2"/>
  <c r="K5150" i="2"/>
  <c r="L5149" i="2"/>
  <c r="K5149" i="2"/>
  <c r="L5148" i="2"/>
  <c r="K5148" i="2"/>
  <c r="L5147" i="2"/>
  <c r="K5147" i="2"/>
  <c r="L5146" i="2"/>
  <c r="K5146" i="2"/>
  <c r="L5145" i="2"/>
  <c r="K5145" i="2"/>
  <c r="L5144" i="2"/>
  <c r="K5144" i="2"/>
  <c r="L5143" i="2"/>
  <c r="K5143" i="2"/>
  <c r="L5142" i="2"/>
  <c r="K5142" i="2"/>
  <c r="L5141" i="2"/>
  <c r="K5141" i="2"/>
  <c r="L5140" i="2"/>
  <c r="K5140" i="2"/>
  <c r="L5139" i="2"/>
  <c r="K5139" i="2"/>
  <c r="L5138" i="2"/>
  <c r="K5138" i="2"/>
  <c r="L5137" i="2"/>
  <c r="K5137" i="2"/>
  <c r="L5136" i="2"/>
  <c r="K5136" i="2"/>
  <c r="L5135" i="2"/>
  <c r="K5135" i="2"/>
  <c r="L5134" i="2"/>
  <c r="K5134" i="2"/>
  <c r="L5133" i="2"/>
  <c r="K5133" i="2"/>
  <c r="L5132" i="2"/>
  <c r="K5132" i="2"/>
  <c r="L5131" i="2"/>
  <c r="K5131" i="2"/>
  <c r="L5130" i="2"/>
  <c r="K5130" i="2"/>
  <c r="L5129" i="2"/>
  <c r="K5129" i="2"/>
  <c r="L5128" i="2"/>
  <c r="K5128" i="2"/>
  <c r="L5127" i="2"/>
  <c r="K5127" i="2"/>
  <c r="L5126" i="2"/>
  <c r="K5126" i="2"/>
  <c r="L5125" i="2"/>
  <c r="K5125" i="2"/>
  <c r="L5124" i="2"/>
  <c r="K5124" i="2"/>
  <c r="L5123" i="2"/>
  <c r="K5123" i="2"/>
  <c r="L5122" i="2"/>
  <c r="K5122" i="2"/>
  <c r="L5121" i="2"/>
  <c r="K5121" i="2"/>
  <c r="L5120" i="2"/>
  <c r="K5120" i="2"/>
  <c r="L5119" i="2"/>
  <c r="K5119" i="2"/>
  <c r="L5118" i="2"/>
  <c r="K5118" i="2"/>
  <c r="L5117" i="2"/>
  <c r="K5117" i="2"/>
  <c r="L5116" i="2"/>
  <c r="K5116" i="2"/>
  <c r="L5115" i="2"/>
  <c r="K5115" i="2"/>
  <c r="L5114" i="2"/>
  <c r="K5114" i="2"/>
  <c r="L5113" i="2"/>
  <c r="K5113" i="2"/>
  <c r="L5112" i="2"/>
  <c r="K5112" i="2"/>
  <c r="L5111" i="2"/>
  <c r="K5111" i="2"/>
  <c r="L5110" i="2"/>
  <c r="K5110" i="2"/>
  <c r="L5109" i="2"/>
  <c r="K5109" i="2"/>
  <c r="L5108" i="2"/>
  <c r="K5108" i="2"/>
  <c r="L5107" i="2"/>
  <c r="K5107" i="2"/>
  <c r="L5106" i="2"/>
  <c r="K5106" i="2"/>
  <c r="L5105" i="2"/>
  <c r="K5105" i="2"/>
  <c r="L5104" i="2"/>
  <c r="K5104" i="2"/>
  <c r="L5103" i="2"/>
  <c r="K5103" i="2"/>
  <c r="L5102" i="2"/>
  <c r="K5102" i="2"/>
  <c r="L5101" i="2"/>
  <c r="K5101" i="2"/>
  <c r="L5100" i="2"/>
  <c r="K5100" i="2"/>
  <c r="L5099" i="2"/>
  <c r="K5099" i="2"/>
  <c r="L5098" i="2"/>
  <c r="K5098" i="2"/>
  <c r="L5097" i="2"/>
  <c r="K5097" i="2"/>
  <c r="L5096" i="2"/>
  <c r="K5096" i="2"/>
  <c r="L5095" i="2"/>
  <c r="K5095" i="2"/>
  <c r="L5094" i="2"/>
  <c r="K5094" i="2"/>
  <c r="L5093" i="2"/>
  <c r="K5093" i="2"/>
  <c r="L5092" i="2"/>
  <c r="K5092" i="2"/>
  <c r="L5091" i="2"/>
  <c r="K5091" i="2"/>
  <c r="L5090" i="2"/>
  <c r="K5090" i="2"/>
  <c r="L5089" i="2"/>
  <c r="K5089" i="2"/>
  <c r="L5088" i="2"/>
  <c r="K5088" i="2"/>
  <c r="L5087" i="2"/>
  <c r="K5087" i="2"/>
  <c r="L5086" i="2"/>
  <c r="K5086" i="2"/>
  <c r="L5085" i="2"/>
  <c r="K5085" i="2"/>
  <c r="L5084" i="2"/>
  <c r="K5084" i="2"/>
  <c r="L5083" i="2"/>
  <c r="K5083" i="2"/>
  <c r="L5082" i="2"/>
  <c r="K5082" i="2"/>
  <c r="L5081" i="2"/>
  <c r="K5081" i="2"/>
  <c r="L5080" i="2"/>
  <c r="K5080" i="2"/>
  <c r="L5079" i="2"/>
  <c r="K5079" i="2"/>
  <c r="L5078" i="2"/>
  <c r="K5078" i="2"/>
  <c r="L5077" i="2"/>
  <c r="K5077" i="2"/>
  <c r="L5076" i="2"/>
  <c r="K5076" i="2"/>
  <c r="L5075" i="2"/>
  <c r="K5075" i="2"/>
  <c r="L5074" i="2"/>
  <c r="K5074" i="2"/>
  <c r="L5073" i="2"/>
  <c r="K5073" i="2"/>
  <c r="L5072" i="2"/>
  <c r="K5072" i="2"/>
  <c r="L5071" i="2"/>
  <c r="K5071" i="2"/>
  <c r="L5070" i="2"/>
  <c r="K5070" i="2"/>
  <c r="L5069" i="2"/>
  <c r="K5069" i="2"/>
  <c r="L5068" i="2"/>
  <c r="K5068" i="2"/>
  <c r="L5067" i="2"/>
  <c r="K5067" i="2"/>
  <c r="L5066" i="2"/>
  <c r="K5066" i="2"/>
  <c r="L5065" i="2"/>
  <c r="K5065" i="2"/>
  <c r="L5064" i="2"/>
  <c r="K5064" i="2"/>
  <c r="L5063" i="2"/>
  <c r="K5063" i="2"/>
  <c r="L5062" i="2"/>
  <c r="K5062" i="2"/>
  <c r="L5061" i="2"/>
  <c r="K5061" i="2"/>
  <c r="L5060" i="2"/>
  <c r="K5060" i="2"/>
  <c r="L5059" i="2"/>
  <c r="K5059" i="2"/>
  <c r="L5058" i="2"/>
  <c r="K5058" i="2"/>
  <c r="L5057" i="2"/>
  <c r="K5057" i="2"/>
  <c r="L5056" i="2"/>
  <c r="K5056" i="2"/>
  <c r="L5055" i="2"/>
  <c r="K5055" i="2"/>
  <c r="L5054" i="2"/>
  <c r="K5054" i="2"/>
  <c r="L5053" i="2"/>
  <c r="K5053" i="2"/>
  <c r="L5052" i="2"/>
  <c r="K5052" i="2"/>
  <c r="L5051" i="2"/>
  <c r="K5051" i="2"/>
  <c r="L5050" i="2"/>
  <c r="K5050" i="2"/>
  <c r="L5049" i="2"/>
  <c r="K5049" i="2"/>
  <c r="L5048" i="2"/>
  <c r="K5048" i="2"/>
  <c r="L5047" i="2"/>
  <c r="K5047" i="2"/>
  <c r="L5046" i="2"/>
  <c r="K5046" i="2"/>
  <c r="L5045" i="2"/>
  <c r="K5045" i="2"/>
  <c r="L5044" i="2"/>
  <c r="K5044" i="2"/>
  <c r="L5043" i="2"/>
  <c r="K5043" i="2"/>
  <c r="L5042" i="2"/>
  <c r="K5042" i="2"/>
  <c r="L5041" i="2"/>
  <c r="K5041" i="2"/>
  <c r="L5040" i="2"/>
  <c r="K5040" i="2"/>
  <c r="L5039" i="2"/>
  <c r="K5039" i="2"/>
  <c r="L5038" i="2"/>
  <c r="K5038" i="2"/>
  <c r="L5037" i="2"/>
  <c r="K5037" i="2"/>
  <c r="L5036" i="2"/>
  <c r="K5036" i="2"/>
  <c r="L5035" i="2"/>
  <c r="K5035" i="2"/>
  <c r="L5034" i="2"/>
  <c r="K5034" i="2"/>
  <c r="L5033" i="2"/>
  <c r="K5033" i="2"/>
  <c r="L5032" i="2"/>
  <c r="K5032" i="2"/>
  <c r="L5031" i="2"/>
  <c r="K5031" i="2"/>
  <c r="L5030" i="2"/>
  <c r="K5030" i="2"/>
  <c r="L5029" i="2"/>
  <c r="K5029" i="2"/>
  <c r="L5028" i="2"/>
  <c r="K5028" i="2"/>
  <c r="L5027" i="2"/>
  <c r="K5027" i="2"/>
  <c r="L5026" i="2"/>
  <c r="K5026" i="2"/>
  <c r="L5025" i="2"/>
  <c r="K5025" i="2"/>
  <c r="L5024" i="2"/>
  <c r="K5024" i="2"/>
  <c r="L5023" i="2"/>
  <c r="K5023" i="2"/>
  <c r="L5022" i="2"/>
  <c r="K5022" i="2"/>
  <c r="L5021" i="2"/>
  <c r="K5021" i="2"/>
  <c r="L5020" i="2"/>
  <c r="K5020" i="2"/>
  <c r="L5019" i="2"/>
  <c r="K5019" i="2"/>
  <c r="L5018" i="2"/>
  <c r="K5018" i="2"/>
  <c r="L5017" i="2"/>
  <c r="K5017" i="2"/>
  <c r="L5016" i="2"/>
  <c r="K5016" i="2"/>
  <c r="L5015" i="2"/>
  <c r="K5015" i="2"/>
  <c r="L5014" i="2"/>
  <c r="K5014" i="2"/>
  <c r="L5013" i="2"/>
  <c r="K5013" i="2"/>
  <c r="L5012" i="2"/>
  <c r="K5012" i="2"/>
  <c r="L5011" i="2"/>
  <c r="K5011" i="2"/>
  <c r="L5010" i="2"/>
  <c r="K5010" i="2"/>
  <c r="L5009" i="2"/>
  <c r="K5009" i="2"/>
  <c r="L5008" i="2"/>
  <c r="K5008" i="2"/>
  <c r="L5007" i="2"/>
  <c r="K5007" i="2"/>
  <c r="L5006" i="2"/>
  <c r="K5006" i="2"/>
  <c r="L5005" i="2"/>
  <c r="K5005" i="2"/>
  <c r="L5004" i="2"/>
  <c r="K5004" i="2"/>
  <c r="L5003" i="2"/>
  <c r="K5003" i="2"/>
  <c r="L5002" i="2"/>
  <c r="K5002" i="2"/>
  <c r="L5001" i="2"/>
  <c r="K5001" i="2"/>
  <c r="L5000" i="2"/>
  <c r="K5000" i="2"/>
  <c r="L4999" i="2"/>
  <c r="K4999" i="2"/>
  <c r="L4998" i="2"/>
  <c r="K4998" i="2"/>
  <c r="L4997" i="2"/>
  <c r="K4997" i="2"/>
  <c r="L4996" i="2"/>
  <c r="K4996" i="2"/>
  <c r="L4995" i="2"/>
  <c r="K4995" i="2"/>
  <c r="L4994" i="2"/>
  <c r="K4994" i="2"/>
  <c r="L4993" i="2"/>
  <c r="K4993" i="2"/>
  <c r="L4992" i="2"/>
  <c r="K4992" i="2"/>
  <c r="L4991" i="2"/>
  <c r="K4991" i="2"/>
  <c r="L4990" i="2"/>
  <c r="K4990" i="2"/>
  <c r="L4989" i="2"/>
  <c r="K4989" i="2"/>
  <c r="L4988" i="2"/>
  <c r="K4988" i="2"/>
  <c r="L4987" i="2"/>
  <c r="K4987" i="2"/>
  <c r="L4986" i="2"/>
  <c r="K4986" i="2"/>
  <c r="L4985" i="2"/>
  <c r="K4985" i="2"/>
  <c r="L4984" i="2"/>
  <c r="K4984" i="2"/>
  <c r="L4983" i="2"/>
  <c r="K4983" i="2"/>
  <c r="L4982" i="2"/>
  <c r="K4982" i="2"/>
  <c r="L4981" i="2"/>
  <c r="K4981" i="2"/>
  <c r="L4980" i="2"/>
  <c r="K4980" i="2"/>
  <c r="L4979" i="2"/>
  <c r="K4979" i="2"/>
  <c r="L4978" i="2"/>
  <c r="K4978" i="2"/>
  <c r="L4977" i="2"/>
  <c r="K4977" i="2"/>
  <c r="L4976" i="2"/>
  <c r="K4976" i="2"/>
  <c r="L4975" i="2"/>
  <c r="K4975" i="2"/>
  <c r="L4974" i="2"/>
  <c r="K4974" i="2"/>
  <c r="L4973" i="2"/>
  <c r="K4973" i="2"/>
  <c r="L4972" i="2"/>
  <c r="K4972" i="2"/>
  <c r="L4971" i="2"/>
  <c r="K4971" i="2"/>
  <c r="L4970" i="2"/>
  <c r="K4970" i="2"/>
  <c r="L4969" i="2"/>
  <c r="K4969" i="2"/>
  <c r="L4968" i="2"/>
  <c r="K4968" i="2"/>
  <c r="L4967" i="2"/>
  <c r="K4967" i="2"/>
  <c r="L4966" i="2"/>
  <c r="K4966" i="2"/>
  <c r="L4965" i="2"/>
  <c r="K4965" i="2"/>
  <c r="L4964" i="2"/>
  <c r="K4964" i="2"/>
  <c r="L4963" i="2"/>
  <c r="K4963" i="2"/>
  <c r="L4962" i="2"/>
  <c r="K4962" i="2"/>
  <c r="L4961" i="2"/>
  <c r="K4961" i="2"/>
  <c r="L4960" i="2"/>
  <c r="K4960" i="2"/>
  <c r="L4959" i="2"/>
  <c r="K4959" i="2"/>
  <c r="L4958" i="2"/>
  <c r="K4958" i="2"/>
  <c r="L4957" i="2"/>
  <c r="K4957" i="2"/>
  <c r="L4956" i="2"/>
  <c r="K4956" i="2"/>
  <c r="L4955" i="2"/>
  <c r="K4955" i="2"/>
  <c r="L4954" i="2"/>
  <c r="K4954" i="2"/>
  <c r="L4953" i="2"/>
  <c r="K4953" i="2"/>
  <c r="L4952" i="2"/>
  <c r="K4952" i="2"/>
  <c r="L4951" i="2"/>
  <c r="K4951" i="2"/>
  <c r="L4950" i="2"/>
  <c r="K4950" i="2"/>
  <c r="L4949" i="2"/>
  <c r="K4949" i="2"/>
  <c r="L4948" i="2"/>
  <c r="K4948" i="2"/>
  <c r="L4947" i="2"/>
  <c r="K4947" i="2"/>
  <c r="L4946" i="2"/>
  <c r="K4946" i="2"/>
  <c r="L4945" i="2"/>
  <c r="K4945" i="2"/>
  <c r="L4944" i="2"/>
  <c r="K4944" i="2"/>
  <c r="L4943" i="2"/>
  <c r="K4943" i="2"/>
  <c r="L4942" i="2"/>
  <c r="K4942" i="2"/>
  <c r="L4941" i="2"/>
  <c r="K4941" i="2"/>
  <c r="L4940" i="2"/>
  <c r="K4940" i="2"/>
  <c r="L4939" i="2"/>
  <c r="K4939" i="2"/>
  <c r="L4938" i="2"/>
  <c r="K4938" i="2"/>
  <c r="L4937" i="2"/>
  <c r="K4937" i="2"/>
  <c r="L4936" i="2"/>
  <c r="K4936" i="2"/>
  <c r="L4935" i="2"/>
  <c r="K4935" i="2"/>
  <c r="L4934" i="2"/>
  <c r="K4934" i="2"/>
  <c r="L4933" i="2"/>
  <c r="K4933" i="2"/>
  <c r="L4932" i="2"/>
  <c r="K4932" i="2"/>
  <c r="L4931" i="2"/>
  <c r="K4931" i="2"/>
  <c r="L4930" i="2"/>
  <c r="K4930" i="2"/>
  <c r="L4929" i="2"/>
  <c r="K4929" i="2"/>
  <c r="L4928" i="2"/>
  <c r="K4928" i="2"/>
  <c r="L4927" i="2"/>
  <c r="K4927" i="2"/>
  <c r="L4926" i="2"/>
  <c r="K4926" i="2"/>
  <c r="L4925" i="2"/>
  <c r="K4925" i="2"/>
  <c r="L4924" i="2"/>
  <c r="K4924" i="2"/>
  <c r="L4923" i="2"/>
  <c r="K4923" i="2"/>
  <c r="L4922" i="2"/>
  <c r="K4922" i="2"/>
  <c r="L4921" i="2"/>
  <c r="K4921" i="2"/>
  <c r="L4920" i="2"/>
  <c r="K4920" i="2"/>
  <c r="L4919" i="2"/>
  <c r="K4919" i="2"/>
  <c r="L4918" i="2"/>
  <c r="K4918" i="2"/>
  <c r="L4917" i="2"/>
  <c r="K4917" i="2"/>
  <c r="L4916" i="2"/>
  <c r="K4916" i="2"/>
  <c r="L4915" i="2"/>
  <c r="K4915" i="2"/>
  <c r="L4914" i="2"/>
  <c r="K4914" i="2"/>
  <c r="L4913" i="2"/>
  <c r="K4913" i="2"/>
  <c r="L4912" i="2"/>
  <c r="K4912" i="2"/>
  <c r="L4911" i="2"/>
  <c r="K4911" i="2"/>
  <c r="L4910" i="2"/>
  <c r="K4910" i="2"/>
  <c r="L4909" i="2"/>
  <c r="K4909" i="2"/>
  <c r="L4908" i="2"/>
  <c r="K4908" i="2"/>
  <c r="L4907" i="2"/>
  <c r="K4907" i="2"/>
  <c r="L4906" i="2"/>
  <c r="K4906" i="2"/>
  <c r="L4905" i="2"/>
  <c r="K4905" i="2"/>
  <c r="L4904" i="2"/>
  <c r="K4904" i="2"/>
  <c r="L4903" i="2"/>
  <c r="K4903" i="2"/>
  <c r="L4902" i="2"/>
  <c r="K4902" i="2"/>
  <c r="L4901" i="2"/>
  <c r="K4901" i="2"/>
  <c r="L4900" i="2"/>
  <c r="K4900" i="2"/>
  <c r="L4899" i="2"/>
  <c r="K4899" i="2"/>
  <c r="L4898" i="2"/>
  <c r="K4898" i="2"/>
  <c r="L4897" i="2"/>
  <c r="K4897" i="2"/>
  <c r="L4896" i="2"/>
  <c r="K4896" i="2"/>
  <c r="L4895" i="2"/>
  <c r="K4895" i="2"/>
  <c r="L4894" i="2"/>
  <c r="K4894" i="2"/>
  <c r="L4893" i="2"/>
  <c r="K4893" i="2"/>
  <c r="L4892" i="2"/>
  <c r="K4892" i="2"/>
  <c r="L4891" i="2"/>
  <c r="K4891" i="2"/>
  <c r="L4890" i="2"/>
  <c r="K4890" i="2"/>
  <c r="L4889" i="2"/>
  <c r="K4889" i="2"/>
  <c r="L4888" i="2"/>
  <c r="K4888" i="2"/>
  <c r="L4887" i="2"/>
  <c r="K4887" i="2"/>
  <c r="L4886" i="2"/>
  <c r="K4886" i="2"/>
  <c r="L4885" i="2"/>
  <c r="K4885" i="2"/>
  <c r="L4884" i="2"/>
  <c r="K4884" i="2"/>
  <c r="L4883" i="2"/>
  <c r="K4883" i="2"/>
  <c r="L4882" i="2"/>
  <c r="K4882" i="2"/>
  <c r="L4881" i="2"/>
  <c r="K4881" i="2"/>
  <c r="L4880" i="2"/>
  <c r="K4880" i="2"/>
  <c r="L4879" i="2"/>
  <c r="K4879" i="2"/>
  <c r="L4878" i="2"/>
  <c r="K4878" i="2"/>
  <c r="L4877" i="2"/>
  <c r="K4877" i="2"/>
  <c r="L4876" i="2"/>
  <c r="K4876" i="2"/>
  <c r="L4875" i="2"/>
  <c r="K4875" i="2"/>
  <c r="L4874" i="2"/>
  <c r="K4874" i="2"/>
  <c r="L4873" i="2"/>
  <c r="K4873" i="2"/>
  <c r="L4872" i="2"/>
  <c r="K4872" i="2"/>
  <c r="L4871" i="2"/>
  <c r="K4871" i="2"/>
  <c r="L4870" i="2"/>
  <c r="K4870" i="2"/>
  <c r="L4869" i="2"/>
  <c r="K4869" i="2"/>
  <c r="L4868" i="2"/>
  <c r="K4868" i="2"/>
  <c r="L4867" i="2"/>
  <c r="K4867" i="2"/>
  <c r="L4866" i="2"/>
  <c r="K4866" i="2"/>
  <c r="L4865" i="2"/>
  <c r="K4865" i="2"/>
  <c r="L4864" i="2"/>
  <c r="K4864" i="2"/>
  <c r="L4863" i="2"/>
  <c r="K4863" i="2"/>
  <c r="L4862" i="2"/>
  <c r="K4862" i="2"/>
  <c r="L4861" i="2"/>
  <c r="K4861" i="2"/>
  <c r="L4860" i="2"/>
  <c r="K4860" i="2"/>
  <c r="L4859" i="2"/>
  <c r="K4859" i="2"/>
  <c r="L4858" i="2"/>
  <c r="K4858" i="2"/>
  <c r="L4857" i="2"/>
  <c r="K4857" i="2"/>
  <c r="L4856" i="2"/>
  <c r="K4856" i="2"/>
  <c r="L4855" i="2"/>
  <c r="K4855" i="2"/>
  <c r="L4854" i="2"/>
  <c r="K4854" i="2"/>
  <c r="L4853" i="2"/>
  <c r="K4853" i="2"/>
  <c r="L4852" i="2"/>
  <c r="K4852" i="2"/>
  <c r="L4851" i="2"/>
  <c r="K4851" i="2"/>
  <c r="L4850" i="2"/>
  <c r="K4850" i="2"/>
  <c r="L4849" i="2"/>
  <c r="K4849" i="2"/>
  <c r="L4848" i="2"/>
  <c r="K4848" i="2"/>
  <c r="L4847" i="2"/>
  <c r="K4847" i="2"/>
  <c r="L4846" i="2"/>
  <c r="K4846" i="2"/>
  <c r="L4845" i="2"/>
  <c r="K4845" i="2"/>
  <c r="L4844" i="2"/>
  <c r="K4844" i="2"/>
  <c r="L4843" i="2"/>
  <c r="K4843" i="2"/>
  <c r="L4842" i="2"/>
  <c r="K4842" i="2"/>
  <c r="L4841" i="2"/>
  <c r="K4841" i="2"/>
  <c r="L4840" i="2"/>
  <c r="K4840" i="2"/>
  <c r="L4839" i="2"/>
  <c r="K4839" i="2"/>
  <c r="L4838" i="2"/>
  <c r="K4838" i="2"/>
  <c r="L4837" i="2"/>
  <c r="K4837" i="2"/>
  <c r="L4836" i="2"/>
  <c r="K4836" i="2"/>
  <c r="L4835" i="2"/>
  <c r="K4835" i="2"/>
  <c r="L4834" i="2"/>
  <c r="K4834" i="2"/>
  <c r="L4833" i="2"/>
  <c r="K4833" i="2"/>
  <c r="L4832" i="2"/>
  <c r="K4832" i="2"/>
  <c r="L4831" i="2"/>
  <c r="K4831" i="2"/>
  <c r="L4830" i="2"/>
  <c r="K4830" i="2"/>
  <c r="L4829" i="2"/>
  <c r="K4829" i="2"/>
  <c r="L4828" i="2"/>
  <c r="K4828" i="2"/>
  <c r="L4827" i="2"/>
  <c r="K4827" i="2"/>
  <c r="L4826" i="2"/>
  <c r="K4826" i="2"/>
  <c r="L4825" i="2"/>
  <c r="K4825" i="2"/>
  <c r="L4824" i="2"/>
  <c r="K4824" i="2"/>
  <c r="L4823" i="2"/>
  <c r="K4823" i="2"/>
  <c r="L4822" i="2"/>
  <c r="K4822" i="2"/>
  <c r="L4821" i="2"/>
  <c r="K4821" i="2"/>
  <c r="L4820" i="2"/>
  <c r="K4820" i="2"/>
  <c r="L4819" i="2"/>
  <c r="K4819" i="2"/>
  <c r="L4818" i="2"/>
  <c r="K4818" i="2"/>
  <c r="L4817" i="2"/>
  <c r="K4817" i="2"/>
  <c r="L4816" i="2"/>
  <c r="K4816" i="2"/>
  <c r="L4815" i="2"/>
  <c r="K4815" i="2"/>
  <c r="L4814" i="2"/>
  <c r="K4814" i="2"/>
  <c r="L4813" i="2"/>
  <c r="K4813" i="2"/>
  <c r="L4812" i="2"/>
  <c r="K4812" i="2"/>
  <c r="L4811" i="2"/>
  <c r="K4811" i="2"/>
  <c r="L4810" i="2"/>
  <c r="K4810" i="2"/>
  <c r="L4809" i="2"/>
  <c r="K4809" i="2"/>
  <c r="L4808" i="2"/>
  <c r="K4808" i="2"/>
  <c r="L4807" i="2"/>
  <c r="K4807" i="2"/>
  <c r="L4806" i="2"/>
  <c r="K4806" i="2"/>
  <c r="L4805" i="2"/>
  <c r="K4805" i="2"/>
  <c r="L4804" i="2"/>
  <c r="K4804" i="2"/>
  <c r="L4803" i="2"/>
  <c r="K4803" i="2"/>
  <c r="L4802" i="2"/>
  <c r="K4802" i="2"/>
  <c r="L4801" i="2"/>
  <c r="K4801" i="2"/>
  <c r="L4800" i="2"/>
  <c r="K4800" i="2"/>
  <c r="L4799" i="2"/>
  <c r="K4799" i="2"/>
  <c r="L4798" i="2"/>
  <c r="K4798" i="2"/>
  <c r="L4797" i="2"/>
  <c r="K4797" i="2"/>
  <c r="L4796" i="2"/>
  <c r="K4796" i="2"/>
  <c r="L4795" i="2"/>
  <c r="K4795" i="2"/>
  <c r="L4794" i="2"/>
  <c r="K4794" i="2"/>
  <c r="L4793" i="2"/>
  <c r="K4793" i="2"/>
  <c r="L4792" i="2"/>
  <c r="K4792" i="2"/>
  <c r="L4791" i="2"/>
  <c r="K4791" i="2"/>
  <c r="L4790" i="2"/>
  <c r="K4790" i="2"/>
  <c r="L4789" i="2"/>
  <c r="K4789" i="2"/>
  <c r="L4788" i="2"/>
  <c r="K4788" i="2"/>
  <c r="L4787" i="2"/>
  <c r="K4787" i="2"/>
  <c r="L4786" i="2"/>
  <c r="K4786" i="2"/>
  <c r="L4785" i="2"/>
  <c r="K4785" i="2"/>
  <c r="L4784" i="2"/>
  <c r="K4784" i="2"/>
  <c r="L4783" i="2"/>
  <c r="K4783" i="2"/>
  <c r="L4782" i="2"/>
  <c r="K4782" i="2"/>
  <c r="L4781" i="2"/>
  <c r="K4781" i="2"/>
  <c r="L4780" i="2"/>
  <c r="K4780" i="2"/>
  <c r="L4779" i="2"/>
  <c r="K4779" i="2"/>
  <c r="L4778" i="2"/>
  <c r="K4778" i="2"/>
  <c r="L4777" i="2"/>
  <c r="K4777" i="2"/>
  <c r="L4776" i="2"/>
  <c r="K4776" i="2"/>
  <c r="L4775" i="2"/>
  <c r="K4775" i="2"/>
  <c r="L4774" i="2"/>
  <c r="K4774" i="2"/>
  <c r="L4773" i="2"/>
  <c r="K4773" i="2"/>
  <c r="L4772" i="2"/>
  <c r="K4772" i="2"/>
  <c r="L4771" i="2"/>
  <c r="K4771" i="2"/>
  <c r="L4770" i="2"/>
  <c r="K4770" i="2"/>
  <c r="L4769" i="2"/>
  <c r="K4769" i="2"/>
  <c r="L4768" i="2"/>
  <c r="K4768" i="2"/>
  <c r="L4767" i="2"/>
  <c r="K4767" i="2"/>
  <c r="L4766" i="2"/>
  <c r="K4766" i="2"/>
  <c r="L4765" i="2"/>
  <c r="K4765" i="2"/>
  <c r="L4764" i="2"/>
  <c r="K4764" i="2"/>
  <c r="L4763" i="2"/>
  <c r="K4763" i="2"/>
  <c r="L4762" i="2"/>
  <c r="K4762" i="2"/>
  <c r="L4761" i="2"/>
  <c r="K4761" i="2"/>
  <c r="L4760" i="2"/>
  <c r="K4760" i="2"/>
  <c r="L4759" i="2"/>
  <c r="K4759" i="2"/>
  <c r="L4758" i="2"/>
  <c r="K4758" i="2"/>
  <c r="L4757" i="2"/>
  <c r="K4757" i="2"/>
  <c r="L4756" i="2"/>
  <c r="K4756" i="2"/>
  <c r="L4755" i="2"/>
  <c r="K4755" i="2"/>
  <c r="L4754" i="2"/>
  <c r="K4754" i="2"/>
  <c r="L4753" i="2"/>
  <c r="K4753" i="2"/>
  <c r="L4752" i="2"/>
  <c r="K4752" i="2"/>
  <c r="L4751" i="2"/>
  <c r="K4751" i="2"/>
  <c r="L4750" i="2"/>
  <c r="K4750" i="2"/>
  <c r="L4749" i="2"/>
  <c r="K4749" i="2"/>
  <c r="L4748" i="2"/>
  <c r="K4748" i="2"/>
  <c r="L4747" i="2"/>
  <c r="K4747" i="2"/>
  <c r="L4746" i="2"/>
  <c r="K4746" i="2"/>
  <c r="L4745" i="2"/>
  <c r="K4745" i="2"/>
  <c r="L4744" i="2"/>
  <c r="K4744" i="2"/>
  <c r="L4743" i="2"/>
  <c r="K4743" i="2"/>
  <c r="L4742" i="2"/>
  <c r="K4742" i="2"/>
  <c r="L4741" i="2"/>
  <c r="K4741" i="2"/>
  <c r="L4740" i="2"/>
  <c r="K4740" i="2"/>
  <c r="L4739" i="2"/>
  <c r="K4739" i="2"/>
  <c r="L4738" i="2"/>
  <c r="K4738" i="2"/>
  <c r="L4737" i="2"/>
  <c r="K4737" i="2"/>
  <c r="L4736" i="2"/>
  <c r="K4736" i="2"/>
  <c r="L4735" i="2"/>
  <c r="K4735" i="2"/>
  <c r="L4734" i="2"/>
  <c r="K4734" i="2"/>
  <c r="L4733" i="2"/>
  <c r="K4733" i="2"/>
  <c r="L4732" i="2"/>
  <c r="K4732" i="2"/>
  <c r="L4731" i="2"/>
  <c r="K4731" i="2"/>
  <c r="L4730" i="2"/>
  <c r="K4730" i="2"/>
  <c r="L4729" i="2"/>
  <c r="K4729" i="2"/>
  <c r="L4728" i="2"/>
  <c r="K4728" i="2"/>
  <c r="L4727" i="2"/>
  <c r="K4727" i="2"/>
  <c r="L4726" i="2"/>
  <c r="K4726" i="2"/>
  <c r="L4725" i="2"/>
  <c r="K4725" i="2"/>
  <c r="L4724" i="2"/>
  <c r="K4724" i="2"/>
  <c r="L4723" i="2"/>
  <c r="K4723" i="2"/>
  <c r="L4722" i="2"/>
  <c r="K4722" i="2"/>
  <c r="L4721" i="2"/>
  <c r="K4721" i="2"/>
  <c r="L4720" i="2"/>
  <c r="K4720" i="2"/>
  <c r="L4719" i="2"/>
  <c r="K4719" i="2"/>
  <c r="L4718" i="2"/>
  <c r="K4718" i="2"/>
  <c r="L4717" i="2"/>
  <c r="K4717" i="2"/>
  <c r="L4716" i="2"/>
  <c r="K4716" i="2"/>
  <c r="L4715" i="2"/>
  <c r="K4715" i="2"/>
  <c r="L4714" i="2"/>
  <c r="K4714" i="2"/>
  <c r="L4713" i="2"/>
  <c r="K4713" i="2"/>
  <c r="L4712" i="2"/>
  <c r="K4712" i="2"/>
  <c r="L4711" i="2"/>
  <c r="K4711" i="2"/>
  <c r="L4710" i="2"/>
  <c r="K4710" i="2"/>
  <c r="L4709" i="2"/>
  <c r="K4709" i="2"/>
  <c r="L4708" i="2"/>
  <c r="K4708" i="2"/>
  <c r="L4707" i="2"/>
  <c r="K4707" i="2"/>
  <c r="L4706" i="2"/>
  <c r="K4706" i="2"/>
  <c r="L4705" i="2"/>
  <c r="K4705" i="2"/>
  <c r="L4704" i="2"/>
  <c r="K4704" i="2"/>
  <c r="L4703" i="2"/>
  <c r="K4703" i="2"/>
  <c r="L4702" i="2"/>
  <c r="K4702" i="2"/>
  <c r="L4701" i="2"/>
  <c r="K4701" i="2"/>
  <c r="L4700" i="2"/>
  <c r="K4700" i="2"/>
  <c r="L4699" i="2"/>
  <c r="K4699" i="2"/>
  <c r="L4698" i="2"/>
  <c r="K4698" i="2"/>
  <c r="L4697" i="2"/>
  <c r="K4697" i="2"/>
  <c r="L4696" i="2"/>
  <c r="K4696" i="2"/>
  <c r="L4695" i="2"/>
  <c r="K4695" i="2"/>
  <c r="L4694" i="2"/>
  <c r="K4694" i="2"/>
  <c r="L4693" i="2"/>
  <c r="K4693" i="2"/>
  <c r="L4692" i="2"/>
  <c r="K4692" i="2"/>
  <c r="L4691" i="2"/>
  <c r="K4691" i="2"/>
  <c r="L4690" i="2"/>
  <c r="K4690" i="2"/>
  <c r="L4689" i="2"/>
  <c r="K4689" i="2"/>
  <c r="L4688" i="2"/>
  <c r="K4688" i="2"/>
  <c r="L4687" i="2"/>
  <c r="K4687" i="2"/>
  <c r="L4686" i="2"/>
  <c r="K4686" i="2"/>
  <c r="L4685" i="2"/>
  <c r="K4685" i="2"/>
  <c r="L4684" i="2"/>
  <c r="K4684" i="2"/>
  <c r="L4683" i="2"/>
  <c r="K4683" i="2"/>
  <c r="L4682" i="2"/>
  <c r="K4682" i="2"/>
  <c r="L4681" i="2"/>
  <c r="K4681" i="2"/>
  <c r="L4680" i="2"/>
  <c r="K4680" i="2"/>
  <c r="L4679" i="2"/>
  <c r="K4679" i="2"/>
  <c r="L4678" i="2"/>
  <c r="K4678" i="2"/>
  <c r="L4677" i="2"/>
  <c r="K4677" i="2"/>
  <c r="L4676" i="2"/>
  <c r="K4676" i="2"/>
  <c r="L4675" i="2"/>
  <c r="K4675" i="2"/>
  <c r="L4674" i="2"/>
  <c r="K4674" i="2"/>
  <c r="L4673" i="2"/>
  <c r="K4673" i="2"/>
  <c r="L4672" i="2"/>
  <c r="K4672" i="2"/>
  <c r="L4671" i="2"/>
  <c r="K4671" i="2"/>
  <c r="L4670" i="2"/>
  <c r="K4670" i="2"/>
  <c r="L4669" i="2"/>
  <c r="K4669" i="2"/>
  <c r="L4668" i="2"/>
  <c r="K4668" i="2"/>
  <c r="L4667" i="2"/>
  <c r="K4667" i="2"/>
  <c r="L4666" i="2"/>
  <c r="K4666" i="2"/>
  <c r="L4665" i="2"/>
  <c r="K4665" i="2"/>
  <c r="L4664" i="2"/>
  <c r="K4664" i="2"/>
  <c r="L4663" i="2"/>
  <c r="K4663" i="2"/>
  <c r="L4662" i="2"/>
  <c r="K4662" i="2"/>
  <c r="L4661" i="2"/>
  <c r="K4661" i="2"/>
  <c r="L4660" i="2"/>
  <c r="K4660" i="2"/>
  <c r="L4659" i="2"/>
  <c r="K4659" i="2"/>
  <c r="L4658" i="2"/>
  <c r="K4658" i="2"/>
  <c r="L4657" i="2"/>
  <c r="K4657" i="2"/>
  <c r="L4656" i="2"/>
  <c r="K4656" i="2"/>
  <c r="L4655" i="2"/>
  <c r="K4655" i="2"/>
  <c r="L4654" i="2"/>
  <c r="K4654" i="2"/>
  <c r="L4653" i="2"/>
  <c r="K4653" i="2"/>
  <c r="L4652" i="2"/>
  <c r="K4652" i="2"/>
  <c r="L4651" i="2"/>
  <c r="K4651" i="2"/>
  <c r="L4650" i="2"/>
  <c r="K4650" i="2"/>
  <c r="L4649" i="2"/>
  <c r="K4649" i="2"/>
  <c r="L4648" i="2"/>
  <c r="K4648" i="2"/>
  <c r="L4647" i="2"/>
  <c r="K4647" i="2"/>
  <c r="L4646" i="2"/>
  <c r="K4646" i="2"/>
  <c r="L4645" i="2"/>
  <c r="K4645" i="2"/>
  <c r="L4644" i="2"/>
  <c r="K4644" i="2"/>
  <c r="L4643" i="2"/>
  <c r="K4643" i="2"/>
  <c r="L4642" i="2"/>
  <c r="K4642" i="2"/>
  <c r="L4641" i="2"/>
  <c r="K4641" i="2"/>
  <c r="L4640" i="2"/>
  <c r="K4640" i="2"/>
  <c r="L4639" i="2"/>
  <c r="K4639" i="2"/>
  <c r="L4638" i="2"/>
  <c r="K4638" i="2"/>
  <c r="L4637" i="2"/>
  <c r="K4637" i="2"/>
  <c r="L4636" i="2"/>
  <c r="K4636" i="2"/>
  <c r="L4635" i="2"/>
  <c r="K4635" i="2"/>
  <c r="L4634" i="2"/>
  <c r="K4634" i="2"/>
  <c r="L4633" i="2"/>
  <c r="K4633" i="2"/>
  <c r="L4632" i="2"/>
  <c r="K4632" i="2"/>
  <c r="L4631" i="2"/>
  <c r="K4631" i="2"/>
  <c r="L4630" i="2"/>
  <c r="K4630" i="2"/>
  <c r="L4629" i="2"/>
  <c r="K4629" i="2"/>
  <c r="L4628" i="2"/>
  <c r="K4628" i="2"/>
  <c r="L4627" i="2"/>
  <c r="K4627" i="2"/>
  <c r="L4626" i="2"/>
  <c r="K4626" i="2"/>
  <c r="L4625" i="2"/>
  <c r="K4625" i="2"/>
  <c r="L4624" i="2"/>
  <c r="K4624" i="2"/>
  <c r="L4623" i="2"/>
  <c r="K4623" i="2"/>
  <c r="L4622" i="2"/>
  <c r="K4622" i="2"/>
  <c r="L4621" i="2"/>
  <c r="K4621" i="2"/>
  <c r="L4620" i="2"/>
  <c r="K4620" i="2"/>
  <c r="L4619" i="2"/>
  <c r="K4619" i="2"/>
  <c r="L4618" i="2"/>
  <c r="K4618" i="2"/>
  <c r="L4617" i="2"/>
  <c r="K4617" i="2"/>
  <c r="L4616" i="2"/>
  <c r="K4616" i="2"/>
  <c r="L4615" i="2"/>
  <c r="K4615" i="2"/>
  <c r="L4614" i="2"/>
  <c r="K4614" i="2"/>
  <c r="L4613" i="2"/>
  <c r="K4613" i="2"/>
  <c r="L4612" i="2"/>
  <c r="K4612" i="2"/>
  <c r="L4611" i="2"/>
  <c r="K4611" i="2"/>
  <c r="L4610" i="2"/>
  <c r="K4610" i="2"/>
  <c r="L4609" i="2"/>
  <c r="K4609" i="2"/>
  <c r="L4608" i="2"/>
  <c r="K4608" i="2"/>
  <c r="L4607" i="2"/>
  <c r="K4607" i="2"/>
  <c r="L4606" i="2"/>
  <c r="K4606" i="2"/>
  <c r="L4605" i="2"/>
  <c r="K4605" i="2"/>
  <c r="L4604" i="2"/>
  <c r="K4604" i="2"/>
  <c r="L4603" i="2"/>
  <c r="K4603" i="2"/>
  <c r="L4602" i="2"/>
  <c r="K4602" i="2"/>
  <c r="L4601" i="2"/>
  <c r="K4601" i="2"/>
  <c r="L4600" i="2"/>
  <c r="K4600" i="2"/>
  <c r="L4599" i="2"/>
  <c r="K4599" i="2"/>
  <c r="L4598" i="2"/>
  <c r="K4598" i="2"/>
  <c r="L4597" i="2"/>
  <c r="K4597" i="2"/>
  <c r="L4596" i="2"/>
  <c r="K4596" i="2"/>
  <c r="L4595" i="2"/>
  <c r="K4595" i="2"/>
  <c r="L4594" i="2"/>
  <c r="K4594" i="2"/>
  <c r="L4593" i="2"/>
  <c r="K4593" i="2"/>
  <c r="L4592" i="2"/>
  <c r="K4592" i="2"/>
  <c r="L4591" i="2"/>
  <c r="K4591" i="2"/>
  <c r="L4590" i="2"/>
  <c r="K4590" i="2"/>
  <c r="L4589" i="2"/>
  <c r="K4589" i="2"/>
  <c r="L4588" i="2"/>
  <c r="K4588" i="2"/>
  <c r="L4587" i="2"/>
  <c r="K4587" i="2"/>
  <c r="L4586" i="2"/>
  <c r="K4586" i="2"/>
  <c r="L4585" i="2"/>
  <c r="K4585" i="2"/>
  <c r="L4584" i="2"/>
  <c r="K4584" i="2"/>
  <c r="L4583" i="2"/>
  <c r="K4583" i="2"/>
  <c r="L4582" i="2"/>
  <c r="K4582" i="2"/>
  <c r="L4581" i="2"/>
  <c r="K4581" i="2"/>
  <c r="L4580" i="2"/>
  <c r="K4580" i="2"/>
  <c r="L4579" i="2"/>
  <c r="K4579" i="2"/>
  <c r="L4578" i="2"/>
  <c r="K4578" i="2"/>
  <c r="L4577" i="2"/>
  <c r="K4577" i="2"/>
  <c r="L4576" i="2"/>
  <c r="K4576" i="2"/>
  <c r="L4575" i="2"/>
  <c r="K4575" i="2"/>
  <c r="L4574" i="2"/>
  <c r="K4574" i="2"/>
  <c r="L4573" i="2"/>
  <c r="K4573" i="2"/>
  <c r="L4572" i="2"/>
  <c r="K4572" i="2"/>
  <c r="L4571" i="2"/>
  <c r="K4571" i="2"/>
  <c r="L4570" i="2"/>
  <c r="K4570" i="2"/>
  <c r="L4569" i="2"/>
  <c r="K4569" i="2"/>
  <c r="L4568" i="2"/>
  <c r="K4568" i="2"/>
  <c r="L4567" i="2"/>
  <c r="K4567" i="2"/>
  <c r="L4566" i="2"/>
  <c r="K4566" i="2"/>
  <c r="L4565" i="2"/>
  <c r="K4565" i="2"/>
  <c r="L4564" i="2"/>
  <c r="K4564" i="2"/>
  <c r="L4563" i="2"/>
  <c r="K4563" i="2"/>
  <c r="L4562" i="2"/>
  <c r="K4562" i="2"/>
  <c r="L4561" i="2"/>
  <c r="K4561" i="2"/>
  <c r="L4560" i="2"/>
  <c r="K4560" i="2"/>
  <c r="L4559" i="2"/>
  <c r="K4559" i="2"/>
  <c r="L4558" i="2"/>
  <c r="K4558" i="2"/>
  <c r="L4557" i="2"/>
  <c r="K4557" i="2"/>
  <c r="L4556" i="2"/>
  <c r="K4556" i="2"/>
  <c r="L4555" i="2"/>
  <c r="K4555" i="2"/>
  <c r="L4554" i="2"/>
  <c r="K4554" i="2"/>
  <c r="L4553" i="2"/>
  <c r="K4553" i="2"/>
  <c r="L4552" i="2"/>
  <c r="K4552" i="2"/>
  <c r="L4551" i="2"/>
  <c r="K4551" i="2"/>
  <c r="L4550" i="2"/>
  <c r="K4550" i="2"/>
  <c r="L4549" i="2"/>
  <c r="K4549" i="2"/>
  <c r="L4548" i="2"/>
  <c r="K4548" i="2"/>
  <c r="L4547" i="2"/>
  <c r="K4547" i="2"/>
  <c r="L4546" i="2"/>
  <c r="K4546" i="2"/>
  <c r="L4545" i="2"/>
  <c r="K4545" i="2"/>
  <c r="L4544" i="2"/>
  <c r="K4544" i="2"/>
  <c r="L4543" i="2"/>
  <c r="K4543" i="2"/>
  <c r="L4542" i="2"/>
  <c r="K4542" i="2"/>
  <c r="L4541" i="2"/>
  <c r="K4541" i="2"/>
  <c r="L4540" i="2"/>
  <c r="K4540" i="2"/>
  <c r="L4539" i="2"/>
  <c r="K4539" i="2"/>
  <c r="L4538" i="2"/>
  <c r="K4538" i="2"/>
  <c r="L4537" i="2"/>
  <c r="K4537" i="2"/>
  <c r="L4536" i="2"/>
  <c r="K4536" i="2"/>
  <c r="L4535" i="2"/>
  <c r="K4535" i="2"/>
  <c r="L4534" i="2"/>
  <c r="K4534" i="2"/>
  <c r="L4533" i="2"/>
  <c r="K4533" i="2"/>
  <c r="L4532" i="2"/>
  <c r="K4532" i="2"/>
  <c r="L4531" i="2"/>
  <c r="K4531" i="2"/>
  <c r="L4530" i="2"/>
  <c r="K4530" i="2"/>
  <c r="L4529" i="2"/>
  <c r="K4529" i="2"/>
  <c r="L4528" i="2"/>
  <c r="K4528" i="2"/>
  <c r="L4527" i="2"/>
  <c r="K4527" i="2"/>
  <c r="L4526" i="2"/>
  <c r="K4526" i="2"/>
  <c r="L4525" i="2"/>
  <c r="K4525" i="2"/>
  <c r="L4524" i="2"/>
  <c r="K4524" i="2"/>
  <c r="L4523" i="2"/>
  <c r="K4523" i="2"/>
  <c r="L4522" i="2"/>
  <c r="K4522" i="2"/>
  <c r="L4521" i="2"/>
  <c r="K4521" i="2"/>
  <c r="L4520" i="2"/>
  <c r="K4520" i="2"/>
  <c r="L4519" i="2"/>
  <c r="K4519" i="2"/>
  <c r="L4518" i="2"/>
  <c r="K4518" i="2"/>
  <c r="L4517" i="2"/>
  <c r="K4517" i="2"/>
  <c r="L4516" i="2"/>
  <c r="K4516" i="2"/>
  <c r="L4515" i="2"/>
  <c r="K4515" i="2"/>
  <c r="L4514" i="2"/>
  <c r="K4514" i="2"/>
  <c r="L4513" i="2"/>
  <c r="K4513" i="2"/>
  <c r="L4512" i="2"/>
  <c r="K4512" i="2"/>
  <c r="L4511" i="2"/>
  <c r="K4511" i="2"/>
  <c r="L4510" i="2"/>
  <c r="K4510" i="2"/>
  <c r="L4509" i="2"/>
  <c r="K4509" i="2"/>
  <c r="L4508" i="2"/>
  <c r="K4508" i="2"/>
  <c r="L4507" i="2"/>
  <c r="K4507" i="2"/>
  <c r="L4506" i="2"/>
  <c r="K4506" i="2"/>
  <c r="L4505" i="2"/>
  <c r="K4505" i="2"/>
  <c r="L4504" i="2"/>
  <c r="K4504" i="2"/>
  <c r="L4503" i="2"/>
  <c r="K4503" i="2"/>
  <c r="L4502" i="2"/>
  <c r="K4502" i="2"/>
  <c r="L4501" i="2"/>
  <c r="K4501" i="2"/>
  <c r="L4500" i="2"/>
  <c r="K4500" i="2"/>
  <c r="L4499" i="2"/>
  <c r="K4499" i="2"/>
  <c r="L4498" i="2"/>
  <c r="K4498" i="2"/>
  <c r="L4497" i="2"/>
  <c r="K4497" i="2"/>
  <c r="L4496" i="2"/>
  <c r="K4496" i="2"/>
  <c r="L4495" i="2"/>
  <c r="K4495" i="2"/>
  <c r="L4494" i="2"/>
  <c r="K4494" i="2"/>
  <c r="L4493" i="2"/>
  <c r="K4493" i="2"/>
  <c r="L4492" i="2"/>
  <c r="K4492" i="2"/>
  <c r="L4491" i="2"/>
  <c r="K4491" i="2"/>
  <c r="L4490" i="2"/>
  <c r="K4490" i="2"/>
  <c r="L4489" i="2"/>
  <c r="K4489" i="2"/>
  <c r="L4488" i="2"/>
  <c r="K4488" i="2"/>
  <c r="L4487" i="2"/>
  <c r="K4487" i="2"/>
  <c r="L4486" i="2"/>
  <c r="K4486" i="2"/>
  <c r="L4485" i="2"/>
  <c r="K4485" i="2"/>
  <c r="L4484" i="2"/>
  <c r="K4484" i="2"/>
  <c r="L4483" i="2"/>
  <c r="K4483" i="2"/>
  <c r="L4482" i="2"/>
  <c r="K4482" i="2"/>
  <c r="L4481" i="2"/>
  <c r="K4481" i="2"/>
  <c r="L4480" i="2"/>
  <c r="K4480" i="2"/>
  <c r="L4479" i="2"/>
  <c r="K4479" i="2"/>
  <c r="L4478" i="2"/>
  <c r="K4478" i="2"/>
  <c r="L4477" i="2"/>
  <c r="K4477" i="2"/>
  <c r="L4476" i="2"/>
  <c r="K4476" i="2"/>
  <c r="L4475" i="2"/>
  <c r="K4475" i="2"/>
  <c r="L4474" i="2"/>
  <c r="K4474" i="2"/>
  <c r="L4473" i="2"/>
  <c r="K4473" i="2"/>
  <c r="L4472" i="2"/>
  <c r="K4472" i="2"/>
  <c r="L4471" i="2"/>
  <c r="K4471" i="2"/>
  <c r="L4470" i="2"/>
  <c r="K4470" i="2"/>
  <c r="L4469" i="2"/>
  <c r="K4469" i="2"/>
  <c r="L4468" i="2"/>
  <c r="K4468" i="2"/>
  <c r="L4467" i="2"/>
  <c r="K4467" i="2"/>
  <c r="L4466" i="2"/>
  <c r="K4466" i="2"/>
  <c r="L4465" i="2"/>
  <c r="K4465" i="2"/>
  <c r="L4464" i="2"/>
  <c r="K4464" i="2"/>
  <c r="L4463" i="2"/>
  <c r="K4463" i="2"/>
  <c r="L4462" i="2"/>
  <c r="K4462" i="2"/>
  <c r="L4461" i="2"/>
  <c r="K4461" i="2"/>
  <c r="L4460" i="2"/>
  <c r="K4460" i="2"/>
  <c r="L4459" i="2"/>
  <c r="K4459" i="2"/>
  <c r="L4458" i="2"/>
  <c r="K4458" i="2"/>
  <c r="L4457" i="2"/>
  <c r="K4457" i="2"/>
  <c r="L4456" i="2"/>
  <c r="K4456" i="2"/>
  <c r="L4455" i="2"/>
  <c r="K4455" i="2"/>
  <c r="L4454" i="2"/>
  <c r="K4454" i="2"/>
  <c r="L4453" i="2"/>
  <c r="K4453" i="2"/>
  <c r="L4452" i="2"/>
  <c r="K4452" i="2"/>
  <c r="L4451" i="2"/>
  <c r="K4451" i="2"/>
  <c r="L4450" i="2"/>
  <c r="K4450" i="2"/>
  <c r="L4449" i="2"/>
  <c r="K4449" i="2"/>
  <c r="L4448" i="2"/>
  <c r="K4448" i="2"/>
  <c r="L4447" i="2"/>
  <c r="K4447" i="2"/>
  <c r="L4446" i="2"/>
  <c r="K4446" i="2"/>
  <c r="L4445" i="2"/>
  <c r="K4445" i="2"/>
  <c r="L4444" i="2"/>
  <c r="K4444" i="2"/>
  <c r="L4443" i="2"/>
  <c r="K4443" i="2"/>
  <c r="L4442" i="2"/>
  <c r="K4442" i="2"/>
  <c r="L4441" i="2"/>
  <c r="K4441" i="2"/>
  <c r="L4440" i="2"/>
  <c r="K4440" i="2"/>
  <c r="L4439" i="2"/>
  <c r="K4439" i="2"/>
  <c r="L4438" i="2"/>
  <c r="K4438" i="2"/>
  <c r="L4437" i="2"/>
  <c r="K4437" i="2"/>
  <c r="L4436" i="2"/>
  <c r="K4436" i="2"/>
  <c r="L4435" i="2"/>
  <c r="K4435" i="2"/>
  <c r="L4434" i="2"/>
  <c r="K4434" i="2"/>
  <c r="L4433" i="2"/>
  <c r="K4433" i="2"/>
  <c r="L4432" i="2"/>
  <c r="K4432" i="2"/>
  <c r="L4431" i="2"/>
  <c r="K4431" i="2"/>
  <c r="L4430" i="2"/>
  <c r="K4430" i="2"/>
  <c r="L4429" i="2"/>
  <c r="K4429" i="2"/>
  <c r="L4428" i="2"/>
  <c r="K4428" i="2"/>
  <c r="L4427" i="2"/>
  <c r="K4427" i="2"/>
  <c r="L4426" i="2"/>
  <c r="K4426" i="2"/>
  <c r="L4425" i="2"/>
  <c r="K4425" i="2"/>
  <c r="L4424" i="2"/>
  <c r="K4424" i="2"/>
  <c r="L4423" i="2"/>
  <c r="K4423" i="2"/>
  <c r="L4422" i="2"/>
  <c r="K4422" i="2"/>
  <c r="L4421" i="2"/>
  <c r="K4421" i="2"/>
  <c r="L4420" i="2"/>
  <c r="K4420" i="2"/>
  <c r="L4419" i="2"/>
  <c r="K4419" i="2"/>
  <c r="L4418" i="2"/>
  <c r="K4418" i="2"/>
  <c r="L4417" i="2"/>
  <c r="K4417" i="2"/>
  <c r="L4416" i="2"/>
  <c r="K4416" i="2"/>
  <c r="L4415" i="2"/>
  <c r="K4415" i="2"/>
  <c r="L4414" i="2"/>
  <c r="K4414" i="2"/>
  <c r="L4413" i="2"/>
  <c r="K4413" i="2"/>
  <c r="L4412" i="2"/>
  <c r="K4412" i="2"/>
  <c r="L4411" i="2"/>
  <c r="K4411" i="2"/>
  <c r="L4410" i="2"/>
  <c r="K4410" i="2"/>
  <c r="L4409" i="2"/>
  <c r="K4409" i="2"/>
  <c r="L4408" i="2"/>
  <c r="K4408" i="2"/>
  <c r="L4407" i="2"/>
  <c r="K4407" i="2"/>
  <c r="L4406" i="2"/>
  <c r="K4406" i="2"/>
  <c r="L4405" i="2"/>
  <c r="K4405" i="2"/>
  <c r="L4404" i="2"/>
  <c r="K4404" i="2"/>
  <c r="L4403" i="2"/>
  <c r="K4403" i="2"/>
  <c r="L4402" i="2"/>
  <c r="K4402" i="2"/>
  <c r="L4401" i="2"/>
  <c r="K4401" i="2"/>
  <c r="L4400" i="2"/>
  <c r="K4400" i="2"/>
  <c r="L4399" i="2"/>
  <c r="K4399" i="2"/>
  <c r="L4398" i="2"/>
  <c r="K4398" i="2"/>
  <c r="L4397" i="2"/>
  <c r="K4397" i="2"/>
  <c r="L4396" i="2"/>
  <c r="K4396" i="2"/>
  <c r="L4395" i="2"/>
  <c r="K4395" i="2"/>
  <c r="L4394" i="2"/>
  <c r="K4394" i="2"/>
  <c r="L4393" i="2"/>
  <c r="K4393" i="2"/>
  <c r="L4392" i="2"/>
  <c r="K4392" i="2"/>
  <c r="L4391" i="2"/>
  <c r="K4391" i="2"/>
  <c r="L4390" i="2"/>
  <c r="K4390" i="2"/>
  <c r="L4389" i="2"/>
  <c r="K4389" i="2"/>
  <c r="L4388" i="2"/>
  <c r="K4388" i="2"/>
  <c r="L4387" i="2"/>
  <c r="K4387" i="2"/>
  <c r="L4386" i="2"/>
  <c r="K4386" i="2"/>
  <c r="L4385" i="2"/>
  <c r="K4385" i="2"/>
  <c r="L4384" i="2"/>
  <c r="K4384" i="2"/>
  <c r="L4383" i="2"/>
  <c r="K4383" i="2"/>
  <c r="L4382" i="2"/>
  <c r="K4382" i="2"/>
  <c r="L4381" i="2"/>
  <c r="K4381" i="2"/>
  <c r="L4380" i="2"/>
  <c r="K4380" i="2"/>
  <c r="L4379" i="2"/>
  <c r="K4379" i="2"/>
  <c r="L4378" i="2"/>
  <c r="K4378" i="2"/>
  <c r="L4377" i="2"/>
  <c r="K4377" i="2"/>
  <c r="L4376" i="2"/>
  <c r="K4376" i="2"/>
  <c r="L4375" i="2"/>
  <c r="K4375" i="2"/>
  <c r="L4374" i="2"/>
  <c r="K4374" i="2"/>
  <c r="L4373" i="2"/>
  <c r="K4373" i="2"/>
  <c r="L4372" i="2"/>
  <c r="K4372" i="2"/>
  <c r="L4371" i="2"/>
  <c r="K4371" i="2"/>
  <c r="L4370" i="2"/>
  <c r="K4370" i="2"/>
  <c r="L4369" i="2"/>
  <c r="K4369" i="2"/>
  <c r="L4368" i="2"/>
  <c r="K4368" i="2"/>
  <c r="L4367" i="2"/>
  <c r="K4367" i="2"/>
  <c r="L4366" i="2"/>
  <c r="K4366" i="2"/>
  <c r="L4365" i="2"/>
  <c r="K4365" i="2"/>
  <c r="L4364" i="2"/>
  <c r="K4364" i="2"/>
  <c r="L4363" i="2"/>
  <c r="K4363" i="2"/>
  <c r="L4362" i="2"/>
  <c r="K4362" i="2"/>
  <c r="L4361" i="2"/>
  <c r="K4361" i="2"/>
  <c r="L4360" i="2"/>
  <c r="K4360" i="2"/>
  <c r="L4359" i="2"/>
  <c r="K4359" i="2"/>
  <c r="L4358" i="2"/>
  <c r="K4358" i="2"/>
  <c r="L4357" i="2"/>
  <c r="K4357" i="2"/>
  <c r="L4356" i="2"/>
  <c r="K4356" i="2"/>
  <c r="L4355" i="2"/>
  <c r="K4355" i="2"/>
  <c r="L4354" i="2"/>
  <c r="K4354" i="2"/>
  <c r="L4353" i="2"/>
  <c r="K4353" i="2"/>
  <c r="L4352" i="2"/>
  <c r="K4352" i="2"/>
  <c r="L4351" i="2"/>
  <c r="K4351" i="2"/>
  <c r="L4350" i="2"/>
  <c r="K4350" i="2"/>
  <c r="L4349" i="2"/>
  <c r="K4349" i="2"/>
  <c r="L4348" i="2"/>
  <c r="K4348" i="2"/>
  <c r="L4347" i="2"/>
  <c r="K4347" i="2"/>
  <c r="L4346" i="2"/>
  <c r="K4346" i="2"/>
  <c r="L4345" i="2"/>
  <c r="K4345" i="2"/>
  <c r="L4344" i="2"/>
  <c r="K4344" i="2"/>
  <c r="L4343" i="2"/>
  <c r="K4343" i="2"/>
  <c r="L4342" i="2"/>
  <c r="K4342" i="2"/>
  <c r="L4341" i="2"/>
  <c r="K4341" i="2"/>
  <c r="L4340" i="2"/>
  <c r="K4340" i="2"/>
  <c r="L4339" i="2"/>
  <c r="K4339" i="2"/>
  <c r="L4338" i="2"/>
  <c r="K4338" i="2"/>
  <c r="L4337" i="2"/>
  <c r="K4337" i="2"/>
  <c r="L4336" i="2"/>
  <c r="K4336" i="2"/>
  <c r="L4335" i="2"/>
  <c r="K4335" i="2"/>
  <c r="L4334" i="2"/>
  <c r="K4334" i="2"/>
  <c r="L4333" i="2"/>
  <c r="K4333" i="2"/>
  <c r="L4332" i="2"/>
  <c r="K4332" i="2"/>
  <c r="L4331" i="2"/>
  <c r="K4331" i="2"/>
  <c r="L4330" i="2"/>
  <c r="K4330" i="2"/>
  <c r="L4329" i="2"/>
  <c r="K4329" i="2"/>
  <c r="L4328" i="2"/>
  <c r="K4328" i="2"/>
  <c r="L4327" i="2"/>
  <c r="K4327" i="2"/>
  <c r="L4326" i="2"/>
  <c r="K4326" i="2"/>
  <c r="L4325" i="2"/>
  <c r="K4325" i="2"/>
  <c r="L4324" i="2"/>
  <c r="K4324" i="2"/>
  <c r="L4323" i="2"/>
  <c r="K4323" i="2"/>
  <c r="L4322" i="2"/>
  <c r="K4322" i="2"/>
  <c r="L4321" i="2"/>
  <c r="K4321" i="2"/>
  <c r="L4320" i="2"/>
  <c r="K4320" i="2"/>
  <c r="L4319" i="2"/>
  <c r="K4319" i="2"/>
  <c r="L4318" i="2"/>
  <c r="K4318" i="2"/>
  <c r="L4317" i="2"/>
  <c r="K4317" i="2"/>
  <c r="L4316" i="2"/>
  <c r="K4316" i="2"/>
  <c r="L4315" i="2"/>
  <c r="K4315" i="2"/>
  <c r="L4314" i="2"/>
  <c r="K4314" i="2"/>
  <c r="L4313" i="2"/>
  <c r="K4313" i="2"/>
  <c r="L4312" i="2"/>
  <c r="K4312" i="2"/>
  <c r="L4311" i="2"/>
  <c r="K4311" i="2"/>
  <c r="L4310" i="2"/>
  <c r="K4310" i="2"/>
  <c r="L4309" i="2"/>
  <c r="K4309" i="2"/>
  <c r="L4308" i="2"/>
  <c r="K4308" i="2"/>
  <c r="L4307" i="2"/>
  <c r="K4307" i="2"/>
  <c r="L4306" i="2"/>
  <c r="K4306" i="2"/>
  <c r="L4305" i="2"/>
  <c r="K4305" i="2"/>
  <c r="L4304" i="2"/>
  <c r="K4304" i="2"/>
  <c r="L4303" i="2"/>
  <c r="K4303" i="2"/>
  <c r="L4302" i="2"/>
  <c r="K4302" i="2"/>
  <c r="L4301" i="2"/>
  <c r="K4301" i="2"/>
  <c r="L4300" i="2"/>
  <c r="K4300" i="2"/>
  <c r="L4299" i="2"/>
  <c r="K4299" i="2"/>
  <c r="L4298" i="2"/>
  <c r="K4298" i="2"/>
  <c r="L4297" i="2"/>
  <c r="K4297" i="2"/>
  <c r="L4296" i="2"/>
  <c r="K4296" i="2"/>
  <c r="L4295" i="2"/>
  <c r="K4295" i="2"/>
  <c r="L4294" i="2"/>
  <c r="K4294" i="2"/>
  <c r="L4293" i="2"/>
  <c r="K4293" i="2"/>
  <c r="L4292" i="2"/>
  <c r="K4292" i="2"/>
  <c r="L4291" i="2"/>
  <c r="K4291" i="2"/>
  <c r="L4290" i="2"/>
  <c r="K4290" i="2"/>
  <c r="L4289" i="2"/>
  <c r="K4289" i="2"/>
  <c r="L4288" i="2"/>
  <c r="K4288" i="2"/>
  <c r="L4287" i="2"/>
  <c r="K4287" i="2"/>
  <c r="L4286" i="2"/>
  <c r="K4286" i="2"/>
  <c r="L4285" i="2"/>
  <c r="K4285" i="2"/>
  <c r="L4284" i="2"/>
  <c r="K4284" i="2"/>
  <c r="L4283" i="2"/>
  <c r="K4283" i="2"/>
  <c r="L4282" i="2"/>
  <c r="K4282" i="2"/>
  <c r="L4281" i="2"/>
  <c r="K4281" i="2"/>
  <c r="L4280" i="2"/>
  <c r="K4280" i="2"/>
  <c r="L4279" i="2"/>
  <c r="K4279" i="2"/>
  <c r="L4278" i="2"/>
  <c r="K4278" i="2"/>
  <c r="L4277" i="2"/>
  <c r="K4277" i="2"/>
  <c r="L4276" i="2"/>
  <c r="K4276" i="2"/>
  <c r="L4275" i="2"/>
  <c r="K4275" i="2"/>
  <c r="L4274" i="2"/>
  <c r="K4274" i="2"/>
  <c r="L4273" i="2"/>
  <c r="K4273" i="2"/>
  <c r="L4272" i="2"/>
  <c r="K4272" i="2"/>
  <c r="L4271" i="2"/>
  <c r="K4271" i="2"/>
  <c r="L4270" i="2"/>
  <c r="K4270" i="2"/>
  <c r="L4269" i="2"/>
  <c r="K4269" i="2"/>
  <c r="L4268" i="2"/>
  <c r="K4268" i="2"/>
  <c r="L4267" i="2"/>
  <c r="K4267" i="2"/>
  <c r="L4266" i="2"/>
  <c r="K4266" i="2"/>
  <c r="L4265" i="2"/>
  <c r="K4265" i="2"/>
  <c r="L4264" i="2"/>
  <c r="K4264" i="2"/>
  <c r="L4263" i="2"/>
  <c r="K4263" i="2"/>
  <c r="L4262" i="2"/>
  <c r="K4262" i="2"/>
  <c r="L4261" i="2"/>
  <c r="K4261" i="2"/>
  <c r="L4260" i="2"/>
  <c r="K4260" i="2"/>
  <c r="L4259" i="2"/>
  <c r="K4259" i="2"/>
  <c r="L4258" i="2"/>
  <c r="K4258" i="2"/>
  <c r="L4257" i="2"/>
  <c r="K4257" i="2"/>
  <c r="L4256" i="2"/>
  <c r="K4256" i="2"/>
  <c r="L4255" i="2"/>
  <c r="K4255" i="2"/>
  <c r="L4254" i="2"/>
  <c r="K4254" i="2"/>
  <c r="L4253" i="2"/>
  <c r="K4253" i="2"/>
  <c r="L4252" i="2"/>
  <c r="K4252" i="2"/>
  <c r="L4251" i="2"/>
  <c r="K4251" i="2"/>
  <c r="L4250" i="2"/>
  <c r="K4250" i="2"/>
  <c r="L4249" i="2"/>
  <c r="K4249" i="2"/>
  <c r="L4248" i="2"/>
  <c r="K4248" i="2"/>
  <c r="L4247" i="2"/>
  <c r="K4247" i="2"/>
  <c r="L4246" i="2"/>
  <c r="K4246" i="2"/>
  <c r="L4245" i="2"/>
  <c r="K4245" i="2"/>
  <c r="L4244" i="2"/>
  <c r="K4244" i="2"/>
  <c r="L4243" i="2"/>
  <c r="K4243" i="2"/>
  <c r="L4242" i="2"/>
  <c r="K4242" i="2"/>
  <c r="L4241" i="2"/>
  <c r="K4241" i="2"/>
  <c r="L4240" i="2"/>
  <c r="K4240" i="2"/>
  <c r="L4239" i="2"/>
  <c r="K4239" i="2"/>
  <c r="L4238" i="2"/>
  <c r="K4238" i="2"/>
  <c r="L4237" i="2"/>
  <c r="K4237" i="2"/>
  <c r="L4236" i="2"/>
  <c r="K4236" i="2"/>
  <c r="L4235" i="2"/>
  <c r="K4235" i="2"/>
  <c r="L4234" i="2"/>
  <c r="K4234" i="2"/>
  <c r="L4233" i="2"/>
  <c r="K4233" i="2"/>
  <c r="L4232" i="2"/>
  <c r="K4232" i="2"/>
  <c r="L4231" i="2"/>
  <c r="K4231" i="2"/>
  <c r="L4230" i="2"/>
  <c r="K4230" i="2"/>
  <c r="L4229" i="2"/>
  <c r="K4229" i="2"/>
  <c r="L4228" i="2"/>
  <c r="K4228" i="2"/>
  <c r="L4227" i="2"/>
  <c r="K4227" i="2"/>
  <c r="L4226" i="2"/>
  <c r="K4226" i="2"/>
  <c r="L4225" i="2"/>
  <c r="K4225" i="2"/>
  <c r="L4224" i="2"/>
  <c r="K4224" i="2"/>
  <c r="L4223" i="2"/>
  <c r="K4223" i="2"/>
  <c r="L4222" i="2"/>
  <c r="K4222" i="2"/>
  <c r="L4221" i="2"/>
  <c r="K4221" i="2"/>
  <c r="L4220" i="2"/>
  <c r="K4220" i="2"/>
  <c r="L4219" i="2"/>
  <c r="K4219" i="2"/>
  <c r="L4218" i="2"/>
  <c r="K4218" i="2"/>
  <c r="L4217" i="2"/>
  <c r="K4217" i="2"/>
  <c r="L4216" i="2"/>
  <c r="K4216" i="2"/>
  <c r="L4215" i="2"/>
  <c r="K4215" i="2"/>
  <c r="L4214" i="2"/>
  <c r="K4214" i="2"/>
  <c r="L4213" i="2"/>
  <c r="K4213" i="2"/>
  <c r="L4212" i="2"/>
  <c r="K4212" i="2"/>
  <c r="L4211" i="2"/>
  <c r="K4211" i="2"/>
  <c r="L4210" i="2"/>
  <c r="K4210" i="2"/>
  <c r="L4209" i="2"/>
  <c r="K4209" i="2"/>
  <c r="L4208" i="2"/>
  <c r="K4208" i="2"/>
  <c r="L4207" i="2"/>
  <c r="K4207" i="2"/>
  <c r="L4206" i="2"/>
  <c r="K4206" i="2"/>
  <c r="L4205" i="2"/>
  <c r="K4205" i="2"/>
  <c r="L4204" i="2"/>
  <c r="K4204" i="2"/>
  <c r="L4203" i="2"/>
  <c r="K4203" i="2"/>
  <c r="L4202" i="2"/>
  <c r="K4202" i="2"/>
  <c r="L4201" i="2"/>
  <c r="K4201" i="2"/>
  <c r="L4200" i="2"/>
  <c r="K4200" i="2"/>
  <c r="L4199" i="2"/>
  <c r="K4199" i="2"/>
  <c r="L4198" i="2"/>
  <c r="K4198" i="2"/>
  <c r="L4197" i="2"/>
  <c r="K4197" i="2"/>
  <c r="L4196" i="2"/>
  <c r="K4196" i="2"/>
  <c r="L4195" i="2"/>
  <c r="K4195" i="2"/>
  <c r="L4194" i="2"/>
  <c r="K4194" i="2"/>
  <c r="L4193" i="2"/>
  <c r="K4193" i="2"/>
  <c r="L4192" i="2"/>
  <c r="K4192" i="2"/>
  <c r="L4191" i="2"/>
  <c r="K4191" i="2"/>
  <c r="L4190" i="2"/>
  <c r="K4190" i="2"/>
  <c r="L4189" i="2"/>
  <c r="K4189" i="2"/>
  <c r="L4188" i="2"/>
  <c r="K4188" i="2"/>
  <c r="L4187" i="2"/>
  <c r="K4187" i="2"/>
  <c r="L4186" i="2"/>
  <c r="K4186" i="2"/>
  <c r="L4185" i="2"/>
  <c r="K4185" i="2"/>
  <c r="L4184" i="2"/>
  <c r="K4184" i="2"/>
  <c r="L4183" i="2"/>
  <c r="K4183" i="2"/>
  <c r="L4182" i="2"/>
  <c r="K4182" i="2"/>
  <c r="L4181" i="2"/>
  <c r="K4181" i="2"/>
  <c r="L4180" i="2"/>
  <c r="K4180" i="2"/>
  <c r="L4179" i="2"/>
  <c r="K4179" i="2"/>
  <c r="L4178" i="2"/>
  <c r="K4178" i="2"/>
  <c r="L4177" i="2"/>
  <c r="K4177" i="2"/>
  <c r="L4176" i="2"/>
  <c r="K4176" i="2"/>
  <c r="L4175" i="2"/>
  <c r="K4175" i="2"/>
  <c r="L4174" i="2"/>
  <c r="K4174" i="2"/>
  <c r="L4173" i="2"/>
  <c r="K4173" i="2"/>
  <c r="L4172" i="2"/>
  <c r="K4172" i="2"/>
  <c r="L4171" i="2"/>
  <c r="K4171" i="2"/>
  <c r="L4170" i="2"/>
  <c r="K4170" i="2"/>
  <c r="L4169" i="2"/>
  <c r="K4169" i="2"/>
  <c r="L4168" i="2"/>
  <c r="K4168" i="2"/>
  <c r="L4167" i="2"/>
  <c r="K4167" i="2"/>
  <c r="L4166" i="2"/>
  <c r="K4166" i="2"/>
  <c r="L4165" i="2"/>
  <c r="K4165" i="2"/>
  <c r="L4164" i="2"/>
  <c r="K4164" i="2"/>
  <c r="L4163" i="2"/>
  <c r="K4163" i="2"/>
  <c r="L4162" i="2"/>
  <c r="K4162" i="2"/>
  <c r="L4161" i="2"/>
  <c r="K4161" i="2"/>
  <c r="L4160" i="2"/>
  <c r="K4160" i="2"/>
  <c r="L4159" i="2"/>
  <c r="K4159" i="2"/>
  <c r="L4158" i="2"/>
  <c r="K4158" i="2"/>
  <c r="L4157" i="2"/>
  <c r="K4157" i="2"/>
  <c r="L4156" i="2"/>
  <c r="K4156" i="2"/>
  <c r="L4155" i="2"/>
  <c r="K4155" i="2"/>
  <c r="L4154" i="2"/>
  <c r="K4154" i="2"/>
  <c r="L4153" i="2"/>
  <c r="K4153" i="2"/>
  <c r="L4152" i="2"/>
  <c r="K4152" i="2"/>
  <c r="L4151" i="2"/>
  <c r="K4151" i="2"/>
  <c r="L4150" i="2"/>
  <c r="K4150" i="2"/>
  <c r="L4149" i="2"/>
  <c r="K4149" i="2"/>
  <c r="L4148" i="2"/>
  <c r="K4148" i="2"/>
  <c r="L4147" i="2"/>
  <c r="K4147" i="2"/>
  <c r="L4146" i="2"/>
  <c r="K4146" i="2"/>
  <c r="L4145" i="2"/>
  <c r="K4145" i="2"/>
  <c r="L4144" i="2"/>
  <c r="K4144" i="2"/>
  <c r="L4143" i="2"/>
  <c r="K4143" i="2"/>
  <c r="L4142" i="2"/>
  <c r="K4142" i="2"/>
  <c r="L4141" i="2"/>
  <c r="K4141" i="2"/>
  <c r="L4140" i="2"/>
  <c r="K4140" i="2"/>
  <c r="L4139" i="2"/>
  <c r="K4139" i="2"/>
  <c r="L4138" i="2"/>
  <c r="K4138" i="2"/>
  <c r="L4137" i="2"/>
  <c r="K4137" i="2"/>
  <c r="L4136" i="2"/>
  <c r="K4136" i="2"/>
  <c r="L4135" i="2"/>
  <c r="K4135" i="2"/>
  <c r="L4134" i="2"/>
  <c r="K4134" i="2"/>
  <c r="L4133" i="2"/>
  <c r="K4133" i="2"/>
  <c r="L4132" i="2"/>
  <c r="K4132" i="2"/>
  <c r="L4131" i="2"/>
  <c r="K4131" i="2"/>
  <c r="L4130" i="2"/>
  <c r="K4130" i="2"/>
  <c r="L4129" i="2"/>
  <c r="K4129" i="2"/>
  <c r="L4128" i="2"/>
  <c r="K4128" i="2"/>
  <c r="L4127" i="2"/>
  <c r="K4127" i="2"/>
  <c r="L4126" i="2"/>
  <c r="K4126" i="2"/>
  <c r="L4125" i="2"/>
  <c r="K4125" i="2"/>
  <c r="L4124" i="2"/>
  <c r="K4124" i="2"/>
  <c r="L4123" i="2"/>
  <c r="K4123" i="2"/>
  <c r="L4122" i="2"/>
  <c r="K4122" i="2"/>
  <c r="L4121" i="2"/>
  <c r="K4121" i="2"/>
  <c r="L4120" i="2"/>
  <c r="K4120" i="2"/>
  <c r="L4119" i="2"/>
  <c r="K4119" i="2"/>
  <c r="L4118" i="2"/>
  <c r="K4118" i="2"/>
  <c r="L4117" i="2"/>
  <c r="K4117" i="2"/>
  <c r="L4116" i="2"/>
  <c r="K4116" i="2"/>
  <c r="L4115" i="2"/>
  <c r="K4115" i="2"/>
  <c r="L4114" i="2"/>
  <c r="K4114" i="2"/>
  <c r="L4113" i="2"/>
  <c r="K4113" i="2"/>
  <c r="L4112" i="2"/>
  <c r="K4112" i="2"/>
  <c r="L4111" i="2"/>
  <c r="K4111" i="2"/>
  <c r="L4110" i="2"/>
  <c r="K4110" i="2"/>
  <c r="L4109" i="2"/>
  <c r="K4109" i="2"/>
  <c r="L4108" i="2"/>
  <c r="K4108" i="2"/>
  <c r="L4107" i="2"/>
  <c r="K4107" i="2"/>
  <c r="L4106" i="2"/>
  <c r="K4106" i="2"/>
  <c r="L4105" i="2"/>
  <c r="K4105" i="2"/>
  <c r="L4104" i="2"/>
  <c r="K4104" i="2"/>
  <c r="L4103" i="2"/>
  <c r="K4103" i="2"/>
  <c r="L4102" i="2"/>
  <c r="K4102" i="2"/>
  <c r="L4101" i="2"/>
  <c r="K4101" i="2"/>
  <c r="L4100" i="2"/>
  <c r="K4100" i="2"/>
  <c r="L4099" i="2"/>
  <c r="K4099" i="2"/>
  <c r="L4098" i="2"/>
  <c r="K4098" i="2"/>
  <c r="L4097" i="2"/>
  <c r="K4097" i="2"/>
  <c r="L4096" i="2"/>
  <c r="K4096" i="2"/>
  <c r="L4095" i="2"/>
  <c r="K4095" i="2"/>
  <c r="L4094" i="2"/>
  <c r="K4094" i="2"/>
  <c r="L4093" i="2"/>
  <c r="K4093" i="2"/>
  <c r="L4092" i="2"/>
  <c r="K4092" i="2"/>
  <c r="L4091" i="2"/>
  <c r="K4091" i="2"/>
  <c r="L4090" i="2"/>
  <c r="K4090" i="2"/>
  <c r="L4089" i="2"/>
  <c r="K4089" i="2"/>
  <c r="L4088" i="2"/>
  <c r="K4088" i="2"/>
  <c r="L4087" i="2"/>
  <c r="K4087" i="2"/>
  <c r="L4086" i="2"/>
  <c r="K4086" i="2"/>
  <c r="L4085" i="2"/>
  <c r="K4085" i="2"/>
  <c r="L4084" i="2"/>
  <c r="K4084" i="2"/>
  <c r="L4083" i="2"/>
  <c r="K4083" i="2"/>
  <c r="L4082" i="2"/>
  <c r="K4082" i="2"/>
  <c r="L4081" i="2"/>
  <c r="K4081" i="2"/>
  <c r="L4080" i="2"/>
  <c r="K4080" i="2"/>
  <c r="L4079" i="2"/>
  <c r="K4079" i="2"/>
  <c r="L4078" i="2"/>
  <c r="K4078" i="2"/>
  <c r="L4077" i="2"/>
  <c r="K4077" i="2"/>
  <c r="L4076" i="2"/>
  <c r="K4076" i="2"/>
  <c r="L4075" i="2"/>
  <c r="K4075" i="2"/>
  <c r="L4074" i="2"/>
  <c r="K4074" i="2"/>
  <c r="L4073" i="2"/>
  <c r="K4073" i="2"/>
  <c r="L4072" i="2"/>
  <c r="K4072" i="2"/>
  <c r="L4071" i="2"/>
  <c r="K4071" i="2"/>
  <c r="L4070" i="2"/>
  <c r="K4070" i="2"/>
  <c r="L4069" i="2"/>
  <c r="K4069" i="2"/>
  <c r="L4068" i="2"/>
  <c r="K4068" i="2"/>
  <c r="L4067" i="2"/>
  <c r="K4067" i="2"/>
  <c r="L4066" i="2"/>
  <c r="K4066" i="2"/>
  <c r="L4065" i="2"/>
  <c r="K4065" i="2"/>
  <c r="L4064" i="2"/>
  <c r="K4064" i="2"/>
  <c r="L4063" i="2"/>
  <c r="K4063" i="2"/>
  <c r="L4062" i="2"/>
  <c r="K4062" i="2"/>
  <c r="L4061" i="2"/>
  <c r="K4061" i="2"/>
  <c r="L4060" i="2"/>
  <c r="K4060" i="2"/>
  <c r="L4059" i="2"/>
  <c r="K4059" i="2"/>
  <c r="L4058" i="2"/>
  <c r="K4058" i="2"/>
  <c r="L4057" i="2"/>
  <c r="K4057" i="2"/>
  <c r="L4056" i="2"/>
  <c r="K4056" i="2"/>
  <c r="L4055" i="2"/>
  <c r="K4055" i="2"/>
  <c r="L4054" i="2"/>
  <c r="K4054" i="2"/>
  <c r="L4053" i="2"/>
  <c r="K4053" i="2"/>
  <c r="L4052" i="2"/>
  <c r="K4052" i="2"/>
  <c r="L4051" i="2"/>
  <c r="K4051" i="2"/>
  <c r="L4050" i="2"/>
  <c r="K4050" i="2"/>
  <c r="L4049" i="2"/>
  <c r="K4049" i="2"/>
  <c r="L4048" i="2"/>
  <c r="K4048" i="2"/>
  <c r="L4047" i="2"/>
  <c r="K4047" i="2"/>
  <c r="L4046" i="2"/>
  <c r="K4046" i="2"/>
  <c r="L4045" i="2"/>
  <c r="K4045" i="2"/>
  <c r="L4044" i="2"/>
  <c r="K4044" i="2"/>
  <c r="L4043" i="2"/>
  <c r="K4043" i="2"/>
  <c r="L4042" i="2"/>
  <c r="K4042" i="2"/>
  <c r="L4041" i="2"/>
  <c r="K4041" i="2"/>
  <c r="L4040" i="2"/>
  <c r="K4040" i="2"/>
  <c r="L4039" i="2"/>
  <c r="K4039" i="2"/>
  <c r="L4038" i="2"/>
  <c r="K4038" i="2"/>
  <c r="L4037" i="2"/>
  <c r="K4037" i="2"/>
  <c r="L4036" i="2"/>
  <c r="K4036" i="2"/>
  <c r="L4035" i="2"/>
  <c r="K4035" i="2"/>
  <c r="L4034" i="2"/>
  <c r="K4034" i="2"/>
  <c r="L4033" i="2"/>
  <c r="K4033" i="2"/>
  <c r="L4032" i="2"/>
  <c r="K4032" i="2"/>
  <c r="L4031" i="2"/>
  <c r="K4031" i="2"/>
  <c r="L4030" i="2"/>
  <c r="K4030" i="2"/>
  <c r="L4029" i="2"/>
  <c r="K4029" i="2"/>
  <c r="L4028" i="2"/>
  <c r="K4028" i="2"/>
  <c r="L4027" i="2"/>
  <c r="K4027" i="2"/>
  <c r="L4026" i="2"/>
  <c r="K4026" i="2"/>
  <c r="L4025" i="2"/>
  <c r="K4025" i="2"/>
  <c r="L4024" i="2"/>
  <c r="K4024" i="2"/>
  <c r="L4023" i="2"/>
  <c r="K4023" i="2"/>
  <c r="L4022" i="2"/>
  <c r="K4022" i="2"/>
  <c r="L4021" i="2"/>
  <c r="K4021" i="2"/>
  <c r="L4020" i="2"/>
  <c r="K4020" i="2"/>
  <c r="L4019" i="2"/>
  <c r="K4019" i="2"/>
  <c r="L4018" i="2"/>
  <c r="K4018" i="2"/>
  <c r="L4017" i="2"/>
  <c r="K4017" i="2"/>
  <c r="L4016" i="2"/>
  <c r="K4016" i="2"/>
  <c r="L4015" i="2"/>
  <c r="K4015" i="2"/>
  <c r="L4014" i="2"/>
  <c r="K4014" i="2"/>
  <c r="L4013" i="2"/>
  <c r="K4013" i="2"/>
  <c r="L4012" i="2"/>
  <c r="K4012" i="2"/>
  <c r="L4011" i="2"/>
  <c r="K4011" i="2"/>
  <c r="L4010" i="2"/>
  <c r="K4010" i="2"/>
  <c r="L4009" i="2"/>
  <c r="K4009" i="2"/>
  <c r="L4008" i="2"/>
  <c r="K4008" i="2"/>
  <c r="L4007" i="2"/>
  <c r="K4007" i="2"/>
  <c r="L4006" i="2"/>
  <c r="K4006" i="2"/>
  <c r="L4005" i="2"/>
  <c r="K4005" i="2"/>
  <c r="L4004" i="2"/>
  <c r="K4004" i="2"/>
  <c r="L4003" i="2"/>
  <c r="K4003" i="2"/>
  <c r="L4002" i="2"/>
  <c r="K4002" i="2"/>
  <c r="L4001" i="2"/>
  <c r="K4001" i="2"/>
  <c r="L4000" i="2"/>
  <c r="K4000" i="2"/>
  <c r="L3999" i="2"/>
  <c r="K3999" i="2"/>
  <c r="L3998" i="2"/>
  <c r="K3998" i="2"/>
  <c r="L3997" i="2"/>
  <c r="K3997" i="2"/>
  <c r="L3996" i="2"/>
  <c r="K3996" i="2"/>
  <c r="L3995" i="2"/>
  <c r="K3995" i="2"/>
  <c r="L3994" i="2"/>
  <c r="K3994" i="2"/>
  <c r="L3993" i="2"/>
  <c r="K3993" i="2"/>
  <c r="L3992" i="2"/>
  <c r="K3992" i="2"/>
  <c r="L3991" i="2"/>
  <c r="K3991" i="2"/>
  <c r="L3990" i="2"/>
  <c r="K3990" i="2"/>
  <c r="L3989" i="2"/>
  <c r="K3989" i="2"/>
  <c r="L3988" i="2"/>
  <c r="K3988" i="2"/>
  <c r="L3987" i="2"/>
  <c r="K3987" i="2"/>
  <c r="L3986" i="2"/>
  <c r="K3986" i="2"/>
  <c r="L3985" i="2"/>
  <c r="K3985" i="2"/>
  <c r="L3984" i="2"/>
  <c r="K3984" i="2"/>
  <c r="L3983" i="2"/>
  <c r="K3983" i="2"/>
  <c r="L3982" i="2"/>
  <c r="K3982" i="2"/>
  <c r="L3981" i="2"/>
  <c r="K3981" i="2"/>
  <c r="L3980" i="2"/>
  <c r="K3980" i="2"/>
  <c r="L3979" i="2"/>
  <c r="K3979" i="2"/>
  <c r="L3978" i="2"/>
  <c r="K3978" i="2"/>
  <c r="L3977" i="2"/>
  <c r="K3977" i="2"/>
  <c r="L3976" i="2"/>
  <c r="K3976" i="2"/>
  <c r="L3975" i="2"/>
  <c r="K3975" i="2"/>
  <c r="L3974" i="2"/>
  <c r="K3974" i="2"/>
  <c r="L3973" i="2"/>
  <c r="K3973" i="2"/>
  <c r="L3972" i="2"/>
  <c r="K3972" i="2"/>
  <c r="L3971" i="2"/>
  <c r="K3971" i="2"/>
  <c r="L3970" i="2"/>
  <c r="K3970" i="2"/>
  <c r="L3969" i="2"/>
  <c r="K3969" i="2"/>
  <c r="L3968" i="2"/>
  <c r="K3968" i="2"/>
  <c r="L3967" i="2"/>
  <c r="K3967" i="2"/>
  <c r="L3966" i="2"/>
  <c r="K3966" i="2"/>
  <c r="L3965" i="2"/>
  <c r="K3965" i="2"/>
  <c r="L3964" i="2"/>
  <c r="K3964" i="2"/>
  <c r="L3963" i="2"/>
  <c r="K3963" i="2"/>
  <c r="L3962" i="2"/>
  <c r="K3962" i="2"/>
  <c r="L3961" i="2"/>
  <c r="K3961" i="2"/>
  <c r="L3960" i="2"/>
  <c r="K3960" i="2"/>
  <c r="L3959" i="2"/>
  <c r="K3959" i="2"/>
  <c r="L3958" i="2"/>
  <c r="K3958" i="2"/>
  <c r="L3957" i="2"/>
  <c r="K3957" i="2"/>
  <c r="L3956" i="2"/>
  <c r="K3956" i="2"/>
  <c r="L3955" i="2"/>
  <c r="K3955" i="2"/>
  <c r="L3954" i="2"/>
  <c r="K3954" i="2"/>
  <c r="L3953" i="2"/>
  <c r="K3953" i="2"/>
  <c r="L3952" i="2"/>
  <c r="K3952" i="2"/>
  <c r="L3951" i="2"/>
  <c r="K3951" i="2"/>
  <c r="L3950" i="2"/>
  <c r="K3950" i="2"/>
  <c r="L3949" i="2"/>
  <c r="K3949" i="2"/>
  <c r="L3948" i="2"/>
  <c r="K3948" i="2"/>
  <c r="L3947" i="2"/>
  <c r="K3947" i="2"/>
  <c r="L3946" i="2"/>
  <c r="K3946" i="2"/>
  <c r="L3945" i="2"/>
  <c r="K3945" i="2"/>
  <c r="L3944" i="2"/>
  <c r="K3944" i="2"/>
  <c r="L3943" i="2"/>
  <c r="K3943" i="2"/>
  <c r="L3942" i="2"/>
  <c r="K3942" i="2"/>
  <c r="L3941" i="2"/>
  <c r="K3941" i="2"/>
  <c r="L3940" i="2"/>
  <c r="K3940" i="2"/>
  <c r="L3939" i="2"/>
  <c r="K3939" i="2"/>
  <c r="L3938" i="2"/>
  <c r="K3938" i="2"/>
  <c r="L3937" i="2"/>
  <c r="K3937" i="2"/>
  <c r="L3936" i="2"/>
  <c r="K3936" i="2"/>
  <c r="L3935" i="2"/>
  <c r="K3935" i="2"/>
  <c r="L3934" i="2"/>
  <c r="K3934" i="2"/>
  <c r="L3933" i="2"/>
  <c r="K3933" i="2"/>
  <c r="L3932" i="2"/>
  <c r="K3932" i="2"/>
  <c r="L3931" i="2"/>
  <c r="K3931" i="2"/>
  <c r="L3930" i="2"/>
  <c r="K3930" i="2"/>
  <c r="L3929" i="2"/>
  <c r="K3929" i="2"/>
  <c r="L3928" i="2"/>
  <c r="K3928" i="2"/>
  <c r="L3927" i="2"/>
  <c r="K3927" i="2"/>
  <c r="L3926" i="2"/>
  <c r="K3926" i="2"/>
  <c r="L3925" i="2"/>
  <c r="K3925" i="2"/>
  <c r="L3924" i="2"/>
  <c r="K3924" i="2"/>
  <c r="L3923" i="2"/>
  <c r="K3923" i="2"/>
  <c r="L3922" i="2"/>
  <c r="K3922" i="2"/>
  <c r="L3921" i="2"/>
  <c r="K3921" i="2"/>
  <c r="L3920" i="2"/>
  <c r="K3920" i="2"/>
  <c r="L3919" i="2"/>
  <c r="K3919" i="2"/>
  <c r="L3918" i="2"/>
  <c r="K3918" i="2"/>
  <c r="L3917" i="2"/>
  <c r="K3917" i="2"/>
  <c r="L3916" i="2"/>
  <c r="K3916" i="2"/>
  <c r="L3915" i="2"/>
  <c r="K3915" i="2"/>
  <c r="L3914" i="2"/>
  <c r="K3914" i="2"/>
  <c r="L3913" i="2"/>
  <c r="K3913" i="2"/>
  <c r="L3912" i="2"/>
  <c r="K3912" i="2"/>
  <c r="L3911" i="2"/>
  <c r="K3911" i="2"/>
  <c r="L3910" i="2"/>
  <c r="K3910" i="2"/>
  <c r="L3909" i="2"/>
  <c r="K3909" i="2"/>
  <c r="L3908" i="2"/>
  <c r="K3908" i="2"/>
  <c r="L3907" i="2"/>
  <c r="K3907" i="2"/>
  <c r="L3906" i="2"/>
  <c r="K3906" i="2"/>
  <c r="L3905" i="2"/>
  <c r="K3905" i="2"/>
  <c r="L3904" i="2"/>
  <c r="K3904" i="2"/>
  <c r="L3903" i="2"/>
  <c r="K3903" i="2"/>
  <c r="L3902" i="2"/>
  <c r="K3902" i="2"/>
  <c r="L3901" i="2"/>
  <c r="K3901" i="2"/>
  <c r="L3900" i="2"/>
  <c r="K3900" i="2"/>
  <c r="L3899" i="2"/>
  <c r="K3899" i="2"/>
  <c r="L3898" i="2"/>
  <c r="K3898" i="2"/>
  <c r="L3897" i="2"/>
  <c r="K3897" i="2"/>
  <c r="L3896" i="2"/>
  <c r="K3896" i="2"/>
  <c r="L3895" i="2"/>
  <c r="K3895" i="2"/>
  <c r="L3894" i="2"/>
  <c r="K3894" i="2"/>
  <c r="L3893" i="2"/>
  <c r="K3893" i="2"/>
  <c r="L3892" i="2"/>
  <c r="K3892" i="2"/>
  <c r="L3891" i="2"/>
  <c r="K3891" i="2"/>
  <c r="L3890" i="2"/>
  <c r="K3890" i="2"/>
  <c r="L3889" i="2"/>
  <c r="K3889" i="2"/>
  <c r="L3888" i="2"/>
  <c r="K3888" i="2"/>
  <c r="L3887" i="2"/>
  <c r="K3887" i="2"/>
  <c r="L3886" i="2"/>
  <c r="K3886" i="2"/>
  <c r="L3885" i="2"/>
  <c r="K3885" i="2"/>
  <c r="L3884" i="2"/>
  <c r="K3884" i="2"/>
  <c r="L3883" i="2"/>
  <c r="K3883" i="2"/>
  <c r="L3882" i="2"/>
  <c r="K3882" i="2"/>
  <c r="L3881" i="2"/>
  <c r="K3881" i="2"/>
  <c r="L3880" i="2"/>
  <c r="K3880" i="2"/>
  <c r="L3879" i="2"/>
  <c r="K3879" i="2"/>
  <c r="L3878" i="2"/>
  <c r="K3878" i="2"/>
  <c r="L3877" i="2"/>
  <c r="K3877" i="2"/>
  <c r="L3876" i="2"/>
  <c r="K3876" i="2"/>
  <c r="L3875" i="2"/>
  <c r="K3875" i="2"/>
  <c r="L3874" i="2"/>
  <c r="K3874" i="2"/>
  <c r="L3873" i="2"/>
  <c r="K3873" i="2"/>
  <c r="L3872" i="2"/>
  <c r="K3872" i="2"/>
  <c r="L3871" i="2"/>
  <c r="K3871" i="2"/>
  <c r="L3870" i="2"/>
  <c r="K3870" i="2"/>
  <c r="L3869" i="2"/>
  <c r="K3869" i="2"/>
  <c r="L3868" i="2"/>
  <c r="K3868" i="2"/>
  <c r="L3867" i="2"/>
  <c r="K3867" i="2"/>
  <c r="L3866" i="2"/>
  <c r="K3866" i="2"/>
  <c r="L3865" i="2"/>
  <c r="K3865" i="2"/>
  <c r="L3864" i="2"/>
  <c r="K3864" i="2"/>
  <c r="L3863" i="2"/>
  <c r="K3863" i="2"/>
  <c r="L3862" i="2"/>
  <c r="K3862" i="2"/>
  <c r="L3861" i="2"/>
  <c r="K3861" i="2"/>
  <c r="L3860" i="2"/>
  <c r="K3860" i="2"/>
  <c r="L3859" i="2"/>
  <c r="K3859" i="2"/>
  <c r="L3858" i="2"/>
  <c r="K3858" i="2"/>
  <c r="L3857" i="2"/>
  <c r="K3857" i="2"/>
  <c r="L3856" i="2"/>
  <c r="K3856" i="2"/>
  <c r="L3855" i="2"/>
  <c r="K3855" i="2"/>
  <c r="L3854" i="2"/>
  <c r="K3854" i="2"/>
  <c r="L3853" i="2"/>
  <c r="K3853" i="2"/>
  <c r="L3852" i="2"/>
  <c r="K3852" i="2"/>
  <c r="L3851" i="2"/>
  <c r="K3851" i="2"/>
  <c r="L3850" i="2"/>
  <c r="K3850" i="2"/>
  <c r="L3849" i="2"/>
  <c r="K3849" i="2"/>
  <c r="L3848" i="2"/>
  <c r="K3848" i="2"/>
  <c r="L3847" i="2"/>
  <c r="K3847" i="2"/>
  <c r="L3846" i="2"/>
  <c r="K3846" i="2"/>
  <c r="L3845" i="2"/>
  <c r="K3845" i="2"/>
  <c r="L3844" i="2"/>
  <c r="K3844" i="2"/>
  <c r="L3843" i="2"/>
  <c r="K3843" i="2"/>
  <c r="L3842" i="2"/>
  <c r="K3842" i="2"/>
  <c r="L3841" i="2"/>
  <c r="K3841" i="2"/>
  <c r="L3840" i="2"/>
  <c r="K3840" i="2"/>
  <c r="L3839" i="2"/>
  <c r="K3839" i="2"/>
  <c r="L3838" i="2"/>
  <c r="K3838" i="2"/>
  <c r="L3837" i="2"/>
  <c r="K3837" i="2"/>
  <c r="L3836" i="2"/>
  <c r="K3836" i="2"/>
  <c r="L3835" i="2"/>
  <c r="K3835" i="2"/>
  <c r="L3834" i="2"/>
  <c r="K3834" i="2"/>
  <c r="L3833" i="2"/>
  <c r="K3833" i="2"/>
  <c r="L3832" i="2"/>
  <c r="K3832" i="2"/>
  <c r="L3831" i="2"/>
  <c r="K3831" i="2"/>
  <c r="L3830" i="2"/>
  <c r="K3830" i="2"/>
  <c r="L3829" i="2"/>
  <c r="K3829" i="2"/>
  <c r="L3828" i="2"/>
  <c r="K3828" i="2"/>
  <c r="L3827" i="2"/>
  <c r="K3827" i="2"/>
  <c r="L3826" i="2"/>
  <c r="K3826" i="2"/>
  <c r="L3825" i="2"/>
  <c r="K3825" i="2"/>
  <c r="L3824" i="2"/>
  <c r="K3824" i="2"/>
  <c r="L3823" i="2"/>
  <c r="K3823" i="2"/>
  <c r="L3822" i="2"/>
  <c r="K3822" i="2"/>
  <c r="L3821" i="2"/>
  <c r="K3821" i="2"/>
  <c r="L3820" i="2"/>
  <c r="K3820" i="2"/>
  <c r="L3819" i="2"/>
  <c r="K3819" i="2"/>
  <c r="L3818" i="2"/>
  <c r="K3818" i="2"/>
  <c r="L3817" i="2"/>
  <c r="K3817" i="2"/>
  <c r="L3816" i="2"/>
  <c r="K3816" i="2"/>
  <c r="L3815" i="2"/>
  <c r="K3815" i="2"/>
  <c r="L3814" i="2"/>
  <c r="K3814" i="2"/>
  <c r="L3813" i="2"/>
  <c r="K3813" i="2"/>
  <c r="L3812" i="2"/>
  <c r="K3812" i="2"/>
  <c r="L3811" i="2"/>
  <c r="K3811" i="2"/>
  <c r="L3810" i="2"/>
  <c r="K3810" i="2"/>
  <c r="L3809" i="2"/>
  <c r="K3809" i="2"/>
  <c r="L3808" i="2"/>
  <c r="K3808" i="2"/>
  <c r="L3807" i="2"/>
  <c r="K3807" i="2"/>
  <c r="L3806" i="2"/>
  <c r="K3806" i="2"/>
  <c r="L3805" i="2"/>
  <c r="K3805" i="2"/>
  <c r="L3804" i="2"/>
  <c r="K3804" i="2"/>
  <c r="L3803" i="2"/>
  <c r="K3803" i="2"/>
  <c r="L3802" i="2"/>
  <c r="K3802" i="2"/>
  <c r="L3801" i="2"/>
  <c r="K3801" i="2"/>
  <c r="L3800" i="2"/>
  <c r="K3800" i="2"/>
  <c r="L3799" i="2"/>
  <c r="K3799" i="2"/>
  <c r="L3798" i="2"/>
  <c r="K3798" i="2"/>
  <c r="L3797" i="2"/>
  <c r="K3797" i="2"/>
  <c r="L3796" i="2"/>
  <c r="K3796" i="2"/>
  <c r="L3795" i="2"/>
  <c r="K3795" i="2"/>
  <c r="L3794" i="2"/>
  <c r="K3794" i="2"/>
  <c r="L3793" i="2"/>
  <c r="K3793" i="2"/>
  <c r="L3792" i="2"/>
  <c r="K3792" i="2"/>
  <c r="L3791" i="2"/>
  <c r="K3791" i="2"/>
  <c r="L3790" i="2"/>
  <c r="K3790" i="2"/>
  <c r="L3789" i="2"/>
  <c r="K3789" i="2"/>
  <c r="L3788" i="2"/>
  <c r="K3788" i="2"/>
  <c r="L3787" i="2"/>
  <c r="K3787" i="2"/>
  <c r="L3786" i="2"/>
  <c r="K3786" i="2"/>
  <c r="L3785" i="2"/>
  <c r="K3785" i="2"/>
  <c r="L3784" i="2"/>
  <c r="K3784" i="2"/>
  <c r="L3783" i="2"/>
  <c r="K3783" i="2"/>
  <c r="L3782" i="2"/>
  <c r="K3782" i="2"/>
  <c r="L3781" i="2"/>
  <c r="K3781" i="2"/>
  <c r="L3780" i="2"/>
  <c r="K3780" i="2"/>
  <c r="L3779" i="2"/>
  <c r="K3779" i="2"/>
  <c r="L3778" i="2"/>
  <c r="K3778" i="2"/>
  <c r="L3777" i="2"/>
  <c r="K3777" i="2"/>
  <c r="L3776" i="2"/>
  <c r="K3776" i="2"/>
  <c r="L3775" i="2"/>
  <c r="K3775" i="2"/>
  <c r="L3774" i="2"/>
  <c r="K3774" i="2"/>
  <c r="L3773" i="2"/>
  <c r="K3773" i="2"/>
  <c r="L3772" i="2"/>
  <c r="K3772" i="2"/>
  <c r="L3771" i="2"/>
  <c r="K3771" i="2"/>
  <c r="L3770" i="2"/>
  <c r="K3770" i="2"/>
  <c r="L3769" i="2"/>
  <c r="K3769" i="2"/>
  <c r="L3768" i="2"/>
  <c r="K3768" i="2"/>
  <c r="L3767" i="2"/>
  <c r="K3767" i="2"/>
  <c r="L3766" i="2"/>
  <c r="K3766" i="2"/>
  <c r="L3765" i="2"/>
  <c r="K3765" i="2"/>
  <c r="L3764" i="2"/>
  <c r="K3764" i="2"/>
  <c r="L3763" i="2"/>
  <c r="K3763" i="2"/>
  <c r="L3762" i="2"/>
  <c r="K3762" i="2"/>
  <c r="L3761" i="2"/>
  <c r="K3761" i="2"/>
  <c r="L3760" i="2"/>
  <c r="K3760" i="2"/>
  <c r="L3759" i="2"/>
  <c r="K3759" i="2"/>
  <c r="L3758" i="2"/>
  <c r="K3758" i="2"/>
  <c r="L3757" i="2"/>
  <c r="K3757" i="2"/>
  <c r="L3756" i="2"/>
  <c r="K3756" i="2"/>
  <c r="L3755" i="2"/>
  <c r="K3755" i="2"/>
  <c r="L3754" i="2"/>
  <c r="K3754" i="2"/>
  <c r="L3753" i="2"/>
  <c r="K3753" i="2"/>
  <c r="L3752" i="2"/>
  <c r="K3752" i="2"/>
  <c r="L3751" i="2"/>
  <c r="K3751" i="2"/>
  <c r="L3750" i="2"/>
  <c r="K3750" i="2"/>
  <c r="L3749" i="2"/>
  <c r="K3749" i="2"/>
  <c r="L3748" i="2"/>
  <c r="K3748" i="2"/>
  <c r="L3747" i="2"/>
  <c r="K3747" i="2"/>
  <c r="L3746" i="2"/>
  <c r="K3746" i="2"/>
  <c r="L3745" i="2"/>
  <c r="K3745" i="2"/>
  <c r="L3744" i="2"/>
  <c r="K3744" i="2"/>
  <c r="L3743" i="2"/>
  <c r="K3743" i="2"/>
  <c r="L3742" i="2"/>
  <c r="K3742" i="2"/>
  <c r="L3741" i="2"/>
  <c r="K3741" i="2"/>
  <c r="L3740" i="2"/>
  <c r="K3740" i="2"/>
  <c r="L3739" i="2"/>
  <c r="K3739" i="2"/>
  <c r="L3738" i="2"/>
  <c r="K3738" i="2"/>
  <c r="L3737" i="2"/>
  <c r="K3737" i="2"/>
  <c r="L3736" i="2"/>
  <c r="K3736" i="2"/>
  <c r="L3735" i="2"/>
  <c r="K3735" i="2"/>
  <c r="L3734" i="2"/>
  <c r="K3734" i="2"/>
  <c r="L3733" i="2"/>
  <c r="K3733" i="2"/>
  <c r="L3732" i="2"/>
  <c r="K3732" i="2"/>
  <c r="L3731" i="2"/>
  <c r="K3731" i="2"/>
  <c r="L3730" i="2"/>
  <c r="K3730" i="2"/>
  <c r="L3729" i="2"/>
  <c r="K3729" i="2"/>
  <c r="L3728" i="2"/>
  <c r="K3728" i="2"/>
  <c r="L3727" i="2"/>
  <c r="K3727" i="2"/>
  <c r="L3726" i="2"/>
  <c r="K3726" i="2"/>
  <c r="L3725" i="2"/>
  <c r="K3725" i="2"/>
  <c r="L3724" i="2"/>
  <c r="K3724" i="2"/>
  <c r="L3723" i="2"/>
  <c r="K3723" i="2"/>
  <c r="L3722" i="2"/>
  <c r="K3722" i="2"/>
  <c r="L3721" i="2"/>
  <c r="K3721" i="2"/>
  <c r="L3720" i="2"/>
  <c r="K3720" i="2"/>
  <c r="L3719" i="2"/>
  <c r="K3719" i="2"/>
  <c r="L3718" i="2"/>
  <c r="K3718" i="2"/>
  <c r="L3717" i="2"/>
  <c r="K3717" i="2"/>
  <c r="L3716" i="2"/>
  <c r="K3716" i="2"/>
  <c r="L3715" i="2"/>
  <c r="K3715" i="2"/>
  <c r="L3714" i="2"/>
  <c r="K3714" i="2"/>
  <c r="L3713" i="2"/>
  <c r="K3713" i="2"/>
  <c r="L3712" i="2"/>
  <c r="K3712" i="2"/>
  <c r="L3711" i="2"/>
  <c r="K3711" i="2"/>
  <c r="L3710" i="2"/>
  <c r="K3710" i="2"/>
  <c r="L3709" i="2"/>
  <c r="K3709" i="2"/>
  <c r="L3708" i="2"/>
  <c r="K3708" i="2"/>
  <c r="L3707" i="2"/>
  <c r="K3707" i="2"/>
  <c r="L3706" i="2"/>
  <c r="K3706" i="2"/>
  <c r="L3705" i="2"/>
  <c r="K3705" i="2"/>
  <c r="L3704" i="2"/>
  <c r="K3704" i="2"/>
  <c r="L3703" i="2"/>
  <c r="K3703" i="2"/>
  <c r="L3702" i="2"/>
  <c r="K3702" i="2"/>
  <c r="L3701" i="2"/>
  <c r="K3701" i="2"/>
  <c r="L3700" i="2"/>
  <c r="K3700" i="2"/>
  <c r="L3699" i="2"/>
  <c r="K3699" i="2"/>
  <c r="L3698" i="2"/>
  <c r="K3698" i="2"/>
  <c r="L3697" i="2"/>
  <c r="K3697" i="2"/>
  <c r="L3696" i="2"/>
  <c r="K3696" i="2"/>
  <c r="L3695" i="2"/>
  <c r="K3695" i="2"/>
  <c r="L3694" i="2"/>
  <c r="K3694" i="2"/>
  <c r="L3693" i="2"/>
  <c r="K3693" i="2"/>
  <c r="L3692" i="2"/>
  <c r="K3692" i="2"/>
  <c r="L3691" i="2"/>
  <c r="K3691" i="2"/>
  <c r="L3690" i="2"/>
  <c r="K3690" i="2"/>
  <c r="L3689" i="2"/>
  <c r="K3689" i="2"/>
  <c r="L3688" i="2"/>
  <c r="K3688" i="2"/>
  <c r="L3687" i="2"/>
  <c r="K3687" i="2"/>
  <c r="L3686" i="2"/>
  <c r="K3686" i="2"/>
  <c r="L3685" i="2"/>
  <c r="K3685" i="2"/>
  <c r="L3684" i="2"/>
  <c r="K3684" i="2"/>
  <c r="L3683" i="2"/>
  <c r="K3683" i="2"/>
  <c r="L3682" i="2"/>
  <c r="K3682" i="2"/>
  <c r="L3681" i="2"/>
  <c r="K3681" i="2"/>
  <c r="L3680" i="2"/>
  <c r="K3680" i="2"/>
  <c r="L3679" i="2"/>
  <c r="K3679" i="2"/>
  <c r="L3678" i="2"/>
  <c r="K3678" i="2"/>
  <c r="L3677" i="2"/>
  <c r="K3677" i="2"/>
  <c r="L3676" i="2"/>
  <c r="K3676" i="2"/>
  <c r="L3675" i="2"/>
  <c r="K3675" i="2"/>
  <c r="L3674" i="2"/>
  <c r="K3674" i="2"/>
  <c r="L3673" i="2"/>
  <c r="K3673" i="2"/>
  <c r="L3672" i="2"/>
  <c r="K3672" i="2"/>
  <c r="L3671" i="2"/>
  <c r="K3671" i="2"/>
  <c r="L3670" i="2"/>
  <c r="K3670" i="2"/>
  <c r="L3669" i="2"/>
  <c r="K3669" i="2"/>
  <c r="L3668" i="2"/>
  <c r="K3668" i="2"/>
  <c r="L3667" i="2"/>
  <c r="K3667" i="2"/>
  <c r="L3666" i="2"/>
  <c r="K3666" i="2"/>
  <c r="L3665" i="2"/>
  <c r="K3665" i="2"/>
  <c r="L3664" i="2"/>
  <c r="K3664" i="2"/>
  <c r="L3663" i="2"/>
  <c r="K3663" i="2"/>
  <c r="L3662" i="2"/>
  <c r="K3662" i="2"/>
  <c r="L3661" i="2"/>
  <c r="K3661" i="2"/>
  <c r="L3660" i="2"/>
  <c r="K3660" i="2"/>
  <c r="L3659" i="2"/>
  <c r="K3659" i="2"/>
  <c r="L3658" i="2"/>
  <c r="K3658" i="2"/>
  <c r="L3657" i="2"/>
  <c r="K3657" i="2"/>
  <c r="L3656" i="2"/>
  <c r="K3656" i="2"/>
  <c r="L3655" i="2"/>
  <c r="K3655" i="2"/>
  <c r="L3654" i="2"/>
  <c r="K3654" i="2"/>
  <c r="L3653" i="2"/>
  <c r="K3653" i="2"/>
  <c r="L3652" i="2"/>
  <c r="K3652" i="2"/>
  <c r="L3651" i="2"/>
  <c r="K3651" i="2"/>
  <c r="L3650" i="2"/>
  <c r="K3650" i="2"/>
  <c r="L3649" i="2"/>
  <c r="K3649" i="2"/>
  <c r="L3648" i="2"/>
  <c r="K3648" i="2"/>
  <c r="L3647" i="2"/>
  <c r="K3647" i="2"/>
  <c r="L3646" i="2"/>
  <c r="K3646" i="2"/>
  <c r="L3645" i="2"/>
  <c r="K3645" i="2"/>
  <c r="L3644" i="2"/>
  <c r="K3644" i="2"/>
  <c r="L3643" i="2"/>
  <c r="K3643" i="2"/>
  <c r="L3642" i="2"/>
  <c r="K3642" i="2"/>
  <c r="L3641" i="2"/>
  <c r="K3641" i="2"/>
  <c r="L3640" i="2"/>
  <c r="K3640" i="2"/>
  <c r="L3639" i="2"/>
  <c r="K3639" i="2"/>
  <c r="L3638" i="2"/>
  <c r="K3638" i="2"/>
  <c r="L3637" i="2"/>
  <c r="K3637" i="2"/>
  <c r="L3636" i="2"/>
  <c r="K3636" i="2"/>
  <c r="L3635" i="2"/>
  <c r="K3635" i="2"/>
  <c r="L3634" i="2"/>
  <c r="K3634" i="2"/>
  <c r="L3633" i="2"/>
  <c r="K3633" i="2"/>
  <c r="L3632" i="2"/>
  <c r="K3632" i="2"/>
  <c r="L3631" i="2"/>
  <c r="K3631" i="2"/>
  <c r="L3630" i="2"/>
  <c r="K3630" i="2"/>
  <c r="L3629" i="2"/>
  <c r="K3629" i="2"/>
  <c r="L3628" i="2"/>
  <c r="K3628" i="2"/>
  <c r="L3627" i="2"/>
  <c r="K3627" i="2"/>
  <c r="L3626" i="2"/>
  <c r="K3626" i="2"/>
  <c r="L3625" i="2"/>
  <c r="K3625" i="2"/>
  <c r="L3624" i="2"/>
  <c r="K3624" i="2"/>
  <c r="L3623" i="2"/>
  <c r="K3623" i="2"/>
  <c r="L3622" i="2"/>
  <c r="K3622" i="2"/>
  <c r="L3621" i="2"/>
  <c r="K3621" i="2"/>
  <c r="L3620" i="2"/>
  <c r="K3620" i="2"/>
  <c r="L3619" i="2"/>
  <c r="K3619" i="2"/>
  <c r="L3618" i="2"/>
  <c r="K3618" i="2"/>
  <c r="L3617" i="2"/>
  <c r="K3617" i="2"/>
  <c r="L3616" i="2"/>
  <c r="K3616" i="2"/>
  <c r="L3615" i="2"/>
  <c r="K3615" i="2"/>
  <c r="L3614" i="2"/>
  <c r="K3614" i="2"/>
  <c r="L3613" i="2"/>
  <c r="K3613" i="2"/>
  <c r="L3612" i="2"/>
  <c r="K3612" i="2"/>
  <c r="L3611" i="2"/>
  <c r="K3611" i="2"/>
  <c r="L3610" i="2"/>
  <c r="K3610" i="2"/>
  <c r="L3609" i="2"/>
  <c r="K3609" i="2"/>
  <c r="L3608" i="2"/>
  <c r="K3608" i="2"/>
  <c r="L3607" i="2"/>
  <c r="K3607" i="2"/>
  <c r="L3606" i="2"/>
  <c r="K3606" i="2"/>
  <c r="L3605" i="2"/>
  <c r="K3605" i="2"/>
  <c r="L3604" i="2"/>
  <c r="K3604" i="2"/>
  <c r="L3603" i="2"/>
  <c r="K3603" i="2"/>
  <c r="L3602" i="2"/>
  <c r="K3602" i="2"/>
  <c r="L3601" i="2"/>
  <c r="K3601" i="2"/>
  <c r="L3600" i="2"/>
  <c r="K3600" i="2"/>
  <c r="L3599" i="2"/>
  <c r="K3599" i="2"/>
  <c r="L3598" i="2"/>
  <c r="K3598" i="2"/>
  <c r="L3597" i="2"/>
  <c r="K3597" i="2"/>
  <c r="L3596" i="2"/>
  <c r="K3596" i="2"/>
  <c r="L3595" i="2"/>
  <c r="K3595" i="2"/>
  <c r="L3594" i="2"/>
  <c r="K3594" i="2"/>
  <c r="L3593" i="2"/>
  <c r="K3593" i="2"/>
  <c r="L3592" i="2"/>
  <c r="K3592" i="2"/>
  <c r="L3591" i="2"/>
  <c r="K3591" i="2"/>
  <c r="L3590" i="2"/>
  <c r="K3590" i="2"/>
  <c r="L3589" i="2"/>
  <c r="K3589" i="2"/>
  <c r="L3588" i="2"/>
  <c r="K3588" i="2"/>
  <c r="L3587" i="2"/>
  <c r="K3587" i="2"/>
  <c r="L3586" i="2"/>
  <c r="K3586" i="2"/>
  <c r="L3585" i="2"/>
  <c r="K3585" i="2"/>
  <c r="L3584" i="2"/>
  <c r="K3584" i="2"/>
  <c r="L3583" i="2"/>
  <c r="K3583" i="2"/>
  <c r="L3582" i="2"/>
  <c r="K3582" i="2"/>
  <c r="L3581" i="2"/>
  <c r="K3581" i="2"/>
  <c r="L3580" i="2"/>
  <c r="K3580" i="2"/>
  <c r="L3579" i="2"/>
  <c r="K3579" i="2"/>
  <c r="L3578" i="2"/>
  <c r="K3578" i="2"/>
  <c r="L3577" i="2"/>
  <c r="K3577" i="2"/>
  <c r="L3576" i="2"/>
  <c r="K3576" i="2"/>
  <c r="L3575" i="2"/>
  <c r="K3575" i="2"/>
  <c r="L3574" i="2"/>
  <c r="K3574" i="2"/>
  <c r="L3573" i="2"/>
  <c r="K3573" i="2"/>
  <c r="L3572" i="2"/>
  <c r="K3572" i="2"/>
  <c r="L3571" i="2"/>
  <c r="K3571" i="2"/>
  <c r="L3570" i="2"/>
  <c r="K3570" i="2"/>
  <c r="L3569" i="2"/>
  <c r="K3569" i="2"/>
  <c r="L3568" i="2"/>
  <c r="K3568" i="2"/>
  <c r="L3567" i="2"/>
  <c r="K3567" i="2"/>
  <c r="L3566" i="2"/>
  <c r="K3566" i="2"/>
  <c r="L3565" i="2"/>
  <c r="K3565" i="2"/>
  <c r="L3564" i="2"/>
  <c r="K3564" i="2"/>
  <c r="L3563" i="2"/>
  <c r="K3563" i="2"/>
  <c r="L3562" i="2"/>
  <c r="K3562" i="2"/>
  <c r="L3561" i="2"/>
  <c r="K3561" i="2"/>
  <c r="L3560" i="2"/>
  <c r="K3560" i="2"/>
  <c r="L3559" i="2"/>
  <c r="K3559" i="2"/>
  <c r="L3558" i="2"/>
  <c r="K3558" i="2"/>
  <c r="L3557" i="2"/>
  <c r="K3557" i="2"/>
  <c r="L3556" i="2"/>
  <c r="K3556" i="2"/>
  <c r="L3555" i="2"/>
  <c r="K3555" i="2"/>
  <c r="L3554" i="2"/>
  <c r="K3554" i="2"/>
  <c r="L3553" i="2"/>
  <c r="K3553" i="2"/>
  <c r="L3552" i="2"/>
  <c r="K3552" i="2"/>
  <c r="L3551" i="2"/>
  <c r="K3551" i="2"/>
  <c r="L3550" i="2"/>
  <c r="K3550" i="2"/>
  <c r="L3549" i="2"/>
  <c r="K3549" i="2"/>
  <c r="L3548" i="2"/>
  <c r="K3548" i="2"/>
  <c r="L3547" i="2"/>
  <c r="K3547" i="2"/>
  <c r="L3546" i="2"/>
  <c r="K3546" i="2"/>
  <c r="L3545" i="2"/>
  <c r="K3545" i="2"/>
  <c r="L3544" i="2"/>
  <c r="K3544" i="2"/>
  <c r="L3543" i="2"/>
  <c r="K3543" i="2"/>
  <c r="L3542" i="2"/>
  <c r="K3542" i="2"/>
  <c r="L3541" i="2"/>
  <c r="K3541" i="2"/>
  <c r="L3540" i="2"/>
  <c r="K3540" i="2"/>
  <c r="L3539" i="2"/>
  <c r="K3539" i="2"/>
  <c r="L3538" i="2"/>
  <c r="K3538" i="2"/>
  <c r="L3537" i="2"/>
  <c r="K3537" i="2"/>
  <c r="L3536" i="2"/>
  <c r="K3536" i="2"/>
  <c r="L3535" i="2"/>
  <c r="K3535" i="2"/>
  <c r="L3534" i="2"/>
  <c r="K3534" i="2"/>
  <c r="L3533" i="2"/>
  <c r="K3533" i="2"/>
  <c r="L3532" i="2"/>
  <c r="K3532" i="2"/>
  <c r="L3531" i="2"/>
  <c r="K3531" i="2"/>
  <c r="L3530" i="2"/>
  <c r="K3530" i="2"/>
  <c r="L3529" i="2"/>
  <c r="K3529" i="2"/>
  <c r="L3528" i="2"/>
  <c r="K3528" i="2"/>
  <c r="L3527" i="2"/>
  <c r="K3527" i="2"/>
  <c r="L3526" i="2"/>
  <c r="K3526" i="2"/>
  <c r="L3525" i="2"/>
  <c r="K3525" i="2"/>
  <c r="L3524" i="2"/>
  <c r="K3524" i="2"/>
  <c r="L3523" i="2"/>
  <c r="K3523" i="2"/>
  <c r="L3522" i="2"/>
  <c r="K3522" i="2"/>
  <c r="L3521" i="2"/>
  <c r="K3521" i="2"/>
  <c r="L3520" i="2"/>
  <c r="K3520" i="2"/>
  <c r="L3519" i="2"/>
  <c r="K3519" i="2"/>
  <c r="L3518" i="2"/>
  <c r="K3518" i="2"/>
  <c r="L3517" i="2"/>
  <c r="K3517" i="2"/>
  <c r="L3516" i="2"/>
  <c r="K3516" i="2"/>
  <c r="L3515" i="2"/>
  <c r="K3515" i="2"/>
  <c r="L3514" i="2"/>
  <c r="K3514" i="2"/>
  <c r="L3513" i="2"/>
  <c r="K3513" i="2"/>
  <c r="L3512" i="2"/>
  <c r="K3512" i="2"/>
  <c r="L3511" i="2"/>
  <c r="K3511" i="2"/>
  <c r="L3510" i="2"/>
  <c r="K3510" i="2"/>
  <c r="L3509" i="2"/>
  <c r="K3509" i="2"/>
  <c r="L3508" i="2"/>
  <c r="K3508" i="2"/>
  <c r="L3507" i="2"/>
  <c r="K3507" i="2"/>
  <c r="L3506" i="2"/>
  <c r="K3506" i="2"/>
  <c r="L3505" i="2"/>
  <c r="K3505" i="2"/>
  <c r="L3504" i="2"/>
  <c r="K3504" i="2"/>
  <c r="L3503" i="2"/>
  <c r="K3503" i="2"/>
  <c r="L3502" i="2"/>
  <c r="K3502" i="2"/>
  <c r="L3501" i="2"/>
  <c r="K3501" i="2"/>
  <c r="L3500" i="2"/>
  <c r="K3500" i="2"/>
  <c r="L3499" i="2"/>
  <c r="K3499" i="2"/>
  <c r="L3498" i="2"/>
  <c r="K3498" i="2"/>
  <c r="L3497" i="2"/>
  <c r="K3497" i="2"/>
  <c r="L3496" i="2"/>
  <c r="K3496" i="2"/>
  <c r="L3495" i="2"/>
  <c r="K3495" i="2"/>
  <c r="L3494" i="2"/>
  <c r="K3494" i="2"/>
  <c r="L3493" i="2"/>
  <c r="K3493" i="2"/>
  <c r="L3492" i="2"/>
  <c r="K3492" i="2"/>
  <c r="L3491" i="2"/>
  <c r="K3491" i="2"/>
  <c r="L3490" i="2"/>
  <c r="K3490" i="2"/>
  <c r="L3489" i="2"/>
  <c r="K3489" i="2"/>
  <c r="L3488" i="2"/>
  <c r="K3488" i="2"/>
  <c r="L3487" i="2"/>
  <c r="K3487" i="2"/>
  <c r="L3486" i="2"/>
  <c r="K3486" i="2"/>
  <c r="L3485" i="2"/>
  <c r="K3485" i="2"/>
  <c r="L3484" i="2"/>
  <c r="K3484" i="2"/>
  <c r="L3483" i="2"/>
  <c r="K3483" i="2"/>
  <c r="L3482" i="2"/>
  <c r="K3482" i="2"/>
  <c r="L3481" i="2"/>
  <c r="K3481" i="2"/>
  <c r="L3480" i="2"/>
  <c r="K3480" i="2"/>
  <c r="L3479" i="2"/>
  <c r="K3479" i="2"/>
  <c r="L3478" i="2"/>
  <c r="K3478" i="2"/>
  <c r="L3477" i="2"/>
  <c r="K3477" i="2"/>
  <c r="L3476" i="2"/>
  <c r="K3476" i="2"/>
  <c r="L3475" i="2"/>
  <c r="K3475" i="2"/>
  <c r="L3474" i="2"/>
  <c r="K3474" i="2"/>
  <c r="L3473" i="2"/>
  <c r="K3473" i="2"/>
  <c r="L3472" i="2"/>
  <c r="K3472" i="2"/>
  <c r="L3471" i="2"/>
  <c r="K3471" i="2"/>
  <c r="L3470" i="2"/>
  <c r="K3470" i="2"/>
  <c r="L3469" i="2"/>
  <c r="K3469" i="2"/>
  <c r="L3468" i="2"/>
  <c r="K3468" i="2"/>
  <c r="L3467" i="2"/>
  <c r="K3467" i="2"/>
  <c r="L3466" i="2"/>
  <c r="K3466" i="2"/>
  <c r="L3465" i="2"/>
  <c r="K3465" i="2"/>
  <c r="L3464" i="2"/>
  <c r="K3464" i="2"/>
  <c r="L3463" i="2"/>
  <c r="K3463" i="2"/>
  <c r="L3462" i="2"/>
  <c r="K3462" i="2"/>
  <c r="L3461" i="2"/>
  <c r="K3461" i="2"/>
  <c r="L3460" i="2"/>
  <c r="K3460" i="2"/>
  <c r="L3459" i="2"/>
  <c r="K3459" i="2"/>
  <c r="L3458" i="2"/>
  <c r="K3458" i="2"/>
  <c r="L3457" i="2"/>
  <c r="K3457" i="2"/>
  <c r="L3456" i="2"/>
  <c r="K3456" i="2"/>
  <c r="L3455" i="2"/>
  <c r="K3455" i="2"/>
  <c r="L3454" i="2"/>
  <c r="K3454" i="2"/>
  <c r="L3453" i="2"/>
  <c r="K3453" i="2"/>
  <c r="L3452" i="2"/>
  <c r="K3452" i="2"/>
  <c r="L3451" i="2"/>
  <c r="K3451" i="2"/>
  <c r="L3450" i="2"/>
  <c r="K3450" i="2"/>
  <c r="L3449" i="2"/>
  <c r="K3449" i="2"/>
  <c r="L3448" i="2"/>
  <c r="K3448" i="2"/>
  <c r="L3447" i="2"/>
  <c r="K3447" i="2"/>
  <c r="L3446" i="2"/>
  <c r="K3446" i="2"/>
  <c r="L3445" i="2"/>
  <c r="K3445" i="2"/>
  <c r="L3444" i="2"/>
  <c r="K3444" i="2"/>
  <c r="L3443" i="2"/>
  <c r="K3443" i="2"/>
  <c r="L3442" i="2"/>
  <c r="K3442" i="2"/>
  <c r="L3441" i="2"/>
  <c r="K3441" i="2"/>
  <c r="L3440" i="2"/>
  <c r="K3440" i="2"/>
  <c r="L3439" i="2"/>
  <c r="K3439" i="2"/>
  <c r="L3438" i="2"/>
  <c r="K3438" i="2"/>
  <c r="L3437" i="2"/>
  <c r="K3437" i="2"/>
  <c r="L3436" i="2"/>
  <c r="K3436" i="2"/>
  <c r="L3435" i="2"/>
  <c r="K3435" i="2"/>
  <c r="L3434" i="2"/>
  <c r="K3434" i="2"/>
  <c r="L3433" i="2"/>
  <c r="K3433" i="2"/>
  <c r="L3432" i="2"/>
  <c r="K3432" i="2"/>
  <c r="L3431" i="2"/>
  <c r="K3431" i="2"/>
  <c r="L3430" i="2"/>
  <c r="K3430" i="2"/>
  <c r="L3429" i="2"/>
  <c r="K3429" i="2"/>
  <c r="L3428" i="2"/>
  <c r="K3428" i="2"/>
  <c r="L3427" i="2"/>
  <c r="K3427" i="2"/>
  <c r="L3426" i="2"/>
  <c r="K3426" i="2"/>
  <c r="L3425" i="2"/>
  <c r="K3425" i="2"/>
  <c r="L3424" i="2"/>
  <c r="K3424" i="2"/>
  <c r="L3423" i="2"/>
  <c r="K3423" i="2"/>
  <c r="L3422" i="2"/>
  <c r="K3422" i="2"/>
  <c r="L3421" i="2"/>
  <c r="K3421" i="2"/>
  <c r="L3420" i="2"/>
  <c r="K3420" i="2"/>
  <c r="L3419" i="2"/>
  <c r="K3419" i="2"/>
  <c r="L3418" i="2"/>
  <c r="K3418" i="2"/>
  <c r="L3417" i="2"/>
  <c r="K3417" i="2"/>
  <c r="L3416" i="2"/>
  <c r="K3416" i="2"/>
  <c r="L3415" i="2"/>
  <c r="K3415" i="2"/>
  <c r="L3414" i="2"/>
  <c r="K3414" i="2"/>
  <c r="L3413" i="2"/>
  <c r="K3413" i="2"/>
  <c r="L3412" i="2"/>
  <c r="K3412" i="2"/>
  <c r="L3411" i="2"/>
  <c r="K3411" i="2"/>
  <c r="L3410" i="2"/>
  <c r="K3410" i="2"/>
  <c r="L3409" i="2"/>
  <c r="K3409" i="2"/>
  <c r="L3408" i="2"/>
  <c r="K3408" i="2"/>
  <c r="L3407" i="2"/>
  <c r="K3407" i="2"/>
  <c r="L3406" i="2"/>
  <c r="K3406" i="2"/>
  <c r="L3405" i="2"/>
  <c r="K3405" i="2"/>
  <c r="L3404" i="2"/>
  <c r="K3404" i="2"/>
  <c r="L3403" i="2"/>
  <c r="K3403" i="2"/>
  <c r="L3402" i="2"/>
  <c r="K3402" i="2"/>
  <c r="L3401" i="2"/>
  <c r="K3401" i="2"/>
  <c r="L3400" i="2"/>
  <c r="K3400" i="2"/>
  <c r="L3399" i="2"/>
  <c r="K3399" i="2"/>
  <c r="L3398" i="2"/>
  <c r="K3398" i="2"/>
  <c r="L3397" i="2"/>
  <c r="K3397" i="2"/>
  <c r="L3396" i="2"/>
  <c r="K3396" i="2"/>
  <c r="L3395" i="2"/>
  <c r="K3395" i="2"/>
  <c r="L3394" i="2"/>
  <c r="K3394" i="2"/>
  <c r="L3393" i="2"/>
  <c r="K3393" i="2"/>
  <c r="L3392" i="2"/>
  <c r="K3392" i="2"/>
  <c r="L3391" i="2"/>
  <c r="K3391" i="2"/>
  <c r="L3390" i="2"/>
  <c r="K3390" i="2"/>
  <c r="L3389" i="2"/>
  <c r="K3389" i="2"/>
  <c r="L3388" i="2"/>
  <c r="K3388" i="2"/>
  <c r="L3387" i="2"/>
  <c r="K3387" i="2"/>
  <c r="L3386" i="2"/>
  <c r="K3386" i="2"/>
  <c r="L3385" i="2"/>
  <c r="K3385" i="2"/>
  <c r="L3384" i="2"/>
  <c r="K3384" i="2"/>
  <c r="L3383" i="2"/>
  <c r="K3383" i="2"/>
  <c r="L3382" i="2"/>
  <c r="K3382" i="2"/>
  <c r="L3381" i="2"/>
  <c r="K3381" i="2"/>
  <c r="L3380" i="2"/>
  <c r="K3380" i="2"/>
  <c r="L3379" i="2"/>
  <c r="K3379" i="2"/>
  <c r="L3378" i="2"/>
  <c r="K3378" i="2"/>
  <c r="L3377" i="2"/>
  <c r="K3377" i="2"/>
  <c r="L3376" i="2"/>
  <c r="K3376" i="2"/>
  <c r="L3375" i="2"/>
  <c r="K3375" i="2"/>
  <c r="L3374" i="2"/>
  <c r="K3374" i="2"/>
  <c r="L3373" i="2"/>
  <c r="K3373" i="2"/>
  <c r="L3372" i="2"/>
  <c r="K3372" i="2"/>
  <c r="L3371" i="2"/>
  <c r="K3371" i="2"/>
  <c r="L3370" i="2"/>
  <c r="K3370" i="2"/>
  <c r="L3369" i="2"/>
  <c r="K3369" i="2"/>
  <c r="L3368" i="2"/>
  <c r="K3368" i="2"/>
  <c r="L3367" i="2"/>
  <c r="K3367" i="2"/>
  <c r="L3366" i="2"/>
  <c r="K3366" i="2"/>
  <c r="L3365" i="2"/>
  <c r="K3365" i="2"/>
  <c r="L3364" i="2"/>
  <c r="K3364" i="2"/>
  <c r="L3363" i="2"/>
  <c r="K3363" i="2"/>
  <c r="L3362" i="2"/>
  <c r="K3362" i="2"/>
  <c r="L3361" i="2"/>
  <c r="K3361" i="2"/>
  <c r="L3360" i="2"/>
  <c r="K3360" i="2"/>
  <c r="L3359" i="2"/>
  <c r="K3359" i="2"/>
  <c r="L3358" i="2"/>
  <c r="K3358" i="2"/>
  <c r="L3357" i="2"/>
  <c r="K3357" i="2"/>
  <c r="L3356" i="2"/>
  <c r="K3356" i="2"/>
  <c r="L3355" i="2"/>
  <c r="K3355" i="2"/>
  <c r="L3354" i="2"/>
  <c r="K3354" i="2"/>
  <c r="L3353" i="2"/>
  <c r="K3353" i="2"/>
  <c r="L3352" i="2"/>
  <c r="K3352" i="2"/>
  <c r="L3351" i="2"/>
  <c r="K3351" i="2"/>
  <c r="L3350" i="2"/>
  <c r="K3350" i="2"/>
  <c r="L3349" i="2"/>
  <c r="K3349" i="2"/>
  <c r="L3348" i="2"/>
  <c r="K3348" i="2"/>
  <c r="L3347" i="2"/>
  <c r="K3347" i="2"/>
  <c r="L3346" i="2"/>
  <c r="K3346" i="2"/>
  <c r="L3345" i="2"/>
  <c r="K3345" i="2"/>
  <c r="L3344" i="2"/>
  <c r="K3344" i="2"/>
  <c r="L3343" i="2"/>
  <c r="K3343" i="2"/>
  <c r="L3342" i="2"/>
  <c r="K3342" i="2"/>
  <c r="L3341" i="2"/>
  <c r="K3341" i="2"/>
  <c r="L3340" i="2"/>
  <c r="K3340" i="2"/>
  <c r="L3339" i="2"/>
  <c r="K3339" i="2"/>
  <c r="L3338" i="2"/>
  <c r="K3338" i="2"/>
  <c r="L3337" i="2"/>
  <c r="K3337" i="2"/>
  <c r="L3336" i="2"/>
  <c r="K3336" i="2"/>
  <c r="L3335" i="2"/>
  <c r="K3335" i="2"/>
  <c r="L3334" i="2"/>
  <c r="K3334" i="2"/>
  <c r="L3333" i="2"/>
  <c r="K3333" i="2"/>
  <c r="L3332" i="2"/>
  <c r="K3332" i="2"/>
  <c r="L3331" i="2"/>
  <c r="K3331" i="2"/>
  <c r="L3330" i="2"/>
  <c r="K3330" i="2"/>
  <c r="L3329" i="2"/>
  <c r="K3329" i="2"/>
  <c r="L3328" i="2"/>
  <c r="K3328" i="2"/>
  <c r="L3327" i="2"/>
  <c r="K3327" i="2"/>
  <c r="L3326" i="2"/>
  <c r="K3326" i="2"/>
  <c r="L3325" i="2"/>
  <c r="K3325" i="2"/>
  <c r="L3324" i="2"/>
  <c r="K3324" i="2"/>
  <c r="L3323" i="2"/>
  <c r="K3323" i="2"/>
  <c r="L3322" i="2"/>
  <c r="K3322" i="2"/>
  <c r="L3321" i="2"/>
  <c r="K3321" i="2"/>
  <c r="L3320" i="2"/>
  <c r="K3320" i="2"/>
  <c r="L3319" i="2"/>
  <c r="K3319" i="2"/>
  <c r="L3318" i="2"/>
  <c r="K3318" i="2"/>
  <c r="L3317" i="2"/>
  <c r="K3317" i="2"/>
  <c r="L3316" i="2"/>
  <c r="K3316" i="2"/>
  <c r="L3315" i="2"/>
  <c r="K3315" i="2"/>
  <c r="L3314" i="2"/>
  <c r="K3314" i="2"/>
  <c r="L3313" i="2"/>
  <c r="K3313" i="2"/>
  <c r="L3312" i="2"/>
  <c r="K3312" i="2"/>
  <c r="L3311" i="2"/>
  <c r="K3311" i="2"/>
  <c r="L3310" i="2"/>
  <c r="K3310" i="2"/>
  <c r="L3309" i="2"/>
  <c r="K3309" i="2"/>
  <c r="L3308" i="2"/>
  <c r="K3308" i="2"/>
  <c r="L3307" i="2"/>
  <c r="K3307" i="2"/>
  <c r="L3306" i="2"/>
  <c r="K3306" i="2"/>
  <c r="L3305" i="2"/>
  <c r="K3305" i="2"/>
  <c r="L3304" i="2"/>
  <c r="K3304" i="2"/>
  <c r="L3303" i="2"/>
  <c r="K3303" i="2"/>
  <c r="L3302" i="2"/>
  <c r="K3302" i="2"/>
  <c r="L3301" i="2"/>
  <c r="K3301" i="2"/>
  <c r="L3300" i="2"/>
  <c r="K3300" i="2"/>
  <c r="L3299" i="2"/>
  <c r="K3299" i="2"/>
  <c r="L3298" i="2"/>
  <c r="K3298" i="2"/>
  <c r="L3297" i="2"/>
  <c r="K3297" i="2"/>
  <c r="L3296" i="2"/>
  <c r="K3296" i="2"/>
  <c r="L3295" i="2"/>
  <c r="K3295" i="2"/>
  <c r="L3294" i="2"/>
  <c r="K3294" i="2"/>
  <c r="L3293" i="2"/>
  <c r="K3293" i="2"/>
  <c r="L3292" i="2"/>
  <c r="K3292" i="2"/>
  <c r="L3291" i="2"/>
  <c r="K3291" i="2"/>
  <c r="L3290" i="2"/>
  <c r="K3290" i="2"/>
  <c r="L3289" i="2"/>
  <c r="K3289" i="2"/>
  <c r="L3288" i="2"/>
  <c r="K3288" i="2"/>
  <c r="L3287" i="2"/>
  <c r="K3287" i="2"/>
  <c r="L3286" i="2"/>
  <c r="K3286" i="2"/>
  <c r="L3285" i="2"/>
  <c r="K3285" i="2"/>
  <c r="L3284" i="2"/>
  <c r="K3284" i="2"/>
  <c r="L3283" i="2"/>
  <c r="K3283" i="2"/>
  <c r="L3282" i="2"/>
  <c r="K3282" i="2"/>
  <c r="L3281" i="2"/>
  <c r="K3281" i="2"/>
  <c r="L3280" i="2"/>
  <c r="K3280" i="2"/>
  <c r="L3279" i="2"/>
  <c r="K3279" i="2"/>
  <c r="L3278" i="2"/>
  <c r="K3278" i="2"/>
  <c r="L3277" i="2"/>
  <c r="K3277" i="2"/>
  <c r="L3276" i="2"/>
  <c r="K3276" i="2"/>
  <c r="L3275" i="2"/>
  <c r="K3275" i="2"/>
  <c r="L3274" i="2"/>
  <c r="K3274" i="2"/>
  <c r="L3273" i="2"/>
  <c r="K3273" i="2"/>
  <c r="L3272" i="2"/>
  <c r="K3272" i="2"/>
  <c r="L3271" i="2"/>
  <c r="K3271" i="2"/>
  <c r="L3270" i="2"/>
  <c r="K3270" i="2"/>
  <c r="L3269" i="2"/>
  <c r="K3269" i="2"/>
  <c r="L3268" i="2"/>
  <c r="K3268" i="2"/>
  <c r="L3267" i="2"/>
  <c r="K3267" i="2"/>
  <c r="L3266" i="2"/>
  <c r="K3266" i="2"/>
  <c r="L3265" i="2"/>
  <c r="K3265" i="2"/>
  <c r="L3264" i="2"/>
  <c r="K3264" i="2"/>
  <c r="L3263" i="2"/>
  <c r="K3263" i="2"/>
  <c r="L3262" i="2"/>
  <c r="K3262" i="2"/>
  <c r="L3261" i="2"/>
  <c r="K3261" i="2"/>
  <c r="L3260" i="2"/>
  <c r="K3260" i="2"/>
  <c r="L3259" i="2"/>
  <c r="K3259" i="2"/>
  <c r="L3258" i="2"/>
  <c r="K3258" i="2"/>
  <c r="L3257" i="2"/>
  <c r="K3257" i="2"/>
  <c r="L3256" i="2"/>
  <c r="K3256" i="2"/>
  <c r="L3255" i="2"/>
  <c r="K3255" i="2"/>
  <c r="L3254" i="2"/>
  <c r="K3254" i="2"/>
  <c r="L3253" i="2"/>
  <c r="K3253" i="2"/>
  <c r="L3252" i="2"/>
  <c r="K3252" i="2"/>
  <c r="L3251" i="2"/>
  <c r="K3251" i="2"/>
  <c r="L3250" i="2"/>
  <c r="K3250" i="2"/>
  <c r="L3249" i="2"/>
  <c r="K3249" i="2"/>
  <c r="L3248" i="2"/>
  <c r="K3248" i="2"/>
  <c r="L3247" i="2"/>
  <c r="K3247" i="2"/>
  <c r="L3246" i="2"/>
  <c r="K3246" i="2"/>
  <c r="L3245" i="2"/>
  <c r="K3245" i="2"/>
  <c r="L3244" i="2"/>
  <c r="K3244" i="2"/>
  <c r="L3243" i="2"/>
  <c r="K3243" i="2"/>
  <c r="L3242" i="2"/>
  <c r="K3242" i="2"/>
  <c r="L3241" i="2"/>
  <c r="K3241" i="2"/>
  <c r="L3240" i="2"/>
  <c r="K3240" i="2"/>
  <c r="L3239" i="2"/>
  <c r="K3239" i="2"/>
  <c r="L3238" i="2"/>
  <c r="K3238" i="2"/>
  <c r="L3237" i="2"/>
  <c r="K3237" i="2"/>
  <c r="L3236" i="2"/>
  <c r="K3236" i="2"/>
  <c r="L3235" i="2"/>
  <c r="K3235" i="2"/>
  <c r="L3234" i="2"/>
  <c r="K3234" i="2"/>
  <c r="L3233" i="2"/>
  <c r="K3233" i="2"/>
  <c r="L3232" i="2"/>
  <c r="K3232" i="2"/>
  <c r="L3231" i="2"/>
  <c r="K3231" i="2"/>
  <c r="L3230" i="2"/>
  <c r="K3230" i="2"/>
  <c r="L3229" i="2"/>
  <c r="K3229" i="2"/>
  <c r="L3228" i="2"/>
  <c r="K3228" i="2"/>
  <c r="L3227" i="2"/>
  <c r="K3227" i="2"/>
  <c r="L3226" i="2"/>
  <c r="K3226" i="2"/>
  <c r="L3225" i="2"/>
  <c r="K3225" i="2"/>
  <c r="L3224" i="2"/>
  <c r="K3224" i="2"/>
  <c r="L3223" i="2"/>
  <c r="K3223" i="2"/>
  <c r="L3222" i="2"/>
  <c r="K3222" i="2"/>
  <c r="L3221" i="2"/>
  <c r="K3221" i="2"/>
  <c r="L3220" i="2"/>
  <c r="K3220" i="2"/>
  <c r="L3219" i="2"/>
  <c r="K3219" i="2"/>
  <c r="L3218" i="2"/>
  <c r="K3218" i="2"/>
  <c r="L3217" i="2"/>
  <c r="K3217" i="2"/>
  <c r="L3216" i="2"/>
  <c r="K3216" i="2"/>
  <c r="L3215" i="2"/>
  <c r="K3215" i="2"/>
  <c r="L3214" i="2"/>
  <c r="K3214" i="2"/>
  <c r="L3213" i="2"/>
  <c r="K3213" i="2"/>
  <c r="L3212" i="2"/>
  <c r="K3212" i="2"/>
  <c r="L3211" i="2"/>
  <c r="K3211" i="2"/>
  <c r="L3210" i="2"/>
  <c r="K3210" i="2"/>
  <c r="L3209" i="2"/>
  <c r="K3209" i="2"/>
  <c r="L3208" i="2"/>
  <c r="K3208" i="2"/>
  <c r="L3207" i="2"/>
  <c r="K3207" i="2"/>
  <c r="L3206" i="2"/>
  <c r="K3206" i="2"/>
  <c r="L3205" i="2"/>
  <c r="K3205" i="2"/>
  <c r="L3204" i="2"/>
  <c r="K3204" i="2"/>
  <c r="L3203" i="2"/>
  <c r="K3203" i="2"/>
  <c r="L3202" i="2"/>
  <c r="K3202" i="2"/>
  <c r="L3201" i="2"/>
  <c r="K3201" i="2"/>
  <c r="L3200" i="2"/>
  <c r="K3200" i="2"/>
  <c r="L3199" i="2"/>
  <c r="K3199" i="2"/>
  <c r="L3198" i="2"/>
  <c r="K3198" i="2"/>
  <c r="L3197" i="2"/>
  <c r="K3197" i="2"/>
  <c r="L3196" i="2"/>
  <c r="K3196" i="2"/>
  <c r="L3195" i="2"/>
  <c r="K3195" i="2"/>
  <c r="L3194" i="2"/>
  <c r="K3194" i="2"/>
  <c r="L3193" i="2"/>
  <c r="K3193" i="2"/>
  <c r="L3192" i="2"/>
  <c r="K3192" i="2"/>
  <c r="L3191" i="2"/>
  <c r="K3191" i="2"/>
  <c r="L3190" i="2"/>
  <c r="K3190" i="2"/>
  <c r="L3189" i="2"/>
  <c r="K3189" i="2"/>
  <c r="L3188" i="2"/>
  <c r="K3188" i="2"/>
  <c r="L3187" i="2"/>
  <c r="K3187" i="2"/>
  <c r="L3186" i="2"/>
  <c r="K3186" i="2"/>
  <c r="L3185" i="2"/>
  <c r="K3185" i="2"/>
  <c r="L3184" i="2"/>
  <c r="K3184" i="2"/>
  <c r="L3183" i="2"/>
  <c r="K3183" i="2"/>
  <c r="L3182" i="2"/>
  <c r="K3182" i="2"/>
  <c r="L3181" i="2"/>
  <c r="K3181" i="2"/>
  <c r="L3180" i="2"/>
  <c r="K3180" i="2"/>
  <c r="L3179" i="2"/>
  <c r="K3179" i="2"/>
  <c r="L3178" i="2"/>
  <c r="K3178" i="2"/>
  <c r="L3177" i="2"/>
  <c r="K3177" i="2"/>
  <c r="L3176" i="2"/>
  <c r="K3176" i="2"/>
  <c r="L3175" i="2"/>
  <c r="K3175" i="2"/>
  <c r="L3174" i="2"/>
  <c r="K3174" i="2"/>
  <c r="L3173" i="2"/>
  <c r="K3173" i="2"/>
  <c r="L3172" i="2"/>
  <c r="K3172" i="2"/>
  <c r="L3171" i="2"/>
  <c r="K3171" i="2"/>
  <c r="L3170" i="2"/>
  <c r="K3170" i="2"/>
  <c r="L3169" i="2"/>
  <c r="K3169" i="2"/>
  <c r="L3168" i="2"/>
  <c r="K3168" i="2"/>
  <c r="L3167" i="2"/>
  <c r="K3167" i="2"/>
  <c r="L3166" i="2"/>
  <c r="K3166" i="2"/>
  <c r="L3165" i="2"/>
  <c r="K3165" i="2"/>
  <c r="L3164" i="2"/>
  <c r="K3164" i="2"/>
  <c r="L3163" i="2"/>
  <c r="K3163" i="2"/>
  <c r="L3162" i="2"/>
  <c r="K3162" i="2"/>
  <c r="L3161" i="2"/>
  <c r="K3161" i="2"/>
  <c r="L3160" i="2"/>
  <c r="K3160" i="2"/>
  <c r="L3159" i="2"/>
  <c r="K3159" i="2"/>
  <c r="L3158" i="2"/>
  <c r="K3158" i="2"/>
  <c r="L3157" i="2"/>
  <c r="K3157" i="2"/>
  <c r="L3156" i="2"/>
  <c r="K3156" i="2"/>
  <c r="L3155" i="2"/>
  <c r="K3155" i="2"/>
  <c r="L3154" i="2"/>
  <c r="K3154" i="2"/>
  <c r="L3153" i="2"/>
  <c r="K3153" i="2"/>
  <c r="L3152" i="2"/>
  <c r="K3152" i="2"/>
  <c r="L3151" i="2"/>
  <c r="K3151" i="2"/>
  <c r="L3150" i="2"/>
  <c r="K3150" i="2"/>
  <c r="L3149" i="2"/>
  <c r="K3149" i="2"/>
  <c r="L3148" i="2"/>
  <c r="K3148" i="2"/>
  <c r="L3147" i="2"/>
  <c r="K3147" i="2"/>
  <c r="L3146" i="2"/>
  <c r="K3146" i="2"/>
  <c r="L3145" i="2"/>
  <c r="K3145" i="2"/>
  <c r="L3144" i="2"/>
  <c r="K3144" i="2"/>
  <c r="L3143" i="2"/>
  <c r="K3143" i="2"/>
  <c r="L3142" i="2"/>
  <c r="K3142" i="2"/>
  <c r="L3141" i="2"/>
  <c r="K3141" i="2"/>
  <c r="L3140" i="2"/>
  <c r="K3140" i="2"/>
  <c r="L3131" i="2"/>
  <c r="K3131" i="2"/>
  <c r="L3130" i="2"/>
  <c r="K3130" i="2"/>
  <c r="L3129" i="2"/>
  <c r="K3129" i="2"/>
  <c r="L3128" i="2"/>
  <c r="K3128" i="2"/>
  <c r="L3127" i="2"/>
  <c r="K3127" i="2"/>
  <c r="L3126" i="2"/>
  <c r="K3126" i="2"/>
  <c r="L3125" i="2"/>
  <c r="K3125" i="2"/>
  <c r="L3124" i="2"/>
  <c r="K3124" i="2"/>
  <c r="L3123" i="2"/>
  <c r="K3123" i="2"/>
  <c r="L3122" i="2"/>
  <c r="K3122" i="2"/>
  <c r="L3121" i="2"/>
  <c r="K3121" i="2"/>
  <c r="L3120" i="2"/>
  <c r="K3120" i="2"/>
  <c r="L3119" i="2"/>
  <c r="K3119" i="2"/>
  <c r="L3118" i="2"/>
  <c r="K3118" i="2"/>
  <c r="L3117" i="2"/>
  <c r="K3117" i="2"/>
  <c r="L3116" i="2"/>
  <c r="K3116" i="2"/>
  <c r="L3115" i="2"/>
  <c r="K3115" i="2"/>
  <c r="L3114" i="2"/>
  <c r="K3114" i="2"/>
  <c r="L3113" i="2"/>
  <c r="K3113" i="2"/>
  <c r="L3112" i="2"/>
  <c r="K3112" i="2"/>
  <c r="L3111" i="2"/>
  <c r="K3111" i="2"/>
  <c r="L3110" i="2"/>
  <c r="K3110" i="2"/>
  <c r="L3109" i="2"/>
  <c r="K3109" i="2"/>
  <c r="L3108" i="2"/>
  <c r="K3108" i="2"/>
  <c r="L3107" i="2"/>
  <c r="K3107" i="2"/>
  <c r="L3106" i="2"/>
  <c r="K3106" i="2"/>
  <c r="L3105" i="2"/>
  <c r="K3105" i="2"/>
  <c r="L3104" i="2"/>
  <c r="K3104" i="2"/>
  <c r="L3103" i="2"/>
  <c r="K3103" i="2"/>
  <c r="L3102" i="2"/>
  <c r="K3102" i="2"/>
  <c r="L3101" i="2"/>
  <c r="K3101" i="2"/>
  <c r="L3100" i="2"/>
  <c r="K3100" i="2"/>
  <c r="L3099" i="2"/>
  <c r="K3099" i="2"/>
  <c r="L3098" i="2"/>
  <c r="K3098" i="2"/>
  <c r="L3097" i="2"/>
  <c r="K3097" i="2"/>
  <c r="L3096" i="2"/>
  <c r="K3096" i="2"/>
  <c r="L3095" i="2"/>
  <c r="K3095" i="2"/>
  <c r="L3094" i="2"/>
  <c r="K3094" i="2"/>
  <c r="L3093" i="2"/>
  <c r="K3093" i="2"/>
  <c r="L3092" i="2"/>
  <c r="K3092" i="2"/>
  <c r="L3091" i="2"/>
  <c r="K3091" i="2"/>
  <c r="L3090" i="2"/>
  <c r="K3090" i="2"/>
  <c r="L3089" i="2"/>
  <c r="K3089" i="2"/>
  <c r="L3088" i="2"/>
  <c r="K3088" i="2"/>
  <c r="L3087" i="2"/>
  <c r="K3087" i="2"/>
  <c r="L3086" i="2"/>
  <c r="K3086" i="2"/>
  <c r="L3085" i="2"/>
  <c r="K3085" i="2"/>
  <c r="L3084" i="2"/>
  <c r="K3084" i="2"/>
  <c r="L3083" i="2"/>
  <c r="K3083" i="2"/>
  <c r="L3082" i="2"/>
  <c r="K3082" i="2"/>
  <c r="L3081" i="2"/>
  <c r="K3081" i="2"/>
  <c r="L3080" i="2"/>
  <c r="K3080" i="2"/>
  <c r="L3079" i="2"/>
  <c r="K3079" i="2"/>
  <c r="L3078" i="2"/>
  <c r="K3078" i="2"/>
  <c r="L3077" i="2"/>
  <c r="K3077" i="2"/>
  <c r="L3076" i="2"/>
  <c r="K3076" i="2"/>
  <c r="L3075" i="2"/>
  <c r="K3075" i="2"/>
  <c r="L3074" i="2"/>
  <c r="K3074" i="2"/>
  <c r="L3073" i="2"/>
  <c r="K3073" i="2"/>
  <c r="L3072" i="2"/>
  <c r="K3072" i="2"/>
  <c r="L3071" i="2"/>
  <c r="K3071" i="2"/>
  <c r="L3070" i="2"/>
  <c r="K3070" i="2"/>
  <c r="L3069" i="2"/>
  <c r="K3069" i="2"/>
  <c r="L3068" i="2"/>
  <c r="K3068" i="2"/>
  <c r="L3067" i="2"/>
  <c r="K3067" i="2"/>
  <c r="L3066" i="2"/>
  <c r="K3066" i="2"/>
  <c r="L3065" i="2"/>
  <c r="K3065" i="2"/>
  <c r="L3064" i="2"/>
  <c r="K3064" i="2"/>
  <c r="L3063" i="2"/>
  <c r="K3063" i="2"/>
  <c r="L3062" i="2"/>
  <c r="K3062" i="2"/>
  <c r="L3061" i="2"/>
  <c r="K3061" i="2"/>
  <c r="L3060" i="2"/>
  <c r="K3060" i="2"/>
  <c r="L3059" i="2"/>
  <c r="K3059" i="2"/>
  <c r="L3058" i="2"/>
  <c r="K3058" i="2"/>
  <c r="L3057" i="2"/>
  <c r="K3057" i="2"/>
  <c r="L3056" i="2"/>
  <c r="K3056" i="2"/>
  <c r="L3055" i="2"/>
  <c r="K3055" i="2"/>
  <c r="L3054" i="2"/>
  <c r="K3054" i="2"/>
  <c r="L3053" i="2"/>
  <c r="K3053" i="2"/>
  <c r="L3052" i="2"/>
  <c r="K3052" i="2"/>
  <c r="L3051" i="2"/>
  <c r="K3051" i="2"/>
  <c r="L3050" i="2"/>
  <c r="K3050" i="2"/>
  <c r="L3049" i="2"/>
  <c r="K3049" i="2"/>
  <c r="L3048" i="2"/>
  <c r="K3048" i="2"/>
  <c r="L3047" i="2"/>
  <c r="K3047" i="2"/>
  <c r="L3046" i="2"/>
  <c r="K3046" i="2"/>
  <c r="L3045" i="2"/>
  <c r="K3045" i="2"/>
  <c r="L3044" i="2"/>
  <c r="K3044" i="2"/>
  <c r="L3043" i="2"/>
  <c r="K3043" i="2"/>
  <c r="L3042" i="2"/>
  <c r="K3042" i="2"/>
  <c r="L3041" i="2"/>
  <c r="K3041" i="2"/>
  <c r="L3040" i="2"/>
  <c r="K3040" i="2"/>
  <c r="L3039" i="2"/>
  <c r="K3039" i="2"/>
  <c r="L3038" i="2"/>
  <c r="K3038" i="2"/>
  <c r="L3037" i="2"/>
  <c r="K3037" i="2"/>
  <c r="L3036" i="2"/>
  <c r="K3036" i="2"/>
  <c r="L3035" i="2"/>
  <c r="K3035" i="2"/>
  <c r="L3034" i="2"/>
  <c r="K3034" i="2"/>
  <c r="L3033" i="2"/>
  <c r="K3033" i="2"/>
  <c r="L3032" i="2"/>
  <c r="K3032" i="2"/>
  <c r="L3031" i="2"/>
  <c r="K3031" i="2"/>
  <c r="L3030" i="2"/>
  <c r="K3030" i="2"/>
  <c r="L3029" i="2"/>
  <c r="K3029" i="2"/>
  <c r="L3028" i="2"/>
  <c r="K3028" i="2"/>
  <c r="L3027" i="2"/>
  <c r="K3027" i="2"/>
  <c r="L3026" i="2"/>
  <c r="K3026" i="2"/>
  <c r="L3025" i="2"/>
  <c r="K3025" i="2"/>
  <c r="L3024" i="2"/>
  <c r="K3024" i="2"/>
  <c r="L3023" i="2"/>
  <c r="K3023" i="2"/>
  <c r="L3022" i="2"/>
  <c r="K3022" i="2"/>
  <c r="L3021" i="2"/>
  <c r="K3021" i="2"/>
  <c r="L3020" i="2"/>
  <c r="K3020" i="2"/>
  <c r="L3019" i="2"/>
  <c r="K3019" i="2"/>
  <c r="L3018" i="2"/>
  <c r="K3018" i="2"/>
  <c r="L3017" i="2"/>
  <c r="K3017" i="2"/>
  <c r="L3016" i="2"/>
  <c r="K3016" i="2"/>
  <c r="L3015" i="2"/>
  <c r="K3015" i="2"/>
  <c r="L3014" i="2"/>
  <c r="K3014" i="2"/>
  <c r="L3013" i="2"/>
  <c r="K3013" i="2"/>
  <c r="L3012" i="2"/>
  <c r="K3012" i="2"/>
  <c r="L3011" i="2"/>
  <c r="K3011" i="2"/>
  <c r="L3010" i="2"/>
  <c r="K3010" i="2"/>
  <c r="L3009" i="2"/>
  <c r="K3009" i="2"/>
  <c r="L3008" i="2"/>
  <c r="K3008" i="2"/>
  <c r="L3007" i="2"/>
  <c r="K3007" i="2"/>
  <c r="L3006" i="2"/>
  <c r="K3006" i="2"/>
  <c r="L3005" i="2"/>
  <c r="K3005" i="2"/>
  <c r="L3004" i="2"/>
  <c r="K3004" i="2"/>
  <c r="L3003" i="2"/>
  <c r="K3003" i="2"/>
  <c r="L3002" i="2"/>
  <c r="K3002" i="2"/>
  <c r="L3001" i="2"/>
  <c r="K3001" i="2"/>
  <c r="L3000" i="2"/>
  <c r="K3000" i="2"/>
  <c r="L2999" i="2"/>
  <c r="K2999" i="2"/>
  <c r="L2998" i="2"/>
  <c r="K2998" i="2"/>
  <c r="L2997" i="2"/>
  <c r="K2997" i="2"/>
  <c r="L2996" i="2"/>
  <c r="K2996" i="2"/>
  <c r="L2995" i="2"/>
  <c r="K2995" i="2"/>
  <c r="L2994" i="2"/>
  <c r="K2994" i="2"/>
  <c r="L2993" i="2"/>
  <c r="K2993" i="2"/>
  <c r="L2992" i="2"/>
  <c r="K2992" i="2"/>
  <c r="L2991" i="2"/>
  <c r="K2991" i="2"/>
  <c r="L2990" i="2"/>
  <c r="K2990" i="2"/>
  <c r="L2989" i="2"/>
  <c r="K2989" i="2"/>
  <c r="L2988" i="2"/>
  <c r="K2988" i="2"/>
  <c r="L2987" i="2"/>
  <c r="K2987" i="2"/>
  <c r="L2986" i="2"/>
  <c r="K2986" i="2"/>
  <c r="L2985" i="2"/>
  <c r="K2985" i="2"/>
  <c r="L2984" i="2"/>
  <c r="K2984" i="2"/>
  <c r="L2983" i="2"/>
  <c r="K2983" i="2"/>
  <c r="L2982" i="2"/>
  <c r="K2982" i="2"/>
  <c r="L2981" i="2"/>
  <c r="K2981" i="2"/>
  <c r="L2980" i="2"/>
  <c r="K2980" i="2"/>
  <c r="L2979" i="2"/>
  <c r="K2979" i="2"/>
  <c r="L2978" i="2"/>
  <c r="K2978" i="2"/>
  <c r="L2977" i="2"/>
  <c r="K2977" i="2"/>
  <c r="L2976" i="2"/>
  <c r="K2976" i="2"/>
  <c r="L2975" i="2"/>
  <c r="K2975" i="2"/>
  <c r="L2974" i="2"/>
  <c r="K2974" i="2"/>
  <c r="L2973" i="2"/>
  <c r="K2973" i="2"/>
  <c r="L2972" i="2"/>
  <c r="K2972" i="2"/>
  <c r="L2971" i="2"/>
  <c r="K2971" i="2"/>
  <c r="L2970" i="2"/>
  <c r="K2970" i="2"/>
  <c r="L2969" i="2"/>
  <c r="K2969" i="2"/>
  <c r="L2968" i="2"/>
  <c r="K2968" i="2"/>
  <c r="L2967" i="2"/>
  <c r="K2967" i="2"/>
  <c r="L2966" i="2"/>
  <c r="K2966" i="2"/>
  <c r="L2965" i="2"/>
  <c r="K2965" i="2"/>
  <c r="L2964" i="2"/>
  <c r="K2964" i="2"/>
  <c r="L2963" i="2"/>
  <c r="K2963" i="2"/>
  <c r="L2962" i="2"/>
  <c r="K2962" i="2"/>
  <c r="L2961" i="2"/>
  <c r="K2961" i="2"/>
  <c r="L2960" i="2"/>
  <c r="K2960" i="2"/>
  <c r="L2959" i="2"/>
  <c r="K2959" i="2"/>
  <c r="L2958" i="2"/>
  <c r="K2958" i="2"/>
  <c r="L2957" i="2"/>
  <c r="K2957" i="2"/>
  <c r="L2956" i="2"/>
  <c r="K2956" i="2"/>
  <c r="L2955" i="2"/>
  <c r="K2955" i="2"/>
  <c r="L2954" i="2"/>
  <c r="K2954" i="2"/>
  <c r="L2953" i="2"/>
  <c r="K2953" i="2"/>
  <c r="L2952" i="2"/>
  <c r="K2952" i="2"/>
  <c r="L2951" i="2"/>
  <c r="K2951" i="2"/>
  <c r="L2950" i="2"/>
  <c r="K2950" i="2"/>
  <c r="L2949" i="2"/>
  <c r="K2949" i="2"/>
  <c r="L2948" i="2"/>
  <c r="K2948" i="2"/>
  <c r="L2947" i="2"/>
  <c r="K2947" i="2"/>
  <c r="L2946" i="2"/>
  <c r="K2946" i="2"/>
  <c r="L2945" i="2"/>
  <c r="K2945" i="2"/>
  <c r="L2944" i="2"/>
  <c r="K2944" i="2"/>
  <c r="L2943" i="2"/>
  <c r="K2943" i="2"/>
  <c r="L2942" i="2"/>
  <c r="K2942" i="2"/>
  <c r="L2941" i="2"/>
  <c r="K2941" i="2"/>
  <c r="L2940" i="2"/>
  <c r="K2940" i="2"/>
  <c r="L2939" i="2"/>
  <c r="K2939" i="2"/>
  <c r="L2938" i="2"/>
  <c r="K2938" i="2"/>
  <c r="L2937" i="2"/>
  <c r="K2937" i="2"/>
  <c r="L2936" i="2"/>
  <c r="K2936" i="2"/>
  <c r="L2935" i="2"/>
  <c r="K2935" i="2"/>
  <c r="L2934" i="2"/>
  <c r="K2934" i="2"/>
  <c r="L2933" i="2"/>
  <c r="K2933" i="2"/>
  <c r="L2932" i="2"/>
  <c r="K2932" i="2"/>
  <c r="L2931" i="2"/>
  <c r="K2931" i="2"/>
  <c r="L2930" i="2"/>
  <c r="K2930" i="2"/>
  <c r="L2929" i="2"/>
  <c r="K2929" i="2"/>
  <c r="L2928" i="2"/>
  <c r="K2928" i="2"/>
  <c r="L2927" i="2"/>
  <c r="K2927" i="2"/>
  <c r="L2926" i="2"/>
  <c r="K2926" i="2"/>
  <c r="L2925" i="2"/>
  <c r="K2925" i="2"/>
  <c r="L2924" i="2"/>
  <c r="K2924" i="2"/>
  <c r="L2923" i="2"/>
  <c r="K2923" i="2"/>
  <c r="L2922" i="2"/>
  <c r="K2922" i="2"/>
  <c r="L2921" i="2"/>
  <c r="K2921" i="2"/>
  <c r="L2920" i="2"/>
  <c r="K2920" i="2"/>
  <c r="L2919" i="2"/>
  <c r="K2919" i="2"/>
  <c r="L2918" i="2"/>
  <c r="K2918" i="2"/>
  <c r="L2917" i="2"/>
  <c r="K2917" i="2"/>
  <c r="L2916" i="2"/>
  <c r="K2916" i="2"/>
  <c r="L2915" i="2"/>
  <c r="K2915" i="2"/>
  <c r="L2914" i="2"/>
  <c r="K2914" i="2"/>
  <c r="L2913" i="2"/>
  <c r="K2913" i="2"/>
  <c r="L2912" i="2"/>
  <c r="K2912" i="2"/>
  <c r="L2911" i="2"/>
  <c r="K2911" i="2"/>
  <c r="L2910" i="2"/>
  <c r="K2910" i="2"/>
  <c r="L2909" i="2"/>
  <c r="K2909" i="2"/>
  <c r="L2908" i="2"/>
  <c r="K2908" i="2"/>
  <c r="L2907" i="2"/>
  <c r="K2907" i="2"/>
  <c r="L2906" i="2"/>
  <c r="K2906" i="2"/>
  <c r="L2905" i="2"/>
  <c r="K2905" i="2"/>
  <c r="L2904" i="2"/>
  <c r="K2904" i="2"/>
  <c r="L2903" i="2"/>
  <c r="K2903" i="2"/>
  <c r="L2902" i="2"/>
  <c r="K2902" i="2"/>
  <c r="L2901" i="2"/>
  <c r="K2901" i="2"/>
  <c r="L2900" i="2"/>
  <c r="K2900" i="2"/>
  <c r="L2899" i="2"/>
  <c r="K2899" i="2"/>
  <c r="L2898" i="2"/>
  <c r="K2898" i="2"/>
  <c r="L2897" i="2"/>
  <c r="K2897" i="2"/>
  <c r="L2896" i="2"/>
  <c r="K2896" i="2"/>
  <c r="L2895" i="2"/>
  <c r="K2895" i="2"/>
  <c r="L2894" i="2"/>
  <c r="K2894" i="2"/>
  <c r="L2893" i="2"/>
  <c r="K2893" i="2"/>
  <c r="L2892" i="2"/>
  <c r="K2892" i="2"/>
  <c r="L2891" i="2"/>
  <c r="K2891" i="2"/>
  <c r="L2890" i="2"/>
  <c r="K2890" i="2"/>
  <c r="L2889" i="2"/>
  <c r="K2889" i="2"/>
  <c r="L2888" i="2"/>
  <c r="K2888" i="2"/>
  <c r="L2887" i="2"/>
  <c r="K2887" i="2"/>
  <c r="L2886" i="2"/>
  <c r="K2886" i="2"/>
  <c r="L2885" i="2"/>
  <c r="K2885" i="2"/>
  <c r="L2884" i="2"/>
  <c r="K2884" i="2"/>
  <c r="L2883" i="2"/>
  <c r="K2883" i="2"/>
  <c r="L2882" i="2"/>
  <c r="K2882" i="2"/>
  <c r="L2881" i="2"/>
  <c r="K2881" i="2"/>
  <c r="L2880" i="2"/>
  <c r="K2880" i="2"/>
  <c r="L2879" i="2"/>
  <c r="K2879" i="2"/>
  <c r="L2878" i="2"/>
  <c r="K2878" i="2"/>
  <c r="L2877" i="2"/>
  <c r="K2877" i="2"/>
  <c r="L2876" i="2"/>
  <c r="K2876" i="2"/>
  <c r="L2875" i="2"/>
  <c r="K2875" i="2"/>
  <c r="L2874" i="2"/>
  <c r="K2874" i="2"/>
  <c r="L2873" i="2"/>
  <c r="K2873" i="2"/>
  <c r="L2872" i="2"/>
  <c r="K2872" i="2"/>
  <c r="L2871" i="2"/>
  <c r="K2871" i="2"/>
  <c r="L2870" i="2"/>
  <c r="K2870" i="2"/>
  <c r="L2869" i="2"/>
  <c r="K2869" i="2"/>
  <c r="L2868" i="2"/>
  <c r="K2868" i="2"/>
  <c r="L2867" i="2"/>
  <c r="K2867" i="2"/>
  <c r="L2866" i="2"/>
  <c r="K2866" i="2"/>
  <c r="L2865" i="2"/>
  <c r="K2865" i="2"/>
  <c r="L2864" i="2"/>
  <c r="K2864" i="2"/>
  <c r="L2863" i="2"/>
  <c r="K2863" i="2"/>
  <c r="L2862" i="2"/>
  <c r="K2862" i="2"/>
  <c r="L2861" i="2"/>
  <c r="K2861" i="2"/>
  <c r="L2860" i="2"/>
  <c r="K2860" i="2"/>
  <c r="L2859" i="2"/>
  <c r="K2859" i="2"/>
  <c r="L2858" i="2"/>
  <c r="K2858" i="2"/>
  <c r="L2857" i="2"/>
  <c r="K2857" i="2"/>
  <c r="L2856" i="2"/>
  <c r="K2856" i="2"/>
  <c r="L2855" i="2"/>
  <c r="K2855" i="2"/>
  <c r="L2854" i="2"/>
  <c r="K2854" i="2"/>
  <c r="L2853" i="2"/>
  <c r="K2853" i="2"/>
  <c r="L2852" i="2"/>
  <c r="K2852" i="2"/>
  <c r="L2851" i="2"/>
  <c r="K2851" i="2"/>
  <c r="L2850" i="2"/>
  <c r="K2850" i="2"/>
  <c r="L2849" i="2"/>
  <c r="K2849" i="2"/>
  <c r="L2848" i="2"/>
  <c r="K2848" i="2"/>
  <c r="L2847" i="2"/>
  <c r="K2847" i="2"/>
  <c r="L2846" i="2"/>
  <c r="K2846" i="2"/>
  <c r="L2845" i="2"/>
  <c r="K2845" i="2"/>
  <c r="L2844" i="2"/>
  <c r="K2844" i="2"/>
  <c r="L2843" i="2"/>
  <c r="K2843" i="2"/>
  <c r="L2842" i="2"/>
  <c r="K2842" i="2"/>
  <c r="L2841" i="2"/>
  <c r="K2841" i="2"/>
  <c r="L2840" i="2"/>
  <c r="K2840" i="2"/>
  <c r="L2839" i="2"/>
  <c r="K2839" i="2"/>
  <c r="L2838" i="2"/>
  <c r="K2838" i="2"/>
  <c r="L2837" i="2"/>
  <c r="K2837" i="2"/>
  <c r="L2836" i="2"/>
  <c r="K2836" i="2"/>
  <c r="L2835" i="2"/>
  <c r="K2835" i="2"/>
  <c r="L2834" i="2"/>
  <c r="K2834" i="2"/>
  <c r="L2833" i="2"/>
  <c r="K2833" i="2"/>
  <c r="L2832" i="2"/>
  <c r="K2832" i="2"/>
  <c r="L2831" i="2"/>
  <c r="K2831" i="2"/>
  <c r="L2830" i="2"/>
  <c r="K2830" i="2"/>
  <c r="L2829" i="2"/>
  <c r="K2829" i="2"/>
  <c r="L2828" i="2"/>
  <c r="K2828" i="2"/>
  <c r="K2827" i="2"/>
  <c r="K2826" i="2"/>
  <c r="K2825" i="2"/>
  <c r="K2824" i="2"/>
  <c r="K2823" i="2"/>
  <c r="K2822" i="2"/>
  <c r="K2821" i="2"/>
  <c r="K2820" i="2"/>
  <c r="K2819" i="2"/>
  <c r="K2818" i="2"/>
  <c r="K2817" i="2"/>
  <c r="K2816" i="2"/>
  <c r="K2815" i="2"/>
  <c r="K2814" i="2"/>
  <c r="K2813" i="2"/>
  <c r="K2812" i="2"/>
  <c r="K2811" i="2"/>
  <c r="K2810" i="2"/>
  <c r="K2809" i="2"/>
  <c r="K2808" i="2"/>
  <c r="K2807" i="2"/>
  <c r="K2806" i="2"/>
  <c r="K2805" i="2"/>
  <c r="K2804" i="2"/>
  <c r="K2803" i="2"/>
  <c r="K2802" i="2"/>
  <c r="K2801" i="2"/>
  <c r="K2800" i="2"/>
  <c r="K2799" i="2"/>
  <c r="K2798" i="2"/>
  <c r="K2797" i="2"/>
  <c r="K2796" i="2"/>
  <c r="K2795" i="2"/>
  <c r="K2794" i="2"/>
  <c r="K2793" i="2"/>
  <c r="K2792" i="2"/>
  <c r="K2791" i="2"/>
  <c r="K2790" i="2"/>
  <c r="K2789" i="2"/>
  <c r="K2788" i="2"/>
  <c r="K2787" i="2"/>
  <c r="K2786" i="2"/>
  <c r="K2785" i="2"/>
  <c r="K2784" i="2"/>
  <c r="K2783" i="2"/>
  <c r="K2782" i="2"/>
  <c r="K2781" i="2"/>
  <c r="K2780" i="2"/>
  <c r="K2779" i="2"/>
  <c r="K2778" i="2"/>
  <c r="K2777" i="2"/>
  <c r="K2776" i="2"/>
  <c r="K2775" i="2"/>
  <c r="K2774" i="2"/>
  <c r="L2773" i="2"/>
  <c r="K2773" i="2"/>
  <c r="L2772" i="2"/>
  <c r="K2772" i="2"/>
  <c r="L2771" i="2"/>
  <c r="K2771" i="2"/>
  <c r="L2770" i="2"/>
  <c r="K2770" i="2"/>
  <c r="L2769" i="2"/>
  <c r="K2769" i="2"/>
  <c r="L2768" i="2"/>
  <c r="K2768" i="2"/>
  <c r="L2767" i="2"/>
  <c r="K2767" i="2"/>
  <c r="L2766" i="2"/>
  <c r="K2766" i="2"/>
  <c r="L2765" i="2"/>
  <c r="K2765" i="2"/>
  <c r="L2764" i="2"/>
  <c r="K2764" i="2"/>
  <c r="L2763" i="2"/>
  <c r="K2763" i="2"/>
  <c r="L2762" i="2"/>
  <c r="K2762" i="2"/>
  <c r="L2761" i="2"/>
  <c r="K2761" i="2"/>
  <c r="L2760" i="2"/>
  <c r="K2760" i="2"/>
  <c r="L2759" i="2"/>
  <c r="K2759" i="2"/>
  <c r="L2758" i="2"/>
  <c r="K2758" i="2"/>
  <c r="L2757" i="2"/>
  <c r="K2757" i="2"/>
  <c r="L2756" i="2"/>
  <c r="K2756" i="2"/>
  <c r="L2755" i="2"/>
  <c r="K2755" i="2"/>
  <c r="L2754" i="2"/>
  <c r="K2754" i="2"/>
  <c r="L2753" i="2"/>
  <c r="K2753" i="2"/>
  <c r="L2752" i="2"/>
  <c r="K2752" i="2"/>
  <c r="L2751" i="2"/>
  <c r="K2751" i="2"/>
  <c r="L2750" i="2"/>
  <c r="K2750" i="2"/>
  <c r="L2749" i="2"/>
  <c r="K2749" i="2"/>
  <c r="L2748" i="2"/>
  <c r="K2748" i="2"/>
  <c r="L2747" i="2"/>
  <c r="K2747" i="2"/>
  <c r="L2746" i="2"/>
  <c r="K2746" i="2"/>
  <c r="L2745" i="2"/>
  <c r="K2745" i="2"/>
  <c r="L2744" i="2"/>
  <c r="K2744" i="2"/>
  <c r="L2743" i="2"/>
  <c r="K2743" i="2"/>
  <c r="L2742" i="2"/>
  <c r="K2742" i="2"/>
  <c r="L2741" i="2"/>
  <c r="K2741" i="2"/>
  <c r="L2740" i="2"/>
  <c r="K2740" i="2"/>
  <c r="L2739" i="2"/>
  <c r="K2739" i="2"/>
  <c r="L2738" i="2"/>
  <c r="K2738" i="2"/>
  <c r="L2737" i="2"/>
  <c r="K2737" i="2"/>
  <c r="L2736" i="2"/>
  <c r="K2736" i="2"/>
  <c r="L2735" i="2"/>
  <c r="K2735" i="2"/>
  <c r="L2734" i="2"/>
  <c r="K2734" i="2"/>
  <c r="L2733" i="2"/>
  <c r="K2733" i="2"/>
  <c r="L2732" i="2"/>
  <c r="K2732" i="2"/>
  <c r="L2731" i="2"/>
  <c r="K2731" i="2"/>
  <c r="L2730" i="2"/>
  <c r="K2730" i="2"/>
  <c r="L2729" i="2"/>
  <c r="K2729" i="2"/>
  <c r="L2728" i="2"/>
  <c r="K2728" i="2"/>
  <c r="L2727" i="2"/>
  <c r="K2727" i="2"/>
  <c r="L2726" i="2"/>
  <c r="K2726" i="2"/>
  <c r="L2725" i="2"/>
  <c r="K2725" i="2"/>
  <c r="L2724" i="2"/>
  <c r="K2724" i="2"/>
  <c r="L2723" i="2"/>
  <c r="K2723" i="2"/>
  <c r="L2722" i="2"/>
  <c r="K2722" i="2"/>
  <c r="L2721" i="2"/>
  <c r="K2721" i="2"/>
  <c r="L2720" i="2"/>
  <c r="K2720" i="2"/>
  <c r="L2719" i="2"/>
  <c r="K2719" i="2"/>
  <c r="L2718" i="2"/>
  <c r="K2718" i="2"/>
  <c r="L2717" i="2"/>
  <c r="K2717" i="2"/>
  <c r="L2716" i="2"/>
  <c r="K2716" i="2"/>
  <c r="L2715" i="2"/>
  <c r="K2715" i="2"/>
  <c r="L2714" i="2"/>
  <c r="K2714" i="2"/>
  <c r="L2713" i="2"/>
  <c r="K2713" i="2"/>
  <c r="L2712" i="2"/>
  <c r="K2712" i="2"/>
  <c r="L2711" i="2"/>
  <c r="K2711" i="2"/>
  <c r="L2710" i="2"/>
  <c r="K2710" i="2"/>
  <c r="L2709" i="2"/>
  <c r="K2709" i="2"/>
  <c r="L2708" i="2"/>
  <c r="K2708" i="2"/>
  <c r="L2707" i="2"/>
  <c r="K2707" i="2"/>
  <c r="L2706" i="2"/>
  <c r="K2706" i="2"/>
  <c r="L2705" i="2"/>
  <c r="K2705" i="2"/>
  <c r="L2704" i="2"/>
  <c r="K2704" i="2"/>
  <c r="L2703" i="2"/>
  <c r="K2703" i="2"/>
  <c r="L2702" i="2"/>
  <c r="K2702" i="2"/>
  <c r="L2701" i="2"/>
  <c r="K2701" i="2"/>
  <c r="L2700" i="2"/>
  <c r="K2700" i="2"/>
  <c r="L2699" i="2"/>
  <c r="K2699" i="2"/>
  <c r="L2698" i="2"/>
  <c r="K2698" i="2"/>
  <c r="L2697" i="2"/>
  <c r="K2697" i="2"/>
  <c r="L2696" i="2"/>
  <c r="K2696" i="2"/>
  <c r="L2695" i="2"/>
  <c r="K2695" i="2"/>
  <c r="L2694" i="2"/>
  <c r="K2694" i="2"/>
  <c r="L2693" i="2"/>
  <c r="K2693" i="2"/>
  <c r="L2692" i="2"/>
  <c r="K2692" i="2"/>
  <c r="L2691" i="2"/>
  <c r="K2691" i="2"/>
  <c r="L2690" i="2"/>
  <c r="K2690" i="2"/>
  <c r="L2689" i="2"/>
  <c r="K2689" i="2"/>
  <c r="L2688" i="2"/>
  <c r="K2688" i="2"/>
  <c r="L2687" i="2"/>
  <c r="K2687" i="2"/>
  <c r="L2686" i="2"/>
  <c r="K2686" i="2"/>
  <c r="L2685" i="2"/>
  <c r="K2685" i="2"/>
  <c r="L2684" i="2"/>
  <c r="K2684" i="2"/>
  <c r="L2683" i="2"/>
  <c r="K2683" i="2"/>
  <c r="L2682" i="2"/>
  <c r="K2682" i="2"/>
  <c r="L2681" i="2"/>
  <c r="K2681" i="2"/>
  <c r="L2680" i="2"/>
  <c r="K2680" i="2"/>
  <c r="L2679" i="2"/>
  <c r="K2679" i="2"/>
  <c r="L2678" i="2"/>
  <c r="K2678" i="2"/>
  <c r="L2677" i="2"/>
  <c r="K2677" i="2"/>
  <c r="L2676" i="2"/>
  <c r="K2676" i="2"/>
  <c r="L2675" i="2"/>
  <c r="K2675" i="2"/>
  <c r="L2674" i="2"/>
  <c r="K2674" i="2"/>
  <c r="L2673" i="2"/>
  <c r="K2673" i="2"/>
  <c r="L2672" i="2"/>
  <c r="K2672" i="2"/>
  <c r="L2671" i="2"/>
  <c r="K2671" i="2"/>
  <c r="L2670" i="2"/>
  <c r="K2670" i="2"/>
  <c r="L2669" i="2"/>
  <c r="K2669" i="2"/>
  <c r="L2668" i="2"/>
  <c r="K2668" i="2"/>
  <c r="L2667" i="2"/>
  <c r="K2667" i="2"/>
  <c r="L2666" i="2"/>
  <c r="K2666" i="2"/>
  <c r="L2665" i="2"/>
  <c r="K2665" i="2"/>
  <c r="L2664" i="2"/>
  <c r="K2664" i="2"/>
  <c r="L2663" i="2"/>
  <c r="K2663" i="2"/>
  <c r="L2662" i="2"/>
  <c r="K2662" i="2"/>
  <c r="L2661" i="2"/>
  <c r="K2661" i="2"/>
  <c r="L2660" i="2"/>
  <c r="K2660" i="2"/>
  <c r="L2659" i="2"/>
  <c r="K2659" i="2"/>
  <c r="L2658" i="2"/>
  <c r="K2658" i="2"/>
  <c r="L2657" i="2"/>
  <c r="K2657" i="2"/>
  <c r="L2656" i="2"/>
  <c r="K2656" i="2"/>
  <c r="L2655" i="2"/>
  <c r="K2655" i="2"/>
  <c r="L2654" i="2"/>
  <c r="K2654" i="2"/>
  <c r="L2653" i="2"/>
  <c r="K2653" i="2"/>
  <c r="L2652" i="2"/>
  <c r="K2652" i="2"/>
  <c r="L2651" i="2"/>
  <c r="K2651" i="2"/>
  <c r="L2650" i="2"/>
  <c r="K2650" i="2"/>
  <c r="L2649" i="2"/>
  <c r="K2649" i="2"/>
  <c r="L2648" i="2"/>
  <c r="K2648" i="2"/>
  <c r="L2647" i="2"/>
  <c r="K2647" i="2"/>
  <c r="L2646" i="2"/>
  <c r="K2646" i="2"/>
  <c r="L2645" i="2"/>
  <c r="K2645" i="2"/>
  <c r="L2644" i="2"/>
  <c r="K2644" i="2"/>
  <c r="L2643" i="2"/>
  <c r="K2643" i="2"/>
  <c r="L2642" i="2"/>
  <c r="K2642" i="2"/>
  <c r="L2641" i="2"/>
  <c r="K2641" i="2"/>
  <c r="L2640" i="2"/>
  <c r="K2640" i="2"/>
  <c r="L2639" i="2"/>
  <c r="K2639" i="2"/>
  <c r="L2638" i="2"/>
  <c r="K2638" i="2"/>
  <c r="L2637" i="2"/>
  <c r="K2637" i="2"/>
  <c r="L2636" i="2"/>
  <c r="K2636" i="2"/>
  <c r="L2635" i="2"/>
  <c r="K2635" i="2"/>
  <c r="L2634" i="2"/>
  <c r="K2634" i="2"/>
  <c r="L2633" i="2"/>
  <c r="K2633" i="2"/>
  <c r="L2632" i="2"/>
  <c r="K2632" i="2"/>
  <c r="L2631" i="2"/>
  <c r="K2631" i="2"/>
  <c r="L2630" i="2"/>
  <c r="K2630" i="2"/>
  <c r="L2629" i="2"/>
  <c r="K2629" i="2"/>
  <c r="L2628" i="2"/>
  <c r="K2628" i="2"/>
  <c r="L2627" i="2"/>
  <c r="K2627" i="2"/>
  <c r="L2626" i="2"/>
  <c r="K2626" i="2"/>
  <c r="L2625" i="2"/>
  <c r="K2625" i="2"/>
  <c r="L2624" i="2"/>
  <c r="K2624" i="2"/>
  <c r="L2623" i="2"/>
  <c r="K2623" i="2"/>
  <c r="L2622" i="2"/>
  <c r="K2622" i="2"/>
  <c r="L2621" i="2"/>
  <c r="K2621" i="2"/>
  <c r="L2620" i="2"/>
  <c r="K2620" i="2"/>
  <c r="L2619" i="2"/>
  <c r="K2619" i="2"/>
  <c r="L2618" i="2"/>
  <c r="K2618" i="2"/>
  <c r="L2617" i="2"/>
  <c r="K2617" i="2"/>
  <c r="L2616" i="2"/>
  <c r="K2616" i="2"/>
  <c r="L2615" i="2"/>
  <c r="K2615" i="2"/>
  <c r="L2614" i="2"/>
  <c r="K2614" i="2"/>
  <c r="L2613" i="2"/>
  <c r="K2613" i="2"/>
  <c r="L2612" i="2"/>
  <c r="K2612" i="2"/>
  <c r="L2611" i="2"/>
  <c r="K2611" i="2"/>
  <c r="L2610" i="2"/>
  <c r="K2610" i="2"/>
  <c r="L2609" i="2"/>
  <c r="K2609" i="2"/>
  <c r="L2608" i="2"/>
  <c r="K2608" i="2"/>
  <c r="L2607" i="2"/>
  <c r="K2607" i="2"/>
  <c r="L2606" i="2"/>
  <c r="K2606" i="2"/>
  <c r="L2605" i="2"/>
  <c r="K2605" i="2"/>
  <c r="L2604" i="2"/>
  <c r="K2604" i="2"/>
  <c r="L2603" i="2"/>
  <c r="K2603" i="2"/>
  <c r="L2602" i="2"/>
  <c r="K2602" i="2"/>
  <c r="L2601" i="2"/>
  <c r="K2601" i="2"/>
  <c r="L2600" i="2"/>
  <c r="K2600" i="2"/>
  <c r="L2599" i="2"/>
  <c r="K2599" i="2"/>
  <c r="L2598" i="2"/>
  <c r="K2598" i="2"/>
  <c r="L2597" i="2"/>
  <c r="K2597" i="2"/>
  <c r="L2596" i="2"/>
  <c r="K2596" i="2"/>
  <c r="L2595" i="2"/>
  <c r="K2595" i="2"/>
  <c r="L2594" i="2"/>
  <c r="K2594" i="2"/>
  <c r="L2593" i="2"/>
  <c r="K2593" i="2"/>
  <c r="L2592" i="2"/>
  <c r="K2592" i="2"/>
  <c r="L2591" i="2"/>
  <c r="K2591" i="2"/>
  <c r="L2590" i="2"/>
  <c r="K2590" i="2"/>
  <c r="L2589" i="2"/>
  <c r="K2589" i="2"/>
  <c r="L2588" i="2"/>
  <c r="K2588" i="2"/>
  <c r="L2587" i="2"/>
  <c r="K2587" i="2"/>
  <c r="L2586" i="2"/>
  <c r="K2586" i="2"/>
  <c r="L2585" i="2"/>
  <c r="K2585" i="2"/>
  <c r="L2584" i="2"/>
  <c r="K2584" i="2"/>
  <c r="L2583" i="2"/>
  <c r="K2583" i="2"/>
  <c r="L2582" i="2"/>
  <c r="K2582" i="2"/>
  <c r="L2581" i="2"/>
  <c r="K2581" i="2"/>
  <c r="L2580" i="2"/>
  <c r="K2580" i="2"/>
  <c r="L2579" i="2"/>
  <c r="K2579" i="2"/>
  <c r="L2578" i="2"/>
  <c r="K2578" i="2"/>
  <c r="L2577" i="2"/>
  <c r="K2577" i="2"/>
  <c r="L2576" i="2"/>
  <c r="K2576" i="2"/>
  <c r="L2575" i="2"/>
  <c r="K2575" i="2"/>
  <c r="L2574" i="2"/>
  <c r="K2574" i="2"/>
  <c r="L2573" i="2"/>
  <c r="K2573" i="2"/>
  <c r="L2572" i="2"/>
  <c r="K2572" i="2"/>
  <c r="L2571" i="2"/>
  <c r="K2571" i="2"/>
  <c r="L2570" i="2"/>
  <c r="K2570" i="2"/>
  <c r="L2569" i="2"/>
  <c r="K2569" i="2"/>
  <c r="L2568" i="2"/>
  <c r="K2568" i="2"/>
  <c r="L2567" i="2"/>
  <c r="K2567" i="2"/>
  <c r="L2566" i="2"/>
  <c r="K2566" i="2"/>
  <c r="L2565" i="2"/>
  <c r="K2565" i="2"/>
  <c r="L2564" i="2"/>
  <c r="K2564" i="2"/>
  <c r="L2563" i="2"/>
  <c r="K2563" i="2"/>
  <c r="L2562" i="2"/>
  <c r="K2562" i="2"/>
  <c r="L2561" i="2"/>
  <c r="K2561" i="2"/>
  <c r="L2560" i="2"/>
  <c r="K2560" i="2"/>
  <c r="L2559" i="2"/>
  <c r="K2559" i="2"/>
  <c r="L2558" i="2"/>
  <c r="K2558" i="2"/>
  <c r="L2557" i="2"/>
  <c r="K2557" i="2"/>
  <c r="L2556" i="2"/>
  <c r="K2556" i="2"/>
  <c r="L2555" i="2"/>
  <c r="K2555" i="2"/>
  <c r="L2554" i="2"/>
  <c r="K2554" i="2"/>
  <c r="L2553" i="2"/>
  <c r="K2553" i="2"/>
  <c r="L2552" i="2"/>
  <c r="K2552" i="2"/>
  <c r="L2551" i="2"/>
  <c r="K2551" i="2"/>
  <c r="L2550" i="2"/>
  <c r="K2550" i="2"/>
  <c r="L2549" i="2"/>
  <c r="K2549" i="2"/>
  <c r="L2548" i="2"/>
  <c r="K2548" i="2"/>
  <c r="L2547" i="2"/>
  <c r="K2547" i="2"/>
  <c r="L2546" i="2"/>
  <c r="K2546" i="2"/>
  <c r="L2545" i="2"/>
  <c r="K2545" i="2"/>
  <c r="L2544" i="2"/>
  <c r="K2544" i="2"/>
  <c r="L2543" i="2"/>
  <c r="K2543" i="2"/>
  <c r="L2542" i="2"/>
  <c r="K2542" i="2"/>
  <c r="L2541" i="2"/>
  <c r="K2541" i="2"/>
  <c r="L2540" i="2"/>
  <c r="K2540" i="2"/>
  <c r="L2539" i="2"/>
  <c r="K2539" i="2"/>
  <c r="L2538" i="2"/>
  <c r="K2538" i="2"/>
  <c r="L2537" i="2"/>
  <c r="K2537" i="2"/>
  <c r="L2536" i="2"/>
  <c r="K2536" i="2"/>
  <c r="L2535" i="2"/>
  <c r="K2535" i="2"/>
  <c r="L2534" i="2"/>
  <c r="K2534" i="2"/>
  <c r="L2533" i="2"/>
  <c r="K2533" i="2"/>
  <c r="L2532" i="2"/>
  <c r="K2532" i="2"/>
  <c r="L2531" i="2"/>
  <c r="K2531" i="2"/>
  <c r="L2530" i="2"/>
  <c r="K2530" i="2"/>
  <c r="L2529" i="2"/>
  <c r="K2529" i="2"/>
  <c r="L2528" i="2"/>
  <c r="K2528" i="2"/>
  <c r="L2527" i="2"/>
  <c r="K2527" i="2"/>
  <c r="L2526" i="2"/>
  <c r="K2526" i="2"/>
  <c r="L2525" i="2"/>
  <c r="K2525" i="2"/>
  <c r="L2524" i="2"/>
  <c r="K2524" i="2"/>
  <c r="L2523" i="2"/>
  <c r="K2523" i="2"/>
  <c r="L2522" i="2"/>
  <c r="K2522" i="2"/>
  <c r="L2521" i="2"/>
  <c r="K2521" i="2"/>
  <c r="L2520" i="2"/>
  <c r="K2520" i="2"/>
  <c r="L2519" i="2"/>
  <c r="K2519" i="2"/>
  <c r="L2518" i="2"/>
  <c r="K2518" i="2"/>
  <c r="L2517" i="2"/>
  <c r="K2517" i="2"/>
  <c r="L2516" i="2"/>
  <c r="K2516" i="2"/>
  <c r="L2515" i="2"/>
  <c r="K2515" i="2"/>
  <c r="L2514" i="2"/>
  <c r="K2514" i="2"/>
  <c r="L2513" i="2"/>
  <c r="K2513" i="2"/>
  <c r="L2512" i="2"/>
  <c r="K2512" i="2"/>
  <c r="L2511" i="2"/>
  <c r="K2511" i="2"/>
  <c r="L2510" i="2"/>
  <c r="K2510" i="2"/>
  <c r="L2509" i="2"/>
  <c r="K2509" i="2"/>
  <c r="L2508" i="2"/>
  <c r="K2508" i="2"/>
  <c r="L2507" i="2"/>
  <c r="K2507" i="2"/>
  <c r="L2506" i="2"/>
  <c r="K2506" i="2"/>
  <c r="L2505" i="2"/>
  <c r="K2505" i="2"/>
  <c r="L2504" i="2"/>
  <c r="K2504" i="2"/>
  <c r="L2503" i="2"/>
  <c r="K2503" i="2"/>
  <c r="L2502" i="2"/>
  <c r="K2502" i="2"/>
  <c r="L2501" i="2"/>
  <c r="K2501" i="2"/>
  <c r="L2500" i="2"/>
  <c r="K2500" i="2"/>
  <c r="L2499" i="2"/>
  <c r="K2499" i="2"/>
  <c r="L2498" i="2"/>
  <c r="K2498" i="2"/>
  <c r="L2497" i="2"/>
  <c r="K2497" i="2"/>
  <c r="L2496" i="2"/>
  <c r="K2496" i="2"/>
  <c r="L2495" i="2"/>
  <c r="K2495" i="2"/>
  <c r="L2494" i="2"/>
  <c r="K2494" i="2"/>
  <c r="L2493" i="2"/>
  <c r="K2493" i="2"/>
  <c r="L2492" i="2"/>
  <c r="K2492" i="2"/>
  <c r="L2491" i="2"/>
  <c r="K2491" i="2"/>
  <c r="L2490" i="2"/>
  <c r="K2490" i="2"/>
  <c r="L2489" i="2"/>
  <c r="K2489" i="2"/>
  <c r="L2488" i="2"/>
  <c r="K2488" i="2"/>
  <c r="L2487" i="2"/>
  <c r="K2487" i="2"/>
  <c r="L2486" i="2"/>
  <c r="K2486" i="2"/>
  <c r="L2485" i="2"/>
  <c r="K2485" i="2"/>
  <c r="L2484" i="2"/>
  <c r="K2484" i="2"/>
  <c r="L2483" i="2"/>
  <c r="K2483" i="2"/>
  <c r="L2482" i="2"/>
  <c r="K2482" i="2"/>
  <c r="L2481" i="2"/>
  <c r="K2481" i="2"/>
  <c r="L2480" i="2"/>
  <c r="K2480" i="2"/>
  <c r="L2479" i="2"/>
  <c r="K2479" i="2"/>
  <c r="L2478" i="2"/>
  <c r="K2478" i="2"/>
  <c r="L2477" i="2"/>
  <c r="K2477" i="2"/>
  <c r="L2476" i="2"/>
  <c r="K2476" i="2"/>
  <c r="L2475" i="2"/>
  <c r="K2475" i="2"/>
  <c r="L2474" i="2"/>
  <c r="K2474" i="2"/>
  <c r="L2473" i="2"/>
  <c r="K2473" i="2"/>
  <c r="L2472" i="2"/>
  <c r="K2472" i="2"/>
  <c r="L2471" i="2"/>
  <c r="K2471" i="2"/>
  <c r="L2470" i="2"/>
  <c r="K2470" i="2"/>
  <c r="L2469" i="2"/>
  <c r="K2469" i="2"/>
  <c r="L2468" i="2"/>
  <c r="K2468" i="2"/>
  <c r="L2467" i="2"/>
  <c r="K2467" i="2"/>
  <c r="L2466" i="2"/>
  <c r="K2466" i="2"/>
  <c r="L2465" i="2"/>
  <c r="K2465" i="2"/>
  <c r="L2464" i="2"/>
  <c r="K2464" i="2"/>
  <c r="L2463" i="2"/>
  <c r="K2463" i="2"/>
  <c r="L2462" i="2"/>
  <c r="K2462" i="2"/>
  <c r="L2461" i="2"/>
  <c r="K2461" i="2"/>
  <c r="L2460" i="2"/>
  <c r="K2460" i="2"/>
  <c r="L2459" i="2"/>
  <c r="K2459" i="2"/>
  <c r="L2458" i="2"/>
  <c r="K2458" i="2"/>
  <c r="L2457" i="2"/>
  <c r="K2457" i="2"/>
  <c r="L2456" i="2"/>
  <c r="K2456" i="2"/>
  <c r="L2455" i="2"/>
  <c r="K2455" i="2"/>
  <c r="L2454" i="2"/>
  <c r="K2454" i="2"/>
  <c r="L2453" i="2"/>
  <c r="K2453" i="2"/>
  <c r="L2452" i="2"/>
  <c r="K2452" i="2"/>
  <c r="L2451" i="2"/>
  <c r="K2451" i="2"/>
  <c r="L2450" i="2"/>
  <c r="K2450" i="2"/>
  <c r="L2449" i="2"/>
  <c r="K2449" i="2"/>
  <c r="L2448" i="2"/>
  <c r="K2448" i="2"/>
  <c r="L2447" i="2"/>
  <c r="K2447" i="2"/>
  <c r="L2446" i="2"/>
  <c r="K2446" i="2"/>
  <c r="L2445" i="2"/>
  <c r="K2445" i="2"/>
  <c r="L2444" i="2"/>
  <c r="K2444" i="2"/>
  <c r="L2443" i="2"/>
  <c r="K2443" i="2"/>
  <c r="L2442" i="2"/>
  <c r="K2442" i="2"/>
  <c r="L2441" i="2"/>
  <c r="K2441" i="2"/>
  <c r="L2440" i="2"/>
  <c r="K2440" i="2"/>
  <c r="L2439" i="2"/>
  <c r="K2439" i="2"/>
  <c r="L2438" i="2"/>
  <c r="K2438" i="2"/>
  <c r="L2437" i="2"/>
  <c r="K2437" i="2"/>
  <c r="L2436" i="2"/>
  <c r="K2436" i="2"/>
  <c r="L2435" i="2"/>
  <c r="K2435" i="2"/>
  <c r="L2434" i="2"/>
  <c r="K2434" i="2"/>
  <c r="L2433" i="2"/>
  <c r="K2433" i="2"/>
  <c r="L2432" i="2"/>
  <c r="K2432" i="2"/>
  <c r="L2431" i="2"/>
  <c r="K2431" i="2"/>
  <c r="L2430" i="2"/>
  <c r="K2430" i="2"/>
  <c r="L2429" i="2"/>
  <c r="K2429" i="2"/>
  <c r="L2428" i="2"/>
  <c r="K2428" i="2"/>
  <c r="L2427" i="2"/>
  <c r="K2427" i="2"/>
  <c r="L2426" i="2"/>
  <c r="K2426" i="2"/>
  <c r="L2425" i="2"/>
  <c r="K2425" i="2"/>
  <c r="L2424" i="2"/>
  <c r="K2424" i="2"/>
  <c r="L2423" i="2"/>
  <c r="K2423" i="2"/>
  <c r="L2422" i="2"/>
  <c r="K2422" i="2"/>
  <c r="L2421" i="2"/>
  <c r="K2421" i="2"/>
  <c r="L2420" i="2"/>
  <c r="K2420" i="2"/>
  <c r="L2419" i="2"/>
  <c r="K2419" i="2"/>
  <c r="L2418" i="2"/>
  <c r="K2418" i="2"/>
  <c r="L2417" i="2"/>
  <c r="K2417" i="2"/>
  <c r="L2416" i="2"/>
  <c r="K2416" i="2"/>
  <c r="L2415" i="2"/>
  <c r="K2415" i="2"/>
  <c r="L2414" i="2"/>
  <c r="K2414" i="2"/>
  <c r="L2413" i="2"/>
  <c r="K2413" i="2"/>
  <c r="L2412" i="2"/>
  <c r="K2412" i="2"/>
  <c r="L2411" i="2"/>
  <c r="K2411" i="2"/>
  <c r="L2410" i="2"/>
  <c r="K2410" i="2"/>
  <c r="L2409" i="2"/>
  <c r="K2409" i="2"/>
  <c r="L2408" i="2"/>
  <c r="K2408" i="2"/>
  <c r="L2407" i="2"/>
  <c r="K2407" i="2"/>
  <c r="L2406" i="2"/>
  <c r="K2406" i="2"/>
  <c r="L2405" i="2"/>
  <c r="K2405" i="2"/>
  <c r="L2404" i="2"/>
  <c r="K2404" i="2"/>
  <c r="L2403" i="2"/>
  <c r="K2403" i="2"/>
  <c r="L2402" i="2"/>
  <c r="K2402" i="2"/>
  <c r="L2401" i="2"/>
  <c r="K2401" i="2"/>
  <c r="L2400" i="2"/>
  <c r="K2400" i="2"/>
  <c r="L2399" i="2"/>
  <c r="K2399" i="2"/>
  <c r="L2398" i="2"/>
  <c r="K2398" i="2"/>
  <c r="L2397" i="2"/>
  <c r="K2397" i="2"/>
  <c r="L2396" i="2"/>
  <c r="K2396" i="2"/>
  <c r="L2395" i="2"/>
  <c r="K2395" i="2"/>
  <c r="L2394" i="2"/>
  <c r="K2394" i="2"/>
  <c r="L2393" i="2"/>
  <c r="K2393" i="2"/>
  <c r="L2392" i="2"/>
  <c r="K2392" i="2"/>
  <c r="L2391" i="2"/>
  <c r="K2391" i="2"/>
  <c r="L2390" i="2"/>
  <c r="K2390" i="2"/>
  <c r="L2389" i="2"/>
  <c r="K2389" i="2"/>
  <c r="L2388" i="2"/>
  <c r="K2388" i="2"/>
  <c r="L2387" i="2"/>
  <c r="K2387" i="2"/>
  <c r="L2386" i="2"/>
  <c r="K2386" i="2"/>
  <c r="L2385" i="2"/>
  <c r="K2385" i="2"/>
  <c r="L2384" i="2"/>
  <c r="K2384" i="2"/>
  <c r="L2383" i="2"/>
  <c r="K2383" i="2"/>
  <c r="L2382" i="2"/>
  <c r="K2382" i="2"/>
  <c r="L2381" i="2"/>
  <c r="K2381" i="2"/>
  <c r="L2380" i="2"/>
  <c r="K2380" i="2"/>
  <c r="L2379" i="2"/>
  <c r="K2379" i="2"/>
  <c r="L2378" i="2"/>
  <c r="K2378" i="2"/>
  <c r="L2377" i="2"/>
  <c r="K2377" i="2"/>
  <c r="L2376" i="2"/>
  <c r="K2376" i="2"/>
  <c r="L2375" i="2"/>
  <c r="K2375" i="2"/>
  <c r="L2374" i="2"/>
  <c r="K2374" i="2"/>
  <c r="L2373" i="2"/>
  <c r="K2373" i="2"/>
  <c r="L2372" i="2"/>
  <c r="K2372" i="2"/>
  <c r="L2371" i="2"/>
  <c r="K2371" i="2"/>
  <c r="L2370" i="2"/>
  <c r="K2370" i="2"/>
  <c r="L2369" i="2"/>
  <c r="K2369" i="2"/>
  <c r="L2368" i="2"/>
  <c r="K2368" i="2"/>
  <c r="L2367" i="2"/>
  <c r="K2367" i="2"/>
  <c r="L2366" i="2"/>
  <c r="K2366" i="2"/>
  <c r="L2365" i="2"/>
  <c r="K2365" i="2"/>
  <c r="L2364" i="2"/>
  <c r="K2364" i="2"/>
  <c r="L2363" i="2"/>
  <c r="K2363" i="2"/>
  <c r="L2362" i="2"/>
  <c r="K2362" i="2"/>
  <c r="L2361" i="2"/>
  <c r="K2361" i="2"/>
  <c r="L2360" i="2"/>
  <c r="K2360" i="2"/>
  <c r="L2359" i="2"/>
  <c r="K2359" i="2"/>
  <c r="L2358" i="2"/>
  <c r="K2358" i="2"/>
  <c r="L2357" i="2"/>
  <c r="K2357" i="2"/>
  <c r="L2356" i="2"/>
  <c r="K2356" i="2"/>
  <c r="L2355" i="2"/>
  <c r="K2355" i="2"/>
  <c r="L2354" i="2"/>
  <c r="K2354" i="2"/>
  <c r="L2353" i="2"/>
  <c r="K2353" i="2"/>
  <c r="L2352" i="2"/>
  <c r="K2352" i="2"/>
  <c r="L2351" i="2"/>
  <c r="K2351" i="2"/>
  <c r="L2350" i="2"/>
  <c r="K2350" i="2"/>
  <c r="L2349" i="2"/>
  <c r="K2349" i="2"/>
  <c r="L2348" i="2"/>
  <c r="K2348" i="2"/>
  <c r="L2347" i="2"/>
  <c r="K2347" i="2"/>
  <c r="L2346" i="2"/>
  <c r="K2346" i="2"/>
  <c r="L2345" i="2"/>
  <c r="K2345" i="2"/>
  <c r="L2344" i="2"/>
  <c r="K2344" i="2"/>
  <c r="L2343" i="2"/>
  <c r="K2343" i="2"/>
  <c r="L2342" i="2"/>
  <c r="K2342" i="2"/>
  <c r="L2341" i="2"/>
  <c r="K2341" i="2"/>
  <c r="L2340" i="2"/>
  <c r="K2340" i="2"/>
  <c r="L2339" i="2"/>
  <c r="K2339" i="2"/>
  <c r="L2338" i="2"/>
  <c r="K2338" i="2"/>
  <c r="L2337" i="2"/>
  <c r="K2337" i="2"/>
  <c r="L2336" i="2"/>
  <c r="K2336" i="2"/>
  <c r="L2335" i="2"/>
  <c r="K2335" i="2"/>
  <c r="L2334" i="2"/>
  <c r="K2334" i="2"/>
  <c r="L2333" i="2"/>
  <c r="K2333" i="2"/>
  <c r="L2332" i="2"/>
  <c r="K2332" i="2"/>
  <c r="L2331" i="2"/>
  <c r="K2331" i="2"/>
  <c r="L2330" i="2"/>
  <c r="K2330" i="2"/>
  <c r="L2329" i="2"/>
  <c r="K2329" i="2"/>
  <c r="L2328" i="2"/>
  <c r="K2328" i="2"/>
  <c r="L2327" i="2"/>
  <c r="K2327" i="2"/>
  <c r="L2326" i="2"/>
  <c r="K2326" i="2"/>
  <c r="L2325" i="2"/>
  <c r="K2325" i="2"/>
  <c r="L2324" i="2"/>
  <c r="K2324" i="2"/>
  <c r="L2323" i="2"/>
  <c r="K2323" i="2"/>
  <c r="L2322" i="2"/>
  <c r="K2322" i="2"/>
  <c r="L2321" i="2"/>
  <c r="K2321" i="2"/>
  <c r="L2320" i="2"/>
  <c r="K2320" i="2"/>
  <c r="L2319" i="2"/>
  <c r="K2319" i="2"/>
  <c r="L2318" i="2"/>
  <c r="K2318" i="2"/>
  <c r="L2317" i="2"/>
  <c r="K2317" i="2"/>
  <c r="L2316" i="2"/>
  <c r="K2316" i="2"/>
  <c r="L2315" i="2"/>
  <c r="K2315" i="2"/>
  <c r="L2314" i="2"/>
  <c r="K2314" i="2"/>
  <c r="L2313" i="2"/>
  <c r="K2313" i="2"/>
  <c r="L2312" i="2"/>
  <c r="K2312" i="2"/>
  <c r="L2311" i="2"/>
  <c r="K2311" i="2"/>
  <c r="L2310" i="2"/>
  <c r="K2310" i="2"/>
  <c r="L2309" i="2"/>
  <c r="K2309" i="2"/>
  <c r="L2308" i="2"/>
  <c r="K2308" i="2"/>
  <c r="L2307" i="2"/>
  <c r="K2307" i="2"/>
  <c r="L2306" i="2"/>
  <c r="K2306" i="2"/>
  <c r="L2305" i="2"/>
  <c r="K2305" i="2"/>
  <c r="L2304" i="2"/>
  <c r="K2304" i="2"/>
  <c r="L2303" i="2"/>
  <c r="K2303" i="2"/>
  <c r="L2302" i="2"/>
  <c r="K2302" i="2"/>
  <c r="L2301" i="2"/>
  <c r="K2301" i="2"/>
  <c r="L2300" i="2"/>
  <c r="K2300" i="2"/>
  <c r="L2299" i="2"/>
  <c r="K2299" i="2"/>
  <c r="L2298" i="2"/>
  <c r="K2298" i="2"/>
  <c r="L2297" i="2"/>
  <c r="K2297" i="2"/>
  <c r="L2296" i="2"/>
  <c r="K2296" i="2"/>
  <c r="L2295" i="2"/>
  <c r="K2295" i="2"/>
  <c r="L2294" i="2"/>
  <c r="K2294" i="2"/>
  <c r="L2293" i="2"/>
  <c r="K2293" i="2"/>
  <c r="L2292" i="2"/>
  <c r="K2292" i="2"/>
  <c r="L2291" i="2"/>
  <c r="K2291" i="2"/>
  <c r="L2290" i="2"/>
  <c r="K2290" i="2"/>
  <c r="L2289" i="2"/>
  <c r="K2289" i="2"/>
  <c r="L2288" i="2"/>
  <c r="K2288" i="2"/>
  <c r="L2287" i="2"/>
  <c r="K2287" i="2"/>
  <c r="L2286" i="2"/>
  <c r="K2286" i="2"/>
  <c r="L2285" i="2"/>
  <c r="K2285" i="2"/>
  <c r="L2284" i="2"/>
  <c r="K2284" i="2"/>
  <c r="L2283" i="2"/>
  <c r="K2283" i="2"/>
  <c r="L2282" i="2"/>
  <c r="K2282" i="2"/>
  <c r="L2281" i="2"/>
  <c r="K2281" i="2"/>
  <c r="L2280" i="2"/>
  <c r="K2280" i="2"/>
  <c r="L2279" i="2"/>
  <c r="K2279" i="2"/>
  <c r="L2278" i="2"/>
  <c r="K2278" i="2"/>
  <c r="L2277" i="2"/>
  <c r="K2277" i="2"/>
  <c r="L2276" i="2"/>
  <c r="K2276" i="2"/>
  <c r="L2275" i="2"/>
  <c r="K2275" i="2"/>
  <c r="L2274" i="2"/>
  <c r="K2274" i="2"/>
  <c r="L2273" i="2"/>
  <c r="K2273" i="2"/>
  <c r="L2272" i="2"/>
  <c r="K2272" i="2"/>
  <c r="L2271" i="2"/>
  <c r="K2271" i="2"/>
  <c r="L2270" i="2"/>
  <c r="K2270" i="2"/>
  <c r="L2269" i="2"/>
  <c r="K2269" i="2"/>
  <c r="L2268" i="2"/>
  <c r="K2268" i="2"/>
  <c r="L2267" i="2"/>
  <c r="K2267" i="2"/>
  <c r="L2266" i="2"/>
  <c r="K2266" i="2"/>
  <c r="L2265" i="2"/>
  <c r="K2265" i="2"/>
  <c r="L2264" i="2"/>
  <c r="K2264" i="2"/>
  <c r="L2263" i="2"/>
  <c r="K2263" i="2"/>
  <c r="L2262" i="2"/>
  <c r="K2262" i="2"/>
  <c r="L2261" i="2"/>
  <c r="K2261" i="2"/>
  <c r="L2260" i="2"/>
  <c r="K2260" i="2"/>
  <c r="L2259" i="2"/>
  <c r="K2259" i="2"/>
  <c r="L2258" i="2"/>
  <c r="K2258" i="2"/>
  <c r="L2257" i="2"/>
  <c r="K2257" i="2"/>
  <c r="L2256" i="2"/>
  <c r="K2256" i="2"/>
  <c r="L2255" i="2"/>
  <c r="K2255" i="2"/>
  <c r="L2254" i="2"/>
  <c r="K2254" i="2"/>
  <c r="L2253" i="2"/>
  <c r="K2253" i="2"/>
  <c r="L2252" i="2"/>
  <c r="K2252" i="2"/>
  <c r="L2251" i="2"/>
  <c r="K2251" i="2"/>
  <c r="L2250" i="2"/>
  <c r="K2250" i="2"/>
  <c r="L2249" i="2"/>
  <c r="K2249" i="2"/>
  <c r="L2248" i="2"/>
  <c r="K2248" i="2"/>
  <c r="L2247" i="2"/>
  <c r="K2247" i="2"/>
  <c r="L2246" i="2"/>
  <c r="K2246" i="2"/>
  <c r="L2245" i="2"/>
  <c r="K2245" i="2"/>
  <c r="L2244" i="2"/>
  <c r="K2244" i="2"/>
  <c r="L2243" i="2"/>
  <c r="K2243" i="2"/>
  <c r="L2242" i="2"/>
  <c r="K2242" i="2"/>
  <c r="L2241" i="2"/>
  <c r="K2241" i="2"/>
  <c r="L2240" i="2"/>
  <c r="K2240" i="2"/>
  <c r="L2239" i="2"/>
  <c r="K2239" i="2"/>
  <c r="L2238" i="2"/>
  <c r="K2238" i="2"/>
  <c r="L2237" i="2"/>
  <c r="K2237" i="2"/>
  <c r="L2236" i="2"/>
  <c r="K2236" i="2"/>
  <c r="L2235" i="2"/>
  <c r="K2235" i="2"/>
  <c r="L2234" i="2"/>
  <c r="K2234" i="2"/>
  <c r="L2233" i="2"/>
  <c r="K2233" i="2"/>
  <c r="L2232" i="2"/>
  <c r="K2232" i="2"/>
  <c r="L2231" i="2"/>
  <c r="K2231" i="2"/>
  <c r="L2230" i="2"/>
  <c r="K2230" i="2"/>
  <c r="L2229" i="2"/>
  <c r="K2229" i="2"/>
  <c r="L2228" i="2"/>
  <c r="K2228" i="2"/>
  <c r="L2227" i="2"/>
  <c r="K2227" i="2"/>
  <c r="L2226" i="2"/>
  <c r="K2226" i="2"/>
  <c r="L2225" i="2"/>
  <c r="K2225" i="2"/>
  <c r="L2224" i="2"/>
  <c r="K2224" i="2"/>
  <c r="L2223" i="2"/>
  <c r="K2223" i="2"/>
  <c r="L2222" i="2"/>
  <c r="K2222" i="2"/>
  <c r="L2221" i="2"/>
  <c r="K2221" i="2"/>
  <c r="L2220" i="2"/>
  <c r="K2220" i="2"/>
  <c r="L2219" i="2"/>
  <c r="K2219" i="2"/>
  <c r="L2218" i="2"/>
  <c r="K2218" i="2"/>
  <c r="L2217" i="2"/>
  <c r="K2217" i="2"/>
  <c r="L2216" i="2"/>
  <c r="K2216" i="2"/>
  <c r="L2215" i="2"/>
  <c r="K2215" i="2"/>
  <c r="L2214" i="2"/>
  <c r="K2214" i="2"/>
  <c r="L2213" i="2"/>
  <c r="K2213" i="2"/>
  <c r="L2212" i="2"/>
  <c r="K2212" i="2"/>
  <c r="L2211" i="2"/>
  <c r="K2211" i="2"/>
  <c r="L2210" i="2"/>
  <c r="K2210" i="2"/>
  <c r="L2209" i="2"/>
  <c r="K2209" i="2"/>
  <c r="L2208" i="2"/>
  <c r="K2208" i="2"/>
  <c r="L2207" i="2"/>
  <c r="K2207" i="2"/>
  <c r="L2206" i="2"/>
  <c r="K2206" i="2"/>
  <c r="L2205" i="2"/>
  <c r="K2205" i="2"/>
  <c r="L2204" i="2"/>
  <c r="K2204" i="2"/>
  <c r="L2203" i="2"/>
  <c r="K2203" i="2"/>
  <c r="L2202" i="2"/>
  <c r="K2202" i="2"/>
  <c r="L2201" i="2"/>
  <c r="K2201" i="2"/>
  <c r="L2200" i="2"/>
  <c r="K2200" i="2"/>
  <c r="L2199" i="2"/>
  <c r="K2199" i="2"/>
  <c r="L2198" i="2"/>
  <c r="K2198" i="2"/>
  <c r="L2197" i="2"/>
  <c r="K2197" i="2"/>
  <c r="L2196" i="2"/>
  <c r="K2196" i="2"/>
  <c r="L2195" i="2"/>
  <c r="K2195" i="2"/>
  <c r="L2194" i="2"/>
  <c r="K2194" i="2"/>
  <c r="L2193" i="2"/>
  <c r="K2193" i="2"/>
  <c r="L2192" i="2"/>
  <c r="K2192" i="2"/>
  <c r="L2191" i="2"/>
  <c r="K2191" i="2"/>
  <c r="L2190" i="2"/>
  <c r="K2190" i="2"/>
  <c r="L2189" i="2"/>
  <c r="K2189" i="2"/>
  <c r="L2188" i="2"/>
  <c r="K2188" i="2"/>
  <c r="L2187" i="2"/>
  <c r="K2187" i="2"/>
  <c r="L2186" i="2"/>
  <c r="K2186" i="2"/>
  <c r="L2185" i="2"/>
  <c r="K2185" i="2"/>
  <c r="L2184" i="2"/>
  <c r="K2184" i="2"/>
  <c r="L2183" i="2"/>
  <c r="K2183" i="2"/>
  <c r="L2182" i="2"/>
  <c r="K2182" i="2"/>
  <c r="L2181" i="2"/>
  <c r="K2181" i="2"/>
  <c r="L2180" i="2"/>
  <c r="K2180" i="2"/>
  <c r="L2179" i="2"/>
  <c r="K2179" i="2"/>
  <c r="L2178" i="2"/>
  <c r="K2178" i="2"/>
  <c r="L2177" i="2"/>
  <c r="K2177" i="2"/>
  <c r="L2176" i="2"/>
  <c r="K2176" i="2"/>
  <c r="L2175" i="2"/>
  <c r="K2175" i="2"/>
  <c r="L2174" i="2"/>
  <c r="K2174" i="2"/>
  <c r="L2173" i="2"/>
  <c r="K2173" i="2"/>
  <c r="L2172" i="2"/>
  <c r="K2172" i="2"/>
  <c r="L2171" i="2"/>
  <c r="K2171" i="2"/>
  <c r="L2170" i="2"/>
  <c r="K2170" i="2"/>
  <c r="L2169" i="2"/>
  <c r="K2169" i="2"/>
  <c r="L2168" i="2"/>
  <c r="K2168" i="2"/>
  <c r="L2167" i="2"/>
  <c r="K2167" i="2"/>
  <c r="L2166" i="2"/>
  <c r="K2166" i="2"/>
  <c r="L2165" i="2"/>
  <c r="K2165" i="2"/>
  <c r="L2164" i="2"/>
  <c r="K2164" i="2"/>
  <c r="L2163" i="2"/>
  <c r="K2163" i="2"/>
  <c r="L2162" i="2"/>
  <c r="K2162" i="2"/>
  <c r="L2161" i="2"/>
  <c r="K2161" i="2"/>
  <c r="L2160" i="2"/>
  <c r="K2160" i="2"/>
  <c r="L2159" i="2"/>
  <c r="K2159" i="2"/>
  <c r="L2158" i="2"/>
  <c r="K2158" i="2"/>
  <c r="L2157" i="2"/>
  <c r="K2157" i="2"/>
  <c r="L2156" i="2"/>
  <c r="K2156" i="2"/>
  <c r="L2155" i="2"/>
  <c r="K2155" i="2"/>
  <c r="L2154" i="2"/>
  <c r="K2154" i="2"/>
  <c r="L2153" i="2"/>
  <c r="K2153" i="2"/>
  <c r="L2152" i="2"/>
  <c r="K2152" i="2"/>
  <c r="L2151" i="2"/>
  <c r="K2151" i="2"/>
  <c r="L2150" i="2"/>
  <c r="K2150" i="2"/>
  <c r="L2149" i="2"/>
  <c r="K2149" i="2"/>
  <c r="L2148" i="2"/>
  <c r="K2148" i="2"/>
  <c r="L2147" i="2"/>
  <c r="K2147" i="2"/>
  <c r="L2146" i="2"/>
  <c r="K2146" i="2"/>
  <c r="L2145" i="2"/>
  <c r="K2145" i="2"/>
  <c r="L2144" i="2"/>
  <c r="K2144" i="2"/>
  <c r="L2143" i="2"/>
  <c r="K2143" i="2"/>
  <c r="L2142" i="2"/>
  <c r="K2142" i="2"/>
  <c r="L2141" i="2"/>
  <c r="K2141" i="2"/>
  <c r="L2140" i="2"/>
  <c r="K2140" i="2"/>
  <c r="L2139" i="2"/>
  <c r="K2139" i="2"/>
  <c r="L2138" i="2"/>
  <c r="K2138" i="2"/>
  <c r="L2137" i="2"/>
  <c r="K2137" i="2"/>
  <c r="L2136" i="2"/>
  <c r="K2136" i="2"/>
  <c r="L2135" i="2"/>
  <c r="K2135" i="2"/>
  <c r="L2134" i="2"/>
  <c r="K2134" i="2"/>
  <c r="L2133" i="2"/>
  <c r="K2133" i="2"/>
  <c r="L2132" i="2"/>
  <c r="K2132" i="2"/>
  <c r="L2131" i="2"/>
  <c r="K2131" i="2"/>
  <c r="L2130" i="2"/>
  <c r="K2130" i="2"/>
  <c r="L2129" i="2"/>
  <c r="K2129" i="2"/>
  <c r="L2128" i="2"/>
  <c r="K2128" i="2"/>
  <c r="L2127" i="2"/>
  <c r="K2127" i="2"/>
  <c r="L2126" i="2"/>
  <c r="K2126" i="2"/>
  <c r="L2125" i="2"/>
  <c r="K2125" i="2"/>
  <c r="L2124" i="2"/>
  <c r="K2124" i="2"/>
  <c r="L2123" i="2"/>
  <c r="K2123" i="2"/>
  <c r="L2122" i="2"/>
  <c r="K2122" i="2"/>
  <c r="L2121" i="2"/>
  <c r="K2121" i="2"/>
  <c r="L2120" i="2"/>
  <c r="K2120" i="2"/>
  <c r="L2119" i="2"/>
  <c r="K2119" i="2"/>
  <c r="L2118" i="2"/>
  <c r="K2118" i="2"/>
  <c r="L2117" i="2"/>
  <c r="K2117" i="2"/>
  <c r="L2116" i="2"/>
  <c r="K2116" i="2"/>
  <c r="L2115" i="2"/>
  <c r="K2115" i="2"/>
  <c r="L2114" i="2"/>
  <c r="K2114" i="2"/>
  <c r="L2113" i="2"/>
  <c r="K2113" i="2"/>
  <c r="L2112" i="2"/>
  <c r="K2112" i="2"/>
  <c r="L2111" i="2"/>
  <c r="K2111" i="2"/>
  <c r="L2110" i="2"/>
  <c r="K2110" i="2"/>
  <c r="L2109" i="2"/>
  <c r="K2109" i="2"/>
  <c r="L2108" i="2"/>
  <c r="K2108" i="2"/>
  <c r="L2107" i="2"/>
  <c r="K2107" i="2"/>
  <c r="L2106" i="2"/>
  <c r="K2106" i="2"/>
  <c r="L2105" i="2"/>
  <c r="K2105" i="2"/>
  <c r="L2104" i="2"/>
  <c r="K2104" i="2"/>
  <c r="L2103" i="2"/>
  <c r="K2103" i="2"/>
  <c r="L2102" i="2"/>
  <c r="K2102" i="2"/>
  <c r="L2101" i="2"/>
  <c r="K2101" i="2"/>
  <c r="L2100" i="2"/>
  <c r="K2100" i="2"/>
  <c r="L2099" i="2"/>
  <c r="K2099" i="2"/>
  <c r="L2098" i="2"/>
  <c r="K2098" i="2"/>
  <c r="L2097" i="2"/>
  <c r="K2097" i="2"/>
  <c r="L2096" i="2"/>
  <c r="K2096" i="2"/>
  <c r="L2095" i="2"/>
  <c r="K2095" i="2"/>
  <c r="L2094" i="2"/>
  <c r="K2094" i="2"/>
  <c r="L2093" i="2"/>
  <c r="K2093" i="2"/>
  <c r="L2092" i="2"/>
  <c r="K2092" i="2"/>
  <c r="L2091" i="2"/>
  <c r="K2091" i="2"/>
  <c r="L2090" i="2"/>
  <c r="K2090" i="2"/>
  <c r="L2089" i="2"/>
  <c r="K2089" i="2"/>
  <c r="L2088" i="2"/>
  <c r="K2088" i="2"/>
  <c r="L2087" i="2"/>
  <c r="K2087" i="2"/>
  <c r="L2086" i="2"/>
  <c r="K2086" i="2"/>
  <c r="L2085" i="2"/>
  <c r="K2085" i="2"/>
  <c r="L2084" i="2"/>
  <c r="K2084" i="2"/>
  <c r="L2083" i="2"/>
  <c r="K2083" i="2"/>
  <c r="L2082" i="2"/>
  <c r="K2082" i="2"/>
  <c r="L2081" i="2"/>
  <c r="K2081" i="2"/>
  <c r="L2080" i="2"/>
  <c r="K2080" i="2"/>
  <c r="L2079" i="2"/>
  <c r="K2079" i="2"/>
  <c r="L2078" i="2"/>
  <c r="K2078" i="2"/>
  <c r="L2077" i="2"/>
  <c r="K2077" i="2"/>
  <c r="L2076" i="2"/>
  <c r="K2076" i="2"/>
  <c r="L2075" i="2"/>
  <c r="K2075" i="2"/>
  <c r="L2074" i="2"/>
  <c r="K2074" i="2"/>
  <c r="L2073" i="2"/>
  <c r="K2073" i="2"/>
  <c r="L2072" i="2"/>
  <c r="K2072" i="2"/>
  <c r="L2071" i="2"/>
  <c r="K2071" i="2"/>
  <c r="L2070" i="2"/>
  <c r="K2070" i="2"/>
  <c r="L2069" i="2"/>
  <c r="K2069" i="2"/>
  <c r="L2068" i="2"/>
  <c r="K2068" i="2"/>
  <c r="L2067" i="2"/>
  <c r="K2067" i="2"/>
  <c r="L2066" i="2"/>
  <c r="K2066" i="2"/>
  <c r="L2065" i="2"/>
  <c r="K2065" i="2"/>
  <c r="L2064" i="2"/>
  <c r="K2064" i="2"/>
  <c r="L2063" i="2"/>
  <c r="K2063" i="2"/>
  <c r="L2062" i="2"/>
  <c r="K2062" i="2"/>
  <c r="L2061" i="2"/>
  <c r="K2061" i="2"/>
  <c r="L2060" i="2"/>
  <c r="K2060" i="2"/>
  <c r="L2059" i="2"/>
  <c r="K2059" i="2"/>
  <c r="L2058" i="2"/>
  <c r="K2058" i="2"/>
  <c r="L2057" i="2"/>
  <c r="K2057" i="2"/>
  <c r="L2056" i="2"/>
  <c r="K2056" i="2"/>
  <c r="L2055" i="2"/>
  <c r="K2055" i="2"/>
  <c r="L2054" i="2"/>
  <c r="K2054" i="2"/>
  <c r="L2053" i="2"/>
  <c r="K2053" i="2"/>
  <c r="L2052" i="2"/>
  <c r="K2052" i="2"/>
  <c r="L2051" i="2"/>
  <c r="K2051" i="2"/>
  <c r="L2050" i="2"/>
  <c r="K2050" i="2"/>
  <c r="L2049" i="2"/>
  <c r="K2049" i="2"/>
  <c r="L2048" i="2"/>
  <c r="K2048" i="2"/>
  <c r="L2047" i="2"/>
  <c r="K2047" i="2"/>
  <c r="L2046" i="2"/>
  <c r="K2046" i="2"/>
  <c r="L2045" i="2"/>
  <c r="K2045" i="2"/>
  <c r="L2044" i="2"/>
  <c r="K2044" i="2"/>
  <c r="L2043" i="2"/>
  <c r="K2043" i="2"/>
  <c r="L2042" i="2"/>
  <c r="K2042" i="2"/>
  <c r="L2041" i="2"/>
  <c r="K2041" i="2"/>
  <c r="L2040" i="2"/>
  <c r="K2040" i="2"/>
  <c r="L2039" i="2"/>
  <c r="K2039" i="2"/>
  <c r="L2038" i="2"/>
  <c r="K2038" i="2"/>
  <c r="L2037" i="2"/>
  <c r="K2037" i="2"/>
  <c r="L2036" i="2"/>
  <c r="K2036" i="2"/>
  <c r="L2035" i="2"/>
  <c r="K2035" i="2"/>
  <c r="L2034" i="2"/>
  <c r="K2034" i="2"/>
  <c r="L2033" i="2"/>
  <c r="K2033" i="2"/>
  <c r="L2032" i="2"/>
  <c r="K2032" i="2"/>
  <c r="L2031" i="2"/>
  <c r="K2031" i="2"/>
  <c r="L2030" i="2"/>
  <c r="K2030" i="2"/>
  <c r="L2029" i="2"/>
  <c r="K2029" i="2"/>
  <c r="L2028" i="2"/>
  <c r="K2028" i="2"/>
  <c r="L2027" i="2"/>
  <c r="K2027" i="2"/>
  <c r="L2026" i="2"/>
  <c r="K2026" i="2"/>
  <c r="L2025" i="2"/>
  <c r="K2025" i="2"/>
  <c r="L2024" i="2"/>
  <c r="K2024" i="2"/>
  <c r="L2023" i="2"/>
  <c r="K2023" i="2"/>
  <c r="L2022" i="2"/>
  <c r="K2022" i="2"/>
  <c r="L2021" i="2"/>
  <c r="K2021" i="2"/>
  <c r="L2020" i="2"/>
  <c r="K2020" i="2"/>
  <c r="L2019" i="2"/>
  <c r="K2019" i="2"/>
  <c r="L2018" i="2"/>
  <c r="K2018" i="2"/>
  <c r="L2017" i="2"/>
  <c r="K2017" i="2"/>
  <c r="L2016" i="2"/>
  <c r="K2016" i="2"/>
  <c r="L2015" i="2"/>
  <c r="K2015" i="2"/>
  <c r="L2014" i="2"/>
  <c r="K2014" i="2"/>
  <c r="L2013" i="2"/>
  <c r="K2013" i="2"/>
  <c r="L2012" i="2"/>
  <c r="K2012" i="2"/>
  <c r="L2011" i="2"/>
  <c r="K2011" i="2"/>
  <c r="L2010" i="2"/>
  <c r="K2010" i="2"/>
  <c r="L2009" i="2"/>
  <c r="K2009" i="2"/>
  <c r="L2008" i="2"/>
  <c r="K2008" i="2"/>
  <c r="L2007" i="2"/>
  <c r="K2007" i="2"/>
  <c r="L2006" i="2"/>
  <c r="K2006" i="2"/>
  <c r="L2005" i="2"/>
  <c r="K2005" i="2"/>
  <c r="L2004" i="2"/>
  <c r="K2004" i="2"/>
  <c r="L2003" i="2"/>
  <c r="K2003" i="2"/>
  <c r="L2002" i="2"/>
  <c r="K2002" i="2"/>
  <c r="L2001" i="2"/>
  <c r="K2001" i="2"/>
  <c r="L2000" i="2"/>
  <c r="K2000" i="2"/>
  <c r="L1999" i="2"/>
  <c r="K1999" i="2"/>
  <c r="L1998" i="2"/>
  <c r="K1998" i="2"/>
  <c r="L1997" i="2"/>
  <c r="K1997" i="2"/>
  <c r="L1996" i="2"/>
  <c r="K1996" i="2"/>
  <c r="L1995" i="2"/>
  <c r="K1995" i="2"/>
  <c r="L1994" i="2"/>
  <c r="K1994" i="2"/>
  <c r="L1993" i="2"/>
  <c r="K1993" i="2"/>
  <c r="L1992" i="2"/>
  <c r="K1992" i="2"/>
  <c r="L1991" i="2"/>
  <c r="K1991" i="2"/>
  <c r="L1990" i="2"/>
  <c r="K1990" i="2"/>
  <c r="L1989" i="2"/>
  <c r="K1989" i="2"/>
  <c r="L1988" i="2"/>
  <c r="K1988" i="2"/>
  <c r="L1987" i="2"/>
  <c r="K1987" i="2"/>
  <c r="L1986" i="2"/>
  <c r="K1986" i="2"/>
  <c r="L1985" i="2"/>
  <c r="K1985" i="2"/>
  <c r="L1984" i="2"/>
  <c r="K1984" i="2"/>
  <c r="L1983" i="2"/>
  <c r="K1983" i="2"/>
  <c r="L1982" i="2"/>
  <c r="K1982" i="2"/>
  <c r="L1981" i="2"/>
  <c r="K1981" i="2"/>
  <c r="L1980" i="2"/>
  <c r="K1980" i="2"/>
  <c r="L1979" i="2"/>
  <c r="K1979" i="2"/>
  <c r="L1978" i="2"/>
  <c r="K1978" i="2"/>
  <c r="L1977" i="2"/>
  <c r="K1977" i="2"/>
  <c r="L1976" i="2"/>
  <c r="K1976" i="2"/>
  <c r="L1975" i="2"/>
  <c r="K1975" i="2"/>
  <c r="L1974" i="2"/>
  <c r="K1974" i="2"/>
  <c r="L1973" i="2"/>
  <c r="K1973" i="2"/>
  <c r="L1972" i="2"/>
  <c r="K1972" i="2"/>
  <c r="L1971" i="2"/>
  <c r="K1971" i="2"/>
  <c r="L1970" i="2"/>
  <c r="K1970" i="2"/>
  <c r="L1969" i="2"/>
  <c r="K1969" i="2"/>
  <c r="L1968" i="2"/>
  <c r="K1968" i="2"/>
  <c r="L1967" i="2"/>
  <c r="K1967" i="2"/>
  <c r="L1966" i="2"/>
  <c r="K1966" i="2"/>
  <c r="L1965" i="2"/>
  <c r="K1965" i="2"/>
  <c r="L1964" i="2"/>
  <c r="K1964" i="2"/>
  <c r="L1963" i="2"/>
  <c r="K1963" i="2"/>
  <c r="L1962" i="2"/>
  <c r="K1962" i="2"/>
  <c r="L1961" i="2"/>
  <c r="K1961" i="2"/>
  <c r="L1960" i="2"/>
  <c r="K1960" i="2"/>
  <c r="L1959" i="2"/>
  <c r="K1959" i="2"/>
  <c r="L1958" i="2"/>
  <c r="K1958" i="2"/>
  <c r="L1957" i="2"/>
  <c r="K1957" i="2"/>
  <c r="L1956" i="2"/>
  <c r="K1956" i="2"/>
  <c r="L1955" i="2"/>
  <c r="K1955" i="2"/>
  <c r="L1954" i="2"/>
  <c r="K1954" i="2"/>
  <c r="L1953" i="2"/>
  <c r="K1953" i="2"/>
  <c r="L1952" i="2"/>
  <c r="K1952" i="2"/>
  <c r="L1951" i="2"/>
  <c r="K1951" i="2"/>
  <c r="L1950" i="2"/>
  <c r="K1950" i="2"/>
  <c r="L1949" i="2"/>
  <c r="K1949" i="2"/>
  <c r="L1948" i="2"/>
  <c r="K1948" i="2"/>
  <c r="L1947" i="2"/>
  <c r="K1947" i="2"/>
  <c r="L1946" i="2"/>
  <c r="K1946" i="2"/>
  <c r="L1945" i="2"/>
  <c r="K1945" i="2"/>
  <c r="L1944" i="2"/>
  <c r="K1944" i="2"/>
  <c r="L1943" i="2"/>
  <c r="K1943" i="2"/>
  <c r="L1942" i="2"/>
  <c r="K1942" i="2"/>
  <c r="L1941" i="2"/>
  <c r="K1941" i="2"/>
  <c r="L1940" i="2"/>
  <c r="K1940" i="2"/>
  <c r="L1939" i="2"/>
  <c r="K1939" i="2"/>
  <c r="L1938" i="2"/>
  <c r="K1938" i="2"/>
  <c r="L1937" i="2"/>
  <c r="K1937" i="2"/>
  <c r="L1936" i="2"/>
  <c r="K1936" i="2"/>
  <c r="L1935" i="2"/>
  <c r="K1935" i="2"/>
  <c r="L1934" i="2"/>
  <c r="K1934" i="2"/>
  <c r="L1933" i="2"/>
  <c r="K1933" i="2"/>
  <c r="L1932" i="2"/>
  <c r="K1932" i="2"/>
  <c r="L1931" i="2"/>
  <c r="K1931" i="2"/>
  <c r="L1930" i="2"/>
  <c r="K1930" i="2"/>
  <c r="L1929" i="2"/>
  <c r="K1929" i="2"/>
  <c r="L1928" i="2"/>
  <c r="K1928" i="2"/>
  <c r="L1927" i="2"/>
  <c r="K1927" i="2"/>
  <c r="L1926" i="2"/>
  <c r="K1926" i="2"/>
  <c r="L1925" i="2"/>
  <c r="K1925" i="2"/>
  <c r="L1924" i="2"/>
  <c r="K1924" i="2"/>
  <c r="L1923" i="2"/>
  <c r="K1923" i="2"/>
  <c r="L1922" i="2"/>
  <c r="K1922" i="2"/>
  <c r="L1921" i="2"/>
  <c r="K1921" i="2"/>
  <c r="L1920" i="2"/>
  <c r="K1920" i="2"/>
  <c r="L1919" i="2"/>
  <c r="K1919" i="2"/>
  <c r="L1918" i="2"/>
  <c r="K1918" i="2"/>
  <c r="L1917" i="2"/>
  <c r="K1917" i="2"/>
  <c r="L1916" i="2"/>
  <c r="K1916" i="2"/>
  <c r="L1915" i="2"/>
  <c r="K1915" i="2"/>
  <c r="L1914" i="2"/>
  <c r="K1914" i="2"/>
  <c r="L1913" i="2"/>
  <c r="K1913" i="2"/>
  <c r="L1912" i="2"/>
  <c r="K1912" i="2"/>
  <c r="L1911" i="2"/>
  <c r="K1911" i="2"/>
  <c r="L1910" i="2"/>
  <c r="K1910" i="2"/>
  <c r="L1909" i="2"/>
  <c r="K1909" i="2"/>
  <c r="L1908" i="2"/>
  <c r="K1908" i="2"/>
  <c r="L1907" i="2"/>
  <c r="K1907" i="2"/>
  <c r="L1906" i="2"/>
  <c r="K1906" i="2"/>
  <c r="L1905" i="2"/>
  <c r="K1905" i="2"/>
  <c r="L1904" i="2"/>
  <c r="K1904" i="2"/>
  <c r="L1903" i="2"/>
  <c r="K1903" i="2"/>
  <c r="L1902" i="2"/>
  <c r="K1902" i="2"/>
  <c r="L1901" i="2"/>
  <c r="K1901" i="2"/>
  <c r="L1900" i="2"/>
  <c r="K1900" i="2"/>
  <c r="L1899" i="2"/>
  <c r="K1899" i="2"/>
  <c r="L1898" i="2"/>
  <c r="K1898" i="2"/>
  <c r="L1897" i="2"/>
  <c r="K1897" i="2"/>
  <c r="L1896" i="2"/>
  <c r="K1896" i="2"/>
  <c r="L1895" i="2"/>
  <c r="K1895" i="2"/>
  <c r="L1894" i="2"/>
  <c r="K1894" i="2"/>
  <c r="L1893" i="2"/>
  <c r="K1893" i="2"/>
  <c r="L1892" i="2"/>
  <c r="K1892" i="2"/>
  <c r="L1891" i="2"/>
  <c r="K1891" i="2"/>
  <c r="L1890" i="2"/>
  <c r="K1890" i="2"/>
  <c r="L1889" i="2"/>
  <c r="K1889" i="2"/>
  <c r="L1888" i="2"/>
  <c r="K1888" i="2"/>
  <c r="L1887" i="2"/>
  <c r="K1887" i="2"/>
  <c r="L1886" i="2"/>
  <c r="K1886" i="2"/>
  <c r="L1885" i="2"/>
  <c r="K1885" i="2"/>
  <c r="L1884" i="2"/>
  <c r="K1884" i="2"/>
  <c r="L1883" i="2"/>
  <c r="K1883" i="2"/>
  <c r="L1882" i="2"/>
  <c r="K1882" i="2"/>
  <c r="L1881" i="2"/>
  <c r="K1881" i="2"/>
  <c r="L1880" i="2"/>
  <c r="K1880" i="2"/>
  <c r="L1879" i="2"/>
  <c r="K1879" i="2"/>
  <c r="L1878" i="2"/>
  <c r="K1878" i="2"/>
  <c r="L1877" i="2"/>
  <c r="K1877" i="2"/>
  <c r="L1876" i="2"/>
  <c r="K1876" i="2"/>
  <c r="L1875" i="2"/>
  <c r="K1875" i="2"/>
  <c r="L1874" i="2"/>
  <c r="K1874" i="2"/>
  <c r="L1873" i="2"/>
  <c r="K1873" i="2"/>
  <c r="L1872" i="2"/>
  <c r="K1872" i="2"/>
  <c r="L1871" i="2"/>
  <c r="K1871" i="2"/>
  <c r="L1870" i="2"/>
  <c r="K1870" i="2"/>
  <c r="L1869" i="2"/>
  <c r="K1869" i="2"/>
  <c r="L1868" i="2"/>
  <c r="K1868" i="2"/>
  <c r="L1867" i="2"/>
  <c r="K1867" i="2"/>
  <c r="L1866" i="2"/>
  <c r="K1866" i="2"/>
  <c r="L1865" i="2"/>
  <c r="K1865" i="2"/>
  <c r="L1864" i="2"/>
  <c r="K1864" i="2"/>
  <c r="L1863" i="2"/>
  <c r="K1863" i="2"/>
  <c r="L1862" i="2"/>
  <c r="K1862" i="2"/>
  <c r="L1861" i="2"/>
  <c r="K1861" i="2"/>
  <c r="L1860" i="2"/>
  <c r="K1860" i="2"/>
  <c r="L1859" i="2"/>
  <c r="K1859" i="2"/>
  <c r="L1858" i="2"/>
  <c r="K1858" i="2"/>
  <c r="L1857" i="2"/>
  <c r="K1857" i="2"/>
  <c r="L1856" i="2"/>
  <c r="K1856" i="2"/>
  <c r="L1855" i="2"/>
  <c r="K1855" i="2"/>
  <c r="L1854" i="2"/>
  <c r="K1854" i="2"/>
  <c r="L1853" i="2"/>
  <c r="K1853" i="2"/>
  <c r="L1852" i="2"/>
  <c r="K1852" i="2"/>
  <c r="L1851" i="2"/>
  <c r="K1851" i="2"/>
  <c r="L1850" i="2"/>
  <c r="K1850" i="2"/>
  <c r="L1849" i="2"/>
  <c r="K1849" i="2"/>
  <c r="L1848" i="2"/>
  <c r="K1848" i="2"/>
  <c r="L1847" i="2"/>
  <c r="K1847" i="2"/>
  <c r="L1846" i="2"/>
  <c r="K1846" i="2"/>
  <c r="L1845" i="2"/>
  <c r="K1845" i="2"/>
  <c r="L1844" i="2"/>
  <c r="K1844" i="2"/>
  <c r="L1843" i="2"/>
  <c r="K1843" i="2"/>
  <c r="L1842" i="2"/>
  <c r="K1842" i="2"/>
  <c r="L1841" i="2"/>
  <c r="K1841" i="2"/>
  <c r="L1840" i="2"/>
  <c r="K1840" i="2"/>
  <c r="L1839" i="2"/>
  <c r="K1839" i="2"/>
  <c r="L1838" i="2"/>
  <c r="K1838" i="2"/>
  <c r="L1837" i="2"/>
  <c r="K1837" i="2"/>
  <c r="L1836" i="2"/>
  <c r="K1836" i="2"/>
  <c r="L1835" i="2"/>
  <c r="K1835" i="2"/>
  <c r="L1834" i="2"/>
  <c r="K1834" i="2"/>
  <c r="L1833" i="2"/>
  <c r="K1833" i="2"/>
  <c r="L1832" i="2"/>
  <c r="K1832" i="2"/>
  <c r="L1831" i="2"/>
  <c r="K1831" i="2"/>
  <c r="L1830" i="2"/>
  <c r="K1830" i="2"/>
  <c r="L1829" i="2"/>
  <c r="K1829" i="2"/>
  <c r="L1828" i="2"/>
  <c r="K1828" i="2"/>
  <c r="L1827" i="2"/>
  <c r="K1827" i="2"/>
  <c r="L1826" i="2"/>
  <c r="K1826" i="2"/>
  <c r="L1825" i="2"/>
  <c r="K1825" i="2"/>
  <c r="L1824" i="2"/>
  <c r="K1824" i="2"/>
  <c r="L1823" i="2"/>
  <c r="K1823" i="2"/>
  <c r="L1822" i="2"/>
  <c r="K1822" i="2"/>
  <c r="L1821" i="2"/>
  <c r="K1821" i="2"/>
  <c r="L1820" i="2"/>
  <c r="K1820" i="2"/>
  <c r="L1819" i="2"/>
  <c r="K1819" i="2"/>
  <c r="L1818" i="2"/>
  <c r="K1818" i="2"/>
  <c r="L1817" i="2"/>
  <c r="K1817" i="2"/>
  <c r="L1816" i="2"/>
  <c r="K1816" i="2"/>
  <c r="L1815" i="2"/>
  <c r="K1815" i="2"/>
  <c r="L1814" i="2"/>
  <c r="K1814" i="2"/>
  <c r="L1813" i="2"/>
  <c r="K1813" i="2"/>
  <c r="L1812" i="2"/>
  <c r="K1812" i="2"/>
  <c r="L1811" i="2"/>
  <c r="K1811" i="2"/>
  <c r="L1810" i="2"/>
  <c r="K1810" i="2"/>
  <c r="L1809" i="2"/>
  <c r="K1809" i="2"/>
  <c r="L1808" i="2"/>
  <c r="K1808" i="2"/>
  <c r="L1807" i="2"/>
  <c r="K1807" i="2"/>
  <c r="L1806" i="2"/>
  <c r="K1806" i="2"/>
  <c r="L1805" i="2"/>
  <c r="K1805" i="2"/>
  <c r="L1804" i="2"/>
  <c r="K1804" i="2"/>
  <c r="L1803" i="2"/>
  <c r="K1803" i="2"/>
  <c r="L1802" i="2"/>
  <c r="K1802" i="2"/>
  <c r="L1801" i="2"/>
  <c r="K1801" i="2"/>
  <c r="L1800" i="2"/>
  <c r="K1800" i="2"/>
  <c r="L1799" i="2"/>
  <c r="K1799" i="2"/>
  <c r="L1798" i="2"/>
  <c r="K1798" i="2"/>
  <c r="L1797" i="2"/>
  <c r="K1797" i="2"/>
  <c r="L1796" i="2"/>
  <c r="K1796" i="2"/>
  <c r="L1795" i="2"/>
  <c r="K1795" i="2"/>
  <c r="L1794" i="2"/>
  <c r="K1794" i="2"/>
  <c r="L1793" i="2"/>
  <c r="K1793" i="2"/>
  <c r="L1792" i="2"/>
  <c r="K1792" i="2"/>
  <c r="L1791" i="2"/>
  <c r="K1791" i="2"/>
  <c r="L1790" i="2"/>
  <c r="K1790" i="2"/>
  <c r="L1789" i="2"/>
  <c r="K1789" i="2"/>
  <c r="L1788" i="2"/>
  <c r="K1788" i="2"/>
  <c r="L1787" i="2"/>
  <c r="K1787" i="2"/>
  <c r="L1786" i="2"/>
  <c r="K1786" i="2"/>
  <c r="L1785" i="2"/>
  <c r="K1785" i="2"/>
  <c r="L1784" i="2"/>
  <c r="K1784" i="2"/>
  <c r="L1783" i="2"/>
  <c r="K1783" i="2"/>
  <c r="L1782" i="2"/>
  <c r="K1782" i="2"/>
  <c r="L1781" i="2"/>
  <c r="K1781" i="2"/>
  <c r="L1780" i="2"/>
  <c r="K1780" i="2"/>
  <c r="L1779" i="2"/>
  <c r="K1779" i="2"/>
  <c r="L1778" i="2"/>
  <c r="K1778" i="2"/>
  <c r="L1777" i="2"/>
  <c r="K1777" i="2"/>
  <c r="L1776" i="2"/>
  <c r="K1776" i="2"/>
  <c r="L1775" i="2"/>
  <c r="K1775" i="2"/>
  <c r="L1774" i="2"/>
  <c r="K1774" i="2"/>
  <c r="L1773" i="2"/>
  <c r="K1773" i="2"/>
  <c r="L1772" i="2"/>
  <c r="K1772" i="2"/>
  <c r="L1771" i="2"/>
  <c r="K1771" i="2"/>
  <c r="L1770" i="2"/>
  <c r="K1770" i="2"/>
  <c r="L1769" i="2"/>
  <c r="K1769" i="2"/>
  <c r="L1768" i="2"/>
  <c r="K1768" i="2"/>
  <c r="L1767" i="2"/>
  <c r="K1767" i="2"/>
  <c r="L1766" i="2"/>
  <c r="K1766" i="2"/>
  <c r="L1765" i="2"/>
  <c r="K1765" i="2"/>
  <c r="L1764" i="2"/>
  <c r="K1764" i="2"/>
  <c r="L1763" i="2"/>
  <c r="K1763" i="2"/>
  <c r="L1762" i="2"/>
  <c r="K1762" i="2"/>
  <c r="L1761" i="2"/>
  <c r="K1761" i="2"/>
  <c r="L1760" i="2"/>
  <c r="K1760" i="2"/>
  <c r="L1759" i="2"/>
  <c r="K1759" i="2"/>
  <c r="L1758" i="2"/>
  <c r="K1758" i="2"/>
  <c r="L1757" i="2"/>
  <c r="K1757" i="2"/>
  <c r="L1756" i="2"/>
  <c r="K1756" i="2"/>
  <c r="L1755" i="2"/>
  <c r="K1755" i="2"/>
  <c r="L1754" i="2"/>
  <c r="K1754" i="2"/>
  <c r="L1753" i="2"/>
  <c r="K1753" i="2"/>
  <c r="L1752" i="2"/>
  <c r="K1752" i="2"/>
  <c r="L1751" i="2"/>
  <c r="K1751" i="2"/>
  <c r="L1750" i="2"/>
  <c r="K1750" i="2"/>
  <c r="L1749" i="2"/>
  <c r="K1749" i="2"/>
  <c r="L1748" i="2"/>
  <c r="K1748" i="2"/>
  <c r="L1747" i="2"/>
  <c r="K1747" i="2"/>
  <c r="L1746" i="2"/>
  <c r="K1746" i="2"/>
  <c r="L1745" i="2"/>
  <c r="K1745" i="2"/>
  <c r="L1744" i="2"/>
  <c r="K1744" i="2"/>
  <c r="L1743" i="2"/>
  <c r="K1743" i="2"/>
  <c r="L1742" i="2"/>
  <c r="K1742" i="2"/>
  <c r="L1741" i="2"/>
  <c r="K1741" i="2"/>
  <c r="L1740" i="2"/>
  <c r="K1740" i="2"/>
  <c r="L1739" i="2"/>
  <c r="K1739" i="2"/>
  <c r="L1738" i="2"/>
  <c r="K1738" i="2"/>
  <c r="L1737" i="2"/>
  <c r="K1737" i="2"/>
  <c r="L1736" i="2"/>
  <c r="K1736" i="2"/>
  <c r="L1735" i="2"/>
  <c r="K1735" i="2"/>
  <c r="L1734" i="2"/>
  <c r="K1734" i="2"/>
  <c r="L1733" i="2"/>
  <c r="K1733" i="2"/>
  <c r="L1732" i="2"/>
  <c r="K1732" i="2"/>
  <c r="L1731" i="2"/>
  <c r="K1731" i="2"/>
  <c r="L1730" i="2"/>
  <c r="K1730" i="2"/>
  <c r="L1729" i="2"/>
  <c r="K1729" i="2"/>
  <c r="L1728" i="2"/>
  <c r="K1728" i="2"/>
  <c r="L1727" i="2"/>
  <c r="K1727" i="2"/>
  <c r="L1726" i="2"/>
  <c r="K1726" i="2"/>
  <c r="L1725" i="2"/>
  <c r="K1725" i="2"/>
  <c r="L1724" i="2"/>
  <c r="K1724" i="2"/>
  <c r="L1723" i="2"/>
  <c r="K1723" i="2"/>
  <c r="L1722" i="2"/>
  <c r="K1722" i="2"/>
  <c r="L1721" i="2"/>
  <c r="K1721" i="2"/>
  <c r="L1720" i="2"/>
  <c r="K1720" i="2"/>
  <c r="L1719" i="2"/>
  <c r="K1719" i="2"/>
  <c r="L1718" i="2"/>
  <c r="K1718" i="2"/>
  <c r="L1717" i="2"/>
  <c r="K1717" i="2"/>
  <c r="L1716" i="2"/>
  <c r="K1716" i="2"/>
  <c r="L1715" i="2"/>
  <c r="K1715" i="2"/>
  <c r="L1714" i="2"/>
  <c r="K1714" i="2"/>
  <c r="L1713" i="2"/>
  <c r="K1713" i="2"/>
  <c r="L1712" i="2"/>
  <c r="K1712" i="2"/>
  <c r="L1711" i="2"/>
  <c r="K1711" i="2"/>
  <c r="L1710" i="2"/>
  <c r="K1710" i="2"/>
  <c r="L1709" i="2"/>
  <c r="K1709" i="2"/>
  <c r="L1708" i="2"/>
  <c r="K1708" i="2"/>
  <c r="L1707" i="2"/>
  <c r="K1707" i="2"/>
  <c r="L1706" i="2"/>
  <c r="K1706" i="2"/>
  <c r="L1705" i="2"/>
  <c r="K1705" i="2"/>
  <c r="L1704" i="2"/>
  <c r="K1704" i="2"/>
  <c r="L1703" i="2"/>
  <c r="K1703" i="2"/>
  <c r="L1702" i="2"/>
  <c r="K1702" i="2"/>
  <c r="L1701" i="2"/>
  <c r="K1701" i="2"/>
  <c r="L1700" i="2"/>
  <c r="K1700" i="2"/>
  <c r="L1699" i="2"/>
  <c r="K1699" i="2"/>
  <c r="L1698" i="2"/>
  <c r="K1698" i="2"/>
  <c r="L1697" i="2"/>
  <c r="K1697" i="2"/>
  <c r="L1696" i="2"/>
  <c r="K1696" i="2"/>
  <c r="L1695" i="2"/>
  <c r="K1695" i="2"/>
  <c r="L1694" i="2"/>
  <c r="K1694" i="2"/>
  <c r="L1693" i="2"/>
  <c r="K1693" i="2"/>
  <c r="L1692" i="2"/>
  <c r="K1692" i="2"/>
  <c r="L1691" i="2"/>
  <c r="K1691" i="2"/>
  <c r="L1690" i="2"/>
  <c r="K1690" i="2"/>
  <c r="L1689" i="2"/>
  <c r="K1689" i="2"/>
  <c r="L1688" i="2"/>
  <c r="K1688" i="2"/>
  <c r="L1687" i="2"/>
  <c r="K1687" i="2"/>
  <c r="L1686" i="2"/>
  <c r="K1686" i="2"/>
  <c r="L1685" i="2"/>
  <c r="K1685" i="2"/>
  <c r="L1684" i="2"/>
  <c r="K1684" i="2"/>
  <c r="L1683" i="2"/>
  <c r="K1683" i="2"/>
  <c r="L1682" i="2"/>
  <c r="K1682" i="2"/>
  <c r="L1681" i="2"/>
  <c r="K1681" i="2"/>
  <c r="L1680" i="2"/>
  <c r="K1680" i="2"/>
  <c r="L1679" i="2"/>
  <c r="K1679" i="2"/>
  <c r="L1678" i="2"/>
  <c r="K1678" i="2"/>
  <c r="L1677" i="2"/>
  <c r="K1677" i="2"/>
  <c r="L1676" i="2"/>
  <c r="K1676" i="2"/>
  <c r="L1675" i="2"/>
  <c r="K1675" i="2"/>
  <c r="L1674" i="2"/>
  <c r="K1674" i="2"/>
  <c r="L1673" i="2"/>
  <c r="K1673" i="2"/>
  <c r="L1672" i="2"/>
  <c r="K1672" i="2"/>
  <c r="L1671" i="2"/>
  <c r="K1671" i="2"/>
  <c r="L1670" i="2"/>
  <c r="K1670" i="2"/>
  <c r="L1669" i="2"/>
  <c r="K1669" i="2"/>
  <c r="L1668" i="2"/>
  <c r="K1668" i="2"/>
  <c r="L1667" i="2"/>
  <c r="K1667" i="2"/>
  <c r="L1666" i="2"/>
  <c r="K1666" i="2"/>
  <c r="L1665" i="2"/>
  <c r="K1665" i="2"/>
  <c r="L1664" i="2"/>
  <c r="K1664" i="2"/>
  <c r="L1663" i="2"/>
  <c r="K1663" i="2"/>
  <c r="L1662" i="2"/>
  <c r="K1662" i="2"/>
  <c r="L1661" i="2"/>
  <c r="K1661" i="2"/>
  <c r="L1660" i="2"/>
  <c r="K1660" i="2"/>
  <c r="L1659" i="2"/>
  <c r="K1659" i="2"/>
  <c r="L1658" i="2"/>
  <c r="K1658" i="2"/>
  <c r="L1657" i="2"/>
  <c r="K1657" i="2"/>
  <c r="L1656" i="2"/>
  <c r="K1656" i="2"/>
  <c r="L1655" i="2"/>
  <c r="K1655" i="2"/>
  <c r="L1654" i="2"/>
  <c r="K1654" i="2"/>
  <c r="L1653" i="2"/>
  <c r="K1653" i="2"/>
  <c r="L1652" i="2"/>
  <c r="K1652" i="2"/>
  <c r="L1651" i="2"/>
  <c r="K1651" i="2"/>
  <c r="L1650" i="2"/>
  <c r="K1650" i="2"/>
  <c r="L1649" i="2"/>
  <c r="K1649" i="2"/>
  <c r="L1648" i="2"/>
  <c r="K1648" i="2"/>
  <c r="L1647" i="2"/>
  <c r="K1647" i="2"/>
  <c r="L1646" i="2"/>
  <c r="K1646" i="2"/>
  <c r="L1645" i="2"/>
  <c r="K1645" i="2"/>
  <c r="L1644" i="2"/>
  <c r="K1644" i="2"/>
  <c r="L1643" i="2"/>
  <c r="K1643" i="2"/>
  <c r="L1642" i="2"/>
  <c r="K1642" i="2"/>
  <c r="L1641" i="2"/>
  <c r="K1641" i="2"/>
  <c r="L1640" i="2"/>
  <c r="K1640" i="2"/>
  <c r="L1639" i="2"/>
  <c r="K1639" i="2"/>
  <c r="L1638" i="2"/>
  <c r="K1638" i="2"/>
  <c r="L1637" i="2"/>
  <c r="K1637" i="2"/>
  <c r="L1636" i="2"/>
  <c r="K1636" i="2"/>
  <c r="L1635" i="2"/>
  <c r="K1635" i="2"/>
  <c r="L1634" i="2"/>
  <c r="K1634" i="2"/>
  <c r="L1633" i="2"/>
  <c r="K1633" i="2"/>
  <c r="L1632" i="2"/>
  <c r="K1632" i="2"/>
  <c r="L1631" i="2"/>
  <c r="K1631" i="2"/>
  <c r="L1630" i="2"/>
  <c r="K1630" i="2"/>
  <c r="L1629" i="2"/>
  <c r="K1629" i="2"/>
  <c r="L1628" i="2"/>
  <c r="K1628" i="2"/>
  <c r="L1627" i="2"/>
  <c r="K1627" i="2"/>
  <c r="L1626" i="2"/>
  <c r="K1626" i="2"/>
  <c r="L1625" i="2"/>
  <c r="K1625" i="2"/>
  <c r="L1624" i="2"/>
  <c r="K1624" i="2"/>
  <c r="L1623" i="2"/>
  <c r="K1623" i="2"/>
  <c r="L1622" i="2"/>
  <c r="K1622" i="2"/>
  <c r="L1621" i="2"/>
  <c r="K1621" i="2"/>
  <c r="L1620" i="2"/>
  <c r="K1620" i="2"/>
  <c r="L1619" i="2"/>
  <c r="K1619" i="2"/>
  <c r="L1618" i="2"/>
  <c r="K1618" i="2"/>
  <c r="L1617" i="2"/>
  <c r="K1617" i="2"/>
  <c r="L1616" i="2"/>
  <c r="K1616" i="2"/>
  <c r="L1615" i="2"/>
  <c r="K1615" i="2"/>
  <c r="L1614" i="2"/>
  <c r="K1614" i="2"/>
  <c r="L1613" i="2"/>
  <c r="K1613" i="2"/>
  <c r="L1612" i="2"/>
  <c r="K1612" i="2"/>
  <c r="L1611" i="2"/>
  <c r="K1611" i="2"/>
  <c r="L1610" i="2"/>
  <c r="K1610" i="2"/>
  <c r="L1609" i="2"/>
  <c r="K1609" i="2"/>
  <c r="L1608" i="2"/>
  <c r="K1608" i="2"/>
  <c r="L1607" i="2"/>
  <c r="K1607" i="2"/>
  <c r="L1606" i="2"/>
  <c r="K1606" i="2"/>
  <c r="L1605" i="2"/>
  <c r="K1605" i="2"/>
  <c r="L1604" i="2"/>
  <c r="K1604" i="2"/>
  <c r="L1603" i="2"/>
  <c r="K1603" i="2"/>
  <c r="L1602" i="2"/>
  <c r="K1602" i="2"/>
  <c r="L1601" i="2"/>
  <c r="K1601" i="2"/>
  <c r="L1600" i="2"/>
  <c r="K1600" i="2"/>
  <c r="L1599" i="2"/>
  <c r="K1599" i="2"/>
  <c r="L1598" i="2"/>
  <c r="K1598" i="2"/>
  <c r="L1597" i="2"/>
  <c r="K1597" i="2"/>
  <c r="L1596" i="2"/>
  <c r="K1596" i="2"/>
  <c r="L1595" i="2"/>
  <c r="K1595" i="2"/>
  <c r="L1594" i="2"/>
  <c r="K1594" i="2"/>
  <c r="L1593" i="2"/>
  <c r="K1593" i="2"/>
  <c r="L1592" i="2"/>
  <c r="K1592" i="2"/>
  <c r="L1591" i="2"/>
  <c r="K1591" i="2"/>
  <c r="L1590" i="2"/>
  <c r="K1590" i="2"/>
  <c r="L1589" i="2"/>
  <c r="K1589" i="2"/>
  <c r="L1588" i="2"/>
  <c r="K1588" i="2"/>
  <c r="L1587" i="2"/>
  <c r="K1587" i="2"/>
  <c r="L1586" i="2"/>
  <c r="K1586" i="2"/>
  <c r="L1585" i="2"/>
  <c r="K1585" i="2"/>
  <c r="L1584" i="2"/>
  <c r="K1584" i="2"/>
  <c r="L1583" i="2"/>
  <c r="K1583" i="2"/>
  <c r="L1582" i="2"/>
  <c r="K1582" i="2"/>
  <c r="L1581" i="2"/>
  <c r="K1581" i="2"/>
  <c r="L1580" i="2"/>
  <c r="K1580" i="2"/>
  <c r="L1579" i="2"/>
  <c r="K1579" i="2"/>
  <c r="L1578" i="2"/>
  <c r="K1578" i="2"/>
  <c r="L1577" i="2"/>
  <c r="K1577" i="2"/>
  <c r="L1576" i="2"/>
  <c r="K1576" i="2"/>
  <c r="L1575" i="2"/>
  <c r="K1575" i="2"/>
  <c r="L1574" i="2"/>
  <c r="K1574" i="2"/>
  <c r="L1573" i="2"/>
  <c r="K1573" i="2"/>
  <c r="L1572" i="2"/>
  <c r="K1572" i="2"/>
  <c r="L1571" i="2"/>
  <c r="K1571" i="2"/>
  <c r="L1570" i="2"/>
  <c r="K1570" i="2"/>
  <c r="L1569" i="2"/>
  <c r="K1569" i="2"/>
  <c r="L1568" i="2"/>
  <c r="K1568" i="2"/>
  <c r="L1567" i="2"/>
  <c r="K1567" i="2"/>
  <c r="L1566" i="2"/>
  <c r="K1566" i="2"/>
  <c r="L1565" i="2"/>
  <c r="K1565" i="2"/>
  <c r="L1564" i="2"/>
  <c r="K1564" i="2"/>
  <c r="L1563" i="2"/>
  <c r="K1563" i="2"/>
  <c r="L1562" i="2"/>
  <c r="K1562" i="2"/>
  <c r="L1561" i="2"/>
  <c r="K1561" i="2"/>
  <c r="L1560" i="2"/>
  <c r="K1560" i="2"/>
  <c r="L1559" i="2"/>
  <c r="K1559" i="2"/>
  <c r="L1558" i="2"/>
  <c r="K1558" i="2"/>
  <c r="L1557" i="2"/>
  <c r="K1557" i="2"/>
  <c r="L1556" i="2"/>
  <c r="K1556" i="2"/>
  <c r="L1555" i="2"/>
  <c r="K1555" i="2"/>
  <c r="L1554" i="2"/>
  <c r="K1554" i="2"/>
  <c r="L1553" i="2"/>
  <c r="K1553" i="2"/>
  <c r="L1552" i="2"/>
  <c r="K1552" i="2"/>
  <c r="L1551" i="2"/>
  <c r="K1551" i="2"/>
  <c r="L1550" i="2"/>
  <c r="K1550" i="2"/>
  <c r="L1549" i="2"/>
  <c r="K1549" i="2"/>
  <c r="L1548" i="2"/>
  <c r="K1548" i="2"/>
  <c r="L1547" i="2"/>
  <c r="K1547" i="2"/>
  <c r="L1546" i="2"/>
  <c r="K1546" i="2"/>
  <c r="L1545" i="2"/>
  <c r="K1545" i="2"/>
  <c r="L1544" i="2"/>
  <c r="K1544" i="2"/>
  <c r="L1543" i="2"/>
  <c r="K1543" i="2"/>
  <c r="L1542" i="2"/>
  <c r="K1542" i="2"/>
  <c r="L1541" i="2"/>
  <c r="K1541" i="2"/>
  <c r="L1540" i="2"/>
  <c r="K1540" i="2"/>
  <c r="L1539" i="2"/>
  <c r="K1539" i="2"/>
  <c r="L1538" i="2"/>
  <c r="K1538" i="2"/>
  <c r="L1537" i="2"/>
  <c r="K1537" i="2"/>
  <c r="L1536" i="2"/>
  <c r="K1536" i="2"/>
  <c r="L1535" i="2"/>
  <c r="K1535" i="2"/>
  <c r="L1534" i="2"/>
  <c r="K1534" i="2"/>
  <c r="L1533" i="2"/>
  <c r="K1533" i="2"/>
  <c r="L1532" i="2"/>
  <c r="K1532" i="2"/>
  <c r="L1531" i="2"/>
  <c r="K1531" i="2"/>
  <c r="L1530" i="2"/>
  <c r="K1530" i="2"/>
  <c r="L1529" i="2"/>
  <c r="K1529" i="2"/>
  <c r="L1528" i="2"/>
  <c r="K1528" i="2"/>
  <c r="L1527" i="2"/>
  <c r="K1527" i="2"/>
  <c r="L1526" i="2"/>
  <c r="K1526" i="2"/>
  <c r="L1525" i="2"/>
  <c r="K1525" i="2"/>
  <c r="L1524" i="2"/>
  <c r="K1524" i="2"/>
  <c r="L1523" i="2"/>
  <c r="K1523" i="2"/>
  <c r="L1522" i="2"/>
  <c r="K1522" i="2"/>
  <c r="L1521" i="2"/>
  <c r="K1521" i="2"/>
  <c r="L1520" i="2"/>
  <c r="K1520" i="2"/>
  <c r="L1519" i="2"/>
  <c r="K1519" i="2"/>
  <c r="L1518" i="2"/>
  <c r="K1518" i="2"/>
  <c r="L1517" i="2"/>
  <c r="K1517" i="2"/>
  <c r="L1516" i="2"/>
  <c r="K1516" i="2"/>
  <c r="L1515" i="2"/>
  <c r="K1515" i="2"/>
  <c r="L1514" i="2"/>
  <c r="K1514" i="2"/>
  <c r="L1513" i="2"/>
  <c r="K1513" i="2"/>
  <c r="L1512" i="2"/>
  <c r="K1512" i="2"/>
  <c r="L1511" i="2"/>
  <c r="K1511" i="2"/>
  <c r="L1510" i="2"/>
  <c r="K1510" i="2"/>
  <c r="L1509" i="2"/>
  <c r="K1509" i="2"/>
  <c r="L1508" i="2"/>
  <c r="K1508" i="2"/>
  <c r="L1507" i="2"/>
  <c r="K1507" i="2"/>
  <c r="L1506" i="2"/>
  <c r="K1506" i="2"/>
  <c r="L1505" i="2"/>
  <c r="K1505" i="2"/>
  <c r="L1504" i="2"/>
  <c r="K1504" i="2"/>
  <c r="L1503" i="2"/>
  <c r="K1503" i="2"/>
  <c r="L1502" i="2"/>
  <c r="K1502" i="2"/>
  <c r="L1501" i="2"/>
  <c r="K1501" i="2"/>
  <c r="L1500" i="2"/>
  <c r="K1500" i="2"/>
  <c r="L1499" i="2"/>
  <c r="K1499" i="2"/>
  <c r="L1498" i="2"/>
  <c r="K1498" i="2"/>
  <c r="L1497" i="2"/>
  <c r="K1497" i="2"/>
  <c r="L1496" i="2"/>
  <c r="K1496" i="2"/>
  <c r="L1495" i="2"/>
  <c r="K1495" i="2"/>
  <c r="L1494" i="2"/>
  <c r="K1494" i="2"/>
  <c r="L1493" i="2"/>
  <c r="K1493" i="2"/>
  <c r="L1492" i="2"/>
  <c r="K1492" i="2"/>
  <c r="L1491" i="2"/>
  <c r="K1491" i="2"/>
  <c r="L1490" i="2"/>
  <c r="K1490" i="2"/>
  <c r="L1489" i="2"/>
  <c r="K1489" i="2"/>
  <c r="L1488" i="2"/>
  <c r="K1488" i="2"/>
  <c r="L1487" i="2"/>
  <c r="K1487" i="2"/>
  <c r="L1486" i="2"/>
  <c r="K1486" i="2"/>
  <c r="L1485" i="2"/>
  <c r="K1485" i="2"/>
  <c r="L1484" i="2"/>
  <c r="K1484" i="2"/>
  <c r="L1483" i="2"/>
  <c r="K1483" i="2"/>
  <c r="L1482" i="2"/>
  <c r="K1482" i="2"/>
  <c r="L1481" i="2"/>
  <c r="K1481" i="2"/>
  <c r="L1480" i="2"/>
  <c r="K1480" i="2"/>
  <c r="L1479" i="2"/>
  <c r="K1479" i="2"/>
  <c r="L1478" i="2"/>
  <c r="K1478" i="2"/>
  <c r="L1477" i="2"/>
  <c r="K1477" i="2"/>
  <c r="L1476" i="2"/>
  <c r="K1476" i="2"/>
  <c r="L1475" i="2"/>
  <c r="K1475" i="2"/>
  <c r="L1474" i="2"/>
  <c r="K1474" i="2"/>
  <c r="L1473" i="2"/>
  <c r="K1473" i="2"/>
  <c r="L1472" i="2"/>
  <c r="K1472" i="2"/>
  <c r="L1471" i="2"/>
  <c r="K1471" i="2"/>
  <c r="L1470" i="2"/>
  <c r="K1470" i="2"/>
  <c r="L1469" i="2"/>
  <c r="K1469" i="2"/>
  <c r="L1468" i="2"/>
  <c r="K1468" i="2"/>
  <c r="L1467" i="2"/>
  <c r="K1467" i="2"/>
  <c r="L1466" i="2"/>
  <c r="K1466" i="2"/>
  <c r="L1465" i="2"/>
  <c r="K1465" i="2"/>
  <c r="L1464" i="2"/>
  <c r="K1464" i="2"/>
  <c r="L1463" i="2"/>
  <c r="K1463" i="2"/>
  <c r="L1462" i="2"/>
  <c r="K1462" i="2"/>
  <c r="L1461" i="2"/>
  <c r="K1461" i="2"/>
  <c r="L1460" i="2"/>
  <c r="K1460" i="2"/>
  <c r="L1459" i="2"/>
  <c r="K1459" i="2"/>
  <c r="L1458" i="2"/>
  <c r="K1458" i="2"/>
  <c r="L1457" i="2"/>
  <c r="K1457" i="2"/>
  <c r="L1456" i="2"/>
  <c r="K1456" i="2"/>
  <c r="L1455" i="2"/>
  <c r="K1455" i="2"/>
  <c r="L1454" i="2"/>
  <c r="K1454" i="2"/>
  <c r="L1453" i="2"/>
  <c r="K1453" i="2"/>
  <c r="L1452" i="2"/>
  <c r="K1452" i="2"/>
  <c r="L1451" i="2"/>
  <c r="K1451" i="2"/>
  <c r="L1450" i="2"/>
  <c r="K1450" i="2"/>
  <c r="L1449" i="2"/>
  <c r="K1449" i="2"/>
  <c r="L1448" i="2"/>
  <c r="K1448" i="2"/>
  <c r="L1447" i="2"/>
  <c r="K1447" i="2"/>
  <c r="L1446" i="2"/>
  <c r="K1446" i="2"/>
  <c r="L1445" i="2"/>
  <c r="K1445" i="2"/>
  <c r="L1444" i="2"/>
  <c r="K1444" i="2"/>
  <c r="L1443" i="2"/>
  <c r="K1443" i="2"/>
  <c r="L1442" i="2"/>
  <c r="K1442" i="2"/>
  <c r="L1441" i="2"/>
  <c r="K1441" i="2"/>
  <c r="L1440" i="2"/>
  <c r="K1440" i="2"/>
  <c r="L1439" i="2"/>
  <c r="K1439" i="2"/>
  <c r="L1438" i="2"/>
  <c r="K1438" i="2"/>
  <c r="L1437" i="2"/>
  <c r="K1437" i="2"/>
  <c r="L1436" i="2"/>
  <c r="K1436" i="2"/>
  <c r="L1435" i="2"/>
  <c r="K1435" i="2"/>
  <c r="L1434" i="2"/>
  <c r="K1434" i="2"/>
  <c r="L1433" i="2"/>
  <c r="K1433" i="2"/>
  <c r="L1432" i="2"/>
  <c r="K1432" i="2"/>
  <c r="L1431" i="2"/>
  <c r="K1431" i="2"/>
  <c r="L1430" i="2"/>
  <c r="K1430" i="2"/>
  <c r="L1429" i="2"/>
  <c r="K1429" i="2"/>
  <c r="L1428" i="2"/>
  <c r="K1428" i="2"/>
  <c r="L1427" i="2"/>
  <c r="K1427" i="2"/>
  <c r="L1426" i="2"/>
  <c r="K1426" i="2"/>
  <c r="L1425" i="2"/>
  <c r="K1425" i="2"/>
  <c r="L1424" i="2"/>
  <c r="K1424" i="2"/>
  <c r="L1423" i="2"/>
  <c r="K1423" i="2"/>
  <c r="L1422" i="2"/>
  <c r="K1422" i="2"/>
  <c r="L1421" i="2"/>
  <c r="K1421" i="2"/>
  <c r="L1420" i="2"/>
  <c r="K1420" i="2"/>
  <c r="L1419" i="2"/>
  <c r="K1419" i="2"/>
  <c r="L1418" i="2"/>
  <c r="K1418" i="2"/>
  <c r="L1417" i="2"/>
  <c r="K1417" i="2"/>
  <c r="L1416" i="2"/>
  <c r="K1416" i="2"/>
  <c r="L1415" i="2"/>
  <c r="K1415" i="2"/>
  <c r="L1414" i="2"/>
  <c r="K1414" i="2"/>
  <c r="L1413" i="2"/>
  <c r="K1413" i="2"/>
  <c r="L1412" i="2"/>
  <c r="K1412" i="2"/>
  <c r="L1411" i="2"/>
  <c r="K1411" i="2"/>
  <c r="L1410" i="2"/>
  <c r="K1410" i="2"/>
  <c r="L1409" i="2"/>
  <c r="K1409" i="2"/>
  <c r="L1408" i="2"/>
  <c r="K1408" i="2"/>
  <c r="L1407" i="2"/>
  <c r="K1407" i="2"/>
  <c r="L1406" i="2"/>
  <c r="K1406" i="2"/>
  <c r="L1405" i="2"/>
  <c r="K1405" i="2"/>
  <c r="L1404" i="2"/>
  <c r="K1404" i="2"/>
  <c r="L1403" i="2"/>
  <c r="K1403" i="2"/>
  <c r="L1402" i="2"/>
  <c r="K1402" i="2"/>
  <c r="L1401" i="2"/>
  <c r="K1401" i="2"/>
  <c r="L1400" i="2"/>
  <c r="K1400" i="2"/>
  <c r="L1399" i="2"/>
  <c r="K1399" i="2"/>
  <c r="L1398" i="2"/>
  <c r="K1398" i="2"/>
  <c r="L1397" i="2"/>
  <c r="K1397" i="2"/>
  <c r="L1396" i="2"/>
  <c r="K1396" i="2"/>
  <c r="L1395" i="2"/>
  <c r="K1395" i="2"/>
  <c r="L1394" i="2"/>
  <c r="K1394" i="2"/>
  <c r="L1393" i="2"/>
  <c r="K1393" i="2"/>
  <c r="L1392" i="2"/>
  <c r="K1392" i="2"/>
  <c r="L1391" i="2"/>
  <c r="K1391" i="2"/>
  <c r="L1390" i="2"/>
  <c r="K1390" i="2"/>
  <c r="L1389" i="2"/>
  <c r="K1389" i="2"/>
  <c r="L1388" i="2"/>
  <c r="K1388" i="2"/>
  <c r="L1387" i="2"/>
  <c r="K1387" i="2"/>
  <c r="L1386" i="2"/>
  <c r="K1386" i="2"/>
  <c r="L1385" i="2"/>
  <c r="K1385" i="2"/>
  <c r="L1384" i="2"/>
  <c r="K1384" i="2"/>
  <c r="L1383" i="2"/>
  <c r="K1383" i="2"/>
  <c r="L1382" i="2"/>
  <c r="K1382" i="2"/>
  <c r="L1381" i="2"/>
  <c r="K1381" i="2"/>
  <c r="L1380" i="2"/>
  <c r="K1380" i="2"/>
  <c r="L1379" i="2"/>
  <c r="K1379" i="2"/>
  <c r="L1378" i="2"/>
  <c r="K1378" i="2"/>
  <c r="L1377" i="2"/>
  <c r="K1377" i="2"/>
  <c r="L1376" i="2"/>
  <c r="K1376" i="2"/>
  <c r="L1375" i="2"/>
  <c r="K1375" i="2"/>
  <c r="L1374" i="2"/>
  <c r="K1374" i="2"/>
  <c r="L1373" i="2"/>
  <c r="K1373" i="2"/>
  <c r="L1372" i="2"/>
  <c r="K1372" i="2"/>
  <c r="L1371" i="2"/>
  <c r="K1371" i="2"/>
  <c r="L1370" i="2"/>
  <c r="K1370" i="2"/>
  <c r="L1369" i="2"/>
  <c r="K1369" i="2"/>
  <c r="L1368" i="2"/>
  <c r="K1368" i="2"/>
  <c r="L1367" i="2"/>
  <c r="K1367" i="2"/>
  <c r="L1366" i="2"/>
  <c r="K1366" i="2"/>
  <c r="L1365" i="2"/>
  <c r="K1365" i="2"/>
  <c r="L1364" i="2"/>
  <c r="K1364" i="2"/>
  <c r="L1363" i="2"/>
  <c r="K1363" i="2"/>
  <c r="L1362" i="2"/>
  <c r="K1362" i="2"/>
  <c r="L1361" i="2"/>
  <c r="K1361" i="2"/>
  <c r="L1360" i="2"/>
  <c r="K1360" i="2"/>
  <c r="L1359" i="2"/>
  <c r="K1359" i="2"/>
  <c r="L1358" i="2"/>
  <c r="K1358" i="2"/>
  <c r="L1357" i="2"/>
  <c r="K1357" i="2"/>
  <c r="L1356" i="2"/>
  <c r="K1356" i="2"/>
  <c r="L1355" i="2"/>
  <c r="K1355" i="2"/>
  <c r="L1354" i="2"/>
  <c r="K1354" i="2"/>
  <c r="L1353" i="2"/>
  <c r="K1353" i="2"/>
  <c r="L1352" i="2"/>
  <c r="K1352" i="2"/>
  <c r="L1351" i="2"/>
  <c r="K1351" i="2"/>
  <c r="L1350" i="2"/>
  <c r="K1350" i="2"/>
  <c r="L1349" i="2"/>
  <c r="K1349" i="2"/>
  <c r="L1348" i="2"/>
  <c r="K1348" i="2"/>
  <c r="L1347" i="2"/>
  <c r="K1347" i="2"/>
  <c r="L1346" i="2"/>
  <c r="K1346" i="2"/>
  <c r="L1345" i="2"/>
  <c r="K1345" i="2"/>
  <c r="L1344" i="2"/>
  <c r="K1344" i="2"/>
  <c r="L1343" i="2"/>
  <c r="K1343" i="2"/>
  <c r="L1342" i="2"/>
  <c r="K1342" i="2"/>
  <c r="L1341" i="2"/>
  <c r="K1341" i="2"/>
  <c r="L1340" i="2"/>
  <c r="K1340" i="2"/>
  <c r="L1339" i="2"/>
  <c r="K1339" i="2"/>
  <c r="L1338" i="2"/>
  <c r="K1338" i="2"/>
  <c r="L1337" i="2"/>
  <c r="K1337" i="2"/>
  <c r="L1336" i="2"/>
  <c r="K1336" i="2"/>
  <c r="L1335" i="2"/>
  <c r="K1335" i="2"/>
  <c r="L1334" i="2"/>
  <c r="K1334" i="2"/>
  <c r="L1333" i="2"/>
  <c r="K1333" i="2"/>
  <c r="L1332" i="2"/>
  <c r="K1332" i="2"/>
  <c r="L1331" i="2"/>
  <c r="K1331" i="2"/>
  <c r="L1330" i="2"/>
  <c r="K1330" i="2"/>
  <c r="L1329" i="2"/>
  <c r="K1329" i="2"/>
  <c r="L1328" i="2"/>
  <c r="K1328" i="2"/>
  <c r="L1327" i="2"/>
  <c r="K1327" i="2"/>
  <c r="L1326" i="2"/>
  <c r="K1326" i="2"/>
  <c r="L1325" i="2"/>
  <c r="K1325" i="2"/>
  <c r="L1324" i="2"/>
  <c r="K1324" i="2"/>
  <c r="L1323" i="2"/>
  <c r="K1323" i="2"/>
  <c r="L1322" i="2"/>
  <c r="K1322" i="2"/>
  <c r="L1321" i="2"/>
  <c r="K1321" i="2"/>
  <c r="L1320" i="2"/>
  <c r="K1320" i="2"/>
  <c r="L1319" i="2"/>
  <c r="K1319" i="2"/>
  <c r="L1318" i="2"/>
  <c r="K1318" i="2"/>
  <c r="L1317" i="2"/>
  <c r="K1317" i="2"/>
  <c r="L1316" i="2"/>
  <c r="K1316" i="2"/>
  <c r="L1315" i="2"/>
  <c r="K1315" i="2"/>
  <c r="L1314" i="2"/>
  <c r="K1314" i="2"/>
  <c r="L1313" i="2"/>
  <c r="K1313" i="2"/>
  <c r="L1312" i="2"/>
  <c r="K1312" i="2"/>
  <c r="L1311" i="2"/>
  <c r="K1311" i="2"/>
  <c r="L1310" i="2"/>
  <c r="K1310" i="2"/>
  <c r="L1309" i="2"/>
  <c r="K1309" i="2"/>
  <c r="L1308" i="2"/>
  <c r="K1308" i="2"/>
  <c r="L1307" i="2"/>
  <c r="K1307" i="2"/>
  <c r="L1306" i="2"/>
  <c r="K1306" i="2"/>
  <c r="L1305" i="2"/>
  <c r="K1305" i="2"/>
  <c r="L1304" i="2"/>
  <c r="K1304" i="2"/>
  <c r="L1303" i="2"/>
  <c r="K1303" i="2"/>
  <c r="L1302" i="2"/>
  <c r="K1302" i="2"/>
  <c r="L1301" i="2"/>
  <c r="K1301" i="2"/>
  <c r="L1300" i="2"/>
  <c r="K1300" i="2"/>
  <c r="L1299" i="2"/>
  <c r="K1299" i="2"/>
  <c r="L1298" i="2"/>
  <c r="K1298" i="2"/>
  <c r="L1297" i="2"/>
  <c r="K1297" i="2"/>
  <c r="L1296" i="2"/>
  <c r="K1296" i="2"/>
  <c r="L1295" i="2"/>
  <c r="K1295" i="2"/>
  <c r="L1294" i="2"/>
  <c r="K1294" i="2"/>
  <c r="L1293" i="2"/>
  <c r="K1293" i="2"/>
  <c r="L1292" i="2"/>
  <c r="K1292" i="2"/>
  <c r="L1291" i="2"/>
  <c r="K1291" i="2"/>
  <c r="L1290" i="2"/>
  <c r="K1290" i="2"/>
  <c r="L1289" i="2"/>
  <c r="K1289" i="2"/>
  <c r="L1288" i="2"/>
  <c r="K1288" i="2"/>
  <c r="L1287" i="2"/>
  <c r="K1287" i="2"/>
  <c r="L1286" i="2"/>
  <c r="K1286" i="2"/>
  <c r="L1285" i="2"/>
  <c r="K1285" i="2"/>
  <c r="L1284" i="2"/>
  <c r="K1284" i="2"/>
  <c r="L1283" i="2"/>
  <c r="K1283" i="2"/>
  <c r="L1282" i="2"/>
  <c r="K1282" i="2"/>
  <c r="L1281" i="2"/>
  <c r="K1281" i="2"/>
  <c r="L1280" i="2"/>
  <c r="K1280" i="2"/>
  <c r="L1279" i="2"/>
  <c r="K1279" i="2"/>
  <c r="L1278" i="2"/>
  <c r="K1278" i="2"/>
  <c r="L1277" i="2"/>
  <c r="K1277" i="2"/>
  <c r="L1276" i="2"/>
  <c r="K1276" i="2"/>
  <c r="L1275" i="2"/>
  <c r="K1275" i="2"/>
  <c r="L1274" i="2"/>
  <c r="K1274" i="2"/>
  <c r="L1273" i="2"/>
  <c r="K1273" i="2"/>
  <c r="L1272" i="2"/>
  <c r="K1272" i="2"/>
  <c r="L1271" i="2"/>
  <c r="K1271" i="2"/>
  <c r="L1270" i="2"/>
  <c r="K1270" i="2"/>
  <c r="L1269" i="2"/>
  <c r="K1269" i="2"/>
  <c r="L1268" i="2"/>
  <c r="K1268" i="2"/>
  <c r="L1267" i="2"/>
  <c r="K1267" i="2"/>
  <c r="L1266" i="2"/>
  <c r="K1266" i="2"/>
  <c r="L1265" i="2"/>
  <c r="K1265" i="2"/>
  <c r="L1264" i="2"/>
  <c r="K1264" i="2"/>
  <c r="L1263" i="2"/>
  <c r="K1263" i="2"/>
  <c r="L1262" i="2"/>
  <c r="K1262" i="2"/>
  <c r="L1261" i="2"/>
  <c r="K1261" i="2"/>
  <c r="L1260" i="2"/>
  <c r="K1260" i="2"/>
  <c r="L1259" i="2"/>
  <c r="K1259" i="2"/>
  <c r="L1258" i="2"/>
  <c r="K1258" i="2"/>
  <c r="L1257" i="2"/>
  <c r="K1257" i="2"/>
  <c r="L1256" i="2"/>
  <c r="K1256" i="2"/>
  <c r="L1255" i="2"/>
  <c r="K1255" i="2"/>
  <c r="L1254" i="2"/>
  <c r="K1254" i="2"/>
  <c r="L1253" i="2"/>
  <c r="K1253" i="2"/>
  <c r="L1252" i="2"/>
  <c r="K1252" i="2"/>
  <c r="L1251" i="2"/>
  <c r="K1251" i="2"/>
  <c r="L1250" i="2"/>
  <c r="K1250" i="2"/>
  <c r="L1249" i="2"/>
  <c r="K1249" i="2"/>
  <c r="L1248" i="2"/>
  <c r="K1248" i="2"/>
  <c r="L1247" i="2"/>
  <c r="K1247" i="2"/>
  <c r="L1246" i="2"/>
  <c r="K1246" i="2"/>
  <c r="L1245" i="2"/>
  <c r="K1245" i="2"/>
  <c r="L1244" i="2"/>
  <c r="K1244" i="2"/>
  <c r="L1243" i="2"/>
  <c r="K1243" i="2"/>
  <c r="L1242" i="2"/>
  <c r="K1242" i="2"/>
  <c r="L1241" i="2"/>
  <c r="K1241" i="2"/>
  <c r="L1240" i="2"/>
  <c r="K1240" i="2"/>
  <c r="L1239" i="2"/>
  <c r="K1239" i="2"/>
  <c r="L1238" i="2"/>
  <c r="K1238" i="2"/>
  <c r="L1237" i="2"/>
  <c r="K1237" i="2"/>
  <c r="L1236" i="2"/>
  <c r="K1236" i="2"/>
  <c r="L1235" i="2"/>
  <c r="K1235" i="2"/>
  <c r="L1234" i="2"/>
  <c r="K1234" i="2"/>
  <c r="L1233" i="2"/>
  <c r="K1233" i="2"/>
  <c r="L1232" i="2"/>
  <c r="K1232" i="2"/>
  <c r="L1231" i="2"/>
  <c r="K1231" i="2"/>
  <c r="L1230" i="2"/>
  <c r="K1230" i="2"/>
  <c r="L1229" i="2"/>
  <c r="K1229" i="2"/>
  <c r="L1228" i="2"/>
  <c r="K1228" i="2"/>
  <c r="L1227" i="2"/>
  <c r="K1227" i="2"/>
  <c r="L1226" i="2"/>
  <c r="K1226" i="2"/>
  <c r="L1225" i="2"/>
  <c r="K1225" i="2"/>
  <c r="L1224" i="2"/>
  <c r="K1224" i="2"/>
  <c r="L1223" i="2"/>
  <c r="K1223" i="2"/>
  <c r="L1222" i="2"/>
  <c r="K1222" i="2"/>
  <c r="L1221" i="2"/>
  <c r="K1221" i="2"/>
  <c r="L1220" i="2"/>
  <c r="K1220" i="2"/>
  <c r="L1219" i="2"/>
  <c r="K1219" i="2"/>
  <c r="L1218" i="2"/>
  <c r="K1218" i="2"/>
  <c r="L1217" i="2"/>
  <c r="K1217" i="2"/>
  <c r="L1216" i="2"/>
  <c r="K1216" i="2"/>
  <c r="L1215" i="2"/>
  <c r="K1215" i="2"/>
  <c r="L1214" i="2"/>
  <c r="K1214" i="2"/>
  <c r="L1213" i="2"/>
  <c r="K1213" i="2"/>
  <c r="L1212" i="2"/>
  <c r="K1212" i="2"/>
  <c r="L1211" i="2"/>
  <c r="K1211" i="2"/>
  <c r="L1210" i="2"/>
  <c r="K1210" i="2"/>
  <c r="L1209" i="2"/>
  <c r="K1209" i="2"/>
  <c r="L1208" i="2"/>
  <c r="K1208" i="2"/>
  <c r="L1207" i="2"/>
  <c r="K1207" i="2"/>
  <c r="L1206" i="2"/>
  <c r="K1206" i="2"/>
  <c r="L1205" i="2"/>
  <c r="K1205" i="2"/>
  <c r="L1204" i="2"/>
  <c r="K1204" i="2"/>
  <c r="L1203" i="2"/>
  <c r="K1203" i="2"/>
  <c r="L1202" i="2"/>
  <c r="K1202" i="2"/>
  <c r="L1201" i="2"/>
  <c r="K1201" i="2"/>
  <c r="L1200" i="2"/>
  <c r="K1200" i="2"/>
  <c r="L1199" i="2"/>
  <c r="K1199" i="2"/>
  <c r="L1198" i="2"/>
  <c r="K1198" i="2"/>
  <c r="L1197" i="2"/>
  <c r="K1197" i="2"/>
  <c r="L1196" i="2"/>
  <c r="K1196" i="2"/>
  <c r="L1195" i="2"/>
  <c r="K1195" i="2"/>
  <c r="L1194" i="2"/>
  <c r="K1194" i="2"/>
  <c r="L1193" i="2"/>
  <c r="K1193" i="2"/>
  <c r="L1192" i="2"/>
  <c r="K1192" i="2"/>
  <c r="L1191" i="2"/>
  <c r="K1191" i="2"/>
  <c r="L1190" i="2"/>
  <c r="K1190" i="2"/>
  <c r="L1189" i="2"/>
  <c r="K1189" i="2"/>
  <c r="L1188" i="2"/>
  <c r="K1188" i="2"/>
  <c r="L1187" i="2"/>
  <c r="K1187" i="2"/>
  <c r="L1186" i="2"/>
  <c r="K1186" i="2"/>
  <c r="L1185" i="2"/>
  <c r="K1185" i="2"/>
  <c r="L1184" i="2"/>
  <c r="K1184" i="2"/>
  <c r="L1183" i="2"/>
  <c r="K1183" i="2"/>
  <c r="L1182" i="2"/>
  <c r="K1182" i="2"/>
  <c r="L1181" i="2"/>
  <c r="K1181" i="2"/>
  <c r="L1180" i="2"/>
  <c r="K1180" i="2"/>
  <c r="L1179" i="2"/>
  <c r="K1179" i="2"/>
  <c r="L1178" i="2"/>
  <c r="K1178" i="2"/>
  <c r="L1177" i="2"/>
  <c r="K1177" i="2"/>
  <c r="L1176" i="2"/>
  <c r="K1176" i="2"/>
  <c r="L1175" i="2"/>
  <c r="K1175" i="2"/>
  <c r="L1174" i="2"/>
  <c r="K1174" i="2"/>
  <c r="L1173" i="2"/>
  <c r="K1173" i="2"/>
  <c r="L1172" i="2"/>
  <c r="K1172" i="2"/>
  <c r="L1171" i="2"/>
  <c r="K1171" i="2"/>
  <c r="L1170" i="2"/>
  <c r="K1170" i="2"/>
  <c r="L1169" i="2"/>
  <c r="K1169" i="2"/>
  <c r="L1168" i="2"/>
  <c r="K1168" i="2"/>
  <c r="L1167" i="2"/>
  <c r="K1167" i="2"/>
  <c r="L1166" i="2"/>
  <c r="K1166" i="2"/>
  <c r="L1165" i="2"/>
  <c r="K1165" i="2"/>
  <c r="L1164" i="2"/>
  <c r="K1164" i="2"/>
  <c r="L1163" i="2"/>
  <c r="K1163" i="2"/>
  <c r="L1162" i="2"/>
  <c r="K1162" i="2"/>
  <c r="L1161" i="2"/>
  <c r="K1161" i="2"/>
  <c r="L1160" i="2"/>
  <c r="K1160" i="2"/>
  <c r="L1159" i="2"/>
  <c r="K1159" i="2"/>
  <c r="L1158" i="2"/>
  <c r="K1158" i="2"/>
  <c r="L1157" i="2"/>
  <c r="K1157" i="2"/>
  <c r="L1156" i="2"/>
  <c r="K1156" i="2"/>
  <c r="L1155" i="2"/>
  <c r="K1155" i="2"/>
  <c r="L1154" i="2"/>
  <c r="K1154" i="2"/>
  <c r="L1153" i="2"/>
  <c r="K1153" i="2"/>
  <c r="L1152" i="2"/>
  <c r="K1152" i="2"/>
  <c r="L1151" i="2"/>
  <c r="K1151" i="2"/>
  <c r="L1150" i="2"/>
  <c r="K1150" i="2"/>
  <c r="L1149" i="2"/>
  <c r="K1149" i="2"/>
  <c r="L1148" i="2"/>
  <c r="K1148" i="2"/>
  <c r="L1147" i="2"/>
  <c r="K1147" i="2"/>
  <c r="L1146" i="2"/>
  <c r="K1146" i="2"/>
  <c r="L1145" i="2"/>
  <c r="K1145" i="2"/>
  <c r="L1144" i="2"/>
  <c r="K1144" i="2"/>
  <c r="L1143" i="2"/>
  <c r="K1143" i="2"/>
  <c r="L1142" i="2"/>
  <c r="K1142" i="2"/>
  <c r="L1141" i="2"/>
  <c r="K1141" i="2"/>
  <c r="L1140" i="2"/>
  <c r="K1140" i="2"/>
  <c r="L1139" i="2"/>
  <c r="K1139" i="2"/>
  <c r="L1138" i="2"/>
  <c r="K1138" i="2"/>
  <c r="L1137" i="2"/>
  <c r="K1137" i="2"/>
  <c r="L1136" i="2"/>
  <c r="K1136" i="2"/>
  <c r="L1135" i="2"/>
  <c r="K1135" i="2"/>
  <c r="L1134" i="2"/>
  <c r="K1134" i="2"/>
  <c r="L1133" i="2"/>
  <c r="K1133" i="2"/>
  <c r="L1132" i="2"/>
  <c r="K1132" i="2"/>
  <c r="L1131" i="2"/>
  <c r="K1131" i="2"/>
  <c r="L1130" i="2"/>
  <c r="K1130" i="2"/>
  <c r="L1129" i="2"/>
  <c r="K1129" i="2"/>
  <c r="L1128" i="2"/>
  <c r="K1128" i="2"/>
  <c r="L1127" i="2"/>
  <c r="K1127" i="2"/>
  <c r="L1126" i="2"/>
  <c r="K1126" i="2"/>
  <c r="L1125" i="2"/>
  <c r="K1125" i="2"/>
  <c r="L1124" i="2"/>
  <c r="K1124" i="2"/>
  <c r="L1123" i="2"/>
  <c r="K1123" i="2"/>
  <c r="L1122" i="2"/>
  <c r="K1122" i="2"/>
  <c r="L1121" i="2"/>
  <c r="K1121" i="2"/>
  <c r="L1120" i="2"/>
  <c r="K1120" i="2"/>
  <c r="L1119" i="2"/>
  <c r="K1119" i="2"/>
  <c r="L1118" i="2"/>
  <c r="K1118" i="2"/>
  <c r="L1117" i="2"/>
  <c r="K1117" i="2"/>
  <c r="L1116" i="2"/>
  <c r="K1116" i="2"/>
  <c r="L1115" i="2"/>
  <c r="K1115" i="2"/>
  <c r="L1114" i="2"/>
  <c r="K1114" i="2"/>
  <c r="L1113" i="2"/>
  <c r="K1113" i="2"/>
  <c r="L1112" i="2"/>
  <c r="K1112" i="2"/>
  <c r="L1111" i="2"/>
  <c r="K1111" i="2"/>
  <c r="L1110" i="2"/>
  <c r="K1110" i="2"/>
  <c r="L1109" i="2"/>
  <c r="K1109" i="2"/>
  <c r="L1108" i="2"/>
  <c r="K1108" i="2"/>
  <c r="L1107" i="2"/>
  <c r="K1107" i="2"/>
  <c r="L1106" i="2"/>
  <c r="K1106" i="2"/>
  <c r="L1105" i="2"/>
  <c r="K1105" i="2"/>
  <c r="L1104" i="2"/>
  <c r="K1104" i="2"/>
  <c r="L1103" i="2"/>
  <c r="K1103" i="2"/>
  <c r="L1102" i="2"/>
  <c r="K1102" i="2"/>
  <c r="L1101" i="2"/>
  <c r="K1101" i="2"/>
  <c r="L1100" i="2"/>
  <c r="K1100" i="2"/>
  <c r="L1099" i="2"/>
  <c r="K1099" i="2"/>
  <c r="L1098" i="2"/>
  <c r="K1098" i="2"/>
  <c r="L1097" i="2"/>
  <c r="K1097" i="2"/>
  <c r="L1096" i="2"/>
  <c r="K1096" i="2"/>
  <c r="L1095" i="2"/>
  <c r="K1095" i="2"/>
  <c r="L1094" i="2"/>
  <c r="K1094" i="2"/>
  <c r="L1093" i="2"/>
  <c r="K1093" i="2"/>
  <c r="L1092" i="2"/>
  <c r="K1092" i="2"/>
  <c r="L1091" i="2"/>
  <c r="K1091" i="2"/>
  <c r="L1090" i="2"/>
  <c r="K1090" i="2"/>
  <c r="L1089" i="2"/>
  <c r="K1089" i="2"/>
  <c r="L1088" i="2"/>
  <c r="K1088" i="2"/>
  <c r="L1087" i="2"/>
  <c r="K1087" i="2"/>
  <c r="L1086" i="2"/>
  <c r="K1086" i="2"/>
  <c r="L1085" i="2"/>
  <c r="K1085" i="2"/>
  <c r="L1084" i="2"/>
  <c r="K1084" i="2"/>
  <c r="L1083" i="2"/>
  <c r="K1083" i="2"/>
  <c r="L1082" i="2"/>
  <c r="K1082" i="2"/>
  <c r="L1081" i="2"/>
  <c r="K1081" i="2"/>
  <c r="L1080" i="2"/>
  <c r="K1080" i="2"/>
  <c r="L1079" i="2"/>
  <c r="K1079" i="2"/>
  <c r="L1078" i="2"/>
  <c r="K1078" i="2"/>
  <c r="L1077" i="2"/>
  <c r="K1077" i="2"/>
  <c r="L1076" i="2"/>
  <c r="K1076" i="2"/>
  <c r="L1075" i="2"/>
  <c r="K1075" i="2"/>
  <c r="L1074" i="2"/>
  <c r="K1074" i="2"/>
  <c r="L1073" i="2"/>
  <c r="K1073" i="2"/>
  <c r="L1072" i="2"/>
  <c r="K1072" i="2"/>
  <c r="L1071" i="2"/>
  <c r="K1071" i="2"/>
  <c r="L1070" i="2"/>
  <c r="K1070" i="2"/>
  <c r="L1069" i="2"/>
  <c r="K1069" i="2"/>
  <c r="L1068" i="2"/>
  <c r="K1068" i="2"/>
  <c r="L1067" i="2"/>
  <c r="K1067" i="2"/>
  <c r="L1066" i="2"/>
  <c r="K1066" i="2"/>
  <c r="L1065" i="2"/>
  <c r="K1065" i="2"/>
  <c r="L1064" i="2"/>
  <c r="K1064" i="2"/>
  <c r="L1063" i="2"/>
  <c r="K1063" i="2"/>
  <c r="L1062" i="2"/>
  <c r="K1062" i="2"/>
  <c r="L1061" i="2"/>
  <c r="K1061" i="2"/>
  <c r="L1060" i="2"/>
  <c r="K1060" i="2"/>
  <c r="L1059" i="2"/>
  <c r="K1059" i="2"/>
  <c r="L1058" i="2"/>
  <c r="K1058" i="2"/>
  <c r="L1057" i="2"/>
  <c r="K1057" i="2"/>
  <c r="L1056" i="2"/>
  <c r="K1056" i="2"/>
  <c r="L1055" i="2"/>
  <c r="K1055" i="2"/>
  <c r="L1054" i="2"/>
  <c r="K1054" i="2"/>
  <c r="L1053" i="2"/>
  <c r="K1053" i="2"/>
  <c r="L1052" i="2"/>
  <c r="K1052" i="2"/>
  <c r="L1051" i="2"/>
  <c r="K1051" i="2"/>
  <c r="L1050" i="2"/>
  <c r="K1050" i="2"/>
  <c r="L1049" i="2"/>
  <c r="K1049" i="2"/>
  <c r="L1048" i="2"/>
  <c r="K1048" i="2"/>
  <c r="L1047" i="2"/>
  <c r="K1047" i="2"/>
  <c r="L1046" i="2"/>
  <c r="K1046" i="2"/>
  <c r="L1045" i="2"/>
  <c r="K1045" i="2"/>
  <c r="L1044" i="2"/>
  <c r="K1044" i="2"/>
  <c r="L1043" i="2"/>
  <c r="K1043" i="2"/>
  <c r="L1042" i="2"/>
  <c r="K1042" i="2"/>
  <c r="L1041" i="2"/>
  <c r="K1041" i="2"/>
  <c r="L1040" i="2"/>
  <c r="K1040" i="2"/>
  <c r="L1039" i="2"/>
  <c r="K1039" i="2"/>
  <c r="L1038" i="2"/>
  <c r="K1038" i="2"/>
  <c r="L1037" i="2"/>
  <c r="K1037" i="2"/>
  <c r="L1036" i="2"/>
  <c r="K1036" i="2"/>
  <c r="L1035" i="2"/>
  <c r="K1035" i="2"/>
  <c r="L1034" i="2"/>
  <c r="K1034" i="2"/>
  <c r="L1033" i="2"/>
  <c r="K1033" i="2"/>
  <c r="L1032" i="2"/>
  <c r="K1032" i="2"/>
  <c r="L1031" i="2"/>
  <c r="K1031" i="2"/>
  <c r="L1030" i="2"/>
  <c r="K1030" i="2"/>
  <c r="L1029" i="2"/>
  <c r="K1029" i="2"/>
  <c r="L1028" i="2"/>
  <c r="K1028" i="2"/>
  <c r="L1027" i="2"/>
  <c r="K1027" i="2"/>
  <c r="L1026" i="2"/>
  <c r="K1026" i="2"/>
  <c r="L1025" i="2"/>
  <c r="K1025" i="2"/>
  <c r="L1024" i="2"/>
  <c r="K1024" i="2"/>
  <c r="L1023" i="2"/>
  <c r="K1023" i="2"/>
  <c r="L1022" i="2"/>
  <c r="K1022" i="2"/>
  <c r="L1021" i="2"/>
  <c r="K1021" i="2"/>
  <c r="L1020" i="2"/>
  <c r="K1020" i="2"/>
  <c r="L1019" i="2"/>
  <c r="K1019" i="2"/>
  <c r="L1018" i="2"/>
  <c r="K1018" i="2"/>
  <c r="L1017" i="2"/>
  <c r="K1017" i="2"/>
  <c r="L1016" i="2"/>
  <c r="K1016" i="2"/>
  <c r="L1015" i="2"/>
  <c r="K1015" i="2"/>
  <c r="L1014" i="2"/>
  <c r="K1014" i="2"/>
  <c r="L1013" i="2"/>
  <c r="K1013" i="2"/>
  <c r="L1012" i="2"/>
  <c r="K1012" i="2"/>
  <c r="L1011" i="2"/>
  <c r="K1011" i="2"/>
  <c r="L1010" i="2"/>
  <c r="K1010" i="2"/>
  <c r="L1009" i="2"/>
  <c r="K1009" i="2"/>
  <c r="L1008" i="2"/>
  <c r="K1008" i="2"/>
  <c r="L1007" i="2"/>
  <c r="K1007" i="2"/>
  <c r="L1006" i="2"/>
  <c r="K1006" i="2"/>
  <c r="L1005" i="2"/>
  <c r="K1005" i="2"/>
  <c r="L1004" i="2"/>
  <c r="K1004" i="2"/>
  <c r="L1003" i="2"/>
  <c r="K1003" i="2"/>
  <c r="L1002" i="2"/>
  <c r="K1002" i="2"/>
  <c r="L1001" i="2"/>
  <c r="K1001" i="2"/>
  <c r="L1000" i="2"/>
  <c r="K1000" i="2"/>
  <c r="L999" i="2"/>
  <c r="K999" i="2"/>
  <c r="L998" i="2"/>
  <c r="K998" i="2"/>
  <c r="L997" i="2"/>
  <c r="K997" i="2"/>
  <c r="L996" i="2"/>
  <c r="K996" i="2"/>
  <c r="L995" i="2"/>
  <c r="K995" i="2"/>
  <c r="L994" i="2"/>
  <c r="K994" i="2"/>
  <c r="L993" i="2"/>
  <c r="K993" i="2"/>
  <c r="L992" i="2"/>
  <c r="K992" i="2"/>
  <c r="L991" i="2"/>
  <c r="K991" i="2"/>
  <c r="L990" i="2"/>
  <c r="K990" i="2"/>
  <c r="L989" i="2"/>
  <c r="K989" i="2"/>
  <c r="L988" i="2"/>
  <c r="K988" i="2"/>
  <c r="L987" i="2"/>
  <c r="K987" i="2"/>
  <c r="L986" i="2"/>
  <c r="K986" i="2"/>
  <c r="L985" i="2"/>
  <c r="K985" i="2"/>
  <c r="L984" i="2"/>
  <c r="K984" i="2"/>
  <c r="L983" i="2"/>
  <c r="K983" i="2"/>
  <c r="L982" i="2"/>
  <c r="K982" i="2"/>
  <c r="L981" i="2"/>
  <c r="K981" i="2"/>
  <c r="L980" i="2"/>
  <c r="K980" i="2"/>
  <c r="L979" i="2"/>
  <c r="K979" i="2"/>
  <c r="L978" i="2"/>
  <c r="K978" i="2"/>
  <c r="L977" i="2"/>
  <c r="K977" i="2"/>
  <c r="L976" i="2"/>
  <c r="K976" i="2"/>
  <c r="L975" i="2"/>
  <c r="K975" i="2"/>
  <c r="L974" i="2"/>
  <c r="K974" i="2"/>
  <c r="L973" i="2"/>
  <c r="K973" i="2"/>
  <c r="L972" i="2"/>
  <c r="K972" i="2"/>
  <c r="L971" i="2"/>
  <c r="K971" i="2"/>
  <c r="L970" i="2"/>
  <c r="K970" i="2"/>
  <c r="L969" i="2"/>
  <c r="K969" i="2"/>
  <c r="L968" i="2"/>
  <c r="K968" i="2"/>
  <c r="L967" i="2"/>
  <c r="K967" i="2"/>
  <c r="L966" i="2"/>
  <c r="K966" i="2"/>
  <c r="L965" i="2"/>
  <c r="K965" i="2"/>
  <c r="L964" i="2"/>
  <c r="K964" i="2"/>
  <c r="L963" i="2"/>
  <c r="K963" i="2"/>
  <c r="L962" i="2"/>
  <c r="K962" i="2"/>
  <c r="L961" i="2"/>
  <c r="K961" i="2"/>
  <c r="L960" i="2"/>
  <c r="K960" i="2"/>
  <c r="L959" i="2"/>
  <c r="K959" i="2"/>
  <c r="L958" i="2"/>
  <c r="K958" i="2"/>
  <c r="L957" i="2"/>
  <c r="K957" i="2"/>
  <c r="L956" i="2"/>
  <c r="K956" i="2"/>
  <c r="L955" i="2"/>
  <c r="K955" i="2"/>
  <c r="L954" i="2"/>
  <c r="K954" i="2"/>
  <c r="L953" i="2"/>
  <c r="K953" i="2"/>
  <c r="L952" i="2"/>
  <c r="K952" i="2"/>
  <c r="L951" i="2"/>
  <c r="K951" i="2"/>
  <c r="L950" i="2"/>
  <c r="K950" i="2"/>
  <c r="L949" i="2"/>
  <c r="K949" i="2"/>
  <c r="L948" i="2"/>
  <c r="K948" i="2"/>
  <c r="L947" i="2"/>
  <c r="K947" i="2"/>
  <c r="L946" i="2"/>
  <c r="K946" i="2"/>
  <c r="L945" i="2"/>
  <c r="K945" i="2"/>
  <c r="L944" i="2"/>
  <c r="K944" i="2"/>
  <c r="L943" i="2"/>
  <c r="K943" i="2"/>
  <c r="L942" i="2"/>
  <c r="K942" i="2"/>
  <c r="L941" i="2"/>
  <c r="K941" i="2"/>
  <c r="L940" i="2"/>
  <c r="K940" i="2"/>
  <c r="L939" i="2"/>
  <c r="K939" i="2"/>
  <c r="L938" i="2"/>
  <c r="K938" i="2"/>
  <c r="L937" i="2"/>
  <c r="K937" i="2"/>
  <c r="L936" i="2"/>
  <c r="K936" i="2"/>
  <c r="L935" i="2"/>
  <c r="K935" i="2"/>
  <c r="L934" i="2"/>
  <c r="K934" i="2"/>
  <c r="L933" i="2"/>
  <c r="K933" i="2"/>
  <c r="L932" i="2"/>
  <c r="K932" i="2"/>
  <c r="L931" i="2"/>
  <c r="K931" i="2"/>
  <c r="L930" i="2"/>
  <c r="K930" i="2"/>
  <c r="L929" i="2"/>
  <c r="K929" i="2"/>
  <c r="L928" i="2"/>
  <c r="K928" i="2"/>
  <c r="L927" i="2"/>
  <c r="K927" i="2"/>
  <c r="L926" i="2"/>
  <c r="K926" i="2"/>
  <c r="L925" i="2"/>
  <c r="K925" i="2"/>
  <c r="L924" i="2"/>
  <c r="K924" i="2"/>
  <c r="L923" i="2"/>
  <c r="K923" i="2"/>
  <c r="L922" i="2"/>
  <c r="K922" i="2"/>
  <c r="L921" i="2"/>
  <c r="K921" i="2"/>
  <c r="L920" i="2"/>
  <c r="K920" i="2"/>
  <c r="L919" i="2"/>
  <c r="K919" i="2"/>
  <c r="L918" i="2"/>
  <c r="K918" i="2"/>
  <c r="L917" i="2"/>
  <c r="K917" i="2"/>
  <c r="L916" i="2"/>
  <c r="K916" i="2"/>
  <c r="L915" i="2"/>
  <c r="K915" i="2"/>
  <c r="L914" i="2"/>
  <c r="K914" i="2"/>
  <c r="L913" i="2"/>
  <c r="K913" i="2"/>
  <c r="L912" i="2"/>
  <c r="K912" i="2"/>
  <c r="L911" i="2"/>
  <c r="K911" i="2"/>
  <c r="L910" i="2"/>
  <c r="K910" i="2"/>
  <c r="L909" i="2"/>
  <c r="K909" i="2"/>
  <c r="L908" i="2"/>
  <c r="K908" i="2"/>
  <c r="L907" i="2"/>
  <c r="K907" i="2"/>
  <c r="L906" i="2"/>
  <c r="K906" i="2"/>
  <c r="L905" i="2"/>
  <c r="K905" i="2"/>
  <c r="L904" i="2"/>
  <c r="K904" i="2"/>
  <c r="L903" i="2"/>
  <c r="K903" i="2"/>
  <c r="L902" i="2"/>
  <c r="K902" i="2"/>
  <c r="L901" i="2"/>
  <c r="K901" i="2"/>
  <c r="L900" i="2"/>
  <c r="K900" i="2"/>
  <c r="L899" i="2"/>
  <c r="K899" i="2"/>
  <c r="L898" i="2"/>
  <c r="K898" i="2"/>
  <c r="L897" i="2"/>
  <c r="K897" i="2"/>
  <c r="L896" i="2"/>
  <c r="K896" i="2"/>
  <c r="L895" i="2"/>
  <c r="K895" i="2"/>
  <c r="L894" i="2"/>
  <c r="K894" i="2"/>
  <c r="L893" i="2"/>
  <c r="K893" i="2"/>
  <c r="L892" i="2"/>
  <c r="K892" i="2"/>
  <c r="L891" i="2"/>
  <c r="K891" i="2"/>
  <c r="L890" i="2"/>
  <c r="K890" i="2"/>
  <c r="L889" i="2"/>
  <c r="K889" i="2"/>
  <c r="L888" i="2"/>
  <c r="K888" i="2"/>
  <c r="L887" i="2"/>
  <c r="K887" i="2"/>
  <c r="L886" i="2"/>
  <c r="K886" i="2"/>
  <c r="L885" i="2"/>
  <c r="K885" i="2"/>
  <c r="L884" i="2"/>
  <c r="K884" i="2"/>
  <c r="L883" i="2"/>
  <c r="K883" i="2"/>
  <c r="L882" i="2"/>
  <c r="K882" i="2"/>
  <c r="L881" i="2"/>
  <c r="K881" i="2"/>
  <c r="L880" i="2"/>
  <c r="K880" i="2"/>
  <c r="L879" i="2"/>
  <c r="K879" i="2"/>
  <c r="L878" i="2"/>
  <c r="K878" i="2"/>
  <c r="L877" i="2"/>
  <c r="K877" i="2"/>
  <c r="L876" i="2"/>
  <c r="K876" i="2"/>
  <c r="L875" i="2"/>
  <c r="K875" i="2"/>
  <c r="L874" i="2"/>
  <c r="K874" i="2"/>
  <c r="L873" i="2"/>
  <c r="K873" i="2"/>
  <c r="L872" i="2"/>
  <c r="K872" i="2"/>
  <c r="L871" i="2"/>
  <c r="K871" i="2"/>
  <c r="L870" i="2"/>
  <c r="K870" i="2"/>
  <c r="L869" i="2"/>
  <c r="K869" i="2"/>
  <c r="L868" i="2"/>
  <c r="K868" i="2"/>
  <c r="L867" i="2"/>
  <c r="K867" i="2"/>
  <c r="L866" i="2"/>
  <c r="K866" i="2"/>
  <c r="L865" i="2"/>
  <c r="K865" i="2"/>
  <c r="L864" i="2"/>
  <c r="K864" i="2"/>
  <c r="L863" i="2"/>
  <c r="K863" i="2"/>
  <c r="L862" i="2"/>
  <c r="K862" i="2"/>
  <c r="L861" i="2"/>
  <c r="K861" i="2"/>
  <c r="L860" i="2"/>
  <c r="K860" i="2"/>
  <c r="L859" i="2"/>
  <c r="K859" i="2"/>
  <c r="L858" i="2"/>
  <c r="K858" i="2"/>
  <c r="L857" i="2"/>
  <c r="K857" i="2"/>
  <c r="L856" i="2"/>
  <c r="K856" i="2"/>
  <c r="L855" i="2"/>
  <c r="K855" i="2"/>
  <c r="L854" i="2"/>
  <c r="K854" i="2"/>
  <c r="L853" i="2"/>
  <c r="K853" i="2"/>
  <c r="L852" i="2"/>
  <c r="K852" i="2"/>
  <c r="L851" i="2"/>
  <c r="K851" i="2"/>
  <c r="L850" i="2"/>
  <c r="K850" i="2"/>
  <c r="L849" i="2"/>
  <c r="K849" i="2"/>
  <c r="L848" i="2"/>
  <c r="K848" i="2"/>
  <c r="L847" i="2"/>
  <c r="K847" i="2"/>
  <c r="L846" i="2"/>
  <c r="K846" i="2"/>
  <c r="L845" i="2"/>
  <c r="K845" i="2"/>
  <c r="L844" i="2"/>
  <c r="K844" i="2"/>
  <c r="L843" i="2"/>
  <c r="K843" i="2"/>
  <c r="L842" i="2"/>
  <c r="K842" i="2"/>
  <c r="L841" i="2"/>
  <c r="K841" i="2"/>
  <c r="L840" i="2"/>
  <c r="K840" i="2"/>
  <c r="L839" i="2"/>
  <c r="K839" i="2"/>
  <c r="L838" i="2"/>
  <c r="K838" i="2"/>
  <c r="L837" i="2"/>
  <c r="K837" i="2"/>
  <c r="L836" i="2"/>
  <c r="K836" i="2"/>
  <c r="L835" i="2"/>
  <c r="K835" i="2"/>
  <c r="L834" i="2"/>
  <c r="K834" i="2"/>
  <c r="L833" i="2"/>
  <c r="K833" i="2"/>
  <c r="L832" i="2"/>
  <c r="K832" i="2"/>
  <c r="L831" i="2"/>
  <c r="K831" i="2"/>
  <c r="L830" i="2"/>
  <c r="K830" i="2"/>
  <c r="L829" i="2"/>
  <c r="K829" i="2"/>
  <c r="L828" i="2"/>
  <c r="K828" i="2"/>
  <c r="L827" i="2"/>
  <c r="K827" i="2"/>
  <c r="L826" i="2"/>
  <c r="K826" i="2"/>
  <c r="L825" i="2"/>
  <c r="K825" i="2"/>
  <c r="L824" i="2"/>
  <c r="K824" i="2"/>
  <c r="L823" i="2"/>
  <c r="K823" i="2"/>
  <c r="L822" i="2"/>
  <c r="K822" i="2"/>
  <c r="L821" i="2"/>
  <c r="K821" i="2"/>
  <c r="L820" i="2"/>
  <c r="K820" i="2"/>
  <c r="L819" i="2"/>
  <c r="K819" i="2"/>
  <c r="L818" i="2"/>
  <c r="K818" i="2"/>
  <c r="L817" i="2"/>
  <c r="K817" i="2"/>
  <c r="L816" i="2"/>
  <c r="K816" i="2"/>
  <c r="L815" i="2"/>
  <c r="K815" i="2"/>
  <c r="L814" i="2"/>
  <c r="K814" i="2"/>
  <c r="L813" i="2"/>
  <c r="K813" i="2"/>
  <c r="L812" i="2"/>
  <c r="K812" i="2"/>
  <c r="L811" i="2"/>
  <c r="K811" i="2"/>
  <c r="L810" i="2"/>
  <c r="K810" i="2"/>
  <c r="L809" i="2"/>
  <c r="K809" i="2"/>
  <c r="L808" i="2"/>
  <c r="K808" i="2"/>
  <c r="L807" i="2"/>
  <c r="K807" i="2"/>
  <c r="L806" i="2"/>
  <c r="K806" i="2"/>
  <c r="L805" i="2"/>
  <c r="K805" i="2"/>
  <c r="L804" i="2"/>
  <c r="K804" i="2"/>
  <c r="L803" i="2"/>
  <c r="K803" i="2"/>
  <c r="L802" i="2"/>
  <c r="K802" i="2"/>
  <c r="L801" i="2"/>
  <c r="K801" i="2"/>
  <c r="L800" i="2"/>
  <c r="K800" i="2"/>
  <c r="L799" i="2"/>
  <c r="K799" i="2"/>
  <c r="L798" i="2"/>
  <c r="K798" i="2"/>
  <c r="L797" i="2"/>
  <c r="K797" i="2"/>
  <c r="L796" i="2"/>
  <c r="K796" i="2"/>
  <c r="L795" i="2"/>
  <c r="K795" i="2"/>
  <c r="L794" i="2"/>
  <c r="K794" i="2"/>
  <c r="L793" i="2"/>
  <c r="K793" i="2"/>
  <c r="L792" i="2"/>
  <c r="K792" i="2"/>
  <c r="L791" i="2"/>
  <c r="K791" i="2"/>
  <c r="L790" i="2"/>
  <c r="K790" i="2"/>
  <c r="L789" i="2"/>
  <c r="K789" i="2"/>
  <c r="L788" i="2"/>
  <c r="K788" i="2"/>
  <c r="L787" i="2"/>
  <c r="K787" i="2"/>
  <c r="L786" i="2"/>
  <c r="K786" i="2"/>
  <c r="L785" i="2"/>
  <c r="K785" i="2"/>
  <c r="L784" i="2"/>
  <c r="K784" i="2"/>
  <c r="L783" i="2"/>
  <c r="K783" i="2"/>
  <c r="L782" i="2"/>
  <c r="K782" i="2"/>
  <c r="L781" i="2"/>
  <c r="K781" i="2"/>
  <c r="L780" i="2"/>
  <c r="K780" i="2"/>
  <c r="L779" i="2"/>
  <c r="K779" i="2"/>
  <c r="L778" i="2"/>
  <c r="K778" i="2"/>
  <c r="L777" i="2"/>
  <c r="K777" i="2"/>
  <c r="L776" i="2"/>
  <c r="K776" i="2"/>
  <c r="L775" i="2"/>
  <c r="K775" i="2"/>
  <c r="L774" i="2"/>
  <c r="K774" i="2"/>
  <c r="L773" i="2"/>
  <c r="K773" i="2"/>
  <c r="L772" i="2"/>
  <c r="K772" i="2"/>
  <c r="L771" i="2"/>
  <c r="K771" i="2"/>
  <c r="L770" i="2"/>
  <c r="K770" i="2"/>
  <c r="L769" i="2"/>
  <c r="K769" i="2"/>
  <c r="L768" i="2"/>
  <c r="K768" i="2"/>
  <c r="L767" i="2"/>
  <c r="K767" i="2"/>
  <c r="L766" i="2"/>
  <c r="K766" i="2"/>
  <c r="L765" i="2"/>
  <c r="K765" i="2"/>
  <c r="L764" i="2"/>
  <c r="K764" i="2"/>
  <c r="L763" i="2"/>
  <c r="K763" i="2"/>
  <c r="L762" i="2"/>
  <c r="K762" i="2"/>
  <c r="L761" i="2"/>
  <c r="K761" i="2"/>
  <c r="L760" i="2"/>
  <c r="K760" i="2"/>
  <c r="L759" i="2"/>
  <c r="K759" i="2"/>
  <c r="L758" i="2"/>
  <c r="K758" i="2"/>
  <c r="L757" i="2"/>
  <c r="K757" i="2"/>
  <c r="L756" i="2"/>
  <c r="K756" i="2"/>
  <c r="L755" i="2"/>
  <c r="K755" i="2"/>
  <c r="L754" i="2"/>
  <c r="K754" i="2"/>
  <c r="L753" i="2"/>
  <c r="K753" i="2"/>
  <c r="L752" i="2"/>
  <c r="K752" i="2"/>
  <c r="L751" i="2"/>
  <c r="K751" i="2"/>
  <c r="L750" i="2"/>
  <c r="K750" i="2"/>
  <c r="L749" i="2"/>
  <c r="K749" i="2"/>
  <c r="L748" i="2"/>
  <c r="K748" i="2"/>
  <c r="L747" i="2"/>
  <c r="K747" i="2"/>
  <c r="L746" i="2"/>
  <c r="K746" i="2"/>
  <c r="L745" i="2"/>
  <c r="K745" i="2"/>
  <c r="L744" i="2"/>
  <c r="K744" i="2"/>
  <c r="L743" i="2"/>
  <c r="K743" i="2"/>
  <c r="L742" i="2"/>
  <c r="K742" i="2"/>
  <c r="L741" i="2"/>
  <c r="K741" i="2"/>
  <c r="L740" i="2"/>
  <c r="K740" i="2"/>
  <c r="L739" i="2"/>
  <c r="K739" i="2"/>
  <c r="L738" i="2"/>
  <c r="K738" i="2"/>
  <c r="L737" i="2"/>
  <c r="K737" i="2"/>
  <c r="L736" i="2"/>
  <c r="K736" i="2"/>
  <c r="L735" i="2"/>
  <c r="K735" i="2"/>
  <c r="L734" i="2"/>
  <c r="K734" i="2"/>
  <c r="L733" i="2"/>
  <c r="K733" i="2"/>
  <c r="L732" i="2"/>
  <c r="K732" i="2"/>
  <c r="L731" i="2"/>
  <c r="K731" i="2"/>
  <c r="L730" i="2"/>
  <c r="K730" i="2"/>
  <c r="L729" i="2"/>
  <c r="K729" i="2"/>
  <c r="L728" i="2"/>
  <c r="K728" i="2"/>
  <c r="L727" i="2"/>
  <c r="K727" i="2"/>
  <c r="L726" i="2"/>
  <c r="K726" i="2"/>
  <c r="L725" i="2"/>
  <c r="K725" i="2"/>
  <c r="L724" i="2"/>
  <c r="K724" i="2"/>
  <c r="L723" i="2"/>
  <c r="K723" i="2"/>
  <c r="L722" i="2"/>
  <c r="K722" i="2"/>
  <c r="L721" i="2"/>
  <c r="K721" i="2"/>
  <c r="L720" i="2"/>
  <c r="K720" i="2"/>
  <c r="L719" i="2"/>
  <c r="K719" i="2"/>
  <c r="L718" i="2"/>
  <c r="K718" i="2"/>
  <c r="L717" i="2"/>
  <c r="K717" i="2"/>
  <c r="L716" i="2"/>
  <c r="K716" i="2"/>
  <c r="L715" i="2"/>
  <c r="K715" i="2"/>
  <c r="L714" i="2"/>
  <c r="K714" i="2"/>
  <c r="L713" i="2"/>
  <c r="K713" i="2"/>
  <c r="L712" i="2"/>
  <c r="K712" i="2"/>
  <c r="L711" i="2"/>
  <c r="K711" i="2"/>
  <c r="L710" i="2"/>
  <c r="K710" i="2"/>
  <c r="L709" i="2"/>
  <c r="K709" i="2"/>
  <c r="L708" i="2"/>
  <c r="K708" i="2"/>
  <c r="L707" i="2"/>
  <c r="K707" i="2"/>
  <c r="L706" i="2"/>
  <c r="K706" i="2"/>
  <c r="L705" i="2"/>
  <c r="K705" i="2"/>
  <c r="L704" i="2"/>
  <c r="K704" i="2"/>
  <c r="L703" i="2"/>
  <c r="K703" i="2"/>
  <c r="L702" i="2"/>
  <c r="K702" i="2"/>
  <c r="L701" i="2"/>
  <c r="K701" i="2"/>
  <c r="L700" i="2"/>
  <c r="K700" i="2"/>
  <c r="L699" i="2"/>
  <c r="K699" i="2"/>
  <c r="L698" i="2"/>
  <c r="K698" i="2"/>
  <c r="L697" i="2"/>
  <c r="K697" i="2"/>
  <c r="L696" i="2"/>
  <c r="K696" i="2"/>
  <c r="L695" i="2"/>
  <c r="K695" i="2"/>
  <c r="L694" i="2"/>
  <c r="K694" i="2"/>
  <c r="L693" i="2"/>
  <c r="K693" i="2"/>
  <c r="L692" i="2"/>
  <c r="K692" i="2"/>
  <c r="L691" i="2"/>
  <c r="K691" i="2"/>
  <c r="L690" i="2"/>
  <c r="K690" i="2"/>
  <c r="L689" i="2"/>
  <c r="K689" i="2"/>
  <c r="L688" i="2"/>
  <c r="K688" i="2"/>
  <c r="L687" i="2"/>
  <c r="K687" i="2"/>
  <c r="L686" i="2"/>
  <c r="K686" i="2"/>
  <c r="L685" i="2"/>
  <c r="K685" i="2"/>
  <c r="L684" i="2"/>
  <c r="K684" i="2"/>
  <c r="L683" i="2"/>
  <c r="K683" i="2"/>
  <c r="L682" i="2"/>
  <c r="K682" i="2"/>
  <c r="L681" i="2"/>
  <c r="K681" i="2"/>
  <c r="L680" i="2"/>
  <c r="K680" i="2"/>
  <c r="L679" i="2"/>
  <c r="K679" i="2"/>
  <c r="L678" i="2"/>
  <c r="K678" i="2"/>
  <c r="L677" i="2"/>
  <c r="K677" i="2"/>
  <c r="L676" i="2"/>
  <c r="K676" i="2"/>
  <c r="L675" i="2"/>
  <c r="K675" i="2"/>
  <c r="L674" i="2"/>
  <c r="K674" i="2"/>
  <c r="L673" i="2"/>
  <c r="K673" i="2"/>
  <c r="L672" i="2"/>
  <c r="K672" i="2"/>
  <c r="L671" i="2"/>
  <c r="K671" i="2"/>
  <c r="L670" i="2"/>
  <c r="K670" i="2"/>
  <c r="L669" i="2"/>
  <c r="K669" i="2"/>
  <c r="L668" i="2"/>
  <c r="K668" i="2"/>
  <c r="L667" i="2"/>
  <c r="K667" i="2"/>
  <c r="L666" i="2"/>
  <c r="K666" i="2"/>
  <c r="L665" i="2"/>
  <c r="K665" i="2"/>
  <c r="L664" i="2"/>
  <c r="K664" i="2"/>
  <c r="L663" i="2"/>
  <c r="K663" i="2"/>
  <c r="L662" i="2"/>
  <c r="K662" i="2"/>
  <c r="L661" i="2"/>
  <c r="K661" i="2"/>
  <c r="L660" i="2"/>
  <c r="K660" i="2"/>
  <c r="L659" i="2"/>
  <c r="K659" i="2"/>
  <c r="L658" i="2"/>
  <c r="K658" i="2"/>
  <c r="L657" i="2"/>
  <c r="K657" i="2"/>
  <c r="L656" i="2"/>
  <c r="K656" i="2"/>
  <c r="L655" i="2"/>
  <c r="K655" i="2"/>
  <c r="L654" i="2"/>
  <c r="K654" i="2"/>
  <c r="L653" i="2"/>
  <c r="K653" i="2"/>
  <c r="L652" i="2"/>
  <c r="K652" i="2"/>
  <c r="L651" i="2"/>
  <c r="K651" i="2"/>
  <c r="L650" i="2"/>
  <c r="K650" i="2"/>
  <c r="L649" i="2"/>
  <c r="K649" i="2"/>
  <c r="L648" i="2"/>
  <c r="K648" i="2"/>
  <c r="L647" i="2"/>
  <c r="K647" i="2"/>
  <c r="L646" i="2"/>
  <c r="K646" i="2"/>
  <c r="L645" i="2"/>
  <c r="K645" i="2"/>
  <c r="L644" i="2"/>
  <c r="K644" i="2"/>
  <c r="L643" i="2"/>
  <c r="K643" i="2"/>
  <c r="L642" i="2"/>
  <c r="K642" i="2"/>
  <c r="L641" i="2"/>
  <c r="K641" i="2"/>
  <c r="L640" i="2"/>
  <c r="K640" i="2"/>
  <c r="L639" i="2"/>
  <c r="K639" i="2"/>
  <c r="L638" i="2"/>
  <c r="K638" i="2"/>
  <c r="L637" i="2"/>
  <c r="K637" i="2"/>
  <c r="L636" i="2"/>
  <c r="K636" i="2"/>
  <c r="L635" i="2"/>
  <c r="K635" i="2"/>
  <c r="L634" i="2"/>
  <c r="K634" i="2"/>
  <c r="L633" i="2"/>
  <c r="K633" i="2"/>
  <c r="L632" i="2"/>
  <c r="K632" i="2"/>
  <c r="L631" i="2"/>
  <c r="K631" i="2"/>
  <c r="L630" i="2"/>
  <c r="K630" i="2"/>
  <c r="L629" i="2"/>
  <c r="K629" i="2"/>
  <c r="L628" i="2"/>
  <c r="K628" i="2"/>
  <c r="L627" i="2"/>
  <c r="K627" i="2"/>
  <c r="L626" i="2"/>
  <c r="K626" i="2"/>
  <c r="L625" i="2"/>
  <c r="K625" i="2"/>
  <c r="L624" i="2"/>
  <c r="K624" i="2"/>
  <c r="L623" i="2"/>
  <c r="K623" i="2"/>
  <c r="L622" i="2"/>
  <c r="K622" i="2"/>
  <c r="L621" i="2"/>
  <c r="K621" i="2"/>
  <c r="L620" i="2"/>
  <c r="K620" i="2"/>
  <c r="L619" i="2"/>
  <c r="K619" i="2"/>
  <c r="L618" i="2"/>
  <c r="K618" i="2"/>
  <c r="L617" i="2"/>
  <c r="K617" i="2"/>
  <c r="L616" i="2"/>
  <c r="K616" i="2"/>
  <c r="L615" i="2"/>
  <c r="K615" i="2"/>
  <c r="L614" i="2"/>
  <c r="K614" i="2"/>
  <c r="L613" i="2"/>
  <c r="K613" i="2"/>
  <c r="L612" i="2"/>
  <c r="K612" i="2"/>
  <c r="L611" i="2"/>
  <c r="K611" i="2"/>
  <c r="L610" i="2"/>
  <c r="K610" i="2"/>
  <c r="L609" i="2"/>
  <c r="K609" i="2"/>
  <c r="L608" i="2"/>
  <c r="K608" i="2"/>
  <c r="L607" i="2"/>
  <c r="K607" i="2"/>
  <c r="L606" i="2"/>
  <c r="K606" i="2"/>
  <c r="L605" i="2"/>
  <c r="K605" i="2"/>
  <c r="L604" i="2"/>
  <c r="K604" i="2"/>
  <c r="L603" i="2"/>
  <c r="K603" i="2"/>
  <c r="L602" i="2"/>
  <c r="K602" i="2"/>
  <c r="L601" i="2"/>
  <c r="K601" i="2"/>
  <c r="L600" i="2"/>
  <c r="K600" i="2"/>
  <c r="L599" i="2"/>
  <c r="K599" i="2"/>
  <c r="L598" i="2"/>
  <c r="K598" i="2"/>
  <c r="L597" i="2"/>
  <c r="K597" i="2"/>
  <c r="L596" i="2"/>
  <c r="K596" i="2"/>
  <c r="L595" i="2"/>
  <c r="K595" i="2"/>
  <c r="L594" i="2"/>
  <c r="K594" i="2"/>
  <c r="L593" i="2"/>
  <c r="K593" i="2"/>
  <c r="L592" i="2"/>
  <c r="K592" i="2"/>
  <c r="L591" i="2"/>
  <c r="K591" i="2"/>
  <c r="L590" i="2"/>
  <c r="K590" i="2"/>
  <c r="L589" i="2"/>
  <c r="K589" i="2"/>
  <c r="L588" i="2"/>
  <c r="K588" i="2"/>
  <c r="L587" i="2"/>
  <c r="K587" i="2"/>
  <c r="L586" i="2"/>
  <c r="K586" i="2"/>
  <c r="L585" i="2"/>
  <c r="K585" i="2"/>
  <c r="L584" i="2"/>
  <c r="K584" i="2"/>
  <c r="L583" i="2"/>
  <c r="K583" i="2"/>
  <c r="L582" i="2"/>
  <c r="K582" i="2"/>
  <c r="L581" i="2"/>
  <c r="K581" i="2"/>
  <c r="L580" i="2"/>
  <c r="K580" i="2"/>
  <c r="L579" i="2"/>
  <c r="K579" i="2"/>
  <c r="L578" i="2"/>
  <c r="K578" i="2"/>
  <c r="L577" i="2"/>
  <c r="K577" i="2"/>
  <c r="L576" i="2"/>
  <c r="K576" i="2"/>
  <c r="L575" i="2"/>
  <c r="K575" i="2"/>
  <c r="L574" i="2"/>
  <c r="K574" i="2"/>
  <c r="L573" i="2"/>
  <c r="K573" i="2"/>
  <c r="L572" i="2"/>
  <c r="K572" i="2"/>
  <c r="L571" i="2"/>
  <c r="K571" i="2"/>
  <c r="L570" i="2"/>
  <c r="K570" i="2"/>
  <c r="L569" i="2"/>
  <c r="K569" i="2"/>
  <c r="L568" i="2"/>
  <c r="K568" i="2"/>
  <c r="L567" i="2"/>
  <c r="K567" i="2"/>
  <c r="L566" i="2"/>
  <c r="K566" i="2"/>
  <c r="L565" i="2"/>
  <c r="K565" i="2"/>
  <c r="L564" i="2"/>
  <c r="K564" i="2"/>
  <c r="L563" i="2"/>
  <c r="K563" i="2"/>
  <c r="L562" i="2"/>
  <c r="K562" i="2"/>
  <c r="L561" i="2"/>
  <c r="K561" i="2"/>
  <c r="L560" i="2"/>
  <c r="K560" i="2"/>
  <c r="L559" i="2"/>
  <c r="K559" i="2"/>
  <c r="L558" i="2"/>
  <c r="K558" i="2"/>
  <c r="L557" i="2"/>
  <c r="K557" i="2"/>
  <c r="L556" i="2"/>
  <c r="K556" i="2"/>
  <c r="L555" i="2"/>
  <c r="K555" i="2"/>
  <c r="L554" i="2"/>
  <c r="K554" i="2"/>
  <c r="L553" i="2"/>
  <c r="K553" i="2"/>
  <c r="L552" i="2"/>
  <c r="K552" i="2"/>
  <c r="L551" i="2"/>
  <c r="K551" i="2"/>
  <c r="L550" i="2"/>
  <c r="K550" i="2"/>
  <c r="L549" i="2"/>
  <c r="K549" i="2"/>
  <c r="L548" i="2"/>
  <c r="K548" i="2"/>
  <c r="L547" i="2"/>
  <c r="K547" i="2"/>
  <c r="L546" i="2"/>
  <c r="K546" i="2"/>
  <c r="L545" i="2"/>
  <c r="K545" i="2"/>
  <c r="L544" i="2"/>
  <c r="K544" i="2"/>
  <c r="L543" i="2"/>
  <c r="K543" i="2"/>
  <c r="L542" i="2"/>
  <c r="K542" i="2"/>
  <c r="L541" i="2"/>
  <c r="K541" i="2"/>
  <c r="L540" i="2"/>
  <c r="K540" i="2"/>
  <c r="L539" i="2"/>
  <c r="K539" i="2"/>
  <c r="L538" i="2"/>
  <c r="K538" i="2"/>
  <c r="L537" i="2"/>
  <c r="K537" i="2"/>
  <c r="L536" i="2"/>
  <c r="K536" i="2"/>
  <c r="L535" i="2"/>
  <c r="K535" i="2"/>
  <c r="L534" i="2"/>
  <c r="K534" i="2"/>
  <c r="L533" i="2"/>
  <c r="K533" i="2"/>
  <c r="L532" i="2"/>
  <c r="K532" i="2"/>
  <c r="L531" i="2"/>
  <c r="K531" i="2"/>
  <c r="L530" i="2"/>
  <c r="K530" i="2"/>
  <c r="L529" i="2"/>
  <c r="K529" i="2"/>
  <c r="L528" i="2"/>
  <c r="K528" i="2"/>
  <c r="L527" i="2"/>
  <c r="K527" i="2"/>
  <c r="L526" i="2"/>
  <c r="K526" i="2"/>
  <c r="L525" i="2"/>
  <c r="K525" i="2"/>
  <c r="L524" i="2"/>
  <c r="K524" i="2"/>
  <c r="L523" i="2"/>
  <c r="K523" i="2"/>
  <c r="L522" i="2"/>
  <c r="K522" i="2"/>
  <c r="L521" i="2"/>
  <c r="K521" i="2"/>
  <c r="L520" i="2"/>
  <c r="K520" i="2"/>
  <c r="L519" i="2"/>
  <c r="K519" i="2"/>
  <c r="L518" i="2"/>
  <c r="K518" i="2"/>
  <c r="L517" i="2"/>
  <c r="K517" i="2"/>
  <c r="L516" i="2"/>
  <c r="K516" i="2"/>
  <c r="L515" i="2"/>
  <c r="K515" i="2"/>
  <c r="L514" i="2"/>
  <c r="K514" i="2"/>
  <c r="L513" i="2"/>
  <c r="K513" i="2"/>
  <c r="L512" i="2"/>
  <c r="K512" i="2"/>
  <c r="L511" i="2"/>
  <c r="K511" i="2"/>
  <c r="L510" i="2"/>
  <c r="K510" i="2"/>
  <c r="L509" i="2"/>
  <c r="K509" i="2"/>
  <c r="L508" i="2"/>
  <c r="K508" i="2"/>
  <c r="L507" i="2"/>
  <c r="K507" i="2"/>
  <c r="L506" i="2"/>
  <c r="K506" i="2"/>
  <c r="L505" i="2"/>
  <c r="K505" i="2"/>
  <c r="L504" i="2"/>
  <c r="K504" i="2"/>
  <c r="L503" i="2"/>
  <c r="K503" i="2"/>
  <c r="L502" i="2"/>
  <c r="K502" i="2"/>
  <c r="L501" i="2"/>
  <c r="K501" i="2"/>
  <c r="L500" i="2"/>
  <c r="K500" i="2"/>
  <c r="L499" i="2"/>
  <c r="K499" i="2"/>
  <c r="L498" i="2"/>
  <c r="K498" i="2"/>
  <c r="L497" i="2"/>
  <c r="K497" i="2"/>
  <c r="L496" i="2"/>
  <c r="K496" i="2"/>
  <c r="L495" i="2"/>
  <c r="K495" i="2"/>
  <c r="L494" i="2"/>
  <c r="K494" i="2"/>
  <c r="L493" i="2"/>
  <c r="K493" i="2"/>
  <c r="L492" i="2"/>
  <c r="K492" i="2"/>
  <c r="L491" i="2"/>
  <c r="K491" i="2"/>
  <c r="L490" i="2"/>
  <c r="K490" i="2"/>
  <c r="L489" i="2"/>
  <c r="K489" i="2"/>
  <c r="L488" i="2"/>
  <c r="K488" i="2"/>
  <c r="L487" i="2"/>
  <c r="K487" i="2"/>
  <c r="L486" i="2"/>
  <c r="K486" i="2"/>
  <c r="L485" i="2"/>
  <c r="K485" i="2"/>
  <c r="L484" i="2"/>
  <c r="K484" i="2"/>
  <c r="L483" i="2"/>
  <c r="K483" i="2"/>
  <c r="L482" i="2"/>
  <c r="K482" i="2"/>
  <c r="L481" i="2"/>
  <c r="K481" i="2"/>
  <c r="L480" i="2"/>
  <c r="K480" i="2"/>
  <c r="L479" i="2"/>
  <c r="K479" i="2"/>
  <c r="L478" i="2"/>
  <c r="K478" i="2"/>
  <c r="L477" i="2"/>
  <c r="K477" i="2"/>
  <c r="L476" i="2"/>
  <c r="K476" i="2"/>
  <c r="L475" i="2"/>
  <c r="K475" i="2"/>
  <c r="L474" i="2"/>
  <c r="K474" i="2"/>
  <c r="L473" i="2"/>
  <c r="K473" i="2"/>
  <c r="L472" i="2"/>
  <c r="K472" i="2"/>
  <c r="L471" i="2"/>
  <c r="K471" i="2"/>
  <c r="L470" i="2"/>
  <c r="K470" i="2"/>
  <c r="L469" i="2"/>
  <c r="K469" i="2"/>
  <c r="L468" i="2"/>
  <c r="K468" i="2"/>
  <c r="L467" i="2"/>
  <c r="K467" i="2"/>
  <c r="L466" i="2"/>
  <c r="K466" i="2"/>
  <c r="L465" i="2"/>
  <c r="K465" i="2"/>
  <c r="L464" i="2"/>
  <c r="K464" i="2"/>
  <c r="L463" i="2"/>
  <c r="K463" i="2"/>
  <c r="L462" i="2"/>
  <c r="K462" i="2"/>
  <c r="L461" i="2"/>
  <c r="K461" i="2"/>
  <c r="L460" i="2"/>
  <c r="K460" i="2"/>
  <c r="L459" i="2"/>
  <c r="K459" i="2"/>
  <c r="L458" i="2"/>
  <c r="K458" i="2"/>
  <c r="L457" i="2"/>
  <c r="K457" i="2"/>
  <c r="L456" i="2"/>
  <c r="K456" i="2"/>
  <c r="L455" i="2"/>
  <c r="K455" i="2"/>
  <c r="L454" i="2"/>
  <c r="K454" i="2"/>
  <c r="L453" i="2"/>
  <c r="K453" i="2"/>
  <c r="L452" i="2"/>
  <c r="K452" i="2"/>
  <c r="L451" i="2"/>
  <c r="K451" i="2"/>
  <c r="L450" i="2"/>
  <c r="K450" i="2"/>
  <c r="L449" i="2"/>
  <c r="K449" i="2"/>
  <c r="L448" i="2"/>
  <c r="K448" i="2"/>
  <c r="L447" i="2"/>
  <c r="K447" i="2"/>
  <c r="L446" i="2"/>
  <c r="K446" i="2"/>
  <c r="L445" i="2"/>
  <c r="K445" i="2"/>
  <c r="L444" i="2"/>
  <c r="K444" i="2"/>
  <c r="L443" i="2"/>
  <c r="K443" i="2"/>
  <c r="L442" i="2"/>
  <c r="K442" i="2"/>
  <c r="L441" i="2"/>
  <c r="K441" i="2"/>
  <c r="L440" i="2"/>
  <c r="K440" i="2"/>
  <c r="L439" i="2"/>
  <c r="K439" i="2"/>
  <c r="L438" i="2"/>
  <c r="K438" i="2"/>
  <c r="L437" i="2"/>
  <c r="K437" i="2"/>
  <c r="L436" i="2"/>
  <c r="K436" i="2"/>
  <c r="L435" i="2"/>
  <c r="K435" i="2"/>
  <c r="L434" i="2"/>
  <c r="K434" i="2"/>
  <c r="L433" i="2"/>
  <c r="K433" i="2"/>
  <c r="L432" i="2"/>
  <c r="K432" i="2"/>
  <c r="L431" i="2"/>
  <c r="K431" i="2"/>
  <c r="L430" i="2"/>
  <c r="K430" i="2"/>
  <c r="L429" i="2"/>
  <c r="K429" i="2"/>
  <c r="L428" i="2"/>
  <c r="K428" i="2"/>
  <c r="L427" i="2"/>
  <c r="K427" i="2"/>
  <c r="L426" i="2"/>
  <c r="K426" i="2"/>
  <c r="L425" i="2"/>
  <c r="K425" i="2"/>
  <c r="L424" i="2"/>
  <c r="K424" i="2"/>
  <c r="L423" i="2"/>
  <c r="K423" i="2"/>
  <c r="L422" i="2"/>
  <c r="K422" i="2"/>
  <c r="L421" i="2"/>
  <c r="K421" i="2"/>
  <c r="L420" i="2"/>
  <c r="K420" i="2"/>
  <c r="L419" i="2"/>
  <c r="K419" i="2"/>
  <c r="L418" i="2"/>
  <c r="K418" i="2"/>
  <c r="L417" i="2"/>
  <c r="K417" i="2"/>
  <c r="L416" i="2"/>
  <c r="K416" i="2"/>
  <c r="L415" i="2"/>
  <c r="K415" i="2"/>
  <c r="L414" i="2"/>
  <c r="K414" i="2"/>
  <c r="L413" i="2"/>
  <c r="K413" i="2"/>
  <c r="L412" i="2"/>
  <c r="K412" i="2"/>
  <c r="L411" i="2"/>
  <c r="K411" i="2"/>
  <c r="L410" i="2"/>
  <c r="K410" i="2"/>
  <c r="L409" i="2"/>
  <c r="K409" i="2"/>
  <c r="L408" i="2"/>
  <c r="K408" i="2"/>
  <c r="L407" i="2"/>
  <c r="K407" i="2"/>
  <c r="L406" i="2"/>
  <c r="K406" i="2"/>
  <c r="L405" i="2"/>
  <c r="K405" i="2"/>
  <c r="L404" i="2"/>
  <c r="K404" i="2"/>
  <c r="L403" i="2"/>
  <c r="K403" i="2"/>
  <c r="L402" i="2"/>
  <c r="K402" i="2"/>
  <c r="L401" i="2"/>
  <c r="K401" i="2"/>
  <c r="L400" i="2"/>
  <c r="K400" i="2"/>
  <c r="L399" i="2"/>
  <c r="K399" i="2"/>
  <c r="L398" i="2"/>
  <c r="K398" i="2"/>
  <c r="L397" i="2"/>
  <c r="K397" i="2"/>
  <c r="L396" i="2"/>
  <c r="K396" i="2"/>
  <c r="L395" i="2"/>
  <c r="K395" i="2"/>
  <c r="L394" i="2"/>
  <c r="K394" i="2"/>
  <c r="L393" i="2"/>
  <c r="K393" i="2"/>
  <c r="L392" i="2"/>
  <c r="K392" i="2"/>
  <c r="L391" i="2"/>
  <c r="K391" i="2"/>
  <c r="L390" i="2"/>
  <c r="K390" i="2"/>
  <c r="L389" i="2"/>
  <c r="K389" i="2"/>
  <c r="L388" i="2"/>
  <c r="K388" i="2"/>
  <c r="L387" i="2"/>
  <c r="K387" i="2"/>
  <c r="L386" i="2"/>
  <c r="K386" i="2"/>
  <c r="L385" i="2"/>
  <c r="K385" i="2"/>
  <c r="L384" i="2"/>
  <c r="K384" i="2"/>
  <c r="L383" i="2"/>
  <c r="K383" i="2"/>
  <c r="L382" i="2"/>
  <c r="K382" i="2"/>
  <c r="L381" i="2"/>
  <c r="K381" i="2"/>
  <c r="L380" i="2"/>
  <c r="K380" i="2"/>
  <c r="L379" i="2"/>
  <c r="K379" i="2"/>
  <c r="L378" i="2"/>
  <c r="K378" i="2"/>
  <c r="L377" i="2"/>
  <c r="K377" i="2"/>
  <c r="L376" i="2"/>
  <c r="K376" i="2"/>
  <c r="L375" i="2"/>
  <c r="K375" i="2"/>
  <c r="L374" i="2"/>
  <c r="K374" i="2"/>
  <c r="L373" i="2"/>
  <c r="K373" i="2"/>
  <c r="L372" i="2"/>
  <c r="K372" i="2"/>
  <c r="L371" i="2"/>
  <c r="K371" i="2"/>
  <c r="L370" i="2"/>
  <c r="K370" i="2"/>
  <c r="L369" i="2"/>
  <c r="K369" i="2"/>
  <c r="L368" i="2"/>
  <c r="K368" i="2"/>
  <c r="L367" i="2"/>
  <c r="K367" i="2"/>
  <c r="L366" i="2"/>
  <c r="K366" i="2"/>
  <c r="L365" i="2"/>
  <c r="K365" i="2"/>
  <c r="L364" i="2"/>
  <c r="K364" i="2"/>
  <c r="L363" i="2"/>
  <c r="K363" i="2"/>
  <c r="L362" i="2"/>
  <c r="K362" i="2"/>
  <c r="L361" i="2"/>
  <c r="K361" i="2"/>
  <c r="L360" i="2"/>
  <c r="K360" i="2"/>
  <c r="L359" i="2"/>
  <c r="K359" i="2"/>
  <c r="L358" i="2"/>
  <c r="K358" i="2"/>
  <c r="L357" i="2"/>
  <c r="K357" i="2"/>
  <c r="L356" i="2"/>
  <c r="K356" i="2"/>
  <c r="L355" i="2"/>
  <c r="K355" i="2"/>
  <c r="L354" i="2"/>
  <c r="K354" i="2"/>
  <c r="L353" i="2"/>
  <c r="K353" i="2"/>
  <c r="L352" i="2"/>
  <c r="K352" i="2"/>
  <c r="L351" i="2"/>
  <c r="K351" i="2"/>
  <c r="L350" i="2"/>
  <c r="K350" i="2"/>
  <c r="L349" i="2"/>
  <c r="K349" i="2"/>
  <c r="L348" i="2"/>
  <c r="K348" i="2"/>
  <c r="L347" i="2"/>
  <c r="K347" i="2"/>
  <c r="L346" i="2"/>
  <c r="K346" i="2"/>
  <c r="L345" i="2"/>
  <c r="K345" i="2"/>
  <c r="L344" i="2"/>
  <c r="K344" i="2"/>
  <c r="L343" i="2"/>
  <c r="K343" i="2"/>
  <c r="L342" i="2"/>
  <c r="K342" i="2"/>
  <c r="L341" i="2"/>
  <c r="K341" i="2"/>
  <c r="L340" i="2"/>
  <c r="K340" i="2"/>
  <c r="L339" i="2"/>
  <c r="K339" i="2"/>
  <c r="L338" i="2"/>
  <c r="K338" i="2"/>
  <c r="L337" i="2"/>
  <c r="K337" i="2"/>
  <c r="L336" i="2"/>
  <c r="K336" i="2"/>
  <c r="L335" i="2"/>
  <c r="K335" i="2"/>
  <c r="L334" i="2"/>
  <c r="K334" i="2"/>
  <c r="L333" i="2"/>
  <c r="K333" i="2"/>
  <c r="L332" i="2"/>
  <c r="K332" i="2"/>
  <c r="L331" i="2"/>
  <c r="K331" i="2"/>
  <c r="L330" i="2"/>
  <c r="K330" i="2"/>
  <c r="L329" i="2"/>
  <c r="K329" i="2"/>
  <c r="L328" i="2"/>
  <c r="K328" i="2"/>
  <c r="L327" i="2"/>
  <c r="K327" i="2"/>
  <c r="L326" i="2"/>
  <c r="K326" i="2"/>
  <c r="L325" i="2"/>
  <c r="K325" i="2"/>
  <c r="L324" i="2"/>
  <c r="K324" i="2"/>
  <c r="L323" i="2"/>
  <c r="K323" i="2"/>
  <c r="L322" i="2"/>
  <c r="K322" i="2"/>
  <c r="L321" i="2"/>
  <c r="K321" i="2"/>
  <c r="L320" i="2"/>
  <c r="K320" i="2"/>
  <c r="L319" i="2"/>
  <c r="K319" i="2"/>
  <c r="L318" i="2"/>
  <c r="K318" i="2"/>
  <c r="L317" i="2"/>
  <c r="K317" i="2"/>
  <c r="L316" i="2"/>
  <c r="K316" i="2"/>
  <c r="L315" i="2"/>
  <c r="K315" i="2"/>
  <c r="L314" i="2"/>
  <c r="K314" i="2"/>
  <c r="L313" i="2"/>
  <c r="K313" i="2"/>
  <c r="L312" i="2"/>
  <c r="K312" i="2"/>
  <c r="L311" i="2"/>
  <c r="K311" i="2"/>
  <c r="L310" i="2"/>
  <c r="K310" i="2"/>
  <c r="L309" i="2"/>
  <c r="K309" i="2"/>
  <c r="L308" i="2"/>
  <c r="K308" i="2"/>
  <c r="L307" i="2"/>
  <c r="K307" i="2"/>
  <c r="L306" i="2"/>
  <c r="K306" i="2"/>
  <c r="L305" i="2"/>
  <c r="K305" i="2"/>
  <c r="L304" i="2"/>
  <c r="K304" i="2"/>
  <c r="L303" i="2"/>
  <c r="K303" i="2"/>
  <c r="L302" i="2"/>
  <c r="K302" i="2"/>
  <c r="L301" i="2"/>
  <c r="K301" i="2"/>
  <c r="L300" i="2"/>
  <c r="K300" i="2"/>
  <c r="L299" i="2"/>
  <c r="K299" i="2"/>
  <c r="L298" i="2"/>
  <c r="K298" i="2"/>
  <c r="L297" i="2"/>
  <c r="K297" i="2"/>
  <c r="L296" i="2"/>
  <c r="K296" i="2"/>
  <c r="L295" i="2"/>
  <c r="K295" i="2"/>
  <c r="L294" i="2"/>
  <c r="K294" i="2"/>
  <c r="L293" i="2"/>
  <c r="K293" i="2"/>
  <c r="L292" i="2"/>
  <c r="K292" i="2"/>
  <c r="L291" i="2"/>
  <c r="K291" i="2"/>
  <c r="L290" i="2"/>
  <c r="K290" i="2"/>
  <c r="L289" i="2"/>
  <c r="K289" i="2"/>
  <c r="L288" i="2"/>
  <c r="K288" i="2"/>
  <c r="L287" i="2"/>
  <c r="K287" i="2"/>
  <c r="L286" i="2"/>
  <c r="K286" i="2"/>
  <c r="L285" i="2"/>
  <c r="K285" i="2"/>
  <c r="L284" i="2"/>
  <c r="K284" i="2"/>
  <c r="L283" i="2"/>
  <c r="K283" i="2"/>
  <c r="L282" i="2"/>
  <c r="K282" i="2"/>
  <c r="L281" i="2"/>
  <c r="K281" i="2"/>
  <c r="L280" i="2"/>
  <c r="K280" i="2"/>
  <c r="L279" i="2"/>
  <c r="K279" i="2"/>
  <c r="L278" i="2"/>
  <c r="K278" i="2"/>
  <c r="L277" i="2"/>
  <c r="K277" i="2"/>
  <c r="L276" i="2"/>
  <c r="K276" i="2"/>
  <c r="L275" i="2"/>
  <c r="K275" i="2"/>
  <c r="L274" i="2"/>
  <c r="K274" i="2"/>
  <c r="L273" i="2"/>
  <c r="K273" i="2"/>
  <c r="L272" i="2"/>
  <c r="K272" i="2"/>
  <c r="L271" i="2"/>
  <c r="K271" i="2"/>
  <c r="L270" i="2"/>
  <c r="K270" i="2"/>
  <c r="L269" i="2"/>
  <c r="K269" i="2"/>
  <c r="L268" i="2"/>
  <c r="K268" i="2"/>
  <c r="L267" i="2"/>
  <c r="K267" i="2"/>
  <c r="L266" i="2"/>
  <c r="K266" i="2"/>
  <c r="L265" i="2"/>
  <c r="K265" i="2"/>
  <c r="L264" i="2"/>
  <c r="K264" i="2"/>
  <c r="L263" i="2"/>
  <c r="K263" i="2"/>
  <c r="L262" i="2"/>
  <c r="K262" i="2"/>
  <c r="L261" i="2"/>
  <c r="K261" i="2"/>
  <c r="L260" i="2"/>
  <c r="K260" i="2"/>
  <c r="L259" i="2"/>
  <c r="K259" i="2"/>
  <c r="L258" i="2"/>
  <c r="K258" i="2"/>
  <c r="L257" i="2"/>
  <c r="K257" i="2"/>
  <c r="L256" i="2"/>
  <c r="K256" i="2"/>
  <c r="L255" i="2"/>
  <c r="K255" i="2"/>
  <c r="L254" i="2"/>
  <c r="K254" i="2"/>
  <c r="L253" i="2"/>
  <c r="K253" i="2"/>
  <c r="L252" i="2"/>
  <c r="K252" i="2"/>
  <c r="L251" i="2"/>
  <c r="K251" i="2"/>
  <c r="L250" i="2"/>
  <c r="K250" i="2"/>
  <c r="L249" i="2"/>
  <c r="K249" i="2"/>
  <c r="L248" i="2"/>
  <c r="K248" i="2"/>
  <c r="L247" i="2"/>
  <c r="K247" i="2"/>
  <c r="L246" i="2"/>
  <c r="K246" i="2"/>
  <c r="L245" i="2"/>
  <c r="K245" i="2"/>
  <c r="L244" i="2"/>
  <c r="K244" i="2"/>
  <c r="L243" i="2"/>
  <c r="K243" i="2"/>
  <c r="L242" i="2"/>
  <c r="K242" i="2"/>
  <c r="L241" i="2"/>
  <c r="K241" i="2"/>
  <c r="L240" i="2"/>
  <c r="K240" i="2"/>
  <c r="L239" i="2"/>
  <c r="K239" i="2"/>
  <c r="L238" i="2"/>
  <c r="K238" i="2"/>
  <c r="L237" i="2"/>
  <c r="K237" i="2"/>
  <c r="L236" i="2"/>
  <c r="K236" i="2"/>
  <c r="L235" i="2"/>
  <c r="K235" i="2"/>
  <c r="L234" i="2"/>
  <c r="K234" i="2"/>
  <c r="L233" i="2"/>
  <c r="K233" i="2"/>
  <c r="L232" i="2"/>
  <c r="K232" i="2"/>
  <c r="L231" i="2"/>
  <c r="K231" i="2"/>
  <c r="L230" i="2"/>
  <c r="K230" i="2"/>
  <c r="L229" i="2"/>
  <c r="K229" i="2"/>
  <c r="L228" i="2"/>
  <c r="K228" i="2"/>
  <c r="L227" i="2"/>
  <c r="K227" i="2"/>
  <c r="L226" i="2"/>
  <c r="K226" i="2"/>
  <c r="L225" i="2"/>
  <c r="K225" i="2"/>
  <c r="L224" i="2"/>
  <c r="K224" i="2"/>
  <c r="L223" i="2"/>
  <c r="K223" i="2"/>
  <c r="L222" i="2"/>
  <c r="K222" i="2"/>
  <c r="L221" i="2"/>
  <c r="K221" i="2"/>
  <c r="L220" i="2"/>
  <c r="K220" i="2"/>
  <c r="L219" i="2"/>
  <c r="K219" i="2"/>
  <c r="L218" i="2"/>
  <c r="K218" i="2"/>
  <c r="L217" i="2"/>
  <c r="K217" i="2"/>
  <c r="L216" i="2"/>
  <c r="K216" i="2"/>
  <c r="L215" i="2"/>
  <c r="K215" i="2"/>
  <c r="L214" i="2"/>
  <c r="K214" i="2"/>
  <c r="L213" i="2"/>
  <c r="K213" i="2"/>
  <c r="L212" i="2"/>
  <c r="K212" i="2"/>
  <c r="L211" i="2"/>
  <c r="K211" i="2"/>
  <c r="L210" i="2"/>
  <c r="K210" i="2"/>
  <c r="L209" i="2"/>
  <c r="K209" i="2"/>
  <c r="L208" i="2"/>
  <c r="K208" i="2"/>
  <c r="L207" i="2"/>
  <c r="K207" i="2"/>
  <c r="L206" i="2"/>
  <c r="K206" i="2"/>
  <c r="L205" i="2"/>
  <c r="K205" i="2"/>
  <c r="L204" i="2"/>
  <c r="K204" i="2"/>
  <c r="L203" i="2"/>
  <c r="K203" i="2"/>
  <c r="L202" i="2"/>
  <c r="K202" i="2"/>
  <c r="L201" i="2"/>
  <c r="K201" i="2"/>
  <c r="L200" i="2"/>
  <c r="K200" i="2"/>
  <c r="L199" i="2"/>
  <c r="K199" i="2"/>
  <c r="L198" i="2"/>
  <c r="K198" i="2"/>
  <c r="L197" i="2"/>
  <c r="K197" i="2"/>
  <c r="L196" i="2"/>
  <c r="K196" i="2"/>
  <c r="L195" i="2"/>
  <c r="K195" i="2"/>
  <c r="L194" i="2"/>
  <c r="K194" i="2"/>
  <c r="L193" i="2"/>
  <c r="K193" i="2"/>
  <c r="L192" i="2"/>
  <c r="K192" i="2"/>
  <c r="L191" i="2"/>
  <c r="K191" i="2"/>
  <c r="L190" i="2"/>
  <c r="K190" i="2"/>
  <c r="L189" i="2"/>
  <c r="K189" i="2"/>
  <c r="L188" i="2"/>
  <c r="K188" i="2"/>
  <c r="L187" i="2"/>
  <c r="K187" i="2"/>
  <c r="L186" i="2"/>
  <c r="K186" i="2"/>
  <c r="L185" i="2"/>
  <c r="K185" i="2"/>
  <c r="L184" i="2"/>
  <c r="K184" i="2"/>
  <c r="L183" i="2"/>
  <c r="K183" i="2"/>
  <c r="L182" i="2"/>
  <c r="K182" i="2"/>
  <c r="L181" i="2"/>
  <c r="K181" i="2"/>
  <c r="L180" i="2"/>
  <c r="K180" i="2"/>
  <c r="L179" i="2"/>
  <c r="K179" i="2"/>
  <c r="L178" i="2"/>
  <c r="K178" i="2"/>
  <c r="L177" i="2"/>
  <c r="K177" i="2"/>
  <c r="L176" i="2"/>
  <c r="K176" i="2"/>
  <c r="L175" i="2"/>
  <c r="K175" i="2"/>
  <c r="L174" i="2"/>
  <c r="K174" i="2"/>
  <c r="L173" i="2"/>
  <c r="K173" i="2"/>
  <c r="L172" i="2"/>
  <c r="K172" i="2"/>
  <c r="L171" i="2"/>
  <c r="K171" i="2"/>
  <c r="L170" i="2"/>
  <c r="K170" i="2"/>
  <c r="L169" i="2"/>
  <c r="K169" i="2"/>
  <c r="L168" i="2"/>
  <c r="K168" i="2"/>
  <c r="L167" i="2"/>
  <c r="K167" i="2"/>
  <c r="L166" i="2"/>
  <c r="K166" i="2"/>
  <c r="L165" i="2"/>
  <c r="K165" i="2"/>
  <c r="L164" i="2"/>
  <c r="K164" i="2"/>
  <c r="L163" i="2"/>
  <c r="K163" i="2"/>
  <c r="L162" i="2"/>
  <c r="K162" i="2"/>
  <c r="L161" i="2"/>
  <c r="K161" i="2"/>
  <c r="L160" i="2"/>
  <c r="K160" i="2"/>
  <c r="L159" i="2"/>
  <c r="K159" i="2"/>
  <c r="L158" i="2"/>
  <c r="K158" i="2"/>
  <c r="L157" i="2"/>
  <c r="K157" i="2"/>
  <c r="L156" i="2"/>
  <c r="K156" i="2"/>
  <c r="L155" i="2"/>
  <c r="K155" i="2"/>
  <c r="L154" i="2"/>
  <c r="K154" i="2"/>
  <c r="L153" i="2"/>
  <c r="K153" i="2"/>
  <c r="L152" i="2"/>
  <c r="K152" i="2"/>
  <c r="L151" i="2"/>
  <c r="K151" i="2"/>
  <c r="L150" i="2"/>
  <c r="K150" i="2"/>
  <c r="L149" i="2"/>
  <c r="K149" i="2"/>
  <c r="L148" i="2"/>
  <c r="K148" i="2"/>
  <c r="L147" i="2"/>
  <c r="K147" i="2"/>
  <c r="L146" i="2"/>
  <c r="K146" i="2"/>
  <c r="L145" i="2"/>
  <c r="K145" i="2"/>
  <c r="L144" i="2"/>
  <c r="K144" i="2"/>
  <c r="L143" i="2"/>
  <c r="K143" i="2"/>
  <c r="L142" i="2"/>
  <c r="K142" i="2"/>
  <c r="L141" i="2"/>
  <c r="K141" i="2"/>
  <c r="L140" i="2"/>
  <c r="K140" i="2"/>
  <c r="L139" i="2"/>
  <c r="K139" i="2"/>
  <c r="L138" i="2"/>
  <c r="K138" i="2"/>
  <c r="L137" i="2"/>
  <c r="K137" i="2"/>
  <c r="L136" i="2"/>
  <c r="K136" i="2"/>
  <c r="L135" i="2"/>
  <c r="K135" i="2"/>
  <c r="L134" i="2"/>
  <c r="K134" i="2"/>
  <c r="L133" i="2"/>
  <c r="K133" i="2"/>
  <c r="L132" i="2"/>
  <c r="K132" i="2"/>
  <c r="L131" i="2"/>
  <c r="K131" i="2"/>
  <c r="L130" i="2"/>
  <c r="K130" i="2"/>
  <c r="L129" i="2"/>
  <c r="K129" i="2"/>
  <c r="L128" i="2"/>
  <c r="K128" i="2"/>
  <c r="L127" i="2"/>
  <c r="K127" i="2"/>
  <c r="L126" i="2"/>
  <c r="K126" i="2"/>
  <c r="L125" i="2"/>
  <c r="K125" i="2"/>
  <c r="L124" i="2"/>
  <c r="K124" i="2"/>
  <c r="L123" i="2"/>
  <c r="K123" i="2"/>
  <c r="L122" i="2"/>
  <c r="K122" i="2"/>
  <c r="L121" i="2"/>
  <c r="K121" i="2"/>
  <c r="L120" i="2"/>
  <c r="K120" i="2"/>
  <c r="L119" i="2"/>
  <c r="K119" i="2"/>
  <c r="L118" i="2"/>
  <c r="K118" i="2"/>
  <c r="L117" i="2"/>
  <c r="K117" i="2"/>
  <c r="L116" i="2"/>
  <c r="K116" i="2"/>
  <c r="L115" i="2"/>
  <c r="K115" i="2"/>
  <c r="L114" i="2"/>
  <c r="K114" i="2"/>
  <c r="L113" i="2"/>
  <c r="K113" i="2"/>
  <c r="L112" i="2"/>
  <c r="K112" i="2"/>
  <c r="L111" i="2"/>
  <c r="K111" i="2"/>
  <c r="L110" i="2"/>
  <c r="K110" i="2"/>
  <c r="L109" i="2"/>
  <c r="K109" i="2"/>
  <c r="L108" i="2"/>
  <c r="K108" i="2"/>
  <c r="L107" i="2"/>
  <c r="K107" i="2"/>
  <c r="L106" i="2"/>
  <c r="K106" i="2"/>
  <c r="L105" i="2"/>
  <c r="K105" i="2"/>
  <c r="L104" i="2"/>
  <c r="K104" i="2"/>
  <c r="L103" i="2"/>
  <c r="K103" i="2"/>
  <c r="L102" i="2"/>
  <c r="K102" i="2"/>
  <c r="L101" i="2"/>
  <c r="K101" i="2"/>
  <c r="L100" i="2"/>
  <c r="K100" i="2"/>
  <c r="L99" i="2"/>
  <c r="K99" i="2"/>
  <c r="L98" i="2"/>
  <c r="K98" i="2"/>
  <c r="L97" i="2"/>
  <c r="K97" i="2"/>
  <c r="L96" i="2"/>
  <c r="K96" i="2"/>
  <c r="L95" i="2"/>
  <c r="K95" i="2"/>
  <c r="L94" i="2"/>
  <c r="K94" i="2"/>
  <c r="L93" i="2"/>
  <c r="K93" i="2"/>
  <c r="L92" i="2"/>
  <c r="K92" i="2"/>
  <c r="L91" i="2"/>
  <c r="K91" i="2"/>
  <c r="L90" i="2"/>
  <c r="K90" i="2"/>
  <c r="L89" i="2"/>
  <c r="K89" i="2"/>
  <c r="L88" i="2"/>
  <c r="K88" i="2"/>
  <c r="L87" i="2"/>
  <c r="K87" i="2"/>
  <c r="L86" i="2"/>
  <c r="K86" i="2"/>
  <c r="L85" i="2"/>
  <c r="K85" i="2"/>
  <c r="L84" i="2"/>
  <c r="K84" i="2"/>
  <c r="L83" i="2"/>
  <c r="K83" i="2"/>
  <c r="L82" i="2"/>
  <c r="K82" i="2"/>
  <c r="L81" i="2"/>
  <c r="K81" i="2"/>
  <c r="L80" i="2"/>
  <c r="K80" i="2"/>
  <c r="L79" i="2"/>
  <c r="K79" i="2"/>
  <c r="L78" i="2"/>
  <c r="K78" i="2"/>
  <c r="L77" i="2"/>
  <c r="K77" i="2"/>
  <c r="L76" i="2"/>
  <c r="K76" i="2"/>
  <c r="L75" i="2"/>
  <c r="K75" i="2"/>
  <c r="L74" i="2"/>
  <c r="K74" i="2"/>
  <c r="L73" i="2"/>
  <c r="K73" i="2"/>
  <c r="L72" i="2"/>
  <c r="K72" i="2"/>
  <c r="L71" i="2"/>
  <c r="K71" i="2"/>
  <c r="L70" i="2"/>
  <c r="K70" i="2"/>
  <c r="L69" i="2"/>
  <c r="K69" i="2"/>
  <c r="L68" i="2"/>
  <c r="K68" i="2"/>
  <c r="L67" i="2"/>
  <c r="K67" i="2"/>
  <c r="L66" i="2"/>
  <c r="K66" i="2"/>
  <c r="L65" i="2"/>
  <c r="K65" i="2"/>
  <c r="L64" i="2"/>
  <c r="K64" i="2"/>
  <c r="L63" i="2"/>
  <c r="K63" i="2"/>
  <c r="L62" i="2"/>
  <c r="K62" i="2"/>
  <c r="L61" i="2"/>
  <c r="K61" i="2"/>
  <c r="L60" i="2"/>
  <c r="K60" i="2"/>
  <c r="L59" i="2"/>
  <c r="K59" i="2"/>
  <c r="L58" i="2"/>
  <c r="K58" i="2"/>
  <c r="L57" i="2"/>
  <c r="K57" i="2"/>
  <c r="L56" i="2"/>
  <c r="K56" i="2"/>
  <c r="L55" i="2"/>
  <c r="K55" i="2"/>
  <c r="L54" i="2"/>
  <c r="K54" i="2"/>
  <c r="L53" i="2"/>
  <c r="K53" i="2"/>
  <c r="L52" i="2"/>
  <c r="K52" i="2"/>
  <c r="L51" i="2"/>
  <c r="K51" i="2"/>
  <c r="L50" i="2"/>
  <c r="K50" i="2"/>
  <c r="L49" i="2"/>
  <c r="K49" i="2"/>
  <c r="L48" i="2"/>
  <c r="K48" i="2"/>
  <c r="L47" i="2"/>
  <c r="K47" i="2"/>
  <c r="L46" i="2"/>
  <c r="K46" i="2"/>
  <c r="L45" i="2"/>
  <c r="K45" i="2"/>
  <c r="L44" i="2"/>
  <c r="K44" i="2"/>
  <c r="L43" i="2"/>
  <c r="K43" i="2"/>
  <c r="L42" i="2"/>
  <c r="K42" i="2"/>
  <c r="L41" i="2"/>
  <c r="K41" i="2"/>
  <c r="L40" i="2"/>
  <c r="K40" i="2"/>
  <c r="L39" i="2"/>
  <c r="K39" i="2"/>
  <c r="L38" i="2"/>
  <c r="K38" i="2"/>
  <c r="L37" i="2"/>
  <c r="K37" i="2"/>
  <c r="L36" i="2"/>
  <c r="K36" i="2"/>
  <c r="L35" i="2"/>
  <c r="K35" i="2"/>
  <c r="L34" i="2"/>
  <c r="K34" i="2"/>
  <c r="L33" i="2"/>
  <c r="K33" i="2"/>
  <c r="L32" i="2"/>
  <c r="K32" i="2"/>
  <c r="L31" i="2"/>
  <c r="K31" i="2"/>
  <c r="L30" i="2"/>
  <c r="K30" i="2"/>
  <c r="L29" i="2"/>
  <c r="K29" i="2"/>
  <c r="L28" i="2"/>
  <c r="K28" i="2"/>
  <c r="L27" i="2"/>
  <c r="K27" i="2"/>
  <c r="L26" i="2"/>
  <c r="K26" i="2"/>
  <c r="L25" i="2"/>
  <c r="K25" i="2"/>
  <c r="L24" i="2"/>
  <c r="K24" i="2"/>
  <c r="L23" i="2"/>
  <c r="K23" i="2"/>
  <c r="L22" i="2"/>
  <c r="K22" i="2"/>
  <c r="L21" i="2"/>
  <c r="K21" i="2"/>
  <c r="L20" i="2"/>
  <c r="K20" i="2"/>
  <c r="L19" i="2"/>
  <c r="K19" i="2"/>
  <c r="L18" i="2"/>
  <c r="K18" i="2"/>
  <c r="L17" i="2"/>
  <c r="K17" i="2"/>
  <c r="L16" i="2"/>
  <c r="K16" i="2"/>
  <c r="L15" i="2"/>
  <c r="K15" i="2"/>
  <c r="L14" i="2"/>
  <c r="K14" i="2"/>
  <c r="L13" i="2"/>
  <c r="K13" i="2"/>
  <c r="L12" i="2"/>
  <c r="K12" i="2"/>
  <c r="L11" i="2"/>
  <c r="K11" i="2"/>
  <c r="L10" i="2"/>
  <c r="K10" i="2"/>
  <c r="L9" i="2"/>
  <c r="K9" i="2"/>
  <c r="L8" i="2"/>
  <c r="K8" i="2"/>
  <c r="L7" i="2"/>
  <c r="K7" i="2"/>
  <c r="L6" i="2"/>
  <c r="K6" i="2"/>
  <c r="L5" i="2"/>
  <c r="K5" i="2"/>
  <c r="L4" i="2"/>
  <c r="K4" i="2"/>
  <c r="L3" i="2"/>
  <c r="K3" i="2"/>
  <c r="L2" i="2"/>
  <c r="K2" i="2"/>
</calcChain>
</file>

<file path=xl/sharedStrings.xml><?xml version="1.0" encoding="utf-8"?>
<sst xmlns="http://schemas.openxmlformats.org/spreadsheetml/2006/main" count="65190" uniqueCount="16571">
  <si>
    <t>awards_short</t>
  </si>
  <si>
    <t>locarno_match_01</t>
  </si>
  <si>
    <t>locarno_match_02</t>
  </si>
  <si>
    <t>locarno_match_03</t>
  </si>
  <si>
    <t>Food, Beverage and Culinary Arts</t>
  </si>
  <si>
    <t>Clase 01 - Alimentos: Esta clase incluye productos alimenticios para humanos y animales, así como alimentos dietéticos. Comprende productos de panadería como panes y pasteles, galletas, chocolates, confitería, helados, frutas y verduras frescas o procesadas, quesos, mantequilla y otros lácteos, carnes de carnicería, pescado, tofu y productos derivados, así como alimentos para animales y otros productos misceláneos relacionados con la alimentación.</t>
  </si>
  <si>
    <t>Fashion and Travel Accessories</t>
  </si>
  <si>
    <t>Clase 02 - Prendas de vestir y mercería: Abarca todo tipo de ropa y accesorios de moda, excluyendo prendas para muñecos, equipo de protección especial y ropa para animales. Incluye prendas interiores como lencería y corsés, ropa exterior, sombreros y tocados, calzado, calcetines, medias, corbatas, bufandas, pañuelos, guantes, artículos de mercería y otros accesorios de vestir misceláneos.</t>
  </si>
  <si>
    <t>Footwear, Shoes and Boots</t>
  </si>
  <si>
    <t>Fashion, Apparel and Garment</t>
  </si>
  <si>
    <t>Clase 03 - Artículos de viaje, maletas, paraguas y pertenencias personales no especificadas en otra parte: Incluye equipaje como maletas, baúles, maletines, bolsos, llaveros, estuches especializados para contenidos específicos, billeteras, paraguas, sombrillas, abanicos y dispositivos para llevar y pasear bebés y niños, entre otros artículos personales.</t>
  </si>
  <si>
    <t>Textile, Fabric, Textures, Patterns and Cloth</t>
  </si>
  <si>
    <t>Clase 05 - Tejidos por metro y materiales en láminas artificiales y naturales: Incluye textiles y materiales similares vendidos por metro, no confeccionados. Abarca artículos hilados, encajes, bordados, cintas, trenzas, otros adornos decorativos, tejidos textiles diversos, materiales en láminas artificiales o naturales y otros productos misceláneos relacionados con textiles.</t>
  </si>
  <si>
    <t>Furniture</t>
  </si>
  <si>
    <t>Clase 06 - Mobiliario: Abarca muebles y artículos de decoración para el hogar u otros espacios, excluyendo tejidos por metro. Incluye asientos como sillas y sofás, camas, mesas, muebles de almacenamiento como armarios y estanterías, muebles compuestos, espejos, marcos, perchas, colchones, cojines, cortinas, persianas de interior, alfombras, tapetes, tapices, mantas, ropa de hogar y otros artículos misceláneos de mobiliario.</t>
  </si>
  <si>
    <t>Furniture Accessories, Hardware and Materials</t>
  </si>
  <si>
    <t>Garden and Outdoor Furniture</t>
  </si>
  <si>
    <t>Interior Space and Exhibition</t>
  </si>
  <si>
    <t>Clase 11 - Artículos de adorno: Comprende joyería y accesorios decorativos. Incluye artículos de joyería, adornos de mesa, repisa y pared, jarrones, macetas, medallas, insignias, flores, frutas y plantas artificiales, banderas, decoraciones festivas y otros artículos misceláneos de adorno.</t>
  </si>
  <si>
    <t>Kitchen Furniture, Equipment and Fixtures</t>
  </si>
  <si>
    <t>Office Furniture</t>
  </si>
  <si>
    <t>Street Furniture</t>
  </si>
  <si>
    <t>Bakeware, Tableware, Drinkware and Cookware</t>
  </si>
  <si>
    <t>Clase 07 - Artículos domésticos no especificados en otra parte: Incluye utensilios y electrodomésticos operados manualmente, incluso si son motorizados. Comprende porcelana, cristalería, vajilla, utensilios de cocina, cubiertos de mesa, aparatos manuales para preparar alimentos o bebidas, planchas, equipos de lavado, limpieza y secado, recipientes domésticos, utensilios para chimeneas, soportes para aparatos domésticos, dispositivos de enfriamiento y congelación, y otros artículos misceláneos para el hogar.</t>
  </si>
  <si>
    <t>Disposable and Single-Use Product</t>
  </si>
  <si>
    <t>Home Appliances</t>
  </si>
  <si>
    <t>Hardware, Power and Hand Tools</t>
  </si>
  <si>
    <t>Clase 08 - Herramientas y ferretería: Comprende herramientas manuales, incluso si funcionan con electricidad, pero no máquinas o herramientas de máquinas. Incluye herramientas para perforar, fresar o cavar, martillos, herramientas de corte como cuchillos y sierras, destornilladores, otras herramientas e implementos diversos, mangos, pomos, bisagras, dispositivos de cierre o bloqueo, dispositivos de fijación, herrajes metálicos para puertas, ventanas y muebles, soportes para bicicletas y motocicletas, herrajes para cortinas y otros artículos misceláneos de ferretería.</t>
  </si>
  <si>
    <t>Packaging</t>
  </si>
  <si>
    <t>Clase 09 - Embalaje y recipientes para el transporte o manipulación de mercancías: Incluye envases y contenedores utilizados en el transporte y manejo de productos. Abarca botellas, frascos, botes, garrafones, recipientes presurizados, latas de almacenamiento, bidones, barriles, cajas, estuches, cestas, canastas, bolsas, saquitos, tubos, cápsulas, cuerdas, materiales de atado, medios de cierre, palés, plataformas para montacargas, contenedores de basura, asas y empuñaduras para transporte, y otros artículos misceláneos.</t>
  </si>
  <si>
    <t>Scientific Instruments and Research Equipment</t>
  </si>
  <si>
    <t>Clase 10 - Relojes y otros instrumentos de medición, control y señalización: Incluye instrumentos para medir, verificar y señalizar, incluyendo dispositivos eléctricos. Comprende relojes, despertadores, relojes de pulsera, otros instrumentos de medición del tiempo, instrumentos de medición diversos, aparatos para comprobación, seguridad o ensayo, dispositivos de señalización, carcasas, estuches, esferas, agujas y otras partes y accesorios relacionados, además de otros artículos misceláneos.</t>
  </si>
  <si>
    <t>Clase 24 - Equipos médicos y de laboratorio: Incluye equipamiento médico, quirúrgico, dental y veterinario. Comprende aparatos y equipos para doctores, hospitales y laboratorios, instrumentos médicos y de laboratorio, artículos protésicos como prótesis y órtesis, materiales para vendajes, enfermería y cuidado médico, ayudas para caminar como bastones y andadores, y otros artículos misceláneos relacionados con la salud.</t>
  </si>
  <si>
    <t>Arts, Crafts and Ready-Made</t>
  </si>
  <si>
    <t>Jewelry, Eyewear and Watch</t>
  </si>
  <si>
    <t>Aerospace and Aircraft</t>
  </si>
  <si>
    <t>Clase 12 - Medios de transporte o elevación: Incluye todo tipo de vehículos terrestres, marítimos, aéreos y espaciales, así como sus partes y accesorios específicos. Abarca vehículos tirados por animales, carretillas de mano, locomotoras, material rodante ferroviario, teleféricos, telesillas, elevadores, montacargas, barcos, embarcaciones, aeronaves, vehículos espaciales, automóviles, autobuses, camiones, tractores, remolques, bicicletas, motocicletas, cochecitos de bebé, sillas de ruedas, vehículos de uso especial, neumáticos, cadenas antideslizantes, componentes de infraestructura ferroviaria y otros vehículos misceláneos.</t>
  </si>
  <si>
    <t>Car and Land Based Motor Vehicles</t>
  </si>
  <si>
    <t>Vehicle Parts, Auto Accessories and Care Products</t>
  </si>
  <si>
    <t>Vehicle, Mobility and Transportation</t>
  </si>
  <si>
    <t>Yacht and Marine Vessels</t>
  </si>
  <si>
    <t>Energy Products, Projects and Devices</t>
  </si>
  <si>
    <t>Clase 13 - Equipos para producción, distribución o transformación de electricidad: Incluye aparatos que producen, distribuyen o transforman corriente eléctrica, incluyendo motores eléctricos. Comprende generadores, motores, transformadores, rectificadores, baterías, acumuladores, equipos para distribución o control de energía eléctrica, equipos solares y otros artículos misceláneos relacionados con la electricidad.</t>
  </si>
  <si>
    <t>Audio and Sound Equipment</t>
  </si>
  <si>
    <t>Clase 14 - Equipos de grabación, telecomunicación o procesamiento de datos: Comprende dispositivos electrónicos relacionados con la comunicación y el procesamiento de información. Incluye equipos para grabación o reproducción de sonidos o imágenes, equipos de procesamiento de datos y periféricos, equipos de telecomunicaciones, controles remotos inalámbricos, amplificadores de radio, pantallas, iconos, medios de grabación y almacenamiento de datos, soportes y stands para equipos electrónicos y otros artículos misceláneos.</t>
  </si>
  <si>
    <t>Computers and Peripheral Devices</t>
  </si>
  <si>
    <t>Digital and Broadcasting Media</t>
  </si>
  <si>
    <t>Digital and Electronic Devices</t>
  </si>
  <si>
    <t>Information Technologies</t>
  </si>
  <si>
    <t>Interface and Interaction</t>
  </si>
  <si>
    <t>Video and Broadcasting Equipment</t>
  </si>
  <si>
    <t>Agricultural Tools, Equipment and Machinery</t>
  </si>
  <si>
    <t>Clase 15 - Máquinas no especificadas en otra parte: Incluye maquinaria diversa que no encaja en otras categorías. Abarca motores, bombas, compresores, maquinaria agrícola y forestal, maquinaria de construcción y minería, máquinas de lavado, limpieza y secado, máquinas textiles, de coser, tejer y bordar, maquinaria y aparatos de refrigeración, máquinas herramienta, maquinaria de abrasión y fundición, maquinaria para llenado, empaquetado o embalaje, y otros artículos misceláneos de maquinaria.</t>
  </si>
  <si>
    <t>Heavy Machinery</t>
  </si>
  <si>
    <t>Industrial Equipment and Heavy-duty Appliances</t>
  </si>
  <si>
    <t>Manufacturing and Processing Machinery</t>
  </si>
  <si>
    <t>Prosumer Products, Tools, and Machinery</t>
  </si>
  <si>
    <t>Robotics, Automaton and Automation</t>
  </si>
  <si>
    <t>Camera and Photography Equipment</t>
  </si>
  <si>
    <t>Clase 16 - Aparatos fotográficos, cinematográficos y ópticos: Incluye equipos relacionados con la fotografía y óptica. Comprende cámaras fotográficas y de cine, proyectores, visores, aparatos de fotocopiado, ampliadoras, equipos de revelado, accesorios fotográficos, artículos ópticos y otros artículos misceláneos relacionados.</t>
  </si>
  <si>
    <t>Security, Safety and Surveillance Products</t>
  </si>
  <si>
    <t>Musical Instruments</t>
  </si>
  <si>
    <t>Clase 17 - Instrumentos musicales: Comprende todo tipo de instrumentos musicales, excluyendo estuches y equipos de grabación o reproducción de sonido. Incluye instrumentos de teclado como pianos, instrumentos de viento como flautas y trompetas, instrumentos de cuerda como guitarras y violines, instrumentos de percusión como tambores y xilófonos, instrumentos mecánicos y otros instrumentos musicales misceláneos.</t>
  </si>
  <si>
    <t>Office and Business Appliances</t>
  </si>
  <si>
    <t>Clase 18 - Máquinas de impresión y de oficina: Incluye equipos utilizados en oficinas y para procesos de impresión. Comprende máquinas de escribir, calculadoras, máquinas de impresión, tipos y tipografías, máquinas de encuadernación, grapadoras de imprenta, guillotinas, cortadoras para encuadernación y otros artículos misceláneos de oficina.</t>
  </si>
  <si>
    <t>Art Materials, Stationery Supplies and Gift Items</t>
  </si>
  <si>
    <t>Clase 19 - Papelería y equipo de oficina, materiales para artistas y enseñanza: Comprende artículos de papelería y equipos utilizados en oficinas, arte y educación. Incluye papel de escribir, tarjetas de correspondencia y anuncios, equipo de oficina como archivadores y escritorios, calendarios, libros, materiales e instrumentos para escribir a mano, dibujar, pintar, esculpir, grabar y otras técnicas artísticas, materiales y aparatos de enseñanza, otros impresos y artículos misceláneos.</t>
  </si>
  <si>
    <t>Clase 21 - Juegos, juguetes, tiendas de campaña y artículos deportivos: Comprende juguetes, juegos, equipos deportivos, aparatos y equipos de gimnasia, artículos de recreación y entretenimiento, tiendas de campaña, accesorios para acampar y otros artículos misceláneos relacionados con el ocio y el deporte.</t>
  </si>
  <si>
    <t>Advertising, Marketing and Communication</t>
  </si>
  <si>
    <t>Clase 20 - Equipo de ventas y publicidad, señales: Incluye letreros, equipos de venta y materiales promocionales. Comprende máquinas expendedoras automáticas, equipos de exhibición y ventas como vitrinas y mostradores, señales, carteles, dispositivos publicitarios y otros artículos misceláneos relacionados con ventas y publicidad.</t>
  </si>
  <si>
    <t>Baby, Kids' and Children's Products</t>
  </si>
  <si>
    <t>Outdoor Gear and Camping Equipment</t>
  </si>
  <si>
    <t>Sports, Entertainment and Recreation Equipment</t>
  </si>
  <si>
    <t>Toy, Games and Hobby Products</t>
  </si>
  <si>
    <t>Bathroom Furniture and Sanitary Ware</t>
  </si>
  <si>
    <t>Clase 23 - Equipos de distribución de fluidos, sanitarios, calefacción, ventilación y aire acondicionado, combustibles sólidos: Abarca equipos relacionados con sistemas de fluidos y climatización. Incluye equipos de distribución de fluidos como tuberías y grifos, equipos de calefacción, ventilación y aire acondicionado, combustibles sólidos, aparatos sanitarios para fines higiénicos, equipos para micción y defecación, otros equipos y accesorios sanitarios y artículos misceláneos.</t>
  </si>
  <si>
    <t>Heating, Ventilation, and Air Conditioning Products</t>
  </si>
  <si>
    <t>Cybernetics, Prosthesis and Implant</t>
  </si>
  <si>
    <t>Differently Abled and Seniors' Assistance</t>
  </si>
  <si>
    <t>Medical Devices and Medical Equipment</t>
  </si>
  <si>
    <t>Architecture, Building and Structure</t>
  </si>
  <si>
    <t>Clase 25 - Unidades de construcción y elementos de construcción: Comprende materiales y componentes utilizados en construcción. Incluye materiales de construcción como ladrillos y tejas, partes de construcción prefabricadas o preensambladas, casas, garajes, otros edificios, escaleras, escaleras de mano, andamios y otros artículos misceláneos de construcción.</t>
  </si>
  <si>
    <t>Building Materials and Construction Components</t>
  </si>
  <si>
    <t>Construction and Real Estate Projects</t>
  </si>
  <si>
    <t>Lighting Products and Lighting Projects</t>
  </si>
  <si>
    <t>Clase 26 - Aparatos de iluminación: Incluye todo tipo de dispositivos diseñados para iluminar espacios. Comprende candelabros, candelabros de varios brazos, antorchas, lámparas de mano, faroles, iluminación pública y exterior, iluminación escénica, fuentes luminosas eléctricas o no, lámparas, lámparas de pie, candelabros de techo y pared, lámparas para proyectores fotográficos y cinematográficos, dispositivos luminosos para vehículos, partes y accesorios para aparatos de iluminación y otros artículos misceláneos.</t>
  </si>
  <si>
    <t>Beauty, Personal Care and Cosmetic Products</t>
  </si>
  <si>
    <t>Clase 28 - Productos farmacéuticos y cosméticos, artículos y aparatos de tocador: Incluye medicamentos, productos de belleza y artículos de higiene personal. Comprende productos farmacéuticos, productos cosméticos, artículos de tocador, equipos de salones de belleza, pelucas, artículos de belleza falsos, ambientadores, aparatos e instrumentos para peinado del cabello y otros artículos misceláneos.</t>
  </si>
  <si>
    <t>Safety Clothing and Personal Protective Equipment</t>
  </si>
  <si>
    <t>Clase 29 - Dispositivos y equipos contra riesgos de incendio, para prevención de accidentes y rescate: Abarca equipamiento destinado a la seguridad y protección. Incluye dispositivos y equipos contra incendios como extintores y alarmas, dispositivos y equipos para prevención de accidentes y rescate no especificados en otra parte, y otros artículos misceláneos relacionados con la seguridad.</t>
  </si>
  <si>
    <t>Pet Supplies and Products for Animals</t>
  </si>
  <si>
    <t>Clase 30 - Artículos para el cuidado y manejo de animales: Incluye productos para el cuidado de animales, excluyendo alimentos y productos farmacéuticos o cosméticos para animales. Comprende ropa para animales, jaulas, perreras, refugios, comederos, bebederos, guarnicionería, látigos, camas, nidos, muebles para animales, perchas, marcadores, grilletes, postes de amarre, artículos de aseo, cajas de arena, dispositivos para remover excremento, juguetes, equipos de entrenamiento y otros artículos misceláneos.</t>
  </si>
  <si>
    <t>Graphics, Illustration and Visual Communication</t>
  </si>
  <si>
    <t>Clase 32 - Símbolos gráficos y logotipos, patrones superficiales, ornamentación, disposición de interiores y exteriores: Incluye diseños gráficos, logotipos, patrones decorativos, ornamentación, así como la disposición y diseño de espacios interiores y exteriores, abarcando una amplia gama de aplicaciones en diseño y arquitectura.</t>
  </si>
  <si>
    <t>Sustainable Products, Projects and Green</t>
  </si>
  <si>
    <t>3D Printed Forms and Products</t>
  </si>
  <si>
    <t>Awards, Prize and Competitions</t>
  </si>
  <si>
    <t>Computer Graphics and 3D Model</t>
  </si>
  <si>
    <t>Cultural Heritage and Culture Industry</t>
  </si>
  <si>
    <t>Design Idea</t>
  </si>
  <si>
    <t>Design Quality and Innovation</t>
  </si>
  <si>
    <t>Education, Teaching Aid and Training Content</t>
  </si>
  <si>
    <t>Engineering and Technical</t>
  </si>
  <si>
    <t>Engineering, Construction and Infrastructure</t>
  </si>
  <si>
    <t>Entertainment, Content Creation and Streaming Media</t>
  </si>
  <si>
    <t>Event and Happening</t>
  </si>
  <si>
    <t>Futuristic</t>
  </si>
  <si>
    <t>Generative, Algorithmic and Parametric</t>
  </si>
  <si>
    <t>Hospitality, Recreation, Travel and Tourism</t>
  </si>
  <si>
    <t>Hospitality, Restaurant and Catering Products</t>
  </si>
  <si>
    <t>Landscape Planning and Garden</t>
  </si>
  <si>
    <t>Limited Edition and Custom</t>
  </si>
  <si>
    <t>Luxury</t>
  </si>
  <si>
    <t>Meta, Strategic and Service</t>
  </si>
  <si>
    <t>Mobile Technologies, Applications and Software</t>
  </si>
  <si>
    <t>Movie, Video and Animation</t>
  </si>
  <si>
    <t>Music, Audio and Sound</t>
  </si>
  <si>
    <t>Performing Arts, Style and Scenery</t>
  </si>
  <si>
    <t>Photography and Photo Manipulation</t>
  </si>
  <si>
    <t>Print and Published Media</t>
  </si>
  <si>
    <t>Public Awareness, Volunteerism, and Society</t>
  </si>
  <si>
    <t>Social Design</t>
  </si>
  <si>
    <t>Urban Planning and Urban</t>
  </si>
  <si>
    <t>Wearable Technologies</t>
  </si>
  <si>
    <t>Website and Web</t>
  </si>
  <si>
    <t>Wholesale, Retail Trade, Commerce and E-Commerce</t>
  </si>
  <si>
    <t>class_id</t>
  </si>
  <si>
    <t>subcl_id</t>
  </si>
  <si>
    <t>produ_id</t>
  </si>
  <si>
    <t>class_name_es</t>
  </si>
  <si>
    <t>class_desc_es</t>
  </si>
  <si>
    <t>class_name</t>
  </si>
  <si>
    <t>class_notes</t>
  </si>
  <si>
    <t>subclass_name</t>
  </si>
  <si>
    <t>subclass_name_es</t>
  </si>
  <si>
    <t>product_name</t>
  </si>
  <si>
    <t>product_name_es</t>
  </si>
  <si>
    <t>award_short_subclass</t>
  </si>
  <si>
    <t>award_short_product</t>
  </si>
  <si>
    <t>product_name_fr</t>
  </si>
  <si>
    <t>01</t>
  </si>
  <si>
    <t>01-01</t>
  </si>
  <si>
    <t>100001</t>
  </si>
  <si>
    <t>Alimentos: Incluye productos alimenticios para humanos y animales, así como alimentos dietéticos.</t>
  </si>
  <si>
    <t>FOODSTUFFS</t>
  </si>
  <si>
    <t>a.  Including foodstuffs for human beings, foodstuffs for animals and dietetic foods.
b.  Not including packaging (Cl. 9).</t>
  </si>
  <si>
    <t>BAKERS’ PRODUCTS, BISCUITS, PASTRY, PASTA AND OTHER CEREAL PRODUCTS, CHOCOLATES, CONFECTIONERY, ICES</t>
  </si>
  <si>
    <t>Rusks</t>
  </si>
  <si>
    <t>Biscottes</t>
  </si>
  <si>
    <t>100002</t>
  </si>
  <si>
    <t>Biscuits</t>
  </si>
  <si>
    <t>Cookies</t>
  </si>
  <si>
    <t>NA</t>
  </si>
  <si>
    <t>100003</t>
  </si>
  <si>
    <t>Sweetmeats [candy]</t>
  </si>
  <si>
    <t>Bonbons</t>
  </si>
  <si>
    <t>100004</t>
  </si>
  <si>
    <t>Bakers' products</t>
  </si>
  <si>
    <t>Produits de boulangerie</t>
  </si>
  <si>
    <t>100005</t>
  </si>
  <si>
    <t>Caramels [candy]</t>
  </si>
  <si>
    <t>Caramels [bonbons]</t>
  </si>
  <si>
    <t>100006</t>
  </si>
  <si>
    <t>Chocolates</t>
  </si>
  <si>
    <t>Chocolat</t>
  </si>
  <si>
    <t>100007</t>
  </si>
  <si>
    <t>Confectionery</t>
  </si>
  <si>
    <t>Produits de confiserie</t>
  </si>
  <si>
    <t>100008</t>
  </si>
  <si>
    <t>Cakes</t>
  </si>
  <si>
    <t>Gâteaux</t>
  </si>
  <si>
    <t>100009</t>
  </si>
  <si>
    <t>Ice cream cornets [edible]</t>
  </si>
  <si>
    <t>Cornets à glace [comestibles]</t>
  </si>
  <si>
    <t>100010</t>
  </si>
  <si>
    <t>Ice cream</t>
  </si>
  <si>
    <t>Glaces alimentaires</t>
  </si>
  <si>
    <t>100011</t>
  </si>
  <si>
    <t>Chewing gum</t>
  </si>
  <si>
    <t>Gommes à mâcher</t>
  </si>
  <si>
    <t>100012</t>
  </si>
  <si>
    <t>Macaroni</t>
  </si>
  <si>
    <t>Macaronis</t>
  </si>
  <si>
    <t>100013</t>
  </si>
  <si>
    <t>Meringues</t>
  </si>
  <si>
    <t>100014</t>
  </si>
  <si>
    <t>Noodles</t>
  </si>
  <si>
    <t>Nouilles</t>
  </si>
  <si>
    <t>100015</t>
  </si>
  <si>
    <t>Bread</t>
  </si>
  <si>
    <t>Pain</t>
  </si>
  <si>
    <t>100016</t>
  </si>
  <si>
    <t>Gingerbread</t>
  </si>
  <si>
    <t>Pain d'épices</t>
  </si>
  <si>
    <t>100017</t>
  </si>
  <si>
    <t>Farinaceous food pastes</t>
  </si>
  <si>
    <t>Pâtes alimentaires</t>
  </si>
  <si>
    <t>Pasta</t>
  </si>
  <si>
    <t>100018</t>
  </si>
  <si>
    <t>Pastries</t>
  </si>
  <si>
    <t>Pâtisserie</t>
  </si>
  <si>
    <t>100019</t>
  </si>
  <si>
    <t>Petits fours [cakes]</t>
  </si>
  <si>
    <t>Petits fours [pâtisserie]</t>
  </si>
  <si>
    <t>100020</t>
  </si>
  <si>
    <t>Pralines</t>
  </si>
  <si>
    <t>100021</t>
  </si>
  <si>
    <t>Sorbets [ices]</t>
  </si>
  <si>
    <t>Sorbets [glaces alimentaires]</t>
  </si>
  <si>
    <t>Sherbets [ices]</t>
  </si>
  <si>
    <t>100022</t>
  </si>
  <si>
    <t>Spaghetti</t>
  </si>
  <si>
    <t>100023</t>
  </si>
  <si>
    <t>Lollipops</t>
  </si>
  <si>
    <t>Sucettes [bonbons]</t>
  </si>
  <si>
    <t>100024</t>
  </si>
  <si>
    <t>Tarts</t>
  </si>
  <si>
    <t>Tartes</t>
  </si>
  <si>
    <t>100025</t>
  </si>
  <si>
    <t>Vermicelli</t>
  </si>
  <si>
    <t>Vermicelles</t>
  </si>
  <si>
    <t>100026</t>
  </si>
  <si>
    <t>Zwiebacks</t>
  </si>
  <si>
    <t>Pain grillé</t>
  </si>
  <si>
    <t>100027</t>
  </si>
  <si>
    <t>Cereal preparations</t>
  </si>
  <si>
    <t>Préparations faites de céréales</t>
  </si>
  <si>
    <t>100028</t>
  </si>
  <si>
    <t>Pizzas</t>
  </si>
  <si>
    <t>104608</t>
  </si>
  <si>
    <t>Fruit gums</t>
  </si>
  <si>
    <t>Gommes aux fruits</t>
  </si>
  <si>
    <t>104679</t>
  </si>
  <si>
    <t>Wafers</t>
  </si>
  <si>
    <t>Gaufrettes</t>
  </si>
  <si>
    <t>104680</t>
  </si>
  <si>
    <t>Waffles</t>
  </si>
  <si>
    <t>Gaufres</t>
  </si>
  <si>
    <t>104696</t>
  </si>
  <si>
    <t>Shaped tortillas</t>
  </si>
  <si>
    <t>Tortillas façonnées</t>
  </si>
  <si>
    <t>104839</t>
  </si>
  <si>
    <t>Chocolate figurines</t>
  </si>
  <si>
    <t>Figurines en chocolat</t>
  </si>
  <si>
    <t>105044</t>
  </si>
  <si>
    <t>Marshmallows</t>
  </si>
  <si>
    <t>Guimauves</t>
  </si>
  <si>
    <t>01-02</t>
  </si>
  <si>
    <t>100029</t>
  </si>
  <si>
    <t>FRUIT, VEGETABLES AND PRODUCTS MADE FROM FRUITS AND VEGETABLES</t>
  </si>
  <si>
    <t>Fruit</t>
  </si>
  <si>
    <t>Fruits</t>
  </si>
  <si>
    <t>100030</t>
  </si>
  <si>
    <t>Vegetables</t>
  </si>
  <si>
    <t>Légumes</t>
  </si>
  <si>
    <t>104598</t>
  </si>
  <si>
    <t>Vegetable crisps</t>
  </si>
  <si>
    <t>Chips de légumes</t>
  </si>
  <si>
    <t>Vegetable chips</t>
  </si>
  <si>
    <t>104840</t>
  </si>
  <si>
    <t>Fruit crisps</t>
  </si>
  <si>
    <t>Chips de fruits</t>
  </si>
  <si>
    <t>Fruit chips</t>
  </si>
  <si>
    <t>105043</t>
  </si>
  <si>
    <t>Preformed vegetable products</t>
  </si>
  <si>
    <t>Produits façonnés à base de légumes</t>
  </si>
  <si>
    <t>01-03</t>
  </si>
  <si>
    <t>100031</t>
  </si>
  <si>
    <t>CHEESES, BUTTER AND BUTTER SUBSTITUTES, OTHER DAIRY PRODUCE</t>
  </si>
  <si>
    <t>Butter and butter substitutes</t>
  </si>
  <si>
    <t>Beurre et succédanés du beurre</t>
  </si>
  <si>
    <t>100032</t>
  </si>
  <si>
    <t>Cheeses</t>
  </si>
  <si>
    <t>Fromages</t>
  </si>
  <si>
    <t>100033</t>
  </si>
  <si>
    <t>Dairy produce</t>
  </si>
  <si>
    <t>Produits laitiers</t>
  </si>
  <si>
    <t>100034</t>
  </si>
  <si>
    <t>Margarine</t>
  </si>
  <si>
    <t>01-04</t>
  </si>
  <si>
    <t>100035</t>
  </si>
  <si>
    <t>BUTCHERS’ MEAT (INCLUDING PORK PRODUCTS), FISH</t>
  </si>
  <si>
    <t>Fish cakes</t>
  </si>
  <si>
    <t>Croquettes de poisson</t>
  </si>
  <si>
    <t>100036</t>
  </si>
  <si>
    <t>Sausages</t>
  </si>
  <si>
    <t>Saucisses</t>
  </si>
  <si>
    <t>104697</t>
  </si>
  <si>
    <t>Meatballs</t>
  </si>
  <si>
    <t>Boulettes de viande</t>
  </si>
  <si>
    <t>104841</t>
  </si>
  <si>
    <t>Dried meat strips</t>
  </si>
  <si>
    <t>Chips de viande séchée</t>
  </si>
  <si>
    <t>105045</t>
  </si>
  <si>
    <t>Preformed meat products</t>
  </si>
  <si>
    <t>Produits façonnés à base de viande</t>
  </si>
  <si>
    <t>105046</t>
  </si>
  <si>
    <t>Preformed fish products</t>
  </si>
  <si>
    <t>Produits façonnés à base de poisson</t>
  </si>
  <si>
    <t>01-05</t>
  </si>
  <si>
    <t>104842</t>
  </si>
  <si>
    <t>TOFU AND TOFU PRODUCTS</t>
  </si>
  <si>
    <t>Tofu</t>
  </si>
  <si>
    <t>104843</t>
  </si>
  <si>
    <t>Tofu skin</t>
  </si>
  <si>
    <t>Peau de tofu</t>
  </si>
  <si>
    <t>104844</t>
  </si>
  <si>
    <t>Dried tofu</t>
  </si>
  <si>
    <t>Tofu séché</t>
  </si>
  <si>
    <t>01-06</t>
  </si>
  <si>
    <t>100037</t>
  </si>
  <si>
    <t>ANIMAL FOODSTUFFS</t>
  </si>
  <si>
    <t>Dog biscuits</t>
  </si>
  <si>
    <t>Biscuits pour chiens</t>
  </si>
  <si>
    <t>100038</t>
  </si>
  <si>
    <t>Bread for birds</t>
  </si>
  <si>
    <t>Pain pour oiseaux</t>
  </si>
  <si>
    <t>100039</t>
  </si>
  <si>
    <t>Salt licks for cattle and game</t>
  </si>
  <si>
    <t>Blocs à lécher pour bétail et gibier</t>
  </si>
  <si>
    <t>Pierres à lécher pour bétail et gibier</t>
  </si>
  <si>
    <t>100040</t>
  </si>
  <si>
    <t>Oil cake for animals</t>
  </si>
  <si>
    <t>Tourteaux pour animaux</t>
  </si>
  <si>
    <t>104845</t>
  </si>
  <si>
    <t>Dry pet food</t>
  </si>
  <si>
    <t>Aliments secs pour animaux de compagnie</t>
  </si>
  <si>
    <t>Croquettes pour animaux de compagnie</t>
  </si>
  <si>
    <t>01-99</t>
  </si>
  <si>
    <t>100041</t>
  </si>
  <si>
    <t>MISCELLANEOUS</t>
  </si>
  <si>
    <t>Sugar cubes</t>
  </si>
  <si>
    <t>Cubes de sucre</t>
  </si>
  <si>
    <t>100042</t>
  </si>
  <si>
    <t>Stock [bouillon] cubes</t>
  </si>
  <si>
    <t>Cubes de bouillon</t>
  </si>
  <si>
    <t>100043</t>
  </si>
  <si>
    <t>Tea</t>
  </si>
  <si>
    <t>Thé</t>
  </si>
  <si>
    <t>104698</t>
  </si>
  <si>
    <t>Sushi</t>
  </si>
  <si>
    <t>Sushis</t>
  </si>
  <si>
    <t>105047</t>
  </si>
  <si>
    <t>Prepared meals</t>
  </si>
  <si>
    <t>Repas préparés</t>
  </si>
  <si>
    <t>02</t>
  </si>
  <si>
    <t>02-01</t>
  </si>
  <si>
    <t>100044</t>
  </si>
  <si>
    <t>Prendas de vestir y mercería: Comprende ropa y accesorios de moda, excluyendo ropa para muñecas, equipo de protección especial y ropa para animales.</t>
  </si>
  <si>
    <t>ARTICLES OF CLOTHING AND HABERDASHERY</t>
  </si>
  <si>
    <t>Not including articles of clothing for dolls (Cl. 21-01), special equipment for protection against fire hazards, for accident prevention and for rescue (Cl. 29), and animal clothing (Cl. 30-01).</t>
  </si>
  <si>
    <t>UNDERGARMENTS, LINGERIE, CORSETS, BRASSIÈRES, NIGHTWEAR</t>
  </si>
  <si>
    <t>Boxer shorts</t>
  </si>
  <si>
    <t>Caleçons courts</t>
  </si>
  <si>
    <t>100046</t>
  </si>
  <si>
    <t>Nightshirts</t>
  </si>
  <si>
    <t>Chemises de nuit</t>
  </si>
  <si>
    <t>Nightdresses</t>
  </si>
  <si>
    <t>100048</t>
  </si>
  <si>
    <t>Petticoats</t>
  </si>
  <si>
    <t>Combinaisons [lingerie]</t>
  </si>
  <si>
    <t>Slips [petticoats]</t>
  </si>
  <si>
    <t>100049</t>
  </si>
  <si>
    <t>Reducing garments</t>
  </si>
  <si>
    <t>Combinaisons amaigrissantes</t>
  </si>
  <si>
    <t>100050</t>
  </si>
  <si>
    <t>Corsets</t>
  </si>
  <si>
    <t>Girdles [underwear]</t>
  </si>
  <si>
    <t>Gaines [sous-vêtements]</t>
  </si>
  <si>
    <t>100051</t>
  </si>
  <si>
    <t>Orthopaedic corsets</t>
  </si>
  <si>
    <t>Corsets orthopédiques</t>
  </si>
  <si>
    <t>Orthopedic corsets</t>
  </si>
  <si>
    <t>100052</t>
  </si>
  <si>
    <t>Babies' diapers</t>
  </si>
  <si>
    <t>Couches pour bébés</t>
  </si>
  <si>
    <t>Babies' nappies</t>
  </si>
  <si>
    <t>Langes</t>
  </si>
  <si>
    <t>100053</t>
  </si>
  <si>
    <t>Knickers</t>
  </si>
  <si>
    <t>Culottes [sous-vêtements]</t>
  </si>
  <si>
    <t>Panties</t>
  </si>
  <si>
    <t>100054</t>
  </si>
  <si>
    <t>Rubber pants for babies</t>
  </si>
  <si>
    <t>Culottes en caoutchouc pour bébés</t>
  </si>
  <si>
    <t>100055</t>
  </si>
  <si>
    <t>Detachable collars</t>
  </si>
  <si>
    <t>Faux-cols</t>
  </si>
  <si>
    <t>100057</t>
  </si>
  <si>
    <t>Singlets [underwear]</t>
  </si>
  <si>
    <t>Gilets de corps [sous-vêtements]</t>
  </si>
  <si>
    <t>100058</t>
  </si>
  <si>
    <t>Petticoats [underskirts]</t>
  </si>
  <si>
    <t>Jupons</t>
  </si>
  <si>
    <t>100059</t>
  </si>
  <si>
    <t>Underwear</t>
  </si>
  <si>
    <t>Sous-vêtements</t>
  </si>
  <si>
    <t>Lingerie</t>
  </si>
  <si>
    <t>Lingerie de corps</t>
  </si>
  <si>
    <t>100062</t>
  </si>
  <si>
    <t>Babies' diaper covers</t>
  </si>
  <si>
    <t>Protège-langes</t>
  </si>
  <si>
    <t>Babies' nappy covers</t>
  </si>
  <si>
    <t>Couvre-couches</t>
  </si>
  <si>
    <t>100063</t>
  </si>
  <si>
    <t>Pyjamas</t>
  </si>
  <si>
    <t>Pajamas</t>
  </si>
  <si>
    <t>100065</t>
  </si>
  <si>
    <t>Brassieres</t>
  </si>
  <si>
    <t>Soutiens-gorge</t>
  </si>
  <si>
    <t>100066</t>
  </si>
  <si>
    <t>Abdominal belts</t>
  </si>
  <si>
    <t>Ceintures abdominales</t>
  </si>
  <si>
    <t>100067</t>
  </si>
  <si>
    <t>Nightwear</t>
  </si>
  <si>
    <t>Vêtements de nuit</t>
  </si>
  <si>
    <t>100068</t>
  </si>
  <si>
    <t>Sleeved vests for infants</t>
  </si>
  <si>
    <t>Brassières [vêtements pour nourrissons]</t>
  </si>
  <si>
    <t>100069</t>
  </si>
  <si>
    <t>Hip protectors for sports</t>
  </si>
  <si>
    <t>Protège-hanches pour les sports</t>
  </si>
  <si>
    <t>100070</t>
  </si>
  <si>
    <t>Diaper-pants</t>
  </si>
  <si>
    <t>Couches-culottes</t>
  </si>
  <si>
    <t>Nappy-pants</t>
  </si>
  <si>
    <t>104699</t>
  </si>
  <si>
    <t>Underpants</t>
  </si>
  <si>
    <t>Slips</t>
  </si>
  <si>
    <t>104846</t>
  </si>
  <si>
    <t>Adhesive articles for breast support</t>
  </si>
  <si>
    <t>Adhésifs remonte-poitrine</t>
  </si>
  <si>
    <t>104927</t>
  </si>
  <si>
    <t>Maternity underwear</t>
  </si>
  <si>
    <t>Sous-vêtements pour la grossesse</t>
  </si>
  <si>
    <t>Maternity lingerie</t>
  </si>
  <si>
    <t>104928</t>
  </si>
  <si>
    <t>Nursing underwear</t>
  </si>
  <si>
    <t>Sous-vêtements pour l'allaitement</t>
  </si>
  <si>
    <t>Nursing lingerie</t>
  </si>
  <si>
    <t>02-02</t>
  </si>
  <si>
    <t>100045</t>
  </si>
  <si>
    <t>GARMENTS</t>
  </si>
  <si>
    <t>Shirts</t>
  </si>
  <si>
    <t>Chemises</t>
  </si>
  <si>
    <t>100047</t>
  </si>
  <si>
    <t>Shirt-collars</t>
  </si>
  <si>
    <t>Cols de chemises</t>
  </si>
  <si>
    <t>100056</t>
  </si>
  <si>
    <t>Dickies [false shirtfronts]</t>
  </si>
  <si>
    <t>Faux plastrons de chemises</t>
  </si>
  <si>
    <t>False shirtfronts [dickies]</t>
  </si>
  <si>
    <t>100060</t>
  </si>
  <si>
    <t>Shirt sleeves</t>
  </si>
  <si>
    <t>Manches de chemises</t>
  </si>
  <si>
    <t>100061</t>
  </si>
  <si>
    <t>Shirt cuffs</t>
  </si>
  <si>
    <t>Manchettes de chemises</t>
  </si>
  <si>
    <t>100071</t>
  </si>
  <si>
    <t>Anoraks</t>
  </si>
  <si>
    <t>100072</t>
  </si>
  <si>
    <t>Blazers</t>
  </si>
  <si>
    <t>100073</t>
  </si>
  <si>
    <t>Blouses</t>
  </si>
  <si>
    <t>100074</t>
  </si>
  <si>
    <t>Overalls</t>
  </si>
  <si>
    <t>Blouses de travail</t>
  </si>
  <si>
    <t>100075</t>
  </si>
  <si>
    <t>Wind jackets</t>
  </si>
  <si>
    <t>Blousons</t>
  </si>
  <si>
    <t>100076</t>
  </si>
  <si>
    <t>Boas [necklets]</t>
  </si>
  <si>
    <t>Boas [tours de cou]</t>
  </si>
  <si>
    <t>100077</t>
  </si>
  <si>
    <t>Boleros</t>
  </si>
  <si>
    <t>Boléros</t>
  </si>
  <si>
    <t>100078</t>
  </si>
  <si>
    <t>Bathing trunks</t>
  </si>
  <si>
    <t>Caleçons de bain</t>
  </si>
  <si>
    <t>100079</t>
  </si>
  <si>
    <t>Strait jackets</t>
  </si>
  <si>
    <t>Camisoles de force</t>
  </si>
  <si>
    <t>100080</t>
  </si>
  <si>
    <t>Cloaks</t>
  </si>
  <si>
    <t>Capes</t>
  </si>
  <si>
    <t>100081</t>
  </si>
  <si>
    <t>Cardigans</t>
  </si>
  <si>
    <t>100082</t>
  </si>
  <si>
    <t>Jumper-blouses</t>
  </si>
  <si>
    <t>Casaques</t>
  </si>
  <si>
    <t>100083</t>
  </si>
  <si>
    <t>Sweaters</t>
  </si>
  <si>
    <t>Tricots [vêtements]</t>
  </si>
  <si>
    <t>Jerseys</t>
  </si>
  <si>
    <t>Chandails</t>
  </si>
  <si>
    <t>100084</t>
  </si>
  <si>
    <t>Chasubles</t>
  </si>
  <si>
    <t>100085</t>
  </si>
  <si>
    <t>Working clothes</t>
  </si>
  <si>
    <t>Combinaisons de travail [vêtements]</t>
  </si>
  <si>
    <t>Workmen's overalls</t>
  </si>
  <si>
    <t>Habits de travail</t>
  </si>
  <si>
    <t>Salopettes</t>
  </si>
  <si>
    <t>100086</t>
  </si>
  <si>
    <t>Suits of clothes for men</t>
  </si>
  <si>
    <t>Complets [vêtements]</t>
  </si>
  <si>
    <t>100087</t>
  </si>
  <si>
    <t>Nurse uniforms</t>
  </si>
  <si>
    <t>Uniformes d'infirmière</t>
  </si>
  <si>
    <t>100088</t>
  </si>
  <si>
    <t>Breeches</t>
  </si>
  <si>
    <t>Culottes [vêtements de dessus]</t>
  </si>
  <si>
    <t>100089</t>
  </si>
  <si>
    <t>Housecoats</t>
  </si>
  <si>
    <t>Déshabillés</t>
  </si>
  <si>
    <t>Negligees</t>
  </si>
  <si>
    <t>100091</t>
  </si>
  <si>
    <t>Tracksuits</t>
  </si>
  <si>
    <t>Survêtements</t>
  </si>
  <si>
    <t>Training clothes</t>
  </si>
  <si>
    <t>Vêtements d'entraînement</t>
  </si>
  <si>
    <t>100092</t>
  </si>
  <si>
    <t>Stoles</t>
  </si>
  <si>
    <t>Étoles</t>
  </si>
  <si>
    <t>100093</t>
  </si>
  <si>
    <t>Furs [garments]</t>
  </si>
  <si>
    <t>Fourrures [vêtements]</t>
  </si>
  <si>
    <t>100094</t>
  </si>
  <si>
    <t>Waistcoats</t>
  </si>
  <si>
    <t>Gilets</t>
  </si>
  <si>
    <t>Vests</t>
  </si>
  <si>
    <t>100095</t>
  </si>
  <si>
    <t>Waterproof coats</t>
  </si>
  <si>
    <t>Imperméables</t>
  </si>
  <si>
    <t>100096</t>
  </si>
  <si>
    <t>Jeans</t>
  </si>
  <si>
    <t>100097</t>
  </si>
  <si>
    <t>Skirts</t>
  </si>
  <si>
    <t>Jupes</t>
  </si>
  <si>
    <t>100098</t>
  </si>
  <si>
    <t>Kimonos</t>
  </si>
  <si>
    <t>100099</t>
  </si>
  <si>
    <t>Bathing costumes</t>
  </si>
  <si>
    <t>Maillots de bain</t>
  </si>
  <si>
    <t>100100</t>
  </si>
  <si>
    <t>Singlets for gymnastics</t>
  </si>
  <si>
    <t>Maillots de gymnastique</t>
  </si>
  <si>
    <t>100101</t>
  </si>
  <si>
    <t>Coats</t>
  </si>
  <si>
    <t>Manteaux</t>
  </si>
  <si>
    <t>100102</t>
  </si>
  <si>
    <t>Sailor blouses [for women]</t>
  </si>
  <si>
    <t>Marinières</t>
  </si>
  <si>
    <t>Middy blouses</t>
  </si>
  <si>
    <t>100103</t>
  </si>
  <si>
    <t>Trousers</t>
  </si>
  <si>
    <t>Pantalons</t>
  </si>
  <si>
    <t>Pants</t>
  </si>
  <si>
    <t>100104</t>
  </si>
  <si>
    <t>Overcoats</t>
  </si>
  <si>
    <t>Pardessus</t>
  </si>
  <si>
    <t>100105</t>
  </si>
  <si>
    <t>Dressing gowns</t>
  </si>
  <si>
    <t>Robes de chambre</t>
  </si>
  <si>
    <t>Peignoirs</t>
  </si>
  <si>
    <t>100106</t>
  </si>
  <si>
    <t>Pelerines [capes]</t>
  </si>
  <si>
    <t>Pèlerines</t>
  </si>
  <si>
    <t>Tippets</t>
  </si>
  <si>
    <t>100107</t>
  </si>
  <si>
    <t>Pelisses</t>
  </si>
  <si>
    <t>100108</t>
  </si>
  <si>
    <t>Pockets for clothing</t>
  </si>
  <si>
    <t>Poches de vêtements</t>
  </si>
  <si>
    <t>100109</t>
  </si>
  <si>
    <t>Ponchos</t>
  </si>
  <si>
    <t>100110</t>
  </si>
  <si>
    <t>Pullovers</t>
  </si>
  <si>
    <t>Pull-overs</t>
  </si>
  <si>
    <t>100111</t>
  </si>
  <si>
    <t>Dresses</t>
  </si>
  <si>
    <t>Robes</t>
  </si>
  <si>
    <t>100112</t>
  </si>
  <si>
    <t>Scapulars</t>
  </si>
  <si>
    <t>Scapulaires</t>
  </si>
  <si>
    <t>100113</t>
  </si>
  <si>
    <t>Shorts</t>
  </si>
  <si>
    <t>100114</t>
  </si>
  <si>
    <t>Aprons [clothing]</t>
  </si>
  <si>
    <t>Tabliers [vêtements]</t>
  </si>
  <si>
    <t>100115</t>
  </si>
  <si>
    <t>Surgery apparel</t>
  </si>
  <si>
    <t>Tenues de chirurgien</t>
  </si>
  <si>
    <t>100116</t>
  </si>
  <si>
    <t>Togas</t>
  </si>
  <si>
    <t>Toges</t>
  </si>
  <si>
    <t>Robes [toges]</t>
  </si>
  <si>
    <t>100117</t>
  </si>
  <si>
    <t>Ballet skirts</t>
  </si>
  <si>
    <t>Tutus</t>
  </si>
  <si>
    <t>100118</t>
  </si>
  <si>
    <t>Uniforms</t>
  </si>
  <si>
    <t>Uniformes</t>
  </si>
  <si>
    <t>100119</t>
  </si>
  <si>
    <t>Fishermen's jerseys</t>
  </si>
  <si>
    <t>Vareuses</t>
  </si>
  <si>
    <t>100120</t>
  </si>
  <si>
    <t>Jackets</t>
  </si>
  <si>
    <t>Vestes</t>
  </si>
  <si>
    <t>100121</t>
  </si>
  <si>
    <t>Warming garments</t>
  </si>
  <si>
    <t>Vêtements chauffants</t>
  </si>
  <si>
    <t>100122</t>
  </si>
  <si>
    <t>Isothermic garments for underwater fishing</t>
  </si>
  <si>
    <t>Vêtements isothermes pour chasse sous-marine</t>
  </si>
  <si>
    <t>100123</t>
  </si>
  <si>
    <t>Religious apparel</t>
  </si>
  <si>
    <t>Vêtements sacerdotaux</t>
  </si>
  <si>
    <t>100124</t>
  </si>
  <si>
    <t>Diving suits</t>
  </si>
  <si>
    <t>Scaphandres</t>
  </si>
  <si>
    <t>Combinaisons de plongée</t>
  </si>
  <si>
    <t>100125</t>
  </si>
  <si>
    <t>Morning coats</t>
  </si>
  <si>
    <t>Jaquettes</t>
  </si>
  <si>
    <t>100126</t>
  </si>
  <si>
    <t>Ladies' suits</t>
  </si>
  <si>
    <t>Tailleurs</t>
  </si>
  <si>
    <t>100127</t>
  </si>
  <si>
    <t>Fireproof garments</t>
  </si>
  <si>
    <t>Vêtements de protection contre le feu</t>
  </si>
  <si>
    <t>100128</t>
  </si>
  <si>
    <t>Lifesaving clothing [nautical]</t>
  </si>
  <si>
    <t>Vêtements de sauvetage [navigation]</t>
  </si>
  <si>
    <t>100129</t>
  </si>
  <si>
    <t>Decontamination clothing</t>
  </si>
  <si>
    <t>Vêtements pour décontamination</t>
  </si>
  <si>
    <t>100130</t>
  </si>
  <si>
    <t>Ski suits</t>
  </si>
  <si>
    <t>Combinaisons de ski</t>
  </si>
  <si>
    <t>100131</t>
  </si>
  <si>
    <t>T-shirts</t>
  </si>
  <si>
    <t>Tee-shirts</t>
  </si>
  <si>
    <t>100132</t>
  </si>
  <si>
    <t>Bathrobes</t>
  </si>
  <si>
    <t>Sorties de bain [vêtements]</t>
  </si>
  <si>
    <t>100133</t>
  </si>
  <si>
    <t>Bikinis</t>
  </si>
  <si>
    <t>104621</t>
  </si>
  <si>
    <t>Hooded jackets</t>
  </si>
  <si>
    <t>Vestes à capuche</t>
  </si>
  <si>
    <t>104650</t>
  </si>
  <si>
    <t>Reflective clothing</t>
  </si>
  <si>
    <t>Vêtements réfléchissants</t>
  </si>
  <si>
    <t>104673</t>
  </si>
  <si>
    <t>Tops [clothing]</t>
  </si>
  <si>
    <t>Tops</t>
  </si>
  <si>
    <t>Hauts [vêtements]</t>
  </si>
  <si>
    <t>104700</t>
  </si>
  <si>
    <t>Jumpsuits</t>
  </si>
  <si>
    <t>Combinaisons-pantalons</t>
  </si>
  <si>
    <t>104701</t>
  </si>
  <si>
    <t>Football jerseys</t>
  </si>
  <si>
    <t>Maillots de football</t>
  </si>
  <si>
    <t>104847</t>
  </si>
  <si>
    <t>Sleeveless sweaters</t>
  </si>
  <si>
    <t>Pull-overs sans manches</t>
  </si>
  <si>
    <t>104848</t>
  </si>
  <si>
    <t>Masquerade costumes</t>
  </si>
  <si>
    <t>Costumes de déguisement</t>
  </si>
  <si>
    <t>104849</t>
  </si>
  <si>
    <t>Traditional dresses or costumes</t>
  </si>
  <si>
    <t>Robes et costumes traditionnels</t>
  </si>
  <si>
    <t>104850</t>
  </si>
  <si>
    <t>Hooded sweatshirts</t>
  </si>
  <si>
    <t>Sweat-shirts à capuche</t>
  </si>
  <si>
    <t>104851</t>
  </si>
  <si>
    <t>Polo shirts</t>
  </si>
  <si>
    <t>Polos</t>
  </si>
  <si>
    <t>104929</t>
  </si>
  <si>
    <t>Maternity clothing</t>
  </si>
  <si>
    <t>Vêtements pour la grossesse</t>
  </si>
  <si>
    <t>104930</t>
  </si>
  <si>
    <t>Nursing clothing</t>
  </si>
  <si>
    <t>Vêtements pour l'allaitement</t>
  </si>
  <si>
    <t>105048</t>
  </si>
  <si>
    <t>Protective clothing for medical purposes</t>
  </si>
  <si>
    <t>Vêtements de protection à usage médical</t>
  </si>
  <si>
    <t>02-03</t>
  </si>
  <si>
    <t>100134</t>
  </si>
  <si>
    <t>HEADWEAR</t>
  </si>
  <si>
    <t>Birettas</t>
  </si>
  <si>
    <t>Barrettes [bonnets]</t>
  </si>
  <si>
    <t>100135</t>
  </si>
  <si>
    <t>Berets</t>
  </si>
  <si>
    <t>Bérets</t>
  </si>
  <si>
    <t>100136</t>
  </si>
  <si>
    <t>Bonnets</t>
  </si>
  <si>
    <t>100137</t>
  </si>
  <si>
    <t>Bathing caps</t>
  </si>
  <si>
    <t>Bonnets de bain</t>
  </si>
  <si>
    <t>100138</t>
  </si>
  <si>
    <t>Protective helmets</t>
  </si>
  <si>
    <t>Casques de protection</t>
  </si>
  <si>
    <t>100139</t>
  </si>
  <si>
    <t>Welders' helmets</t>
  </si>
  <si>
    <t>Casques de soudeur</t>
  </si>
  <si>
    <t>100140</t>
  </si>
  <si>
    <t>Military helmets</t>
  </si>
  <si>
    <t>Casques militaires</t>
  </si>
  <si>
    <t>100141</t>
  </si>
  <si>
    <t>Vizored caps</t>
  </si>
  <si>
    <t>Casquettes</t>
  </si>
  <si>
    <t>100142</t>
  </si>
  <si>
    <t>Carnival hats</t>
  </si>
  <si>
    <t>Chapeaux de carnaval</t>
  </si>
  <si>
    <t>100143</t>
  </si>
  <si>
    <t>Headwear</t>
  </si>
  <si>
    <t>Chapellerie</t>
  </si>
  <si>
    <t>Coiffures</t>
  </si>
  <si>
    <t>Couvre-chefs</t>
  </si>
  <si>
    <t>100144</t>
  </si>
  <si>
    <t>Eye shades</t>
  </si>
  <si>
    <t>Garde-vue</t>
  </si>
  <si>
    <t>100145</t>
  </si>
  <si>
    <t>Kepis</t>
  </si>
  <si>
    <t>Képis</t>
  </si>
  <si>
    <t>100146</t>
  </si>
  <si>
    <t>Ear muffs</t>
  </si>
  <si>
    <t>Cache-oreilles</t>
  </si>
  <si>
    <t>100147</t>
  </si>
  <si>
    <t>Toques</t>
  </si>
  <si>
    <t>100148</t>
  </si>
  <si>
    <t>Turbans</t>
  </si>
  <si>
    <t>100149</t>
  </si>
  <si>
    <t>Anti-dazzle shades for fixing to headgear</t>
  </si>
  <si>
    <t>Visières antiéblouissantes pour fixer à la coiffure</t>
  </si>
  <si>
    <t>100150</t>
  </si>
  <si>
    <t>Peaks for headgear</t>
  </si>
  <si>
    <t>Visières de coiffures</t>
  </si>
  <si>
    <t>100151</t>
  </si>
  <si>
    <t>Divers' helmets</t>
  </si>
  <si>
    <t>Casques de scaphandrier</t>
  </si>
  <si>
    <t>100152</t>
  </si>
  <si>
    <t>Hoods [headwear]</t>
  </si>
  <si>
    <t>Capuches [coiffure]</t>
  </si>
  <si>
    <t>100153</t>
  </si>
  <si>
    <t>Headgear for protection against insect bites</t>
  </si>
  <si>
    <t>Coiffures [chapellerie] de protection contre les piqûres d'insectes</t>
  </si>
  <si>
    <t>100154</t>
  </si>
  <si>
    <t>Headbands</t>
  </si>
  <si>
    <t>Serre-tête [coiffures]</t>
  </si>
  <si>
    <t>100155</t>
  </si>
  <si>
    <t>Hats</t>
  </si>
  <si>
    <t>Chapeaux</t>
  </si>
  <si>
    <t>100156</t>
  </si>
  <si>
    <t>Spoilers for motorcycle crash helmets</t>
  </si>
  <si>
    <t>Becquets [spoilers] pour casques de motocyclistes</t>
  </si>
  <si>
    <t>104852</t>
  </si>
  <si>
    <t>Knitted caps</t>
  </si>
  <si>
    <t>Bonnets tricotés</t>
  </si>
  <si>
    <t>104931</t>
  </si>
  <si>
    <t>Motorcycle helmets</t>
  </si>
  <si>
    <t>Casques de motocyclistes</t>
  </si>
  <si>
    <t>104932</t>
  </si>
  <si>
    <t>Bicycle helmets</t>
  </si>
  <si>
    <t>Casques de cyclisme</t>
  </si>
  <si>
    <t>105050</t>
  </si>
  <si>
    <t>Balaclavas</t>
  </si>
  <si>
    <t>Cagoules</t>
  </si>
  <si>
    <t>02-04</t>
  </si>
  <si>
    <t>100157</t>
  </si>
  <si>
    <t>FOOTWEAR, SOCKS AND STOCKINGS</t>
  </si>
  <si>
    <t>Ballet shoes</t>
  </si>
  <si>
    <t>Ballerines [chaussures]</t>
  </si>
  <si>
    <t>100158</t>
  </si>
  <si>
    <t>Stockings</t>
  </si>
  <si>
    <t>Bas</t>
  </si>
  <si>
    <t>100159</t>
  </si>
  <si>
    <t>Panty hose</t>
  </si>
  <si>
    <t>Collants</t>
  </si>
  <si>
    <t>Tights</t>
  </si>
  <si>
    <t>100160</t>
  </si>
  <si>
    <t>Boots</t>
  </si>
  <si>
    <t>Bottes</t>
  </si>
  <si>
    <t>100161</t>
  </si>
  <si>
    <t>Half-boots</t>
  </si>
  <si>
    <t>Bottines</t>
  </si>
  <si>
    <t>100162</t>
  </si>
  <si>
    <t>Shoes</t>
  </si>
  <si>
    <t>Souliers</t>
  </si>
  <si>
    <t>Brodequins</t>
  </si>
  <si>
    <t>100163</t>
  </si>
  <si>
    <t>Socks</t>
  </si>
  <si>
    <t>Chaussettes</t>
  </si>
  <si>
    <t>100164</t>
  </si>
  <si>
    <t>Slippers</t>
  </si>
  <si>
    <t>Pantoufles</t>
  </si>
  <si>
    <t>Chaussons [chaussures]</t>
  </si>
  <si>
    <t>100165</t>
  </si>
  <si>
    <t>Infants' bootees</t>
  </si>
  <si>
    <t>Chaussons pour bébés</t>
  </si>
  <si>
    <t>100166</t>
  </si>
  <si>
    <t>Footwear</t>
  </si>
  <si>
    <t>Chaussures</t>
  </si>
  <si>
    <t>100167</t>
  </si>
  <si>
    <t>Boots for sports [special]</t>
  </si>
  <si>
    <t>Chaussures de sport</t>
  </si>
  <si>
    <t>Special boots for sports</t>
  </si>
  <si>
    <t>100168</t>
  </si>
  <si>
    <t>Safety footwear</t>
  </si>
  <si>
    <t>Chaussures de sécurité</t>
  </si>
  <si>
    <t>100169</t>
  </si>
  <si>
    <t>Infants' leggings</t>
  </si>
  <si>
    <t>Combinaisons-chaussons pour bébés</t>
  </si>
  <si>
    <t>100170</t>
  </si>
  <si>
    <t>Overshoes</t>
  </si>
  <si>
    <t>Couvre-chaussures</t>
  </si>
  <si>
    <t>Caoutchoucs [chaussures]</t>
  </si>
  <si>
    <t>100171</t>
  </si>
  <si>
    <t>Spats</t>
  </si>
  <si>
    <t>Demi-guêtres</t>
  </si>
  <si>
    <t>100172</t>
  </si>
  <si>
    <t>Shoe and boot uppers</t>
  </si>
  <si>
    <t>Empeignes</t>
  </si>
  <si>
    <t>100173</t>
  </si>
  <si>
    <t>Dancing shoes</t>
  </si>
  <si>
    <t>Escarpins</t>
  </si>
  <si>
    <t>Pumps</t>
  </si>
  <si>
    <t>100174</t>
  </si>
  <si>
    <t>Espadrilles</t>
  </si>
  <si>
    <t>100175</t>
  </si>
  <si>
    <t>Football boots</t>
  </si>
  <si>
    <t>Chaussures de football</t>
  </si>
  <si>
    <t>100176</t>
  </si>
  <si>
    <t>Galoshes</t>
  </si>
  <si>
    <t>Galoches</t>
  </si>
  <si>
    <t>100177</t>
  </si>
  <si>
    <t>Knee pads</t>
  </si>
  <si>
    <t>Genouillères</t>
  </si>
  <si>
    <t>100178</t>
  </si>
  <si>
    <t>Gaiters</t>
  </si>
  <si>
    <t>Guêtres</t>
  </si>
  <si>
    <t>100179</t>
  </si>
  <si>
    <t>Leggings</t>
  </si>
  <si>
    <t>Jambières</t>
  </si>
  <si>
    <t>100180</t>
  </si>
  <si>
    <t>Insoles</t>
  </si>
  <si>
    <t>Semelles intérieures</t>
  </si>
  <si>
    <t>Inner soles</t>
  </si>
  <si>
    <t>100181</t>
  </si>
  <si>
    <t>Moccasins</t>
  </si>
  <si>
    <t>Mocassins</t>
  </si>
  <si>
    <t>100182</t>
  </si>
  <si>
    <t>Puttees</t>
  </si>
  <si>
    <t>Bandes molletières</t>
  </si>
  <si>
    <t>100183</t>
  </si>
  <si>
    <t>Sandals</t>
  </si>
  <si>
    <t>Sandales</t>
  </si>
  <si>
    <t>100184</t>
  </si>
  <si>
    <t>Soles for footwear</t>
  </si>
  <si>
    <t>Semelles de chaussures</t>
  </si>
  <si>
    <t>100185</t>
  </si>
  <si>
    <t>Clogs</t>
  </si>
  <si>
    <t>Sabots [chaussures]</t>
  </si>
  <si>
    <t>Socques</t>
  </si>
  <si>
    <t>100186</t>
  </si>
  <si>
    <t>Heels</t>
  </si>
  <si>
    <t>Talons</t>
  </si>
  <si>
    <t>100187</t>
  </si>
  <si>
    <t>Medical stockings</t>
  </si>
  <si>
    <t>Bas médicaux</t>
  </si>
  <si>
    <t>100188</t>
  </si>
  <si>
    <t>Heel protectors for footwear</t>
  </si>
  <si>
    <t>Protège-talons pour chaussures</t>
  </si>
  <si>
    <t>100189</t>
  </si>
  <si>
    <t>Non-slip protectors for shoes [except crampons]</t>
  </si>
  <si>
    <t>Protections antidérapantes pour chaussures [à l'exception des crampons]</t>
  </si>
  <si>
    <t>100190</t>
  </si>
  <si>
    <t>Orthopaedic footwear</t>
  </si>
  <si>
    <t>Chaussures orthopédiques</t>
  </si>
  <si>
    <t>Orthopedic footwear</t>
  </si>
  <si>
    <t>100191</t>
  </si>
  <si>
    <t>Orthopaedic socks</t>
  </si>
  <si>
    <t>Chaussettes orthopédiques</t>
  </si>
  <si>
    <t>Orthopedic socks</t>
  </si>
  <si>
    <t>100192</t>
  </si>
  <si>
    <t>Orthopaedic soles</t>
  </si>
  <si>
    <t>Semelles orthopédiques</t>
  </si>
  <si>
    <t>Orthopedic soles</t>
  </si>
  <si>
    <t>100193</t>
  </si>
  <si>
    <t>Shoes for mountaineering</t>
  </si>
  <si>
    <t>Chaussures d'alpinisme</t>
  </si>
  <si>
    <t>100194</t>
  </si>
  <si>
    <t>Golf shoes</t>
  </si>
  <si>
    <t>Chaussures de golf</t>
  </si>
  <si>
    <t>100195</t>
  </si>
  <si>
    <t>Climbing boots</t>
  </si>
  <si>
    <t>Chaussures de montagne</t>
  </si>
  <si>
    <t>100196</t>
  </si>
  <si>
    <t>Downhill skiing boots</t>
  </si>
  <si>
    <t>Chaussures de ski alpin</t>
  </si>
  <si>
    <t>100197</t>
  </si>
  <si>
    <t>Telemark boots</t>
  </si>
  <si>
    <t>Chaussures de télémark</t>
  </si>
  <si>
    <t>100198</t>
  </si>
  <si>
    <t>Snowboard boots</t>
  </si>
  <si>
    <t>Chaussures de snowboard</t>
  </si>
  <si>
    <t>100199</t>
  </si>
  <si>
    <t>Trekking boots</t>
  </si>
  <si>
    <t>Chaussures de trekking</t>
  </si>
  <si>
    <t>100200</t>
  </si>
  <si>
    <t>Snow boots [après-ski boots]</t>
  </si>
  <si>
    <t>Après-skis</t>
  </si>
  <si>
    <t>104702</t>
  </si>
  <si>
    <t>Water shoes</t>
  </si>
  <si>
    <t>Chaussures aquatiques</t>
  </si>
  <si>
    <t>104703</t>
  </si>
  <si>
    <t>Surf shoes</t>
  </si>
  <si>
    <t>Chaussures de surf</t>
  </si>
  <si>
    <t>104933</t>
  </si>
  <si>
    <t>Maternity tights</t>
  </si>
  <si>
    <t>Collants pour la grossesse</t>
  </si>
  <si>
    <t>02-05</t>
  </si>
  <si>
    <t>100201</t>
  </si>
  <si>
    <t>NECKTIES, SCARVES, NECKERCHIEFS AND HANDKERCHIEFS</t>
  </si>
  <si>
    <t>Bibs</t>
  </si>
  <si>
    <t>Bavoirs</t>
  </si>
  <si>
    <t>Bavettes</t>
  </si>
  <si>
    <t>100202</t>
  </si>
  <si>
    <t>Squares [scarves]</t>
  </si>
  <si>
    <t>Carrés [foulards]</t>
  </si>
  <si>
    <t>100203</t>
  </si>
  <si>
    <t>Shawls</t>
  </si>
  <si>
    <t>Châles</t>
  </si>
  <si>
    <t>100204</t>
  </si>
  <si>
    <t>Neckties</t>
  </si>
  <si>
    <t>Cravates</t>
  </si>
  <si>
    <t>100205</t>
  </si>
  <si>
    <t>Scarves [long]</t>
  </si>
  <si>
    <t>Écharpes</t>
  </si>
  <si>
    <t>100206</t>
  </si>
  <si>
    <t>Sashes for wear</t>
  </si>
  <si>
    <t>Écharpes [insignes]</t>
  </si>
  <si>
    <t>100207</t>
  </si>
  <si>
    <t>Neckerchiefs</t>
  </si>
  <si>
    <t>Fichus</t>
  </si>
  <si>
    <t>100208</t>
  </si>
  <si>
    <t>Scarves</t>
  </si>
  <si>
    <t>Foulards</t>
  </si>
  <si>
    <t>100209</t>
  </si>
  <si>
    <t>Handkerchiefs</t>
  </si>
  <si>
    <t>Mouchoirs de poche</t>
  </si>
  <si>
    <t>100210</t>
  </si>
  <si>
    <t>Fancy handkerchiefs</t>
  </si>
  <si>
    <t>Pochettes [mouchoirs]</t>
  </si>
  <si>
    <t>104704</t>
  </si>
  <si>
    <t>Cravats</t>
  </si>
  <si>
    <t>Lavallières</t>
  </si>
  <si>
    <t>100257</t>
  </si>
  <si>
    <t>Bow-ties</t>
  </si>
  <si>
    <t>Nœuds papillon</t>
  </si>
  <si>
    <t>02-06</t>
  </si>
  <si>
    <t>100211</t>
  </si>
  <si>
    <t>GLOVES</t>
  </si>
  <si>
    <t>Finger-stalls [for household, medical or other purposes]</t>
  </si>
  <si>
    <t>Doigtiers [de ménage, à usage médical ou à autres usages]</t>
  </si>
  <si>
    <t>100212</t>
  </si>
  <si>
    <t>Gloves</t>
  </si>
  <si>
    <t>Gants</t>
  </si>
  <si>
    <t>100213</t>
  </si>
  <si>
    <t>Boxing gloves</t>
  </si>
  <si>
    <t>Gants de boxe</t>
  </si>
  <si>
    <t>100214</t>
  </si>
  <si>
    <t>Gloves for protection [for household, medical or other purposes]</t>
  </si>
  <si>
    <t>Gants de protection [de ménage, à usage médical ou à autres usages]</t>
  </si>
  <si>
    <t>100215</t>
  </si>
  <si>
    <t>Signalling gloves</t>
  </si>
  <si>
    <t>Gants de signalisation</t>
  </si>
  <si>
    <t>100216</t>
  </si>
  <si>
    <t>Mittens</t>
  </si>
  <si>
    <t>Mitaines</t>
  </si>
  <si>
    <t>Moufles [gants]</t>
  </si>
  <si>
    <t>100217</t>
  </si>
  <si>
    <t>X-ray operators' gloves</t>
  </si>
  <si>
    <t>Gants de radiologue</t>
  </si>
  <si>
    <t>104853</t>
  </si>
  <si>
    <t>Work gloves</t>
  </si>
  <si>
    <t>Gants de travail</t>
  </si>
  <si>
    <t>104854</t>
  </si>
  <si>
    <t>Gardening gloves</t>
  </si>
  <si>
    <t>Gants de jardinage</t>
  </si>
  <si>
    <t>105051</t>
  </si>
  <si>
    <t>Oven gloves</t>
  </si>
  <si>
    <t>Gants de cuisine</t>
  </si>
  <si>
    <t>02-07</t>
  </si>
  <si>
    <t>100218</t>
  </si>
  <si>
    <t>HABERDASHERY AND CLOTHING ACCESSORIES</t>
  </si>
  <si>
    <t>Hooks [haberdashery]</t>
  </si>
  <si>
    <t>Attaches [mercerie]</t>
  </si>
  <si>
    <t>Fasteners [haberdashery]</t>
  </si>
  <si>
    <t>Agrafes [mercerie]</t>
  </si>
  <si>
    <t>Crochets [mercerie]</t>
  </si>
  <si>
    <t>100219</t>
  </si>
  <si>
    <t>Needles [haberdashery]</t>
  </si>
  <si>
    <t>Aiguilles [mercerie]</t>
  </si>
  <si>
    <t>100220</t>
  </si>
  <si>
    <t>Sewing needles</t>
  </si>
  <si>
    <t>Aiguilles à coudre</t>
  </si>
  <si>
    <t>100221</t>
  </si>
  <si>
    <t>Crochet needles</t>
  </si>
  <si>
    <t>Aiguilles à crocheter</t>
  </si>
  <si>
    <t>100222</t>
  </si>
  <si>
    <t>Needles for unpicking</t>
  </si>
  <si>
    <t>Aiguilles à découdre</t>
  </si>
  <si>
    <t>100223</t>
  </si>
  <si>
    <t>Knitting needles</t>
  </si>
  <si>
    <t>Aiguilles à tricoter</t>
  </si>
  <si>
    <t>100224</t>
  </si>
  <si>
    <t>Shoemakers' needles</t>
  </si>
  <si>
    <t>Aiguilles de cordonnier</t>
  </si>
  <si>
    <t>100225</t>
  </si>
  <si>
    <t>Wires for brassieres</t>
  </si>
  <si>
    <t>Armatures de soutiens-gorge</t>
  </si>
  <si>
    <t>Armatures pour soutiens-gorge</t>
  </si>
  <si>
    <t>100226</t>
  </si>
  <si>
    <t>Shoe fasteners</t>
  </si>
  <si>
    <t>Attaches pour chaussures</t>
  </si>
  <si>
    <t>Fasteners for footwear</t>
  </si>
  <si>
    <t>Fermoirs de chaussures</t>
  </si>
  <si>
    <t>100227</t>
  </si>
  <si>
    <t>Scarf clips</t>
  </si>
  <si>
    <t>Barrettes pour foulards</t>
  </si>
  <si>
    <t>100228</t>
  </si>
  <si>
    <t>Shoulder belts</t>
  </si>
  <si>
    <t>Baudriers</t>
  </si>
  <si>
    <t>100229</t>
  </si>
  <si>
    <t>Buckles [haberdashery]</t>
  </si>
  <si>
    <t>Boucles [mercerie]</t>
  </si>
  <si>
    <t>100230</t>
  </si>
  <si>
    <t>Buttons [haberdashery]</t>
  </si>
  <si>
    <t>Boutons [mercerie]</t>
  </si>
  <si>
    <t>100231</t>
  </si>
  <si>
    <t>Cuff links</t>
  </si>
  <si>
    <t>Boutons de manchettes</t>
  </si>
  <si>
    <t>Cufflinks</t>
  </si>
  <si>
    <t>100232</t>
  </si>
  <si>
    <t>Brassards</t>
  </si>
  <si>
    <t>100233</t>
  </si>
  <si>
    <t>Braces for trousers</t>
  </si>
  <si>
    <t>Bretelles pour pantalons</t>
  </si>
  <si>
    <t>Suspenders for trousers</t>
  </si>
  <si>
    <t>100234</t>
  </si>
  <si>
    <t>Belts [clothing]</t>
  </si>
  <si>
    <t>Ceintures [habillement]</t>
  </si>
  <si>
    <t>100235</t>
  </si>
  <si>
    <t>Suspender belts</t>
  </si>
  <si>
    <t>Ceintures porte-jarretelles</t>
  </si>
  <si>
    <t>100236</t>
  </si>
  <si>
    <t>Shoe trimmings</t>
  </si>
  <si>
    <t>Garnitures de chaussures</t>
  </si>
  <si>
    <t>100237</t>
  </si>
  <si>
    <t>Embroidering crochet hooks</t>
  </si>
  <si>
    <t>Crochets à broder</t>
  </si>
  <si>
    <t>100238</t>
  </si>
  <si>
    <t>Crochet hooks</t>
  </si>
  <si>
    <t>Crochets à crocheter</t>
  </si>
  <si>
    <t>100239</t>
  </si>
  <si>
    <t>Shoe hooks</t>
  </si>
  <si>
    <t>Crochets pour chaussures</t>
  </si>
  <si>
    <t>100240</t>
  </si>
  <si>
    <t>Sliders of slide fasteners [zippers]</t>
  </si>
  <si>
    <t>Curseurs de fermetures à glissière</t>
  </si>
  <si>
    <t>Sliders of zip fasteners</t>
  </si>
  <si>
    <t>100241</t>
  </si>
  <si>
    <t>Shoe decorations</t>
  </si>
  <si>
    <t>Décorations de chaussures</t>
  </si>
  <si>
    <t>100242</t>
  </si>
  <si>
    <t>Thimbles</t>
  </si>
  <si>
    <t>Dés à coudre</t>
  </si>
  <si>
    <t>100243</t>
  </si>
  <si>
    <t>Hat linings</t>
  </si>
  <si>
    <t>Doublures de chapeaux</t>
  </si>
  <si>
    <t>100244</t>
  </si>
  <si>
    <t>Needle-threaders</t>
  </si>
  <si>
    <t>Enfile-aiguilles</t>
  </si>
  <si>
    <t>100245</t>
  </si>
  <si>
    <t>Shoulder pads</t>
  </si>
  <si>
    <t>Épaulettes</t>
  </si>
  <si>
    <t>Epaulets</t>
  </si>
  <si>
    <t>100246</t>
  </si>
  <si>
    <t>Pins [haberdashery]</t>
  </si>
  <si>
    <t>Épingles [mercerie]</t>
  </si>
  <si>
    <t>100247</t>
  </si>
  <si>
    <t>Tie pins</t>
  </si>
  <si>
    <t>Épingles de cravates</t>
  </si>
  <si>
    <t>100248</t>
  </si>
  <si>
    <t>Safety pins</t>
  </si>
  <si>
    <t>Épingles de sûreté</t>
  </si>
  <si>
    <t>100249</t>
  </si>
  <si>
    <t>Zip fasteners</t>
  </si>
  <si>
    <t>Fermetures à glissière</t>
  </si>
  <si>
    <t>Slide fasteners [zippers]</t>
  </si>
  <si>
    <t>100250</t>
  </si>
  <si>
    <t>Tie clips</t>
  </si>
  <si>
    <t>Fixe-cravates</t>
  </si>
  <si>
    <t>Necktie holders</t>
  </si>
  <si>
    <t>100251</t>
  </si>
  <si>
    <t>Bobbins for embroidery</t>
  </si>
  <si>
    <t>Fuseaux à broder</t>
  </si>
  <si>
    <t>100252</t>
  </si>
  <si>
    <t>Frills</t>
  </si>
  <si>
    <t>Jabots</t>
  </si>
  <si>
    <t>100253</t>
  </si>
  <si>
    <t>Straps for suspender belts</t>
  </si>
  <si>
    <t>Jarretelles</t>
  </si>
  <si>
    <t>100254</t>
  </si>
  <si>
    <t>Garters</t>
  </si>
  <si>
    <t>Jarretières</t>
  </si>
  <si>
    <t>100255</t>
  </si>
  <si>
    <t>Laces</t>
  </si>
  <si>
    <t>Lacets</t>
  </si>
  <si>
    <t>100256</t>
  </si>
  <si>
    <t>Shuttles for making fishing nets</t>
  </si>
  <si>
    <t>Navettes pour la confection des filets de pêche</t>
  </si>
  <si>
    <t>100258</t>
  </si>
  <si>
    <t>Eyelets [haberdashery]</t>
  </si>
  <si>
    <t>Œillets [mercerie]</t>
  </si>
  <si>
    <t>100259</t>
  </si>
  <si>
    <t>Eyelets for shoes</t>
  </si>
  <si>
    <t>Œillets de chaussures</t>
  </si>
  <si>
    <t>100260</t>
  </si>
  <si>
    <t>Belt trimmings</t>
  </si>
  <si>
    <t>Ornements de ceintures</t>
  </si>
  <si>
    <t>100261</t>
  </si>
  <si>
    <t>Sequins, spangles [haberdashery]</t>
  </si>
  <si>
    <t>Paillettes [mercerie]</t>
  </si>
  <si>
    <t>Spangles, sequins [haberdashery]</t>
  </si>
  <si>
    <t>100262</t>
  </si>
  <si>
    <t>Threaders</t>
  </si>
  <si>
    <t>Passe-fil</t>
  </si>
  <si>
    <t>100263</t>
  </si>
  <si>
    <t>Pin cushions</t>
  </si>
  <si>
    <t>Pelotes d'épingles</t>
  </si>
  <si>
    <t>100264</t>
  </si>
  <si>
    <t>Feathers for adornment</t>
  </si>
  <si>
    <t>Plumes pour parure</t>
  </si>
  <si>
    <t>100265</t>
  </si>
  <si>
    <t>Holders for balls of wool [for knitting]</t>
  </si>
  <si>
    <t>Porte-pelotons [pour tricoter]</t>
  </si>
  <si>
    <t>100266</t>
  </si>
  <si>
    <t>Stiffened cloth for clothing</t>
  </si>
  <si>
    <t>Tissus à entoiler pour vêtements</t>
  </si>
  <si>
    <t>100267</t>
  </si>
  <si>
    <t>Darning balls or mushrooms</t>
  </si>
  <si>
    <t>Boules à repriser</t>
  </si>
  <si>
    <t>Darning balls</t>
  </si>
  <si>
    <t>Boules ou champignons à ravauder</t>
  </si>
  <si>
    <t>100268</t>
  </si>
  <si>
    <t>Darning needles</t>
  </si>
  <si>
    <t>Aiguilles à repriser</t>
  </si>
  <si>
    <t>100269</t>
  </si>
  <si>
    <t>Hat bands</t>
  </si>
  <si>
    <t>Rubans de chapeaux</t>
  </si>
  <si>
    <t>100270</t>
  </si>
  <si>
    <t>Frames for needlework</t>
  </si>
  <si>
    <t>Tambours pour travaux d'aiguille</t>
  </si>
  <si>
    <t>100271</t>
  </si>
  <si>
    <t>Pulls for slide fasteners [zippers]</t>
  </si>
  <si>
    <t>Tirettes de fermetures à glissière</t>
  </si>
  <si>
    <t>100272</t>
  </si>
  <si>
    <t>Hat veils</t>
  </si>
  <si>
    <t>Voilettes</t>
  </si>
  <si>
    <t>100273</t>
  </si>
  <si>
    <t>Veil holders</t>
  </si>
  <si>
    <t>Fixe-voilettes</t>
  </si>
  <si>
    <t>100274</t>
  </si>
  <si>
    <t>Fluorescent belts [clothing]</t>
  </si>
  <si>
    <t>Ceintures fluorescentes [habillement]</t>
  </si>
  <si>
    <t>100275</t>
  </si>
  <si>
    <t>Veils</t>
  </si>
  <si>
    <t>Voiles [habillement]</t>
  </si>
  <si>
    <t>100276</t>
  </si>
  <si>
    <t>Hat pins</t>
  </si>
  <si>
    <t>Épingles à chapeaux</t>
  </si>
  <si>
    <t>Fixe-chapeaux</t>
  </si>
  <si>
    <t>100277</t>
  </si>
  <si>
    <t>Reels for yarn and thread</t>
  </si>
  <si>
    <t>Bobines de fil [mercerie]</t>
  </si>
  <si>
    <t>Reels for thread</t>
  </si>
  <si>
    <t>Reels for yarn</t>
  </si>
  <si>
    <t>100278</t>
  </si>
  <si>
    <t>Fastenings for babies' diapers</t>
  </si>
  <si>
    <t>Attaches pour couches de bébés</t>
  </si>
  <si>
    <t>Fastenings for babies' nappies</t>
  </si>
  <si>
    <t>100279</t>
  </si>
  <si>
    <t>Sock suspenders</t>
  </si>
  <si>
    <t>Fixe-chaussettes</t>
  </si>
  <si>
    <t>100280</t>
  </si>
  <si>
    <t>Wristbands [clothing]</t>
  </si>
  <si>
    <t>Manchettes [habillement]</t>
  </si>
  <si>
    <t>100281</t>
  </si>
  <si>
    <t>Perspiration-absorbing pads for clothing</t>
  </si>
  <si>
    <t>Coussinets absorbant la sueur pour vêtements</t>
  </si>
  <si>
    <t>104622</t>
  </si>
  <si>
    <t>Hook-and-loop fasteners</t>
  </si>
  <si>
    <t>Fermetures auto-agrippantes</t>
  </si>
  <si>
    <t>104705</t>
  </si>
  <si>
    <t>Straps for brassieres</t>
  </si>
  <si>
    <t>Bretelles pour soutiens-gorge</t>
  </si>
  <si>
    <t>104855</t>
  </si>
  <si>
    <t>Cord stoppers</t>
  </si>
  <si>
    <t>Arrêts de cordon</t>
  </si>
  <si>
    <t>105052</t>
  </si>
  <si>
    <t>Tracing wheels</t>
  </si>
  <si>
    <t>Roulettes à tracer</t>
  </si>
  <si>
    <t>105053</t>
  </si>
  <si>
    <t>Magnetic clasps [haberdashery]</t>
  </si>
  <si>
    <t>Attaches magnétiques [mercerie]</t>
  </si>
  <si>
    <t>02-99</t>
  </si>
  <si>
    <t>100282</t>
  </si>
  <si>
    <t>Yokes [apparel]</t>
  </si>
  <si>
    <t>Empiècement [couture]</t>
  </si>
  <si>
    <t>100283</t>
  </si>
  <si>
    <t>Muffs [clothing]</t>
  </si>
  <si>
    <t>Manchons [habillement]</t>
  </si>
  <si>
    <t>100284</t>
  </si>
  <si>
    <t>Elbow protectors for sports</t>
  </si>
  <si>
    <t>Protège-coudes pour les sports</t>
  </si>
  <si>
    <t>105049</t>
  </si>
  <si>
    <t>Multifunctional clothing</t>
  </si>
  <si>
    <t>Vêtements multifonctions</t>
  </si>
  <si>
    <t>03</t>
  </si>
  <si>
    <t>03-01</t>
  </si>
  <si>
    <t>100285</t>
  </si>
  <si>
    <t>Artículos de viaje, maletas, paraguas y pertenencias personales no especificadas en otra parte: Incluye equipaje, paraguas y diversos objetos personales.</t>
  </si>
  <si>
    <t>TRAVEL GOODS, CASES, PARASOLS AND PERSONAL BELONGINGS, NOT ELSEWHERE SPECIFIED</t>
  </si>
  <si>
    <t>TRUNKS, SUITCASES, BRIEFCASES, HANDBAGS, KEYHOLDERS, CASES SPECIALLY DESIGNED FOR THEIR CONTENTS, WALLETS AND SIMILAR ARTICLES</t>
  </si>
  <si>
    <t>Ball cases [for games]</t>
  </si>
  <si>
    <t>Boîtes à boules de jeu</t>
  </si>
  <si>
    <t>100286</t>
  </si>
  <si>
    <t>Tool boxes</t>
  </si>
  <si>
    <t>Boîtes à outils</t>
  </si>
  <si>
    <t>100287</t>
  </si>
  <si>
    <t>Work baskets</t>
  </si>
  <si>
    <t>Boîtes à ouvrage</t>
  </si>
  <si>
    <t>100288</t>
  </si>
  <si>
    <t>Game bags</t>
  </si>
  <si>
    <t>Gibecières</t>
  </si>
  <si>
    <t>Carniers</t>
  </si>
  <si>
    <t>100289</t>
  </si>
  <si>
    <t>Quivers</t>
  </si>
  <si>
    <t>Carquois</t>
  </si>
  <si>
    <t>100290</t>
  </si>
  <si>
    <t>School bags</t>
  </si>
  <si>
    <t>Cartables</t>
  </si>
  <si>
    <t>Sacs d'écoliers</t>
  </si>
  <si>
    <t>100291</t>
  </si>
  <si>
    <t>Hat boxes [except packaging]</t>
  </si>
  <si>
    <t>Cartons à chapeaux [à l'exception des emballages]</t>
  </si>
  <si>
    <t>100292</t>
  </si>
  <si>
    <t>Caskets</t>
  </si>
  <si>
    <t>Coffrets</t>
  </si>
  <si>
    <t>100293</t>
  </si>
  <si>
    <t>Typewriter cases</t>
  </si>
  <si>
    <t>Coffrets de machines à écrire</t>
  </si>
  <si>
    <t>100294</t>
  </si>
  <si>
    <t>Sewing kits [containers]</t>
  </si>
  <si>
    <t>Nécessaires de couture [contenants]</t>
  </si>
  <si>
    <t>100295</t>
  </si>
  <si>
    <t>Jewel cases</t>
  </si>
  <si>
    <t>Écrins</t>
  </si>
  <si>
    <t>100296</t>
  </si>
  <si>
    <t>Binocular cases</t>
  </si>
  <si>
    <t>Étuis à jumelles</t>
  </si>
  <si>
    <t>100297</t>
  </si>
  <si>
    <t>Spectacle cases</t>
  </si>
  <si>
    <t>Étuis à lunettes</t>
  </si>
  <si>
    <t>100298</t>
  </si>
  <si>
    <t>Cases for playing cards</t>
  </si>
  <si>
    <t>Étuis à jeux de cartes</t>
  </si>
  <si>
    <t>Playing card cases</t>
  </si>
  <si>
    <t>100299</t>
  </si>
  <si>
    <t>Camera cases</t>
  </si>
  <si>
    <t>Étuis pour appareils photographiques</t>
  </si>
  <si>
    <t>100300</t>
  </si>
  <si>
    <t>Cine-camera cases</t>
  </si>
  <si>
    <t>Étuis à caméras</t>
  </si>
  <si>
    <t>100301</t>
  </si>
  <si>
    <t>Projection screen cases</t>
  </si>
  <si>
    <t>Étuis à écrans de projection</t>
  </si>
  <si>
    <t>100302</t>
  </si>
  <si>
    <t>Musical instrument cases</t>
  </si>
  <si>
    <t>Étuis à instruments de musique</t>
  </si>
  <si>
    <t>Valises pour instruments de musique</t>
  </si>
  <si>
    <t>100303</t>
  </si>
  <si>
    <t>Measuring instrument cases</t>
  </si>
  <si>
    <t>Étuis à instruments de mesure</t>
  </si>
  <si>
    <t>100304</t>
  </si>
  <si>
    <t>Cases for pocket combs</t>
  </si>
  <si>
    <t>Étuis à peigne de poche</t>
  </si>
  <si>
    <t>100305</t>
  </si>
  <si>
    <t>Gun holsters</t>
  </si>
  <si>
    <t>Étuis pour armes à feu</t>
  </si>
  <si>
    <t>100306</t>
  </si>
  <si>
    <t>Pen cases</t>
  </si>
  <si>
    <t>Étuis à stylos</t>
  </si>
  <si>
    <t>100307</t>
  </si>
  <si>
    <t>Net bags for shopping</t>
  </si>
  <si>
    <t>Filets à provisions</t>
  </si>
  <si>
    <t>String bags for shopping</t>
  </si>
  <si>
    <t>100308</t>
  </si>
  <si>
    <t>Sheaths for arms</t>
  </si>
  <si>
    <t>Fourreaux d'armes</t>
  </si>
  <si>
    <t>Scabbards for weapons</t>
  </si>
  <si>
    <t>Gaines d'armes</t>
  </si>
  <si>
    <t>100309</t>
  </si>
  <si>
    <t>Covers for fishing rods</t>
  </si>
  <si>
    <t>Fourreaux de cannes à pêche</t>
  </si>
  <si>
    <t>100310</t>
  </si>
  <si>
    <t>Sheaths for knives</t>
  </si>
  <si>
    <t>Gaines de couteaux</t>
  </si>
  <si>
    <t>100311</t>
  </si>
  <si>
    <t>Backpacks</t>
  </si>
  <si>
    <t>Sacs à dos</t>
  </si>
  <si>
    <t>Rucksacks</t>
  </si>
  <si>
    <t>100312</t>
  </si>
  <si>
    <t>Shoe bags</t>
  </si>
  <si>
    <t>Housses de chaussures</t>
  </si>
  <si>
    <t>100313</t>
  </si>
  <si>
    <t>Tennis racket covers</t>
  </si>
  <si>
    <t>Housses de raquettes de tennis</t>
  </si>
  <si>
    <t>100314</t>
  </si>
  <si>
    <t>Sewing machine cases</t>
  </si>
  <si>
    <t>Coffrets de machines à coudre</t>
  </si>
  <si>
    <t>100315</t>
  </si>
  <si>
    <t>Trunks [luggage]</t>
  </si>
  <si>
    <t>Malles</t>
  </si>
  <si>
    <t>100316</t>
  </si>
  <si>
    <t>Attaché cases</t>
  </si>
  <si>
    <t>Mallettes pour documents</t>
  </si>
  <si>
    <t>100317</t>
  </si>
  <si>
    <t>Phonograph record cases</t>
  </si>
  <si>
    <t>Mallettes à disques acoustiques</t>
  </si>
  <si>
    <t>100318</t>
  </si>
  <si>
    <t>Manicure cases [containers]</t>
  </si>
  <si>
    <t>Étuis de manucures [contenants]</t>
  </si>
  <si>
    <t>100319</t>
  </si>
  <si>
    <t>Satchels</t>
  </si>
  <si>
    <t>Besaces</t>
  </si>
  <si>
    <t>100320</t>
  </si>
  <si>
    <t>Music bags</t>
  </si>
  <si>
    <t>Serviettes à musique</t>
  </si>
  <si>
    <t>100321</t>
  </si>
  <si>
    <t>Writing cases</t>
  </si>
  <si>
    <t>Nécessaires à correspondance [contenants]</t>
  </si>
  <si>
    <t>100322</t>
  </si>
  <si>
    <t>Shoe-cleaning kits [containers]</t>
  </si>
  <si>
    <t>Nécessaires d'entretien pour chaussures [contenants]</t>
  </si>
  <si>
    <t>100323</t>
  </si>
  <si>
    <t>Picnic cases</t>
  </si>
  <si>
    <t>Mallettes de pique-nique</t>
  </si>
  <si>
    <t>100324</t>
  </si>
  <si>
    <t>First aid kits [containers]</t>
  </si>
  <si>
    <t>Nécessaires de premiers secours [contenants]</t>
  </si>
  <si>
    <t>Pharmacies portatives [contenants]</t>
  </si>
  <si>
    <t>100325</t>
  </si>
  <si>
    <t>Vanity cases</t>
  </si>
  <si>
    <t>Vanity-cases</t>
  </si>
  <si>
    <t>Toilet cases</t>
  </si>
  <si>
    <t>Nécessaires de toilette [contenants]</t>
  </si>
  <si>
    <t>100326</t>
  </si>
  <si>
    <t>Travel kits [containers]</t>
  </si>
  <si>
    <t>Nécessaires de voyage [contenants]</t>
  </si>
  <si>
    <t>100327</t>
  </si>
  <si>
    <t>Briefcases</t>
  </si>
  <si>
    <t>Porte-documents</t>
  </si>
  <si>
    <t>Serviettes à documents</t>
  </si>
  <si>
    <t>100328</t>
  </si>
  <si>
    <t>Travelling bags</t>
  </si>
  <si>
    <t>Sacs de voyage</t>
  </si>
  <si>
    <t>100329</t>
  </si>
  <si>
    <t>Golf club bags</t>
  </si>
  <si>
    <t>Sacs à clubs de golf</t>
  </si>
  <si>
    <t>100330</t>
  </si>
  <si>
    <t>School pencil cases</t>
  </si>
  <si>
    <t>Trousses d'écoliers [contenants]</t>
  </si>
  <si>
    <t>100331</t>
  </si>
  <si>
    <t>Tool cases</t>
  </si>
  <si>
    <t>Trousses à outils [contenants]</t>
  </si>
  <si>
    <t>100332</t>
  </si>
  <si>
    <t>Doctors' instrument cases [containers]</t>
  </si>
  <si>
    <t>Trousses de médecins [contenants]</t>
  </si>
  <si>
    <t>100333</t>
  </si>
  <si>
    <t>Purses</t>
  </si>
  <si>
    <t>Porte-monnaie</t>
  </si>
  <si>
    <t>Bourses</t>
  </si>
  <si>
    <t>100334</t>
  </si>
  <si>
    <t>Shopping bags</t>
  </si>
  <si>
    <t>Sacs à provisions</t>
  </si>
  <si>
    <t>Cabas</t>
  </si>
  <si>
    <t>100335</t>
  </si>
  <si>
    <t>Portfolios for drawings</t>
  </si>
  <si>
    <t>Cartons à dessins</t>
  </si>
  <si>
    <t>100336</t>
  </si>
  <si>
    <t>Cartridge pouches</t>
  </si>
  <si>
    <t>Cartouchières</t>
  </si>
  <si>
    <t>100337</t>
  </si>
  <si>
    <t>Money belts</t>
  </si>
  <si>
    <t>Ceintures portefeuilles</t>
  </si>
  <si>
    <t>100338</t>
  </si>
  <si>
    <t>Chains for key rings</t>
  </si>
  <si>
    <t>Chaînettes pour porte-clés</t>
  </si>
  <si>
    <t>100339</t>
  </si>
  <si>
    <t>Key cases</t>
  </si>
  <si>
    <t>Étuis à clés</t>
  </si>
  <si>
    <t>100340</t>
  </si>
  <si>
    <t>Jewel boxes</t>
  </si>
  <si>
    <t>Coffrets à bijoux</t>
  </si>
  <si>
    <t>100341</t>
  </si>
  <si>
    <t>Passport or identity card cases</t>
  </si>
  <si>
    <t>Étuis à passeport ou à carte d'identité</t>
  </si>
  <si>
    <t>Identity card cases</t>
  </si>
  <si>
    <t>Étuis à carte d'identité</t>
  </si>
  <si>
    <t>100342</t>
  </si>
  <si>
    <t>Cheque book covers</t>
  </si>
  <si>
    <t>Pochettes pour carnets de chèques</t>
  </si>
  <si>
    <t>Check book covers</t>
  </si>
  <si>
    <t>100343</t>
  </si>
  <si>
    <t>Wallets</t>
  </si>
  <si>
    <t>Portefeuilles</t>
  </si>
  <si>
    <t>Billfolds</t>
  </si>
  <si>
    <t>Porte-billets</t>
  </si>
  <si>
    <t>Notecases</t>
  </si>
  <si>
    <t>100344</t>
  </si>
  <si>
    <t>Key rings</t>
  </si>
  <si>
    <t>Porte-clés</t>
  </si>
  <si>
    <t>Key fobs</t>
  </si>
  <si>
    <t>100345</t>
  </si>
  <si>
    <t>Reticules [handbags]</t>
  </si>
  <si>
    <t>Réticules [sacs à main]</t>
  </si>
  <si>
    <t>100346</t>
  </si>
  <si>
    <t>Shoulder bags</t>
  </si>
  <si>
    <t>Sacoches [maroquinerie]</t>
  </si>
  <si>
    <t>100347</t>
  </si>
  <si>
    <t>Handbags</t>
  </si>
  <si>
    <t>Sacs à main</t>
  </si>
  <si>
    <t>100348</t>
  </si>
  <si>
    <t>Umbrella covers</t>
  </si>
  <si>
    <t>Fourreaux de parapluies</t>
  </si>
  <si>
    <t>100349</t>
  </si>
  <si>
    <t>Bowling ball carrying cases</t>
  </si>
  <si>
    <t>Étuis à boules [bowling]</t>
  </si>
  <si>
    <t>100350</t>
  </si>
  <si>
    <t>Covers for telephones</t>
  </si>
  <si>
    <t>Housses pour téléphones</t>
  </si>
  <si>
    <t>100351</t>
  </si>
  <si>
    <t>Coin holders</t>
  </si>
  <si>
    <t>Porte-pièces de monnaie</t>
  </si>
  <si>
    <t>100352</t>
  </si>
  <si>
    <t>Security boxes for bicycle accessories</t>
  </si>
  <si>
    <t>Boîtes de sécurité pour accessoires de bicyclettes</t>
  </si>
  <si>
    <t>100353</t>
  </si>
  <si>
    <t>Cases for computer discs</t>
  </si>
  <si>
    <t>Mallettes pour disques d'ordinateur</t>
  </si>
  <si>
    <t>100354</t>
  </si>
  <si>
    <t>Cases for contact lenses</t>
  </si>
  <si>
    <t>Étuis pour lentilles de contact</t>
  </si>
  <si>
    <t>100355</t>
  </si>
  <si>
    <t>Cases for radios</t>
  </si>
  <si>
    <t>Étuis pour appareils de radio</t>
  </si>
  <si>
    <t>100356</t>
  </si>
  <si>
    <t>Cases for skis [bags]</t>
  </si>
  <si>
    <t>Housses pour skis</t>
  </si>
  <si>
    <t>100357</t>
  </si>
  <si>
    <t>Cases for razors or shavers</t>
  </si>
  <si>
    <t>Étuis pour rasoirs</t>
  </si>
  <si>
    <t>Razor cases</t>
  </si>
  <si>
    <t>Shaver cases</t>
  </si>
  <si>
    <t>100358</t>
  </si>
  <si>
    <t>Tool belts</t>
  </si>
  <si>
    <t>Ceintures à outils</t>
  </si>
  <si>
    <t>100360</t>
  </si>
  <si>
    <t>Cases for bandaging materials [except packaging]</t>
  </si>
  <si>
    <t>Boîtes pour pansements [à l'exception des emballages]</t>
  </si>
  <si>
    <t>100361</t>
  </si>
  <si>
    <t>Cases for brushes</t>
  </si>
  <si>
    <t>Étuis pour brosses</t>
  </si>
  <si>
    <t>100362</t>
  </si>
  <si>
    <t>Pillboxes</t>
  </si>
  <si>
    <t>Boîtes à pilules</t>
  </si>
  <si>
    <t>100363</t>
  </si>
  <si>
    <t>Shoulder straps for bags</t>
  </si>
  <si>
    <t>Bandoulières pour sacs</t>
  </si>
  <si>
    <t>100364</t>
  </si>
  <si>
    <t>Shoulder straps for backpacks</t>
  </si>
  <si>
    <t>Sangles pour sacs à dos</t>
  </si>
  <si>
    <t>Shoulder straps for rucksacks</t>
  </si>
  <si>
    <t>Bandoulières pour sacs à dos</t>
  </si>
  <si>
    <t>100365</t>
  </si>
  <si>
    <t>Backpack frames</t>
  </si>
  <si>
    <t>Armatures pour sacs à dos</t>
  </si>
  <si>
    <t>Rucksack frames</t>
  </si>
  <si>
    <t>100366</t>
  </si>
  <si>
    <t>Card cases</t>
  </si>
  <si>
    <t>Porte-cartes</t>
  </si>
  <si>
    <t>100367</t>
  </si>
  <si>
    <t>Belt bags</t>
  </si>
  <si>
    <t>Bananes [sacs-ceinture]</t>
  </si>
  <si>
    <t>100368</t>
  </si>
  <si>
    <t>Sport bags</t>
  </si>
  <si>
    <t>Sacs de sport</t>
  </si>
  <si>
    <t>100369</t>
  </si>
  <si>
    <t>Bicycle and motorcycle panniers [bags]</t>
  </si>
  <si>
    <t>Sacoches de bicyclette et motocycle [sacs]</t>
  </si>
  <si>
    <t>100370</t>
  </si>
  <si>
    <t>Cases for portable computers</t>
  </si>
  <si>
    <t>Mallettes pour ordinateurs portables</t>
  </si>
  <si>
    <t>100371</t>
  </si>
  <si>
    <t>Luggage cases for motorcycles</t>
  </si>
  <si>
    <t>Coffres porte-bagages pour motocycles</t>
  </si>
  <si>
    <t>100372</t>
  </si>
  <si>
    <t>Sheaths for gardening tools</t>
  </si>
  <si>
    <t>Étuis pour outils de jardinage</t>
  </si>
  <si>
    <t>100373</t>
  </si>
  <si>
    <t>Bags for storage of spruce trees</t>
  </si>
  <si>
    <t>Housses de rangement pour sapins</t>
  </si>
  <si>
    <t>100374</t>
  </si>
  <si>
    <t>Protective bags for car radios</t>
  </si>
  <si>
    <t>Housses de protection pour autoradios</t>
  </si>
  <si>
    <t>100375</t>
  </si>
  <si>
    <t>Cases for electronic organizers</t>
  </si>
  <si>
    <t>Étuis pour agendas électroniques</t>
  </si>
  <si>
    <t>100376</t>
  </si>
  <si>
    <t>Cases for mobile telephones</t>
  </si>
  <si>
    <t>Étuis pour téléphones mobiles</t>
  </si>
  <si>
    <t>100377</t>
  </si>
  <si>
    <t>Piggy banks</t>
  </si>
  <si>
    <t>Tirelires</t>
  </si>
  <si>
    <t>Money boxes [piggy banks]</t>
  </si>
  <si>
    <t>104569</t>
  </si>
  <si>
    <t>Armbands for mobile telephones</t>
  </si>
  <si>
    <t>Brassards pour téléphones mobiles</t>
  </si>
  <si>
    <t>104583</t>
  </si>
  <si>
    <t>Wrist cases for mobile telephones</t>
  </si>
  <si>
    <t>Étuis de poignet pour téléphones mobiles</t>
  </si>
  <si>
    <t>104588</t>
  </si>
  <si>
    <t>Cases for sharpening stones</t>
  </si>
  <si>
    <t>Étuis pour pierres à aiguiser</t>
  </si>
  <si>
    <t>104706</t>
  </si>
  <si>
    <t>Spectacle cords</t>
  </si>
  <si>
    <t>Cordons de lunettes</t>
  </si>
  <si>
    <t>104707</t>
  </si>
  <si>
    <t>Tissue box covers</t>
  </si>
  <si>
    <t>Couvre-boîtes à mouchoirs</t>
  </si>
  <si>
    <t>104856</t>
  </si>
  <si>
    <t>Shopping baskets</t>
  </si>
  <si>
    <t>Paniers à provisions</t>
  </si>
  <si>
    <t>104857</t>
  </si>
  <si>
    <t>Suitcases</t>
  </si>
  <si>
    <t>Valises</t>
  </si>
  <si>
    <t>104934</t>
  </si>
  <si>
    <t>Protective covers for bags and luggage</t>
  </si>
  <si>
    <t>Housses de protection pour sacs et bagages</t>
  </si>
  <si>
    <t>104935</t>
  </si>
  <si>
    <t>Neck lanyards</t>
  </si>
  <si>
    <t>Tours de cou [cordons]</t>
  </si>
  <si>
    <t>104936</t>
  </si>
  <si>
    <t>Lipstick cases</t>
  </si>
  <si>
    <t>Étuis pour rouges à lèvres</t>
  </si>
  <si>
    <t>104937</t>
  </si>
  <si>
    <t>Pill organizer boxes</t>
  </si>
  <si>
    <t>Piluliers</t>
  </si>
  <si>
    <t>100399</t>
  </si>
  <si>
    <t>Address holders for luggage</t>
  </si>
  <si>
    <t>Porte-adresses pour bagages</t>
  </si>
  <si>
    <t>100402</t>
  </si>
  <si>
    <t>Luggage wheels</t>
  </si>
  <si>
    <t>Roulettes pour bagages</t>
  </si>
  <si>
    <t>101343</t>
  </si>
  <si>
    <t>Handles for briefcases</t>
  </si>
  <si>
    <t>Poignées de porte-documents</t>
  </si>
  <si>
    <t>Poignées de serviettes à documents</t>
  </si>
  <si>
    <t>105055</t>
  </si>
  <si>
    <t>Cases for face masks</t>
  </si>
  <si>
    <t>Étuis pour masques</t>
  </si>
  <si>
    <t>105056</t>
  </si>
  <si>
    <t>Protective covers for parasols</t>
  </si>
  <si>
    <t>Housses de protection pour parasols</t>
  </si>
  <si>
    <t>105057</t>
  </si>
  <si>
    <t>Bags for carrying animal snacks</t>
  </si>
  <si>
    <t>Sacs à friandises pour animaux</t>
  </si>
  <si>
    <t>105058</t>
  </si>
  <si>
    <t>Clutch bags</t>
  </si>
  <si>
    <t>Pochettes [maroquinerie]</t>
  </si>
  <si>
    <t>105094</t>
  </si>
  <si>
    <t>Covers for earphone cases</t>
  </si>
  <si>
    <t>Coques pour étuis d'écouteurs</t>
  </si>
  <si>
    <t>03-02</t>
  </si>
  <si>
    <t>[vacant]</t>
  </si>
  <si>
    <t>03-03</t>
  </si>
  <si>
    <t>100380</t>
  </si>
  <si>
    <t>UMBRELLAS, PARASOLS, SUNSHADES AND WALKING STICKS</t>
  </si>
  <si>
    <t>Walking-stick ferrules</t>
  </si>
  <si>
    <t>Embouts de cannes</t>
  </si>
  <si>
    <t>100381</t>
  </si>
  <si>
    <t>Walking-sticks</t>
  </si>
  <si>
    <t>Cannes</t>
  </si>
  <si>
    <t>Canes</t>
  </si>
  <si>
    <t>100382</t>
  </si>
  <si>
    <t>Shooting sticks</t>
  </si>
  <si>
    <t>Cannes-sièges</t>
  </si>
  <si>
    <t>100383</t>
  </si>
  <si>
    <t>Umbrella runners</t>
  </si>
  <si>
    <t>Coulisseaux de parapluies</t>
  </si>
  <si>
    <t>100384</t>
  </si>
  <si>
    <t>Ferrules for umbrellas</t>
  </si>
  <si>
    <t>Embouts de parapluies</t>
  </si>
  <si>
    <t>100385</t>
  </si>
  <si>
    <t>Umbrellas</t>
  </si>
  <si>
    <t>Parapluies</t>
  </si>
  <si>
    <t>100386</t>
  </si>
  <si>
    <t>Parasols</t>
  </si>
  <si>
    <t>Umbrella-sunshades</t>
  </si>
  <si>
    <t>Ombrelles</t>
  </si>
  <si>
    <t>100387</t>
  </si>
  <si>
    <t>Garden or beach parasols</t>
  </si>
  <si>
    <t>Parasols de plage ou de jardin</t>
  </si>
  <si>
    <t>100389</t>
  </si>
  <si>
    <t>Umbrella handles</t>
  </si>
  <si>
    <t>Poignées de parapluies</t>
  </si>
  <si>
    <t>100390</t>
  </si>
  <si>
    <t>Ferrules for umbrella handles</t>
  </si>
  <si>
    <t>Viroles pour poignées de parapluies</t>
  </si>
  <si>
    <t>100391</t>
  </si>
  <si>
    <t>Garden windshields</t>
  </si>
  <si>
    <t>Paravents de jardin</t>
  </si>
  <si>
    <t>100392</t>
  </si>
  <si>
    <t>Beach windshields</t>
  </si>
  <si>
    <t>Paravents de plage</t>
  </si>
  <si>
    <t>100393</t>
  </si>
  <si>
    <t>Umbrella shafts</t>
  </si>
  <si>
    <t>Mâts de parapluies</t>
  </si>
  <si>
    <t>100394</t>
  </si>
  <si>
    <t>Parasol stands</t>
  </si>
  <si>
    <t>Supports de parasols</t>
  </si>
  <si>
    <t>100395</t>
  </si>
  <si>
    <t>Holders for walking sticks</t>
  </si>
  <si>
    <t>Supports pour cannes</t>
  </si>
  <si>
    <t>100396</t>
  </si>
  <si>
    <t>Bases for parasols</t>
  </si>
  <si>
    <t>Pieds de parasols</t>
  </si>
  <si>
    <t>104858</t>
  </si>
  <si>
    <t>Guide sticks for the visually impaired</t>
  </si>
  <si>
    <t>Cannes pour déficients visuels</t>
  </si>
  <si>
    <t>03-04</t>
  </si>
  <si>
    <t>100397</t>
  </si>
  <si>
    <t>FANS</t>
  </si>
  <si>
    <t>Fans for personal use</t>
  </si>
  <si>
    <t>Éventails</t>
  </si>
  <si>
    <t>03-05</t>
  </si>
  <si>
    <t>100401</t>
  </si>
  <si>
    <t>Devices for carrying and walking with babies and children</t>
  </si>
  <si>
    <t>Backpacks for carrying babies</t>
  </si>
  <si>
    <t>Sacs à dos pour porter les bébés</t>
  </si>
  <si>
    <t>100400</t>
  </si>
  <si>
    <t>Infant carriers worn on the body</t>
  </si>
  <si>
    <t>Porte-bébés à porter sur soi</t>
  </si>
  <si>
    <t>104708</t>
  </si>
  <si>
    <t>Toddler reins</t>
  </si>
  <si>
    <t>Harnais d'apprentissage à la marche</t>
  </si>
  <si>
    <t>104938</t>
  </si>
  <si>
    <t>Safety wrist straps for children</t>
  </si>
  <si>
    <t>Bracelets anti-égarement pour enfants</t>
  </si>
  <si>
    <t>104939</t>
  </si>
  <si>
    <t>Slings for carrying babies</t>
  </si>
  <si>
    <t>Écharpes pour porter les bébés</t>
  </si>
  <si>
    <t>03-99</t>
  </si>
  <si>
    <t>04</t>
  </si>
  <si>
    <t>04-01</t>
  </si>
  <si>
    <t>100403</t>
  </si>
  <si>
    <t>Cepillería: Comprende todo tipo de cepillos y artículos relacionados.</t>
  </si>
  <si>
    <t>Clase 04 - Cepillería: Comprende todo tipo de cepillos y artículos relacionados, incluyendo cepillos y escobas para limpieza general, cepillos de baño, de ropa, de calzado, cepillos para máquinas industriales, pinceles y brochas para pintar, así como cepillos para uso en cocina y otros artículos misceláneos de cepillería.</t>
  </si>
  <si>
    <t>BRUSHWARE</t>
  </si>
  <si>
    <t>BRUSHES AND BROOMS FOR CLEANING</t>
  </si>
  <si>
    <t>Scrubbing brushes, long-handled</t>
  </si>
  <si>
    <t>Balais-brosses</t>
  </si>
  <si>
    <t>100404</t>
  </si>
  <si>
    <t>Brooms</t>
  </si>
  <si>
    <t>Balais</t>
  </si>
  <si>
    <t>100405</t>
  </si>
  <si>
    <t>Mops</t>
  </si>
  <si>
    <t>Balais à franges</t>
  </si>
  <si>
    <t>100406</t>
  </si>
  <si>
    <t>Whisks</t>
  </si>
  <si>
    <t>Balayettes</t>
  </si>
  <si>
    <t>100407</t>
  </si>
  <si>
    <t>Attachments for affixing brushes to their handles</t>
  </si>
  <si>
    <t>Fixations de brosses à leur manche</t>
  </si>
  <si>
    <t>100408</t>
  </si>
  <si>
    <t>Absorbent brushes</t>
  </si>
  <si>
    <t>Brosses absorbantes</t>
  </si>
  <si>
    <t>100409</t>
  </si>
  <si>
    <t>Cleaning brushes</t>
  </si>
  <si>
    <t>Brosses de nettoyage</t>
  </si>
  <si>
    <t>100410</t>
  </si>
  <si>
    <t>Brushes for cleaning bottles</t>
  </si>
  <si>
    <t>Écouvillons pour bouteilles</t>
  </si>
  <si>
    <t>100411</t>
  </si>
  <si>
    <t>Dusting brushes</t>
  </si>
  <si>
    <t>Époussettes</t>
  </si>
  <si>
    <t>100412</t>
  </si>
  <si>
    <t>Furniture dusters with handle</t>
  </si>
  <si>
    <t>Essuie-meubles avec poignée</t>
  </si>
  <si>
    <t>100413</t>
  </si>
  <si>
    <t>Scouring brushes</t>
  </si>
  <si>
    <t>Frottoirs à récurer</t>
  </si>
  <si>
    <t>100414</t>
  </si>
  <si>
    <t>Broom handles</t>
  </si>
  <si>
    <t>Manches à balais</t>
  </si>
  <si>
    <t>100415</t>
  </si>
  <si>
    <t>Handles for cleaning brushes</t>
  </si>
  <si>
    <t>Manches de brosses de nettoyage</t>
  </si>
  <si>
    <t>100416</t>
  </si>
  <si>
    <t>Crumb brushes</t>
  </si>
  <si>
    <t>Brosses ramasse-miettes</t>
  </si>
  <si>
    <t>100417</t>
  </si>
  <si>
    <t>Feather dusters</t>
  </si>
  <si>
    <t>Plumeaux</t>
  </si>
  <si>
    <t>100418</t>
  </si>
  <si>
    <t>Lavatory brushes</t>
  </si>
  <si>
    <t>Balais sanitaires</t>
  </si>
  <si>
    <t>100419</t>
  </si>
  <si>
    <t>Dishwashing brushes</t>
  </si>
  <si>
    <t>Brosses pour laver la vaisselle</t>
  </si>
  <si>
    <t>100420</t>
  </si>
  <si>
    <t>Devices with brushes for cleaning spectacles</t>
  </si>
  <si>
    <t>Dispositifs à brosses pour le nettoyage de lunettes de vue</t>
  </si>
  <si>
    <t>04-02</t>
  </si>
  <si>
    <t>100421</t>
  </si>
  <si>
    <t>TOILET BRUSHES, CLOTHES BRUSHES AND SHOE BRUSHES</t>
  </si>
  <si>
    <t>Shaving brushes</t>
  </si>
  <si>
    <t>Blaireaux</t>
  </si>
  <si>
    <t>100422</t>
  </si>
  <si>
    <t>Hair brushes</t>
  </si>
  <si>
    <t>Brosses à cheveux</t>
  </si>
  <si>
    <t>100423</t>
  </si>
  <si>
    <t>Toothbrushes</t>
  </si>
  <si>
    <t>Brosses à dents</t>
  </si>
  <si>
    <t>100424</t>
  </si>
  <si>
    <t>Toilet brushes</t>
  </si>
  <si>
    <t>Brosses de toilette</t>
  </si>
  <si>
    <t>100425</t>
  </si>
  <si>
    <t>Shoe brushes</t>
  </si>
  <si>
    <t>Brosses à chaussures</t>
  </si>
  <si>
    <t>100426</t>
  </si>
  <si>
    <t>Clothes brushes</t>
  </si>
  <si>
    <t>Brosses à vêtements</t>
  </si>
  <si>
    <t>100427</t>
  </si>
  <si>
    <t>Nail brushes</t>
  </si>
  <si>
    <t>Pinceaux à ongles</t>
  </si>
  <si>
    <t>100428</t>
  </si>
  <si>
    <t>Cosmetic brushes</t>
  </si>
  <si>
    <t>Pinceaux de toilette</t>
  </si>
  <si>
    <t>100429</t>
  </si>
  <si>
    <t>Handles for toilet brushes</t>
  </si>
  <si>
    <t>Manches de brosses de toilette</t>
  </si>
  <si>
    <t>100430</t>
  </si>
  <si>
    <t>Handles for clothes brushes</t>
  </si>
  <si>
    <t>Manches de brosses à vêtements</t>
  </si>
  <si>
    <t>100431</t>
  </si>
  <si>
    <t>Brushes for electric toothbrushes</t>
  </si>
  <si>
    <t>Brosses pour brosses à dents électriques</t>
  </si>
  <si>
    <t>100432</t>
  </si>
  <si>
    <t>Interdental brushes</t>
  </si>
  <si>
    <t>Brosses interdentaires</t>
  </si>
  <si>
    <t>100433</t>
  </si>
  <si>
    <t>Toothbrush heads</t>
  </si>
  <si>
    <t>Têtes de brosses à dents</t>
  </si>
  <si>
    <t>100434</t>
  </si>
  <si>
    <t>Mascara brushes</t>
  </si>
  <si>
    <t>Brosses à mascara</t>
  </si>
  <si>
    <t>100435</t>
  </si>
  <si>
    <t>Bristles for toothbrushes</t>
  </si>
  <si>
    <t>Soies pour brosses à dents</t>
  </si>
  <si>
    <t>105137</t>
  </si>
  <si>
    <t>Nail art brushes</t>
  </si>
  <si>
    <t>Pinceaux pour décoration ongulaire</t>
  </si>
  <si>
    <t>04-03</t>
  </si>
  <si>
    <t>100436</t>
  </si>
  <si>
    <t>BRUSHES FOR MACHINES</t>
  </si>
  <si>
    <t>Brushes for machines</t>
  </si>
  <si>
    <t>Brosses pour machines</t>
  </si>
  <si>
    <t>04-04</t>
  </si>
  <si>
    <t>100437</t>
  </si>
  <si>
    <t>PAINTBRUSHES, BRUSHES FOR USE IN COOKING</t>
  </si>
  <si>
    <t>Paintbrushes</t>
  </si>
  <si>
    <t>Pinceaux à peindre</t>
  </si>
  <si>
    <t>100438</t>
  </si>
  <si>
    <t>Brushes used in cooking</t>
  </si>
  <si>
    <t>Pinceaux de cuisine</t>
  </si>
  <si>
    <t>100439</t>
  </si>
  <si>
    <t>Paintbrush handles</t>
  </si>
  <si>
    <t>Manches de pinceaux à peindre</t>
  </si>
  <si>
    <t>100440</t>
  </si>
  <si>
    <t>Handles for brushes used in cooking</t>
  </si>
  <si>
    <t>Manches de pinceaux de cuisine</t>
  </si>
  <si>
    <t>04-99</t>
  </si>
  <si>
    <t>05</t>
  </si>
  <si>
    <t>05-01</t>
  </si>
  <si>
    <t>100441</t>
  </si>
  <si>
    <t>Tejidos por metro y materiales en láminas artificiales y naturales: Incluye textiles y materiales similares vendidos por metro, no confeccionados.</t>
  </si>
  <si>
    <t>TEXTILE PIECE GOODS, ARTIFICIAL AND NATURAL SHEET MATERIAL</t>
  </si>
  <si>
    <t>a.  Including all textile or similar articles, sold by the yard and not made up.
b.  Not including ready-made articles (Cl. 2 or Cl. 6).</t>
  </si>
  <si>
    <t>SPUN ARTICLES</t>
  </si>
  <si>
    <t>Purls for embroidery</t>
  </si>
  <si>
    <t>Cannetilles</t>
  </si>
  <si>
    <t>100442</t>
  </si>
  <si>
    <t>Yarns</t>
  </si>
  <si>
    <t>Fils textiles</t>
  </si>
  <si>
    <t>Textile threads</t>
  </si>
  <si>
    <t>Filés</t>
  </si>
  <si>
    <t>05-02</t>
  </si>
  <si>
    <t>100443</t>
  </si>
  <si>
    <t>LACE</t>
  </si>
  <si>
    <t>Lace</t>
  </si>
  <si>
    <t>Dentelles</t>
  </si>
  <si>
    <t>100444</t>
  </si>
  <si>
    <t>Insertions [tulle, lace]</t>
  </si>
  <si>
    <t>Entre-deux [tulles, dentelles]</t>
  </si>
  <si>
    <t>05-03</t>
  </si>
  <si>
    <t>100445</t>
  </si>
  <si>
    <t>EMBROIDERY</t>
  </si>
  <si>
    <t>Embroidery</t>
  </si>
  <si>
    <t>Broderies</t>
  </si>
  <si>
    <t>05-04</t>
  </si>
  <si>
    <t>100446</t>
  </si>
  <si>
    <t>RIBBONS, BRAIDS AND OTHER DECORATIVE TRIMMINGS</t>
  </si>
  <si>
    <t>Garment edgings</t>
  </si>
  <si>
    <t>Bordures pour vêtements</t>
  </si>
  <si>
    <t>100447</t>
  </si>
  <si>
    <t>Insulating tapes for cables</t>
  </si>
  <si>
    <t>Rubans isolants pour câbles</t>
  </si>
  <si>
    <t>100448</t>
  </si>
  <si>
    <t>Braids [decorative trimmings]</t>
  </si>
  <si>
    <t>Cordonnets [passementerie]</t>
  </si>
  <si>
    <t>Tresses [passementerie]</t>
  </si>
  <si>
    <t>100449</t>
  </si>
  <si>
    <t>Elastic edgings</t>
  </si>
  <si>
    <t>Galons élastiques</t>
  </si>
  <si>
    <t>100450</t>
  </si>
  <si>
    <t>Elastic ribbons</t>
  </si>
  <si>
    <t>Rubans élastiques</t>
  </si>
  <si>
    <t>100451</t>
  </si>
  <si>
    <t>Braids</t>
  </si>
  <si>
    <t>Galons</t>
  </si>
  <si>
    <t>100452</t>
  </si>
  <si>
    <t>Tassels [haberdashery]</t>
  </si>
  <si>
    <t>Glands [passementerie]</t>
  </si>
  <si>
    <t>100453</t>
  </si>
  <si>
    <t>Passementerie</t>
  </si>
  <si>
    <t>Decorative trimmings</t>
  </si>
  <si>
    <t>100454</t>
  </si>
  <si>
    <t>Pompons</t>
  </si>
  <si>
    <t>100455</t>
  </si>
  <si>
    <t>Adhesive tapes</t>
  </si>
  <si>
    <t>Rubans adhésifs</t>
  </si>
  <si>
    <t>100456</t>
  </si>
  <si>
    <t>Gummed tapes</t>
  </si>
  <si>
    <t>Bandes gommées</t>
  </si>
  <si>
    <t>100457</t>
  </si>
  <si>
    <t>Textile labels for clothing</t>
  </si>
  <si>
    <t>Étiquettes tissées pour vêtements</t>
  </si>
  <si>
    <t>100458</t>
  </si>
  <si>
    <t>Detachable trimmings for clothing</t>
  </si>
  <si>
    <t>Passementerie amovible pour vêtements</t>
  </si>
  <si>
    <t>104940</t>
  </si>
  <si>
    <t>Ribbons [decorative trimmings]</t>
  </si>
  <si>
    <t>Rubans [passementerie]</t>
  </si>
  <si>
    <t>05-05</t>
  </si>
  <si>
    <t>100459</t>
  </si>
  <si>
    <t>TEXTILE FABRICS</t>
  </si>
  <si>
    <t>Tarpaulins</t>
  </si>
  <si>
    <t>Bâches</t>
  </si>
  <si>
    <t>100460</t>
  </si>
  <si>
    <t>Dimity</t>
  </si>
  <si>
    <t>Basins</t>
  </si>
  <si>
    <t>100461</t>
  </si>
  <si>
    <t>Brocades</t>
  </si>
  <si>
    <t>Brocarts</t>
  </si>
  <si>
    <t>100462</t>
  </si>
  <si>
    <t>Calico</t>
  </si>
  <si>
    <t>Calicot</t>
  </si>
  <si>
    <t>100463</t>
  </si>
  <si>
    <t>Twill</t>
  </si>
  <si>
    <t>Coutil</t>
  </si>
  <si>
    <t>100464</t>
  </si>
  <si>
    <t>Crepe [fabric]</t>
  </si>
  <si>
    <t>Crêpe [tissu]</t>
  </si>
  <si>
    <t>100465</t>
  </si>
  <si>
    <t>Damask</t>
  </si>
  <si>
    <t>Damas [étoffe]</t>
  </si>
  <si>
    <t>100466</t>
  </si>
  <si>
    <t>Cloth</t>
  </si>
  <si>
    <t>Drap [étoffe]</t>
  </si>
  <si>
    <t>100467</t>
  </si>
  <si>
    <t>Fabrics</t>
  </si>
  <si>
    <t>Étoffes</t>
  </si>
  <si>
    <t>100468</t>
  </si>
  <si>
    <t>Felt</t>
  </si>
  <si>
    <t>Feutre</t>
  </si>
  <si>
    <t>100469</t>
  </si>
  <si>
    <t>Flannel</t>
  </si>
  <si>
    <t>Flanelle</t>
  </si>
  <si>
    <t>100470</t>
  </si>
  <si>
    <t>Imitation fur</t>
  </si>
  <si>
    <t>Imitation de fourrure</t>
  </si>
  <si>
    <t>100471</t>
  </si>
  <si>
    <t>Jacquard fabric</t>
  </si>
  <si>
    <t>Tissu jacquard</t>
  </si>
  <si>
    <t>100472</t>
  </si>
  <si>
    <t>Moires [fabric]</t>
  </si>
  <si>
    <t>Moire [étoffe]</t>
  </si>
  <si>
    <t>100473</t>
  </si>
  <si>
    <t>Moquettes [fabric]</t>
  </si>
  <si>
    <t>Moquette</t>
  </si>
  <si>
    <t>100474</t>
  </si>
  <si>
    <t>Poplin cloth</t>
  </si>
  <si>
    <t>Popeline</t>
  </si>
  <si>
    <t>100475</t>
  </si>
  <si>
    <t>Silk fabrics</t>
  </si>
  <si>
    <t>Soieries</t>
  </si>
  <si>
    <t>100476</t>
  </si>
  <si>
    <t>Woven fabrics</t>
  </si>
  <si>
    <t>Tissus</t>
  </si>
  <si>
    <t>100477</t>
  </si>
  <si>
    <t>Mesh fabrics</t>
  </si>
  <si>
    <t>Tissus à mailles</t>
  </si>
  <si>
    <t>Netting [mesh fabric]</t>
  </si>
  <si>
    <t>Filet [tissus à mailles]</t>
  </si>
  <si>
    <t>100478</t>
  </si>
  <si>
    <t>Crocheted fabrics</t>
  </si>
  <si>
    <t>Tissus crochetés</t>
  </si>
  <si>
    <t>100479</t>
  </si>
  <si>
    <t>Elastic fabrics</t>
  </si>
  <si>
    <t>Tissus élastiques</t>
  </si>
  <si>
    <t>100480</t>
  </si>
  <si>
    <t>Insulating fabrics</t>
  </si>
  <si>
    <t>Tissus isolants</t>
  </si>
  <si>
    <t>100481</t>
  </si>
  <si>
    <t>Canvas for packaging</t>
  </si>
  <si>
    <t>Toile d'emballage</t>
  </si>
  <si>
    <t>100482</t>
  </si>
  <si>
    <t>Ticking</t>
  </si>
  <si>
    <t>Toile à matelas</t>
  </si>
  <si>
    <t>100483</t>
  </si>
  <si>
    <t>Oilcloths</t>
  </si>
  <si>
    <t>Toile cirée</t>
  </si>
  <si>
    <t>100484</t>
  </si>
  <si>
    <t>Tulle</t>
  </si>
  <si>
    <t>Tulles</t>
  </si>
  <si>
    <t>100485</t>
  </si>
  <si>
    <t>Velvet</t>
  </si>
  <si>
    <t>Velours</t>
  </si>
  <si>
    <t>100486</t>
  </si>
  <si>
    <t>Corduroy</t>
  </si>
  <si>
    <t>Velours côtelé</t>
  </si>
  <si>
    <t>100487</t>
  </si>
  <si>
    <t>Zephyr [cloth]</t>
  </si>
  <si>
    <t>Zéphyr [tissu]</t>
  </si>
  <si>
    <t>100488</t>
  </si>
  <si>
    <t>Plush</t>
  </si>
  <si>
    <t>Peluche</t>
  </si>
  <si>
    <t>100489</t>
  </si>
  <si>
    <t>Textile sheets for cutting out</t>
  </si>
  <si>
    <t>Feuilles de textile pour le découpage</t>
  </si>
  <si>
    <t>100490</t>
  </si>
  <si>
    <t>Upholstery fabrics</t>
  </si>
  <si>
    <t>Tissus d'ameublement</t>
  </si>
  <si>
    <t>05-06</t>
  </si>
  <si>
    <t>100491</t>
  </si>
  <si>
    <t>ARTIFICIAL OR NATURAL SHEET MATERIAL</t>
  </si>
  <si>
    <t>Cork paper</t>
  </si>
  <si>
    <t>Papier de liège</t>
  </si>
  <si>
    <t>100492</t>
  </si>
  <si>
    <t>Wood ribbon</t>
  </si>
  <si>
    <t>Rubans de bois</t>
  </si>
  <si>
    <t>100493</t>
  </si>
  <si>
    <t>Sheets of wrapping material</t>
  </si>
  <si>
    <t>Feuilles d'emballage</t>
  </si>
  <si>
    <t>100494</t>
  </si>
  <si>
    <t>Sheets of artificial or natural material</t>
  </si>
  <si>
    <t>Feuilles de matière artificielle ou naturelle</t>
  </si>
  <si>
    <t>100495</t>
  </si>
  <si>
    <t>Veneer sheets</t>
  </si>
  <si>
    <t>Feuilles de placage en bois</t>
  </si>
  <si>
    <t>100496</t>
  </si>
  <si>
    <t>Self-adhesive plastic foil</t>
  </si>
  <si>
    <t>Feuilles en matière plastique auto-adhésives</t>
  </si>
  <si>
    <t>100497</t>
  </si>
  <si>
    <t>Laminates of paper, metal or plastic materials</t>
  </si>
  <si>
    <t>Laminés combinant des couches de papier, de métal ou de matière plastique</t>
  </si>
  <si>
    <t>100498</t>
  </si>
  <si>
    <t>Linoleum</t>
  </si>
  <si>
    <t>Linoléum</t>
  </si>
  <si>
    <t>100499</t>
  </si>
  <si>
    <t>Matting for artificial ski slopes</t>
  </si>
  <si>
    <t>Nattes pour pistes artificielles de ski</t>
  </si>
  <si>
    <t>100500</t>
  </si>
  <si>
    <t>Aluminium foil for household use</t>
  </si>
  <si>
    <t>Feuilles d'aluminium pour usages ménagers</t>
  </si>
  <si>
    <t>100501</t>
  </si>
  <si>
    <t>Wrapping paper</t>
  </si>
  <si>
    <t>Papier d'emballage</t>
  </si>
  <si>
    <t>Packing paper</t>
  </si>
  <si>
    <t>100502</t>
  </si>
  <si>
    <t>Wax paper</t>
  </si>
  <si>
    <t>Papier sulfurisé</t>
  </si>
  <si>
    <t>100503</t>
  </si>
  <si>
    <t>Wallpaper</t>
  </si>
  <si>
    <t>Papiers peints</t>
  </si>
  <si>
    <t>Papier de tenture</t>
  </si>
  <si>
    <t>100504</t>
  </si>
  <si>
    <t>Flint paper</t>
  </si>
  <si>
    <t>Papier silexé</t>
  </si>
  <si>
    <t>100505</t>
  </si>
  <si>
    <t>Vulcanized paper</t>
  </si>
  <si>
    <t>Papier vulcanisé</t>
  </si>
  <si>
    <t>100506</t>
  </si>
  <si>
    <t>Paper towels</t>
  </si>
  <si>
    <t>Serviettes de toilette en papier</t>
  </si>
  <si>
    <t>100507</t>
  </si>
  <si>
    <t>Rolls or packs of paper [toilet paper or napkins]</t>
  </si>
  <si>
    <t>Rouleaux ou blocs de papier [papier hygiénique ou serviettes]</t>
  </si>
  <si>
    <t>100508</t>
  </si>
  <si>
    <t>Kitchen paper rolls</t>
  </si>
  <si>
    <t>Papier de cuisine [en rouleaux]</t>
  </si>
  <si>
    <t>100509</t>
  </si>
  <si>
    <t>Paper handkerchiefs</t>
  </si>
  <si>
    <t>Mouchoirs en papier</t>
  </si>
  <si>
    <t>100510</t>
  </si>
  <si>
    <t>Toilet paper</t>
  </si>
  <si>
    <t>Papier hygiénique</t>
  </si>
  <si>
    <t>100511</t>
  </si>
  <si>
    <t>Impregnated wipes</t>
  </si>
  <si>
    <t>Serviettes imprégnées</t>
  </si>
  <si>
    <t>100512</t>
  </si>
  <si>
    <t>Animal skins</t>
  </si>
  <si>
    <t>Peaux d'animaux</t>
  </si>
  <si>
    <t>100513</t>
  </si>
  <si>
    <t>Glass sheets</t>
  </si>
  <si>
    <t>Feuilles de verre</t>
  </si>
  <si>
    <t>100514</t>
  </si>
  <si>
    <t>Absorbent paper for household purposes</t>
  </si>
  <si>
    <t>Papier absorbant pour le ménage</t>
  </si>
  <si>
    <t>100515</t>
  </si>
  <si>
    <t>Sandpaper</t>
  </si>
  <si>
    <t>Papier à poncer</t>
  </si>
  <si>
    <t>104627</t>
  </si>
  <si>
    <t>Imitation leather</t>
  </si>
  <si>
    <t>Imitations de cuir</t>
  </si>
  <si>
    <t>104646</t>
  </si>
  <si>
    <t>PVC floor coverings</t>
  </si>
  <si>
    <t>Revêtements de sol en PVC</t>
  </si>
  <si>
    <t>104671</t>
  </si>
  <si>
    <t>Toilet seat paper covers</t>
  </si>
  <si>
    <t>Couvre-sièges en papier pour lunettes de toilettes</t>
  </si>
  <si>
    <t>104859</t>
  </si>
  <si>
    <t>Baking paper</t>
  </si>
  <si>
    <t>Papier de cuisson</t>
  </si>
  <si>
    <t>05-99</t>
  </si>
  <si>
    <t>100516</t>
  </si>
  <si>
    <t>Wadding</t>
  </si>
  <si>
    <t>Ouate</t>
  </si>
  <si>
    <t>06</t>
  </si>
  <si>
    <t>06-01</t>
  </si>
  <si>
    <t>100517</t>
  </si>
  <si>
    <t>Mobiliario: Abarca muebles y artículos de decoración, excluyendo tejidos por metro.</t>
  </si>
  <si>
    <t>FURNISHING</t>
  </si>
  <si>
    <t>a.  Composite furniture articles embodying components included in several subclasses are classified in Cl. 06-05.
b.  Sets of furniture, as far as they can be looked upon as one design, are classified in Cl. 06-05.
c.  Not including textile piecegoods (Cl. 5).</t>
  </si>
  <si>
    <t>SEATS</t>
  </si>
  <si>
    <t>Chaises longues</t>
  </si>
  <si>
    <t>100518</t>
  </si>
  <si>
    <t>Couches</t>
  </si>
  <si>
    <t>Divans</t>
  </si>
  <si>
    <t>Divans [sofas]</t>
  </si>
  <si>
    <t>100519</t>
  </si>
  <si>
    <t>Couches for massage</t>
  </si>
  <si>
    <t>Sièges longs de massage</t>
  </si>
  <si>
    <t>100520</t>
  </si>
  <si>
    <t>Ottomans</t>
  </si>
  <si>
    <t>Ottomanes</t>
  </si>
  <si>
    <t>100521</t>
  </si>
  <si>
    <t>Armrests for vehicle seats</t>
  </si>
  <si>
    <t>Accoudoirs pour sièges de véhicules</t>
  </si>
  <si>
    <t>100522</t>
  </si>
  <si>
    <t>Back supports for vehicle seats</t>
  </si>
  <si>
    <t>Appuie-dos pour sièges de véhicules</t>
  </si>
  <si>
    <t>100524</t>
  </si>
  <si>
    <t>Benches [furniture]</t>
  </si>
  <si>
    <t>Bancs [meubles]</t>
  </si>
  <si>
    <t>Banquettes</t>
  </si>
  <si>
    <t>100525</t>
  </si>
  <si>
    <t>Easy chairs</t>
  </si>
  <si>
    <t>Bergères</t>
  </si>
  <si>
    <t>100526</t>
  </si>
  <si>
    <t>Chairs [seats]</t>
  </si>
  <si>
    <t>Chaises [sièges]</t>
  </si>
  <si>
    <t>100527</t>
  </si>
  <si>
    <t>Fireside chairs</t>
  </si>
  <si>
    <t>Chauffeuses</t>
  </si>
  <si>
    <t>100528</t>
  </si>
  <si>
    <t>Dentists' armchairs</t>
  </si>
  <si>
    <t>Fauteuils de dentiste</t>
  </si>
  <si>
    <t>100529</t>
  </si>
  <si>
    <t>Armchairs</t>
  </si>
  <si>
    <t>Fauteuils</t>
  </si>
  <si>
    <t>100530</t>
  </si>
  <si>
    <t>Hairdressers' chairs</t>
  </si>
  <si>
    <t>Fauteuils de coiffeur</t>
  </si>
  <si>
    <t>100531</t>
  </si>
  <si>
    <t>Garden chairs</t>
  </si>
  <si>
    <t>Sièges de jardin</t>
  </si>
  <si>
    <t>100532</t>
  </si>
  <si>
    <t>Folding seats</t>
  </si>
  <si>
    <t>Sièges pliants</t>
  </si>
  <si>
    <t>100533</t>
  </si>
  <si>
    <t>Pouffs [seats]</t>
  </si>
  <si>
    <t>Poufs [sièges]</t>
  </si>
  <si>
    <t>100534</t>
  </si>
  <si>
    <t>Rocking-chairs</t>
  </si>
  <si>
    <t>100535</t>
  </si>
  <si>
    <t>Seats [furniture]</t>
  </si>
  <si>
    <t>Sièges [meubles]</t>
  </si>
  <si>
    <t>100536</t>
  </si>
  <si>
    <t>Seats for means of transport [except saddles]</t>
  </si>
  <si>
    <t>Sièges pour moyens de transport [à l'exception des selles]</t>
  </si>
  <si>
    <t>100537</t>
  </si>
  <si>
    <t>Seats for fishermen</t>
  </si>
  <si>
    <t>Sièges de pêcheur</t>
  </si>
  <si>
    <t>100538</t>
  </si>
  <si>
    <t>Fold-down seats</t>
  </si>
  <si>
    <t>Strapontins</t>
  </si>
  <si>
    <t>Tip-up seats</t>
  </si>
  <si>
    <t>100539</t>
  </si>
  <si>
    <t>Stools [furniture]</t>
  </si>
  <si>
    <t>Tabourets</t>
  </si>
  <si>
    <t>100540</t>
  </si>
  <si>
    <t>School benches</t>
  </si>
  <si>
    <t>Bancs d'école</t>
  </si>
  <si>
    <t>100541</t>
  </si>
  <si>
    <t>Sofas</t>
  </si>
  <si>
    <t>Canapés</t>
  </si>
  <si>
    <t>100542</t>
  </si>
  <si>
    <t>Swinging seats [garden furniture]</t>
  </si>
  <si>
    <t>Balancelles [meubles de jardin]</t>
  </si>
  <si>
    <t>100543</t>
  </si>
  <si>
    <t>Children's seats, for fixing on cycles or motorcycles</t>
  </si>
  <si>
    <t>Sièges d'enfants, à fixer sur les cycles ou motocycles</t>
  </si>
  <si>
    <t>Seats for children, for fixing on cycles or motorcycles</t>
  </si>
  <si>
    <t>100544</t>
  </si>
  <si>
    <t>Babies' chairs</t>
  </si>
  <si>
    <t>Chaises pour bébés</t>
  </si>
  <si>
    <t>100545</t>
  </si>
  <si>
    <t>Benches for saunas</t>
  </si>
  <si>
    <t>Bancs pour sauna</t>
  </si>
  <si>
    <t>100546</t>
  </si>
  <si>
    <t>Baby bouncer seats</t>
  </si>
  <si>
    <t>Transats [balancelles] pour bébés</t>
  </si>
  <si>
    <t>100547</t>
  </si>
  <si>
    <t>Office chairs</t>
  </si>
  <si>
    <t>Chaises de bureau</t>
  </si>
  <si>
    <t>100548</t>
  </si>
  <si>
    <t>Child seats for motor cars</t>
  </si>
  <si>
    <t>Sièges d'enfants pour voitures</t>
  </si>
  <si>
    <t>100549</t>
  </si>
  <si>
    <t>Booster cushions for children</t>
  </si>
  <si>
    <t>Rehausseurs pour enfants</t>
  </si>
  <si>
    <t>104591</t>
  </si>
  <si>
    <t>Theatre chairs</t>
  </si>
  <si>
    <t>Fauteuils de théâtre</t>
  </si>
  <si>
    <t>104661</t>
  </si>
  <si>
    <t>Sofa-beds</t>
  </si>
  <si>
    <t>Canapés-lits</t>
  </si>
  <si>
    <t>104709</t>
  </si>
  <si>
    <t>Méridiennes</t>
  </si>
  <si>
    <t>104710</t>
  </si>
  <si>
    <t>Floor chairs</t>
  </si>
  <si>
    <t>Chaises de sol</t>
  </si>
  <si>
    <t>104711</t>
  </si>
  <si>
    <t>Massaging chairs</t>
  </si>
  <si>
    <t>Fauteuils massants</t>
  </si>
  <si>
    <t>104712</t>
  </si>
  <si>
    <t>Massage chairs</t>
  </si>
  <si>
    <t>Chaises de massage</t>
  </si>
  <si>
    <t>104713</t>
  </si>
  <si>
    <t>Street benches [street furniture]</t>
  </si>
  <si>
    <t>Bancs publics [mobilier urbain]</t>
  </si>
  <si>
    <t>104941</t>
  </si>
  <si>
    <t>Bath seats for babies</t>
  </si>
  <si>
    <t>Sièges de bain pour bébés</t>
  </si>
  <si>
    <t>104942</t>
  </si>
  <si>
    <t>Vehicle seats</t>
  </si>
  <si>
    <t>Sièges de véhicules</t>
  </si>
  <si>
    <t>06-02</t>
  </si>
  <si>
    <t>100550</t>
  </si>
  <si>
    <t>BEDS</t>
  </si>
  <si>
    <t>Basket cots</t>
  </si>
  <si>
    <t>Moïses</t>
  </si>
  <si>
    <t>100551</t>
  </si>
  <si>
    <t>Beds</t>
  </si>
  <si>
    <t>Lits</t>
  </si>
  <si>
    <t>100552</t>
  </si>
  <si>
    <t>Bunk beds</t>
  </si>
  <si>
    <t>Couchettes superposées</t>
  </si>
  <si>
    <t>100553</t>
  </si>
  <si>
    <t>Camp beds</t>
  </si>
  <si>
    <t>Lits de camp</t>
  </si>
  <si>
    <t>100554</t>
  </si>
  <si>
    <t>Carrycots for babies</t>
  </si>
  <si>
    <t>Nacelles pour bébés</t>
  </si>
  <si>
    <t>100555</t>
  </si>
  <si>
    <t>Cradles</t>
  </si>
  <si>
    <t>Berceaux</t>
  </si>
  <si>
    <t>100556</t>
  </si>
  <si>
    <t>Hammocks</t>
  </si>
  <si>
    <t>Hamacs</t>
  </si>
  <si>
    <t>100557</t>
  </si>
  <si>
    <t>Hospital beds</t>
  </si>
  <si>
    <t>Lits d'hôpital</t>
  </si>
  <si>
    <t>100558</t>
  </si>
  <si>
    <t>Invalid beds</t>
  </si>
  <si>
    <t>Lits pour invalides</t>
  </si>
  <si>
    <t>100559</t>
  </si>
  <si>
    <t>Mattress supports</t>
  </si>
  <si>
    <t>Sommiers de lits</t>
  </si>
  <si>
    <t>104575</t>
  </si>
  <si>
    <t>Beds for children</t>
  </si>
  <si>
    <t>Lits d'enfant</t>
  </si>
  <si>
    <t>104860</t>
  </si>
  <si>
    <t>Loft beds</t>
  </si>
  <si>
    <t>Lits mezzanine</t>
  </si>
  <si>
    <t>104943</t>
  </si>
  <si>
    <t>Bumper beds</t>
  </si>
  <si>
    <t>Lits rembourrés pour enfants</t>
  </si>
  <si>
    <t>06-03</t>
  </si>
  <si>
    <t>100560</t>
  </si>
  <si>
    <t>TABLES AND SIMILAR FURNITURE</t>
  </si>
  <si>
    <t>Writing desks</t>
  </si>
  <si>
    <t>Secrétaires</t>
  </si>
  <si>
    <t>Desks [furniture]</t>
  </si>
  <si>
    <t>Bureaux [meubles]</t>
  </si>
  <si>
    <t>100561</t>
  </si>
  <si>
    <t>Counters [tables]</t>
  </si>
  <si>
    <t>Comptoirs [tables]</t>
  </si>
  <si>
    <t>100562</t>
  </si>
  <si>
    <t>Serving trolleys</t>
  </si>
  <si>
    <t>Dessertes [tables roulantes]</t>
  </si>
  <si>
    <t>100563</t>
  </si>
  <si>
    <t>Pedestal tables</t>
  </si>
  <si>
    <t>Guéridons</t>
  </si>
  <si>
    <t>100564</t>
  </si>
  <si>
    <t>Tables</t>
  </si>
  <si>
    <t>100565</t>
  </si>
  <si>
    <t>Baby changing tables</t>
  </si>
  <si>
    <t>Tables à langer</t>
  </si>
  <si>
    <t>100568</t>
  </si>
  <si>
    <t>Bed tables for the sick</t>
  </si>
  <si>
    <t>Tables de lit pour les malades</t>
  </si>
  <si>
    <t>100570</t>
  </si>
  <si>
    <t>School tables</t>
  </si>
  <si>
    <t>Tables d'écoles</t>
  </si>
  <si>
    <t>100571</t>
  </si>
  <si>
    <t>Console tables</t>
  </si>
  <si>
    <t>Consoles [tables]</t>
  </si>
  <si>
    <t>100572</t>
  </si>
  <si>
    <t>Work benches</t>
  </si>
  <si>
    <t>Établis</t>
  </si>
  <si>
    <t>100574</t>
  </si>
  <si>
    <t>Altars</t>
  </si>
  <si>
    <t>Autels</t>
  </si>
  <si>
    <t>100575</t>
  </si>
  <si>
    <t>School desks</t>
  </si>
  <si>
    <t>Pupitres d'école</t>
  </si>
  <si>
    <t>100576</t>
  </si>
  <si>
    <t>Worktables [sewing tables]</t>
  </si>
  <si>
    <t>Tables à ouvrage [travailleuses]</t>
  </si>
  <si>
    <t>Travailleuses [tables à ouvrage]</t>
  </si>
  <si>
    <t>100577</t>
  </si>
  <si>
    <t>Trestle tables</t>
  </si>
  <si>
    <t>Tables à chevalet</t>
  </si>
  <si>
    <t>100578</t>
  </si>
  <si>
    <t>Drawing tables</t>
  </si>
  <si>
    <t>Tables à dessiner</t>
  </si>
  <si>
    <t>100579</t>
  </si>
  <si>
    <t>Laboratory tables</t>
  </si>
  <si>
    <t>Tables de laboratoire</t>
  </si>
  <si>
    <t>100580</t>
  </si>
  <si>
    <t>Bedside tables</t>
  </si>
  <si>
    <t>Tables de nuit</t>
  </si>
  <si>
    <t>100581</t>
  </si>
  <si>
    <t>Folding tables</t>
  </si>
  <si>
    <t>Tables pliantes</t>
  </si>
  <si>
    <t>100582</t>
  </si>
  <si>
    <t>Tables for computer terminals</t>
  </si>
  <si>
    <t>Tables pour terminaux d'ordinateur</t>
  </si>
  <si>
    <t>100583</t>
  </si>
  <si>
    <t>Nests of tables</t>
  </si>
  <si>
    <t>Tables gigognes</t>
  </si>
  <si>
    <t>100584</t>
  </si>
  <si>
    <t>Wallpapering tables</t>
  </si>
  <si>
    <t>Tables à tapisser</t>
  </si>
  <si>
    <t>100585</t>
  </si>
  <si>
    <t>Office tables</t>
  </si>
  <si>
    <t>Tables de bureau</t>
  </si>
  <si>
    <t>104595</t>
  </si>
  <si>
    <t>Coffee tables</t>
  </si>
  <si>
    <t>Tables basses</t>
  </si>
  <si>
    <t>104600</t>
  </si>
  <si>
    <t>Dining tables</t>
  </si>
  <si>
    <t>Tables de salle à manger</t>
  </si>
  <si>
    <t>104659</t>
  </si>
  <si>
    <t>Side tables</t>
  </si>
  <si>
    <t>Tables d'appoint</t>
  </si>
  <si>
    <t>06-04</t>
  </si>
  <si>
    <t>100586</t>
  </si>
  <si>
    <t>STORAGE FURNITURE</t>
  </si>
  <si>
    <t>Shelves [furniture]</t>
  </si>
  <si>
    <t>Tablettes [ameublement]</t>
  </si>
  <si>
    <t>100587</t>
  </si>
  <si>
    <t>Silver cabinets</t>
  </si>
  <si>
    <t>Argentiers</t>
  </si>
  <si>
    <t>100588</t>
  </si>
  <si>
    <t>Tool cupboards</t>
  </si>
  <si>
    <t>Armoires à outils</t>
  </si>
  <si>
    <t>100589</t>
  </si>
  <si>
    <t>Medicine cabinets</t>
  </si>
  <si>
    <t>Armoires à pharmacie</t>
  </si>
  <si>
    <t>100590</t>
  </si>
  <si>
    <t>Office cabinets</t>
  </si>
  <si>
    <t>Armoires de bureau</t>
  </si>
  <si>
    <t>100591</t>
  </si>
  <si>
    <t>Kitchen cabinets</t>
  </si>
  <si>
    <t>Armoires de cuisine</t>
  </si>
  <si>
    <t>100592</t>
  </si>
  <si>
    <t>Storage closets</t>
  </si>
  <si>
    <t>Armoires de rangement</t>
  </si>
  <si>
    <t>100593</t>
  </si>
  <si>
    <t>Bathroom cabinets</t>
  </si>
  <si>
    <t>Armoires pour salles de bain</t>
  </si>
  <si>
    <t>Armoires de toilette</t>
  </si>
  <si>
    <t>100594</t>
  </si>
  <si>
    <t>Wall cupboards</t>
  </si>
  <si>
    <t>Placards</t>
  </si>
  <si>
    <t>Armoires murales</t>
  </si>
  <si>
    <t>100595</t>
  </si>
  <si>
    <t>Chests</t>
  </si>
  <si>
    <t>Bahuts</t>
  </si>
  <si>
    <t>100596</t>
  </si>
  <si>
    <t>Bookcases</t>
  </si>
  <si>
    <t>Bibliothèques [meubles]</t>
  </si>
  <si>
    <t>100597</t>
  </si>
  <si>
    <t>Racks for fruit and vegetables [except for display stands]</t>
  </si>
  <si>
    <t>Casiers à fruits et légumes [autres que pour présentoirs]</t>
  </si>
  <si>
    <t>100598</t>
  </si>
  <si>
    <t>Music cabinets</t>
  </si>
  <si>
    <t>Casiers à musique</t>
  </si>
  <si>
    <t>100599</t>
  </si>
  <si>
    <t>File cabinets [furniture]</t>
  </si>
  <si>
    <t>Classeurs [meubles]</t>
  </si>
  <si>
    <t>100600</t>
  </si>
  <si>
    <t>Safes</t>
  </si>
  <si>
    <t>Coffres-forts</t>
  </si>
  <si>
    <t>100601</t>
  </si>
  <si>
    <t>Wall safes</t>
  </si>
  <si>
    <t>Coffres-forts muraux</t>
  </si>
  <si>
    <t>100602</t>
  </si>
  <si>
    <t>Stationery cabinets [furniture]</t>
  </si>
  <si>
    <t>Coffrets à papeterie [meubles]</t>
  </si>
  <si>
    <t>100603</t>
  </si>
  <si>
    <t>Commodes</t>
  </si>
  <si>
    <t>Chests of drawers</t>
  </si>
  <si>
    <t>Chiffonniers [meubles]</t>
  </si>
  <si>
    <t>100604</t>
  </si>
  <si>
    <t>Sideboards</t>
  </si>
  <si>
    <t>Dressoirs</t>
  </si>
  <si>
    <t>Buffets</t>
  </si>
  <si>
    <t>Crédences</t>
  </si>
  <si>
    <t>100605</t>
  </si>
  <si>
    <t>Shoe stands [furniture]</t>
  </si>
  <si>
    <t>Étagères à chaussures</t>
  </si>
  <si>
    <t>100606</t>
  </si>
  <si>
    <t>Bookshelves</t>
  </si>
  <si>
    <t>Étagères à livres</t>
  </si>
  <si>
    <t>100607</t>
  </si>
  <si>
    <t>Shelves for prospectuses</t>
  </si>
  <si>
    <t>Étagères à prospectus</t>
  </si>
  <si>
    <t>100608</t>
  </si>
  <si>
    <t>Shelves for newspaper kiosks</t>
  </si>
  <si>
    <t>Étagères pour kiosques à journaux</t>
  </si>
  <si>
    <t>100609</t>
  </si>
  <si>
    <t>Card index cabinets [furniture]</t>
  </si>
  <si>
    <t>Fichiers [meubles]</t>
  </si>
  <si>
    <t>100610</t>
  </si>
  <si>
    <t>Meat safes</t>
  </si>
  <si>
    <t>Garde-manger [meubles]</t>
  </si>
  <si>
    <t>Meat chests</t>
  </si>
  <si>
    <t>100611</t>
  </si>
  <si>
    <t>Wardrobes</t>
  </si>
  <si>
    <t>Garde-robes</t>
  </si>
  <si>
    <t>100612</t>
  </si>
  <si>
    <t>Furniture with compartments</t>
  </si>
  <si>
    <t>Meubles à casiers</t>
  </si>
  <si>
    <t>100613</t>
  </si>
  <si>
    <t>Furniture with drawers</t>
  </si>
  <si>
    <t>Meubles à tiroirs</t>
  </si>
  <si>
    <t>100614</t>
  </si>
  <si>
    <t>Storage furniture</t>
  </si>
  <si>
    <t>Meubles de rangement</t>
  </si>
  <si>
    <t>100615</t>
  </si>
  <si>
    <t>Clothes racks</t>
  </si>
  <si>
    <t>Penderies à vêtements</t>
  </si>
  <si>
    <t>100616</t>
  </si>
  <si>
    <t>Walking stick racks</t>
  </si>
  <si>
    <t>Porte-cannes</t>
  </si>
  <si>
    <t>100617</t>
  </si>
  <si>
    <t>Shoe racks</t>
  </si>
  <si>
    <t>Porte-souliers [meubles]</t>
  </si>
  <si>
    <t>100618</t>
  </si>
  <si>
    <t>Plate racks [furniture]</t>
  </si>
  <si>
    <t>Porte-vaisselle [meubles]</t>
  </si>
  <si>
    <t>Casiers à vaisselle [meubles]</t>
  </si>
  <si>
    <t>100619</t>
  </si>
  <si>
    <t>Shelving</t>
  </si>
  <si>
    <t>Rayonnages</t>
  </si>
  <si>
    <t>100620</t>
  </si>
  <si>
    <t>Kitchen dressers [furniture]</t>
  </si>
  <si>
    <t>Vaisseliers</t>
  </si>
  <si>
    <t>100621</t>
  </si>
  <si>
    <t>Showcases [furniture]</t>
  </si>
  <si>
    <t>Vitrines [meubles]</t>
  </si>
  <si>
    <t>Glass cabinets</t>
  </si>
  <si>
    <t>100622</t>
  </si>
  <si>
    <t>Shelves for flowers</t>
  </si>
  <si>
    <t>Étagères à fleurs</t>
  </si>
  <si>
    <t>100623</t>
  </si>
  <si>
    <t>Religious cabinets</t>
  </si>
  <si>
    <t>Tabernacles</t>
  </si>
  <si>
    <t>Châsses</t>
  </si>
  <si>
    <t>100624</t>
  </si>
  <si>
    <t>Bottle racks [for storage]</t>
  </si>
  <si>
    <t>Râteliers à bouteilles [pour stockage]</t>
  </si>
  <si>
    <t>Casiers à bouteilles [pour stockage]</t>
  </si>
  <si>
    <t>100625</t>
  </si>
  <si>
    <t>Cabinets for phonograph records</t>
  </si>
  <si>
    <t>Casiers à disques acoustiques</t>
  </si>
  <si>
    <t>100626</t>
  </si>
  <si>
    <t>Shoe chests</t>
  </si>
  <si>
    <t>Coffres à chaussures</t>
  </si>
  <si>
    <t>100627</t>
  </si>
  <si>
    <t>Racks for test tubes</t>
  </si>
  <si>
    <t>Râteliers à éprouvettes</t>
  </si>
  <si>
    <t>100628</t>
  </si>
  <si>
    <t>Cabinets for telecommunication apparatus</t>
  </si>
  <si>
    <t>Meubles pour appareils de télécommunication</t>
  </si>
  <si>
    <t>100629</t>
  </si>
  <si>
    <t>Saucepan racks</t>
  </si>
  <si>
    <t>Porte-casseroles</t>
  </si>
  <si>
    <t>100630</t>
  </si>
  <si>
    <t>Umbrella stands</t>
  </si>
  <si>
    <t>Porte-parapluies</t>
  </si>
  <si>
    <t>100631</t>
  </si>
  <si>
    <t>Gun racks</t>
  </si>
  <si>
    <t>Râteliers à fusils</t>
  </si>
  <si>
    <t>100632</t>
  </si>
  <si>
    <t>Storage furniture for discs</t>
  </si>
  <si>
    <t>Meubles de rangement pour disques</t>
  </si>
  <si>
    <t>100633</t>
  </si>
  <si>
    <t>Storage racks for discs</t>
  </si>
  <si>
    <t>Râteliers de rangement pour disques</t>
  </si>
  <si>
    <t>100635</t>
  </si>
  <si>
    <t>Knife display racks</t>
  </si>
  <si>
    <t>Râteliers d'exposition pour couteaux</t>
  </si>
  <si>
    <t>100636</t>
  </si>
  <si>
    <t>Racks for hanging tools</t>
  </si>
  <si>
    <t>Râteliers à outils</t>
  </si>
  <si>
    <t>100637</t>
  </si>
  <si>
    <t>Billiard cue racks</t>
  </si>
  <si>
    <t>Râteliers pour queues de billard</t>
  </si>
  <si>
    <t>100638</t>
  </si>
  <si>
    <t>Magazine racks [furniture]</t>
  </si>
  <si>
    <t>Porte-revues [meubles]</t>
  </si>
  <si>
    <t>100639</t>
  </si>
  <si>
    <t>Rotating file cabinets</t>
  </si>
  <si>
    <t>Pater-noster [meubles]</t>
  </si>
  <si>
    <t>100640</t>
  </si>
  <si>
    <t>Storage cabinets</t>
  </si>
  <si>
    <t>Casiers de rangement</t>
  </si>
  <si>
    <t>100641</t>
  </si>
  <si>
    <t>Coffin linings</t>
  </si>
  <si>
    <t>Garnitures intérieures de cercueils</t>
  </si>
  <si>
    <t>100642</t>
  </si>
  <si>
    <t>Coffins</t>
  </si>
  <si>
    <t>Bières [cercueils]</t>
  </si>
  <si>
    <t>Cercueils</t>
  </si>
  <si>
    <t>100643</t>
  </si>
  <si>
    <t>Crematory urns</t>
  </si>
  <si>
    <t>Urnes funéraires</t>
  </si>
  <si>
    <t>100644</t>
  </si>
  <si>
    <t>Cabinets for audio and video apparatus</t>
  </si>
  <si>
    <t>Meubles pour appareils audio et vidéo</t>
  </si>
  <si>
    <t>100645</t>
  </si>
  <si>
    <t>Storage cabinets with wheels</t>
  </si>
  <si>
    <t>Caissons de rangement à roulettes</t>
  </si>
  <si>
    <t>100646</t>
  </si>
  <si>
    <t>Stands for discs [furniture]</t>
  </si>
  <si>
    <t>Supports pour disques [meubles]</t>
  </si>
  <si>
    <t>100647</t>
  </si>
  <si>
    <t>Furniture for bathrooms [without sanitary apparatus and equipment]</t>
  </si>
  <si>
    <t>Meubles pour salles de bains [sans appareils et dispositifs sanitaires]</t>
  </si>
  <si>
    <t>104616</t>
  </si>
  <si>
    <t>Hat racks</t>
  </si>
  <si>
    <t>Étagères à chapeaux</t>
  </si>
  <si>
    <t>104714</t>
  </si>
  <si>
    <t>Lockers</t>
  </si>
  <si>
    <t>Armoires-vestiaires</t>
  </si>
  <si>
    <t>104944</t>
  </si>
  <si>
    <t>Intelligent delivery lockers</t>
  </si>
  <si>
    <t>Casiers intelligents pour la livraison de colis</t>
  </si>
  <si>
    <t>104945</t>
  </si>
  <si>
    <t>Drinks cabinets</t>
  </si>
  <si>
    <t>Bars [meubles]</t>
  </si>
  <si>
    <t>104946</t>
  </si>
  <si>
    <t>Left-luggage lockers</t>
  </si>
  <si>
    <t>Casiers de consigne</t>
  </si>
  <si>
    <t>104947</t>
  </si>
  <si>
    <t>Ski racks, freestanding</t>
  </si>
  <si>
    <t>Râteliers à skis autoportants</t>
  </si>
  <si>
    <t>105059</t>
  </si>
  <si>
    <t>Storage boxes [furniture]</t>
  </si>
  <si>
    <t>Boîtes de rangement [meubles]</t>
  </si>
  <si>
    <t>06-05</t>
  </si>
  <si>
    <t>100648</t>
  </si>
  <si>
    <t>COMPOSITE FURNITURE</t>
  </si>
  <si>
    <t>School desks with attached seats</t>
  </si>
  <si>
    <t>Pupitres d'école combinés avec sièges</t>
  </si>
  <si>
    <t>100649</t>
  </si>
  <si>
    <t>Dressing tables</t>
  </si>
  <si>
    <t>Coiffeuses [meubles]</t>
  </si>
  <si>
    <t>Toilettes [coiffeuses, meubles]</t>
  </si>
  <si>
    <t>100650</t>
  </si>
  <si>
    <t>Composite furniture</t>
  </si>
  <si>
    <t>Meubles combinés</t>
  </si>
  <si>
    <t>104715</t>
  </si>
  <si>
    <t>Picnic tables with attached seats</t>
  </si>
  <si>
    <t>Tables de pique-nique avec bancs intégrés</t>
  </si>
  <si>
    <t>06-06</t>
  </si>
  <si>
    <t>100651</t>
  </si>
  <si>
    <t>OTHER FURNITURE AND FURNITURE PARTS</t>
  </si>
  <si>
    <t>Chair or seat footrests</t>
  </si>
  <si>
    <t>Repose-pieds</t>
  </si>
  <si>
    <t>100652</t>
  </si>
  <si>
    <t>Booths for teaching</t>
  </si>
  <si>
    <t>Cabines pour l'enseignement</t>
  </si>
  <si>
    <t>Instruction booths</t>
  </si>
  <si>
    <t>Boxes pour l'enseignement</t>
  </si>
  <si>
    <t>100653</t>
  </si>
  <si>
    <t>Prayer stools</t>
  </si>
  <si>
    <t>Prie-Dieu</t>
  </si>
  <si>
    <t>Agenouilloirs</t>
  </si>
  <si>
    <t>100654</t>
  </si>
  <si>
    <t>Aquarium stands</t>
  </si>
  <si>
    <t>Supports d'aquariums</t>
  </si>
  <si>
    <t>100655</t>
  </si>
  <si>
    <t>Decorative edgings for furniture</t>
  </si>
  <si>
    <t>Bordures décoratives pour meubles</t>
  </si>
  <si>
    <t>100656</t>
  </si>
  <si>
    <t>Cashiers' booths for shops</t>
  </si>
  <si>
    <t>Boxes de caisse pour magasins</t>
  </si>
  <si>
    <t>100657</t>
  </si>
  <si>
    <t>Corn or hay bins</t>
  </si>
  <si>
    <t>Coffres à céréales et à foin</t>
  </si>
  <si>
    <t>100658</t>
  </si>
  <si>
    <t>Confessional boxes</t>
  </si>
  <si>
    <t>Confessionnaux</t>
  </si>
  <si>
    <t>100659</t>
  </si>
  <si>
    <t>Radiator covers</t>
  </si>
  <si>
    <t>Cache-radiateurs</t>
  </si>
  <si>
    <t>100660</t>
  </si>
  <si>
    <t>Stepladders [furniture]</t>
  </si>
  <si>
    <t>Escabeaux [meubles]</t>
  </si>
  <si>
    <t>100661</t>
  </si>
  <si>
    <t>Tips for furniture legs</t>
  </si>
  <si>
    <t>Embouts de pieds de meubles</t>
  </si>
  <si>
    <t>100662</t>
  </si>
  <si>
    <t>Bed surrounds [furniture]</t>
  </si>
  <si>
    <t>Entourages de lit [mobilier]</t>
  </si>
  <si>
    <t>Entourages de lit</t>
  </si>
  <si>
    <t>100663</t>
  </si>
  <si>
    <t>Clothes stands [valets]</t>
  </si>
  <si>
    <t>Valets [cintres sur pieds]</t>
  </si>
  <si>
    <t>Valets [clothes stands]</t>
  </si>
  <si>
    <t>Porte-habits [meubles]</t>
  </si>
  <si>
    <t>100664</t>
  </si>
  <si>
    <t>Flower stands [furniture]</t>
  </si>
  <si>
    <t>Jardinières [meubles]</t>
  </si>
  <si>
    <t>100665</t>
  </si>
  <si>
    <t>Lecterns</t>
  </si>
  <si>
    <t>Lutrins</t>
  </si>
  <si>
    <t>100666</t>
  </si>
  <si>
    <t>Music stands</t>
  </si>
  <si>
    <t>Pupitres à musique</t>
  </si>
  <si>
    <t>Music easels</t>
  </si>
  <si>
    <t>100667</t>
  </si>
  <si>
    <t>Screens [furniture]</t>
  </si>
  <si>
    <t>Paravents [meubles]</t>
  </si>
  <si>
    <t>100668</t>
  </si>
  <si>
    <t>Safety gates for babies</t>
  </si>
  <si>
    <t>Barrières de sécurité pour bébés</t>
  </si>
  <si>
    <t>100669</t>
  </si>
  <si>
    <t>Playpens for babies</t>
  </si>
  <si>
    <t>Parcs pour bébés</t>
  </si>
  <si>
    <t>100670</t>
  </si>
  <si>
    <t>Bases for clocks</t>
  </si>
  <si>
    <t>Supports de pendules</t>
  </si>
  <si>
    <t>100671</t>
  </si>
  <si>
    <t>Furniture legs</t>
  </si>
  <si>
    <t>Pieds de meubles</t>
  </si>
  <si>
    <t>100672</t>
  </si>
  <si>
    <t>Furniture doors</t>
  </si>
  <si>
    <t>Portes de meubles</t>
  </si>
  <si>
    <t>100674</t>
  </si>
  <si>
    <t>Extension table leaves</t>
  </si>
  <si>
    <t>Rallonges de tables</t>
  </si>
  <si>
    <t>100675</t>
  </si>
  <si>
    <t>Furniture casters</t>
  </si>
  <si>
    <t>Roulettes de meubles</t>
  </si>
  <si>
    <t>100676</t>
  </si>
  <si>
    <t>Shoe stands with polisher guides</t>
  </si>
  <si>
    <t>Tabourets de cireur avec guide-brosse</t>
  </si>
  <si>
    <t>100677</t>
  </si>
  <si>
    <t>Furniture drawers</t>
  </si>
  <si>
    <t>Tiroirs de meubles</t>
  </si>
  <si>
    <t>100678</t>
  </si>
  <si>
    <t>Book ends</t>
  </si>
  <si>
    <t>Serre-livres</t>
  </si>
  <si>
    <t>Appuis pour livres</t>
  </si>
  <si>
    <t>100679</t>
  </si>
  <si>
    <t>Cask stands</t>
  </si>
  <si>
    <t>Chantiers [supports] pour fûts</t>
  </si>
  <si>
    <t>100680</t>
  </si>
  <si>
    <t>Hat stands</t>
  </si>
  <si>
    <t>Porte-chapeaux</t>
  </si>
  <si>
    <t>100681</t>
  </si>
  <si>
    <t>Racks for hanging bags for filling</t>
  </si>
  <si>
    <t>Râteliers à suspendre les sacs à remplir</t>
  </si>
  <si>
    <t>100682</t>
  </si>
  <si>
    <t>Reading stands</t>
  </si>
  <si>
    <t>Supports de lecture</t>
  </si>
  <si>
    <t>100683</t>
  </si>
  <si>
    <t>Coat stands [furniture]</t>
  </si>
  <si>
    <t>Portemanteaux [meubles]</t>
  </si>
  <si>
    <t>100684</t>
  </si>
  <si>
    <t>Chiropodists' footrests</t>
  </si>
  <si>
    <t>Pose-pieds de pédicure</t>
  </si>
  <si>
    <t>100685</t>
  </si>
  <si>
    <t>Drawer casters</t>
  </si>
  <si>
    <t>Roulettes pour tiroirs</t>
  </si>
  <si>
    <t>100686</t>
  </si>
  <si>
    <t>Drawer rails</t>
  </si>
  <si>
    <t>Rails pour tiroirs</t>
  </si>
  <si>
    <t>100687</t>
  </si>
  <si>
    <t>Furniture feet</t>
  </si>
  <si>
    <t>Piètements de meubles</t>
  </si>
  <si>
    <t>100688</t>
  </si>
  <si>
    <t>Mouldings for furniture</t>
  </si>
  <si>
    <t>Moulures pour meubles</t>
  </si>
  <si>
    <t>Moldings for furniture</t>
  </si>
  <si>
    <t>100689</t>
  </si>
  <si>
    <t>Trestles</t>
  </si>
  <si>
    <t>Tréteaux</t>
  </si>
  <si>
    <t>100690</t>
  </si>
  <si>
    <t>Wrist supports</t>
  </si>
  <si>
    <t>Appuis pour poignets</t>
  </si>
  <si>
    <t>100691</t>
  </si>
  <si>
    <t>Furniture tops</t>
  </si>
  <si>
    <t>Plateaux de meubles</t>
  </si>
  <si>
    <t>100692</t>
  </si>
  <si>
    <t>Sections for furniture</t>
  </si>
  <si>
    <t>Profilés pour meubles</t>
  </si>
  <si>
    <t>100693</t>
  </si>
  <si>
    <t>Catafalques</t>
  </si>
  <si>
    <t>104610</t>
  </si>
  <si>
    <t>Furniture fronts</t>
  </si>
  <si>
    <t>Façades de meubles</t>
  </si>
  <si>
    <t>104688</t>
  </si>
  <si>
    <t>Headrests for seats</t>
  </si>
  <si>
    <t>Appuie-tête pour sièges</t>
  </si>
  <si>
    <t>104716</t>
  </si>
  <si>
    <t>Headboards</t>
  </si>
  <si>
    <t>Têtes de lit</t>
  </si>
  <si>
    <t>104717</t>
  </si>
  <si>
    <t>Seats [parts of chairs]</t>
  </si>
  <si>
    <t>Assises [parties de chaise]</t>
  </si>
  <si>
    <t>104718</t>
  </si>
  <si>
    <t>Back rests for chairs [parts of chairs]</t>
  </si>
  <si>
    <t>Dossiers de chaise [parties de chaise]</t>
  </si>
  <si>
    <t>104719</t>
  </si>
  <si>
    <t>Cubicle walls</t>
  </si>
  <si>
    <t>Cloisons modulaires</t>
  </si>
  <si>
    <t>104720</t>
  </si>
  <si>
    <t>Book rests</t>
  </si>
  <si>
    <t>Porte-livres</t>
  </si>
  <si>
    <t>104948</t>
  </si>
  <si>
    <t>Podiums [furniture]</t>
  </si>
  <si>
    <t>Podiums [meubles]</t>
  </si>
  <si>
    <t>105060</t>
  </si>
  <si>
    <t>Meeting pods [indoor]</t>
  </si>
  <si>
    <t>Cabines de réunion</t>
  </si>
  <si>
    <t>Boxes de réunion</t>
  </si>
  <si>
    <t>105062</t>
  </si>
  <si>
    <t>Sneeze guards [furniture]</t>
  </si>
  <si>
    <t>Écrans pare-haleine [meubles]</t>
  </si>
  <si>
    <t>105063</t>
  </si>
  <si>
    <t>Screens for infection control</t>
  </si>
  <si>
    <t>Écrans pour le contrôle des infections</t>
  </si>
  <si>
    <t>105064</t>
  </si>
  <si>
    <t>Table divider screens</t>
  </si>
  <si>
    <t>Écrans séparateurs de tables</t>
  </si>
  <si>
    <t>06-07</t>
  </si>
  <si>
    <t>100694</t>
  </si>
  <si>
    <t>MIRRORS AND FRAMES</t>
  </si>
  <si>
    <t>Picture-frame rods</t>
  </si>
  <si>
    <t>Baguettes pour encadrements</t>
  </si>
  <si>
    <t>100695</t>
  </si>
  <si>
    <t>Frames for pictures or mirrors</t>
  </si>
  <si>
    <t>Cadres de tableaux ou de miroirs</t>
  </si>
  <si>
    <t>Encadrements de tableaux ou de miroirs</t>
  </si>
  <si>
    <t>100696</t>
  </si>
  <si>
    <t>Mirrors [furniture]</t>
  </si>
  <si>
    <t>Miroirs [ameublement]</t>
  </si>
  <si>
    <t>Glaces [ameublement]</t>
  </si>
  <si>
    <t>100697</t>
  </si>
  <si>
    <t>Anti-theft mirrors</t>
  </si>
  <si>
    <t>Miroirs de sûreté contre le vol</t>
  </si>
  <si>
    <t>100698</t>
  </si>
  <si>
    <t>Wall mirrors</t>
  </si>
  <si>
    <t>Miroirs muraux</t>
  </si>
  <si>
    <t>100699</t>
  </si>
  <si>
    <t>Mouldings for picture frames</t>
  </si>
  <si>
    <t>Moulures pour cadres</t>
  </si>
  <si>
    <t>Moldings for picture frames</t>
  </si>
  <si>
    <t>Moulures pour encadrements</t>
  </si>
  <si>
    <t>100700</t>
  </si>
  <si>
    <t>Paper mounts</t>
  </si>
  <si>
    <t>Passe-partout pour encadrements</t>
  </si>
  <si>
    <t>100701</t>
  </si>
  <si>
    <t>Photograph stands</t>
  </si>
  <si>
    <t>Supports pour photographies</t>
  </si>
  <si>
    <t>100702</t>
  </si>
  <si>
    <t>Frames for posters</t>
  </si>
  <si>
    <t>Encadrements de posters</t>
  </si>
  <si>
    <t>104949</t>
  </si>
  <si>
    <t>Smart mirrors</t>
  </si>
  <si>
    <t>Miroirs intelligents</t>
  </si>
  <si>
    <t>06-08</t>
  </si>
  <si>
    <t>100703</t>
  </si>
  <si>
    <t>CLOTHES HANGERS</t>
  </si>
  <si>
    <t>Clothes hangers</t>
  </si>
  <si>
    <t>Cintres pour vêtements</t>
  </si>
  <si>
    <t>Coat hangers</t>
  </si>
  <si>
    <t>100704</t>
  </si>
  <si>
    <t>Skirt hangers with clips</t>
  </si>
  <si>
    <t>Porte-jupes à pinces</t>
  </si>
  <si>
    <t>100705</t>
  </si>
  <si>
    <t>Trouser hangers with clips</t>
  </si>
  <si>
    <t>Porte-pantalons à pinces</t>
  </si>
  <si>
    <t>100706</t>
  </si>
  <si>
    <t>Clothes hangers with clips</t>
  </si>
  <si>
    <t>Porte-vêtements à pinces</t>
  </si>
  <si>
    <t>100707</t>
  </si>
  <si>
    <t>Trouser stretchers</t>
  </si>
  <si>
    <t>Tendeurs de pantalons</t>
  </si>
  <si>
    <t>100708</t>
  </si>
  <si>
    <t>Spacers for clothes hangers</t>
  </si>
  <si>
    <t>Espaceurs de cintres pour vêtements</t>
  </si>
  <si>
    <t>Spacers for coat hangers</t>
  </si>
  <si>
    <t>100709</t>
  </si>
  <si>
    <t>Shoe racks [hangers]</t>
  </si>
  <si>
    <t>Porte-chaussures [cintres]</t>
  </si>
  <si>
    <t>06-09</t>
  </si>
  <si>
    <t>100710</t>
  </si>
  <si>
    <t>MATTRESSES AND CUSHIONS</t>
  </si>
  <si>
    <t>Footmuffs [electric or non-electric]</t>
  </si>
  <si>
    <t>Chancelières [électriques ou non électriques]</t>
  </si>
  <si>
    <t>100711</t>
  </si>
  <si>
    <t>Toilet seat pads</t>
  </si>
  <si>
    <t>Coussinets pour sièges de toilettes [W.C.]</t>
  </si>
  <si>
    <t>100712</t>
  </si>
  <si>
    <t>Cushions</t>
  </si>
  <si>
    <t>Coussins [ameublement]</t>
  </si>
  <si>
    <t>100713</t>
  </si>
  <si>
    <t>Air cushions</t>
  </si>
  <si>
    <t>Coussins pneumatiques</t>
  </si>
  <si>
    <t>100714</t>
  </si>
  <si>
    <t>Cushions for vehicle seats</t>
  </si>
  <si>
    <t>Coussins pour sièges de véhicules</t>
  </si>
  <si>
    <t>100715</t>
  </si>
  <si>
    <t>Mattresses</t>
  </si>
  <si>
    <t>Matelas</t>
  </si>
  <si>
    <t>100716</t>
  </si>
  <si>
    <t>Air mattresses</t>
  </si>
  <si>
    <t>Matelas pneumatiques</t>
  </si>
  <si>
    <t>100717</t>
  </si>
  <si>
    <t>Pillows</t>
  </si>
  <si>
    <t>Oreillers</t>
  </si>
  <si>
    <t>100718</t>
  </si>
  <si>
    <t>Bolsters</t>
  </si>
  <si>
    <t>Traversins</t>
  </si>
  <si>
    <t>100719</t>
  </si>
  <si>
    <t>Heating cushions</t>
  </si>
  <si>
    <t>Coussins chauffants</t>
  </si>
  <si>
    <t>100720</t>
  </si>
  <si>
    <t>Camping mattresses</t>
  </si>
  <si>
    <t>Matelas de camping</t>
  </si>
  <si>
    <t>100721</t>
  </si>
  <si>
    <t>Changing mats for babies</t>
  </si>
  <si>
    <t>Matelas à langer</t>
  </si>
  <si>
    <t>100722</t>
  </si>
  <si>
    <t>Anatomical cushions</t>
  </si>
  <si>
    <t>Coussins anatomiques</t>
  </si>
  <si>
    <t>105065</t>
  </si>
  <si>
    <t>Baby head protection pillows</t>
  </si>
  <si>
    <t>Coussins protège-tête pour bébés</t>
  </si>
  <si>
    <t>06-10</t>
  </si>
  <si>
    <t>100723</t>
  </si>
  <si>
    <t>CURTAINS AND INDOOR BLINDS</t>
  </si>
  <si>
    <t>Pelmets</t>
  </si>
  <si>
    <t>Lambrequins</t>
  </si>
  <si>
    <t>Cache-rails [rideaux]</t>
  </si>
  <si>
    <t>100724</t>
  </si>
  <si>
    <t>Valances</t>
  </si>
  <si>
    <t>Cantonnières</t>
  </si>
  <si>
    <t>100725</t>
  </si>
  <si>
    <t>Curtain tiebacks</t>
  </si>
  <si>
    <t>Embrasses de rideaux</t>
  </si>
  <si>
    <t>100726</t>
  </si>
  <si>
    <t>Venetian blinds</t>
  </si>
  <si>
    <t>Jalousies intérieures</t>
  </si>
  <si>
    <t>100727</t>
  </si>
  <si>
    <t>Door curtains</t>
  </si>
  <si>
    <t>Portières [rideaux]</t>
  </si>
  <si>
    <t>100728</t>
  </si>
  <si>
    <t>Curtains</t>
  </si>
  <si>
    <t>Rideaux [ameublement]</t>
  </si>
  <si>
    <t>100729</t>
  </si>
  <si>
    <t>Blinds [indoor]</t>
  </si>
  <si>
    <t>Stores intérieurs</t>
  </si>
  <si>
    <t>100730</t>
  </si>
  <si>
    <t>Shower curtains</t>
  </si>
  <si>
    <t>Rideaux de douche</t>
  </si>
  <si>
    <t>100731</t>
  </si>
  <si>
    <t>Mosquito nets [furnishing]</t>
  </si>
  <si>
    <t>Moustiquaires [ameublement]</t>
  </si>
  <si>
    <t>06-11</t>
  </si>
  <si>
    <t>100732</t>
  </si>
  <si>
    <t>CARPETS, MATS AND RUGS</t>
  </si>
  <si>
    <t>Floor rugs</t>
  </si>
  <si>
    <t>Carpettes</t>
  </si>
  <si>
    <t>100733</t>
  </si>
  <si>
    <t>Bedside rugs</t>
  </si>
  <si>
    <t>Descentes de lit</t>
  </si>
  <si>
    <t>100734</t>
  </si>
  <si>
    <t>Mats for automobiles</t>
  </si>
  <si>
    <t>Nattes pour automobiles</t>
  </si>
  <si>
    <t>100735</t>
  </si>
  <si>
    <t>Doormats</t>
  </si>
  <si>
    <t>Paillassons</t>
  </si>
  <si>
    <t>Nattes [paillassons]</t>
  </si>
  <si>
    <t>100736</t>
  </si>
  <si>
    <t>Rugs</t>
  </si>
  <si>
    <t>Tapis</t>
  </si>
  <si>
    <t>100737</t>
  </si>
  <si>
    <t>Carpets</t>
  </si>
  <si>
    <t>Tapis de sol</t>
  </si>
  <si>
    <t>100738</t>
  </si>
  <si>
    <t>Carpets for automobiles</t>
  </si>
  <si>
    <t>Tapis pour automobiles</t>
  </si>
  <si>
    <t>100739</t>
  </si>
  <si>
    <t>Anti-slip mats for bathtubs and shower trays</t>
  </si>
  <si>
    <t>Tapis antidérapants pour baignoires et bacs de douche</t>
  </si>
  <si>
    <t>100740</t>
  </si>
  <si>
    <t>Anti-slip carpets</t>
  </si>
  <si>
    <t>Carpettes antidérapantes</t>
  </si>
  <si>
    <t>100741</t>
  </si>
  <si>
    <t>Mats for sports</t>
  </si>
  <si>
    <t>Tapis de sport</t>
  </si>
  <si>
    <t>100742</t>
  </si>
  <si>
    <t>Bathroom mats</t>
  </si>
  <si>
    <t>Tapis de salle de bain</t>
  </si>
  <si>
    <t>06-12</t>
  </si>
  <si>
    <t>100743</t>
  </si>
  <si>
    <t>TAPESTRIES</t>
  </si>
  <si>
    <t>Tapestries [embroidered or woven]</t>
  </si>
  <si>
    <t>Tapisseries [brodées ou tissées]</t>
  </si>
  <si>
    <t>06-13</t>
  </si>
  <si>
    <t>100744</t>
  </si>
  <si>
    <t>BLANKETS AND OTHER COVERING MATERIALS, HOUSEHOLD LINEN AND NAPERY</t>
  </si>
  <si>
    <t>Drawsheets [for sick beds]</t>
  </si>
  <si>
    <t>Alèses</t>
  </si>
  <si>
    <t>Alaises</t>
  </si>
  <si>
    <t>100745</t>
  </si>
  <si>
    <t>Counterpanes</t>
  </si>
  <si>
    <t>Courtepointes</t>
  </si>
  <si>
    <t>100746</t>
  </si>
  <si>
    <t>Electric blankets</t>
  </si>
  <si>
    <t>Couvertures chauffantes</t>
  </si>
  <si>
    <t>100747</t>
  </si>
  <si>
    <t>Quilts</t>
  </si>
  <si>
    <t>Couvertures piquées</t>
  </si>
  <si>
    <t>100748</t>
  </si>
  <si>
    <t>Blankets</t>
  </si>
  <si>
    <t>Couvertures de lit</t>
  </si>
  <si>
    <t>100749</t>
  </si>
  <si>
    <t>Bedspreads</t>
  </si>
  <si>
    <t>Couvre-lits</t>
  </si>
  <si>
    <t>100750</t>
  </si>
  <si>
    <t>Bed sheets</t>
  </si>
  <si>
    <t>Draps de lit</t>
  </si>
  <si>
    <t>100751</t>
  </si>
  <si>
    <t>Eiderdowns</t>
  </si>
  <si>
    <t>Édredons</t>
  </si>
  <si>
    <t>100752</t>
  </si>
  <si>
    <t>Towels</t>
  </si>
  <si>
    <t>Serviettes de toilette</t>
  </si>
  <si>
    <t>100753</t>
  </si>
  <si>
    <t>Covers [loose] for furniture</t>
  </si>
  <si>
    <t>Housses de meubles</t>
  </si>
  <si>
    <t>Couvertures de meubles</t>
  </si>
  <si>
    <t>100754</t>
  </si>
  <si>
    <t>Covers for clothes</t>
  </si>
  <si>
    <t>Housses à vêtements</t>
  </si>
  <si>
    <t>100755</t>
  </si>
  <si>
    <t>Household linen</t>
  </si>
  <si>
    <t>Linge de maison</t>
  </si>
  <si>
    <t>100756</t>
  </si>
  <si>
    <t>Table linen</t>
  </si>
  <si>
    <t>Linge de table</t>
  </si>
  <si>
    <t>100757</t>
  </si>
  <si>
    <t>Doilies</t>
  </si>
  <si>
    <t>Dessus d'assiettes [petits napperons]</t>
  </si>
  <si>
    <t>100758</t>
  </si>
  <si>
    <t>Tablecloths</t>
  </si>
  <si>
    <t>Nappes</t>
  </si>
  <si>
    <t>100759</t>
  </si>
  <si>
    <t>Napkins [table linen]</t>
  </si>
  <si>
    <t>Serviettes [linge de table]</t>
  </si>
  <si>
    <t>100761</t>
  </si>
  <si>
    <t>Bath mitts</t>
  </si>
  <si>
    <t>Gants de toilette</t>
  </si>
  <si>
    <t>100762</t>
  </si>
  <si>
    <t>Divan covers</t>
  </si>
  <si>
    <t>Jetés de divan</t>
  </si>
  <si>
    <t>100763</t>
  </si>
  <si>
    <t>Gaming cloths [for tables]</t>
  </si>
  <si>
    <t>Tapis de jeu [pour tables]</t>
  </si>
  <si>
    <t>100764</t>
  </si>
  <si>
    <t>Table covers</t>
  </si>
  <si>
    <t>Tapis de table</t>
  </si>
  <si>
    <t>Couvertures de table</t>
  </si>
  <si>
    <t>100765</t>
  </si>
  <si>
    <t>Pillowcases</t>
  </si>
  <si>
    <t>Taies d'oreillers</t>
  </si>
  <si>
    <t>100766</t>
  </si>
  <si>
    <t>Mattress covers</t>
  </si>
  <si>
    <t>Couvre-matelas</t>
  </si>
  <si>
    <t>Housses pour matelas</t>
  </si>
  <si>
    <t>Protège-matelas</t>
  </si>
  <si>
    <t>100767</t>
  </si>
  <si>
    <t>Sleeping bags</t>
  </si>
  <si>
    <t>Sacs de couchage</t>
  </si>
  <si>
    <t>100768</t>
  </si>
  <si>
    <t>Table mats [place mats]</t>
  </si>
  <si>
    <t>Napperons individuels</t>
  </si>
  <si>
    <t>100769</t>
  </si>
  <si>
    <t>Pot holders</t>
  </si>
  <si>
    <t>Maniques</t>
  </si>
  <si>
    <t>100770</t>
  </si>
  <si>
    <t>Covers for vehicle seats</t>
  </si>
  <si>
    <t>Housses pour sièges de véhicules</t>
  </si>
  <si>
    <t>100771</t>
  </si>
  <si>
    <t>Cushion covers</t>
  </si>
  <si>
    <t>Housses de coussins</t>
  </si>
  <si>
    <t>100772</t>
  </si>
  <si>
    <t>Place mats</t>
  </si>
  <si>
    <t>Sets de table</t>
  </si>
  <si>
    <t>100774</t>
  </si>
  <si>
    <t>Head protection towels for massage tables</t>
  </si>
  <si>
    <t>Serviettes protège-tête pour tables de massage</t>
  </si>
  <si>
    <t>104721</t>
  </si>
  <si>
    <t>Duvets</t>
  </si>
  <si>
    <t>Couettes</t>
  </si>
  <si>
    <t>104722</t>
  </si>
  <si>
    <t>Duvet covers</t>
  </si>
  <si>
    <t>Housses de couette</t>
  </si>
  <si>
    <t>104723</t>
  </si>
  <si>
    <t>Baby sleeping bags</t>
  </si>
  <si>
    <t>Gigoteuses</t>
  </si>
  <si>
    <t>104724</t>
  </si>
  <si>
    <t>Crib bumpers</t>
  </si>
  <si>
    <t>Tours de lit</t>
  </si>
  <si>
    <t>104817</t>
  </si>
  <si>
    <t>Toilet lid covers</t>
  </si>
  <si>
    <t>Habillages pour abattants de W.-C.</t>
  </si>
  <si>
    <t>105066</t>
  </si>
  <si>
    <t>Funerary palls</t>
  </si>
  <si>
    <t>Draps funéraires</t>
  </si>
  <si>
    <t>06-99</t>
  </si>
  <si>
    <t>100775</t>
  </si>
  <si>
    <t>Stands for Christmas trees</t>
  </si>
  <si>
    <t>Pieds d'arbres de Noël</t>
  </si>
  <si>
    <t>100776</t>
  </si>
  <si>
    <t>Blanket supports [protective cradles for raising bedclothes]</t>
  </si>
  <si>
    <t>Supports pour tenir draps et couvertures surélevés au pied des lits</t>
  </si>
  <si>
    <t>Protective cradles for raising bedclothes [blanket supports]</t>
  </si>
  <si>
    <t>100777</t>
  </si>
  <si>
    <t>Straps for securing bed sheets</t>
  </si>
  <si>
    <t>Sangles pour maintenir les draps</t>
  </si>
  <si>
    <t>07</t>
  </si>
  <si>
    <t>07-01</t>
  </si>
  <si>
    <t>100778</t>
  </si>
  <si>
    <t>Artículos domésticos no especificados en otra parte: Incluye utensilios y electrodomésticos manuales, incluso si son motorizados.</t>
  </si>
  <si>
    <t>HOUSEHOLD GOODS, NOT ELSEWHERE SPECIFIED</t>
  </si>
  <si>
    <t>a.  Including household appliances and utensils operated by hand, even if motor driven.
b.  Not including machines and appliances for preparing food and drink (Cl. 31).</t>
  </si>
  <si>
    <t>CHINA, GLASSWARE, DISHES AND OTHER ARTICLES OF A SIMILAR NATURE</t>
  </si>
  <si>
    <t>Goglets [water coolers]</t>
  </si>
  <si>
    <t>Alcarazas</t>
  </si>
  <si>
    <t>100779</t>
  </si>
  <si>
    <t>Plates [dishes]</t>
  </si>
  <si>
    <t>Assiettes</t>
  </si>
  <si>
    <t>100780</t>
  </si>
  <si>
    <t>Oyster dishes</t>
  </si>
  <si>
    <t>Assiettes à huîtres</t>
  </si>
  <si>
    <t>100781</t>
  </si>
  <si>
    <t>Warming dishes</t>
  </si>
  <si>
    <t>Assiettes chauffantes</t>
  </si>
  <si>
    <t>100782</t>
  </si>
  <si>
    <t>Butter dishes</t>
  </si>
  <si>
    <t>Beurriers</t>
  </si>
  <si>
    <t>100783</t>
  </si>
  <si>
    <t>Feeding bottles for infants</t>
  </si>
  <si>
    <t>Biberons</t>
  </si>
  <si>
    <t>Nursing bottles</t>
  </si>
  <si>
    <t>100784</t>
  </si>
  <si>
    <t>Jars [except packaging]</t>
  </si>
  <si>
    <t>Bocaux [à l'exception des emballages]</t>
  </si>
  <si>
    <t>100785</t>
  </si>
  <si>
    <t>Bowls</t>
  </si>
  <si>
    <t>Bols</t>
  </si>
  <si>
    <t>Jattes</t>
  </si>
  <si>
    <t>100786</t>
  </si>
  <si>
    <t>Dishes for sweetmeats</t>
  </si>
  <si>
    <t>Bonbonnières</t>
  </si>
  <si>
    <t>100788</t>
  </si>
  <si>
    <t>Coffee services</t>
  </si>
  <si>
    <t>Services à café</t>
  </si>
  <si>
    <t>100789</t>
  </si>
  <si>
    <t>Water jugs</t>
  </si>
  <si>
    <t>Carafes</t>
  </si>
  <si>
    <t>100790</t>
  </si>
  <si>
    <t>Beer mugs</t>
  </si>
  <si>
    <t>Chopes</t>
  </si>
  <si>
    <t>Steins</t>
  </si>
  <si>
    <t>Bocks [verres à bière]</t>
  </si>
  <si>
    <t>100791</t>
  </si>
  <si>
    <t>Cheese dish covers</t>
  </si>
  <si>
    <t>Cloches à fromage</t>
  </si>
  <si>
    <t>100792</t>
  </si>
  <si>
    <t>Fruit dishes</t>
  </si>
  <si>
    <t>Compotiers</t>
  </si>
  <si>
    <t>100793</t>
  </si>
  <si>
    <t>Egg-cups</t>
  </si>
  <si>
    <t>Coquetiers</t>
  </si>
  <si>
    <t>100794</t>
  </si>
  <si>
    <t>Ice cream goblets</t>
  </si>
  <si>
    <t>Coupes à glace</t>
  </si>
  <si>
    <t>100795</t>
  </si>
  <si>
    <t>Cream jugs</t>
  </si>
  <si>
    <t>Crémiers</t>
  </si>
  <si>
    <t>100796</t>
  </si>
  <si>
    <t>Jugs</t>
  </si>
  <si>
    <t>Cruchons</t>
  </si>
  <si>
    <t>100797</t>
  </si>
  <si>
    <t>Mess tins</t>
  </si>
  <si>
    <t>Gamelles</t>
  </si>
  <si>
    <t>100798</t>
  </si>
  <si>
    <t>Water coolers</t>
  </si>
  <si>
    <t>Gargoulettes</t>
  </si>
  <si>
    <t>100799</t>
  </si>
  <si>
    <t>Shakers</t>
  </si>
  <si>
    <t>Mélangeurs manuels [shakers]</t>
  </si>
  <si>
    <t>100800</t>
  </si>
  <si>
    <t>Vegetable dishes</t>
  </si>
  <si>
    <t>Légumiers [plats]</t>
  </si>
  <si>
    <t>100801</t>
  </si>
  <si>
    <t>Pitchers</t>
  </si>
  <si>
    <t>Cruches</t>
  </si>
  <si>
    <t>Brocs</t>
  </si>
  <si>
    <t>Pichets</t>
  </si>
  <si>
    <t>100802</t>
  </si>
  <si>
    <t>Cheese platters</t>
  </si>
  <si>
    <t>Plateaux à fromage</t>
  </si>
  <si>
    <t>Cheese boards</t>
  </si>
  <si>
    <t>100803</t>
  </si>
  <si>
    <t>Dishes</t>
  </si>
  <si>
    <t>Plats</t>
  </si>
  <si>
    <t>100804</t>
  </si>
  <si>
    <t>China [tableware]</t>
  </si>
  <si>
    <t>Porcelaines [vaisselle]</t>
  </si>
  <si>
    <t>100805</t>
  </si>
  <si>
    <t>Pots [household]</t>
  </si>
  <si>
    <t>Pots [vaisselle]</t>
  </si>
  <si>
    <t>100806</t>
  </si>
  <si>
    <t>Coolers for butter</t>
  </si>
  <si>
    <t>Beurriers-rafraîchisseurs</t>
  </si>
  <si>
    <t>100807</t>
  </si>
  <si>
    <t>Coolers [household]</t>
  </si>
  <si>
    <t>Rafraîchissoirs [ménage]</t>
  </si>
  <si>
    <t>100808</t>
  </si>
  <si>
    <t>Coolers for wine</t>
  </si>
  <si>
    <t>Rafraîchissoirs pour le vin</t>
  </si>
  <si>
    <t>100809</t>
  </si>
  <si>
    <t>Hors d'œuvre dishes</t>
  </si>
  <si>
    <t>Raviers</t>
  </si>
  <si>
    <t>100810</t>
  </si>
  <si>
    <t>Coolers for caviar</t>
  </si>
  <si>
    <t>Rafraîchisseurs de caviar</t>
  </si>
  <si>
    <t>100811</t>
  </si>
  <si>
    <t>Salad bowls</t>
  </si>
  <si>
    <t>Saladiers</t>
  </si>
  <si>
    <t>100812</t>
  </si>
  <si>
    <t>Sauce boats</t>
  </si>
  <si>
    <t>Saucières</t>
  </si>
  <si>
    <t>100813</t>
  </si>
  <si>
    <t>Tea services</t>
  </si>
  <si>
    <t>Services à thé</t>
  </si>
  <si>
    <t>100814</t>
  </si>
  <si>
    <t>Siphons [for carbonated water]</t>
  </si>
  <si>
    <t>Siphons [pour eaux gazeuses]</t>
  </si>
  <si>
    <t>100815</t>
  </si>
  <si>
    <t>Saucers</t>
  </si>
  <si>
    <t>Soucoupes</t>
  </si>
  <si>
    <t>100816</t>
  </si>
  <si>
    <t>Soup tureens</t>
  </si>
  <si>
    <t>Soupières</t>
  </si>
  <si>
    <t>100817</t>
  </si>
  <si>
    <t>Cups</t>
  </si>
  <si>
    <t>Tasses</t>
  </si>
  <si>
    <t>100818</t>
  </si>
  <si>
    <t>Wine-tasting glasses</t>
  </si>
  <si>
    <t>Tâte-vin [coupes]</t>
  </si>
  <si>
    <t>100819</t>
  </si>
  <si>
    <t>Wine-tasters [siphons]</t>
  </si>
  <si>
    <t>Tâte-vin [pipettes]</t>
  </si>
  <si>
    <t>100820</t>
  </si>
  <si>
    <t>Terrines [earthenware pots]</t>
  </si>
  <si>
    <t>Terrines</t>
  </si>
  <si>
    <t>100821</t>
  </si>
  <si>
    <t>Teapots</t>
  </si>
  <si>
    <t>Théières</t>
  </si>
  <si>
    <t>100822</t>
  </si>
  <si>
    <t>Plates and dishes [except purely ornamental]</t>
  </si>
  <si>
    <t>Vaisselle [autre que purement ornementale]</t>
  </si>
  <si>
    <t>100823</t>
  </si>
  <si>
    <t>Drinking glasses</t>
  </si>
  <si>
    <t>Verres à boire</t>
  </si>
  <si>
    <t>100824</t>
  </si>
  <si>
    <t>Goblets</t>
  </si>
  <si>
    <t>Verres à pied</t>
  </si>
  <si>
    <t>Stemware</t>
  </si>
  <si>
    <t>100825</t>
  </si>
  <si>
    <t>Coffee pots</t>
  </si>
  <si>
    <t>Cafetières [verseuses]</t>
  </si>
  <si>
    <t>100827</t>
  </si>
  <si>
    <t>Finger bowls</t>
  </si>
  <si>
    <t>Rince-doigts</t>
  </si>
  <si>
    <t>100828</t>
  </si>
  <si>
    <t>Drinking cups</t>
  </si>
  <si>
    <t>Timbales [gobelets de métal]</t>
  </si>
  <si>
    <t>100829</t>
  </si>
  <si>
    <t>Beakers</t>
  </si>
  <si>
    <t>Gobelets</t>
  </si>
  <si>
    <t>Tumblers</t>
  </si>
  <si>
    <t>100830</t>
  </si>
  <si>
    <t>Butter dish covers</t>
  </si>
  <si>
    <t>Cloches à beurre</t>
  </si>
  <si>
    <t>100831</t>
  </si>
  <si>
    <t>Lids for jars</t>
  </si>
  <si>
    <t>Couvercles de bocaux</t>
  </si>
  <si>
    <t>100832</t>
  </si>
  <si>
    <t>Ice pails</t>
  </si>
  <si>
    <t>Seaux à glace</t>
  </si>
  <si>
    <t>Ice buckets</t>
  </si>
  <si>
    <t>100833</t>
  </si>
  <si>
    <t>Teats for feeding bottles</t>
  </si>
  <si>
    <t>Tétines de biberons</t>
  </si>
  <si>
    <t>100834</t>
  </si>
  <si>
    <t>Preserve jars</t>
  </si>
  <si>
    <t>Verres à conserves</t>
  </si>
  <si>
    <t>100835</t>
  </si>
  <si>
    <t>Cabarets [trays]</t>
  </si>
  <si>
    <t>Cabarets [plateaux à servir]</t>
  </si>
  <si>
    <t>100836</t>
  </si>
  <si>
    <t>Carafons</t>
  </si>
  <si>
    <t>100837</t>
  </si>
  <si>
    <t>Services [tableware]</t>
  </si>
  <si>
    <t>Services [vaisselle]</t>
  </si>
  <si>
    <t>100838</t>
  </si>
  <si>
    <t>Fruit bowls</t>
  </si>
  <si>
    <t>Coupes à fruits</t>
  </si>
  <si>
    <t>100840</t>
  </si>
  <si>
    <t>Champagne buckets</t>
  </si>
  <si>
    <t>Seaux à champagne</t>
  </si>
  <si>
    <t>100841</t>
  </si>
  <si>
    <t>Drinking bowls</t>
  </si>
  <si>
    <t>Bols à boire</t>
  </si>
  <si>
    <t>100842</t>
  </si>
  <si>
    <t>Lids for drinking vessels</t>
  </si>
  <si>
    <t>Couvercles pour récipients à boire</t>
  </si>
  <si>
    <t>100843</t>
  </si>
  <si>
    <t>Tea glasses</t>
  </si>
  <si>
    <t>Verres à thé</t>
  </si>
  <si>
    <t>104725</t>
  </si>
  <si>
    <t>Mugs</t>
  </si>
  <si>
    <t>104726</t>
  </si>
  <si>
    <t>Disposable drinking cups</t>
  </si>
  <si>
    <t>Tasses jetables</t>
  </si>
  <si>
    <t>104727</t>
  </si>
  <si>
    <t>Disposable drinking glasses</t>
  </si>
  <si>
    <t>Verres jetables</t>
  </si>
  <si>
    <t>104728</t>
  </si>
  <si>
    <t>Disposable plates [dishes]</t>
  </si>
  <si>
    <t>Assiettes jetables</t>
  </si>
  <si>
    <t>104861</t>
  </si>
  <si>
    <t>Baby feeding dummies</t>
  </si>
  <si>
    <t>Tétines d'alimentation pour bébés</t>
  </si>
  <si>
    <t>101007</t>
  </si>
  <si>
    <t>Sugar bowls</t>
  </si>
  <si>
    <t>Sucriers de table</t>
  </si>
  <si>
    <t>105067</t>
  </si>
  <si>
    <t>Wine decanters</t>
  </si>
  <si>
    <t>Carafes à vin</t>
  </si>
  <si>
    <t>105068</t>
  </si>
  <si>
    <t>Water filter jugs</t>
  </si>
  <si>
    <t>Carafes filtrantes pour l'eau</t>
  </si>
  <si>
    <t>07-02</t>
  </si>
  <si>
    <t>100844</t>
  </si>
  <si>
    <t>COOKING APPLIANCES, UTENSILS AND CONTAINERS</t>
  </si>
  <si>
    <t>Alcohol burners for cooking</t>
  </si>
  <si>
    <t>Réchauds à alcool pour cuisson</t>
  </si>
  <si>
    <t>100845</t>
  </si>
  <si>
    <t>Kettles</t>
  </si>
  <si>
    <t>Bouilloires</t>
  </si>
  <si>
    <t>100846</t>
  </si>
  <si>
    <t>Tea infusers</t>
  </si>
  <si>
    <t>Cuillers pour infusions</t>
  </si>
  <si>
    <t>Boules à thé</t>
  </si>
  <si>
    <t>100847</t>
  </si>
  <si>
    <t>Meat skewers</t>
  </si>
  <si>
    <t>Broches à viande</t>
  </si>
  <si>
    <t>100848</t>
  </si>
  <si>
    <t>Coffee roasters [household]</t>
  </si>
  <si>
    <t>Brûloirs à café [ménage]</t>
  </si>
  <si>
    <t>100849</t>
  </si>
  <si>
    <t>Espresso coffee machines</t>
  </si>
  <si>
    <t>Machines à café expresso</t>
  </si>
  <si>
    <t>100850</t>
  </si>
  <si>
    <t>Saucepans</t>
  </si>
  <si>
    <t>Casseroles</t>
  </si>
  <si>
    <t>100851</t>
  </si>
  <si>
    <t>Cauldrons</t>
  </si>
  <si>
    <t>Chaudrons</t>
  </si>
  <si>
    <t>100852</t>
  </si>
  <si>
    <t>Cooking pans</t>
  </si>
  <si>
    <t>Cocottes à cuire</t>
  </si>
  <si>
    <t>100853</t>
  </si>
  <si>
    <t>Lids for kitchen utensils</t>
  </si>
  <si>
    <t>Couvercles d'ustensiles de cuisine</t>
  </si>
  <si>
    <t>100854</t>
  </si>
  <si>
    <t>Cooking stoves</t>
  </si>
  <si>
    <t>Cuisinières</t>
  </si>
  <si>
    <t>Cookers</t>
  </si>
  <si>
    <t>100855</t>
  </si>
  <si>
    <t>Cooking stoves for camping</t>
  </si>
  <si>
    <t>Cuisinières de camping</t>
  </si>
  <si>
    <t>100856</t>
  </si>
  <si>
    <t>Cooking appliances, utensils and containers</t>
  </si>
  <si>
    <t>Appareils, ustensiles et récipients pour la cuisson</t>
  </si>
  <si>
    <t>100857</t>
  </si>
  <si>
    <t>Stewpans</t>
  </si>
  <si>
    <t>Fait-tout</t>
  </si>
  <si>
    <t>100858</t>
  </si>
  <si>
    <t>Baking sheets</t>
  </si>
  <si>
    <t>Plaques à pâtisserie</t>
  </si>
  <si>
    <t>100859</t>
  </si>
  <si>
    <t>Moulds for baking or confectionery</t>
  </si>
  <si>
    <t>Moules pour la pâtisserie ou la confiserie</t>
  </si>
  <si>
    <t>Molds for baking or confectionery</t>
  </si>
  <si>
    <t>100860</t>
  </si>
  <si>
    <t>Kitchen stoves</t>
  </si>
  <si>
    <t>Fourneaux de cuisine</t>
  </si>
  <si>
    <t>100861</t>
  </si>
  <si>
    <t>Ovens [cooking]</t>
  </si>
  <si>
    <t>Fours de cuisine</t>
  </si>
  <si>
    <t>100862</t>
  </si>
  <si>
    <t>Waffle irons</t>
  </si>
  <si>
    <t>Gaufriers</t>
  </si>
  <si>
    <t>100863</t>
  </si>
  <si>
    <t>Nut roasters</t>
  </si>
  <si>
    <t>Grille-noix</t>
  </si>
  <si>
    <t>100864</t>
  </si>
  <si>
    <t>Toasters</t>
  </si>
  <si>
    <t>Grille-pain</t>
  </si>
  <si>
    <t>Toasteurs</t>
  </si>
  <si>
    <t>100865</t>
  </si>
  <si>
    <t>Electric grills</t>
  </si>
  <si>
    <t>Grils électriques</t>
  </si>
  <si>
    <t>100866</t>
  </si>
  <si>
    <t>Grills</t>
  </si>
  <si>
    <t>Grils</t>
  </si>
  <si>
    <t>100867</t>
  </si>
  <si>
    <t>Dripping pans</t>
  </si>
  <si>
    <t>Lèchefrites</t>
  </si>
  <si>
    <t>100868</t>
  </si>
  <si>
    <t>Ladles for kitchen use</t>
  </si>
  <si>
    <t>Louches de cuisine</t>
  </si>
  <si>
    <t>100869</t>
  </si>
  <si>
    <t>Pressure cookers [autoclaves]</t>
  </si>
  <si>
    <t>Marmites autoclaves</t>
  </si>
  <si>
    <t>Autocuiseurs</t>
  </si>
  <si>
    <t>100870</t>
  </si>
  <si>
    <t>Cooking pots [including for camping]</t>
  </si>
  <si>
    <t>Marmites [y compris de camping]</t>
  </si>
  <si>
    <t>100871</t>
  </si>
  <si>
    <t>Coffee percolators</t>
  </si>
  <si>
    <t>Percolateurs</t>
  </si>
  <si>
    <t>100872</t>
  </si>
  <si>
    <t>Heating plates for cooking stoves</t>
  </si>
  <si>
    <t>Plaques chauffantes pour cuisinières</t>
  </si>
  <si>
    <t>100873</t>
  </si>
  <si>
    <t>Poêlons</t>
  </si>
  <si>
    <t>100874</t>
  </si>
  <si>
    <t>Popcorn pans</t>
  </si>
  <si>
    <t>Poêles à préparer le pop-corn</t>
  </si>
  <si>
    <t>100875</t>
  </si>
  <si>
    <t>Cooking plates</t>
  </si>
  <si>
    <t>Plaques de cuisson</t>
  </si>
  <si>
    <t>100876</t>
  </si>
  <si>
    <t>Spit-roasting apparatus</t>
  </si>
  <si>
    <t>Rôtissoires</t>
  </si>
  <si>
    <t>100877</t>
  </si>
  <si>
    <t>Frying pans</t>
  </si>
  <si>
    <t>Poêles à frire</t>
  </si>
  <si>
    <t>Sauté pans</t>
  </si>
  <si>
    <t>Sauteuses [cuisine]</t>
  </si>
  <si>
    <t>100878</t>
  </si>
  <si>
    <t>Roasting spits</t>
  </si>
  <si>
    <t>Tournebroches</t>
  </si>
  <si>
    <t>100879</t>
  </si>
  <si>
    <t>Handles for saucepans [removable]</t>
  </si>
  <si>
    <t>Poignées de casseroles [amovibles]</t>
  </si>
  <si>
    <t>100881</t>
  </si>
  <si>
    <t>Baby-bottle warmers</t>
  </si>
  <si>
    <t>Chauffe-biberons</t>
  </si>
  <si>
    <t>100882</t>
  </si>
  <si>
    <t>Bottle warmers</t>
  </si>
  <si>
    <t>Chauffe-bouteilles</t>
  </si>
  <si>
    <t>100883</t>
  </si>
  <si>
    <t>Discs to prevent milk boiling over</t>
  </si>
  <si>
    <t>Disques pour empêcher le lait de déborder</t>
  </si>
  <si>
    <t>100884</t>
  </si>
  <si>
    <t>Deep fryers</t>
  </si>
  <si>
    <t>Friteuses</t>
  </si>
  <si>
    <t>100885</t>
  </si>
  <si>
    <t>Transparent doors for ovens</t>
  </si>
  <si>
    <t>Hublots de cuisinières</t>
  </si>
  <si>
    <t>100886</t>
  </si>
  <si>
    <t>Saucepan handles</t>
  </si>
  <si>
    <t>Manches de casseroles</t>
  </si>
  <si>
    <t>100887</t>
  </si>
  <si>
    <t>Cookery moulds</t>
  </si>
  <si>
    <t>Moules de cuisine</t>
  </si>
  <si>
    <t>Cookery molds</t>
  </si>
  <si>
    <t>100888</t>
  </si>
  <si>
    <t>Immersion heaters</t>
  </si>
  <si>
    <t>Thermoplongeurs</t>
  </si>
  <si>
    <t>100889</t>
  </si>
  <si>
    <t>Tart pans</t>
  </si>
  <si>
    <t>Tôles à tartes</t>
  </si>
  <si>
    <t>100890</t>
  </si>
  <si>
    <t>Food warmers for table use</t>
  </si>
  <si>
    <t>Réchauds de table</t>
  </si>
  <si>
    <t>100891</t>
  </si>
  <si>
    <t>Microwave ovens</t>
  </si>
  <si>
    <t>Fours à micro-ondes</t>
  </si>
  <si>
    <t>100892</t>
  </si>
  <si>
    <t>Tea filters [except machine parts]</t>
  </si>
  <si>
    <t>Filtres à thé [à l'exception des parties de machines]</t>
  </si>
  <si>
    <t>100893</t>
  </si>
  <si>
    <t>Coffee makers</t>
  </si>
  <si>
    <t>Cafetières pour la préparation du café</t>
  </si>
  <si>
    <t>100894</t>
  </si>
  <si>
    <t>Coffee filters [except machine parts]</t>
  </si>
  <si>
    <t>Filtres à café [à l'exception des parties de machines]</t>
  </si>
  <si>
    <t>100895</t>
  </si>
  <si>
    <t>Barbecues</t>
  </si>
  <si>
    <t>100896</t>
  </si>
  <si>
    <t>Electric teapots</t>
  </si>
  <si>
    <t>Théières électriques</t>
  </si>
  <si>
    <t>100897</t>
  </si>
  <si>
    <t>Woks</t>
  </si>
  <si>
    <t>100898</t>
  </si>
  <si>
    <t>Barbecue toolsets</t>
  </si>
  <si>
    <t>Ustensiles pour barbecues</t>
  </si>
  <si>
    <t>100899</t>
  </si>
  <si>
    <t>Egg boilers</t>
  </si>
  <si>
    <t>Cuiseurs d'œufs</t>
  </si>
  <si>
    <t>100900</t>
  </si>
  <si>
    <t>Fondue pots</t>
  </si>
  <si>
    <t>Caquelons à fondue</t>
  </si>
  <si>
    <t>104596</t>
  </si>
  <si>
    <t>Cooking dishes</t>
  </si>
  <si>
    <t>Plats de cuisson</t>
  </si>
  <si>
    <t>104729</t>
  </si>
  <si>
    <t>Rice cookers</t>
  </si>
  <si>
    <t>Cuiseurs à riz</t>
  </si>
  <si>
    <t>104950</t>
  </si>
  <si>
    <t>Basting spoons [cooking utensils]</t>
  </si>
  <si>
    <t>Cuillères pour arroser la viande [ustensiles de cuisson]</t>
  </si>
  <si>
    <t>104951</t>
  </si>
  <si>
    <t>Disposable coffee filters</t>
  </si>
  <si>
    <t>Filtres à café jetables</t>
  </si>
  <si>
    <t>105069</t>
  </si>
  <si>
    <t>Air fryers</t>
  </si>
  <si>
    <t>Friteuses à air</t>
  </si>
  <si>
    <t>105070</t>
  </si>
  <si>
    <t>Bulb basters</t>
  </si>
  <si>
    <t>Poires à jus</t>
  </si>
  <si>
    <t>07-03</t>
  </si>
  <si>
    <t>100901</t>
  </si>
  <si>
    <t>Table cutlery</t>
  </si>
  <si>
    <t>Spoons</t>
  </si>
  <si>
    <t>Cuillers</t>
  </si>
  <si>
    <t>100902</t>
  </si>
  <si>
    <t>Table forks</t>
  </si>
  <si>
    <t>Fourchettes</t>
  </si>
  <si>
    <t>100903</t>
  </si>
  <si>
    <t>Handles for table cutlery</t>
  </si>
  <si>
    <t>Manches de couverts de table</t>
  </si>
  <si>
    <t>100904</t>
  </si>
  <si>
    <t>Carving sets</t>
  </si>
  <si>
    <t>Services à découper la volaille</t>
  </si>
  <si>
    <t>100905</t>
  </si>
  <si>
    <t>Table knives</t>
  </si>
  <si>
    <t>Couteaux de table</t>
  </si>
  <si>
    <t>100906</t>
  </si>
  <si>
    <t>Oyster openers</t>
  </si>
  <si>
    <t>Ouvre-huîtres</t>
  </si>
  <si>
    <t>100907</t>
  </si>
  <si>
    <t>Salad servers</t>
  </si>
  <si>
    <t>Services à salade</t>
  </si>
  <si>
    <t>100908</t>
  </si>
  <si>
    <t>Butter knives</t>
  </si>
  <si>
    <t>Couteaux à beurre</t>
  </si>
  <si>
    <t>100909</t>
  </si>
  <si>
    <t>Cheese knives</t>
  </si>
  <si>
    <t>Couteaux à fromage</t>
  </si>
  <si>
    <t>100910</t>
  </si>
  <si>
    <t>Ferrules for table knives</t>
  </si>
  <si>
    <t>Viroles de couteaux de table</t>
  </si>
  <si>
    <t>100911</t>
  </si>
  <si>
    <t>Chopsticks</t>
  </si>
  <si>
    <t>Baguettes de table</t>
  </si>
  <si>
    <t>105072</t>
  </si>
  <si>
    <t>Crab cutlery</t>
  </si>
  <si>
    <t>Couverts à crabe</t>
  </si>
  <si>
    <t>07-04</t>
  </si>
  <si>
    <t>100912</t>
  </si>
  <si>
    <t>APPLIANCES AND UTENSILS, HAND-OPERATED, FOR PREPARING FOOD OR DRINK</t>
  </si>
  <si>
    <t>Spice mills, non-electric</t>
  </si>
  <si>
    <t>Moulins à épices, non électriques</t>
  </si>
  <si>
    <t>100913</t>
  </si>
  <si>
    <t>Spatulas for cooking</t>
  </si>
  <si>
    <t>Spatules de cuisine</t>
  </si>
  <si>
    <t>100914</t>
  </si>
  <si>
    <t>Yogurt makers [household]</t>
  </si>
  <si>
    <t>Yaourtières [articles ménagers]</t>
  </si>
  <si>
    <t>Yoghurt makers [household]</t>
  </si>
  <si>
    <t>100915</t>
  </si>
  <si>
    <t>Meat tenderizers</t>
  </si>
  <si>
    <t>Attendrisseurs de viande</t>
  </si>
  <si>
    <t>100916</t>
  </si>
  <si>
    <t>Butter churns</t>
  </si>
  <si>
    <t>Barattes</t>
  </si>
  <si>
    <t>100917</t>
  </si>
  <si>
    <t>Beaters for kitchen use, non-electric</t>
  </si>
  <si>
    <t>Batteurs de cuisine non électriques</t>
  </si>
  <si>
    <t>100918</t>
  </si>
  <si>
    <t>Appliances, hand-operated, for preparing drinks</t>
  </si>
  <si>
    <t>Appareils, actionnés manuellement, pour préparer les boissons</t>
  </si>
  <si>
    <t>100919</t>
  </si>
  <si>
    <t>Kitchen grinders, non-electric</t>
  </si>
  <si>
    <t>Moulins de cuisine non électriques</t>
  </si>
  <si>
    <t>100920</t>
  </si>
  <si>
    <t>Fruit stoners [household]</t>
  </si>
  <si>
    <t>Dénoyauteurs</t>
  </si>
  <si>
    <t>100921</t>
  </si>
  <si>
    <t>Poultry shears</t>
  </si>
  <si>
    <t>Ciseaux à découper la volaille</t>
  </si>
  <si>
    <t>100922</t>
  </si>
  <si>
    <t>Potato chippers, non-electric</t>
  </si>
  <si>
    <t>Coupe-frites, non électriques</t>
  </si>
  <si>
    <t>French-fry cutters, non-electric</t>
  </si>
  <si>
    <t>100923</t>
  </si>
  <si>
    <t>Vegetable slicers, non-electric [household]</t>
  </si>
  <si>
    <t>Coupe-légumes de ménage, non électriques</t>
  </si>
  <si>
    <t>100924</t>
  </si>
  <si>
    <t>Egg slicers</t>
  </si>
  <si>
    <t>Coupe-œufs</t>
  </si>
  <si>
    <t>100925</t>
  </si>
  <si>
    <t>Onion choppers, non-electric</t>
  </si>
  <si>
    <t>Coupe-oignons, non électriques</t>
  </si>
  <si>
    <t>100926</t>
  </si>
  <si>
    <t>Bread slicers, non-electric</t>
  </si>
  <si>
    <t>Coupe-pain, non électriques</t>
  </si>
  <si>
    <t>100927</t>
  </si>
  <si>
    <t>Corers, hand-operated</t>
  </si>
  <si>
    <t>Vide-pommes actionnés manuellement</t>
  </si>
  <si>
    <t>100928</t>
  </si>
  <si>
    <t>Fish scalers</t>
  </si>
  <si>
    <t>Écailleurs de poissons</t>
  </si>
  <si>
    <t>100929</t>
  </si>
  <si>
    <t>Emulsifiers, non-electric, for cream</t>
  </si>
  <si>
    <t>Émulseurs de crème, non électriques</t>
  </si>
  <si>
    <t>100930</t>
  </si>
  <si>
    <t>Peelers, hand-operated [household]</t>
  </si>
  <si>
    <t>Éplucheuses actionnées manuellement</t>
  </si>
  <si>
    <t>100931</t>
  </si>
  <si>
    <t>Salad spinners</t>
  </si>
  <si>
    <t>Essoreuses à salade</t>
  </si>
  <si>
    <t>100932</t>
  </si>
  <si>
    <t>Fruit juice extractors non-electric [household]</t>
  </si>
  <si>
    <t>Extracteurs de jus de fruits, non électriques [ménage]</t>
  </si>
  <si>
    <t>100933</t>
  </si>
  <si>
    <t>Whisks [kitchen utensils]</t>
  </si>
  <si>
    <t>Fouets [ustensiles de cuisine]</t>
  </si>
  <si>
    <t>100934</t>
  </si>
  <si>
    <t>Chopping devices, non-electric [household]</t>
  </si>
  <si>
    <t>Dispositifs à hacher, non électriques [articles ménagers]</t>
  </si>
  <si>
    <t>Mincing devices, non-electric [household]</t>
  </si>
  <si>
    <t>Dispositifs à émincer, non électriques [articles ménagers]</t>
  </si>
  <si>
    <t>100935</t>
  </si>
  <si>
    <t>Mixers, hand-operated [household]</t>
  </si>
  <si>
    <t>Mixeurs actionnés manuellement [articles ménagers]</t>
  </si>
  <si>
    <t>Hachoirs-broyeurs [mixeurs] actionnés manuellement [articles ménagers]</t>
  </si>
  <si>
    <t>Malaxeurs actionnés manuellement [articles ménagers]</t>
  </si>
  <si>
    <t>100936</t>
  </si>
  <si>
    <t>Hammers for tenderizing meat</t>
  </si>
  <si>
    <t>Marteaux à viande</t>
  </si>
  <si>
    <t>100937</t>
  </si>
  <si>
    <t>Coffee grinders, non-electric [household]</t>
  </si>
  <si>
    <t>Moulins à café de ménage, non électriques</t>
  </si>
  <si>
    <t>100938</t>
  </si>
  <si>
    <t>Crushers for kitchen use, non-electric</t>
  </si>
  <si>
    <t>Broyeurs de cuisine non électriques</t>
  </si>
  <si>
    <t>100939</t>
  </si>
  <si>
    <t>Colanders</t>
  </si>
  <si>
    <t>Passoires</t>
  </si>
  <si>
    <t>100940</t>
  </si>
  <si>
    <t>Chopping boards [household]</t>
  </si>
  <si>
    <t>Planches à hacher [articles ménagers]</t>
  </si>
  <si>
    <t>100941</t>
  </si>
  <si>
    <t>Bread boards</t>
  </si>
  <si>
    <t>Planches à pain</t>
  </si>
  <si>
    <t>100942</t>
  </si>
  <si>
    <t>Lemon squeezers</t>
  </si>
  <si>
    <t>Presse-citrons</t>
  </si>
  <si>
    <t>100943</t>
  </si>
  <si>
    <t>Fruit squeezers, hand-operated</t>
  </si>
  <si>
    <t>Presse-fruits actionnés manuellement</t>
  </si>
  <si>
    <t>100944</t>
  </si>
  <si>
    <t>Fruit or vegetable juice extractors, hand-operated [household]</t>
  </si>
  <si>
    <t>Presses à fruits ou à légumes, actionnées manuellement [ménage]</t>
  </si>
  <si>
    <t>100945</t>
  </si>
  <si>
    <t>Graters [household]</t>
  </si>
  <si>
    <t>Râpes [ménage]</t>
  </si>
  <si>
    <t>100946</t>
  </si>
  <si>
    <t>Vessels for making ice cream, non-electric</t>
  </si>
  <si>
    <t>Sorbetières, non électriques</t>
  </si>
  <si>
    <t>100947</t>
  </si>
  <si>
    <t>Cutting boards [household]</t>
  </si>
  <si>
    <t>Planches à découper [articles ménagers]</t>
  </si>
  <si>
    <t>100948</t>
  </si>
  <si>
    <t>Strainers [household]</t>
  </si>
  <si>
    <t>Chinois [articles ménagers]</t>
  </si>
  <si>
    <t>100949</t>
  </si>
  <si>
    <t>Meat chopping blocks</t>
  </si>
  <si>
    <t>Billots de boucher</t>
  </si>
  <si>
    <t>100950</t>
  </si>
  <si>
    <t>Sifters [household]</t>
  </si>
  <si>
    <t>Tamis [articles ménagers]</t>
  </si>
  <si>
    <t>100951</t>
  </si>
  <si>
    <t>Cookie cutters</t>
  </si>
  <si>
    <t>Emporte-pièces pour la pâtisserie</t>
  </si>
  <si>
    <t>100952</t>
  </si>
  <si>
    <t>Baskets for washing vegetables</t>
  </si>
  <si>
    <t>Paniers pour laver les légumes</t>
  </si>
  <si>
    <t>100953</t>
  </si>
  <si>
    <t>Icing syringes [confectionery]</t>
  </si>
  <si>
    <t>Pistons à décorer [pâtisserie]</t>
  </si>
  <si>
    <t>100954</t>
  </si>
  <si>
    <t>Cabbage shredders, hand-operated [household]</t>
  </si>
  <si>
    <t>Rabots à couper les choux, actionnés manuellement [ménage]</t>
  </si>
  <si>
    <t>100955</t>
  </si>
  <si>
    <t>Rolling pins</t>
  </si>
  <si>
    <t>Rouleaux à pâte</t>
  </si>
  <si>
    <t>100956</t>
  </si>
  <si>
    <t>Dough scrapers</t>
  </si>
  <si>
    <t>Racloirs à pâte</t>
  </si>
  <si>
    <t>100957</t>
  </si>
  <si>
    <t>Cheese slicers, non-electric</t>
  </si>
  <si>
    <t>Coupe-fromages, non électriques</t>
  </si>
  <si>
    <t>100959</t>
  </si>
  <si>
    <t>Mortars [household]</t>
  </si>
  <si>
    <t>Mortiers [ménage]</t>
  </si>
  <si>
    <t>100960</t>
  </si>
  <si>
    <t>Tea strainers</t>
  </si>
  <si>
    <t>Passe-thé</t>
  </si>
  <si>
    <t>100961</t>
  </si>
  <si>
    <t>Cereal mills, non-electric</t>
  </si>
  <si>
    <t>Moulins à céréales, non électriques</t>
  </si>
  <si>
    <t>100962</t>
  </si>
  <si>
    <t>Garlic presses</t>
  </si>
  <si>
    <t>Presse-ail</t>
  </si>
  <si>
    <t>101313</t>
  </si>
  <si>
    <t>Decorating bags for confectioners</t>
  </si>
  <si>
    <t>Poches à douilles</t>
  </si>
  <si>
    <t>Piping bags</t>
  </si>
  <si>
    <t>104952</t>
  </si>
  <si>
    <t>Coffee tampers</t>
  </si>
  <si>
    <t>Tasseurs à café</t>
  </si>
  <si>
    <t>07-05</t>
  </si>
  <si>
    <t>100963</t>
  </si>
  <si>
    <t>FLAT-IRONS, AND WASHING, CLEANING AND DRYING EQUIPMENT</t>
  </si>
  <si>
    <t>Laundry balls</t>
  </si>
  <si>
    <t>Boules à laver</t>
  </si>
  <si>
    <t>100964</t>
  </si>
  <si>
    <t>Dusters for cleaning</t>
  </si>
  <si>
    <t>Chiffons à poussière</t>
  </si>
  <si>
    <t>100965</t>
  </si>
  <si>
    <t>Washtubs</t>
  </si>
  <si>
    <t>Cuviers à lessive</t>
  </si>
  <si>
    <t>100966</t>
  </si>
  <si>
    <t>Dish draining racks</t>
  </si>
  <si>
    <t>Égouttoirs</t>
  </si>
  <si>
    <t>100968</t>
  </si>
  <si>
    <t>Flat-irons</t>
  </si>
  <si>
    <t>Fers à repasser</t>
  </si>
  <si>
    <t>100969</t>
  </si>
  <si>
    <t>Clothes pegs</t>
  </si>
  <si>
    <t>Pinces à linge</t>
  </si>
  <si>
    <t>Clothes pins</t>
  </si>
  <si>
    <t>100970</t>
  </si>
  <si>
    <t>Sleeve ironing boards</t>
  </si>
  <si>
    <t>Jeannettes pour repassage</t>
  </si>
  <si>
    <t>100972</t>
  </si>
  <si>
    <t>Washing tubs</t>
  </si>
  <si>
    <t>Lessiveuses [récipients]</t>
  </si>
  <si>
    <t>100973</t>
  </si>
  <si>
    <t>Comb cleaners</t>
  </si>
  <si>
    <t>Nettoie-peignes</t>
  </si>
  <si>
    <t>100974</t>
  </si>
  <si>
    <t>Combs for brooms</t>
  </si>
  <si>
    <t>Peignes pour balais</t>
  </si>
  <si>
    <t>100975</t>
  </si>
  <si>
    <t>Washing boards</t>
  </si>
  <si>
    <t>Planches à laver</t>
  </si>
  <si>
    <t>100976</t>
  </si>
  <si>
    <t>Stands for flat-irons</t>
  </si>
  <si>
    <t>Supports de fers à repasser</t>
  </si>
  <si>
    <t>100978</t>
  </si>
  <si>
    <t>Drying racks for laundry</t>
  </si>
  <si>
    <t>Étendoirs à linge</t>
  </si>
  <si>
    <t>Clothes horses</t>
  </si>
  <si>
    <t>Séchoirs à linge</t>
  </si>
  <si>
    <t>100980</t>
  </si>
  <si>
    <t>Sponges [household]</t>
  </si>
  <si>
    <t>Éponges [ménage]</t>
  </si>
  <si>
    <t>100981</t>
  </si>
  <si>
    <t>Applicators of liquid wax [household]</t>
  </si>
  <si>
    <t>Applicateurs de cirage liquide [ménage]</t>
  </si>
  <si>
    <t>Liquid wax applicators [household]</t>
  </si>
  <si>
    <t>100982</t>
  </si>
  <si>
    <t>Rotary washing lines</t>
  </si>
  <si>
    <t>Étendoirs à linge parapluie</t>
  </si>
  <si>
    <t>Rotary clothes driers</t>
  </si>
  <si>
    <t>Séchoirs à linge parapluie</t>
  </si>
  <si>
    <t>100983</t>
  </si>
  <si>
    <t>Mats for dish draining racks</t>
  </si>
  <si>
    <t>Nattes d'égouttoirs</t>
  </si>
  <si>
    <t>100984</t>
  </si>
  <si>
    <t>Window cleaning appliances</t>
  </si>
  <si>
    <t>Appareils pour le nettoyage des fenêtres</t>
  </si>
  <si>
    <t>100985</t>
  </si>
  <si>
    <t>Dustpans</t>
  </si>
  <si>
    <t>Pelles à poussière</t>
  </si>
  <si>
    <t>100987</t>
  </si>
  <si>
    <t>Flex holders for flat-irons</t>
  </si>
  <si>
    <t>Porte-fils pour fers à repasser</t>
  </si>
  <si>
    <t>100988</t>
  </si>
  <si>
    <t>Window squeegees</t>
  </si>
  <si>
    <t>Raclettes pour fenêtres</t>
  </si>
  <si>
    <t>100989</t>
  </si>
  <si>
    <t>Crumb trays</t>
  </si>
  <si>
    <t>Ramasse-miettes</t>
  </si>
  <si>
    <t>100990</t>
  </si>
  <si>
    <t>Ironing boards</t>
  </si>
  <si>
    <t>Planches à repasser</t>
  </si>
  <si>
    <t>100991</t>
  </si>
  <si>
    <t>Ironing board covers</t>
  </si>
  <si>
    <t>Couvertures de planches à repasser</t>
  </si>
  <si>
    <t>100992</t>
  </si>
  <si>
    <t>Rinsing tubs</t>
  </si>
  <si>
    <t>Seaux à rincer</t>
  </si>
  <si>
    <t>100993</t>
  </si>
  <si>
    <t>Tubs with incorporated wringers</t>
  </si>
  <si>
    <t>Seaux à rouleaux pour essorage</t>
  </si>
  <si>
    <t>100994</t>
  </si>
  <si>
    <t>Clothesline supports</t>
  </si>
  <si>
    <t>Supports de cordes à linge</t>
  </si>
  <si>
    <t>100995</t>
  </si>
  <si>
    <t>Carpet beaters [hand instruments]</t>
  </si>
  <si>
    <t>Tapettes pour battre les tapis</t>
  </si>
  <si>
    <t>100996</t>
  </si>
  <si>
    <t>Absorbent cleaning cloths</t>
  </si>
  <si>
    <t>Torchons absorbants</t>
  </si>
  <si>
    <t>100997</t>
  </si>
  <si>
    <t>Dosage containers for adding a washing agent</t>
  </si>
  <si>
    <t>Récipients doseurs pour produits de lessive</t>
  </si>
  <si>
    <t>100998</t>
  </si>
  <si>
    <t>Squeegees for removing waste from kitchen sinks</t>
  </si>
  <si>
    <t>Raclettes pour déchets d'éviers</t>
  </si>
  <si>
    <t>100999</t>
  </si>
  <si>
    <t>Steam generators for flat-irons</t>
  </si>
  <si>
    <t>Générateurs de vapeur pour fers à repasser</t>
  </si>
  <si>
    <t>101000</t>
  </si>
  <si>
    <t>Dusting gloves</t>
  </si>
  <si>
    <t>Gants à épousseter</t>
  </si>
  <si>
    <t>101001</t>
  </si>
  <si>
    <t>Floor cloths</t>
  </si>
  <si>
    <t>Serpillières</t>
  </si>
  <si>
    <t>101002</t>
  </si>
  <si>
    <t>Soleplates for flat-irons</t>
  </si>
  <si>
    <t>Semelles de fers à repasser</t>
  </si>
  <si>
    <t>104730</t>
  </si>
  <si>
    <t>Floor squeegees</t>
  </si>
  <si>
    <t>Raclettes de sol</t>
  </si>
  <si>
    <t>104731</t>
  </si>
  <si>
    <t>Peg hangers</t>
  </si>
  <si>
    <t>Séchoirs à pinces</t>
  </si>
  <si>
    <t>104862</t>
  </si>
  <si>
    <t>Lint rollers</t>
  </si>
  <si>
    <t>Rouleaux anti-peluches</t>
  </si>
  <si>
    <t>105073</t>
  </si>
  <si>
    <t>Lint removers</t>
  </si>
  <si>
    <t>Appareils anti-peluches</t>
  </si>
  <si>
    <t>07-06</t>
  </si>
  <si>
    <t>101005</t>
  </si>
  <si>
    <t>OTHER KITCHEN AND TABLE UTENSILS</t>
  </si>
  <si>
    <t>Mustard pots</t>
  </si>
  <si>
    <t>Moutardiers</t>
  </si>
  <si>
    <t>101006</t>
  </si>
  <si>
    <t>Coasters for glasses</t>
  </si>
  <si>
    <t>Dessous de verres</t>
  </si>
  <si>
    <t>101008</t>
  </si>
  <si>
    <t>Anti-drip rings for bottles</t>
  </si>
  <si>
    <t>Anneaux antigouttes pour bouteilles</t>
  </si>
  <si>
    <t>101009</t>
  </si>
  <si>
    <t>Cruets</t>
  </si>
  <si>
    <t>Burettes de table</t>
  </si>
  <si>
    <t>101010</t>
  </si>
  <si>
    <t>Nutcrackers</t>
  </si>
  <si>
    <t>Casse-noix</t>
  </si>
  <si>
    <t>101011</t>
  </si>
  <si>
    <t>Anti-drip devices for necks of containers</t>
  </si>
  <si>
    <t>Chasse-gouttes pour goulots de récipients</t>
  </si>
  <si>
    <t>101012</t>
  </si>
  <si>
    <t>Plate warmers</t>
  </si>
  <si>
    <t>Chauffe-plats</t>
  </si>
  <si>
    <t>101013</t>
  </si>
  <si>
    <t>Bread baskets</t>
  </si>
  <si>
    <t>Corbeilles à pain</t>
  </si>
  <si>
    <t>101014</t>
  </si>
  <si>
    <t>Tea cosies</t>
  </si>
  <si>
    <t>Cosys pour théières</t>
  </si>
  <si>
    <t>101015</t>
  </si>
  <si>
    <t>Egg toppers</t>
  </si>
  <si>
    <t>Décalotteurs d'œufs</t>
  </si>
  <si>
    <t>101016</t>
  </si>
  <si>
    <t>Bottle cap removers</t>
  </si>
  <si>
    <t>Décapsuleurs</t>
  </si>
  <si>
    <t>101017</t>
  </si>
  <si>
    <t>Coasters for jugs and bottles</t>
  </si>
  <si>
    <t>Dessous de carafes et de bouteilles</t>
  </si>
  <si>
    <t>101018</t>
  </si>
  <si>
    <t>Trivets [table utensils]</t>
  </si>
  <si>
    <t>Dessous-de-plat</t>
  </si>
  <si>
    <t>101020</t>
  </si>
  <si>
    <t>Swizzle sticks for champagne</t>
  </si>
  <si>
    <t>Fouets à champagne</t>
  </si>
  <si>
    <t>101021</t>
  </si>
  <si>
    <t>Egg-topping blades</t>
  </si>
  <si>
    <t>Lames à décalotter les œufs</t>
  </si>
  <si>
    <t>101022</t>
  </si>
  <si>
    <t>Ice tongs</t>
  </si>
  <si>
    <t>Pinces à glace</t>
  </si>
  <si>
    <t>101023</t>
  </si>
  <si>
    <t>Pastry tongs</t>
  </si>
  <si>
    <t>Pinces à pâtisserie</t>
  </si>
  <si>
    <t>101024</t>
  </si>
  <si>
    <t>Spaghetti tongs</t>
  </si>
  <si>
    <t>Pinces à spaghetti</t>
  </si>
  <si>
    <t>101025</t>
  </si>
  <si>
    <t>Sugar tongs</t>
  </si>
  <si>
    <t>Pinces à sucre</t>
  </si>
  <si>
    <t>101026</t>
  </si>
  <si>
    <t>Sandwich picks</t>
  </si>
  <si>
    <t>Pique-sandwichs</t>
  </si>
  <si>
    <t>101027</t>
  </si>
  <si>
    <t>Pepper casters</t>
  </si>
  <si>
    <t>Poivriers</t>
  </si>
  <si>
    <t>Pepper pots</t>
  </si>
  <si>
    <t>101030</t>
  </si>
  <si>
    <t>Serviette rings</t>
  </si>
  <si>
    <t>Ronds de serviettes</t>
  </si>
  <si>
    <t>Napkin rings</t>
  </si>
  <si>
    <t>101031</t>
  </si>
  <si>
    <t>Salt cellars</t>
  </si>
  <si>
    <t>Salières</t>
  </si>
  <si>
    <t>101032</t>
  </si>
  <si>
    <t>Castors [table utensils]</t>
  </si>
  <si>
    <t>Saupoudroirs</t>
  </si>
  <si>
    <t>101033</t>
  </si>
  <si>
    <t>Corkscrews</t>
  </si>
  <si>
    <t>Tire-bouchons</t>
  </si>
  <si>
    <t>101034</t>
  </si>
  <si>
    <t>Cake servers</t>
  </si>
  <si>
    <t>Pelles à gâteaux</t>
  </si>
  <si>
    <t>101035</t>
  </si>
  <si>
    <t>Condiment holders and dispensers</t>
  </si>
  <si>
    <t>Distributeurs de condiments</t>
  </si>
  <si>
    <t>101036</t>
  </si>
  <si>
    <t>Beer foam scrapers</t>
  </si>
  <si>
    <t>Écumoires à bière</t>
  </si>
  <si>
    <t>101037</t>
  </si>
  <si>
    <t>Bottle openers</t>
  </si>
  <si>
    <t>Ouvre-bouteilles</t>
  </si>
  <si>
    <t>101038</t>
  </si>
  <si>
    <t>Clips for tablecloths</t>
  </si>
  <si>
    <t>Pinces pour napperons</t>
  </si>
  <si>
    <t>101039</t>
  </si>
  <si>
    <t>Knife, fork and spoon rests</t>
  </si>
  <si>
    <t>Porte-couverts</t>
  </si>
  <si>
    <t>101042</t>
  </si>
  <si>
    <t>Drinking straws</t>
  </si>
  <si>
    <t>Chalumeaux pour la dégustation des boissons</t>
  </si>
  <si>
    <t>Pailles pour la dégustation des boissons</t>
  </si>
  <si>
    <t>101043</t>
  </si>
  <si>
    <t>Corn ear holders [for corn on the cob]</t>
  </si>
  <si>
    <t>Porte-épis de maïs</t>
  </si>
  <si>
    <t>101044</t>
  </si>
  <si>
    <t>Cake slicers</t>
  </si>
  <si>
    <t>Couteaux à pâtisserie</t>
  </si>
  <si>
    <t>101046</t>
  </si>
  <si>
    <t>Toast racks</t>
  </si>
  <si>
    <t>Porte-toasts</t>
  </si>
  <si>
    <t>101047</t>
  </si>
  <si>
    <t>Table bins</t>
  </si>
  <si>
    <t>Poubelles de table</t>
  </si>
  <si>
    <t>101048</t>
  </si>
  <si>
    <t>Napkin-holding devices worn round the neck</t>
  </si>
  <si>
    <t>Dispositifs porte-serviettes à porter autour du cou</t>
  </si>
  <si>
    <t>104732</t>
  </si>
  <si>
    <t>Tortilla warmers</t>
  </si>
  <si>
    <t>Chauffe-tortillas</t>
  </si>
  <si>
    <t>104733</t>
  </si>
  <si>
    <t>Foil cutters for bottles</t>
  </si>
  <si>
    <t>Coupe-capsules pour bouteilles</t>
  </si>
  <si>
    <t>104953</t>
  </si>
  <si>
    <t>Jar openers</t>
  </si>
  <si>
    <t>Ouvre-bocaux</t>
  </si>
  <si>
    <t>104954</t>
  </si>
  <si>
    <t>Wine stoppers [table utensils]</t>
  </si>
  <si>
    <t>Bouchons universels [ustensiles de table]</t>
  </si>
  <si>
    <t>105071</t>
  </si>
  <si>
    <t>Crab crackers</t>
  </si>
  <si>
    <t>Pinces à crabe</t>
  </si>
  <si>
    <t>101089</t>
  </si>
  <si>
    <t>Tin openers</t>
  </si>
  <si>
    <t>Ouvre-boîtes</t>
  </si>
  <si>
    <t>Can openers</t>
  </si>
  <si>
    <t>101084</t>
  </si>
  <si>
    <t>Tube squeezers</t>
  </si>
  <si>
    <t>Presse-tubes</t>
  </si>
  <si>
    <t>105075</t>
  </si>
  <si>
    <t>Wine aerators [table utensils]</t>
  </si>
  <si>
    <t>Aérateurs de vin [ustensiles de table]</t>
  </si>
  <si>
    <t>07-07</t>
  </si>
  <si>
    <t>101050</t>
  </si>
  <si>
    <t>OTHER HOUSEHOLD RECEPTACLES</t>
  </si>
  <si>
    <t>Spice boxes</t>
  </si>
  <si>
    <t>Boîtes à épices</t>
  </si>
  <si>
    <t>101051</t>
  </si>
  <si>
    <t>Storage containers for use in refrigerators</t>
  </si>
  <si>
    <t>Récipients pour entreposage en réfrigérateur</t>
  </si>
  <si>
    <t>101052</t>
  </si>
  <si>
    <t>Tubs</t>
  </si>
  <si>
    <t>Baquets</t>
  </si>
  <si>
    <t>101053</t>
  </si>
  <si>
    <t>Bread bins</t>
  </si>
  <si>
    <t>Boîtes à pain</t>
  </si>
  <si>
    <t>101055</t>
  </si>
  <si>
    <t>Laundry baskets</t>
  </si>
  <si>
    <t>Corbeilles à linge</t>
  </si>
  <si>
    <t>101057</t>
  </si>
  <si>
    <t>Buckets [household]</t>
  </si>
  <si>
    <t>Seaux de ménage</t>
  </si>
  <si>
    <t>101058</t>
  </si>
  <si>
    <t>Pails</t>
  </si>
  <si>
    <t>Seilles</t>
  </si>
  <si>
    <t>101059</t>
  </si>
  <si>
    <t>Coal scuttles</t>
  </si>
  <si>
    <t>Seaux à charbon</t>
  </si>
  <si>
    <t>101060</t>
  </si>
  <si>
    <t>Collapsible water carriers for camping</t>
  </si>
  <si>
    <t>Vaches à eau pour le camping</t>
  </si>
  <si>
    <t>101062</t>
  </si>
  <si>
    <t>Cutlery boxes</t>
  </si>
  <si>
    <t>Casiers à couverts</t>
  </si>
  <si>
    <t>104734</t>
  </si>
  <si>
    <t>Lunch boxes</t>
  </si>
  <si>
    <t>Boîtes-repas</t>
  </si>
  <si>
    <t>104863</t>
  </si>
  <si>
    <t>Food storage containers for household use</t>
  </si>
  <si>
    <t>Récipients de stockage d'aliments à usage ménager</t>
  </si>
  <si>
    <t>07-08</t>
  </si>
  <si>
    <t>101064</t>
  </si>
  <si>
    <t>FIREPLACE IMPLEMENTS</t>
  </si>
  <si>
    <t>Fireplace implements</t>
  </si>
  <si>
    <t>Accessoires de cheminée d'appartement</t>
  </si>
  <si>
    <t>101065</t>
  </si>
  <si>
    <t>Andirons</t>
  </si>
  <si>
    <t>Chenets</t>
  </si>
  <si>
    <t>Firedogs</t>
  </si>
  <si>
    <t>101066</t>
  </si>
  <si>
    <t>Fireguards [household]</t>
  </si>
  <si>
    <t>Garde-feu de cheminée d'appartement</t>
  </si>
  <si>
    <t>101067</t>
  </si>
  <si>
    <t>Pokers</t>
  </si>
  <si>
    <t>Tisonniers</t>
  </si>
  <si>
    <t>Pique-feu</t>
  </si>
  <si>
    <t>101068</t>
  </si>
  <si>
    <t>Fireplace screens</t>
  </si>
  <si>
    <t>Écrans de cheminée d'appartement</t>
  </si>
  <si>
    <t>101069</t>
  </si>
  <si>
    <t>Fire tongs</t>
  </si>
  <si>
    <t>Pincettes pour foyers</t>
  </si>
  <si>
    <t>101070</t>
  </si>
  <si>
    <t>Fireplace bellows</t>
  </si>
  <si>
    <t>Soufflets de foyers</t>
  </si>
  <si>
    <t>101071</t>
  </si>
  <si>
    <t>Firewood stands [fireplace implements]</t>
  </si>
  <si>
    <t>Supports pour bois de cheminée [accessoires de cheminée]</t>
  </si>
  <si>
    <t>101072</t>
  </si>
  <si>
    <t>Firewood baskets</t>
  </si>
  <si>
    <t>Paniers à bois de chauffage</t>
  </si>
  <si>
    <t>101061</t>
  </si>
  <si>
    <t>Firewood holders</t>
  </si>
  <si>
    <t>Casiers de bois de chauffage</t>
  </si>
  <si>
    <t>07-09</t>
  </si>
  <si>
    <t>101102</t>
  </si>
  <si>
    <t>Stands and holders for household appliances and utensils</t>
  </si>
  <si>
    <t>Beverage capsule holders</t>
  </si>
  <si>
    <t>Supports de capsules pour la préparation de boissons</t>
  </si>
  <si>
    <t>101090</t>
  </si>
  <si>
    <t>Brush holders</t>
  </si>
  <si>
    <t>Porte-brosses</t>
  </si>
  <si>
    <t>101094</t>
  </si>
  <si>
    <t>Holders for lids for saucepans and jars</t>
  </si>
  <si>
    <t>Supports de couvercles de casseroles et de bocaux</t>
  </si>
  <si>
    <t>101091</t>
  </si>
  <si>
    <t>Holders for rolls of kitchen paper</t>
  </si>
  <si>
    <t>Supports de rouleaux de papier [ménage]</t>
  </si>
  <si>
    <t>101101</t>
  </si>
  <si>
    <t>Knife holders</t>
  </si>
  <si>
    <t>Supports de couteaux</t>
  </si>
  <si>
    <t>101104</t>
  </si>
  <si>
    <t>Cup holder trays</t>
  </si>
  <si>
    <t>Porte-gobelets [plateaux]</t>
  </si>
  <si>
    <t>101083</t>
  </si>
  <si>
    <t>Stands or holders for tubes [household]</t>
  </si>
  <si>
    <t>Porte-tubes [ménage]</t>
  </si>
  <si>
    <t>101041</t>
  </si>
  <si>
    <t>Bottle stands [table utensils]</t>
  </si>
  <si>
    <t>Supports de bouteilles [ustensiles de table]</t>
  </si>
  <si>
    <t>101049</t>
  </si>
  <si>
    <t>Stands for wine boxes [table utensils]</t>
  </si>
  <si>
    <t>Supports pour vin en vrac [ustensiles de table]</t>
  </si>
  <si>
    <t>101028</t>
  </si>
  <si>
    <t>Bottle holders [table utensils]</t>
  </si>
  <si>
    <t>Porte-bouteilles [ustensiles de table]</t>
  </si>
  <si>
    <t>101040</t>
  </si>
  <si>
    <t>Menu card holders</t>
  </si>
  <si>
    <t>Porte-cartes de menus</t>
  </si>
  <si>
    <t>101029</t>
  </si>
  <si>
    <t>Napkin holders</t>
  </si>
  <si>
    <t>Porte-serviettes de table</t>
  </si>
  <si>
    <t>Serviette holders</t>
  </si>
  <si>
    <t>101045</t>
  </si>
  <si>
    <t>Holders for drinking cups [except for dispensers]</t>
  </si>
  <si>
    <t>Porte-verres pour boissons [autres que pour distributeurs]</t>
  </si>
  <si>
    <t>Holders for drinking glasses [except for dispensers]</t>
  </si>
  <si>
    <t>105074</t>
  </si>
  <si>
    <t>Toothpick holders</t>
  </si>
  <si>
    <t>Porte-cure-dents</t>
  </si>
  <si>
    <t>101004</t>
  </si>
  <si>
    <t>Cruet stands for oil and vinegar</t>
  </si>
  <si>
    <t>Huiliers-vinaigriers</t>
  </si>
  <si>
    <t>07-10</t>
  </si>
  <si>
    <t>101105</t>
  </si>
  <si>
    <t>Cooling and freezing devices, INSULATING containers</t>
  </si>
  <si>
    <t>Flexible cold packs</t>
  </si>
  <si>
    <t>Sachets réfrigérants</t>
  </si>
  <si>
    <t>101106</t>
  </si>
  <si>
    <t>Reusable ice cubes</t>
  </si>
  <si>
    <t>Glaçons réutilisables</t>
  </si>
  <si>
    <t>101107</t>
  </si>
  <si>
    <t>Freezer blocks</t>
  </si>
  <si>
    <t>Blocs réfrigérants</t>
  </si>
  <si>
    <t>101108</t>
  </si>
  <si>
    <t>Cooling sticks</t>
  </si>
  <si>
    <t>Bâtonnets réfrigérants</t>
  </si>
  <si>
    <t>101063</t>
  </si>
  <si>
    <t>Ice cube trays</t>
  </si>
  <si>
    <t>Bacs à glaçons</t>
  </si>
  <si>
    <t>101056</t>
  </si>
  <si>
    <t>Portable cool boxes</t>
  </si>
  <si>
    <t>Glacières portatives</t>
  </si>
  <si>
    <t>101054</t>
  </si>
  <si>
    <t>Insulating boxes [household]</t>
  </si>
  <si>
    <t>Boîtes isolantes [ménage]</t>
  </si>
  <si>
    <t>100787</t>
  </si>
  <si>
    <t>Vacuum flasks</t>
  </si>
  <si>
    <t>Bouteilles isolantes</t>
  </si>
  <si>
    <t>Insulating bottles</t>
  </si>
  <si>
    <t>100839</t>
  </si>
  <si>
    <t>Insulating pots</t>
  </si>
  <si>
    <t>Pots isolants</t>
  </si>
  <si>
    <t>07-99</t>
  </si>
  <si>
    <t>101073</t>
  </si>
  <si>
    <t>Gas lighters</t>
  </si>
  <si>
    <t>Allume-gaz</t>
  </si>
  <si>
    <t>101074</t>
  </si>
  <si>
    <t>Warming pans for beds</t>
  </si>
  <si>
    <t>Bassinoires</t>
  </si>
  <si>
    <t>101075</t>
  </si>
  <si>
    <t>Bed warmers, non-electric</t>
  </si>
  <si>
    <t>Chauffe-lits non électriques</t>
  </si>
  <si>
    <t>101076</t>
  </si>
  <si>
    <t>Shoehorns</t>
  </si>
  <si>
    <t>Chausse-pieds</t>
  </si>
  <si>
    <t>101077</t>
  </si>
  <si>
    <t>Funnels [household utensils]</t>
  </si>
  <si>
    <t>Entonnoirs</t>
  </si>
  <si>
    <t>101078</t>
  </si>
  <si>
    <t>Shoe-trees</t>
  </si>
  <si>
    <t>Embauchoirs pour chaussures</t>
  </si>
  <si>
    <t>Formes pour chaussures [ménage]</t>
  </si>
  <si>
    <t>101079</t>
  </si>
  <si>
    <t>Watering devices for plants</t>
  </si>
  <si>
    <t>Humidificateurs de plantes</t>
  </si>
  <si>
    <t>101080</t>
  </si>
  <si>
    <t>Hand-operated appliances for winding balls of wool</t>
  </si>
  <si>
    <t>Appareils à main pour la confection des pelotes de laine</t>
  </si>
  <si>
    <t>101081</t>
  </si>
  <si>
    <t>Serving trays [household]</t>
  </si>
  <si>
    <t>Plateaux de service [ménage]</t>
  </si>
  <si>
    <t>101082</t>
  </si>
  <si>
    <t>Scoops for ice cream</t>
  </si>
  <si>
    <t>Louches à glace alimentaire</t>
  </si>
  <si>
    <t>101085</t>
  </si>
  <si>
    <t>Stretchers for boots and shoes</t>
  </si>
  <si>
    <t>Tendeurs de chaussures</t>
  </si>
  <si>
    <t>101086</t>
  </si>
  <si>
    <t>Boot jacks</t>
  </si>
  <si>
    <t>Tire-bottes</t>
  </si>
  <si>
    <t>101087</t>
  </si>
  <si>
    <t>Buttonhooks</t>
  </si>
  <si>
    <t>Tire-boutons</t>
  </si>
  <si>
    <t>101088</t>
  </si>
  <si>
    <t>Hot water bottles</t>
  </si>
  <si>
    <t>Bouillottes</t>
  </si>
  <si>
    <t>101092</t>
  </si>
  <si>
    <t>Apparatus for drawing liquids and filling bottles, hand-operated</t>
  </si>
  <si>
    <t>Tireuses à main pour remplir les bouteilles</t>
  </si>
  <si>
    <t>101093</t>
  </si>
  <si>
    <t>Dispensers for packaging sachets [household]</t>
  </si>
  <si>
    <t>Distributeurs de sachets d'emballage [ménage]</t>
  </si>
  <si>
    <t>101097</t>
  </si>
  <si>
    <t>Dispensers for drinking cups</t>
  </si>
  <si>
    <t>Distributeurs de gobelets</t>
  </si>
  <si>
    <t>101098</t>
  </si>
  <si>
    <t>Apparatus for lighting fires</t>
  </si>
  <si>
    <t>Appareils pour l'allumage du feu</t>
  </si>
  <si>
    <t>101099</t>
  </si>
  <si>
    <t>Appliances for sealing bags [household]</t>
  </si>
  <si>
    <t>Appareils à souder les sacs</t>
  </si>
  <si>
    <t>101100</t>
  </si>
  <si>
    <t>Ladles for jars</t>
  </si>
  <si>
    <t>Puisettes pour bocaux</t>
  </si>
  <si>
    <t>101103</t>
  </si>
  <si>
    <t>Devices for pulling on socks</t>
  </si>
  <si>
    <t>Dispositifs pour enfiler les chaussettes</t>
  </si>
  <si>
    <t>104735</t>
  </si>
  <si>
    <t>Food covers [domes]</t>
  </si>
  <si>
    <t>Cloches alimentaires</t>
  </si>
  <si>
    <t>104955</t>
  </si>
  <si>
    <t>Clips for lifting hot dishes</t>
  </si>
  <si>
    <t>Pinces pour plats chauds</t>
  </si>
  <si>
    <t>08</t>
  </si>
  <si>
    <t>08-01</t>
  </si>
  <si>
    <t>101109</t>
  </si>
  <si>
    <t>Herramientas y ferretería: Comprende herramientas manuales, incluso si funcionan con electricidad, pero no máquinas o herramientas de máquinas.</t>
  </si>
  <si>
    <t>TOOLS AND HARDWARE</t>
  </si>
  <si>
    <t>a.  Including hand-operated tools, even if mechanical power takes the place of muscular force, for example, electric saws and drills.
b.  Not including machines or machine tools (Cl. 15 or Cl. 31).</t>
  </si>
  <si>
    <t>TOOLS AND IMPLEMENTS FOR DRILLING, MILLING OR DIGGING</t>
  </si>
  <si>
    <t>Reamers</t>
  </si>
  <si>
    <t>Alésoirs</t>
  </si>
  <si>
    <t>101110</t>
  </si>
  <si>
    <t>Borers</t>
  </si>
  <si>
    <t>Alésoirs [outils]</t>
  </si>
  <si>
    <t>101111</t>
  </si>
  <si>
    <t>Jumpers [mining drills]</t>
  </si>
  <si>
    <t>Barres à mine</t>
  </si>
  <si>
    <t>101112</t>
  </si>
  <si>
    <t>Spades [hand tools]</t>
  </si>
  <si>
    <t>Bêches</t>
  </si>
  <si>
    <t>101113</t>
  </si>
  <si>
    <t>Hoes [hand tools]</t>
  </si>
  <si>
    <t>Binettes</t>
  </si>
  <si>
    <t>Houes à main</t>
  </si>
  <si>
    <t>101114</t>
  </si>
  <si>
    <t>Quarry picks</t>
  </si>
  <si>
    <t>Pioches de carrier</t>
  </si>
  <si>
    <t>101115</t>
  </si>
  <si>
    <t>Digging tools</t>
  </si>
  <si>
    <t>Outils servant à creuser</t>
  </si>
  <si>
    <t>101116</t>
  </si>
  <si>
    <t>Hand drills</t>
  </si>
  <si>
    <t>Drilles [outils]</t>
  </si>
  <si>
    <t>101117</t>
  </si>
  <si>
    <t>Drilling tools</t>
  </si>
  <si>
    <t>Outils servant à forer</t>
  </si>
  <si>
    <t>101118</t>
  </si>
  <si>
    <t>Milling apparatus, hand-operated</t>
  </si>
  <si>
    <t>Appareils à main à fraiser</t>
  </si>
  <si>
    <t>101119</t>
  </si>
  <si>
    <t>Milling tools</t>
  </si>
  <si>
    <t>Fraiseurs [outils]</t>
  </si>
  <si>
    <t>101120</t>
  </si>
  <si>
    <t>Milling cutters [tools]</t>
  </si>
  <si>
    <t>Fraises [outils]</t>
  </si>
  <si>
    <t>101121</t>
  </si>
  <si>
    <t>Draining-spades [tools]</t>
  </si>
  <si>
    <t>Louchets [outils]</t>
  </si>
  <si>
    <t>101122</t>
  </si>
  <si>
    <t>Bits [tools]</t>
  </si>
  <si>
    <t>Mèches [outils]</t>
  </si>
  <si>
    <t>101123</t>
  </si>
  <si>
    <t>Combined countersink drills</t>
  </si>
  <si>
    <t>Mèches à forer et à chanfreiner</t>
  </si>
  <si>
    <t>101124</t>
  </si>
  <si>
    <t>Shovels [tools]</t>
  </si>
  <si>
    <t>Pelles [outils]</t>
  </si>
  <si>
    <t>101125</t>
  </si>
  <si>
    <t>Augers</t>
  </si>
  <si>
    <t>Tarières</t>
  </si>
  <si>
    <t>Drills [tools]</t>
  </si>
  <si>
    <t>Perçoirs</t>
  </si>
  <si>
    <t>101126</t>
  </si>
  <si>
    <t>Picks [hand tools]</t>
  </si>
  <si>
    <t>Pics [outils]</t>
  </si>
  <si>
    <t>101127</t>
  </si>
  <si>
    <t>Mattocks</t>
  </si>
  <si>
    <t>Pioches</t>
  </si>
  <si>
    <t>Pickaxes</t>
  </si>
  <si>
    <t>101128</t>
  </si>
  <si>
    <t>Ice axes</t>
  </si>
  <si>
    <t>Piolets à glace</t>
  </si>
  <si>
    <t>101129</t>
  </si>
  <si>
    <t>Dibbles</t>
  </si>
  <si>
    <t>Plantoirs</t>
  </si>
  <si>
    <t>101130</t>
  </si>
  <si>
    <t>Wall drills [tools]</t>
  </si>
  <si>
    <t>Tamponnoirs [outils]</t>
  </si>
  <si>
    <t>101131</t>
  </si>
  <si>
    <t>Braces [tools]</t>
  </si>
  <si>
    <t>Vilebrequins [outils]</t>
  </si>
  <si>
    <t>101132</t>
  </si>
  <si>
    <t>Gimlets</t>
  </si>
  <si>
    <t>Forets [outils]</t>
  </si>
  <si>
    <t>Vrilles [outils]</t>
  </si>
  <si>
    <t>101133</t>
  </si>
  <si>
    <t>Garden trowels</t>
  </si>
  <si>
    <t>Déplantoirs</t>
  </si>
  <si>
    <t>101134</t>
  </si>
  <si>
    <t>Awls</t>
  </si>
  <si>
    <t>Poinçons</t>
  </si>
  <si>
    <t>101135</t>
  </si>
  <si>
    <t>Hoes</t>
  </si>
  <si>
    <t>Sarcloirs</t>
  </si>
  <si>
    <t>101136</t>
  </si>
  <si>
    <t>Garden forks</t>
  </si>
  <si>
    <t>Fourches à bêcher</t>
  </si>
  <si>
    <t>101137</t>
  </si>
  <si>
    <t>Drill bows</t>
  </si>
  <si>
    <t>Archets [outils]</t>
  </si>
  <si>
    <t>101138</t>
  </si>
  <si>
    <t>Countersink reamers</t>
  </si>
  <si>
    <t>Fraises à chanfreiner</t>
  </si>
  <si>
    <t>101139</t>
  </si>
  <si>
    <t>Counterbore boring heads</t>
  </si>
  <si>
    <t>Mèches d'alésage</t>
  </si>
  <si>
    <t>101140</t>
  </si>
  <si>
    <t>Snow shovels</t>
  </si>
  <si>
    <t>Pelles à neige</t>
  </si>
  <si>
    <t>101141</t>
  </si>
  <si>
    <t>Percussion drills</t>
  </si>
  <si>
    <t>Perceuses à percussion</t>
  </si>
  <si>
    <t>08-02</t>
  </si>
  <si>
    <t>101142</t>
  </si>
  <si>
    <t>HAMMERS AND OTHER SIMILAR TOOLS AND IMPLEMENTS</t>
  </si>
  <si>
    <t>Earth rammers [hand tools]</t>
  </si>
  <si>
    <t>Demoiselles [outils de paveurs]</t>
  </si>
  <si>
    <t>101143</t>
  </si>
  <si>
    <t>Rammers [hand tools]</t>
  </si>
  <si>
    <t>Hies [dames]</t>
  </si>
  <si>
    <t>101144</t>
  </si>
  <si>
    <t>Mallets</t>
  </si>
  <si>
    <t>Maillets</t>
  </si>
  <si>
    <t>101145</t>
  </si>
  <si>
    <t>Hammers [tools]</t>
  </si>
  <si>
    <t>Marteaux [outils]</t>
  </si>
  <si>
    <t>101146</t>
  </si>
  <si>
    <t>Pneumatic hammers</t>
  </si>
  <si>
    <t>Marteaux pneumatiques</t>
  </si>
  <si>
    <t>101147</t>
  </si>
  <si>
    <t>Pestles</t>
  </si>
  <si>
    <t>Pilons [outils]</t>
  </si>
  <si>
    <t>101148</t>
  </si>
  <si>
    <t>Panel-beating hammers</t>
  </si>
  <si>
    <t>Marteaux à débosseler la tôle</t>
  </si>
  <si>
    <t>Sheet metal dent removers</t>
  </si>
  <si>
    <t>101149</t>
  </si>
  <si>
    <t>Stonebreakers' hammers</t>
  </si>
  <si>
    <t>Massettes</t>
  </si>
  <si>
    <t>101150</t>
  </si>
  <si>
    <t>Riveting hammers</t>
  </si>
  <si>
    <t>Matoirs</t>
  </si>
  <si>
    <t>08-03</t>
  </si>
  <si>
    <t>101151</t>
  </si>
  <si>
    <t>CUTTING TOOLS AND IMPLEMENTS</t>
  </si>
  <si>
    <t>Penknives</t>
  </si>
  <si>
    <t>Canifs</t>
  </si>
  <si>
    <t>101152</t>
  </si>
  <si>
    <t>Knives for boning meat</t>
  </si>
  <si>
    <t>Couteaux à désosser</t>
  </si>
  <si>
    <t>101153</t>
  </si>
  <si>
    <t>Kitchen knives</t>
  </si>
  <si>
    <t>Couteaux de cuisine</t>
  </si>
  <si>
    <t>101154</t>
  </si>
  <si>
    <t>Tree felling machines, hand-operated</t>
  </si>
  <si>
    <t>Machines à main pour l'abattage des arbres</t>
  </si>
  <si>
    <t>101155</t>
  </si>
  <si>
    <t>Tree felling tools</t>
  </si>
  <si>
    <t>Outils pour l'abattage des arbres</t>
  </si>
  <si>
    <t>101156</t>
  </si>
  <si>
    <t>Mortise chisels</t>
  </si>
  <si>
    <t>Bédanes</t>
  </si>
  <si>
    <t>101157</t>
  </si>
  <si>
    <t>Hedge clippers</t>
  </si>
  <si>
    <t>Cisailles pour tailler les haies</t>
  </si>
  <si>
    <t>101158</t>
  </si>
  <si>
    <t>Shears</t>
  </si>
  <si>
    <t>Cisailles</t>
  </si>
  <si>
    <t>101159</t>
  </si>
  <si>
    <t>Scissors</t>
  </si>
  <si>
    <t>Ciseaux</t>
  </si>
  <si>
    <t>101160</t>
  </si>
  <si>
    <t>Grass shears</t>
  </si>
  <si>
    <t>Cisailles à gazon</t>
  </si>
  <si>
    <t>101161</t>
  </si>
  <si>
    <t>Chisels for stonework</t>
  </si>
  <si>
    <t>Ciseaux à pierre</t>
  </si>
  <si>
    <t>101162</t>
  </si>
  <si>
    <t>Chisels for grooving</t>
  </si>
  <si>
    <t>Ciseaux à rainurer</t>
  </si>
  <si>
    <t>101163</t>
  </si>
  <si>
    <t>Twine cutters</t>
  </si>
  <si>
    <t>Coupe-ficelles</t>
  </si>
  <si>
    <t>101164</t>
  </si>
  <si>
    <t>Tube cutters</t>
  </si>
  <si>
    <t>Coupe-tubes</t>
  </si>
  <si>
    <t>101165</t>
  </si>
  <si>
    <t>Pipe cutters</t>
  </si>
  <si>
    <t>Coupe-tuyaux</t>
  </si>
  <si>
    <t>101166</t>
  </si>
  <si>
    <t>Hacking knives</t>
  </si>
  <si>
    <t>Couperets</t>
  </si>
  <si>
    <t>101167</t>
  </si>
  <si>
    <t>Hay choppers [tools]</t>
  </si>
  <si>
    <t>Couteaux à foin [outils]</t>
  </si>
  <si>
    <t>101168</t>
  </si>
  <si>
    <t>Jackknives</t>
  </si>
  <si>
    <t>Couteaux de poche</t>
  </si>
  <si>
    <t>Pocket knives</t>
  </si>
  <si>
    <t>101169</t>
  </si>
  <si>
    <t>Knives, electric</t>
  </si>
  <si>
    <t>Couteaux électriques</t>
  </si>
  <si>
    <t>101170</t>
  </si>
  <si>
    <t>Glaziers' diamonds</t>
  </si>
  <si>
    <t>Diamants de vitrier</t>
  </si>
  <si>
    <t>Glass cutters</t>
  </si>
  <si>
    <t>101171</t>
  </si>
  <si>
    <t>Pruning shears</t>
  </si>
  <si>
    <t>Échenilloirs</t>
  </si>
  <si>
    <t>101172</t>
  </si>
  <si>
    <t>Pruning implements</t>
  </si>
  <si>
    <t>Outils à élaguer et tailler</t>
  </si>
  <si>
    <t>101173</t>
  </si>
  <si>
    <t>Pruners for trees</t>
  </si>
  <si>
    <t>Élagueurs</t>
  </si>
  <si>
    <t>101174</t>
  </si>
  <si>
    <t>Sickles</t>
  </si>
  <si>
    <t>Faucilles</t>
  </si>
  <si>
    <t>101175</t>
  </si>
  <si>
    <t>Scythes</t>
  </si>
  <si>
    <t>Faux</t>
  </si>
  <si>
    <t>101176</t>
  </si>
  <si>
    <t>Cleavers</t>
  </si>
  <si>
    <t>Fendoirs</t>
  </si>
  <si>
    <t>101177</t>
  </si>
  <si>
    <t>Plane blades [tools]</t>
  </si>
  <si>
    <t>Fers de rabots</t>
  </si>
  <si>
    <t>101178</t>
  </si>
  <si>
    <t>Dado cutters</t>
  </si>
  <si>
    <t>Guillaumes</t>
  </si>
  <si>
    <t>101179</t>
  </si>
  <si>
    <t>Axes</t>
  </si>
  <si>
    <t>Haches</t>
  </si>
  <si>
    <t>101180</t>
  </si>
  <si>
    <t>Hatchets</t>
  </si>
  <si>
    <t>Hachettes</t>
  </si>
  <si>
    <t>101181</t>
  </si>
  <si>
    <t>Adzes</t>
  </si>
  <si>
    <t>Herminettes</t>
  </si>
  <si>
    <t>101182</t>
  </si>
  <si>
    <t>Saw blades</t>
  </si>
  <si>
    <t>Lames de scies</t>
  </si>
  <si>
    <t>101183</t>
  </si>
  <si>
    <t>Machetes</t>
  </si>
  <si>
    <t>Machettes</t>
  </si>
  <si>
    <t>101184</t>
  </si>
  <si>
    <t>Drawknives</t>
  </si>
  <si>
    <t>Planes [outils]</t>
  </si>
  <si>
    <t>101185</t>
  </si>
  <si>
    <t>Planes</t>
  </si>
  <si>
    <t>Rabots</t>
  </si>
  <si>
    <t>101186</t>
  </si>
  <si>
    <t>Root slicers, hand-operated</t>
  </si>
  <si>
    <t>Coupe-racines</t>
  </si>
  <si>
    <t>101187</t>
  </si>
  <si>
    <t>Scraping irons</t>
  </si>
  <si>
    <t>Fers à racler</t>
  </si>
  <si>
    <t>101188</t>
  </si>
  <si>
    <t>Fretsaws</t>
  </si>
  <si>
    <t>Scies à découper</t>
  </si>
  <si>
    <t>101189</t>
  </si>
  <si>
    <t>Saws [handsaws]</t>
  </si>
  <si>
    <t>Scies à main</t>
  </si>
  <si>
    <t>101190</t>
  </si>
  <si>
    <t>Hacksaws</t>
  </si>
  <si>
    <t>Scies à métaux</t>
  </si>
  <si>
    <t>101191</t>
  </si>
  <si>
    <t>Bone saws</t>
  </si>
  <si>
    <t>Scies à os</t>
  </si>
  <si>
    <t>101192</t>
  </si>
  <si>
    <t>Mechanical saws, hand-operated</t>
  </si>
  <si>
    <t>Scies mécaniques [à main]</t>
  </si>
  <si>
    <t>101193</t>
  </si>
  <si>
    <t>Chain saws</t>
  </si>
  <si>
    <t>Scies tronçonneuses à chaîne</t>
  </si>
  <si>
    <t>101194</t>
  </si>
  <si>
    <t>Hedge trimmers</t>
  </si>
  <si>
    <t>Sécateurs</t>
  </si>
  <si>
    <t>Secateurs</t>
  </si>
  <si>
    <t>101195</t>
  </si>
  <si>
    <t>Billhooks</t>
  </si>
  <si>
    <t>Serpes</t>
  </si>
  <si>
    <t>101196</t>
  </si>
  <si>
    <t>Pruning hooks</t>
  </si>
  <si>
    <t>Serpettes</t>
  </si>
  <si>
    <t>101197</t>
  </si>
  <si>
    <t>Gouges</t>
  </si>
  <si>
    <t>Tranchets à gouge</t>
  </si>
  <si>
    <t>101198</t>
  </si>
  <si>
    <t>Grafting knives</t>
  </si>
  <si>
    <t>Greffoirs</t>
  </si>
  <si>
    <t>101199</t>
  </si>
  <si>
    <t>Holders for electric knives</t>
  </si>
  <si>
    <t>Supports de couteaux électriques</t>
  </si>
  <si>
    <t>101200</t>
  </si>
  <si>
    <t>Wood splitting wedges</t>
  </si>
  <si>
    <t>Coins à fendre</t>
  </si>
  <si>
    <t>101201</t>
  </si>
  <si>
    <t>Coachbuilders' chisels</t>
  </si>
  <si>
    <t>Ciseaux de carrossiers</t>
  </si>
  <si>
    <t>101202</t>
  </si>
  <si>
    <t>Hay cutters [hand knives]</t>
  </si>
  <si>
    <t>Coupe-foin [outils]</t>
  </si>
  <si>
    <t>101203</t>
  </si>
  <si>
    <t>Chopping knives</t>
  </si>
  <si>
    <t>Hachoirs de boucher [couteaux]</t>
  </si>
  <si>
    <t>101204</t>
  </si>
  <si>
    <t>Cutting nippers</t>
  </si>
  <si>
    <t>Pinces coupantes</t>
  </si>
  <si>
    <t>101205</t>
  </si>
  <si>
    <t>Sod cutters [tools]</t>
  </si>
  <si>
    <t>Tranche-gazon [outils]</t>
  </si>
  <si>
    <t>101206</t>
  </si>
  <si>
    <t>Glass-cutting tools</t>
  </si>
  <si>
    <t>Coupe-verre [outils]</t>
  </si>
  <si>
    <t>101207</t>
  </si>
  <si>
    <t>Sheath knives</t>
  </si>
  <si>
    <t>Couteaux à gaine</t>
  </si>
  <si>
    <t>101208</t>
  </si>
  <si>
    <t>Vegetable knives [gardening tools]</t>
  </si>
  <si>
    <t>Coupe-légumes [outils de jardinage]</t>
  </si>
  <si>
    <t>101209</t>
  </si>
  <si>
    <t>Jig saws</t>
  </si>
  <si>
    <t>Scies sauteuses</t>
  </si>
  <si>
    <t>104590</t>
  </si>
  <si>
    <t>Chainsaw chains</t>
  </si>
  <si>
    <t>Chaînes de tronçonneuses</t>
  </si>
  <si>
    <t>104736</t>
  </si>
  <si>
    <t>Circular saws</t>
  </si>
  <si>
    <t>Scies circulaires</t>
  </si>
  <si>
    <t>104956</t>
  </si>
  <si>
    <t>Handles for kitchen knives</t>
  </si>
  <si>
    <t>Manches de couteaux de cuisine</t>
  </si>
  <si>
    <t>104957</t>
  </si>
  <si>
    <t>Multi-tool knives</t>
  </si>
  <si>
    <t>Couteaux multifonctions</t>
  </si>
  <si>
    <t>08-04</t>
  </si>
  <si>
    <t>101210</t>
  </si>
  <si>
    <t>SCREWDRIVERS AND OTHER SIMILAR TOOLS AND IMPLEMENTS</t>
  </si>
  <si>
    <t>Screwdrivers</t>
  </si>
  <si>
    <t>Tournevis</t>
  </si>
  <si>
    <t>08-05</t>
  </si>
  <si>
    <t>101211</t>
  </si>
  <si>
    <t>OTHER TOOLS AND IMPLEMENTS</t>
  </si>
  <si>
    <t>Caulking irons</t>
  </si>
  <si>
    <t>Fers à calfater</t>
  </si>
  <si>
    <t>101212</t>
  </si>
  <si>
    <t>Butchers' apparatus for slaughtering animals</t>
  </si>
  <si>
    <t>Appareils pour l'abattage des bêtes de boucherie</t>
  </si>
  <si>
    <t>101213</t>
  </si>
  <si>
    <t>Knife sharpeners</t>
  </si>
  <si>
    <t>Aiguisoirs pour couteaux</t>
  </si>
  <si>
    <t>Affiloirs pour couteaux</t>
  </si>
  <si>
    <t>101214</t>
  </si>
  <si>
    <t>Staple guns</t>
  </si>
  <si>
    <t>Agrafeuses [outils]</t>
  </si>
  <si>
    <t>101215</t>
  </si>
  <si>
    <t>Sharpening apparatus for bandsaws</t>
  </si>
  <si>
    <t>Aiguisoirs pour scies à ruban</t>
  </si>
  <si>
    <t>101216</t>
  </si>
  <si>
    <t>Whetstones</t>
  </si>
  <si>
    <t>Pierres à aiguiser</t>
  </si>
  <si>
    <t>Hones</t>
  </si>
  <si>
    <t>101217</t>
  </si>
  <si>
    <t>Nail extractors</t>
  </si>
  <si>
    <t>Arrache-clous</t>
  </si>
  <si>
    <t>Tack pullers</t>
  </si>
  <si>
    <t>Wrecking bars</t>
  </si>
  <si>
    <t>101218</t>
  </si>
  <si>
    <t>Pin extractors</t>
  </si>
  <si>
    <t>Arrache-goupilles</t>
  </si>
  <si>
    <t>101219</t>
  </si>
  <si>
    <t>Watering cans</t>
  </si>
  <si>
    <t>Arrosoirs</t>
  </si>
  <si>
    <t>101220</t>
  </si>
  <si>
    <t>Atomizers for varnish [except aerosol dispensers]</t>
  </si>
  <si>
    <t>Atomiseurs pour vernis [à l'exception des bombes aérosols]</t>
  </si>
  <si>
    <t>101221</t>
  </si>
  <si>
    <t>Bricklayers' hods</t>
  </si>
  <si>
    <t>Auges de maçons</t>
  </si>
  <si>
    <t>101222</t>
  </si>
  <si>
    <t>Sanding blocks</t>
  </si>
  <si>
    <t>Blocs à poncer</t>
  </si>
  <si>
    <t>101223</t>
  </si>
  <si>
    <t>Anvil beaks for edging</t>
  </si>
  <si>
    <t>Cornes d'enclumes pour border</t>
  </si>
  <si>
    <t>101224</t>
  </si>
  <si>
    <t>Tweezers</t>
  </si>
  <si>
    <t>Brucelles</t>
  </si>
  <si>
    <t>101225</t>
  </si>
  <si>
    <t>Hat shaping apparatus</t>
  </si>
  <si>
    <t>Appareils pour former les chapeaux</t>
  </si>
  <si>
    <t>101226</t>
  </si>
  <si>
    <t>Hat shining apparatus</t>
  </si>
  <si>
    <t>Appareils pour lustrer les chapeaux</t>
  </si>
  <si>
    <t>101227</t>
  </si>
  <si>
    <t>Snowploughs [manual]</t>
  </si>
  <si>
    <t>Chasse-neige [à main]</t>
  </si>
  <si>
    <t>Snowplows [manual]</t>
  </si>
  <si>
    <t>101228</t>
  </si>
  <si>
    <t>Tools for descaling boilers</t>
  </si>
  <si>
    <t>Outils à détartrer les chaudières</t>
  </si>
  <si>
    <t>101229</t>
  </si>
  <si>
    <t>Pipe wrenches</t>
  </si>
  <si>
    <t>Clefs à tubes</t>
  </si>
  <si>
    <t>101230</t>
  </si>
  <si>
    <t>Spanners</t>
  </si>
  <si>
    <t>Clefs [outils]</t>
  </si>
  <si>
    <t>101231</t>
  </si>
  <si>
    <t>Wedges</t>
  </si>
  <si>
    <t>Coins de fixation</t>
  </si>
  <si>
    <t>101232</t>
  </si>
  <si>
    <t>Riddles [tools]</t>
  </si>
  <si>
    <t>Cribles</t>
  </si>
  <si>
    <t>101233</t>
  </si>
  <si>
    <t>Fruit gatherers [tools]</t>
  </si>
  <si>
    <t>Cueilloirs</t>
  </si>
  <si>
    <t>101234</t>
  </si>
  <si>
    <t>Casting ladles</t>
  </si>
  <si>
    <t>Cuillers de fonderie</t>
  </si>
  <si>
    <t>101235</t>
  </si>
  <si>
    <t>Strops</t>
  </si>
  <si>
    <t>Cuirs à aiguiser</t>
  </si>
  <si>
    <t>101236</t>
  </si>
  <si>
    <t>Pipe clearing apparatus</t>
  </si>
  <si>
    <t>Débouchoirs pour les tuyaux</t>
  </si>
  <si>
    <t>101237</t>
  </si>
  <si>
    <t>Tyre levers</t>
  </si>
  <si>
    <t>Démonte-pneus [outils à main]</t>
  </si>
  <si>
    <t>Tire levers</t>
  </si>
  <si>
    <t>101238</t>
  </si>
  <si>
    <t>Discs for sanding machines</t>
  </si>
  <si>
    <t>Disques pour ponceuses</t>
  </si>
  <si>
    <t>101239</t>
  </si>
  <si>
    <t>Stalk separators</t>
  </si>
  <si>
    <t>Égrappoirs</t>
  </si>
  <si>
    <t>101240</t>
  </si>
  <si>
    <t>Grain separators [hand tools]</t>
  </si>
  <si>
    <t>Égreneuses [outils à main]</t>
  </si>
  <si>
    <t>101241</t>
  </si>
  <si>
    <t>Tube expanders</t>
  </si>
  <si>
    <t>Élargisseurs de tuyaux</t>
  </si>
  <si>
    <t>101242</t>
  </si>
  <si>
    <t>Punches [hand tools]</t>
  </si>
  <si>
    <t>Emporte-pièce [outils]</t>
  </si>
  <si>
    <t>Drifts</t>
  </si>
  <si>
    <t>101243</t>
  </si>
  <si>
    <t>Anvils</t>
  </si>
  <si>
    <t>Enclumes</t>
  </si>
  <si>
    <t>101244</t>
  </si>
  <si>
    <t>Marlinspikes</t>
  </si>
  <si>
    <t>Épissoirs</t>
  </si>
  <si>
    <t>101245</t>
  </si>
  <si>
    <t>Vices</t>
  </si>
  <si>
    <t>Étaux</t>
  </si>
  <si>
    <t>101246</t>
  </si>
  <si>
    <t>Shapes for hats</t>
  </si>
  <si>
    <t>Formes pour chapeaux</t>
  </si>
  <si>
    <t>101247</t>
  </si>
  <si>
    <t>Lasts</t>
  </si>
  <si>
    <t>Formes pour chaussures</t>
  </si>
  <si>
    <t>101248</t>
  </si>
  <si>
    <t>Forks [tools] [except garden forks]</t>
  </si>
  <si>
    <t>Fourches [outils] [à l'exception des fourches à bêcher]</t>
  </si>
  <si>
    <t>101249</t>
  </si>
  <si>
    <t>Manure forks</t>
  </si>
  <si>
    <t>Fourches à fumier</t>
  </si>
  <si>
    <t>101250</t>
  </si>
  <si>
    <t>Gaffs</t>
  </si>
  <si>
    <t>Gaffes [marine]</t>
  </si>
  <si>
    <t>Boat hooks</t>
  </si>
  <si>
    <t>101251</t>
  </si>
  <si>
    <t>Grapnels</t>
  </si>
  <si>
    <t>Grappins</t>
  </si>
  <si>
    <t>101252</t>
  </si>
  <si>
    <t>Saw table gauges</t>
  </si>
  <si>
    <t>Guides pour tables à scier</t>
  </si>
  <si>
    <t>101253</t>
  </si>
  <si>
    <t>Soldering blow pipes</t>
  </si>
  <si>
    <t>Chalumeaux à souder</t>
  </si>
  <si>
    <t>Blowlamps</t>
  </si>
  <si>
    <t>Lampes à souder</t>
  </si>
  <si>
    <t>Welding torches</t>
  </si>
  <si>
    <t>Pistolets à souder</t>
  </si>
  <si>
    <t>101254</t>
  </si>
  <si>
    <t>Levers [tools]</t>
  </si>
  <si>
    <t>Leviers [outils]</t>
  </si>
  <si>
    <t>101255</t>
  </si>
  <si>
    <t>Polishing appliances made of cork</t>
  </si>
  <si>
    <t>Polissoirs en liège [outils]</t>
  </si>
  <si>
    <t>101256</t>
  </si>
  <si>
    <t>Abrasive files</t>
  </si>
  <si>
    <t>Limes</t>
  </si>
  <si>
    <t>101257</t>
  </si>
  <si>
    <t>Ingot moulds</t>
  </si>
  <si>
    <t>Lingotières</t>
  </si>
  <si>
    <t>Ingot molds</t>
  </si>
  <si>
    <t>101258</t>
  </si>
  <si>
    <t>Tools for cleaning metal pipes</t>
  </si>
  <si>
    <t>Outils pour nettoyer les tuyaux métalliques</t>
  </si>
  <si>
    <t>101259</t>
  </si>
  <si>
    <t>Defrosting tools</t>
  </si>
  <si>
    <t>Outils à dégeler</t>
  </si>
  <si>
    <t>101260</t>
  </si>
  <si>
    <t>Caulking implements</t>
  </si>
  <si>
    <t>Outils de calfatage</t>
  </si>
  <si>
    <t>Calking implements</t>
  </si>
  <si>
    <t>101261</t>
  </si>
  <si>
    <t>Stakes [leatherwork]</t>
  </si>
  <si>
    <t>Palissons</t>
  </si>
  <si>
    <t>101262</t>
  </si>
  <si>
    <t>Bread moulds for bakers</t>
  </si>
  <si>
    <t>Panetons</t>
  </si>
  <si>
    <t>Bread molds for bakers</t>
  </si>
  <si>
    <t>101263</t>
  </si>
  <si>
    <t>Crowbars</t>
  </si>
  <si>
    <t>Pieds-de-biche [outils]</t>
  </si>
  <si>
    <t>101264</t>
  </si>
  <si>
    <t>Pliers [tools]</t>
  </si>
  <si>
    <t>Pinces [outils]</t>
  </si>
  <si>
    <t>101265</t>
  </si>
  <si>
    <t>Glassmakers' tongs</t>
  </si>
  <si>
    <t>Pinces de verrier</t>
  </si>
  <si>
    <t>101266</t>
  </si>
  <si>
    <t>Glaziers' point setters</t>
  </si>
  <si>
    <t>Pistolets à pointes de vitrier</t>
  </si>
  <si>
    <t>101267</t>
  </si>
  <si>
    <t>Scribers</t>
  </si>
  <si>
    <t>Pointes à tracer</t>
  </si>
  <si>
    <t>101268</t>
  </si>
  <si>
    <t>Paint sprays for use in building</t>
  </si>
  <si>
    <t>Pulvérisateurs pour peintres en bâtiment</t>
  </si>
  <si>
    <t>101269</t>
  </si>
  <si>
    <t>Spokeshaves</t>
  </si>
  <si>
    <t>Racloirs [outils]</t>
  </si>
  <si>
    <t>101270</t>
  </si>
  <si>
    <t>Grass-trap attachments for scythes</t>
  </si>
  <si>
    <t>Ramassettes</t>
  </si>
  <si>
    <t>101271</t>
  </si>
  <si>
    <t>Rasps [tools]</t>
  </si>
  <si>
    <t>Râpes [outils]</t>
  </si>
  <si>
    <t>101272</t>
  </si>
  <si>
    <t>Rakes [hand tools]</t>
  </si>
  <si>
    <t>Râteaux [outils]</t>
  </si>
  <si>
    <t>101273</t>
  </si>
  <si>
    <t>Straightedges</t>
  </si>
  <si>
    <t>Règles à araser</t>
  </si>
  <si>
    <t>101274</t>
  </si>
  <si>
    <t>Grinding tools</t>
  </si>
  <si>
    <t>Rodoirs [outils]</t>
  </si>
  <si>
    <t>101275</t>
  </si>
  <si>
    <t>Heat sealing tools</t>
  </si>
  <si>
    <t>Outils de scellement à chaud</t>
  </si>
  <si>
    <t>101276</t>
  </si>
  <si>
    <t>Pipe crimping tools</t>
  </si>
  <si>
    <t>Outils pour le sertissage des tubes</t>
  </si>
  <si>
    <t>101277</t>
  </si>
  <si>
    <t>Tongs</t>
  </si>
  <si>
    <t>Tenailles</t>
  </si>
  <si>
    <t>Pliers</t>
  </si>
  <si>
    <t>101278</t>
  </si>
  <si>
    <t>Tap wrenches</t>
  </si>
  <si>
    <t>Tourne-à-gauche</t>
  </si>
  <si>
    <t>101279</t>
  </si>
  <si>
    <t>Tracers</t>
  </si>
  <si>
    <t>Traçoirs</t>
  </si>
  <si>
    <t>101280</t>
  </si>
  <si>
    <t>Marking gauges</t>
  </si>
  <si>
    <t>Trusquins</t>
  </si>
  <si>
    <t>101281</t>
  </si>
  <si>
    <t>Inflators for dinghies and mattresses</t>
  </si>
  <si>
    <t>Gonfleurs pour bateaux et matelas</t>
  </si>
  <si>
    <t>101282</t>
  </si>
  <si>
    <t>Sieves [tools]</t>
  </si>
  <si>
    <t>Tamis [outils]</t>
  </si>
  <si>
    <t>101283</t>
  </si>
  <si>
    <t>Wire stretchers [tools]</t>
  </si>
  <si>
    <t>Tendeurs de fils métalliques [outils]</t>
  </si>
  <si>
    <t>101284</t>
  </si>
  <si>
    <t>Miter boxes</t>
  </si>
  <si>
    <t>Boîtes à onglets</t>
  </si>
  <si>
    <t>Mitre boxes</t>
  </si>
  <si>
    <t>101285</t>
  </si>
  <si>
    <t>Oilcans</t>
  </si>
  <si>
    <t>Burettes de graissage</t>
  </si>
  <si>
    <t>Oil feeders</t>
  </si>
  <si>
    <t>101286</t>
  </si>
  <si>
    <t>Cant hooks</t>
  </si>
  <si>
    <t>Tourne-billes</t>
  </si>
  <si>
    <t>101287</t>
  </si>
  <si>
    <t>Wire insulation stripping tools</t>
  </si>
  <si>
    <t>Outils à dénuder les câbles électriques</t>
  </si>
  <si>
    <t>101288</t>
  </si>
  <si>
    <t>Shoe lasts [shoemaking]</t>
  </si>
  <si>
    <t>Embauchoirs de chaussures [pour cordonnier]</t>
  </si>
  <si>
    <t>101289</t>
  </si>
  <si>
    <t>Threading dies</t>
  </si>
  <si>
    <t>Filières [outils de filetage]</t>
  </si>
  <si>
    <t>Screw plates</t>
  </si>
  <si>
    <t>101290</t>
  </si>
  <si>
    <t>Spray guns for paint</t>
  </si>
  <si>
    <t>Pistolets pour la peinture</t>
  </si>
  <si>
    <t>101291</t>
  </si>
  <si>
    <t>Vice jaws</t>
  </si>
  <si>
    <t>Mâchoires pour étaux</t>
  </si>
  <si>
    <t>101292</t>
  </si>
  <si>
    <t>Grinding wheels for sharpening, trueing, adjusting [hand tools]</t>
  </si>
  <si>
    <t>Meules à affûter, dresser, repasser, rectifier [à main]</t>
  </si>
  <si>
    <t>101293</t>
  </si>
  <si>
    <t>Eyelet fixing tools [boots and shoes]</t>
  </si>
  <si>
    <t>Outils pour fixer les œillets de chaussures</t>
  </si>
  <si>
    <t>101294</t>
  </si>
  <si>
    <t>Screw thread cutting tools</t>
  </si>
  <si>
    <t>Peignes à fileter</t>
  </si>
  <si>
    <t>101295</t>
  </si>
  <si>
    <t>Bakers' peels</t>
  </si>
  <si>
    <t>Pellerons de boulanger</t>
  </si>
  <si>
    <t>101296</t>
  </si>
  <si>
    <t>Peavies</t>
  </si>
  <si>
    <t>Pics de bûcheron</t>
  </si>
  <si>
    <t>101297</t>
  </si>
  <si>
    <t>Electricians' pliers</t>
  </si>
  <si>
    <t>Pinces d'électricien</t>
  </si>
  <si>
    <t>101298</t>
  </si>
  <si>
    <t>Clock and watchmakers' pliers</t>
  </si>
  <si>
    <t>Pinces d'horloger</t>
  </si>
  <si>
    <t>101299</t>
  </si>
  <si>
    <t>Compressed air pistols for rust removal</t>
  </si>
  <si>
    <t>Pistolets à air comprimé pour le dérouillage</t>
  </si>
  <si>
    <t>101300</t>
  </si>
  <si>
    <t>Spike guns</t>
  </si>
  <si>
    <t>Pistolets à chevilles</t>
  </si>
  <si>
    <t>101301</t>
  </si>
  <si>
    <t>Ticket punches</t>
  </si>
  <si>
    <t>Pinces à poinçonner les billets</t>
  </si>
  <si>
    <t>101302</t>
  </si>
  <si>
    <t>Masons' pointers</t>
  </si>
  <si>
    <t>Pointes de maçon</t>
  </si>
  <si>
    <t>101303</t>
  </si>
  <si>
    <t>Roses for watering cans</t>
  </si>
  <si>
    <t>Pommes d'arrosoirs</t>
  </si>
  <si>
    <t>101304</t>
  </si>
  <si>
    <t>Beer pumps, hand-operated</t>
  </si>
  <si>
    <t>Pompes à bière [à main]</t>
  </si>
  <si>
    <t>101305</t>
  </si>
  <si>
    <t>Pumps for inflating tyres, hand-operated</t>
  </si>
  <si>
    <t>Pompes à gonfler les pneus [à main]</t>
  </si>
  <si>
    <t>Pumps for inflating tires, hand-operated</t>
  </si>
  <si>
    <t>101306</t>
  </si>
  <si>
    <t>Grease guns, hand-operated</t>
  </si>
  <si>
    <t>Pompes de graissage [à main]</t>
  </si>
  <si>
    <t>101307</t>
  </si>
  <si>
    <t>Abrasive sheet holders</t>
  </si>
  <si>
    <t>Porte-abrasif</t>
  </si>
  <si>
    <t>101308</t>
  </si>
  <si>
    <t>Agricultural atomizers [hand-operated]</t>
  </si>
  <si>
    <t>Pulvérisateurs agricoles [à main]</t>
  </si>
  <si>
    <t>101309</t>
  </si>
  <si>
    <t>Floor scrapers</t>
  </si>
  <si>
    <t>Grattoirs de sol</t>
  </si>
  <si>
    <t>101310</t>
  </si>
  <si>
    <t>Sharpeners for razor blades</t>
  </si>
  <si>
    <t>Repasseurs pour lames de rasoir</t>
  </si>
  <si>
    <t>101311</t>
  </si>
  <si>
    <t>Paint rollers</t>
  </si>
  <si>
    <t>Rouleaux à peindre</t>
  </si>
  <si>
    <t>101312</t>
  </si>
  <si>
    <t>Agricultural rollers, hand-operated</t>
  </si>
  <si>
    <t>Rouleaux agricoles [à main]</t>
  </si>
  <si>
    <t>101314</t>
  </si>
  <si>
    <t>Joiners' cramps [tools]</t>
  </si>
  <si>
    <t>Serre-joints [outils]</t>
  </si>
  <si>
    <t>101315</t>
  </si>
  <si>
    <t>Gluing clamps</t>
  </si>
  <si>
    <t>Serre-joints de collage</t>
  </si>
  <si>
    <t>101316</t>
  </si>
  <si>
    <t>Carpenters' clamps</t>
  </si>
  <si>
    <t>Serre-joints de menuisier</t>
  </si>
  <si>
    <t>101317</t>
  </si>
  <si>
    <t>Plasterers' floats</t>
  </si>
  <si>
    <t>Taloches de maçon</t>
  </si>
  <si>
    <t>101318</t>
  </si>
  <si>
    <t>Cask scrapers</t>
  </si>
  <si>
    <t>Grattoirs de tonneaux</t>
  </si>
  <si>
    <t>101319</t>
  </si>
  <si>
    <t>Masons' trowels</t>
  </si>
  <si>
    <t>Truelles de maçon</t>
  </si>
  <si>
    <t>101320</t>
  </si>
  <si>
    <t>Soldering irons</t>
  </si>
  <si>
    <t>Fers à souder</t>
  </si>
  <si>
    <t>101321</t>
  </si>
  <si>
    <t>Marking string for planting</t>
  </si>
  <si>
    <t>Cordeaux de jardinier</t>
  </si>
  <si>
    <t>101322</t>
  </si>
  <si>
    <t>Sauna ladles</t>
  </si>
  <si>
    <t>Louches de sauna</t>
  </si>
  <si>
    <t>101323</t>
  </si>
  <si>
    <t>Pans for washing gold</t>
  </si>
  <si>
    <t>Écuelles pour laver l'or</t>
  </si>
  <si>
    <t>101324</t>
  </si>
  <si>
    <t>Chalk lines</t>
  </si>
  <si>
    <t>Cordeaux traceurs</t>
  </si>
  <si>
    <t>101325</t>
  </si>
  <si>
    <t>Grilles for paint rollers</t>
  </si>
  <si>
    <t>Grilles pour rouleaux à peindre</t>
  </si>
  <si>
    <t>101326</t>
  </si>
  <si>
    <t>Sanders, hand-operated</t>
  </si>
  <si>
    <t>Frottoirs à poncer</t>
  </si>
  <si>
    <t>101327</t>
  </si>
  <si>
    <t>Spatulas [hand tools]</t>
  </si>
  <si>
    <t>Spatules [outils]</t>
  </si>
  <si>
    <t>101328</t>
  </si>
  <si>
    <t>Wallpaper strippers</t>
  </si>
  <si>
    <t>Appareils pour décoller les papiers peints</t>
  </si>
  <si>
    <t>101329</t>
  </si>
  <si>
    <t>Angle grinders</t>
  </si>
  <si>
    <t>Meuleuses d'angle</t>
  </si>
  <si>
    <t>101330</t>
  </si>
  <si>
    <t>Tongs for lifting timber [tools]</t>
  </si>
  <si>
    <t>Pinces pour la manipulation du bois [outils]</t>
  </si>
  <si>
    <t>101331</t>
  </si>
  <si>
    <t>Ice scrapers</t>
  </si>
  <si>
    <t>Grattoirs à glace</t>
  </si>
  <si>
    <t>101332</t>
  </si>
  <si>
    <t>Paint removing scrapers</t>
  </si>
  <si>
    <t>Grattoirs pour enlever les peintures</t>
  </si>
  <si>
    <t>104576</t>
  </si>
  <si>
    <t>Berry scoops</t>
  </si>
  <si>
    <t>Peignes à myrtilles</t>
  </si>
  <si>
    <t>Berry combs</t>
  </si>
  <si>
    <t>104660</t>
  </si>
  <si>
    <t>Ski wax scrapers</t>
  </si>
  <si>
    <t>Grattoirs de fartage</t>
  </si>
  <si>
    <t>104737</t>
  </si>
  <si>
    <t>Lug wrenches</t>
  </si>
  <si>
    <t>Démonte-roues</t>
  </si>
  <si>
    <t>104738</t>
  </si>
  <si>
    <t>Nail tackers</t>
  </si>
  <si>
    <t>Cloueuses</t>
  </si>
  <si>
    <t>104864</t>
  </si>
  <si>
    <t>Inflatable lifting tools</t>
  </si>
  <si>
    <t>Outils de levage gonflables</t>
  </si>
  <si>
    <t>104958</t>
  </si>
  <si>
    <t>Paint trays</t>
  </si>
  <si>
    <t>Bacs à peinture</t>
  </si>
  <si>
    <t>105076</t>
  </si>
  <si>
    <t>Glass scrapers</t>
  </si>
  <si>
    <t>Racloirs à verre</t>
  </si>
  <si>
    <t>105078</t>
  </si>
  <si>
    <t>Welding electrode holders</t>
  </si>
  <si>
    <t>Porte-électrodes de soudure</t>
  </si>
  <si>
    <t>08-06</t>
  </si>
  <si>
    <t>101333</t>
  </si>
  <si>
    <t>HANDLES, KNOBS AND HINGES</t>
  </si>
  <si>
    <t>Drawer handles</t>
  </si>
  <si>
    <t>Anneaux de tiroirs</t>
  </si>
  <si>
    <t>Poignées de tiroirs</t>
  </si>
  <si>
    <t>101334</t>
  </si>
  <si>
    <t>Doorknobs</t>
  </si>
  <si>
    <t>Boutons de portes</t>
  </si>
  <si>
    <t>101335</t>
  </si>
  <si>
    <t>Knobs for drawers</t>
  </si>
  <si>
    <t>Boutons de tiroirs</t>
  </si>
  <si>
    <t>101336</t>
  </si>
  <si>
    <t>Push buttons</t>
  </si>
  <si>
    <t>Boutons [poussoirs]</t>
  </si>
  <si>
    <t>Poussoirs</t>
  </si>
  <si>
    <t>101337</t>
  </si>
  <si>
    <t>Hinges [hardware]</t>
  </si>
  <si>
    <t>Charnières [quincaillerie]</t>
  </si>
  <si>
    <t>Paumelles [quincaillerie]</t>
  </si>
  <si>
    <t>101338</t>
  </si>
  <si>
    <t>Hinge pins for doors</t>
  </si>
  <si>
    <t>Gonds de portes</t>
  </si>
  <si>
    <t>101339</t>
  </si>
  <si>
    <t>Strap hinges for doors or windows</t>
  </si>
  <si>
    <t>Pentures de portes ou de fenêtres</t>
  </si>
  <si>
    <t>101340</t>
  </si>
  <si>
    <t>Door handles</t>
  </si>
  <si>
    <t>Poignées de portes</t>
  </si>
  <si>
    <t>101341</t>
  </si>
  <si>
    <t>Door handles for vehicles</t>
  </si>
  <si>
    <t>Poignées de portières de véhicules</t>
  </si>
  <si>
    <t>101342</t>
  </si>
  <si>
    <t>Bell pulls</t>
  </si>
  <si>
    <t>Poignées de sonnettes</t>
  </si>
  <si>
    <t>101345</t>
  </si>
  <si>
    <t>Handles for coffins</t>
  </si>
  <si>
    <t>Poignées de cercueils</t>
  </si>
  <si>
    <t>101346</t>
  </si>
  <si>
    <t>Handles for windows</t>
  </si>
  <si>
    <t>Poignées de fenêtres</t>
  </si>
  <si>
    <t>101347</t>
  </si>
  <si>
    <t>Handles for furniture</t>
  </si>
  <si>
    <t>Poignées de meubles</t>
  </si>
  <si>
    <t>08-07</t>
  </si>
  <si>
    <t>101349</t>
  </si>
  <si>
    <t>LOCKING OR CLOSING DEVICES</t>
  </si>
  <si>
    <t>Theftproof locks</t>
  </si>
  <si>
    <t>Serrures antivol</t>
  </si>
  <si>
    <t>101350</t>
  </si>
  <si>
    <t>Catches for venetian blinds</t>
  </si>
  <si>
    <t>Arrêts de persiennes</t>
  </si>
  <si>
    <t>101351</t>
  </si>
  <si>
    <t>Cable-type padlocks for cycles</t>
  </si>
  <si>
    <t>Câbles antivol pour cycles</t>
  </si>
  <si>
    <t>101352</t>
  </si>
  <si>
    <t>Padlocks</t>
  </si>
  <si>
    <t>Cadenas</t>
  </si>
  <si>
    <t>101353</t>
  </si>
  <si>
    <t>Keys</t>
  </si>
  <si>
    <t>Clés [clefs] [serrurerie]</t>
  </si>
  <si>
    <t>101354</t>
  </si>
  <si>
    <t>Keys for electric contacts</t>
  </si>
  <si>
    <t>Clés de contact électrique</t>
  </si>
  <si>
    <t>101355</t>
  </si>
  <si>
    <t>Casement bolts for windows or doors</t>
  </si>
  <si>
    <t>Crémones de fenêtres ou de portes</t>
  </si>
  <si>
    <t>101356</t>
  </si>
  <si>
    <t>Espagnolettes [window fasteners]</t>
  </si>
  <si>
    <t>Espagnolettes</t>
  </si>
  <si>
    <t>101357</t>
  </si>
  <si>
    <t>Door closers</t>
  </si>
  <si>
    <t>Ferme-porte</t>
  </si>
  <si>
    <t>101358</t>
  </si>
  <si>
    <t>Closing devices for doors and windows</t>
  </si>
  <si>
    <t>Fermetures de portes ou fenêtres</t>
  </si>
  <si>
    <t>101359</t>
  </si>
  <si>
    <t>Clasps for leather goods</t>
  </si>
  <si>
    <t>Fermoirs d'articles de maroquinerie</t>
  </si>
  <si>
    <t>101360</t>
  </si>
  <si>
    <t>Clasps for purses and handbags</t>
  </si>
  <si>
    <t>Fermoirs de porte-monnaie et de sacs à main</t>
  </si>
  <si>
    <t>101361</t>
  </si>
  <si>
    <t>Strike plates for locks</t>
  </si>
  <si>
    <t>Gâches de serrures</t>
  </si>
  <si>
    <t>101362</t>
  </si>
  <si>
    <t>Latches</t>
  </si>
  <si>
    <t>Loquets</t>
  </si>
  <si>
    <t>101363</t>
  </si>
  <si>
    <t>Handcuffs</t>
  </si>
  <si>
    <t>Menottes</t>
  </si>
  <si>
    <t>Manacles</t>
  </si>
  <si>
    <t>101364</t>
  </si>
  <si>
    <t>Handbag frames</t>
  </si>
  <si>
    <t>Montures de sacs à main</t>
  </si>
  <si>
    <t>101365</t>
  </si>
  <si>
    <t>Hasps</t>
  </si>
  <si>
    <t>Moraillons</t>
  </si>
  <si>
    <t>101366</t>
  </si>
  <si>
    <t>Lock bolts</t>
  </si>
  <si>
    <t>Pênes de serrures</t>
  </si>
  <si>
    <t>101367</t>
  </si>
  <si>
    <t>Door openers [electric]</t>
  </si>
  <si>
    <t>Ouvre-porte [électrique]</t>
  </si>
  <si>
    <t>101368</t>
  </si>
  <si>
    <t>Door bolts</t>
  </si>
  <si>
    <t>Verrous de portes</t>
  </si>
  <si>
    <t>101369</t>
  </si>
  <si>
    <t>Locks</t>
  </si>
  <si>
    <t>Serrures</t>
  </si>
  <si>
    <t>101370</t>
  </si>
  <si>
    <t>Flat bolts [locks]</t>
  </si>
  <si>
    <t>Targettes</t>
  </si>
  <si>
    <t>101371</t>
  </si>
  <si>
    <t>Locking devices</t>
  </si>
  <si>
    <t>Dispositifs de verrouillage</t>
  </si>
  <si>
    <t>101372</t>
  </si>
  <si>
    <t>Clasps for cigarette cases</t>
  </si>
  <si>
    <t>Fermoirs d'étuis à cigarettes</t>
  </si>
  <si>
    <t>101373</t>
  </si>
  <si>
    <t>Box fasteners</t>
  </si>
  <si>
    <t>Fermetures de boîtes</t>
  </si>
  <si>
    <t>101374</t>
  </si>
  <si>
    <t>Door check brakes</t>
  </si>
  <si>
    <t>Freins de ferme-porte</t>
  </si>
  <si>
    <t>101375</t>
  </si>
  <si>
    <t>Tumbler locks</t>
  </si>
  <si>
    <t>Serrures à gorge</t>
  </si>
  <si>
    <t>101376</t>
  </si>
  <si>
    <t>Door locks for vehicles</t>
  </si>
  <si>
    <t>Serrures de portières de véhicules</t>
  </si>
  <si>
    <t>101377</t>
  </si>
  <si>
    <t>Fastenings for motor truck loading gates</t>
  </si>
  <si>
    <t>Serrures de ridelles de camions</t>
  </si>
  <si>
    <t>101378</t>
  </si>
  <si>
    <t>Safety locks for bicycles</t>
  </si>
  <si>
    <t>Serrures de sûreté pour cycles</t>
  </si>
  <si>
    <t>101379</t>
  </si>
  <si>
    <t>Shutter turnbuckles</t>
  </si>
  <si>
    <t>Tourniquets de contrevents</t>
  </si>
  <si>
    <t>101380</t>
  </si>
  <si>
    <t>Cable padlocks for motorcycles</t>
  </si>
  <si>
    <t>Cadenas à câble pour motocyclettes</t>
  </si>
  <si>
    <t>101381</t>
  </si>
  <si>
    <t>Wheel clamps [boots]</t>
  </si>
  <si>
    <t>Sabots de Denver</t>
  </si>
  <si>
    <t>101382</t>
  </si>
  <si>
    <t>Anti-theft interlocking strips for doors</t>
  </si>
  <si>
    <t>Baguettes antivol [interverrouillage] pour portes</t>
  </si>
  <si>
    <t>101383</t>
  </si>
  <si>
    <t>Anti-theft posts for motorcycles</t>
  </si>
  <si>
    <t>Poteaux antivol pour motos</t>
  </si>
  <si>
    <t>104592</t>
  </si>
  <si>
    <t>Tokens for shopping trolleys</t>
  </si>
  <si>
    <t>Jetons pour chariots de supermarché</t>
  </si>
  <si>
    <t>Tokens for shopping carts</t>
  </si>
  <si>
    <t>104594</t>
  </si>
  <si>
    <t>Code locks</t>
  </si>
  <si>
    <t>Serrures à code</t>
  </si>
  <si>
    <t>104632</t>
  </si>
  <si>
    <t>Locks for safety belts</t>
  </si>
  <si>
    <t>Dispositifs de verrouillage pour ceintures de sécurité</t>
  </si>
  <si>
    <t>104739</t>
  </si>
  <si>
    <t>Key card door locks</t>
  </si>
  <si>
    <t>Serrures à carte</t>
  </si>
  <si>
    <t>104959</t>
  </si>
  <si>
    <t>Keys for vehicles</t>
  </si>
  <si>
    <t>Clés pour véhicules</t>
  </si>
  <si>
    <t>104960</t>
  </si>
  <si>
    <t>Smart keys</t>
  </si>
  <si>
    <t>Clés intelligentes</t>
  </si>
  <si>
    <t>08-08</t>
  </si>
  <si>
    <t>101384</t>
  </si>
  <si>
    <t>FASTENING, SUPPORTING OR MOUNTING DEVICES NOT INCLUDED IN OTHER CLASSES</t>
  </si>
  <si>
    <t>Plate hangers</t>
  </si>
  <si>
    <t>Accroche-plats</t>
  </si>
  <si>
    <t>101385</t>
  </si>
  <si>
    <t>Staples for boxes</t>
  </si>
  <si>
    <t>Agrafes pour boîtes</t>
  </si>
  <si>
    <t>101386</t>
  </si>
  <si>
    <t>Staples for straps</t>
  </si>
  <si>
    <t>Agrafes pour courroies</t>
  </si>
  <si>
    <t>101387</t>
  </si>
  <si>
    <t>Lath staples</t>
  </si>
  <si>
    <t>Agrafes pour lattis</t>
  </si>
  <si>
    <t>101388</t>
  </si>
  <si>
    <t>Meat hooks</t>
  </si>
  <si>
    <t>Allonges de boucher</t>
  </si>
  <si>
    <t>Crocs à viande</t>
  </si>
  <si>
    <t>101390</t>
  </si>
  <si>
    <t>Fasteners for machine belts</t>
  </si>
  <si>
    <t>Attaches pour courroies de machines</t>
  </si>
  <si>
    <t>101391</t>
  </si>
  <si>
    <t>Clamps for hoses and pipes</t>
  </si>
  <si>
    <t>Brides pour tuyaux</t>
  </si>
  <si>
    <t>101392</t>
  </si>
  <si>
    <t>Brackets for holding cleaning brushes</t>
  </si>
  <si>
    <t>Supports de brosses de nettoyage</t>
  </si>
  <si>
    <t>101393</t>
  </si>
  <si>
    <t>Collars for gas pipes</t>
  </si>
  <si>
    <t>Colliers pour conduites de gaz</t>
  </si>
  <si>
    <t>101394</t>
  </si>
  <si>
    <t>Staples for electric wires</t>
  </si>
  <si>
    <t>Crampons d'attache pour fils électriques</t>
  </si>
  <si>
    <t>101395</t>
  </si>
  <si>
    <t>Hooks for hanging</t>
  </si>
  <si>
    <t>Crochets de suspension</t>
  </si>
  <si>
    <t>101396</t>
  </si>
  <si>
    <t>Metal hooks [general]</t>
  </si>
  <si>
    <t>Crochets métalliques [en général]</t>
  </si>
  <si>
    <t>101398</t>
  </si>
  <si>
    <t>Pipe hangers [except for tobacco pipes]</t>
  </si>
  <si>
    <t>Étriers de suspension pour tuyaux</t>
  </si>
  <si>
    <t>101400</t>
  </si>
  <si>
    <t>Fixing devices for ceiling light fittings</t>
  </si>
  <si>
    <t>Fixations de plafonniers</t>
  </si>
  <si>
    <t>101401</t>
  </si>
  <si>
    <t>Mirror fittings</t>
  </si>
  <si>
    <t>Fixe-glaces</t>
  </si>
  <si>
    <t>101402</t>
  </si>
  <si>
    <t>Snap hooks</t>
  </si>
  <si>
    <t>Mousquetons [moyens de fixation]</t>
  </si>
  <si>
    <t>101403</t>
  </si>
  <si>
    <t>Coat pegs</t>
  </si>
  <si>
    <t>Patères pour vêtements</t>
  </si>
  <si>
    <t>101407</t>
  </si>
  <si>
    <t>Hosepipe supports</t>
  </si>
  <si>
    <t>Supports de tuyaux flexibles</t>
  </si>
  <si>
    <t>101409</t>
  </si>
  <si>
    <t>Suction cups for attachment</t>
  </si>
  <si>
    <t>Ventouses de fixation</t>
  </si>
  <si>
    <t>101410</t>
  </si>
  <si>
    <t>Bolts</t>
  </si>
  <si>
    <t>Boulons</t>
  </si>
  <si>
    <t>101411</t>
  </si>
  <si>
    <t>Cotter pins</t>
  </si>
  <si>
    <t>Clavettes</t>
  </si>
  <si>
    <t>101412</t>
  </si>
  <si>
    <t>Nails</t>
  </si>
  <si>
    <t>Clous</t>
  </si>
  <si>
    <t>101413</t>
  </si>
  <si>
    <t>Brads</t>
  </si>
  <si>
    <t>Petits clous</t>
  </si>
  <si>
    <t>101414</t>
  </si>
  <si>
    <t>Ice crampons for shoes [except for climbing]</t>
  </si>
  <si>
    <t>Crampons à glace pour souliers [à l'exception des crampons pour alpinistes]</t>
  </si>
  <si>
    <t>101415</t>
  </si>
  <si>
    <t>Screw nuts</t>
  </si>
  <si>
    <t>Écrous</t>
  </si>
  <si>
    <t>101416</t>
  </si>
  <si>
    <t>Wing nuts</t>
  </si>
  <si>
    <t>Écrous à ailettes</t>
  </si>
  <si>
    <t>101417</t>
  </si>
  <si>
    <t>Locknuts</t>
  </si>
  <si>
    <t>Écrous indesserrables</t>
  </si>
  <si>
    <t>101418</t>
  </si>
  <si>
    <t>Linchpins</t>
  </si>
  <si>
    <t>Goupilles</t>
  </si>
  <si>
    <t>101419</t>
  </si>
  <si>
    <t>Tin tacks</t>
  </si>
  <si>
    <t>Pointes [petits clous]</t>
  </si>
  <si>
    <t>101420</t>
  </si>
  <si>
    <t>Spikes</t>
  </si>
  <si>
    <t>Pointes métalliques</t>
  </si>
  <si>
    <t>101422</t>
  </si>
  <si>
    <t>Rivets</t>
  </si>
  <si>
    <t>101423</t>
  </si>
  <si>
    <t>Washers for screws</t>
  </si>
  <si>
    <t>Rondelles pour vis</t>
  </si>
  <si>
    <t>101424</t>
  </si>
  <si>
    <t>Foundation bolts</t>
  </si>
  <si>
    <t>Tire-fond [quincaillerie]</t>
  </si>
  <si>
    <t>101425</t>
  </si>
  <si>
    <t>Screws</t>
  </si>
  <si>
    <t>Vis</t>
  </si>
  <si>
    <t>101426</t>
  </si>
  <si>
    <t>Collars for electric conductors</t>
  </si>
  <si>
    <t>Colliers pour conducteurs électriques</t>
  </si>
  <si>
    <t>101427</t>
  </si>
  <si>
    <t>Collars for pipes</t>
  </si>
  <si>
    <t>Colliers pour tuyaux</t>
  </si>
  <si>
    <t>101428</t>
  </si>
  <si>
    <t>Railway sleeper screws</t>
  </si>
  <si>
    <t>Tire-fond [chemin de fer]</t>
  </si>
  <si>
    <t>Railroad tie screws</t>
  </si>
  <si>
    <t>101429</t>
  </si>
  <si>
    <t>Fastening clips for cables</t>
  </si>
  <si>
    <t>Pinces d'attache pour câbles</t>
  </si>
  <si>
    <t>101430</t>
  </si>
  <si>
    <t>Shower holders</t>
  </si>
  <si>
    <t>Supports de douches</t>
  </si>
  <si>
    <t>Brackets for showers</t>
  </si>
  <si>
    <t>101431</t>
  </si>
  <si>
    <t>Chain swivels</t>
  </si>
  <si>
    <t>Émerillons de chaînes</t>
  </si>
  <si>
    <t>101432</t>
  </si>
  <si>
    <t>Fittings for showers</t>
  </si>
  <si>
    <t>Fixations de douches</t>
  </si>
  <si>
    <t>101433</t>
  </si>
  <si>
    <t>Bed angle irons</t>
  </si>
  <si>
    <t>Équerres d'éclisses de lits</t>
  </si>
  <si>
    <t>101434</t>
  </si>
  <si>
    <t>Tie holders [wardrobe]</t>
  </si>
  <si>
    <t>Porte-cravates [garde-robe]</t>
  </si>
  <si>
    <t>101435</t>
  </si>
  <si>
    <t>Belleville washers</t>
  </si>
  <si>
    <t>Rondelles Belleville</t>
  </si>
  <si>
    <t>101436</t>
  </si>
  <si>
    <t>Cable clamps [cleats] [non-electric]</t>
  </si>
  <si>
    <t>Serre-câbles [non électriques]</t>
  </si>
  <si>
    <t>101437</t>
  </si>
  <si>
    <t>Supports for central heating radiators</t>
  </si>
  <si>
    <t>Supports de radiateurs de chauffage</t>
  </si>
  <si>
    <t>101438</t>
  </si>
  <si>
    <t>Wall racks for canoes</t>
  </si>
  <si>
    <t>Râteliers muraux à canoës</t>
  </si>
  <si>
    <t>101439</t>
  </si>
  <si>
    <t>Wall racks for skis</t>
  </si>
  <si>
    <t>Râteliers muraux pour skis</t>
  </si>
  <si>
    <t>101440</t>
  </si>
  <si>
    <t>Cleats for docks</t>
  </si>
  <si>
    <t>Bittes d'amarrage</t>
  </si>
  <si>
    <t>101441</t>
  </si>
  <si>
    <t>Fittings for hanging cupboards</t>
  </si>
  <si>
    <t>Fixations pour suspendre les armoires</t>
  </si>
  <si>
    <t>101442</t>
  </si>
  <si>
    <t>Picture frame fittings</t>
  </si>
  <si>
    <t>Fixations pour cadres de tableaux</t>
  </si>
  <si>
    <t>101443</t>
  </si>
  <si>
    <t>Brackets</t>
  </si>
  <si>
    <t>Tasseaux [moyens de soutien]</t>
  </si>
  <si>
    <t>101444</t>
  </si>
  <si>
    <t>Dowels</t>
  </si>
  <si>
    <t>Chevilles [tampons]</t>
  </si>
  <si>
    <t>Tampons [chevilles]</t>
  </si>
  <si>
    <t>101445</t>
  </si>
  <si>
    <t>Eye-bolts</t>
  </si>
  <si>
    <t>Pitons</t>
  </si>
  <si>
    <t>101446</t>
  </si>
  <si>
    <t>Ties for plants</t>
  </si>
  <si>
    <t>Colliers pour le tuteurage</t>
  </si>
  <si>
    <t>101447</t>
  </si>
  <si>
    <t>Wall slides [fastening devices]</t>
  </si>
  <si>
    <t>Glissières murales [moyens de fixation]</t>
  </si>
  <si>
    <t>101449</t>
  </si>
  <si>
    <t>Fittings for shelving</t>
  </si>
  <si>
    <t>Fixations pour rayonnages</t>
  </si>
  <si>
    <t>101450</t>
  </si>
  <si>
    <t>Keyboards for hanging keys</t>
  </si>
  <si>
    <t>Tableaux accroche-clefs</t>
  </si>
  <si>
    <t>101451</t>
  </si>
  <si>
    <t>Flagpole holders</t>
  </si>
  <si>
    <t>Supports pour hampes de drapeau</t>
  </si>
  <si>
    <t>101452</t>
  </si>
  <si>
    <t>Coat hooks</t>
  </si>
  <si>
    <t>Crochets à vêtements</t>
  </si>
  <si>
    <t>101453</t>
  </si>
  <si>
    <t>Mooring buoys</t>
  </si>
  <si>
    <t>Bouées d'amarrage</t>
  </si>
  <si>
    <t>101454</t>
  </si>
  <si>
    <t>Poles [for supporting plants]</t>
  </si>
  <si>
    <t>Échalas</t>
  </si>
  <si>
    <t>101455</t>
  </si>
  <si>
    <t>Stands for letter boxes</t>
  </si>
  <si>
    <t>Supports pour boîtes aux lettres</t>
  </si>
  <si>
    <t>101456</t>
  </si>
  <si>
    <t>Stakes for plants or flowers</t>
  </si>
  <si>
    <t>Tuteurs pour plantes ou fleurs</t>
  </si>
  <si>
    <t>104740</t>
  </si>
  <si>
    <t>Plant hangers</t>
  </si>
  <si>
    <t>Dispositifs de suspension pour plantes</t>
  </si>
  <si>
    <t>104741</t>
  </si>
  <si>
    <t>Bag hangers</t>
  </si>
  <si>
    <t>Accroche-sacs</t>
  </si>
  <si>
    <t>104742</t>
  </si>
  <si>
    <t>Anchors for mining</t>
  </si>
  <si>
    <t>Ancrages pour l'exploitation minière</t>
  </si>
  <si>
    <t>104743</t>
  </si>
  <si>
    <t>Plant grafting clips</t>
  </si>
  <si>
    <t>Pinces de greffage</t>
  </si>
  <si>
    <t>08-09</t>
  </si>
  <si>
    <t>101457</t>
  </si>
  <si>
    <t>METAL FITTINGS AND MOUNTINGS FOR DOORS, WINDOWS AND FURNITURE, AND SIMILAR ARTICLES, NOT INCLUDED IN OTHER CLASSES OR SUBCLASSES</t>
  </si>
  <si>
    <t>Window stops</t>
  </si>
  <si>
    <t>Entrebâilleurs de fenêtres</t>
  </si>
  <si>
    <t>101458</t>
  </si>
  <si>
    <t>Door stops</t>
  </si>
  <si>
    <t>Arrêts de portes</t>
  </si>
  <si>
    <t>101459</t>
  </si>
  <si>
    <t>Coffin fittings</t>
  </si>
  <si>
    <t>Ferrures de cercueils</t>
  </si>
  <si>
    <t>101460</t>
  </si>
  <si>
    <t>Squares [metalwork]</t>
  </si>
  <si>
    <t>Équerres [ferronnerie]</t>
  </si>
  <si>
    <t>101461</t>
  </si>
  <si>
    <t>Ironwork for gutters</t>
  </si>
  <si>
    <t>Ferrements de gouttières</t>
  </si>
  <si>
    <t>101462</t>
  </si>
  <si>
    <t>Trunk fittings</t>
  </si>
  <si>
    <t>Ferrures de malles</t>
  </si>
  <si>
    <t>101463</t>
  </si>
  <si>
    <t>Finger plates for doors</t>
  </si>
  <si>
    <t>Plaques de propreté pour portes</t>
  </si>
  <si>
    <t>101464</t>
  </si>
  <si>
    <t>Rosettes for locks</t>
  </si>
  <si>
    <t>Rosaces pour serrures</t>
  </si>
  <si>
    <t>101465</t>
  </si>
  <si>
    <t>Fittings for locks</t>
  </si>
  <si>
    <t>Garnitures de serrures</t>
  </si>
  <si>
    <t>101466</t>
  </si>
  <si>
    <t>Mountings for doors</t>
  </si>
  <si>
    <t>Dispositifs de montage pour portes</t>
  </si>
  <si>
    <t>101467</t>
  </si>
  <si>
    <t>Mountings for furniture</t>
  </si>
  <si>
    <t>Dispositifs de montage pour meubles</t>
  </si>
  <si>
    <t>101468</t>
  </si>
  <si>
    <t>Mountings for windows</t>
  </si>
  <si>
    <t>Dispositifs de montage pour fenêtres</t>
  </si>
  <si>
    <t>101469</t>
  </si>
  <si>
    <t>Fittings for furniture</t>
  </si>
  <si>
    <t>Ferrures pour meubles</t>
  </si>
  <si>
    <t>101470</t>
  </si>
  <si>
    <t>Fittings for windows</t>
  </si>
  <si>
    <t>Ferrures pour fenêtres</t>
  </si>
  <si>
    <t>101471</t>
  </si>
  <si>
    <t>Fittings for doors</t>
  </si>
  <si>
    <t>Ferrures pour portes</t>
  </si>
  <si>
    <t>08-10</t>
  </si>
  <si>
    <t>101472</t>
  </si>
  <si>
    <t>BICYCLE AND MOTORCYCLE RACKS</t>
  </si>
  <si>
    <t>Bicycle racks</t>
  </si>
  <si>
    <t>Râteliers à bicyclettes</t>
  </si>
  <si>
    <t>101473</t>
  </si>
  <si>
    <t>Bicycle repair stands</t>
  </si>
  <si>
    <t>Supports pour réparation de bicyclettes</t>
  </si>
  <si>
    <t>101474</t>
  </si>
  <si>
    <t>Motorcycle racks</t>
  </si>
  <si>
    <t>Râteliers à motocyclettes</t>
  </si>
  <si>
    <t>101475</t>
  </si>
  <si>
    <t>Motorcycle repair stands</t>
  </si>
  <si>
    <t>Supports pour réparation de motocyclettes</t>
  </si>
  <si>
    <t>08-11</t>
  </si>
  <si>
    <t>101488</t>
  </si>
  <si>
    <t>Hardware for curtains</t>
  </si>
  <si>
    <t>Curtain rails</t>
  </si>
  <si>
    <t>Rails pour rideaux</t>
  </si>
  <si>
    <t>101491</t>
  </si>
  <si>
    <t>Curtain rods</t>
  </si>
  <si>
    <t>Tringles à rideaux</t>
  </si>
  <si>
    <t>101348</t>
  </si>
  <si>
    <t>Curtain pulls</t>
  </si>
  <si>
    <t>Tirettes de rideaux</t>
  </si>
  <si>
    <t>101408</t>
  </si>
  <si>
    <t>Curtain hangers</t>
  </si>
  <si>
    <t>Dispositifs de suspension pour rideaux</t>
  </si>
  <si>
    <t>101405</t>
  </si>
  <si>
    <t>Curtain hooks</t>
  </si>
  <si>
    <t>Crochets de suspension pour rideaux</t>
  </si>
  <si>
    <t>101389</t>
  </si>
  <si>
    <t>Curtain rings</t>
  </si>
  <si>
    <t>Anneaux pour rideaux</t>
  </si>
  <si>
    <t>101406</t>
  </si>
  <si>
    <t>Curtain rod holders</t>
  </si>
  <si>
    <t>Supports de tringles à rideaux</t>
  </si>
  <si>
    <t>101397</t>
  </si>
  <si>
    <t>Curtain runners</t>
  </si>
  <si>
    <t>Curseurs pour rideaux</t>
  </si>
  <si>
    <t>Galets pour rideaux</t>
  </si>
  <si>
    <t>101448</t>
  </si>
  <si>
    <t>Finials for curtain poles</t>
  </si>
  <si>
    <t>Embouts de tringles à rideaux</t>
  </si>
  <si>
    <t>101399</t>
  </si>
  <si>
    <t>Fittings for curtains and blinds</t>
  </si>
  <si>
    <t>Fixations de rideaux et stores</t>
  </si>
  <si>
    <t>08-99</t>
  </si>
  <si>
    <t>101476</t>
  </si>
  <si>
    <t>Permanent magnets</t>
  </si>
  <si>
    <t>Aimants permanents</t>
  </si>
  <si>
    <t>101477</t>
  </si>
  <si>
    <t>Barbed wire</t>
  </si>
  <si>
    <t>Fil de fer barbelé</t>
  </si>
  <si>
    <t>101478</t>
  </si>
  <si>
    <t>Buffer stops for beds, trolleys and doors</t>
  </si>
  <si>
    <t>Butoirs pour lits, chariots et portes</t>
  </si>
  <si>
    <t>101479</t>
  </si>
  <si>
    <t>Chains [metal]</t>
  </si>
  <si>
    <t>Chaînes métalliques</t>
  </si>
  <si>
    <t>101480</t>
  </si>
  <si>
    <t>Sawhorses</t>
  </si>
  <si>
    <t>Chevalets pour scier</t>
  </si>
  <si>
    <t>101481</t>
  </si>
  <si>
    <t>Trestles for building industry</t>
  </si>
  <si>
    <t>Chevalets pour l'industrie du bâtiment</t>
  </si>
  <si>
    <t>101482</t>
  </si>
  <si>
    <t>Shoe scrapers</t>
  </si>
  <si>
    <t>Racloirs à chaussures</t>
  </si>
  <si>
    <t>Décrottoirs</t>
  </si>
  <si>
    <t>101483</t>
  </si>
  <si>
    <t>Reels for electric wires</t>
  </si>
  <si>
    <t>Dévidoirs pour fils électriques</t>
  </si>
  <si>
    <t>101484</t>
  </si>
  <si>
    <t>Hosepipe reels</t>
  </si>
  <si>
    <t>Dévidoirs pour tuyaux</t>
  </si>
  <si>
    <t>101485</t>
  </si>
  <si>
    <t>Scarecrows [mobile strips]</t>
  </si>
  <si>
    <t>Épouvantails à oiseaux [feuilles mobiles]</t>
  </si>
  <si>
    <t>101486</t>
  </si>
  <si>
    <t>Tension links</t>
  </si>
  <si>
    <t>Étriers de tension</t>
  </si>
  <si>
    <t>101487</t>
  </si>
  <si>
    <t>Wires of metal [not insulated]</t>
  </si>
  <si>
    <t>Fils métalliques [non isolés]</t>
  </si>
  <si>
    <t>101489</t>
  </si>
  <si>
    <t>Drums for electric cable</t>
  </si>
  <si>
    <t>Tambours-dévidoirs pour fils électriques</t>
  </si>
  <si>
    <t>101490</t>
  </si>
  <si>
    <t>Trellis</t>
  </si>
  <si>
    <t>Treillis</t>
  </si>
  <si>
    <t>101492</t>
  </si>
  <si>
    <t>Tow ropes</t>
  </si>
  <si>
    <t>Câbles de remorquage</t>
  </si>
  <si>
    <t>101493</t>
  </si>
  <si>
    <t>Bowden cables</t>
  </si>
  <si>
    <t>Câbles Bowden</t>
  </si>
  <si>
    <t>101494</t>
  </si>
  <si>
    <t>Chain links</t>
  </si>
  <si>
    <t>Maillons de chaînes</t>
  </si>
  <si>
    <t>101495</t>
  </si>
  <si>
    <t>Welding rods</t>
  </si>
  <si>
    <t>Baguettes et fils de soudure</t>
  </si>
  <si>
    <t>101496</t>
  </si>
  <si>
    <t>Ski-waxing racks</t>
  </si>
  <si>
    <t>Tréteaux à farter</t>
  </si>
  <si>
    <t>101497</t>
  </si>
  <si>
    <t>Chopping blocks for chopping wood</t>
  </si>
  <si>
    <t>Billots pour fendre le bois</t>
  </si>
  <si>
    <t>101498</t>
  </si>
  <si>
    <t>Supports for boats ashore</t>
  </si>
  <si>
    <t>Supports pour bateaux en cale sèche</t>
  </si>
  <si>
    <t>101499</t>
  </si>
  <si>
    <t>Linemen's climbers</t>
  </si>
  <si>
    <t>Griffes [pour grimper aux poteaux]</t>
  </si>
  <si>
    <t>101500</t>
  </si>
  <si>
    <t>Rails for sliding doors</t>
  </si>
  <si>
    <t>Rails pour portes coulissantes</t>
  </si>
  <si>
    <t>101501</t>
  </si>
  <si>
    <t>Storage reels for ropes</t>
  </si>
  <si>
    <t>Dévidoirs pour cordes</t>
  </si>
  <si>
    <t>101502</t>
  </si>
  <si>
    <t>Floor protectors for furniture</t>
  </si>
  <si>
    <t>Patins pour pieds de meubles</t>
  </si>
  <si>
    <t>Carpet protectors for furniture</t>
  </si>
  <si>
    <t>101503</t>
  </si>
  <si>
    <t>Reels for metal strips</t>
  </si>
  <si>
    <t>Dévidoirs pour bandes métalliques</t>
  </si>
  <si>
    <t>101504</t>
  </si>
  <si>
    <t>Cables for tying down loads</t>
  </si>
  <si>
    <t>Câbles d'arrimage</t>
  </si>
  <si>
    <t>101505</t>
  </si>
  <si>
    <t>Handles for tools</t>
  </si>
  <si>
    <t>Manches d'outils</t>
  </si>
  <si>
    <t>09</t>
  </si>
  <si>
    <t>09-01</t>
  </si>
  <si>
    <t>101506</t>
  </si>
  <si>
    <t>Embalaje y recipientes para el transporte o manipulación de mercancías: Incluye envases y contenedores utilizados en el transporte y manejo de productos.</t>
  </si>
  <si>
    <t>PACKAGING AND CONTAINERS FOR THE TRANSPORT OR HANDLING OF GOODS</t>
  </si>
  <si>
    <t>BOTTLES, FLASKS, POTS, CARBOYS, DEMIJOHNS, AND PRESSURIZED CONTAINERS</t>
  </si>
  <si>
    <t>Aerosol dispensers</t>
  </si>
  <si>
    <t>Bombes à aérosol</t>
  </si>
  <si>
    <t>101507</t>
  </si>
  <si>
    <t>Aerosol dispensers for air fresheners</t>
  </si>
  <si>
    <t>Bombes désodorisantes</t>
  </si>
  <si>
    <t>101508</t>
  </si>
  <si>
    <t>Aerosol dispensers for insecticides</t>
  </si>
  <si>
    <t>Bombes insecticides</t>
  </si>
  <si>
    <t>101509</t>
  </si>
  <si>
    <t>Carboys</t>
  </si>
  <si>
    <t>Bonbonnes</t>
  </si>
  <si>
    <t>101511</t>
  </si>
  <si>
    <t>Demijohns</t>
  </si>
  <si>
    <t>Dames-jeannes</t>
  </si>
  <si>
    <t>101512</t>
  </si>
  <si>
    <t>Bottles</t>
  </si>
  <si>
    <t>Bouteilles</t>
  </si>
  <si>
    <t>Flacons</t>
  </si>
  <si>
    <t>101513</t>
  </si>
  <si>
    <t>Containers for liquid or solid gas</t>
  </si>
  <si>
    <t>Récipients de gaz liquéfiés ou solidifiés</t>
  </si>
  <si>
    <t>101514</t>
  </si>
  <si>
    <t>Drinking flasks for travellers</t>
  </si>
  <si>
    <t>Gourdes</t>
  </si>
  <si>
    <t>Bottle gourds</t>
  </si>
  <si>
    <t>101515</t>
  </si>
  <si>
    <t>Jars [packaging]</t>
  </si>
  <si>
    <t>Bocaux [emballages]</t>
  </si>
  <si>
    <t>101516</t>
  </si>
  <si>
    <t>Cups for collecting resin</t>
  </si>
  <si>
    <t>Pots pour récolter la résine</t>
  </si>
  <si>
    <t>101518</t>
  </si>
  <si>
    <t>Liquid gas cartridges for cigarette lighters</t>
  </si>
  <si>
    <t>Cartouches de gaz liquéfié pour briquets</t>
  </si>
  <si>
    <t>101519</t>
  </si>
  <si>
    <t>Bottle coverings</t>
  </si>
  <si>
    <t>Enveloppes pour bouteilles</t>
  </si>
  <si>
    <t>101520</t>
  </si>
  <si>
    <t>Cylinders of steel for compressed gas</t>
  </si>
  <si>
    <t>Cylindres métalliques pour gaz comprimé</t>
  </si>
  <si>
    <t>101521</t>
  </si>
  <si>
    <t>Beakers used for packaging</t>
  </si>
  <si>
    <t>Gobelets pour l'emballage</t>
  </si>
  <si>
    <t>101522</t>
  </si>
  <si>
    <t>Bottles for cosmetics [packaging]</t>
  </si>
  <si>
    <t>Bouteilles pour cosmétiques [emballages]</t>
  </si>
  <si>
    <t>101523</t>
  </si>
  <si>
    <t>Drink cans</t>
  </si>
  <si>
    <t>Canettes</t>
  </si>
  <si>
    <t>104577</t>
  </si>
  <si>
    <t>Beverage bottles</t>
  </si>
  <si>
    <t>Bouteilles pour boissons</t>
  </si>
  <si>
    <t>104581</t>
  </si>
  <si>
    <t>Bottles for water dispensers</t>
  </si>
  <si>
    <t>Bonbonnes pour fontaines à eau</t>
  </si>
  <si>
    <t>104961</t>
  </si>
  <si>
    <t>Pots [packaging]</t>
  </si>
  <si>
    <t>Pots [emballages]</t>
  </si>
  <si>
    <t>09-02</t>
  </si>
  <si>
    <t>101524</t>
  </si>
  <si>
    <t>STORAGE CANS, DRUMS AND CASKS</t>
  </si>
  <si>
    <t>Vats</t>
  </si>
  <si>
    <t>Cuves</t>
  </si>
  <si>
    <t>101525</t>
  </si>
  <si>
    <t>Kegs [small barrels]</t>
  </si>
  <si>
    <t>Barils</t>
  </si>
  <si>
    <t>Small barrels [kegs]</t>
  </si>
  <si>
    <t>101526</t>
  </si>
  <si>
    <t>Casks, large barrels</t>
  </si>
  <si>
    <t>Barriques</t>
  </si>
  <si>
    <t>101528</t>
  </si>
  <si>
    <t>Herring barrels</t>
  </si>
  <si>
    <t>Caques à harengs</t>
  </si>
  <si>
    <t>101529</t>
  </si>
  <si>
    <t>Wine vats</t>
  </si>
  <si>
    <t>Cuves à vin</t>
  </si>
  <si>
    <t>101530</t>
  </si>
  <si>
    <t>Canisters</t>
  </si>
  <si>
    <t>Estagnons</t>
  </si>
  <si>
    <t>101531</t>
  </si>
  <si>
    <t>Barrels, casks, drums [containers]</t>
  </si>
  <si>
    <t>Fûts</t>
  </si>
  <si>
    <t>Barrels, drums, casks [containers]</t>
  </si>
  <si>
    <t>101532</t>
  </si>
  <si>
    <t>Jerricans</t>
  </si>
  <si>
    <t>Jerrycans</t>
  </si>
  <si>
    <t>101533</t>
  </si>
  <si>
    <t>Tuns</t>
  </si>
  <si>
    <t>Tonneaux</t>
  </si>
  <si>
    <t>Casks</t>
  </si>
  <si>
    <t>Futailles</t>
  </si>
  <si>
    <t>101534</t>
  </si>
  <si>
    <t>Small casks, kegs</t>
  </si>
  <si>
    <t>Tonnelets</t>
  </si>
  <si>
    <t>101535</t>
  </si>
  <si>
    <t>Storage cans</t>
  </si>
  <si>
    <t>Bidons</t>
  </si>
  <si>
    <t>104962</t>
  </si>
  <si>
    <t>Paint buckets [packaging]</t>
  </si>
  <si>
    <t>Seaux de peinture [emballages]</t>
  </si>
  <si>
    <t>09-03</t>
  </si>
  <si>
    <t>101536</t>
  </si>
  <si>
    <t>BOXES, CASES, CONTAINERS, TIN CANS</t>
  </si>
  <si>
    <t>Motion picture storage cans</t>
  </si>
  <si>
    <t>Boîtes de stockage de films</t>
  </si>
  <si>
    <t>101537</t>
  </si>
  <si>
    <t>Match boxes</t>
  </si>
  <si>
    <t>Boîtes d'allumettes</t>
  </si>
  <si>
    <t>101538</t>
  </si>
  <si>
    <t>Freight containers</t>
  </si>
  <si>
    <t>Conteneurs de fret</t>
  </si>
  <si>
    <t>Shipping containers</t>
  </si>
  <si>
    <t>101539</t>
  </si>
  <si>
    <t>Tetrahedral cartons [packaging]</t>
  </si>
  <si>
    <t>Berlingots [emballages]</t>
  </si>
  <si>
    <t>101540</t>
  </si>
  <si>
    <t>Packaging boxes</t>
  </si>
  <si>
    <t>Boîtes pour l'emballage</t>
  </si>
  <si>
    <t>101541</t>
  </si>
  <si>
    <t>Boxes for gloves [packaging]</t>
  </si>
  <si>
    <t>Boîtes pour gants [emballages]</t>
  </si>
  <si>
    <t>101542</t>
  </si>
  <si>
    <t>Tin cans</t>
  </si>
  <si>
    <t>Boîtes à conserves</t>
  </si>
  <si>
    <t>101543</t>
  </si>
  <si>
    <t>Cardboard boxes [packaging]</t>
  </si>
  <si>
    <t>Boîtes en carton [emballages]</t>
  </si>
  <si>
    <t>101544</t>
  </si>
  <si>
    <t>Packing cases</t>
  </si>
  <si>
    <t>Caisses [emballages]</t>
  </si>
  <si>
    <t>101545</t>
  </si>
  <si>
    <t>Hat boxes [packaging]</t>
  </si>
  <si>
    <t>Cartons à chapeaux [emballages]</t>
  </si>
  <si>
    <t>101546</t>
  </si>
  <si>
    <t>Egg cartons</t>
  </si>
  <si>
    <t>Cartons à œufs</t>
  </si>
  <si>
    <t>101547</t>
  </si>
  <si>
    <t>Comfit boxes</t>
  </si>
  <si>
    <t>Drageoirs</t>
  </si>
  <si>
    <t>101548</t>
  </si>
  <si>
    <t>Bottle carriers [for transport]</t>
  </si>
  <si>
    <t>Porte-bouteilles [pour transport]</t>
  </si>
  <si>
    <t>101549</t>
  </si>
  <si>
    <t>Bottle racks [for transport]</t>
  </si>
  <si>
    <t>Casiers à bouteilles [pour transport]</t>
  </si>
  <si>
    <t>Râteliers à bouteilles [pour transport]</t>
  </si>
  <si>
    <t>101550</t>
  </si>
  <si>
    <t>Cigarette packets [packaging]</t>
  </si>
  <si>
    <t>Paquets de cigarettes [emballages]</t>
  </si>
  <si>
    <t>101551</t>
  </si>
  <si>
    <t>Packaging boxes for pills</t>
  </si>
  <si>
    <t>Boîtes d'emballage pour pilules</t>
  </si>
  <si>
    <t>101552</t>
  </si>
  <si>
    <t>Matchbooks</t>
  </si>
  <si>
    <t>Pochettes d'allumettes</t>
  </si>
  <si>
    <t>101553</t>
  </si>
  <si>
    <t>Carriers for transporting tetrahedral cartons</t>
  </si>
  <si>
    <t>Porte-berlingots pour transport</t>
  </si>
  <si>
    <t>101554</t>
  </si>
  <si>
    <t>Boxes for salt [packaging]</t>
  </si>
  <si>
    <t>Boîtes pour le sel [emballages]</t>
  </si>
  <si>
    <t>101555</t>
  </si>
  <si>
    <t>Packaging cartons</t>
  </si>
  <si>
    <t>Cartons d'emballage</t>
  </si>
  <si>
    <t>101556</t>
  </si>
  <si>
    <t>Portable compost containers</t>
  </si>
  <si>
    <t>Conteneurs transportables pour le compost</t>
  </si>
  <si>
    <t>101557</t>
  </si>
  <si>
    <t>Dividers for containers</t>
  </si>
  <si>
    <t>Séparations pour conteneurs</t>
  </si>
  <si>
    <t>Separators for containers</t>
  </si>
  <si>
    <t>101558</t>
  </si>
  <si>
    <t>Shelves for use in freight containers</t>
  </si>
  <si>
    <t>Rayons pour conteneurs de fret</t>
  </si>
  <si>
    <t>Shelves for use in shipping containers</t>
  </si>
  <si>
    <t>101559</t>
  </si>
  <si>
    <t>Trays for packaging foodstuffs</t>
  </si>
  <si>
    <t>Barquettes pour l'emballage de produits alimentaires</t>
  </si>
  <si>
    <t>101560</t>
  </si>
  <si>
    <t>Boxes for cosmetics [packaging]</t>
  </si>
  <si>
    <t>Boîtes pour cosmétiques [emballages]</t>
  </si>
  <si>
    <t>101561</t>
  </si>
  <si>
    <t>Boxes for lozenges [packaging]</t>
  </si>
  <si>
    <t>Boîtes à pastilles [emballages]</t>
  </si>
  <si>
    <t>101562</t>
  </si>
  <si>
    <t>Packaging boxes for storage</t>
  </si>
  <si>
    <t>Boîtes d'emballage pour le stockage</t>
  </si>
  <si>
    <t>101563</t>
  </si>
  <si>
    <t>Packaging for foodstuffs</t>
  </si>
  <si>
    <t>Emballages pour produits alimentaires</t>
  </si>
  <si>
    <t>101564</t>
  </si>
  <si>
    <t>Handlebar containers</t>
  </si>
  <si>
    <t>Conteneurs de guidon</t>
  </si>
  <si>
    <t>101565</t>
  </si>
  <si>
    <t>Tins for packaging purposes</t>
  </si>
  <si>
    <t>Boîtes en fer blanc pour l'emballage</t>
  </si>
  <si>
    <t>101566</t>
  </si>
  <si>
    <t>Collection boxes for religious purposes</t>
  </si>
  <si>
    <t>Troncs pour lieux de culte</t>
  </si>
  <si>
    <t>101567</t>
  </si>
  <si>
    <t>Packaging trays for plants</t>
  </si>
  <si>
    <t>Barquettes pour l'emballage de plantes</t>
  </si>
  <si>
    <t>101568</t>
  </si>
  <si>
    <t>Casings for radioactive products</t>
  </si>
  <si>
    <t>Boîtiers pour produits radioactifs</t>
  </si>
  <si>
    <t>101569</t>
  </si>
  <si>
    <t>Ballot boxes</t>
  </si>
  <si>
    <t>Urnes électorales</t>
  </si>
  <si>
    <t>101570</t>
  </si>
  <si>
    <t>Seedling trays</t>
  </si>
  <si>
    <t>Bacs à semis</t>
  </si>
  <si>
    <t>101571</t>
  </si>
  <si>
    <t>Disposable containers or pots for flowers or plants</t>
  </si>
  <si>
    <t>Bacs ou pots jetables pour fleurs ou plantes</t>
  </si>
  <si>
    <t>101572</t>
  </si>
  <si>
    <t>Trays for transporting flower pots or plants</t>
  </si>
  <si>
    <t>Plateaux pour le transport de pots de fleurs ou de plantes</t>
  </si>
  <si>
    <t>104582</t>
  </si>
  <si>
    <t>Boxes for paper tissues [packaging]</t>
  </si>
  <si>
    <t>Boîtes à mouchoirs en papier [emballages]</t>
  </si>
  <si>
    <t>104674</t>
  </si>
  <si>
    <t>Transport frames for household appliances</t>
  </si>
  <si>
    <t>Cadres de transport pour appareils ménagers</t>
  </si>
  <si>
    <t>104963</t>
  </si>
  <si>
    <t>Tote boxes</t>
  </si>
  <si>
    <t>Bacs de manutention</t>
  </si>
  <si>
    <t>09-04</t>
  </si>
  <si>
    <t>101573</t>
  </si>
  <si>
    <t>HAMPERS, CRATES AND BASKETS</t>
  </si>
  <si>
    <t>Hampers</t>
  </si>
  <si>
    <t>Bourriches</t>
  </si>
  <si>
    <t>101574</t>
  </si>
  <si>
    <t>Crates</t>
  </si>
  <si>
    <t>Cageots</t>
  </si>
  <si>
    <t>Harasses</t>
  </si>
  <si>
    <t>101575</t>
  </si>
  <si>
    <t>Grape-picking baskets</t>
  </si>
  <si>
    <t>Hottes à vendange</t>
  </si>
  <si>
    <t>101576</t>
  </si>
  <si>
    <t>Baskets [packaging]</t>
  </si>
  <si>
    <t>Paniers [emballages]</t>
  </si>
  <si>
    <t>101577</t>
  </si>
  <si>
    <t>Handlebar baskets</t>
  </si>
  <si>
    <t>Paniers s'adaptant aux guidons de cycles</t>
  </si>
  <si>
    <t>09-05</t>
  </si>
  <si>
    <t>101578</t>
  </si>
  <si>
    <t>BAGS, SACHETS, TUBES AND CAPSULES</t>
  </si>
  <si>
    <t>Ampules [packaging]</t>
  </si>
  <si>
    <t>Ampoules [emballages]</t>
  </si>
  <si>
    <t>101579</t>
  </si>
  <si>
    <t>Capsules [casings]</t>
  </si>
  <si>
    <t>Capsules [enveloppes]</t>
  </si>
  <si>
    <t>101580</t>
  </si>
  <si>
    <t>Capsules for pharmaceutical products</t>
  </si>
  <si>
    <t>Capsules pour produits pharmaceutiques</t>
  </si>
  <si>
    <t>101581</t>
  </si>
  <si>
    <t>Cornets [packaging]</t>
  </si>
  <si>
    <t>Cornets [emballages]</t>
  </si>
  <si>
    <t>101582</t>
  </si>
  <si>
    <t>Sleeves for phonograph records</t>
  </si>
  <si>
    <t>Pochettes de disques phonographiques</t>
  </si>
  <si>
    <t>101583</t>
  </si>
  <si>
    <t>Sachets [packaging]</t>
  </si>
  <si>
    <t>Sachets [emballages]</t>
  </si>
  <si>
    <t>101584</t>
  </si>
  <si>
    <t>Bags for tea or coffee</t>
  </si>
  <si>
    <t>Sachets à thé ou à café</t>
  </si>
  <si>
    <t>101585</t>
  </si>
  <si>
    <t>Bags [packaging]</t>
  </si>
  <si>
    <t>Sacs [emballages]</t>
  </si>
  <si>
    <t>101586</t>
  </si>
  <si>
    <t>Bags of paper</t>
  </si>
  <si>
    <t>Sacs en papier</t>
  </si>
  <si>
    <t>101587</t>
  </si>
  <si>
    <t>Tubes [packaging containers]</t>
  </si>
  <si>
    <t>Tubes [récipients d'emballage]</t>
  </si>
  <si>
    <t>101588</t>
  </si>
  <si>
    <t>Packaging for ice cream cornets</t>
  </si>
  <si>
    <t>Emballages pour cornets à glace</t>
  </si>
  <si>
    <t>101589</t>
  </si>
  <si>
    <t>Mailbags</t>
  </si>
  <si>
    <t>Sacs postaux</t>
  </si>
  <si>
    <t>101590</t>
  </si>
  <si>
    <t>Bags for making ice cubes</t>
  </si>
  <si>
    <t>Sachets pour faire des glaçons</t>
  </si>
  <si>
    <t>101591</t>
  </si>
  <si>
    <t>Coin tubes [packaging]</t>
  </si>
  <si>
    <t>Tubes à monnaie [emballages]</t>
  </si>
  <si>
    <t>101592</t>
  </si>
  <si>
    <t>Garbage bags</t>
  </si>
  <si>
    <t>Sacs à ordures</t>
  </si>
  <si>
    <t>Refuse bags</t>
  </si>
  <si>
    <t>101593</t>
  </si>
  <si>
    <t>Pouches [packaging]</t>
  </si>
  <si>
    <t>Pochettes [emballages]</t>
  </si>
  <si>
    <t>101595</t>
  </si>
  <si>
    <t>Blister packs [packaging]</t>
  </si>
  <si>
    <t>Emballages de type "blister"</t>
  </si>
  <si>
    <t>101596</t>
  </si>
  <si>
    <t>Collection bags for religious purposes</t>
  </si>
  <si>
    <t>Bourses pour lieux de culte</t>
  </si>
  <si>
    <t>101597</t>
  </si>
  <si>
    <t>Carrier bags</t>
  </si>
  <si>
    <t>Sacs de caisse</t>
  </si>
  <si>
    <t>101598</t>
  </si>
  <si>
    <t>School cones [packaging]</t>
  </si>
  <si>
    <t>Cornets-surprise pour écoliers [emballages]</t>
  </si>
  <si>
    <t>101599</t>
  </si>
  <si>
    <t>Sleeves for compact discs</t>
  </si>
  <si>
    <t>Pochettes pour disques compacts</t>
  </si>
  <si>
    <t>104744</t>
  </si>
  <si>
    <t>Packaging sleeves</t>
  </si>
  <si>
    <t>Fourreaux d'emballage</t>
  </si>
  <si>
    <t>104745</t>
  </si>
  <si>
    <t>Disposable drip coffee bags [packaging]</t>
  </si>
  <si>
    <t>Sachets-filtres à café jetables [emballages]</t>
  </si>
  <si>
    <t>105079</t>
  </si>
  <si>
    <t>Dissolvable capsules [packaging]</t>
  </si>
  <si>
    <t>Capsules solubles [emballages]</t>
  </si>
  <si>
    <t>105135</t>
  </si>
  <si>
    <t>Lipstick tubes [packaging containers]</t>
  </si>
  <si>
    <t>Tubes à rouge à lèvres [récipients d'emballage]</t>
  </si>
  <si>
    <t>09-06</t>
  </si>
  <si>
    <t>101600</t>
  </si>
  <si>
    <t>ROPES AND HOOPING MATERIALS</t>
  </si>
  <si>
    <t>Straps [except driving belts or straps for saddlery]</t>
  </si>
  <si>
    <t>Courroies [à l'exception des courroies de transmission ou de sellerie]</t>
  </si>
  <si>
    <t>101601</t>
  </si>
  <si>
    <t>Straps for luggage racks</t>
  </si>
  <si>
    <t>Lanières pour porte-bagages</t>
  </si>
  <si>
    <t>101602</t>
  </si>
  <si>
    <t>Hooping materials</t>
  </si>
  <si>
    <t>Matériaux de cerclage</t>
  </si>
  <si>
    <t>101603</t>
  </si>
  <si>
    <t>Barrel hoops</t>
  </si>
  <si>
    <t>Cercles pour tonneaux</t>
  </si>
  <si>
    <t>Cask hoops</t>
  </si>
  <si>
    <t>Cercles pour fûts</t>
  </si>
  <si>
    <t>101604</t>
  </si>
  <si>
    <t>Ropes</t>
  </si>
  <si>
    <t>Cordes</t>
  </si>
  <si>
    <t>101605</t>
  </si>
  <si>
    <t>Clothes lines</t>
  </si>
  <si>
    <t>Cordes à linge</t>
  </si>
  <si>
    <t>101606</t>
  </si>
  <si>
    <t>String</t>
  </si>
  <si>
    <t>Ficelles</t>
  </si>
  <si>
    <t>101607</t>
  </si>
  <si>
    <t>Bands, straps, webbing</t>
  </si>
  <si>
    <t>Sangles</t>
  </si>
  <si>
    <t>Straps, bands, webbing</t>
  </si>
  <si>
    <t>Webbing, straps, bands</t>
  </si>
  <si>
    <t>101608</t>
  </si>
  <si>
    <t>Twine for binding sheaves</t>
  </si>
  <si>
    <t>Liens de gerbes</t>
  </si>
  <si>
    <t>101609</t>
  </si>
  <si>
    <t>String for binders [agricultural equipment]</t>
  </si>
  <si>
    <t>Liens pour lieuses</t>
  </si>
  <si>
    <t>101610</t>
  </si>
  <si>
    <t>Straps for carrying or handling of loads</t>
  </si>
  <si>
    <t>Bretelles pour le transport ou la manutention de fardeaux</t>
  </si>
  <si>
    <t>101611</t>
  </si>
  <si>
    <t>Plant ties</t>
  </si>
  <si>
    <t>Liens pour plantes</t>
  </si>
  <si>
    <t>104676</t>
  </si>
  <si>
    <t>Twine</t>
  </si>
  <si>
    <t>Cordelettes</t>
  </si>
  <si>
    <t>104964</t>
  </si>
  <si>
    <t>Bungee cords for securing objects</t>
  </si>
  <si>
    <t>Tendeurs pour fixer des objets</t>
  </si>
  <si>
    <t>101615</t>
  </si>
  <si>
    <t>Bands for skeins of wool</t>
  </si>
  <si>
    <t>Bandes pour écheveaux de laine</t>
  </si>
  <si>
    <t>09-07</t>
  </si>
  <si>
    <t>101612</t>
  </si>
  <si>
    <t>CLOSING MEANS AND ATTACHMENTS</t>
  </si>
  <si>
    <t>Spray caps for aerosol containers</t>
  </si>
  <si>
    <t>Têtes de pulvérisation pour récipients d'aérosol</t>
  </si>
  <si>
    <t>101613</t>
  </si>
  <si>
    <t>Spigots [cooperage]</t>
  </si>
  <si>
    <t>Cannettes [tonnellerie]</t>
  </si>
  <si>
    <t>Cannelles [tonnellerie]</t>
  </si>
  <si>
    <t>101614</t>
  </si>
  <si>
    <t>Sealing rings for packaging containers</t>
  </si>
  <si>
    <t>Bagues de scellage pour récipients d'emballage</t>
  </si>
  <si>
    <t>101616</t>
  </si>
  <si>
    <t>Coopers' bungs</t>
  </si>
  <si>
    <t>Bondes de tonnellerie [bouchons]</t>
  </si>
  <si>
    <t>101617</t>
  </si>
  <si>
    <t>Bottle stoppers</t>
  </si>
  <si>
    <t>Bouchons de bouteille</t>
  </si>
  <si>
    <t>101618</t>
  </si>
  <si>
    <t>Cork stoppers</t>
  </si>
  <si>
    <t>Bouchons de liège</t>
  </si>
  <si>
    <t>101619</t>
  </si>
  <si>
    <t>Dispensing stoppers</t>
  </si>
  <si>
    <t>Bouchons doseurs</t>
  </si>
  <si>
    <t>101620</t>
  </si>
  <si>
    <t>Stoppers with built-in spraying device</t>
  </si>
  <si>
    <t>Bouchons munis d'un dispositif de pulvérisation</t>
  </si>
  <si>
    <t>101621</t>
  </si>
  <si>
    <t>Pourer stoppers</t>
  </si>
  <si>
    <t>Bouchons verseurs</t>
  </si>
  <si>
    <t>101622</t>
  </si>
  <si>
    <t>Measuring stoppers</t>
  </si>
  <si>
    <t>Bouchons-jauges</t>
  </si>
  <si>
    <t>Bouchons jauges</t>
  </si>
  <si>
    <t>101623</t>
  </si>
  <si>
    <t>Bottle caps</t>
  </si>
  <si>
    <t>Capsules de bouteilles</t>
  </si>
  <si>
    <t>101624</t>
  </si>
  <si>
    <t>Closures for containers</t>
  </si>
  <si>
    <t>Fermetures de récipients</t>
  </si>
  <si>
    <t>101625</t>
  </si>
  <si>
    <t>Bottle caps incorporating brushes</t>
  </si>
  <si>
    <t>Bouchons de bouteille munis d'un pinceau</t>
  </si>
  <si>
    <t>101626</t>
  </si>
  <si>
    <t>Nozzles for aerosol containers</t>
  </si>
  <si>
    <t>Buses pour récipients d'aérosol</t>
  </si>
  <si>
    <t>101627</t>
  </si>
  <si>
    <t>Closures for aerosol containers</t>
  </si>
  <si>
    <t>Fermetures pour récipients d'aérosol</t>
  </si>
  <si>
    <t>101628</t>
  </si>
  <si>
    <t>Bottle fasteners</t>
  </si>
  <si>
    <t>Fermetures de bouteilles</t>
  </si>
  <si>
    <t>101629</t>
  </si>
  <si>
    <t>Muselets [wire closures] for bottles</t>
  </si>
  <si>
    <t>Muselets pour bouteilles</t>
  </si>
  <si>
    <t>101630</t>
  </si>
  <si>
    <t>Lead stamps or seals for packaging containers</t>
  </si>
  <si>
    <t>Plombs de garantie ou de scellage pour récipients d'emballage</t>
  </si>
  <si>
    <t>101631</t>
  </si>
  <si>
    <t>Sealing capsules for bottles</t>
  </si>
  <si>
    <t>Capsules de bouchage</t>
  </si>
  <si>
    <t>101632</t>
  </si>
  <si>
    <t>Perfusion caps</t>
  </si>
  <si>
    <t>Bouchons de perfusion</t>
  </si>
  <si>
    <t>101633</t>
  </si>
  <si>
    <t>Clips [closing means] for packaging</t>
  </si>
  <si>
    <t>Pinces [fermetures] pour emballages</t>
  </si>
  <si>
    <t>104965</t>
  </si>
  <si>
    <t>Fasteners for packaging</t>
  </si>
  <si>
    <t>Fermetures d'emballages</t>
  </si>
  <si>
    <t>09-08</t>
  </si>
  <si>
    <t>101634</t>
  </si>
  <si>
    <t>PALLETS AND PLATFORMS FOR FORKLIFTS</t>
  </si>
  <si>
    <t>Handling platforms for forklift trucks</t>
  </si>
  <si>
    <t>Plateformes de manutention pour chariots élévateurs</t>
  </si>
  <si>
    <t>101635</t>
  </si>
  <si>
    <t>Pallets for forklifts</t>
  </si>
  <si>
    <t>Palettes de manutention</t>
  </si>
  <si>
    <t>101636</t>
  </si>
  <si>
    <t>Stands for pallets</t>
  </si>
  <si>
    <t>Supports pour palettes de manutention</t>
  </si>
  <si>
    <t>09-09</t>
  </si>
  <si>
    <t>101637</t>
  </si>
  <si>
    <t>REFUSE AND TRASH CONTAINERS AND STANDS THEREFOR</t>
  </si>
  <si>
    <t>Ashpans</t>
  </si>
  <si>
    <t>Cendriers [seaux à cendres]</t>
  </si>
  <si>
    <t>Ash bins</t>
  </si>
  <si>
    <t>Seaux à cendres [cendriers]</t>
  </si>
  <si>
    <t>101638</t>
  </si>
  <si>
    <t>Wastepaper baskets</t>
  </si>
  <si>
    <t>Corbeilles à papier</t>
  </si>
  <si>
    <t>101639</t>
  </si>
  <si>
    <t>Refuse receptacles</t>
  </si>
  <si>
    <t>Poubelles</t>
  </si>
  <si>
    <t>Dustbins</t>
  </si>
  <si>
    <t>Garbage cans</t>
  </si>
  <si>
    <t>101642</t>
  </si>
  <si>
    <t>Spittoons</t>
  </si>
  <si>
    <t>Crachoirs</t>
  </si>
  <si>
    <t>Cuspidors</t>
  </si>
  <si>
    <t>101643</t>
  </si>
  <si>
    <t>Garbage disposal units</t>
  </si>
  <si>
    <t>Broyeurs d'évier</t>
  </si>
  <si>
    <t>101644</t>
  </si>
  <si>
    <t>Litter receptacles</t>
  </si>
  <si>
    <t>Récipients à déchets</t>
  </si>
  <si>
    <t>101645</t>
  </si>
  <si>
    <t>Collectors for returned papers</t>
  </si>
  <si>
    <t>Collecteurs de papier à recycler</t>
  </si>
  <si>
    <t>101646</t>
  </si>
  <si>
    <t>Holding stands for garbage sacks</t>
  </si>
  <si>
    <t>Supports pour sacs à ordures</t>
  </si>
  <si>
    <t>101647</t>
  </si>
  <si>
    <t>Garbage containers</t>
  </si>
  <si>
    <t>Conteneurs à ordures</t>
  </si>
  <si>
    <t>101648</t>
  </si>
  <si>
    <t>Garbage traversers</t>
  </si>
  <si>
    <t>Transbordeurs d'ordures</t>
  </si>
  <si>
    <t>101649</t>
  </si>
  <si>
    <t>Stands for garbage containers</t>
  </si>
  <si>
    <t>Supports pour conteneurs à ordures</t>
  </si>
  <si>
    <t>101650</t>
  </si>
  <si>
    <t>Stands for garbage traversers</t>
  </si>
  <si>
    <t>Supports pour transbordeurs d'ordures</t>
  </si>
  <si>
    <t>101651</t>
  </si>
  <si>
    <t>Compactors</t>
  </si>
  <si>
    <t>Compacteurs</t>
  </si>
  <si>
    <t>104966</t>
  </si>
  <si>
    <t>Organic waste composters</t>
  </si>
  <si>
    <t>Composteurs de déchets organiques</t>
  </si>
  <si>
    <t>105080</t>
  </si>
  <si>
    <t>Bins for sanitary products</t>
  </si>
  <si>
    <t>Poubelles pour produits hygiéniques</t>
  </si>
  <si>
    <t>Poubelles pour produits périodiques</t>
  </si>
  <si>
    <t>105081</t>
  </si>
  <si>
    <t>Diaper disposal pails</t>
  </si>
  <si>
    <t>Poubelles à couches</t>
  </si>
  <si>
    <t>Nappy disposal bins</t>
  </si>
  <si>
    <t>09-10</t>
  </si>
  <si>
    <t>101654</t>
  </si>
  <si>
    <t>Handles and grips for the transport or handling of packages and containers</t>
  </si>
  <si>
    <t>Handles for buckets</t>
  </si>
  <si>
    <t>Poignées de seaux</t>
  </si>
  <si>
    <t>101653</t>
  </si>
  <si>
    <t>Handles for carrying parcels</t>
  </si>
  <si>
    <t>Poignées porte-paquets</t>
  </si>
  <si>
    <t>101659</t>
  </si>
  <si>
    <t>Gun handles for spray paint cans</t>
  </si>
  <si>
    <t>Poignées pour sprays de peinture</t>
  </si>
  <si>
    <t>101658</t>
  </si>
  <si>
    <t>Handles for shopping bags</t>
  </si>
  <si>
    <t>Poignées pour sacs à provisions</t>
  </si>
  <si>
    <t>09-99</t>
  </si>
  <si>
    <t>101655</t>
  </si>
  <si>
    <t>Corner protectors for packaging</t>
  </si>
  <si>
    <t>Coins de protection pour l'emballage</t>
  </si>
  <si>
    <t>101656</t>
  </si>
  <si>
    <t>Devices for filling boxes of tablets</t>
  </si>
  <si>
    <t>Dispositifs pour remplir les boîtes de comprimés</t>
  </si>
  <si>
    <t>101657</t>
  </si>
  <si>
    <t>Shock absorbing material for packaging</t>
  </si>
  <si>
    <t>Matériel d'amortissement des chocs pour emballage</t>
  </si>
  <si>
    <t>101660</t>
  </si>
  <si>
    <t>Ice cream drip guards</t>
  </si>
  <si>
    <t>Collerettes collectrices de glace fondue</t>
  </si>
  <si>
    <t>104626</t>
  </si>
  <si>
    <t>Ice cream sticks</t>
  </si>
  <si>
    <t>Bâtonnets à glace</t>
  </si>
  <si>
    <t>10</t>
  </si>
  <si>
    <t>10-01</t>
  </si>
  <si>
    <t>101661</t>
  </si>
  <si>
    <t>Relojes y otros instrumentos de medición, control y señalización: Incluye instrumentos para medir, verificar y señalizar, incluyendo los eléctricos.</t>
  </si>
  <si>
    <t>CLOCKS AND WATCHES AND OTHER MEASURING INSTRUMENTS, CHECKING AND SIGNALLING INSTRUMENTS</t>
  </si>
  <si>
    <t>Including electrically-driven instruments.</t>
  </si>
  <si>
    <t>CLOCKS AND ALARM CLOCKS</t>
  </si>
  <si>
    <t>Clocks</t>
  </si>
  <si>
    <t>Horloges</t>
  </si>
  <si>
    <t>Pendules [horlogerie]</t>
  </si>
  <si>
    <t>101662</t>
  </si>
  <si>
    <t>Regulators [clocks]</t>
  </si>
  <si>
    <t>Régulateurs [horlogerie]</t>
  </si>
  <si>
    <t>101663</t>
  </si>
  <si>
    <t>Alarm clocks</t>
  </si>
  <si>
    <t>Réveille-matin</t>
  </si>
  <si>
    <t>101664</t>
  </si>
  <si>
    <t>Astronomical clocks</t>
  </si>
  <si>
    <t>Horloges astronomiques</t>
  </si>
  <si>
    <t>101665</t>
  </si>
  <si>
    <t>Geographical clocks</t>
  </si>
  <si>
    <t>Horloges géographiques</t>
  </si>
  <si>
    <t>101666</t>
  </si>
  <si>
    <t>Cuckoo clocks</t>
  </si>
  <si>
    <t>Pendules à coucou</t>
  </si>
  <si>
    <t>101667</t>
  </si>
  <si>
    <t>Grandfather clocks</t>
  </si>
  <si>
    <t>Horloges comtoises</t>
  </si>
  <si>
    <t>101668</t>
  </si>
  <si>
    <t>Wall clocks</t>
  </si>
  <si>
    <t>Pendules murales</t>
  </si>
  <si>
    <t>104746</t>
  </si>
  <si>
    <t>Digital calendar clocks</t>
  </si>
  <si>
    <t>Horloges calendriers numériques</t>
  </si>
  <si>
    <t>10-02</t>
  </si>
  <si>
    <t>101669</t>
  </si>
  <si>
    <t>WATCHES AND WRIST WATCHES</t>
  </si>
  <si>
    <t>Wrist watches</t>
  </si>
  <si>
    <t>Montres-bracelets</t>
  </si>
  <si>
    <t>101670</t>
  </si>
  <si>
    <t>Watches</t>
  </si>
  <si>
    <t>Montres</t>
  </si>
  <si>
    <t>101671</t>
  </si>
  <si>
    <t>Alarm watches</t>
  </si>
  <si>
    <t>Montres-réveils</t>
  </si>
  <si>
    <t>101672</t>
  </si>
  <si>
    <t>Pendant watches</t>
  </si>
  <si>
    <t>Montres-pendentifs</t>
  </si>
  <si>
    <t>101673</t>
  </si>
  <si>
    <t>Chronograph watches</t>
  </si>
  <si>
    <t>Montres-chronographes</t>
  </si>
  <si>
    <t>104747</t>
  </si>
  <si>
    <t>Smartwatches</t>
  </si>
  <si>
    <t>Montres intelligentes</t>
  </si>
  <si>
    <t>10-03</t>
  </si>
  <si>
    <t>101674</t>
  </si>
  <si>
    <t>OTHER TIME-MEASURING INSTRUMENTS</t>
  </si>
  <si>
    <t>Chronometers</t>
  </si>
  <si>
    <t>Chronomètres</t>
  </si>
  <si>
    <t>101675</t>
  </si>
  <si>
    <t>Parking meters</t>
  </si>
  <si>
    <t>Parcomètres [parcmètres]</t>
  </si>
  <si>
    <t>Compteurs de stationnement</t>
  </si>
  <si>
    <t>101676</t>
  </si>
  <si>
    <t>Metronomes</t>
  </si>
  <si>
    <t>Métronomes</t>
  </si>
  <si>
    <t>101677</t>
  </si>
  <si>
    <t>Timers [automatic]</t>
  </si>
  <si>
    <t>Minuteries</t>
  </si>
  <si>
    <t>101678</t>
  </si>
  <si>
    <t>Egg timers [sand glasses]</t>
  </si>
  <si>
    <t>Sabliers</t>
  </si>
  <si>
    <t>Hourglasses</t>
  </si>
  <si>
    <t>101679</t>
  </si>
  <si>
    <t>Sundials</t>
  </si>
  <si>
    <t>Cadrans solaires</t>
  </si>
  <si>
    <t>101680</t>
  </si>
  <si>
    <t>Chronometric counters</t>
  </si>
  <si>
    <t>Compteurs chronométriques</t>
  </si>
  <si>
    <t>10-04</t>
  </si>
  <si>
    <t>101681</t>
  </si>
  <si>
    <t>OTHER MEASURING INSTRUMENTS, APPARATUS AND DEVICES</t>
  </si>
  <si>
    <t>Plumb lines</t>
  </si>
  <si>
    <t>Fils à plomb</t>
  </si>
  <si>
    <t>Plumb bobs</t>
  </si>
  <si>
    <t>101682</t>
  </si>
  <si>
    <t>Accelerometers</t>
  </si>
  <si>
    <t>Accéléromètres</t>
  </si>
  <si>
    <t>101683</t>
  </si>
  <si>
    <t>Acoumeters</t>
  </si>
  <si>
    <t>Acoumètres</t>
  </si>
  <si>
    <t>101684</t>
  </si>
  <si>
    <t>Acoustic measuring instruments</t>
  </si>
  <si>
    <t>Instruments de mesure acoustique</t>
  </si>
  <si>
    <t>101685</t>
  </si>
  <si>
    <t>Aerometers</t>
  </si>
  <si>
    <t>Aéromètres</t>
  </si>
  <si>
    <t>101686</t>
  </si>
  <si>
    <t>Alcoholometers</t>
  </si>
  <si>
    <t>Alcoomètres</t>
  </si>
  <si>
    <t>101687</t>
  </si>
  <si>
    <t>Altimeters</t>
  </si>
  <si>
    <t>Altimètres</t>
  </si>
  <si>
    <t>101688</t>
  </si>
  <si>
    <t>Ammeters</t>
  </si>
  <si>
    <t>Ampèremètres</t>
  </si>
  <si>
    <t>101689</t>
  </si>
  <si>
    <t>Anemometers</t>
  </si>
  <si>
    <t>Anémomètres</t>
  </si>
  <si>
    <t>101690</t>
  </si>
  <si>
    <t>Surveying instruments</t>
  </si>
  <si>
    <t>Instruments d'arpentage</t>
  </si>
  <si>
    <t>101691</t>
  </si>
  <si>
    <t>Scales</t>
  </si>
  <si>
    <t>Balances</t>
  </si>
  <si>
    <t>101692</t>
  </si>
  <si>
    <t>Pesons</t>
  </si>
  <si>
    <t>101693</t>
  </si>
  <si>
    <t>Barometers</t>
  </si>
  <si>
    <t>Baromètres</t>
  </si>
  <si>
    <t>101694</t>
  </si>
  <si>
    <t>Weighing machines</t>
  </si>
  <si>
    <t>Bascules [appareils de pesage]</t>
  </si>
  <si>
    <t>101695</t>
  </si>
  <si>
    <t>Butyrometers</t>
  </si>
  <si>
    <t>Butyromètres</t>
  </si>
  <si>
    <t>101696</t>
  </si>
  <si>
    <t>Calipers</t>
  </si>
  <si>
    <t>Calibres</t>
  </si>
  <si>
    <t>101697</t>
  </si>
  <si>
    <t>Gauges for agricultural products</t>
  </si>
  <si>
    <t>Calibres pour produits agricoles</t>
  </si>
  <si>
    <t>101698</t>
  </si>
  <si>
    <t>Calorimeters</t>
  </si>
  <si>
    <t>Calorimètres</t>
  </si>
  <si>
    <t>101699</t>
  </si>
  <si>
    <t>Clinometers</t>
  </si>
  <si>
    <t>Clinomètres</t>
  </si>
  <si>
    <t>Inclinometers</t>
  </si>
  <si>
    <t>101700</t>
  </si>
  <si>
    <t>Comparators</t>
  </si>
  <si>
    <t>Comparateurs</t>
  </si>
  <si>
    <t>101701</t>
  </si>
  <si>
    <t>Water meters</t>
  </si>
  <si>
    <t>Compteurs d'eau</t>
  </si>
  <si>
    <t>101702</t>
  </si>
  <si>
    <t>Electricity meters</t>
  </si>
  <si>
    <t>Compteurs d'électricité</t>
  </si>
  <si>
    <t>101703</t>
  </si>
  <si>
    <t>Content measuring apparatus for reservoirs</t>
  </si>
  <si>
    <t>Appareils à mesurer le contenu de réservoirs</t>
  </si>
  <si>
    <t>101704</t>
  </si>
  <si>
    <t>Flowmeters</t>
  </si>
  <si>
    <t>Débitmètres</t>
  </si>
  <si>
    <t>101705</t>
  </si>
  <si>
    <t>Rules for measuring</t>
  </si>
  <si>
    <t>Mètres [rigides ou pliants]</t>
  </si>
  <si>
    <t>101706</t>
  </si>
  <si>
    <t>Densimeters</t>
  </si>
  <si>
    <t>Densimètres</t>
  </si>
  <si>
    <t>101707</t>
  </si>
  <si>
    <t>Foot measuring devices</t>
  </si>
  <si>
    <t>Dispositifs de mesure des pieds</t>
  </si>
  <si>
    <t>101708</t>
  </si>
  <si>
    <t>Distance measuring apparatus</t>
  </si>
  <si>
    <t>Diastémomètres</t>
  </si>
  <si>
    <t>101709</t>
  </si>
  <si>
    <t>Dynamometers</t>
  </si>
  <si>
    <t>Dynamomètres</t>
  </si>
  <si>
    <t>101710</t>
  </si>
  <si>
    <t>Ebulliometers</t>
  </si>
  <si>
    <t>Ébulliomètres</t>
  </si>
  <si>
    <t>101711</t>
  </si>
  <si>
    <t>Tape-measure cases</t>
  </si>
  <si>
    <t>Gaines de rubans métriques</t>
  </si>
  <si>
    <t>101712</t>
  </si>
  <si>
    <t>Galvanometers</t>
  </si>
  <si>
    <t>Galvanomètres</t>
  </si>
  <si>
    <t>101713</t>
  </si>
  <si>
    <t>Geodetic apparatus and instruments</t>
  </si>
  <si>
    <t>Appareils et instruments de géodésie</t>
  </si>
  <si>
    <t>101714</t>
  </si>
  <si>
    <t>Goniometers</t>
  </si>
  <si>
    <t>Goniomètres</t>
  </si>
  <si>
    <t>101715</t>
  </si>
  <si>
    <t>Water hardness measuring instruments</t>
  </si>
  <si>
    <t>Hydrotimètres</t>
  </si>
  <si>
    <t>101716</t>
  </si>
  <si>
    <t>Hygrometers</t>
  </si>
  <si>
    <t>Hygromètres</t>
  </si>
  <si>
    <t>101717</t>
  </si>
  <si>
    <t>Fuel-consumption indicators for vehicles</t>
  </si>
  <si>
    <t>Indicateurs de consommation moyenne des véhicules</t>
  </si>
  <si>
    <t>101718</t>
  </si>
  <si>
    <t>Cooking indicators [kitchen]</t>
  </si>
  <si>
    <t>Indicateurs de cuisson [cuisine]</t>
  </si>
  <si>
    <t>101719</t>
  </si>
  <si>
    <t>Temperature gauges</t>
  </si>
  <si>
    <t>Indicateurs de température</t>
  </si>
  <si>
    <t>101720</t>
  </si>
  <si>
    <t>Speedometers</t>
  </si>
  <si>
    <t>Indicateurs de vitesse</t>
  </si>
  <si>
    <t>101721</t>
  </si>
  <si>
    <t>Gauges</t>
  </si>
  <si>
    <t>Jauges</t>
  </si>
  <si>
    <t>101722</t>
  </si>
  <si>
    <t>Ships' logs</t>
  </si>
  <si>
    <t>Lochs [marine]</t>
  </si>
  <si>
    <t>101723</t>
  </si>
  <si>
    <t>Luxmeters</t>
  </si>
  <si>
    <t>Luxmètres</t>
  </si>
  <si>
    <t>101724</t>
  </si>
  <si>
    <t>Manometers</t>
  </si>
  <si>
    <t>Manomètres</t>
  </si>
  <si>
    <t>Pressure gauges</t>
  </si>
  <si>
    <t>101725</t>
  </si>
  <si>
    <t>Measuring instruments [except for measuring time]</t>
  </si>
  <si>
    <t>Instruments de mesure [autres que pour la mesure du temps]</t>
  </si>
  <si>
    <t>101726</t>
  </si>
  <si>
    <t>Measuring instruments for tailors</t>
  </si>
  <si>
    <t>Instruments à prendre les mesures, pour tailleur</t>
  </si>
  <si>
    <t>101727</t>
  </si>
  <si>
    <t>Measuring tapes</t>
  </si>
  <si>
    <t>Mètres [à ruban]</t>
  </si>
  <si>
    <t>Meter tapes</t>
  </si>
  <si>
    <t>101728</t>
  </si>
  <si>
    <t>Micrometers</t>
  </si>
  <si>
    <t>Micromètres</t>
  </si>
  <si>
    <t>101729</t>
  </si>
  <si>
    <t>Milliammeters</t>
  </si>
  <si>
    <t>Milliampèremètres</t>
  </si>
  <si>
    <t>101730</t>
  </si>
  <si>
    <t>Levelling rods for surveyors</t>
  </si>
  <si>
    <t>Mires de nivellement</t>
  </si>
  <si>
    <t>101731</t>
  </si>
  <si>
    <t>Octants</t>
  </si>
  <si>
    <t>101732</t>
  </si>
  <si>
    <t>Odometers</t>
  </si>
  <si>
    <t>Odomètres</t>
  </si>
  <si>
    <t>101733</t>
  </si>
  <si>
    <t>Ohmmeters</t>
  </si>
  <si>
    <t>Ohmmètres</t>
  </si>
  <si>
    <t>101734</t>
  </si>
  <si>
    <t>Wavemeters</t>
  </si>
  <si>
    <t>Ondemètres</t>
  </si>
  <si>
    <t>101735</t>
  </si>
  <si>
    <t>Micrometer gauges</t>
  </si>
  <si>
    <t>Palmers</t>
  </si>
  <si>
    <t>101736</t>
  </si>
  <si>
    <t>Weighing apparatus and instruments</t>
  </si>
  <si>
    <t>Appareils et instruments de pesage</t>
  </si>
  <si>
    <t>101737</t>
  </si>
  <si>
    <t>Lactometers</t>
  </si>
  <si>
    <t>Pèse-lait</t>
  </si>
  <si>
    <t>101738</t>
  </si>
  <si>
    <t>Scales for weighing people</t>
  </si>
  <si>
    <t>Pèse-personnes</t>
  </si>
  <si>
    <t>Bathroom scales</t>
  </si>
  <si>
    <t>101739</t>
  </si>
  <si>
    <t>Planimeters</t>
  </si>
  <si>
    <t>Planimètres</t>
  </si>
  <si>
    <t>101740</t>
  </si>
  <si>
    <t>Rain gauges</t>
  </si>
  <si>
    <t>Pluviomètres</t>
  </si>
  <si>
    <t>101741</t>
  </si>
  <si>
    <t>Weights for scales</t>
  </si>
  <si>
    <t>Poids pour balances</t>
  </si>
  <si>
    <t>101742</t>
  </si>
  <si>
    <t>Polarimeters</t>
  </si>
  <si>
    <t>Polarimètres</t>
  </si>
  <si>
    <t>101743</t>
  </si>
  <si>
    <t>Pyrometers</t>
  </si>
  <si>
    <t>Pyromètres</t>
  </si>
  <si>
    <t>101744</t>
  </si>
  <si>
    <t>Radiometers</t>
  </si>
  <si>
    <t>Radiomètres</t>
  </si>
  <si>
    <t>101745</t>
  </si>
  <si>
    <t>Tape measures</t>
  </si>
  <si>
    <t>Rubans métriques</t>
  </si>
  <si>
    <t>101746</t>
  </si>
  <si>
    <t>Sextants</t>
  </si>
  <si>
    <t>101747</t>
  </si>
  <si>
    <t>Seismographs</t>
  </si>
  <si>
    <t>Sismographes</t>
  </si>
  <si>
    <t>101748</t>
  </si>
  <si>
    <t>Seismometers</t>
  </si>
  <si>
    <t>Sismomètres</t>
  </si>
  <si>
    <t>101749</t>
  </si>
  <si>
    <t>Ultrasonic probes</t>
  </si>
  <si>
    <t>Sondes à ultra-sons</t>
  </si>
  <si>
    <t>101750</t>
  </si>
  <si>
    <t>Sounding leads</t>
  </si>
  <si>
    <t>Plombs de sondes</t>
  </si>
  <si>
    <t>101751</t>
  </si>
  <si>
    <t>Spectrophotometers</t>
  </si>
  <si>
    <t>Spectrophotomètres</t>
  </si>
  <si>
    <t>101752</t>
  </si>
  <si>
    <t>Tacheometers</t>
  </si>
  <si>
    <t>Tachéomètres</t>
  </si>
  <si>
    <t>101753</t>
  </si>
  <si>
    <t>Tachometers</t>
  </si>
  <si>
    <t>Tachymètres</t>
  </si>
  <si>
    <t>101754</t>
  </si>
  <si>
    <t>Taximeters</t>
  </si>
  <si>
    <t>Taximètres</t>
  </si>
  <si>
    <t>101755</t>
  </si>
  <si>
    <t>Telemeters</t>
  </si>
  <si>
    <t>Télémètres</t>
  </si>
  <si>
    <t>Range finders</t>
  </si>
  <si>
    <t>101756</t>
  </si>
  <si>
    <t>Theodolites</t>
  </si>
  <si>
    <t>Théodolites</t>
  </si>
  <si>
    <t>101757</t>
  </si>
  <si>
    <t>Thermometers [including medical thermometers]</t>
  </si>
  <si>
    <t>Thermomètres [y compris thermomètres médicaux]</t>
  </si>
  <si>
    <t>101758</t>
  </si>
  <si>
    <t>Assay balances</t>
  </si>
  <si>
    <t>Trébuchets [balances]</t>
  </si>
  <si>
    <t>101759</t>
  </si>
  <si>
    <t>Typometers</t>
  </si>
  <si>
    <t>Typomètres</t>
  </si>
  <si>
    <t>101760</t>
  </si>
  <si>
    <t>Variometers</t>
  </si>
  <si>
    <t>Variomètres</t>
  </si>
  <si>
    <t>101761</t>
  </si>
  <si>
    <t>Verniers</t>
  </si>
  <si>
    <t>101762</t>
  </si>
  <si>
    <t>Vacuum gauges</t>
  </si>
  <si>
    <t>Indicateurs de vide</t>
  </si>
  <si>
    <t>101763</t>
  </si>
  <si>
    <t>Viscometers</t>
  </si>
  <si>
    <t>Viscosimètres</t>
  </si>
  <si>
    <t>Viscosimeters</t>
  </si>
  <si>
    <t>101764</t>
  </si>
  <si>
    <t>Voltmeters</t>
  </si>
  <si>
    <t>Voltmètres</t>
  </si>
  <si>
    <t>101765</t>
  </si>
  <si>
    <t>Wattmeters</t>
  </si>
  <si>
    <t>Wattmètres</t>
  </si>
  <si>
    <t>101766</t>
  </si>
  <si>
    <t>Yardsticks</t>
  </si>
  <si>
    <t>Yards [mesures]</t>
  </si>
  <si>
    <t>101767</t>
  </si>
  <si>
    <t>Surveying rods</t>
  </si>
  <si>
    <t>Mires d'arpentage</t>
  </si>
  <si>
    <t>101768</t>
  </si>
  <si>
    <t>Compasses [navigation]</t>
  </si>
  <si>
    <t>Boussoles</t>
  </si>
  <si>
    <t>101769</t>
  </si>
  <si>
    <t>Marine compasses</t>
  </si>
  <si>
    <t>Compas de marine</t>
  </si>
  <si>
    <t>101770</t>
  </si>
  <si>
    <t>Recording meters for telephone charges</t>
  </si>
  <si>
    <t>Compteurs-enregistreurs de taxes téléphoniques</t>
  </si>
  <si>
    <t>101771</t>
  </si>
  <si>
    <t>Fare registers</t>
  </si>
  <si>
    <t>Compteurs de courses</t>
  </si>
  <si>
    <t>101772</t>
  </si>
  <si>
    <t>Surface plates</t>
  </si>
  <si>
    <t>Marbres pour le contrôle de surfaces planes</t>
  </si>
  <si>
    <t>101773</t>
  </si>
  <si>
    <t>Compass cards</t>
  </si>
  <si>
    <t>Rose des vents [partie de boussoles]</t>
  </si>
  <si>
    <t>101774</t>
  </si>
  <si>
    <t>Charge indicators for accumulators</t>
  </si>
  <si>
    <t>Indicateurs de charge d'accumulateurs</t>
  </si>
  <si>
    <t>101775</t>
  </si>
  <si>
    <t>Fare recorders</t>
  </si>
  <si>
    <t>Enregistreurs de courses</t>
  </si>
  <si>
    <t>101776</t>
  </si>
  <si>
    <t>Surveyors' optical squares</t>
  </si>
  <si>
    <t>Équerres d'arpentage</t>
  </si>
  <si>
    <t>Cross-staffs [surveying]</t>
  </si>
  <si>
    <t>101777</t>
  </si>
  <si>
    <t>Gas meters</t>
  </si>
  <si>
    <t>Compteurs à gaz</t>
  </si>
  <si>
    <t>101778</t>
  </si>
  <si>
    <t>Spirit levels</t>
  </si>
  <si>
    <t>Niveaux à bulle d'air</t>
  </si>
  <si>
    <t>101779</t>
  </si>
  <si>
    <t>Water level gauges</t>
  </si>
  <si>
    <t>Indicateurs de niveaux d'eau</t>
  </si>
  <si>
    <t>Indicateurs de niveau d'eau</t>
  </si>
  <si>
    <t>101780</t>
  </si>
  <si>
    <t>Letter scales</t>
  </si>
  <si>
    <t>Pèse-lettres</t>
  </si>
  <si>
    <t>101781</t>
  </si>
  <si>
    <t>Slide measures</t>
  </si>
  <si>
    <t>Pieds à coulisse</t>
  </si>
  <si>
    <t>101782</t>
  </si>
  <si>
    <t>Tire pressure gauges</t>
  </si>
  <si>
    <t>Indicateurs de pression des pneus</t>
  </si>
  <si>
    <t>Tyre pressure gauges</t>
  </si>
  <si>
    <t>101783</t>
  </si>
  <si>
    <t>Measuring cups</t>
  </si>
  <si>
    <t>Récipients gradués pour mesure</t>
  </si>
  <si>
    <t>101784</t>
  </si>
  <si>
    <t>Steelyards</t>
  </si>
  <si>
    <t>Balances romaines</t>
  </si>
  <si>
    <t>101785</t>
  </si>
  <si>
    <t>Echo sounders</t>
  </si>
  <si>
    <t>Sondeurs à écho</t>
  </si>
  <si>
    <t>101786</t>
  </si>
  <si>
    <t>Apparatus for measuring the draft of ships</t>
  </si>
  <si>
    <t>Appareils pour mesurer le tirant d'eau des navires</t>
  </si>
  <si>
    <t>101787</t>
  </si>
  <si>
    <t>Droppers [except for medical or laboratory purposes]</t>
  </si>
  <si>
    <t>Compte-gouttes [autres que médicaux ou de laboratoire]</t>
  </si>
  <si>
    <t>101788</t>
  </si>
  <si>
    <t>Measuring spoons</t>
  </si>
  <si>
    <t>Cuillers pour le dosage</t>
  </si>
  <si>
    <t>101789</t>
  </si>
  <si>
    <t>Measuring vessels [household]</t>
  </si>
  <si>
    <t>Mesures [récipients à usage domestique]</t>
  </si>
  <si>
    <t>101790</t>
  </si>
  <si>
    <t>Mileage recorders</t>
  </si>
  <si>
    <t>Compteurs kilométriques</t>
  </si>
  <si>
    <t>Kilometer recorders</t>
  </si>
  <si>
    <t>Mileometers</t>
  </si>
  <si>
    <t>101791</t>
  </si>
  <si>
    <t>Revolution counters</t>
  </si>
  <si>
    <t>Compte-tours</t>
  </si>
  <si>
    <t>101792</t>
  </si>
  <si>
    <t>Sonometers [measuring apparatus]</t>
  </si>
  <si>
    <t>Sonomètres [appareils de mesure]</t>
  </si>
  <si>
    <t>101793</t>
  </si>
  <si>
    <t>Road marking apparatus</t>
  </si>
  <si>
    <t>Appareils pour le marquage des routes</t>
  </si>
  <si>
    <t>101794</t>
  </si>
  <si>
    <t>Appliances for dosing foodstuffs</t>
  </si>
  <si>
    <t>Appareils pour doser les aliments</t>
  </si>
  <si>
    <t>101795</t>
  </si>
  <si>
    <t>Cyclometers [bike computers]</t>
  </si>
  <si>
    <t>Cyclomètres</t>
  </si>
  <si>
    <t>101796</t>
  </si>
  <si>
    <t>Kitchen scales</t>
  </si>
  <si>
    <t>Balances de cuisine</t>
  </si>
  <si>
    <t>104682</t>
  </si>
  <si>
    <t>Weather stations</t>
  </si>
  <si>
    <t>Stations météo</t>
  </si>
  <si>
    <t>104748</t>
  </si>
  <si>
    <t>Pulse watches</t>
  </si>
  <si>
    <t>Cardiofréquencemètres</t>
  </si>
  <si>
    <t>104749</t>
  </si>
  <si>
    <t>Wearable activity trackers</t>
  </si>
  <si>
    <t>Capteurs d'activité à porter sur soi</t>
  </si>
  <si>
    <t>104750</t>
  </si>
  <si>
    <t>Pedometers</t>
  </si>
  <si>
    <t>Podomètres</t>
  </si>
  <si>
    <t>104751</t>
  </si>
  <si>
    <t>Height gauges</t>
  </si>
  <si>
    <t>Toises</t>
  </si>
  <si>
    <t>105082</t>
  </si>
  <si>
    <t>Tally counters</t>
  </si>
  <si>
    <t>Compteurs manuels</t>
  </si>
  <si>
    <t>105083</t>
  </si>
  <si>
    <t>Row counters [knitting]</t>
  </si>
  <si>
    <t>Compte-rangs [tricot]</t>
  </si>
  <si>
    <t>10-05</t>
  </si>
  <si>
    <t>101797</t>
  </si>
  <si>
    <t>INSTRUMENTS, APPARATUS AND DEVICES FOR CHECKING, SECURITY OR TESTING</t>
  </si>
  <si>
    <t>Tacheometric poles</t>
  </si>
  <si>
    <t>Mires tachéométriques</t>
  </si>
  <si>
    <t>101798</t>
  </si>
  <si>
    <t>Fluid analysis apparatus</t>
  </si>
  <si>
    <t>Appareils pour analyse de fluides</t>
  </si>
  <si>
    <t>101799</t>
  </si>
  <si>
    <t>Burglar alarms</t>
  </si>
  <si>
    <t>Avertisseurs d'effraction</t>
  </si>
  <si>
    <t>101800</t>
  </si>
  <si>
    <t>Fire alarms</t>
  </si>
  <si>
    <t>Avertisseurs d'incendie</t>
  </si>
  <si>
    <t>101801</t>
  </si>
  <si>
    <t>Frost indicators [electric]</t>
  </si>
  <si>
    <t>Avertisseurs de gelée [électriques]</t>
  </si>
  <si>
    <t>101802</t>
  </si>
  <si>
    <t>Alarms indicating water shortage in boilers</t>
  </si>
  <si>
    <t>Avertisseurs de manque d'eau pour chaudières</t>
  </si>
  <si>
    <t>101803</t>
  </si>
  <si>
    <t>Control photocells</t>
  </si>
  <si>
    <t>Cellules photo-électriques de commande</t>
  </si>
  <si>
    <t>101804</t>
  </si>
  <si>
    <t>Geiger-Muller counters</t>
  </si>
  <si>
    <t>Compteurs Geiger-Muller</t>
  </si>
  <si>
    <t>101805</t>
  </si>
  <si>
    <t>Checking apparatus</t>
  </si>
  <si>
    <t>Appareils contrôleurs</t>
  </si>
  <si>
    <t>101806</t>
  </si>
  <si>
    <t>Entry checking apparatus</t>
  </si>
  <si>
    <t>Appareils contrôleurs d'entrée</t>
  </si>
  <si>
    <t>101807</t>
  </si>
  <si>
    <t>Thermic flame controllers</t>
  </si>
  <si>
    <t>Contrôleurs thermiques de flammes</t>
  </si>
  <si>
    <t>101808</t>
  </si>
  <si>
    <t>Humidity detectors</t>
  </si>
  <si>
    <t>Détecteurs d'humidité</t>
  </si>
  <si>
    <t>101809</t>
  </si>
  <si>
    <t>Fire detectors</t>
  </si>
  <si>
    <t>Détecteurs d'incendie</t>
  </si>
  <si>
    <t>101810</t>
  </si>
  <si>
    <t>Radiation detectors</t>
  </si>
  <si>
    <t>Détecteurs de radiation</t>
  </si>
  <si>
    <t>101811</t>
  </si>
  <si>
    <t>Ore detectors</t>
  </si>
  <si>
    <t>Détecteurs de minerais</t>
  </si>
  <si>
    <t>101812</t>
  </si>
  <si>
    <t>Testing instruments</t>
  </si>
  <si>
    <t>Instruments d'essai</t>
  </si>
  <si>
    <t>101813</t>
  </si>
  <si>
    <t>Brake-testing machines</t>
  </si>
  <si>
    <t>Freinomètres</t>
  </si>
  <si>
    <t>101814</t>
  </si>
  <si>
    <t>Firedamp detectors</t>
  </si>
  <si>
    <t>Grisoumètres</t>
  </si>
  <si>
    <t>101815</t>
  </si>
  <si>
    <t>Gyroscopes [aviation, navigation]</t>
  </si>
  <si>
    <t>101816</t>
  </si>
  <si>
    <t>Hydrophones</t>
  </si>
  <si>
    <t>101817</t>
  </si>
  <si>
    <t>Hygrostats</t>
  </si>
  <si>
    <t>101818</t>
  </si>
  <si>
    <t>Oscilloscopes</t>
  </si>
  <si>
    <t>101819</t>
  </si>
  <si>
    <t>Lightning conductors</t>
  </si>
  <si>
    <t>Paratonnerres</t>
  </si>
  <si>
    <t>Lightning arresters</t>
  </si>
  <si>
    <t>Parafoudres</t>
  </si>
  <si>
    <t>Lightning rods</t>
  </si>
  <si>
    <t>101820</t>
  </si>
  <si>
    <t>Apparatus for adjusting vehicle headlights</t>
  </si>
  <si>
    <t>Appareils pour le réglage des phares de véhicules</t>
  </si>
  <si>
    <t>101821</t>
  </si>
  <si>
    <t>Photometers [checking apparatus]</t>
  </si>
  <si>
    <t>Photomètres [appareils de contrôle]</t>
  </si>
  <si>
    <t>101822</t>
  </si>
  <si>
    <t>Time clocks</t>
  </si>
  <si>
    <t>Horloges de contrôle</t>
  </si>
  <si>
    <t>101823</t>
  </si>
  <si>
    <t>Radar apparatus</t>
  </si>
  <si>
    <t>Radars</t>
  </si>
  <si>
    <t>101824</t>
  </si>
  <si>
    <t>Thermostats</t>
  </si>
  <si>
    <t>Régulateurs de température</t>
  </si>
  <si>
    <t>101825</t>
  </si>
  <si>
    <t>Sonometers [checking apparatus]</t>
  </si>
  <si>
    <t>Sonomètres [appareils de contrôle]</t>
  </si>
  <si>
    <t>101826</t>
  </si>
  <si>
    <t>Testing machines for woven fabrics</t>
  </si>
  <si>
    <t>Machines à tester les tissus</t>
  </si>
  <si>
    <t>101827</t>
  </si>
  <si>
    <t>Fall controllers for parachutists</t>
  </si>
  <si>
    <t>Contrôleurs de chute pour parachutistes</t>
  </si>
  <si>
    <t>101828</t>
  </si>
  <si>
    <t>Gas detectors</t>
  </si>
  <si>
    <t>Détecteurs de gaz</t>
  </si>
  <si>
    <t>101829</t>
  </si>
  <si>
    <t>Surveyors' staffs</t>
  </si>
  <si>
    <t>Jalons de géomètres</t>
  </si>
  <si>
    <t>101830</t>
  </si>
  <si>
    <t>Lie detectors</t>
  </si>
  <si>
    <t>Détecteurs de mensonge</t>
  </si>
  <si>
    <t>101831</t>
  </si>
  <si>
    <t>Lamps for candling eggs</t>
  </si>
  <si>
    <t>Lampes à mirer les œufs</t>
  </si>
  <si>
    <t>101832</t>
  </si>
  <si>
    <t>Crossroad mirrors</t>
  </si>
  <si>
    <t>Miroirs de carrefour</t>
  </si>
  <si>
    <t>101833</t>
  </si>
  <si>
    <t>Boiler regulators</t>
  </si>
  <si>
    <t>Régulateurs de chaudières</t>
  </si>
  <si>
    <t>101834</t>
  </si>
  <si>
    <t>Regulators for heating installations</t>
  </si>
  <si>
    <t>Régulateurs pour installations de chauffage</t>
  </si>
  <si>
    <t>101835</t>
  </si>
  <si>
    <t>Anti-theft alarms</t>
  </si>
  <si>
    <t>Dispositifs d'alarme antivol</t>
  </si>
  <si>
    <t>101836</t>
  </si>
  <si>
    <t>Divining rods</t>
  </si>
  <si>
    <t>Baguettes de sourcier</t>
  </si>
  <si>
    <t>101837</t>
  </si>
  <si>
    <t>Dowsing pendulums</t>
  </si>
  <si>
    <t>Pendules de radiesthésie</t>
  </si>
  <si>
    <t>101838</t>
  </si>
  <si>
    <t>Smoke detectors</t>
  </si>
  <si>
    <t>Détecteurs de fumée</t>
  </si>
  <si>
    <t>101839</t>
  </si>
  <si>
    <t>Diagnostic testing apparatus [except for medical or laboratory purposes]</t>
  </si>
  <si>
    <t>Appareils pour le diagnostic [autres que médicaux ou de laboratoire]</t>
  </si>
  <si>
    <t>101840</t>
  </si>
  <si>
    <t>Checking apparatus for lottery tickets and games of chance</t>
  </si>
  <si>
    <t>Appareils pour le contrôle des tickets de loterie et de jeux de hasard</t>
  </si>
  <si>
    <t>101841</t>
  </si>
  <si>
    <t>Oscillographs</t>
  </si>
  <si>
    <t>Oscillographes</t>
  </si>
  <si>
    <t>101842</t>
  </si>
  <si>
    <t>Flow checking apparatus</t>
  </si>
  <si>
    <t>Appareils contrôleurs de débit</t>
  </si>
  <si>
    <t>101843</t>
  </si>
  <si>
    <t>Baby monitoring apparatus</t>
  </si>
  <si>
    <t>Dispositifs d'alarme pour la surveillance des bébés</t>
  </si>
  <si>
    <t>101844</t>
  </si>
  <si>
    <t>Counterfeit money detectors</t>
  </si>
  <si>
    <t>Détecteurs de faux billets</t>
  </si>
  <si>
    <t>101845</t>
  </si>
  <si>
    <t>Movement sensors</t>
  </si>
  <si>
    <t>Détecteurs de mouvements</t>
  </si>
  <si>
    <t>104752</t>
  </si>
  <si>
    <t>Access control gates</t>
  </si>
  <si>
    <t>Portes de contrôle d'accès</t>
  </si>
  <si>
    <t>104967</t>
  </si>
  <si>
    <t>Sensor-driven baby rocking devices</t>
  </si>
  <si>
    <t>Capteurs de mouvements pour bercer les bébés</t>
  </si>
  <si>
    <t>104968</t>
  </si>
  <si>
    <t>Intelligent access control devices</t>
  </si>
  <si>
    <t>Dispositifs de contrôle d'accès intelligents</t>
  </si>
  <si>
    <t>104969</t>
  </si>
  <si>
    <t>Inspection robots</t>
  </si>
  <si>
    <t>Robots d'inspection</t>
  </si>
  <si>
    <t>105084</t>
  </si>
  <si>
    <t>Body temperature measuring devices for access control</t>
  </si>
  <si>
    <t>Dispositifs de mesure de la température corporelle pour le contrôle d'accès</t>
  </si>
  <si>
    <t>105085</t>
  </si>
  <si>
    <t>Sanitary access control gates</t>
  </si>
  <si>
    <t>Portiques de contrôle d'accès sanitaire</t>
  </si>
  <si>
    <t>10-06</t>
  </si>
  <si>
    <t>101846</t>
  </si>
  <si>
    <t>SIGNALLING APPARATUS AND DEVICES</t>
  </si>
  <si>
    <t>Road-marking devices</t>
  </si>
  <si>
    <t>Dispositifs de balisage de routes</t>
  </si>
  <si>
    <t>101847</t>
  </si>
  <si>
    <t>Milestones</t>
  </si>
  <si>
    <t>Bornes routières</t>
  </si>
  <si>
    <t>101848</t>
  </si>
  <si>
    <t>Marker buoys</t>
  </si>
  <si>
    <t>Bouées de signalisation</t>
  </si>
  <si>
    <t>101849</t>
  </si>
  <si>
    <t>Catadioptric reflectors</t>
  </si>
  <si>
    <t>Catadioptres</t>
  </si>
  <si>
    <t>101850</t>
  </si>
  <si>
    <t>Railway signal discs</t>
  </si>
  <si>
    <t>Disques [signaux de chemins de fer]</t>
  </si>
  <si>
    <t>101851</t>
  </si>
  <si>
    <t>Signal lamps</t>
  </si>
  <si>
    <t>Lampes de signalisation</t>
  </si>
  <si>
    <t>101852</t>
  </si>
  <si>
    <t>Traffic signs</t>
  </si>
  <si>
    <t>Panneaux de signalisation [transports]</t>
  </si>
  <si>
    <t>101853</t>
  </si>
  <si>
    <t>Lighthouses</t>
  </si>
  <si>
    <t>Phares de marine</t>
  </si>
  <si>
    <t>101854</t>
  </si>
  <si>
    <t>Signal gantries</t>
  </si>
  <si>
    <t>Portiques de signalisation</t>
  </si>
  <si>
    <t>Potences de signalisation</t>
  </si>
  <si>
    <t>101855</t>
  </si>
  <si>
    <t>Semaphores</t>
  </si>
  <si>
    <t>Sémaphores</t>
  </si>
  <si>
    <t>101856</t>
  </si>
  <si>
    <t>Fog signals</t>
  </si>
  <si>
    <t>Signaux de brouillard</t>
  </si>
  <si>
    <t>101857</t>
  </si>
  <si>
    <t>Door chimes</t>
  </si>
  <si>
    <t>Carillons de portes</t>
  </si>
  <si>
    <t>101858</t>
  </si>
  <si>
    <t>Whistles</t>
  </si>
  <si>
    <t>Sifflets</t>
  </si>
  <si>
    <t>101859</t>
  </si>
  <si>
    <t>Sirens</t>
  </si>
  <si>
    <t>Sirènes</t>
  </si>
  <si>
    <t>101860</t>
  </si>
  <si>
    <t>Bells [electric]</t>
  </si>
  <si>
    <t>Sonneries électriques</t>
  </si>
  <si>
    <t>101861</t>
  </si>
  <si>
    <t>Signal bells</t>
  </si>
  <si>
    <t>Sonnettes</t>
  </si>
  <si>
    <t>101862</t>
  </si>
  <si>
    <t>Vehicle horns</t>
  </si>
  <si>
    <t>Avertisseurs sonores pour véhicules</t>
  </si>
  <si>
    <t>Trompes de véhicules</t>
  </si>
  <si>
    <t>101863</t>
  </si>
  <si>
    <t>Reflecting bands for the feet</t>
  </si>
  <si>
    <t>Bandes réfléchissantes à porter aux pieds</t>
  </si>
  <si>
    <t>101864</t>
  </si>
  <si>
    <t>Dog whistles</t>
  </si>
  <si>
    <t>Sifflets pour appeler les chiens</t>
  </si>
  <si>
    <t>101865</t>
  </si>
  <si>
    <t>Warning horns</t>
  </si>
  <si>
    <t>Cornes d'appel</t>
  </si>
  <si>
    <t>101866</t>
  </si>
  <si>
    <t>Beacons [aviation, navigation]</t>
  </si>
  <si>
    <t>Balisage [aviation, navigation]</t>
  </si>
  <si>
    <t>101867</t>
  </si>
  <si>
    <t>Door knockers</t>
  </si>
  <si>
    <t>Marteaux de portes</t>
  </si>
  <si>
    <t>Heurtoirs</t>
  </si>
  <si>
    <t>101868</t>
  </si>
  <si>
    <t>Accident signalling devices</t>
  </si>
  <si>
    <t>Appareils de signalisation des accidents</t>
  </si>
  <si>
    <t>101869</t>
  </si>
  <si>
    <t>Traffic lights</t>
  </si>
  <si>
    <t>Feux de signalisation routière</t>
  </si>
  <si>
    <t>101870</t>
  </si>
  <si>
    <t>Railway signals [fixed]</t>
  </si>
  <si>
    <t>Signaux fixes de chemin de fer</t>
  </si>
  <si>
    <t>101871</t>
  </si>
  <si>
    <t>Markers for ski slopes</t>
  </si>
  <si>
    <t>Signaux pour le balisage des pistes de ski</t>
  </si>
  <si>
    <t>101872</t>
  </si>
  <si>
    <t>Road signals</t>
  </si>
  <si>
    <t>Signaux routiers</t>
  </si>
  <si>
    <t>101873</t>
  </si>
  <si>
    <t>Cycle bells</t>
  </si>
  <si>
    <t>Timbres avertisseurs pour cycles</t>
  </si>
  <si>
    <t>101874</t>
  </si>
  <si>
    <t>Breakdown triangles for motorists</t>
  </si>
  <si>
    <t>Triangles de panne pour automobilistes</t>
  </si>
  <si>
    <t>101875</t>
  </si>
  <si>
    <t>Swimming pool lane markers</t>
  </si>
  <si>
    <t>Bouées de signalisation pour couloirs de natation</t>
  </si>
  <si>
    <t>101876</t>
  </si>
  <si>
    <t>Bus stop signposts</t>
  </si>
  <si>
    <t>Poteaux d'arrêts d'autobus</t>
  </si>
  <si>
    <t>101877</t>
  </si>
  <si>
    <t>Luminous road signs</t>
  </si>
  <si>
    <t>Bornes routières lumineuses</t>
  </si>
  <si>
    <t>101878</t>
  </si>
  <si>
    <t>Tell-tale lights</t>
  </si>
  <si>
    <t>Voyants lumineux</t>
  </si>
  <si>
    <t>Lampes témoins</t>
  </si>
  <si>
    <t>101879</t>
  </si>
  <si>
    <t>Gavels</t>
  </si>
  <si>
    <t>Marteaux de commissaires-priseurs</t>
  </si>
  <si>
    <t>101880</t>
  </si>
  <si>
    <t>Weathercocks</t>
  </si>
  <si>
    <t>Girouettes</t>
  </si>
  <si>
    <t>104691</t>
  </si>
  <si>
    <t>Pedestrian crossing signs</t>
  </si>
  <si>
    <t>Indicateurs de passage piétons</t>
  </si>
  <si>
    <t>105087</t>
  </si>
  <si>
    <t>Reflective strapping</t>
  </si>
  <si>
    <t>Sangles réfléchissantes</t>
  </si>
  <si>
    <t>10-07</t>
  </si>
  <si>
    <t>101881</t>
  </si>
  <si>
    <t>CASINGS, CASES, DIALS, HANDS AND ALL OTHER PARTS AND ACCESSORIES OF INSTRUMENTS FOR MEASURING, CHECKING AND SIGNALLING</t>
  </si>
  <si>
    <t>Hairsprings for clocks and watches</t>
  </si>
  <si>
    <t>Spiraux [horlogerie]</t>
  </si>
  <si>
    <t>101882</t>
  </si>
  <si>
    <t>Hands of dials</t>
  </si>
  <si>
    <t>Aiguilles de cadrans</t>
  </si>
  <si>
    <t>101883</t>
  </si>
  <si>
    <t>Indicating pointers</t>
  </si>
  <si>
    <t>Aiguilles indicatrices</t>
  </si>
  <si>
    <t>101884</t>
  </si>
  <si>
    <t>Pocket-watch bows</t>
  </si>
  <si>
    <t>Anses pour boîtes de montres</t>
  </si>
  <si>
    <t>101885</t>
  </si>
  <si>
    <t>Pendulums for clocks</t>
  </si>
  <si>
    <t>Balanciers d'horlogerie</t>
  </si>
  <si>
    <t>101886</t>
  </si>
  <si>
    <t>Barrels [clocks and watches]</t>
  </si>
  <si>
    <t>Barillets d'horlogerie</t>
  </si>
  <si>
    <t>101887</t>
  </si>
  <si>
    <t>Watch casings</t>
  </si>
  <si>
    <t>Boîtiers de montre</t>
  </si>
  <si>
    <t>101888</t>
  </si>
  <si>
    <t>Watch bracelets</t>
  </si>
  <si>
    <t>Bracelets de montres</t>
  </si>
  <si>
    <t>Wrist watch straps</t>
  </si>
  <si>
    <t>101889</t>
  </si>
  <si>
    <t>Dials for measuring, checking and signalling instruments</t>
  </si>
  <si>
    <t>Cadrans d'instruments de mesure, de contrôle et de signalisation</t>
  </si>
  <si>
    <t>101890</t>
  </si>
  <si>
    <t>Watch chains</t>
  </si>
  <si>
    <t>Chaînes de montres</t>
  </si>
  <si>
    <t>101891</t>
  </si>
  <si>
    <t>Frames for movements [clocks and watches]</t>
  </si>
  <si>
    <t>Châssis de mouvements d'horlogerie</t>
  </si>
  <si>
    <t>101892</t>
  </si>
  <si>
    <t>Jewel settings [clocks and watches]</t>
  </si>
  <si>
    <t>Chatons [horlogerie]</t>
  </si>
  <si>
    <t>101893</t>
  </si>
  <si>
    <t>Winding crowns for watches</t>
  </si>
  <si>
    <t>Couronnes de montres</t>
  </si>
  <si>
    <t>101894</t>
  </si>
  <si>
    <t>Escapements [clocks and watches]</t>
  </si>
  <si>
    <t>Échappements [horlogerie]</t>
  </si>
  <si>
    <t>101895</t>
  </si>
  <si>
    <t>Watch rims</t>
  </si>
  <si>
    <t>Lunettes de montres</t>
  </si>
  <si>
    <t>101896</t>
  </si>
  <si>
    <t>Movements for clocks and watches</t>
  </si>
  <si>
    <t>Mouvements d'horlogerie</t>
  </si>
  <si>
    <t>101897</t>
  </si>
  <si>
    <t>Jewels for clock and watch movements</t>
  </si>
  <si>
    <t>Pierres fines d'horlogerie</t>
  </si>
  <si>
    <t>101898</t>
  </si>
  <si>
    <t>Pivots for clocks and watches</t>
  </si>
  <si>
    <t>Pivots d'horlogerie</t>
  </si>
  <si>
    <t>101899</t>
  </si>
  <si>
    <t>Links for watch bracelets</t>
  </si>
  <si>
    <t>Chaînons pour bracelets de montres</t>
  </si>
  <si>
    <t>101900</t>
  </si>
  <si>
    <t>Clasps for watch bracelets</t>
  </si>
  <si>
    <t>Fermoirs de bracelets de montres</t>
  </si>
  <si>
    <t>Watch-strap clasps</t>
  </si>
  <si>
    <t>101901</t>
  </si>
  <si>
    <t>Hinge pins for watch cases</t>
  </si>
  <si>
    <t>Gonds pour boîtes de montres</t>
  </si>
  <si>
    <t>101902</t>
  </si>
  <si>
    <t>Winders for watches</t>
  </si>
  <si>
    <t>Remontoirs de montres</t>
  </si>
  <si>
    <t>101903</t>
  </si>
  <si>
    <t>Clock striking mechanisms</t>
  </si>
  <si>
    <t>Sonneries d'horloge</t>
  </si>
  <si>
    <t>101904</t>
  </si>
  <si>
    <t>Watch springs</t>
  </si>
  <si>
    <t>Ressorts de montres</t>
  </si>
  <si>
    <t>101905</t>
  </si>
  <si>
    <t>Watch glasses</t>
  </si>
  <si>
    <t>Verres de montres</t>
  </si>
  <si>
    <t>Watch crystals</t>
  </si>
  <si>
    <t>101906</t>
  </si>
  <si>
    <t>Watch dials</t>
  </si>
  <si>
    <t>Cadrans de montres</t>
  </si>
  <si>
    <t>101907</t>
  </si>
  <si>
    <t>Watchstrap links</t>
  </si>
  <si>
    <t>Maillons de bracelets de montres</t>
  </si>
  <si>
    <t>104593</t>
  </si>
  <si>
    <t>Clock hands</t>
  </si>
  <si>
    <t>Aiguilles de montre</t>
  </si>
  <si>
    <t>104753</t>
  </si>
  <si>
    <t>Bracelets for smartwatches</t>
  </si>
  <si>
    <t>Bracelets pour montres intelligentes</t>
  </si>
  <si>
    <t>104865</t>
  </si>
  <si>
    <t>Watch winding apparatus</t>
  </si>
  <si>
    <t>Tourne-montres [appareils]</t>
  </si>
  <si>
    <t>10-99</t>
  </si>
  <si>
    <t>11</t>
  </si>
  <si>
    <t>11-01</t>
  </si>
  <si>
    <t>101908</t>
  </si>
  <si>
    <t>Artículos de adorno: Comprende joyería y accesorios decorativos.</t>
  </si>
  <si>
    <t>ARTICLES OF ADORNMENT</t>
  </si>
  <si>
    <t>JEWELLERY</t>
  </si>
  <si>
    <t>Wedding rings</t>
  </si>
  <si>
    <t>Alliances</t>
  </si>
  <si>
    <t>101909</t>
  </si>
  <si>
    <t>Finger rings</t>
  </si>
  <si>
    <t>Bagues [bijouterie]</t>
  </si>
  <si>
    <t>101910</t>
  </si>
  <si>
    <t>Earrings</t>
  </si>
  <si>
    <t>Boucles d'oreilles</t>
  </si>
  <si>
    <t>Ear pendants</t>
  </si>
  <si>
    <t>Parures d'oreilles</t>
  </si>
  <si>
    <t>Pendants d'oreilles</t>
  </si>
  <si>
    <t>101911</t>
  </si>
  <si>
    <t>Bracelets</t>
  </si>
  <si>
    <t>101912</t>
  </si>
  <si>
    <t>Charms</t>
  </si>
  <si>
    <t>Breloques</t>
  </si>
  <si>
    <t>101913</t>
  </si>
  <si>
    <t>Brilliants</t>
  </si>
  <si>
    <t>Brillants</t>
  </si>
  <si>
    <t>101914</t>
  </si>
  <si>
    <t>Brooches [jewellery]</t>
  </si>
  <si>
    <t>Broches [bijouterie]</t>
  </si>
  <si>
    <t>101915</t>
  </si>
  <si>
    <t>Chains [jewellery]</t>
  </si>
  <si>
    <t>Chaînes de bijouterie</t>
  </si>
  <si>
    <t>101916</t>
  </si>
  <si>
    <t>Signet rings</t>
  </si>
  <si>
    <t>Chevalières</t>
  </si>
  <si>
    <t>101917</t>
  </si>
  <si>
    <t>Clips [jewellery]</t>
  </si>
  <si>
    <t>Clips [bijouterie]</t>
  </si>
  <si>
    <t>101918</t>
  </si>
  <si>
    <t>Necklaces [jewellery]</t>
  </si>
  <si>
    <t>Colliers [bijouterie]</t>
  </si>
  <si>
    <t>101919</t>
  </si>
  <si>
    <t>Diadems</t>
  </si>
  <si>
    <t>Diadèmes</t>
  </si>
  <si>
    <t>101920</t>
  </si>
  <si>
    <t>Diamonds</t>
  </si>
  <si>
    <t>Diamants</t>
  </si>
  <si>
    <t>101921</t>
  </si>
  <si>
    <t>Pins [jewellery]</t>
  </si>
  <si>
    <t>Épingles [bijouterie]</t>
  </si>
  <si>
    <t>101922</t>
  </si>
  <si>
    <t>Jewellery</t>
  </si>
  <si>
    <t>Bijouterie</t>
  </si>
  <si>
    <t>Joaillerie</t>
  </si>
  <si>
    <t>101923</t>
  </si>
  <si>
    <t>Medallions</t>
  </si>
  <si>
    <t>Médaillons [bijouterie]</t>
  </si>
  <si>
    <t>Lockets</t>
  </si>
  <si>
    <t>101924</t>
  </si>
  <si>
    <t>Pendants [jewellery]</t>
  </si>
  <si>
    <t>Pendentifs [bijouterie]</t>
  </si>
  <si>
    <t>101925</t>
  </si>
  <si>
    <t>Pearls</t>
  </si>
  <si>
    <t>Perles</t>
  </si>
  <si>
    <t>101926</t>
  </si>
  <si>
    <t>Gems</t>
  </si>
  <si>
    <t>Pierres précieuses</t>
  </si>
  <si>
    <t>Precious stones</t>
  </si>
  <si>
    <t>101927</t>
  </si>
  <si>
    <t>Solitaire diamonds</t>
  </si>
  <si>
    <t>Solitaires [diamants]</t>
  </si>
  <si>
    <t>101928</t>
  </si>
  <si>
    <t>Rosaries</t>
  </si>
  <si>
    <t>Chapelets</t>
  </si>
  <si>
    <t>Rosaires</t>
  </si>
  <si>
    <t>101929</t>
  </si>
  <si>
    <t>Religious objects [jewellery]</t>
  </si>
  <si>
    <t>Objets de piété [bijouterie]</t>
  </si>
  <si>
    <t>101930</t>
  </si>
  <si>
    <t>Bracelet links</t>
  </si>
  <si>
    <t>Chaînons de bracelets</t>
  </si>
  <si>
    <t>101931</t>
  </si>
  <si>
    <t>Hair fasteners [jewellery]</t>
  </si>
  <si>
    <t>Fixe-cheveux [bijouterie]</t>
  </si>
  <si>
    <t>101932</t>
  </si>
  <si>
    <t>Sautoirs [jewellery]</t>
  </si>
  <si>
    <t>Sautoirs [bijouterie]</t>
  </si>
  <si>
    <t>101933</t>
  </si>
  <si>
    <t>Chain links [jewellery]</t>
  </si>
  <si>
    <t>Maillons de chaînes [bijouterie]</t>
  </si>
  <si>
    <t>101934</t>
  </si>
  <si>
    <t>Jewellery sets</t>
  </si>
  <si>
    <t>Parures [bijouterie]</t>
  </si>
  <si>
    <t>101935</t>
  </si>
  <si>
    <t>Jewellery for piercing</t>
  </si>
  <si>
    <t>Piercings</t>
  </si>
  <si>
    <t>104866</t>
  </si>
  <si>
    <t>Cuff bracelets</t>
  </si>
  <si>
    <t>Manchettes [bijouterie]</t>
  </si>
  <si>
    <t>105054</t>
  </si>
  <si>
    <t>Jewellery clasps [including magnetic]</t>
  </si>
  <si>
    <t>Fermoirs pour la bijouterie [y compris magnétiques]</t>
  </si>
  <si>
    <t>11-02</t>
  </si>
  <si>
    <t>101936</t>
  </si>
  <si>
    <t>TRINKETS, TABLE, MANTEL AND WALL ORNAMENTS, FLOWER VASES AND POTS</t>
  </si>
  <si>
    <t>Wall ornaments</t>
  </si>
  <si>
    <t>Appliques murales [ornements]</t>
  </si>
  <si>
    <t>Ornements de murs</t>
  </si>
  <si>
    <t>101937</t>
  </si>
  <si>
    <t>Aquariums for flowers</t>
  </si>
  <si>
    <t>Aquariums pour fleurs</t>
  </si>
  <si>
    <t>101938</t>
  </si>
  <si>
    <t>Bas-reliefs</t>
  </si>
  <si>
    <t>101939</t>
  </si>
  <si>
    <t>Trinkets</t>
  </si>
  <si>
    <t>Bibelots</t>
  </si>
  <si>
    <t>101940</t>
  </si>
  <si>
    <t>Flowerpot covers</t>
  </si>
  <si>
    <t>Cache-pot</t>
  </si>
  <si>
    <t>101941</t>
  </si>
  <si>
    <t>Ceramics</t>
  </si>
  <si>
    <t>Céramique d'art</t>
  </si>
  <si>
    <t>101942</t>
  </si>
  <si>
    <t>Baskets for holding flowerpots</t>
  </si>
  <si>
    <t>Corbillons pour pots à fleurs</t>
  </si>
  <si>
    <t>101943</t>
  </si>
  <si>
    <t>Flower bowls</t>
  </si>
  <si>
    <t>Coupes à fleurs</t>
  </si>
  <si>
    <t>101945</t>
  </si>
  <si>
    <t>Pottery [artware]</t>
  </si>
  <si>
    <t>Faïences d'art</t>
  </si>
  <si>
    <t>101946</t>
  </si>
  <si>
    <t>Figurines</t>
  </si>
  <si>
    <t>101947</t>
  </si>
  <si>
    <t>Mobiles [decoration]</t>
  </si>
  <si>
    <t>Mobiles [ornements]</t>
  </si>
  <si>
    <t>101948</t>
  </si>
  <si>
    <t>Mosaics</t>
  </si>
  <si>
    <t>Mosaïques</t>
  </si>
  <si>
    <t>101949</t>
  </si>
  <si>
    <t>Table ornaments</t>
  </si>
  <si>
    <t>Ornements de table</t>
  </si>
  <si>
    <t>101950</t>
  </si>
  <si>
    <t>Painted china [purely ornamental]</t>
  </si>
  <si>
    <t>Porcelaine peinte [purement ornementale]</t>
  </si>
  <si>
    <t>101951</t>
  </si>
  <si>
    <t>Sculptures</t>
  </si>
  <si>
    <t>101952</t>
  </si>
  <si>
    <t>Statuettes</t>
  </si>
  <si>
    <t>101953</t>
  </si>
  <si>
    <t>Table centerpieces</t>
  </si>
  <si>
    <t>Surtouts de tables</t>
  </si>
  <si>
    <t>Epergnes</t>
  </si>
  <si>
    <t>101954</t>
  </si>
  <si>
    <t>Crucifixes</t>
  </si>
  <si>
    <t>Crucifix</t>
  </si>
  <si>
    <t>101955</t>
  </si>
  <si>
    <t>Mantelpiece ornaments</t>
  </si>
  <si>
    <t>Ornements de dessus de cheminées</t>
  </si>
  <si>
    <t>101956</t>
  </si>
  <si>
    <t>Baskets [ornamental]</t>
  </si>
  <si>
    <t>Paniers décoratifs</t>
  </si>
  <si>
    <t>Ornamental baskets</t>
  </si>
  <si>
    <t>101957</t>
  </si>
  <si>
    <t>Flower holders</t>
  </si>
  <si>
    <t>Porte-fleurs</t>
  </si>
  <si>
    <t>101958</t>
  </si>
  <si>
    <t>Flowerpots</t>
  </si>
  <si>
    <t>Pots à fleurs</t>
  </si>
  <si>
    <t>101959</t>
  </si>
  <si>
    <t>Holders for flower arrangements</t>
  </si>
  <si>
    <t>Supports d'arrangements de fleurs</t>
  </si>
  <si>
    <t>Stands for flower arrangements</t>
  </si>
  <si>
    <t>101960</t>
  </si>
  <si>
    <t>Plates and dishes [purely ornamental]</t>
  </si>
  <si>
    <t>Vaisselle [purement ornementale]</t>
  </si>
  <si>
    <t>101961</t>
  </si>
  <si>
    <t>Flower vases</t>
  </si>
  <si>
    <t>Vases à fleurs</t>
  </si>
  <si>
    <t>101962</t>
  </si>
  <si>
    <t>Glassware [purely ornamental]</t>
  </si>
  <si>
    <t>Verrerie [purement ornementale]</t>
  </si>
  <si>
    <t>101963</t>
  </si>
  <si>
    <t>Flower boxes [indoor]</t>
  </si>
  <si>
    <t>Bacs à fleurs d'intérieur</t>
  </si>
  <si>
    <t>101964</t>
  </si>
  <si>
    <t>Bowls [decoration]</t>
  </si>
  <si>
    <t>Vasques [décoration]</t>
  </si>
  <si>
    <t>Basins [decoration]</t>
  </si>
  <si>
    <t>101965</t>
  </si>
  <si>
    <t>Magnets for magnetic boards</t>
  </si>
  <si>
    <t>Aimants pour tableaux magnétiques</t>
  </si>
  <si>
    <t>101966</t>
  </si>
  <si>
    <t>Trophies</t>
  </si>
  <si>
    <t>Trophées</t>
  </si>
  <si>
    <t>101967</t>
  </si>
  <si>
    <t>Magnets</t>
  </si>
  <si>
    <t>101968</t>
  </si>
  <si>
    <t>Garden gnomes</t>
  </si>
  <si>
    <t>Nains de jardin</t>
  </si>
  <si>
    <t>101969</t>
  </si>
  <si>
    <t>Holy-water stoups</t>
  </si>
  <si>
    <t>Bénitiers</t>
  </si>
  <si>
    <t>101970</t>
  </si>
  <si>
    <t>Incense burners</t>
  </si>
  <si>
    <t>Encensoirs</t>
  </si>
  <si>
    <t>101971</t>
  </si>
  <si>
    <t>Incense-smoking figurines</t>
  </si>
  <si>
    <t>Figurines [statuettes] pour brûler de l'encens</t>
  </si>
  <si>
    <t>Figurines pour brûler de l'encens [statuettes]</t>
  </si>
  <si>
    <t>104683</t>
  </si>
  <si>
    <t>Wind chimes</t>
  </si>
  <si>
    <t>Carillons à vent</t>
  </si>
  <si>
    <t>104754</t>
  </si>
  <si>
    <t>Indoor propagators</t>
  </si>
  <si>
    <t>Propagateurs d'intérieur</t>
  </si>
  <si>
    <t>104970</t>
  </si>
  <si>
    <t>Snow globes</t>
  </si>
  <si>
    <t>Boules à neige</t>
  </si>
  <si>
    <t>105088</t>
  </si>
  <si>
    <t>Paintings for interior decoration</t>
  </si>
  <si>
    <t>Tableaux pour la décoration intérieure</t>
  </si>
  <si>
    <t>104300</t>
  </si>
  <si>
    <t>Perfume burners</t>
  </si>
  <si>
    <t>Brûle-parfums</t>
  </si>
  <si>
    <t>11-03</t>
  </si>
  <si>
    <t>101972</t>
  </si>
  <si>
    <t>MEDALS AND BADGES</t>
  </si>
  <si>
    <t>Badges</t>
  </si>
  <si>
    <t>Insignes</t>
  </si>
  <si>
    <t>101973</t>
  </si>
  <si>
    <t>Campaign badges</t>
  </si>
  <si>
    <t>Insignes pour campagnes électorales</t>
  </si>
  <si>
    <t>101974</t>
  </si>
  <si>
    <t>Medals</t>
  </si>
  <si>
    <t>Médailles</t>
  </si>
  <si>
    <t>101975</t>
  </si>
  <si>
    <t>Identification badges</t>
  </si>
  <si>
    <t>Insignes d'identification</t>
  </si>
  <si>
    <t>101976</t>
  </si>
  <si>
    <t>Pins [badges]</t>
  </si>
  <si>
    <t>Épinglettes [badges]</t>
  </si>
  <si>
    <t>11-04</t>
  </si>
  <si>
    <t>101977</t>
  </si>
  <si>
    <t>ARTIFICIAL FLOWERS, FRUIT AND PLANTS</t>
  </si>
  <si>
    <t>Christmas trees [artificial]</t>
  </si>
  <si>
    <t>Arbres de Noël [artificiels]</t>
  </si>
  <si>
    <t>101978</t>
  </si>
  <si>
    <t>Branches of artificial shrubs</t>
  </si>
  <si>
    <t>Branches d'arbustes artificiels</t>
  </si>
  <si>
    <t>101979</t>
  </si>
  <si>
    <t>Artificial wreaths</t>
  </si>
  <si>
    <t>Couronnes de fleurs artificielles</t>
  </si>
  <si>
    <t>101980</t>
  </si>
  <si>
    <t>Funeral wreaths</t>
  </si>
  <si>
    <t>Couronnes funéraires</t>
  </si>
  <si>
    <t>101981</t>
  </si>
  <si>
    <t>Flower decorations</t>
  </si>
  <si>
    <t>Décorations florales</t>
  </si>
  <si>
    <t>101982</t>
  </si>
  <si>
    <t>Artificial foliage</t>
  </si>
  <si>
    <t>Feuillage artificiel</t>
  </si>
  <si>
    <t>101983</t>
  </si>
  <si>
    <t>Leaves of artificial plants</t>
  </si>
  <si>
    <t>Feuilles de plantes artificielles</t>
  </si>
  <si>
    <t>101984</t>
  </si>
  <si>
    <t>Artificial flowers</t>
  </si>
  <si>
    <t>Fleurs artificielles</t>
  </si>
  <si>
    <t>101985</t>
  </si>
  <si>
    <t>Fruit [artificial]</t>
  </si>
  <si>
    <t>Fruits artificiels</t>
  </si>
  <si>
    <t>101986</t>
  </si>
  <si>
    <t>Garlands of artificial flowers or leaves</t>
  </si>
  <si>
    <t>Guirlandes en fleurs ou feuilles artificielles</t>
  </si>
  <si>
    <t>101987</t>
  </si>
  <si>
    <t>Artificial plants</t>
  </si>
  <si>
    <t>Plantes artificielles</t>
  </si>
  <si>
    <t>101988</t>
  </si>
  <si>
    <t>Imitation vegetation</t>
  </si>
  <si>
    <t>Imitation de végétation</t>
  </si>
  <si>
    <t>11-05</t>
  </si>
  <si>
    <t>101944</t>
  </si>
  <si>
    <t>FLAGS, FESTIVE DECORATIONS</t>
  </si>
  <si>
    <t>Figures for Christmas cribs</t>
  </si>
  <si>
    <t>Santons</t>
  </si>
  <si>
    <t>Personnages pour la crèche</t>
  </si>
  <si>
    <t>101989</t>
  </si>
  <si>
    <t>Christmas tree decorations</t>
  </si>
  <si>
    <t>Décorations pour arbres de Noël</t>
  </si>
  <si>
    <t>Décorations d'arbres de Noël</t>
  </si>
  <si>
    <t>101990</t>
  </si>
  <si>
    <t>Streamers</t>
  </si>
  <si>
    <t>Banderoles</t>
  </si>
  <si>
    <t>101991</t>
  </si>
  <si>
    <t>Banners</t>
  </si>
  <si>
    <t>Bannières</t>
  </si>
  <si>
    <t>101992</t>
  </si>
  <si>
    <t>Christmas stockings</t>
  </si>
  <si>
    <t>Bas de Noël</t>
  </si>
  <si>
    <t>101993</t>
  </si>
  <si>
    <t>Candle holders for Christmas trees</t>
  </si>
  <si>
    <t>Porte-bougies pour arbres de Noël</t>
  </si>
  <si>
    <t>101994</t>
  </si>
  <si>
    <t>Rosettes [ornaments]</t>
  </si>
  <si>
    <t>Cocardes</t>
  </si>
  <si>
    <t>101995</t>
  </si>
  <si>
    <t>Christmas cribs</t>
  </si>
  <si>
    <t>Crèches de Noël</t>
  </si>
  <si>
    <t>101996</t>
  </si>
  <si>
    <t>Festive decorations</t>
  </si>
  <si>
    <t>Décorations de fête</t>
  </si>
  <si>
    <t>101997</t>
  </si>
  <si>
    <t>Flags</t>
  </si>
  <si>
    <t>Drapeaux</t>
  </si>
  <si>
    <t>Pavillons [drapeaux]</t>
  </si>
  <si>
    <t>101998</t>
  </si>
  <si>
    <t>Flagpoles</t>
  </si>
  <si>
    <t>Hampes de drapeaux</t>
  </si>
  <si>
    <t>101999</t>
  </si>
  <si>
    <t>Escutcheons</t>
  </si>
  <si>
    <t>Écussons</t>
  </si>
  <si>
    <t>Coats of arms</t>
  </si>
  <si>
    <t>102000</t>
  </si>
  <si>
    <t>Burgees</t>
  </si>
  <si>
    <t>Fanions</t>
  </si>
  <si>
    <t>102001</t>
  </si>
  <si>
    <t>Garlands</t>
  </si>
  <si>
    <t>Guirlandes</t>
  </si>
  <si>
    <t>102002</t>
  </si>
  <si>
    <t>Decorative balls for car radio aerials</t>
  </si>
  <si>
    <t>Balles décoratives pour antennes de voitures</t>
  </si>
  <si>
    <t>104755</t>
  </si>
  <si>
    <t>Festive dolls</t>
  </si>
  <si>
    <t>Figurines de fête</t>
  </si>
  <si>
    <t>104756</t>
  </si>
  <si>
    <t>Non-illuminated Advent stars</t>
  </si>
  <si>
    <t>Étoiles de l'Avent non lumineuses</t>
  </si>
  <si>
    <t>104971</t>
  </si>
  <si>
    <t>Ornamental Christmas trees</t>
  </si>
  <si>
    <t>Arbres de Noël décoratifs</t>
  </si>
  <si>
    <t>11-99</t>
  </si>
  <si>
    <t>102003</t>
  </si>
  <si>
    <t>Stage sets</t>
  </si>
  <si>
    <t>Décors de théâtre</t>
  </si>
  <si>
    <t>Theatre sets</t>
  </si>
  <si>
    <t>102004</t>
  </si>
  <si>
    <t>Fountains for interior decoration</t>
  </si>
  <si>
    <t>Jets d'eau pour intérieurs</t>
  </si>
  <si>
    <t>102005</t>
  </si>
  <si>
    <t>Wedding bouquet sleeves</t>
  </si>
  <si>
    <t>Manchettes de bouquets de mariée</t>
  </si>
  <si>
    <t>102006</t>
  </si>
  <si>
    <t>Ingots</t>
  </si>
  <si>
    <t>Lingots</t>
  </si>
  <si>
    <t>104681</t>
  </si>
  <si>
    <t>Waterfalls for interior decoration</t>
  </si>
  <si>
    <t>Cascades pour intérieurs</t>
  </si>
  <si>
    <t>12</t>
  </si>
  <si>
    <t>12-01</t>
  </si>
  <si>
    <t>102007</t>
  </si>
  <si>
    <t>Medios de transporte o elevación: Incluye todo tipo de vehículos terrestres, marítimos, aéreos y espaciales, así como sus partes y accesorios específicos.</t>
  </si>
  <si>
    <t>MEANS OF TRANSPORT OR HOISTING</t>
  </si>
  <si>
    <t>a.  Including all vehicles:  land, sea, air, space and others.
b.  Including parts, components and accessories which exist only in connection with a vehicle and cannot be placed in another class;  these parts, components and accessories of vehicles are to be placed in the subclass of the vehicle in question, or in Cl. 12-16 if they are common to several vehicles included in different subclasses.
c.  Not including, in principle, parts, components and accessories of vehicles which can be placed in another class;  these parts, components and accessories are to be placed in the same class as articles of the same type, in other words, having the same function.  Thus, carpets or mats for automobiles are to be placed with carpets (Cl. 06-11);  electric motors for vehicles are to be placed in Cl. 13-01, and non-electric motors for vehicles in Cl. 15-01 (the same applies to the components of such motors);  automobile headlamps are to be placed with lighting apparatus (Cl. 26-06).
d.  Not including scale models of vehicles (Cl. 21-01).</t>
  </si>
  <si>
    <t>VEHICLES DRAWN BY ANIMALS</t>
  </si>
  <si>
    <t>Carriage shafts</t>
  </si>
  <si>
    <t>Timons de voitures</t>
  </si>
  <si>
    <t>102008</t>
  </si>
  <si>
    <t>Vehicles drawn by animals</t>
  </si>
  <si>
    <t>Véhicules à traction animale</t>
  </si>
  <si>
    <t>102010</t>
  </si>
  <si>
    <t>Sulkies</t>
  </si>
  <si>
    <t>12-02</t>
  </si>
  <si>
    <t>102011</t>
  </si>
  <si>
    <t>HANDCARTS, WHEELBARROWS</t>
  </si>
  <si>
    <t>Wheelbarrows</t>
  </si>
  <si>
    <t>Brouettes</t>
  </si>
  <si>
    <t>102012</t>
  </si>
  <si>
    <t>Dinner waggons [carriages]</t>
  </si>
  <si>
    <t>Buffets roulants [chariots]</t>
  </si>
  <si>
    <t>102013</t>
  </si>
  <si>
    <t>Golf carts</t>
  </si>
  <si>
    <t>Charrettes de golf</t>
  </si>
  <si>
    <t>102014</t>
  </si>
  <si>
    <t>Hand carts</t>
  </si>
  <si>
    <t>Charrettes à bras</t>
  </si>
  <si>
    <t>Barrows</t>
  </si>
  <si>
    <t>102015</t>
  </si>
  <si>
    <t>Hand trucks</t>
  </si>
  <si>
    <t>Chariots</t>
  </si>
  <si>
    <t>102016</t>
  </si>
  <si>
    <t>Hand trolleys for handling goods</t>
  </si>
  <si>
    <t>Chariots de manutention [à main]</t>
  </si>
  <si>
    <t>102017</t>
  </si>
  <si>
    <t>Shopping trolleys</t>
  </si>
  <si>
    <t>Chariots de supermarché</t>
  </si>
  <si>
    <t>Shopping carts</t>
  </si>
  <si>
    <t>102018</t>
  </si>
  <si>
    <t>Garden carts</t>
  </si>
  <si>
    <t>Charrettes de jardiniers</t>
  </si>
  <si>
    <t>102019</t>
  </si>
  <si>
    <t>Sack-barrows</t>
  </si>
  <si>
    <t>Diables</t>
  </si>
  <si>
    <t>102020</t>
  </si>
  <si>
    <t>Dumpcarts</t>
  </si>
  <si>
    <t>Charrettes à bascule</t>
  </si>
  <si>
    <t>102021</t>
  </si>
  <si>
    <t>Boat launching trolleys</t>
  </si>
  <si>
    <t>Chariots pour mise à l'eau d'embarcations</t>
  </si>
  <si>
    <t>102022</t>
  </si>
  <si>
    <t>Platform trolleys</t>
  </si>
  <si>
    <t>Plateaux de chargement à roulettes</t>
  </si>
  <si>
    <t>102023</t>
  </si>
  <si>
    <t>Itinerant vendors' carts</t>
  </si>
  <si>
    <t>Voiturettes de marchands ambulants</t>
  </si>
  <si>
    <t>102024</t>
  </si>
  <si>
    <t>Cleaning trolleys</t>
  </si>
  <si>
    <t>Chariots de nettoyage</t>
  </si>
  <si>
    <t>102025</t>
  </si>
  <si>
    <t>Trolleys for medical care</t>
  </si>
  <si>
    <t>Chariots pour soins médicaux</t>
  </si>
  <si>
    <t>102026</t>
  </si>
  <si>
    <t>Wheel carriers [trolleys]</t>
  </si>
  <si>
    <t>Porte-roues [chariots]</t>
  </si>
  <si>
    <t>102027</t>
  </si>
  <si>
    <t>Dollies [wheeled platforms]</t>
  </si>
  <si>
    <t>Socles roulants</t>
  </si>
  <si>
    <t>104757</t>
  </si>
  <si>
    <t>Casters for transport purposes</t>
  </si>
  <si>
    <t>Roulettes de transport</t>
  </si>
  <si>
    <t>104867</t>
  </si>
  <si>
    <t>Hand trolleys for transporting guidance barriers</t>
  </si>
  <si>
    <t>Chariots à main pour le transport de barrières de guidage</t>
  </si>
  <si>
    <t>12-03</t>
  </si>
  <si>
    <t>102028</t>
  </si>
  <si>
    <t>LOCOMOTIVES AND ROLLING STOCK FOR RAILWAYS AND ALL OTHER RAIL VEHICLES</t>
  </si>
  <si>
    <t>Mine trucks</t>
  </si>
  <si>
    <t>Berlines pour mines</t>
  </si>
  <si>
    <t>102029</t>
  </si>
  <si>
    <t>Bogies for railway cars</t>
  </si>
  <si>
    <t>Bogies de wagons de chemin de fer</t>
  </si>
  <si>
    <t>102030</t>
  </si>
  <si>
    <t>Grease boxes for railway carriages</t>
  </si>
  <si>
    <t>Boîtes de graissage [wagons]</t>
  </si>
  <si>
    <t>102031</t>
  </si>
  <si>
    <t>Railway carriage bodies</t>
  </si>
  <si>
    <t>Carrosseries de wagons de chemin de fer</t>
  </si>
  <si>
    <t>102032</t>
  </si>
  <si>
    <t>Funnels for locomotives</t>
  </si>
  <si>
    <t>Cheminées de locomotives</t>
  </si>
  <si>
    <t>102033</t>
  </si>
  <si>
    <t>Trolleys for railway maintenance work</t>
  </si>
  <si>
    <t>Draisines</t>
  </si>
  <si>
    <t>102034</t>
  </si>
  <si>
    <t>Funicular railways</t>
  </si>
  <si>
    <t>Funiculaires</t>
  </si>
  <si>
    <t>102035</t>
  </si>
  <si>
    <t>Locomotives</t>
  </si>
  <si>
    <t>102036</t>
  </si>
  <si>
    <t>Running boards for railway carriages</t>
  </si>
  <si>
    <t>Marchepieds de wagons</t>
  </si>
  <si>
    <t>102037</t>
  </si>
  <si>
    <t>Monorails [transport]</t>
  </si>
  <si>
    <t>102038</t>
  </si>
  <si>
    <t>Platforms for railway carriages</t>
  </si>
  <si>
    <t>Plates-formes de wagons</t>
  </si>
  <si>
    <t>102039</t>
  </si>
  <si>
    <t>Railway carriage doors</t>
  </si>
  <si>
    <t>Portières de wagons</t>
  </si>
  <si>
    <t>102040</t>
  </si>
  <si>
    <t>Steam regulators for locomotives</t>
  </si>
  <si>
    <t>Régulateurs de vapeur pour locomotives</t>
  </si>
  <si>
    <t>102041</t>
  </si>
  <si>
    <t>Wheels for rail vehicles</t>
  </si>
  <si>
    <t>Roues de véhicules sur rails</t>
  </si>
  <si>
    <t>102042</t>
  </si>
  <si>
    <t>Sandboxes of locomotives or trams</t>
  </si>
  <si>
    <t>Sablières de locomotives ou de tramways</t>
  </si>
  <si>
    <t>102043</t>
  </si>
  <si>
    <t>Suspensions for railway carriages</t>
  </si>
  <si>
    <t>Suspensions de wagons</t>
  </si>
  <si>
    <t>102044</t>
  </si>
  <si>
    <t>Tenders</t>
  </si>
  <si>
    <t>102045</t>
  </si>
  <si>
    <t>Tramcars</t>
  </si>
  <si>
    <t>Tramways</t>
  </si>
  <si>
    <t>102046</t>
  </si>
  <si>
    <t>Railway carriages</t>
  </si>
  <si>
    <t>Voitures de chemin de fer</t>
  </si>
  <si>
    <t>102047</t>
  </si>
  <si>
    <t>Funicular railway carriages</t>
  </si>
  <si>
    <t>Voitures de funiculaires</t>
  </si>
  <si>
    <t>102048</t>
  </si>
  <si>
    <t>Rail trolleys</t>
  </si>
  <si>
    <t>Wagonnets</t>
  </si>
  <si>
    <t>102049</t>
  </si>
  <si>
    <t>Buffers [railway wagon parts]</t>
  </si>
  <si>
    <t>Tampons de choc [parties de wagons]</t>
  </si>
  <si>
    <t>102050</t>
  </si>
  <si>
    <t>Spark deflectors for locomotives</t>
  </si>
  <si>
    <t>Pare-étincelles pour locomotives</t>
  </si>
  <si>
    <t>102051</t>
  </si>
  <si>
    <t>Luggage racks for railway carriages</t>
  </si>
  <si>
    <t>Porte-bagages de wagons</t>
  </si>
  <si>
    <t>102052</t>
  </si>
  <si>
    <t>Concertina vestibules for railway carriages</t>
  </si>
  <si>
    <t>Soufflets d'intercommunication de wagons</t>
  </si>
  <si>
    <t>102053</t>
  </si>
  <si>
    <t>Rail vehicles</t>
  </si>
  <si>
    <t>Véhicules sur rails</t>
  </si>
  <si>
    <t>102054</t>
  </si>
  <si>
    <t>Railway wagons</t>
  </si>
  <si>
    <t>Wagons de chemin de fer</t>
  </si>
  <si>
    <t>102055</t>
  </si>
  <si>
    <t>Refrigerated rail wagons</t>
  </si>
  <si>
    <t>Wagons frigorifiques</t>
  </si>
  <si>
    <t>Refrigerated rail cars</t>
  </si>
  <si>
    <t>102056</t>
  </si>
  <si>
    <t>Tank wagons [rail]</t>
  </si>
  <si>
    <t>Wagons-citernes</t>
  </si>
  <si>
    <t>Tank cars [rail]</t>
  </si>
  <si>
    <t>12-04</t>
  </si>
  <si>
    <t>102057</t>
  </si>
  <si>
    <t>TELPHER CARRIERS, CHAIR LIFTS AND SKI LIFTS</t>
  </si>
  <si>
    <t>Cable cars</t>
  </si>
  <si>
    <t>Cabines téléphériques</t>
  </si>
  <si>
    <t>102058</t>
  </si>
  <si>
    <t>Telpher cableways</t>
  </si>
  <si>
    <t>Téléphériques</t>
  </si>
  <si>
    <t>102059</t>
  </si>
  <si>
    <t>Chair lifts</t>
  </si>
  <si>
    <t>Télésièges</t>
  </si>
  <si>
    <t>102060</t>
  </si>
  <si>
    <t>Ski lifts</t>
  </si>
  <si>
    <t>Téléskis</t>
  </si>
  <si>
    <t>Remonte-pentes</t>
  </si>
  <si>
    <t>12-05</t>
  </si>
  <si>
    <t>102061</t>
  </si>
  <si>
    <t>ELEVATORS AND HOISTS FOR LOADING OR CONVEYING</t>
  </si>
  <si>
    <t>Lifts</t>
  </si>
  <si>
    <t>Ascenseurs</t>
  </si>
  <si>
    <t>Elevators</t>
  </si>
  <si>
    <t>102062</t>
  </si>
  <si>
    <t>Conveyor belts</t>
  </si>
  <si>
    <t>Bandes transporteuses</t>
  </si>
  <si>
    <t>Endless carriers</t>
  </si>
  <si>
    <t>Courroies transporteuses</t>
  </si>
  <si>
    <t>102063</t>
  </si>
  <si>
    <t>Davits for boats</t>
  </si>
  <si>
    <t>Bossoirs d'embarcations</t>
  </si>
  <si>
    <t>102064</t>
  </si>
  <si>
    <t>Capstans</t>
  </si>
  <si>
    <t>Cabestans</t>
  </si>
  <si>
    <t>102065</t>
  </si>
  <si>
    <t>Bucket chains [lifting apparatus]</t>
  </si>
  <si>
    <t>Chaînes à godets [élévateurs]</t>
  </si>
  <si>
    <t>102066</t>
  </si>
  <si>
    <t>Manure loaders</t>
  </si>
  <si>
    <t>Chargeurs de fumier</t>
  </si>
  <si>
    <t>102067</t>
  </si>
  <si>
    <t>Forklift trucks</t>
  </si>
  <si>
    <t>Chariots élévateurs</t>
  </si>
  <si>
    <t>102068</t>
  </si>
  <si>
    <t>Derricks [drilling]</t>
  </si>
  <si>
    <t>Tours de forage</t>
  </si>
  <si>
    <t>102069</t>
  </si>
  <si>
    <t>Elevators, hoists, lifts</t>
  </si>
  <si>
    <t>Élévateurs</t>
  </si>
  <si>
    <t>Hoists, lifts, elevators</t>
  </si>
  <si>
    <t>Appareils de levage</t>
  </si>
  <si>
    <t>Lifts, hoists, elevators</t>
  </si>
  <si>
    <t>102070</t>
  </si>
  <si>
    <t>Forklifts [apparatus]</t>
  </si>
  <si>
    <t>Lève-palettes</t>
  </si>
  <si>
    <t>102071</t>
  </si>
  <si>
    <t>Elevators for vehicles</t>
  </si>
  <si>
    <t>Élévateurs pour véhicules</t>
  </si>
  <si>
    <t>102072</t>
  </si>
  <si>
    <t>Escalators</t>
  </si>
  <si>
    <t>Escaliers roulants</t>
  </si>
  <si>
    <t>Moving staircases</t>
  </si>
  <si>
    <t>102073</t>
  </si>
  <si>
    <t>Cranes</t>
  </si>
  <si>
    <t>Grues de levage</t>
  </si>
  <si>
    <t>102074</t>
  </si>
  <si>
    <t>Apparatus for handling</t>
  </si>
  <si>
    <t>Appareils de manutention</t>
  </si>
  <si>
    <t>102075</t>
  </si>
  <si>
    <t>Pulley blocks</t>
  </si>
  <si>
    <t>Palans</t>
  </si>
  <si>
    <t>Moufles [appareils de levage]</t>
  </si>
  <si>
    <t>102076</t>
  </si>
  <si>
    <t>Gantry cranes</t>
  </si>
  <si>
    <t>Ponts roulants [appareils de levage]</t>
  </si>
  <si>
    <t>102077</t>
  </si>
  <si>
    <t>Pulleys</t>
  </si>
  <si>
    <t>Poulies</t>
  </si>
  <si>
    <t>102078</t>
  </si>
  <si>
    <t>Crane towers</t>
  </si>
  <si>
    <t>Sapines [appareils de levage]</t>
  </si>
  <si>
    <t>102079</t>
  </si>
  <si>
    <t>Conveyors [machines]</t>
  </si>
  <si>
    <t>Transporteurs</t>
  </si>
  <si>
    <t>102080</t>
  </si>
  <si>
    <t>Winches</t>
  </si>
  <si>
    <t>Treuils</t>
  </si>
  <si>
    <t>Windlasses</t>
  </si>
  <si>
    <t>102081</t>
  </si>
  <si>
    <t>Trolleys for handling goods [self-propelled]</t>
  </si>
  <si>
    <t>Chariots de manutention [automoteurs]</t>
  </si>
  <si>
    <t>102082</t>
  </si>
  <si>
    <t>Jacks for lifting</t>
  </si>
  <si>
    <t>Vérins</t>
  </si>
  <si>
    <t>Crics</t>
  </si>
  <si>
    <t>102083</t>
  </si>
  <si>
    <t>Elevator chains</t>
  </si>
  <si>
    <t>Chaînes d'élévateurs</t>
  </si>
  <si>
    <t>102084</t>
  </si>
  <si>
    <t>Elevator belts</t>
  </si>
  <si>
    <t>Courroies d'élévateurs</t>
  </si>
  <si>
    <t>102085</t>
  </si>
  <si>
    <t>Elevator buckets</t>
  </si>
  <si>
    <t>Godets d'élévateurs</t>
  </si>
  <si>
    <t>102086</t>
  </si>
  <si>
    <t>Electro-magnetic cranes</t>
  </si>
  <si>
    <t>Grues à électro-aimants</t>
  </si>
  <si>
    <t>102087</t>
  </si>
  <si>
    <t>Floating cranes</t>
  </si>
  <si>
    <t>Grues flottantes</t>
  </si>
  <si>
    <t>102088</t>
  </si>
  <si>
    <t>Goods hoists</t>
  </si>
  <si>
    <t>Monte-charge</t>
  </si>
  <si>
    <t>Goods lifts</t>
  </si>
  <si>
    <t>102089</t>
  </si>
  <si>
    <t>Moving walkways</t>
  </si>
  <si>
    <t>Trottoirs roulants</t>
  </si>
  <si>
    <t>102090</t>
  </si>
  <si>
    <t>Lifting devices for animals</t>
  </si>
  <si>
    <t>Dispositifs élévateurs pour animaux</t>
  </si>
  <si>
    <t>102091</t>
  </si>
  <si>
    <t>Lifting devices for invalids</t>
  </si>
  <si>
    <t>Dispositifs élévateurs pour invalides</t>
  </si>
  <si>
    <t>102092</t>
  </si>
  <si>
    <t>Lift cages</t>
  </si>
  <si>
    <t>Cabines d'ascenseurs</t>
  </si>
  <si>
    <t>102093</t>
  </si>
  <si>
    <t>Control and indicator units for forklifts</t>
  </si>
  <si>
    <t>Modules de commande d'élévateur à fourche</t>
  </si>
  <si>
    <t>104758</t>
  </si>
  <si>
    <t>Transfer robots</t>
  </si>
  <si>
    <t>Robots de transfert</t>
  </si>
  <si>
    <t>104868</t>
  </si>
  <si>
    <t>Car parking lifts</t>
  </si>
  <si>
    <t>Ascenseurs pour le stationnement de voitures</t>
  </si>
  <si>
    <t>105130</t>
  </si>
  <si>
    <t>Robotic exoskeleton suits for lifting loads</t>
  </si>
  <si>
    <t>Combinaisons exosquelettes robotisées pour soulever des charges</t>
  </si>
  <si>
    <t>12-06</t>
  </si>
  <si>
    <t>102094</t>
  </si>
  <si>
    <t>SHIPS AND BOATS</t>
  </si>
  <si>
    <t>Ships</t>
  </si>
  <si>
    <t>Navires</t>
  </si>
  <si>
    <t>102095</t>
  </si>
  <si>
    <t>Ships' rigging</t>
  </si>
  <si>
    <t>Gréements [navigation]</t>
  </si>
  <si>
    <t>Agrès [navigation]</t>
  </si>
  <si>
    <t>102096</t>
  </si>
  <si>
    <t>Oars</t>
  </si>
  <si>
    <t>Rames de bateaux</t>
  </si>
  <si>
    <t>Avirons</t>
  </si>
  <si>
    <t>102097</t>
  </si>
  <si>
    <t>Ferry boats</t>
  </si>
  <si>
    <t>Bacs [bateaux]</t>
  </si>
  <si>
    <t>Transbordeurs [bacs]</t>
  </si>
  <si>
    <t>102098</t>
  </si>
  <si>
    <t>Boats</t>
  </si>
  <si>
    <t>Embarcations</t>
  </si>
  <si>
    <t>Bateaux</t>
  </si>
  <si>
    <t>102099</t>
  </si>
  <si>
    <t>Tankers [ships]</t>
  </si>
  <si>
    <t>Bateaux-citernes</t>
  </si>
  <si>
    <t>102100</t>
  </si>
  <si>
    <t>Ice breakers</t>
  </si>
  <si>
    <t>Brise-glaces</t>
  </si>
  <si>
    <t>102101</t>
  </si>
  <si>
    <t>Canoes</t>
  </si>
  <si>
    <t>Canoës</t>
  </si>
  <si>
    <t>102102</t>
  </si>
  <si>
    <t>Dinghies</t>
  </si>
  <si>
    <t>Canots</t>
  </si>
  <si>
    <t>Barques</t>
  </si>
  <si>
    <t>102103</t>
  </si>
  <si>
    <t>Life boats</t>
  </si>
  <si>
    <t>Canots de sauvetage</t>
  </si>
  <si>
    <t>102104</t>
  </si>
  <si>
    <t>Catamarans</t>
  </si>
  <si>
    <t>102105</t>
  </si>
  <si>
    <t>Launches</t>
  </si>
  <si>
    <t>Chaloupes</t>
  </si>
  <si>
    <t>102106</t>
  </si>
  <si>
    <t>Trawlers</t>
  </si>
  <si>
    <t>Chalutiers</t>
  </si>
  <si>
    <t>102107</t>
  </si>
  <si>
    <t>Ships' superstructures</t>
  </si>
  <si>
    <t>Châteaux de navires</t>
  </si>
  <si>
    <t>102108</t>
  </si>
  <si>
    <t>Centre-boards [nautical]</t>
  </si>
  <si>
    <t>Dérives [nautiques]</t>
  </si>
  <si>
    <t>102109</t>
  </si>
  <si>
    <t>Floating drydocks</t>
  </si>
  <si>
    <t>Docks flottants</t>
  </si>
  <si>
    <t>102110</t>
  </si>
  <si>
    <t>Floats for navigation</t>
  </si>
  <si>
    <t>Flotteurs pour navigation</t>
  </si>
  <si>
    <t>102111</t>
  </si>
  <si>
    <t>Propellers for ships</t>
  </si>
  <si>
    <t>Hélices de navires</t>
  </si>
  <si>
    <t>Screws for ships</t>
  </si>
  <si>
    <t>102112</t>
  </si>
  <si>
    <t>Hydroplanes [motor boats]</t>
  </si>
  <si>
    <t>Hydroglisseurs</t>
  </si>
  <si>
    <t>102113</t>
  </si>
  <si>
    <t>Ships' masts</t>
  </si>
  <si>
    <t>Mâts de navires</t>
  </si>
  <si>
    <t>102114</t>
  </si>
  <si>
    <t>Paddles for canoes</t>
  </si>
  <si>
    <t>Pagaies</t>
  </si>
  <si>
    <t>102115</t>
  </si>
  <si>
    <t>Pontoons</t>
  </si>
  <si>
    <t>Pontons</t>
  </si>
  <si>
    <t>102116</t>
  </si>
  <si>
    <t>Ships' keels</t>
  </si>
  <si>
    <t>Quilles de navires</t>
  </si>
  <si>
    <t>102117</t>
  </si>
  <si>
    <t>Rafts</t>
  </si>
  <si>
    <t>Radeaux</t>
  </si>
  <si>
    <t>102118</t>
  </si>
  <si>
    <t>Life rafts [inflatable]</t>
  </si>
  <si>
    <t>Radeaux de sauvetage [gonflables]</t>
  </si>
  <si>
    <t>102119</t>
  </si>
  <si>
    <t>Trailer boats</t>
  </si>
  <si>
    <t>Remorques [bateaux]</t>
  </si>
  <si>
    <t>102120</t>
  </si>
  <si>
    <t>Tugboats</t>
  </si>
  <si>
    <t>Remorqueurs</t>
  </si>
  <si>
    <t>102121</t>
  </si>
  <si>
    <t>Submarines</t>
  </si>
  <si>
    <t>Sous-marins</t>
  </si>
  <si>
    <t>Submersibles</t>
  </si>
  <si>
    <t>102122</t>
  </si>
  <si>
    <t>Sails for ships</t>
  </si>
  <si>
    <t>Voiles de bateaux</t>
  </si>
  <si>
    <t>102123</t>
  </si>
  <si>
    <t>Sailing boats</t>
  </si>
  <si>
    <t>Voiliers</t>
  </si>
  <si>
    <t>102124</t>
  </si>
  <si>
    <t>Yachts</t>
  </si>
  <si>
    <t>102125</t>
  </si>
  <si>
    <t>Bathyscaphs</t>
  </si>
  <si>
    <t>Bathyscaphes</t>
  </si>
  <si>
    <t>102126</t>
  </si>
  <si>
    <t>Gangways for ships</t>
  </si>
  <si>
    <t>Passerelles de bateaux</t>
  </si>
  <si>
    <t>102127</t>
  </si>
  <si>
    <t>Boat hulls</t>
  </si>
  <si>
    <t>Coques de bateaux</t>
  </si>
  <si>
    <t>102128</t>
  </si>
  <si>
    <t>Paddle wheels [boat propulsion]</t>
  </si>
  <si>
    <t>Roues à aubes [propulsion de bateaux]</t>
  </si>
  <si>
    <t>102129</t>
  </si>
  <si>
    <t>Ships' ladders</t>
  </si>
  <si>
    <t>Échelles de bateaux</t>
  </si>
  <si>
    <t>102130</t>
  </si>
  <si>
    <t>Rudders for ships</t>
  </si>
  <si>
    <t>Gouvernails [navigation]</t>
  </si>
  <si>
    <t>102131</t>
  </si>
  <si>
    <t>Cleats for boats and ships</t>
  </si>
  <si>
    <t>Taquets pour bateaux et navires</t>
  </si>
  <si>
    <t>Cleats for boats</t>
  </si>
  <si>
    <t>Taquets pour bateaux</t>
  </si>
  <si>
    <t>Cleats for ships</t>
  </si>
  <si>
    <t>Taquets pour navires</t>
  </si>
  <si>
    <t>102132</t>
  </si>
  <si>
    <t>Turnbuckles for ships</t>
  </si>
  <si>
    <t>Ridoirs</t>
  </si>
  <si>
    <t>102133</t>
  </si>
  <si>
    <t>Trimarans</t>
  </si>
  <si>
    <t>104972</t>
  </si>
  <si>
    <t>Underwater drones</t>
  </si>
  <si>
    <t>Drones sous-marins</t>
  </si>
  <si>
    <t>104973</t>
  </si>
  <si>
    <t>Water scooters [personal watercraft]</t>
  </si>
  <si>
    <t>Scooters des mers</t>
  </si>
  <si>
    <t>104974</t>
  </si>
  <si>
    <t>Underwater scooters</t>
  </si>
  <si>
    <t>Propulseurs de plongée</t>
  </si>
  <si>
    <t>12-07</t>
  </si>
  <si>
    <t>102134</t>
  </si>
  <si>
    <t>AIRCRAFT AND SPACE VEHICLES</t>
  </si>
  <si>
    <t>Aeroplanes</t>
  </si>
  <si>
    <t>Avions</t>
  </si>
  <si>
    <t>Aircraft</t>
  </si>
  <si>
    <t>Aéronefs</t>
  </si>
  <si>
    <t>102135</t>
  </si>
  <si>
    <t>Air balloons</t>
  </si>
  <si>
    <t>Ballons aérostatiques</t>
  </si>
  <si>
    <t>102136</t>
  </si>
  <si>
    <t>Airships</t>
  </si>
  <si>
    <t>Dirigeables</t>
  </si>
  <si>
    <t>Ballons dirigeables</t>
  </si>
  <si>
    <t>102137</t>
  </si>
  <si>
    <t>Propellers for aircraft</t>
  </si>
  <si>
    <t>Hélices d'aéronefs</t>
  </si>
  <si>
    <t>102138</t>
  </si>
  <si>
    <t>Gyroplanes</t>
  </si>
  <si>
    <t>Hélicoptères</t>
  </si>
  <si>
    <t>Helicopters</t>
  </si>
  <si>
    <t>102139</t>
  </si>
  <si>
    <t>Hydroplanes [aircraft]</t>
  </si>
  <si>
    <t>Hydravions</t>
  </si>
  <si>
    <t>102140</t>
  </si>
  <si>
    <t>Gliders [aircraft]</t>
  </si>
  <si>
    <t>Planeurs</t>
  </si>
  <si>
    <t>102141</t>
  </si>
  <si>
    <t>Stabilizers [aircraft]</t>
  </si>
  <si>
    <t>Stabilisateurs [aviation]</t>
  </si>
  <si>
    <t>102142</t>
  </si>
  <si>
    <t>Space vehicles</t>
  </si>
  <si>
    <t>Véhicules spatiaux</t>
  </si>
  <si>
    <t>102143</t>
  </si>
  <si>
    <t>Rudders for aircraft</t>
  </si>
  <si>
    <t>Gouvernails [aviation]</t>
  </si>
  <si>
    <t>104759</t>
  </si>
  <si>
    <t>Drones [aircraft]</t>
  </si>
  <si>
    <t>Drones [aéronefs]</t>
  </si>
  <si>
    <t>104869</t>
  </si>
  <si>
    <t>Flying boards</t>
  </si>
  <si>
    <t>Planches volantes</t>
  </si>
  <si>
    <t>12-08</t>
  </si>
  <si>
    <t>102144</t>
  </si>
  <si>
    <t>MOTOR CARS, BUSES AND LORRIES</t>
  </si>
  <si>
    <t>Ambulances</t>
  </si>
  <si>
    <t>Ambulances [automobiles]</t>
  </si>
  <si>
    <t>102145</t>
  </si>
  <si>
    <t>Buses</t>
  </si>
  <si>
    <t>Autobus</t>
  </si>
  <si>
    <t>102146</t>
  </si>
  <si>
    <t>Automobiles</t>
  </si>
  <si>
    <t>Motor cars</t>
  </si>
  <si>
    <t>102147</t>
  </si>
  <si>
    <t>Motor car bodies</t>
  </si>
  <si>
    <t>Carrosseries d'automobiles</t>
  </si>
  <si>
    <t>102148</t>
  </si>
  <si>
    <t>Motor trucks</t>
  </si>
  <si>
    <t>Camions</t>
  </si>
  <si>
    <t>Lorries</t>
  </si>
  <si>
    <t>102149</t>
  </si>
  <si>
    <t>Garbage trucks</t>
  </si>
  <si>
    <t>Camions à ordures</t>
  </si>
  <si>
    <t>Refuse lorries</t>
  </si>
  <si>
    <t>102150</t>
  </si>
  <si>
    <t>Tank trucks</t>
  </si>
  <si>
    <t>Camions-citernes</t>
  </si>
  <si>
    <t>102151</t>
  </si>
  <si>
    <t>Hoods for motor cars [roof]</t>
  </si>
  <si>
    <t>Capotes d'automobiles</t>
  </si>
  <si>
    <t>102152</t>
  </si>
  <si>
    <t>Coaches</t>
  </si>
  <si>
    <t>Cars</t>
  </si>
  <si>
    <t>102153</t>
  </si>
  <si>
    <t>Hearses</t>
  </si>
  <si>
    <t>Corbillards</t>
  </si>
  <si>
    <t>102154</t>
  </si>
  <si>
    <t>Cars driven electrically</t>
  </si>
  <si>
    <t>Voitures électriques</t>
  </si>
  <si>
    <t>102155</t>
  </si>
  <si>
    <t>Go-karts [motor-driven]</t>
  </si>
  <si>
    <t>Karts</t>
  </si>
  <si>
    <t>102157</t>
  </si>
  <si>
    <t>Trolleybuses</t>
  </si>
  <si>
    <t>Trolleybus</t>
  </si>
  <si>
    <t>102158</t>
  </si>
  <si>
    <t>Refrigerated lorries</t>
  </si>
  <si>
    <t>Camions frigorifiques</t>
  </si>
  <si>
    <t>Refrigerated trucks</t>
  </si>
  <si>
    <t>102159</t>
  </si>
  <si>
    <t>Lorry loading platforms</t>
  </si>
  <si>
    <t>Plateaux de camions [ponts]</t>
  </si>
  <si>
    <t>102160</t>
  </si>
  <si>
    <t>Racing cars</t>
  </si>
  <si>
    <t>Voitures de course</t>
  </si>
  <si>
    <t>102161</t>
  </si>
  <si>
    <t>Vans [lorries]</t>
  </si>
  <si>
    <t>Fourgons [camions]</t>
  </si>
  <si>
    <t>102162</t>
  </si>
  <si>
    <t>Vehicle bodywork</t>
  </si>
  <si>
    <t>Carrosseries de véhicules</t>
  </si>
  <si>
    <t>105089</t>
  </si>
  <si>
    <t>Dump trucks</t>
  </si>
  <si>
    <t>Camions-bennes</t>
  </si>
  <si>
    <t>12-09</t>
  </si>
  <si>
    <t>102163</t>
  </si>
  <si>
    <t>TRACTORS</t>
  </si>
  <si>
    <t>Tractors</t>
  </si>
  <si>
    <t>Tracteurs</t>
  </si>
  <si>
    <t>12-10</t>
  </si>
  <si>
    <t>102164</t>
  </si>
  <si>
    <t>ROAD VEHICLE TRAILERS</t>
  </si>
  <si>
    <t>Caravans</t>
  </si>
  <si>
    <t>Caravanes</t>
  </si>
  <si>
    <t>102165</t>
  </si>
  <si>
    <t>Road vehicle trailers</t>
  </si>
  <si>
    <t>Remorques de véhicules routiers</t>
  </si>
  <si>
    <t>102166</t>
  </si>
  <si>
    <t>Trailers [camping]</t>
  </si>
  <si>
    <t>Roulottes de camping</t>
  </si>
  <si>
    <t>102167</t>
  </si>
  <si>
    <t>Itinerants' caravans</t>
  </si>
  <si>
    <t>Roulottes de forains</t>
  </si>
  <si>
    <t>12-11</t>
  </si>
  <si>
    <t>102168</t>
  </si>
  <si>
    <t>CYCLES AND MOTORCYCLES</t>
  </si>
  <si>
    <t>Stands for cycles or motorcycles [retractable]</t>
  </si>
  <si>
    <t>Béquilles de cycles ou motocycles</t>
  </si>
  <si>
    <t>102169</t>
  </si>
  <si>
    <t>Bicycles</t>
  </si>
  <si>
    <t>Bicyclettes</t>
  </si>
  <si>
    <t>102170</t>
  </si>
  <si>
    <t>Frames for cycles or motorcycles</t>
  </si>
  <si>
    <t>Cadres de cycles ou motocycles</t>
  </si>
  <si>
    <t>102171</t>
  </si>
  <si>
    <t>Toe clips for cycles</t>
  </si>
  <si>
    <t>Cale-pieds de cycles</t>
  </si>
  <si>
    <t>102172</t>
  </si>
  <si>
    <t>Gear cases for cycles or motorcycles</t>
  </si>
  <si>
    <t>Carters de cycles ou motocycles</t>
  </si>
  <si>
    <t>102173</t>
  </si>
  <si>
    <t>Cycles</t>
  </si>
  <si>
    <t>102174</t>
  </si>
  <si>
    <t>Mopeds</t>
  </si>
  <si>
    <t>Cyclomoteurs</t>
  </si>
  <si>
    <t>102175</t>
  </si>
  <si>
    <t>Forks for cycles or motorcycles</t>
  </si>
  <si>
    <t>Fourches de cycles ou motocycles</t>
  </si>
  <si>
    <t>Avant-trains de cycles ou motocycles</t>
  </si>
  <si>
    <t>102176</t>
  </si>
  <si>
    <t>Mudguards for cycles or motorcycles</t>
  </si>
  <si>
    <t>Garde-boue de cycles ou motocycles</t>
  </si>
  <si>
    <t>102177</t>
  </si>
  <si>
    <t>Handlebars for cycles or motorcycles</t>
  </si>
  <si>
    <t>Guidons de cycles ou motocycles</t>
  </si>
  <si>
    <t>102178</t>
  </si>
  <si>
    <t>Saddle covers for cycles or motorcycles</t>
  </si>
  <si>
    <t>Housses de selles de cycles ou motocycles</t>
  </si>
  <si>
    <t>102179</t>
  </si>
  <si>
    <t>Brackets for cycle or motorcycle lamps</t>
  </si>
  <si>
    <t>Supports de lanternes de cycles ou motocycles</t>
  </si>
  <si>
    <t>102180</t>
  </si>
  <si>
    <t>Monocycles</t>
  </si>
  <si>
    <t>102181</t>
  </si>
  <si>
    <t>Motorcycles</t>
  </si>
  <si>
    <t>Motocycles</t>
  </si>
  <si>
    <t>102182</t>
  </si>
  <si>
    <t>Pedals for cycles</t>
  </si>
  <si>
    <t>Pédales de cycles</t>
  </si>
  <si>
    <t>102183</t>
  </si>
  <si>
    <t>Pedal cranks for cycles or motorcycles</t>
  </si>
  <si>
    <t>Pédaliers de cycles ou motocycles</t>
  </si>
  <si>
    <t>102184</t>
  </si>
  <si>
    <t>Motor scooters</t>
  </si>
  <si>
    <t>Scooters</t>
  </si>
  <si>
    <t>102185</t>
  </si>
  <si>
    <t>Saddles for cycles or motorcycles</t>
  </si>
  <si>
    <t>Selles de cycles ou motocycles</t>
  </si>
  <si>
    <t>102186</t>
  </si>
  <si>
    <t>Sidecars</t>
  </si>
  <si>
    <t>Side-cars</t>
  </si>
  <si>
    <t>102187</t>
  </si>
  <si>
    <t>Velocipedes</t>
  </si>
  <si>
    <t>Vélocipèdes</t>
  </si>
  <si>
    <t>102188</t>
  </si>
  <si>
    <t>Motor-assisted cycles</t>
  </si>
  <si>
    <t>Vélomoteurs</t>
  </si>
  <si>
    <t>102189</t>
  </si>
  <si>
    <t>Gear levers for cycles or motorcycles</t>
  </si>
  <si>
    <t>Leviers de changement de vitesse pour cycles ou motocycles</t>
  </si>
  <si>
    <t>102190</t>
  </si>
  <si>
    <t>Brake levers for cycles or motorcycles</t>
  </si>
  <si>
    <t>Poignées de freins de cycles ou motocycles</t>
  </si>
  <si>
    <t>Leviers de freins pour cycles ou motocycles</t>
  </si>
  <si>
    <t>102191</t>
  </si>
  <si>
    <t>Handlebar grips</t>
  </si>
  <si>
    <t>Poignées de guidons</t>
  </si>
  <si>
    <t>102192</t>
  </si>
  <si>
    <t>Luggage carriers for cycles or motorcycles</t>
  </si>
  <si>
    <t>Porte-bagages de cycles ou motocycles</t>
  </si>
  <si>
    <t>102193</t>
  </si>
  <si>
    <t>Pennant holders for cycles or motorcycles</t>
  </si>
  <si>
    <t>Porte-fanions de cycles ou motocycles</t>
  </si>
  <si>
    <t>102194</t>
  </si>
  <si>
    <t>Chain-guides for cycle gear changes</t>
  </si>
  <si>
    <t>Guide-chaînes pour changement de vitesse de cycles</t>
  </si>
  <si>
    <t>102195</t>
  </si>
  <si>
    <t>Sprocket wheels for cycles or motorcycles</t>
  </si>
  <si>
    <t>Pignons de chaînes de cycles ou motocycles</t>
  </si>
  <si>
    <t>102196</t>
  </si>
  <si>
    <t>Chain wheels for cycles or motorcycles</t>
  </si>
  <si>
    <t>Plateaux de pédaliers de cycles ou motocycles</t>
  </si>
  <si>
    <t>Chain rings for cycles or motorcycles</t>
  </si>
  <si>
    <t>102197</t>
  </si>
  <si>
    <t>Fuel tanks for motorcycles</t>
  </si>
  <si>
    <t>Réservoirs à essence pour motocycles</t>
  </si>
  <si>
    <t>102199</t>
  </si>
  <si>
    <t>Chain adjusters for cycles</t>
  </si>
  <si>
    <t>Tendeurs de chaînes de cycles</t>
  </si>
  <si>
    <t>102200</t>
  </si>
  <si>
    <t>Tricycles [except toys]</t>
  </si>
  <si>
    <t>Tricycles [à l'exception des jouets]</t>
  </si>
  <si>
    <t>102201</t>
  </si>
  <si>
    <t>Tank covers for motorcycles</t>
  </si>
  <si>
    <t>Protège-réservoirs pour motocycles</t>
  </si>
  <si>
    <t>102202</t>
  </si>
  <si>
    <t>Gear protectors for cycles</t>
  </si>
  <si>
    <t>Dispositifs de protection de dérailleurs de cycles</t>
  </si>
  <si>
    <t>102203</t>
  </si>
  <si>
    <t>Fairings for motorcycles</t>
  </si>
  <si>
    <t>Carénages pour motocycles</t>
  </si>
  <si>
    <t>102204</t>
  </si>
  <si>
    <t>Trailers for bicycles</t>
  </si>
  <si>
    <t>Remorques pour bicyclettes</t>
  </si>
  <si>
    <t>104572</t>
  </si>
  <si>
    <t>Balance bikes</t>
  </si>
  <si>
    <t>Vélos équilibre sans pédales</t>
  </si>
  <si>
    <t>104578</t>
  </si>
  <si>
    <t>Chainguards for bicycles</t>
  </si>
  <si>
    <t>Garde-chaînes pour bicyclettes</t>
  </si>
  <si>
    <t>104589</t>
  </si>
  <si>
    <t>Chainguards for motorcycles</t>
  </si>
  <si>
    <t>Garde-chaînes pour motocycles</t>
  </si>
  <si>
    <t>104656</t>
  </si>
  <si>
    <t>Push scooters</t>
  </si>
  <si>
    <t>Trottinettes</t>
  </si>
  <si>
    <t>104870</t>
  </si>
  <si>
    <t>Self-balancing boards</t>
  </si>
  <si>
    <t>Planches gyroscopiques</t>
  </si>
  <si>
    <t>104871</t>
  </si>
  <si>
    <t>Self-balancing scooters</t>
  </si>
  <si>
    <t>Gyropodes</t>
  </si>
  <si>
    <t>104975</t>
  </si>
  <si>
    <t>Electric scooters</t>
  </si>
  <si>
    <t>Trottinettes électriques</t>
  </si>
  <si>
    <t>104976</t>
  </si>
  <si>
    <t>Delivery tricycles</t>
  </si>
  <si>
    <t>Triporteurs</t>
  </si>
  <si>
    <t>105090</t>
  </si>
  <si>
    <t>All-terrain vehicles [ATV]</t>
  </si>
  <si>
    <t>Véhicules tout-terrain</t>
  </si>
  <si>
    <t>12-12</t>
  </si>
  <si>
    <t>102205</t>
  </si>
  <si>
    <t>PERAMBULATORS, INVALID CHAIRS, STRETCHERS</t>
  </si>
  <si>
    <t>Stretchers, wheeled</t>
  </si>
  <si>
    <t>Brancards roulants</t>
  </si>
  <si>
    <t>102206</t>
  </si>
  <si>
    <t>Stretchers for the injured</t>
  </si>
  <si>
    <t>Civières</t>
  </si>
  <si>
    <t>Brancards</t>
  </si>
  <si>
    <t>102207</t>
  </si>
  <si>
    <t>Biers, wheeled</t>
  </si>
  <si>
    <t>Civières roulantes</t>
  </si>
  <si>
    <t>102208</t>
  </si>
  <si>
    <t>Wheelchairs</t>
  </si>
  <si>
    <t>Fauteuils roulants pour infirmes</t>
  </si>
  <si>
    <t>Invalid chairs</t>
  </si>
  <si>
    <t>102209</t>
  </si>
  <si>
    <t>Mudguards for perambulators</t>
  </si>
  <si>
    <t>Garde-boue de landaus pour enfants</t>
  </si>
  <si>
    <t>Mudguards for baby carriages</t>
  </si>
  <si>
    <t>102210</t>
  </si>
  <si>
    <t>Pushchairs</t>
  </si>
  <si>
    <t>Poussettes</t>
  </si>
  <si>
    <t>Strollers</t>
  </si>
  <si>
    <t>102212</t>
  </si>
  <si>
    <t>Perambulators</t>
  </si>
  <si>
    <t>Landaus pour enfants</t>
  </si>
  <si>
    <t>Baby carriages</t>
  </si>
  <si>
    <t>102213</t>
  </si>
  <si>
    <t>Frames for pushchairs</t>
  </si>
  <si>
    <t>Châssis de poussettes</t>
  </si>
  <si>
    <t>Frames for strollers</t>
  </si>
  <si>
    <t>102214</t>
  </si>
  <si>
    <t>Baby walkers</t>
  </si>
  <si>
    <t>Trotteurs pour bébés</t>
  </si>
  <si>
    <t>102215</t>
  </si>
  <si>
    <t>Invalid carriages</t>
  </si>
  <si>
    <t>Voitures d'infirmes</t>
  </si>
  <si>
    <t>104977</t>
  </si>
  <si>
    <t>Electric wheelchairs</t>
  </si>
  <si>
    <t>Fauteuils roulants électriques</t>
  </si>
  <si>
    <t>104978</t>
  </si>
  <si>
    <t>Mobility scooters</t>
  </si>
  <si>
    <t>Scooters pour personnes à mobilité réduite</t>
  </si>
  <si>
    <t>12-13</t>
  </si>
  <si>
    <t>102218</t>
  </si>
  <si>
    <t>SPECIAL-PURPOSE VEHICLES</t>
  </si>
  <si>
    <t>Sprinkling trucks</t>
  </si>
  <si>
    <t>Arroseuses automobiles</t>
  </si>
  <si>
    <t>Watering lorries</t>
  </si>
  <si>
    <t>102219</t>
  </si>
  <si>
    <t>Street-cleaning vehicles</t>
  </si>
  <si>
    <t>Balayeuses automobiles</t>
  </si>
  <si>
    <t>Street cleaning vehicles</t>
  </si>
  <si>
    <t>102220</t>
  </si>
  <si>
    <t>Trucks for liquid manure</t>
  </si>
  <si>
    <t>Chariots à purin</t>
  </si>
  <si>
    <t>102221</t>
  </si>
  <si>
    <t>Snowploughs [vehicles]</t>
  </si>
  <si>
    <t>Chasse-neige [véhicules]</t>
  </si>
  <si>
    <t>Snowplows [vehicles]</t>
  </si>
  <si>
    <t>102222</t>
  </si>
  <si>
    <t>Kitchens [mobile]</t>
  </si>
  <si>
    <t>Cuisines roulantes</t>
  </si>
  <si>
    <t>102223</t>
  </si>
  <si>
    <t>Wrecking cars</t>
  </si>
  <si>
    <t>Dépanneuses</t>
  </si>
  <si>
    <t>Breakdown vehicles</t>
  </si>
  <si>
    <t>102224</t>
  </si>
  <si>
    <t>Tanks [armored vehicles]</t>
  </si>
  <si>
    <t>Chars d'assaut</t>
  </si>
  <si>
    <t>102225</t>
  </si>
  <si>
    <t>Armored vehicles</t>
  </si>
  <si>
    <t>Véhicules blindés</t>
  </si>
  <si>
    <t>102226</t>
  </si>
  <si>
    <t>Fire engines [vehicles]</t>
  </si>
  <si>
    <t>Autopompes à incendie</t>
  </si>
  <si>
    <t>102227</t>
  </si>
  <si>
    <t>Motor cars with platforms for watching races</t>
  </si>
  <si>
    <t>Voitures-tribunes pour courses</t>
  </si>
  <si>
    <t>102228</t>
  </si>
  <si>
    <t>Ski trail making devices</t>
  </si>
  <si>
    <t>Appareils pour le tracé des pistes de ski de fond</t>
  </si>
  <si>
    <t>102229</t>
  </si>
  <si>
    <t>Snowblowers [vehicles]</t>
  </si>
  <si>
    <t>Fraises à neige [véhicules]</t>
  </si>
  <si>
    <t>102230</t>
  </si>
  <si>
    <t>Ice machines [vehicles] for skating rinks</t>
  </si>
  <si>
    <t>Machines à glace pour patinoires [véhicules]</t>
  </si>
  <si>
    <t>102231</t>
  </si>
  <si>
    <t>Mobile shops</t>
  </si>
  <si>
    <t>Camions pour la vente de produits</t>
  </si>
  <si>
    <t>102232</t>
  </si>
  <si>
    <t>Golf buggies</t>
  </si>
  <si>
    <t>Voiturettes de golf</t>
  </si>
  <si>
    <t>12-14</t>
  </si>
  <si>
    <t>102233</t>
  </si>
  <si>
    <t>OTHER VEHICLES</t>
  </si>
  <si>
    <t>Amphibian vehicles</t>
  </si>
  <si>
    <t>Véhicules amphibies</t>
  </si>
  <si>
    <t>102234</t>
  </si>
  <si>
    <t>Sleighs</t>
  </si>
  <si>
    <t>Traîneaux</t>
  </si>
  <si>
    <t>102235</t>
  </si>
  <si>
    <t>Ice boats</t>
  </si>
  <si>
    <t>Traîneaux à voiles</t>
  </si>
  <si>
    <t>102236</t>
  </si>
  <si>
    <t>Bob-sleighs</t>
  </si>
  <si>
    <t>Bobsleighs</t>
  </si>
  <si>
    <t>102237</t>
  </si>
  <si>
    <t>Toboggans</t>
  </si>
  <si>
    <t>Luges</t>
  </si>
  <si>
    <t>Sleds</t>
  </si>
  <si>
    <t>102238</t>
  </si>
  <si>
    <t>Ski bobs</t>
  </si>
  <si>
    <t>Ski-bobs</t>
  </si>
  <si>
    <t>102239</t>
  </si>
  <si>
    <t>Sleighs [self propelled]</t>
  </si>
  <si>
    <t>Traîneaux automobiles</t>
  </si>
  <si>
    <t>102240</t>
  </si>
  <si>
    <t>Air cushion vehicles</t>
  </si>
  <si>
    <t>Aéroglisseurs</t>
  </si>
  <si>
    <t>Véhicules sur coussin d'air</t>
  </si>
  <si>
    <t>102241</t>
  </si>
  <si>
    <t>Rescue sleds</t>
  </si>
  <si>
    <t>Traîneaux de sauvetage</t>
  </si>
  <si>
    <t>102242</t>
  </si>
  <si>
    <t>Kick-sleds</t>
  </si>
  <si>
    <t>Luges-patinettes</t>
  </si>
  <si>
    <t>102198</t>
  </si>
  <si>
    <t>Snowmobiles</t>
  </si>
  <si>
    <t>Scooters des neiges</t>
  </si>
  <si>
    <t>104979</t>
  </si>
  <si>
    <t>Snow scooters</t>
  </si>
  <si>
    <t>Trottinettes des neiges</t>
  </si>
  <si>
    <t>12-15</t>
  </si>
  <si>
    <t>102243</t>
  </si>
  <si>
    <t>TYRES AND ANTI-SKID CHAINS FOR VEHICLES</t>
  </si>
  <si>
    <t>Tyres for vehicle wheels, pneumatic</t>
  </si>
  <si>
    <t>Bandages pneumatiques de roues pour véhicules</t>
  </si>
  <si>
    <t>102244</t>
  </si>
  <si>
    <t>Inner tubes for pneumatic tyres</t>
  </si>
  <si>
    <t>Chambres à air pour pneumatiques</t>
  </si>
  <si>
    <t>102245</t>
  </si>
  <si>
    <t>Pneumatic tyres</t>
  </si>
  <si>
    <t>Pneus [pneumatiques]</t>
  </si>
  <si>
    <t>Pneumatiques</t>
  </si>
  <si>
    <t>102246</t>
  </si>
  <si>
    <t>Anti-skid chains</t>
  </si>
  <si>
    <t>Chaînes antidérapantes</t>
  </si>
  <si>
    <t>102247</t>
  </si>
  <si>
    <t>Tyre studs</t>
  </si>
  <si>
    <t>Clous pour pneus</t>
  </si>
  <si>
    <t>Tyre spikes</t>
  </si>
  <si>
    <t>102248</t>
  </si>
  <si>
    <t>Tyre treads</t>
  </si>
  <si>
    <t>Semelles de pneus</t>
  </si>
  <si>
    <t>102249</t>
  </si>
  <si>
    <t>Valves for vehicle tyres</t>
  </si>
  <si>
    <t>Valves de bandages pour véhicules</t>
  </si>
  <si>
    <t>102250</t>
  </si>
  <si>
    <t>Inner tube valve caps for pneumatic tyres</t>
  </si>
  <si>
    <t>Capuchons de valves de chambres à air pour pneumatiques</t>
  </si>
  <si>
    <t>12-16</t>
  </si>
  <si>
    <t>102251</t>
  </si>
  <si>
    <t>PARTS, EQUIPMENT AND ACCESSORIES FOR VEHICLES, NOT INCLUDED IN OTHER CLASSES OR SUBCLASSES</t>
  </si>
  <si>
    <t>Vehicle couplings</t>
  </si>
  <si>
    <t>Attelages de remorques pour véhicules</t>
  </si>
  <si>
    <t>102252</t>
  </si>
  <si>
    <t>Portholes</t>
  </si>
  <si>
    <t>Hublots de véhicules</t>
  </si>
  <si>
    <t>102253</t>
  </si>
  <si>
    <t>Vehicle bonnets</t>
  </si>
  <si>
    <t>Capots de véhicules</t>
  </si>
  <si>
    <t>102254</t>
  </si>
  <si>
    <t>Anchors</t>
  </si>
  <si>
    <t>Ancres</t>
  </si>
  <si>
    <t>102255</t>
  </si>
  <si>
    <t>Anti-dazzle devices for vehicles</t>
  </si>
  <si>
    <t>Dispositifs antiéblouissants pour véhicules</t>
  </si>
  <si>
    <t>102256</t>
  </si>
  <si>
    <t>Trailer hitches for vehicles</t>
  </si>
  <si>
    <t>Attelages de remorques [pour véhicules terrestres]</t>
  </si>
  <si>
    <t>102257</t>
  </si>
  <si>
    <t>Decorative beading for vehicles</t>
  </si>
  <si>
    <t>Baguettes décoratives pour véhicules</t>
  </si>
  <si>
    <t>102258</t>
  </si>
  <si>
    <t>Arms of windscreen wipers</t>
  </si>
  <si>
    <t>Balais d'essuie-glace</t>
  </si>
  <si>
    <t>102259</t>
  </si>
  <si>
    <t>Earthing tapes against static electricity for vehicles</t>
  </si>
  <si>
    <t>Bandes de décharge électrostatique pour véhicules</t>
  </si>
  <si>
    <t>102260</t>
  </si>
  <si>
    <t>Tow bars for vehicles</t>
  </si>
  <si>
    <t>Barres de remorquage pour véhicules</t>
  </si>
  <si>
    <t>102261</t>
  </si>
  <si>
    <t>Mud flaps for vehicles</t>
  </si>
  <si>
    <t>Bavettes pour véhicules</t>
  </si>
  <si>
    <t>102262</t>
  </si>
  <si>
    <t>Radiator caps for vehicles</t>
  </si>
  <si>
    <t>Bouchons de radiateurs de véhicules</t>
  </si>
  <si>
    <t>102263</t>
  </si>
  <si>
    <t>Radiator grilles for vehicles</t>
  </si>
  <si>
    <t>Calandres de véhicules</t>
  </si>
  <si>
    <t>102264</t>
  </si>
  <si>
    <t>Chocks [to prevent vehicles from moving]</t>
  </si>
  <si>
    <t>Cales d'arrêt pour véhicules</t>
  </si>
  <si>
    <t>102265</t>
  </si>
  <si>
    <t>Tracks for track-laying vehicles</t>
  </si>
  <si>
    <t>Chenilles pour véhicules</t>
  </si>
  <si>
    <t>102266</t>
  </si>
  <si>
    <t>Rearview mirror cups</t>
  </si>
  <si>
    <t>Coupelles de rétroviseurs</t>
  </si>
  <si>
    <t>102267</t>
  </si>
  <si>
    <t>Defrosters for vehicles</t>
  </si>
  <si>
    <t>Dégivreurs pour véhicules</t>
  </si>
  <si>
    <t>102268</t>
  </si>
  <si>
    <t>Hub caps</t>
  </si>
  <si>
    <t>Enjoliveurs de roues</t>
  </si>
  <si>
    <t>102269</t>
  </si>
  <si>
    <t>Decorative fittings for vehicles</t>
  </si>
  <si>
    <t>Garnitures décoratives pour véhicules</t>
  </si>
  <si>
    <t>102270</t>
  </si>
  <si>
    <t>Fittings for rearview mirrors</t>
  </si>
  <si>
    <t>Fixations de rétroviseur</t>
  </si>
  <si>
    <t>102271</t>
  </si>
  <si>
    <t>Brakes for vehicles</t>
  </si>
  <si>
    <t>Freins de véhicules</t>
  </si>
  <si>
    <t>102272</t>
  </si>
  <si>
    <t>Mudguards for motor cars</t>
  </si>
  <si>
    <t>Garde-boue pour automobiles</t>
  </si>
  <si>
    <t>Pare-boue pour automobiles</t>
  </si>
  <si>
    <t>102273</t>
  </si>
  <si>
    <t>Air-intake grilles for vehicles</t>
  </si>
  <si>
    <t>Grilles de prise d'air pour véhicules</t>
  </si>
  <si>
    <t>102274</t>
  </si>
  <si>
    <t>Covers for vehicles</t>
  </si>
  <si>
    <t>Housses de véhicules</t>
  </si>
  <si>
    <t>102275</t>
  </si>
  <si>
    <t>Vehicle wheel rims</t>
  </si>
  <si>
    <t>Jantes de roues de véhicules</t>
  </si>
  <si>
    <t>102276</t>
  </si>
  <si>
    <t>Running boards for road vehicles</t>
  </si>
  <si>
    <t>Marchepieds de véhicules routiers</t>
  </si>
  <si>
    <t>102277</t>
  </si>
  <si>
    <t>Hubs of vehicle wheels</t>
  </si>
  <si>
    <t>Moyeux de roues de véhicules</t>
  </si>
  <si>
    <t>102278</t>
  </si>
  <si>
    <t>Windscreens for vehicles</t>
  </si>
  <si>
    <t>Pare-brise de véhicules</t>
  </si>
  <si>
    <t>Windshields for vehicles</t>
  </si>
  <si>
    <t>102279</t>
  </si>
  <si>
    <t>Anti-glare windshields</t>
  </si>
  <si>
    <t>Pare-brise antiéblouissants</t>
  </si>
  <si>
    <t>102280</t>
  </si>
  <si>
    <t>Bumpers for vehicles</t>
  </si>
  <si>
    <t>Pare-chocs de véhicules</t>
  </si>
  <si>
    <t>102281</t>
  </si>
  <si>
    <t>Sun visors for vehicles</t>
  </si>
  <si>
    <t>Pare-soleil de véhicules</t>
  </si>
  <si>
    <t>102282</t>
  </si>
  <si>
    <t>Ski racks for vehicles</t>
  </si>
  <si>
    <t>Porte-skis de véhicules</t>
  </si>
  <si>
    <t>102283</t>
  </si>
  <si>
    <t>Radiator covers for vehicles</t>
  </si>
  <si>
    <t>Couvre-radiateurs pour véhicules</t>
  </si>
  <si>
    <t>102284</t>
  </si>
  <si>
    <t>Radiators for vehicles</t>
  </si>
  <si>
    <t>Radiateurs de véhicules</t>
  </si>
  <si>
    <t>102285</t>
  </si>
  <si>
    <t>Spokes for vehicle wheels</t>
  </si>
  <si>
    <t>Rayons de roues de véhicules</t>
  </si>
  <si>
    <t>102286</t>
  </si>
  <si>
    <t>Suspension springs for road vehicles</t>
  </si>
  <si>
    <t>Ressorts de suspension de véhicules routiers</t>
  </si>
  <si>
    <t>102287</t>
  </si>
  <si>
    <t>Rearview mirrors for vehicles [interior]</t>
  </si>
  <si>
    <t>Rétroviseurs pour véhicules [intérieur]</t>
  </si>
  <si>
    <t>102288</t>
  </si>
  <si>
    <t>Wheels for vehicles [except for rail vehicles]</t>
  </si>
  <si>
    <t>Roues de véhicules [à l'exception des véhicules ferroviaires]</t>
  </si>
  <si>
    <t>102289</t>
  </si>
  <si>
    <t>Suspensions for road vehicles</t>
  </si>
  <si>
    <t>Suspensions de véhicules routiers</t>
  </si>
  <si>
    <t>102290</t>
  </si>
  <si>
    <t>Dashboards for vehicles</t>
  </si>
  <si>
    <t>Tableaux de bord de véhicules</t>
  </si>
  <si>
    <t>102291</t>
  </si>
  <si>
    <t>Suspension shock absorbers for road vehicles</t>
  </si>
  <si>
    <t>Amortisseurs de suspension pour véhicules routiers</t>
  </si>
  <si>
    <t>102292</t>
  </si>
  <si>
    <t>Boat fenders</t>
  </si>
  <si>
    <t>Défenses pour bateaux [pare-battage]</t>
  </si>
  <si>
    <t>Pare-battage</t>
  </si>
  <si>
    <t>102293</t>
  </si>
  <si>
    <t>Tow hooks for vehicles</t>
  </si>
  <si>
    <t>Crochets d'attelage de véhicules</t>
  </si>
  <si>
    <t>Drag hooks for vehicles</t>
  </si>
  <si>
    <t>102294</t>
  </si>
  <si>
    <t>Wind deflectors [for vehicles]</t>
  </si>
  <si>
    <t>Déflecteurs de courant d'air [pour véhicules]</t>
  </si>
  <si>
    <t>102295</t>
  </si>
  <si>
    <t>Fittings for vehicle bonnets</t>
  </si>
  <si>
    <t>Garnitures de capots de véhicules</t>
  </si>
  <si>
    <t>102296</t>
  </si>
  <si>
    <t>Windscreen wiper blades</t>
  </si>
  <si>
    <t>Lames de balais d'essuie-glaces</t>
  </si>
  <si>
    <t>Lames de balais d'essuie-glace</t>
  </si>
  <si>
    <t>102297</t>
  </si>
  <si>
    <t>Hand crank starters</t>
  </si>
  <si>
    <t>Manivelles de démarrage</t>
  </si>
  <si>
    <t>102298</t>
  </si>
  <si>
    <t>Tyre balancers [weights]</t>
  </si>
  <si>
    <t>Masselottes pour l'équilibrage des roues de véhicules</t>
  </si>
  <si>
    <t>Balance weights for vehicle wheels</t>
  </si>
  <si>
    <t>Plombs pour l'équilibrage des roues de véhicules</t>
  </si>
  <si>
    <t>102299</t>
  </si>
  <si>
    <t>Propeller hubs [for vehicles]</t>
  </si>
  <si>
    <t>Moyeux d'hélices [pour véhicules]</t>
  </si>
  <si>
    <t>102300</t>
  </si>
  <si>
    <t>Brake blocks for vehicles</t>
  </si>
  <si>
    <t>Patins de freins de véhicules</t>
  </si>
  <si>
    <t>102301</t>
  </si>
  <si>
    <t>Accelerator pedals for vehicles</t>
  </si>
  <si>
    <t>Pédales d'accélérateurs de véhicules</t>
  </si>
  <si>
    <t>102302</t>
  </si>
  <si>
    <t>Luggage carriers for vehicles [except for cycles and motorcycles]</t>
  </si>
  <si>
    <t>Porte-bagages de véhicules [autres que pour cycles et motocycles]</t>
  </si>
  <si>
    <t>102303</t>
  </si>
  <si>
    <t>Bumper guards</t>
  </si>
  <si>
    <t>Protège pare-chocs</t>
  </si>
  <si>
    <t>102304</t>
  </si>
  <si>
    <t>Radiator cap ornaments</t>
  </si>
  <si>
    <t>Ornements de bouchons de radiateurs</t>
  </si>
  <si>
    <t>102305</t>
  </si>
  <si>
    <t>Brake shoes for vehicles</t>
  </si>
  <si>
    <t>Sabots de freins de véhicules</t>
  </si>
  <si>
    <t>102306</t>
  </si>
  <si>
    <t>Exhaust pipes</t>
  </si>
  <si>
    <t>Tuyaux d'échappement</t>
  </si>
  <si>
    <t>Tailpipes</t>
  </si>
  <si>
    <t>102307</t>
  </si>
  <si>
    <t>Steering wheels</t>
  </si>
  <si>
    <t>Volants de direction de véhicules</t>
  </si>
  <si>
    <t>Roues de gouvernail</t>
  </si>
  <si>
    <t>102308</t>
  </si>
  <si>
    <t>Tractor cabins</t>
  </si>
  <si>
    <t>Cabines de tracteurs</t>
  </si>
  <si>
    <t>102309</t>
  </si>
  <si>
    <t>Spoilers for motor cars</t>
  </si>
  <si>
    <t>Becquets [spoilers] pour automobiles</t>
  </si>
  <si>
    <t>102310</t>
  </si>
  <si>
    <t>Vehicle wheel covers [for transport]</t>
  </si>
  <si>
    <t>Housses de roues de véhicules [pour le transport]</t>
  </si>
  <si>
    <t>102311</t>
  </si>
  <si>
    <t>Handbrake levers</t>
  </si>
  <si>
    <t>Leviers de freins à main</t>
  </si>
  <si>
    <t>102312</t>
  </si>
  <si>
    <t>Door protectors for vehicles</t>
  </si>
  <si>
    <t>Butoirs de portières pour véhicules</t>
  </si>
  <si>
    <t>102313</t>
  </si>
  <si>
    <t>Vehicle passenger compartments</t>
  </si>
  <si>
    <t>Habitacles de voitures</t>
  </si>
  <si>
    <t>102314</t>
  </si>
  <si>
    <t>Gear levers</t>
  </si>
  <si>
    <t>Leviers de vitesses</t>
  </si>
  <si>
    <t>102315</t>
  </si>
  <si>
    <t>Gear lever knobs</t>
  </si>
  <si>
    <t>Pommeaux de leviers de vitesses</t>
  </si>
  <si>
    <t>102316</t>
  </si>
  <si>
    <t>Control and indicator panels for vehicles</t>
  </si>
  <si>
    <t>Panneaux de commande pour véhicules</t>
  </si>
  <si>
    <t>102317</t>
  </si>
  <si>
    <t>Central consoles for vehicles</t>
  </si>
  <si>
    <t>Consoles centrales pour véhicules</t>
  </si>
  <si>
    <t>102318</t>
  </si>
  <si>
    <t>Vanity mirrors for vehicles</t>
  </si>
  <si>
    <t>Miroirs de courtoisie pour véhicules</t>
  </si>
  <si>
    <t>102319</t>
  </si>
  <si>
    <t>Hatches for vehicles</t>
  </si>
  <si>
    <t>Demi-portes pour véhicules</t>
  </si>
  <si>
    <t>102320</t>
  </si>
  <si>
    <t>Interior linings for vehicles</t>
  </si>
  <si>
    <t>Revêtements intérieurs pour véhicules</t>
  </si>
  <si>
    <t>102321</t>
  </si>
  <si>
    <t>Vehicle wings</t>
  </si>
  <si>
    <t>Ailes de véhicules</t>
  </si>
  <si>
    <t>102322</t>
  </si>
  <si>
    <t>Vehicle doors</t>
  </si>
  <si>
    <t>Portières de véhicules</t>
  </si>
  <si>
    <t>102323</t>
  </si>
  <si>
    <t>Cabins for vehicles</t>
  </si>
  <si>
    <t>Cabines de véhicules</t>
  </si>
  <si>
    <t>104760</t>
  </si>
  <si>
    <t>Roof boxes for vehicles</t>
  </si>
  <si>
    <t>Coffres de toit</t>
  </si>
  <si>
    <t>104872</t>
  </si>
  <si>
    <t>Washer reservoirs for vehicles</t>
  </si>
  <si>
    <t>Réservoirs de lave-glace pour véhicules</t>
  </si>
  <si>
    <t>104873</t>
  </si>
  <si>
    <t>Washer jets for vehicles</t>
  </si>
  <si>
    <t>Gicleurs de lave-glace pour véhicules</t>
  </si>
  <si>
    <t>104980</t>
  </si>
  <si>
    <t>Bicycle racks for vehicles</t>
  </si>
  <si>
    <t>Porte-bicyclettes pour véhicules</t>
  </si>
  <si>
    <t>104981</t>
  </si>
  <si>
    <t>Side view mirrors for vehicles [exterior]</t>
  </si>
  <si>
    <t>Rétroviseurs latéraux pour véhicules [extérieur]</t>
  </si>
  <si>
    <t>104982</t>
  </si>
  <si>
    <t>Overhead consoles for vehicles</t>
  </si>
  <si>
    <t>Consoles de plafond pour véhicules</t>
  </si>
  <si>
    <t>12-17</t>
  </si>
  <si>
    <t>102324</t>
  </si>
  <si>
    <t>Railway infrastructure components</t>
  </si>
  <si>
    <t>Railway switches</t>
  </si>
  <si>
    <t>Aiguillages de voies ferrées</t>
  </si>
  <si>
    <t>Railway points</t>
  </si>
  <si>
    <t>102325</t>
  </si>
  <si>
    <t>Rail anchors</t>
  </si>
  <si>
    <t>Dispositifs d'ancrage de rails</t>
  </si>
  <si>
    <t>102326</t>
  </si>
  <si>
    <t>Rail joints</t>
  </si>
  <si>
    <t>Joints de rails</t>
  </si>
  <si>
    <t>102327</t>
  </si>
  <si>
    <t>Railway turntables</t>
  </si>
  <si>
    <t>Plaques tournantes [chemins de fer]</t>
  </si>
  <si>
    <t>12-99</t>
  </si>
  <si>
    <t>102328</t>
  </si>
  <si>
    <t>Catapults for aeroplanes</t>
  </si>
  <si>
    <t>Catapultes d'avions</t>
  </si>
  <si>
    <t>102329</t>
  </si>
  <si>
    <t>Wiping devices for oil dipsticks</t>
  </si>
  <si>
    <t>Dispositifs pour l'essuyage des jauges à huile</t>
  </si>
  <si>
    <t>13</t>
  </si>
  <si>
    <t>13-01</t>
  </si>
  <si>
    <t>102330</t>
  </si>
  <si>
    <t>Equipos para producción, distribución o transformación de electricidad: Abarca aparatos que producen, distribuyen o transforman corriente eléctrica, incluyendo motores eléctricos.</t>
  </si>
  <si>
    <t>EQUIPMENT FOR PRODUCTION, DISTRIBUTION OR TRANSFORMATION OF ELECTRICITY</t>
  </si>
  <si>
    <t>a.  Including only apparatus which produces, distributes or transforms electric current.
b.  Including electric motors, however.
c.  Not including electrically-driven apparatus, such as electric watches (Cl. 10-02), or apparatus for the measurement of electric current (Cl. 10-04).</t>
  </si>
  <si>
    <t>GENERATORS AND MOTORS</t>
  </si>
  <si>
    <t>Dynamos</t>
  </si>
  <si>
    <t>102331</t>
  </si>
  <si>
    <t>Generators, electric</t>
  </si>
  <si>
    <t>Générateurs électriques</t>
  </si>
  <si>
    <t>102332</t>
  </si>
  <si>
    <t>Motors, electric</t>
  </si>
  <si>
    <t>Moteurs électriques</t>
  </si>
  <si>
    <t>102333</t>
  </si>
  <si>
    <t>Rotors of electric motors and generators</t>
  </si>
  <si>
    <t>Rotors de moteurs et de générateurs électriques</t>
  </si>
  <si>
    <t>102334</t>
  </si>
  <si>
    <t>Stators of electric motors and generators</t>
  </si>
  <si>
    <t>Stators de moteurs et de générateurs électriques</t>
  </si>
  <si>
    <t>13-02</t>
  </si>
  <si>
    <t>102335</t>
  </si>
  <si>
    <t>POWER TRANSFORMERS, RECTIFIERS, BATTERIES AND ACCUMULATORS</t>
  </si>
  <si>
    <t>Grids for accumulators</t>
  </si>
  <si>
    <t>Grilles d'accumulateurs</t>
  </si>
  <si>
    <t>102336</t>
  </si>
  <si>
    <t>Accumulators, electric</t>
  </si>
  <si>
    <t>Accumulateurs électriques</t>
  </si>
  <si>
    <t>102337</t>
  </si>
  <si>
    <t>Batteries, electric</t>
  </si>
  <si>
    <t>Batteries électriques</t>
  </si>
  <si>
    <t>102338</t>
  </si>
  <si>
    <t>Apparatus for electrifying cattle fences</t>
  </si>
  <si>
    <t>Appareils de mise sous tension des clôtures de pâturages</t>
  </si>
  <si>
    <t>102339</t>
  </si>
  <si>
    <t>Step-down and step-up transformers</t>
  </si>
  <si>
    <t>Dévolteurs-survolteurs</t>
  </si>
  <si>
    <t>Step-up and step-down transformers</t>
  </si>
  <si>
    <t>Survolteurs-dévolteurs</t>
  </si>
  <si>
    <t>102340</t>
  </si>
  <si>
    <t>Dry batteries</t>
  </si>
  <si>
    <t>Piles électriques</t>
  </si>
  <si>
    <t>102341</t>
  </si>
  <si>
    <t>Voltage regulators</t>
  </si>
  <si>
    <t>Régulateurs de tension</t>
  </si>
  <si>
    <t>102342</t>
  </si>
  <si>
    <t>Transformers</t>
  </si>
  <si>
    <t>Transformateurs</t>
  </si>
  <si>
    <t>102343</t>
  </si>
  <si>
    <t>Induction coils</t>
  </si>
  <si>
    <t>Bobines d'induction</t>
  </si>
  <si>
    <t>102344</t>
  </si>
  <si>
    <t>Accumulator jars</t>
  </si>
  <si>
    <t>Bacs d'accumulateurs</t>
  </si>
  <si>
    <t>102345</t>
  </si>
  <si>
    <t>Ignition coils for motors</t>
  </si>
  <si>
    <t>Bobines d'allumage de moteurs</t>
  </si>
  <si>
    <t>102346</t>
  </si>
  <si>
    <t>Accumulator plates</t>
  </si>
  <si>
    <t>Plaques d'accumulateurs</t>
  </si>
  <si>
    <t>Battery plates</t>
  </si>
  <si>
    <t>102347</t>
  </si>
  <si>
    <t>Current rectifiers</t>
  </si>
  <si>
    <t>Redresseurs de courant</t>
  </si>
  <si>
    <t>102348</t>
  </si>
  <si>
    <t>Self-induction coils</t>
  </si>
  <si>
    <t>Bobines de self</t>
  </si>
  <si>
    <t>102349</t>
  </si>
  <si>
    <t>Accumulator charging apparatus</t>
  </si>
  <si>
    <t>Appareils pour la recharge d'accumulateurs</t>
  </si>
  <si>
    <t>102350</t>
  </si>
  <si>
    <t>Power supply units, universal</t>
  </si>
  <si>
    <t>Blocs d'alimentation universels [électricité]</t>
  </si>
  <si>
    <t>102351</t>
  </si>
  <si>
    <t>Electrical chargers for telephones</t>
  </si>
  <si>
    <t>Chargeurs électriques pour téléphones</t>
  </si>
  <si>
    <t>102352</t>
  </si>
  <si>
    <t>Battery boxes for portable telephones</t>
  </si>
  <si>
    <t>Boîtiers à piles pour téléphones portables</t>
  </si>
  <si>
    <t>102353</t>
  </si>
  <si>
    <t>Rechargeable batteries</t>
  </si>
  <si>
    <t>Piles rechargeables</t>
  </si>
  <si>
    <t>102354</t>
  </si>
  <si>
    <t>Battery charger housings</t>
  </si>
  <si>
    <t>Boîtiers de chargeurs de batteries</t>
  </si>
  <si>
    <t>104874</t>
  </si>
  <si>
    <t>Battery charging cases for mobile devices</t>
  </si>
  <si>
    <t>Coques-batteries pour appareils mobiles</t>
  </si>
  <si>
    <t>104875</t>
  </si>
  <si>
    <t>Current inverters</t>
  </si>
  <si>
    <t>Onduleurs de courant</t>
  </si>
  <si>
    <t>104983</t>
  </si>
  <si>
    <t>Charging stations for mobile devices</t>
  </si>
  <si>
    <t>Bornes de recharge pour appareils mobiles</t>
  </si>
  <si>
    <t>Stations de recharge pour appareils mobiles</t>
  </si>
  <si>
    <t>104984</t>
  </si>
  <si>
    <t>Charging stations for electric vehicles</t>
  </si>
  <si>
    <t>Bornes de recharge pour véhicules électriques</t>
  </si>
  <si>
    <t>Stations de recharge pour véhicules électriques</t>
  </si>
  <si>
    <t>105093</t>
  </si>
  <si>
    <t>Charging cases for wireless earphones</t>
  </si>
  <si>
    <t>Étuis de recharge pour écouteurs sans fil</t>
  </si>
  <si>
    <t>13-03</t>
  </si>
  <si>
    <t>102355</t>
  </si>
  <si>
    <t>EQUIPMENT FOR DISTRIBUTION OR CONTROL OF ELECTRIC POWER</t>
  </si>
  <si>
    <t>Adapters for electrical connector sockets</t>
  </si>
  <si>
    <t>Adaptateurs pour prises électriques</t>
  </si>
  <si>
    <t>102356</t>
  </si>
  <si>
    <t>Bow collectors for electric locomotives or tramcars</t>
  </si>
  <si>
    <t>Archets de prise de courant pour locomotives ou tramways</t>
  </si>
  <si>
    <t>102357</t>
  </si>
  <si>
    <t>Resistance boxes [electricity]</t>
  </si>
  <si>
    <t>Boîtes de résistances électriques</t>
  </si>
  <si>
    <t>102358</t>
  </si>
  <si>
    <t>Terminals [electricity]</t>
  </si>
  <si>
    <t>Bornes électriques</t>
  </si>
  <si>
    <t>102359</t>
  </si>
  <si>
    <t>Cables, electric</t>
  </si>
  <si>
    <t>Câbles électriques</t>
  </si>
  <si>
    <t>102360</t>
  </si>
  <si>
    <t>Safety covers for electric sockets</t>
  </si>
  <si>
    <t>Caches de sécurité pour prises de courant</t>
  </si>
  <si>
    <t>102361</t>
  </si>
  <si>
    <t>Equipment for control of electric power</t>
  </si>
  <si>
    <t>Matériel de commande d'énergie électrique</t>
  </si>
  <si>
    <t>102362</t>
  </si>
  <si>
    <t>Switches [electricity]</t>
  </si>
  <si>
    <t>Commutateurs électriques</t>
  </si>
  <si>
    <t>Interrupteurs de circuits électriques</t>
  </si>
  <si>
    <t>102363</t>
  </si>
  <si>
    <t>Conductors, electric</t>
  </si>
  <si>
    <t>Conducteurs électriques</t>
  </si>
  <si>
    <t>102364</t>
  </si>
  <si>
    <t>Connectors [electricity]</t>
  </si>
  <si>
    <t>Connexions [électricité]</t>
  </si>
  <si>
    <t>102365</t>
  </si>
  <si>
    <t>Circuit breakers</t>
  </si>
  <si>
    <t>Coupe-circuit</t>
  </si>
  <si>
    <t>102366</t>
  </si>
  <si>
    <t>Covers for electric switches</t>
  </si>
  <si>
    <t>Couvercles d'interrupteurs électriques</t>
  </si>
  <si>
    <t>102367</t>
  </si>
  <si>
    <t>Cut-outs</t>
  </si>
  <si>
    <t>Disjoncteurs électriques</t>
  </si>
  <si>
    <t>102368</t>
  </si>
  <si>
    <t>Equipment for distribution of electric power</t>
  </si>
  <si>
    <t>Matériel de distribution d'énergie électrique</t>
  </si>
  <si>
    <t>102369</t>
  </si>
  <si>
    <t>Electrodes</t>
  </si>
  <si>
    <t>Électrodes</t>
  </si>
  <si>
    <t>102370</t>
  </si>
  <si>
    <t>Decorative fittings for electric switches and sockets</t>
  </si>
  <si>
    <t>Enjoliveurs d'interrupteurs et de prises de courant</t>
  </si>
  <si>
    <t>102371</t>
  </si>
  <si>
    <t>Connecting plugs for coaxial cables</t>
  </si>
  <si>
    <t>Fiches de raccordement pour câbles coaxiaux</t>
  </si>
  <si>
    <t>102372</t>
  </si>
  <si>
    <t>Insulated electric wires</t>
  </si>
  <si>
    <t>Fils électriques isolés</t>
  </si>
  <si>
    <t>102373</t>
  </si>
  <si>
    <t>Fuses [electricity]</t>
  </si>
  <si>
    <t>Fusibles [électricité]</t>
  </si>
  <si>
    <t>102374</t>
  </si>
  <si>
    <t>Fuse terminals [electricity]</t>
  </si>
  <si>
    <t>Planches à fusibles</t>
  </si>
  <si>
    <t>102375</t>
  </si>
  <si>
    <t>Insulators [electricity]</t>
  </si>
  <si>
    <t>Isolateurs [électricité]</t>
  </si>
  <si>
    <t>102376</t>
  </si>
  <si>
    <t>Pantographs for electric locomotives or tramcars</t>
  </si>
  <si>
    <t>Pantographes pour locomotives ou tramways</t>
  </si>
  <si>
    <t>102377</t>
  </si>
  <si>
    <t>Contact poles for electric locomotives or tramcars</t>
  </si>
  <si>
    <t>Perches de prise de courant pour locomotives ou tramways</t>
  </si>
  <si>
    <t>102378</t>
  </si>
  <si>
    <t>Fuse holders</t>
  </si>
  <si>
    <t>Porte-fusibles</t>
  </si>
  <si>
    <t>102379</t>
  </si>
  <si>
    <t>Potentiometers</t>
  </si>
  <si>
    <t>Potentiomètres</t>
  </si>
  <si>
    <t>102380</t>
  </si>
  <si>
    <t>Sockets [electricity]</t>
  </si>
  <si>
    <t>Prises de courant</t>
  </si>
  <si>
    <t>Power points [electricity]</t>
  </si>
  <si>
    <t>102381</t>
  </si>
  <si>
    <t>Reducers [electricity]</t>
  </si>
  <si>
    <t>Réducteurs [électricité]</t>
  </si>
  <si>
    <t>102382</t>
  </si>
  <si>
    <t>Relays, electric</t>
  </si>
  <si>
    <t>Relais électriques</t>
  </si>
  <si>
    <t>102383</t>
  </si>
  <si>
    <t>Resistances [electricity]</t>
  </si>
  <si>
    <t>Résistances électriques</t>
  </si>
  <si>
    <t>102384</t>
  </si>
  <si>
    <t>Rheostats</t>
  </si>
  <si>
    <t>Rhéostats</t>
  </si>
  <si>
    <t>102385</t>
  </si>
  <si>
    <t>Contact breakers</t>
  </si>
  <si>
    <t>Rupteurs</t>
  </si>
  <si>
    <t>102386</t>
  </si>
  <si>
    <t>Two-way switches</t>
  </si>
  <si>
    <t>Va-et-vient [commutateurs électriques]</t>
  </si>
  <si>
    <t>102387</t>
  </si>
  <si>
    <t>Capacitors</t>
  </si>
  <si>
    <t>Condensateurs électriques</t>
  </si>
  <si>
    <t>102388</t>
  </si>
  <si>
    <t>Junction boxes [electricity]</t>
  </si>
  <si>
    <t>Boîtes de dérivation [électricité]</t>
  </si>
  <si>
    <t>Branch boxes [electricity]</t>
  </si>
  <si>
    <t>Boîtes de jonction [électricité]</t>
  </si>
  <si>
    <t>102389</t>
  </si>
  <si>
    <t>Contact plugs</t>
  </si>
  <si>
    <t>Fiches de contact</t>
  </si>
  <si>
    <t>102390</t>
  </si>
  <si>
    <t>Conduits [electricity]</t>
  </si>
  <si>
    <t>Conduites d'électricité</t>
  </si>
  <si>
    <t>102391</t>
  </si>
  <si>
    <t>Cable clips [electricity]</t>
  </si>
  <si>
    <t>Serre-câbles [électricité]</t>
  </si>
  <si>
    <t>102392</t>
  </si>
  <si>
    <t>Wire connectors [electricity]</t>
  </si>
  <si>
    <t>Serre-fils [électricité]</t>
  </si>
  <si>
    <t>102393</t>
  </si>
  <si>
    <t>Stabilizers [electricity]</t>
  </si>
  <si>
    <t>Stabilisateurs [électricité]</t>
  </si>
  <si>
    <t>102394</t>
  </si>
  <si>
    <t>Switchboards for electric connections</t>
  </si>
  <si>
    <t>Tableaux de commutation [électricité]</t>
  </si>
  <si>
    <t>102395</t>
  </si>
  <si>
    <t>Distribution boards [electricity]</t>
  </si>
  <si>
    <t>Tableaux de distribution [électricité]</t>
  </si>
  <si>
    <t>Control panels [electricity]</t>
  </si>
  <si>
    <t>Tableaux de commande [électricité]</t>
  </si>
  <si>
    <t>102396</t>
  </si>
  <si>
    <t>Housings for electric conductors</t>
  </si>
  <si>
    <t>Gaines de conducteurs électriques</t>
  </si>
  <si>
    <t>102397</t>
  </si>
  <si>
    <t>Sheathing for electric conductors</t>
  </si>
  <si>
    <t>Manchons de conducteurs électriques</t>
  </si>
  <si>
    <t>102398</t>
  </si>
  <si>
    <t>Marking caps [electricity]</t>
  </si>
  <si>
    <t>Fiches d'identification [électricité]</t>
  </si>
  <si>
    <t>102399</t>
  </si>
  <si>
    <t>Identification sheaths for electric conductors</t>
  </si>
  <si>
    <t>Gaines d'identification pour conducteurs électriques</t>
  </si>
  <si>
    <t>102400</t>
  </si>
  <si>
    <t>Light dimmers</t>
  </si>
  <si>
    <t>Variateurs de lumière</t>
  </si>
  <si>
    <t>102401</t>
  </si>
  <si>
    <t>Electrified rails for mounting spot lights</t>
  </si>
  <si>
    <t>Rails électriques pour le montage de projecteurs</t>
  </si>
  <si>
    <t>102402</t>
  </si>
  <si>
    <t>Cable terminal shoes</t>
  </si>
  <si>
    <t>Cosses de connexion de câbles</t>
  </si>
  <si>
    <t>104665</t>
  </si>
  <si>
    <t>Surge protection devices</t>
  </si>
  <si>
    <t>Parasurtenseurs</t>
  </si>
  <si>
    <t>104761</t>
  </si>
  <si>
    <t>Heat sinks</t>
  </si>
  <si>
    <t>Dissipateurs thermiques</t>
  </si>
  <si>
    <t>104762</t>
  </si>
  <si>
    <t>Cable protectors</t>
  </si>
  <si>
    <t>Protège-câbles</t>
  </si>
  <si>
    <t>13-04</t>
  </si>
  <si>
    <t>104662</t>
  </si>
  <si>
    <t>Solar equipment</t>
  </si>
  <si>
    <t>Solar panels</t>
  </si>
  <si>
    <t>Panneaux solaires</t>
  </si>
  <si>
    <t>104763</t>
  </si>
  <si>
    <t>Supports for solar panels</t>
  </si>
  <si>
    <t>Supports pour panneaux solaires</t>
  </si>
  <si>
    <t>102404</t>
  </si>
  <si>
    <t>Solar cells</t>
  </si>
  <si>
    <t>Cellules à énergie solaire</t>
  </si>
  <si>
    <t>104985</t>
  </si>
  <si>
    <t>Portable solar power supplies</t>
  </si>
  <si>
    <t>Chargeurs portables solaires</t>
  </si>
  <si>
    <t>13-99</t>
  </si>
  <si>
    <t>102403</t>
  </si>
  <si>
    <t>Electro-magnets</t>
  </si>
  <si>
    <t>Électro-aimants</t>
  </si>
  <si>
    <t>104986</t>
  </si>
  <si>
    <t>Electrostatic eliminators</t>
  </si>
  <si>
    <t>Éliminateurs d'électricité statique</t>
  </si>
  <si>
    <t>14</t>
  </si>
  <si>
    <t>14-01</t>
  </si>
  <si>
    <t>102405</t>
  </si>
  <si>
    <t>Equipos de grabación, telecomunicación o procesamiento de datos: Incluye dispositivos electrónicos relacionados con la comunicación y el procesamiento de información.</t>
  </si>
  <si>
    <t>RECORDING, TELECOMMUNICATION OR DATA PROCESSING EQUIPMENT</t>
  </si>
  <si>
    <t>EQUIPMENT FOR THE RECORDING OR REPRODUCTION OF SOUNDS OR PICTURES</t>
  </si>
  <si>
    <t>Record player needles</t>
  </si>
  <si>
    <t>Aiguilles de tourne-disques</t>
  </si>
  <si>
    <t>102406</t>
  </si>
  <si>
    <t>Tape recorders</t>
  </si>
  <si>
    <t>Magnétophones</t>
  </si>
  <si>
    <t>Enregistreurs à bande magnétique</t>
  </si>
  <si>
    <t>102407</t>
  </si>
  <si>
    <t>Record changers</t>
  </si>
  <si>
    <t>Changeurs de disques acoustiques</t>
  </si>
  <si>
    <t>102408</t>
  </si>
  <si>
    <t>Dictating apparatus</t>
  </si>
  <si>
    <t>Appareils à dicter</t>
  </si>
  <si>
    <t>102409</t>
  </si>
  <si>
    <t>Baffles for loudspeakers</t>
  </si>
  <si>
    <t>Écrans de haut-parleurs</t>
  </si>
  <si>
    <t>102410</t>
  </si>
  <si>
    <t>Loudspeakers</t>
  </si>
  <si>
    <t>Haut-parleurs</t>
  </si>
  <si>
    <t>Enceintes acoustiques</t>
  </si>
  <si>
    <t>102411</t>
  </si>
  <si>
    <t>Jukeboxes</t>
  </si>
  <si>
    <t>102412</t>
  </si>
  <si>
    <t>Talking machines</t>
  </si>
  <si>
    <t>Machines parlantes</t>
  </si>
  <si>
    <t>102413</t>
  </si>
  <si>
    <t>Video tape recorders</t>
  </si>
  <si>
    <t>Magnétoscopes</t>
  </si>
  <si>
    <t>102414</t>
  </si>
  <si>
    <t>Microphones [except for telephones]</t>
  </si>
  <si>
    <t>Microphones [autres que pour téléphones]</t>
  </si>
  <si>
    <t>102415</t>
  </si>
  <si>
    <t>Phonographs</t>
  </si>
  <si>
    <t>Phonographes</t>
  </si>
  <si>
    <t>102416</t>
  </si>
  <si>
    <t>Record player turntables</t>
  </si>
  <si>
    <t>Platines de tourne-disques</t>
  </si>
  <si>
    <t>102417</t>
  </si>
  <si>
    <t>Telephone answering apparatus</t>
  </si>
  <si>
    <t>Répondeurs aux appels téléphoniques</t>
  </si>
  <si>
    <t>102418</t>
  </si>
  <si>
    <t>Record players</t>
  </si>
  <si>
    <t>Tourne-disques</t>
  </si>
  <si>
    <t>Electrophones</t>
  </si>
  <si>
    <t>Électrophones</t>
  </si>
  <si>
    <t>102419</t>
  </si>
  <si>
    <t>Headphones</t>
  </si>
  <si>
    <t>Casques d'écoute</t>
  </si>
  <si>
    <t>102420</t>
  </si>
  <si>
    <t>Radio headphones</t>
  </si>
  <si>
    <t>Écouteurs de radio</t>
  </si>
  <si>
    <t>102421</t>
  </si>
  <si>
    <t>Tone arms for record players</t>
  </si>
  <si>
    <t>Bras acoustiques pour tourne-disques</t>
  </si>
  <si>
    <t>102422</t>
  </si>
  <si>
    <t>Audiovisual teaching apparatus</t>
  </si>
  <si>
    <t>Appareils d'enseignement audiovisuel</t>
  </si>
  <si>
    <t>102423</t>
  </si>
  <si>
    <t>Horns for loudspeakers</t>
  </si>
  <si>
    <t>Pavillons de haut-parleurs</t>
  </si>
  <si>
    <t>102424</t>
  </si>
  <si>
    <t>Portable audio cassette players</t>
  </si>
  <si>
    <t>Baladeurs</t>
  </si>
  <si>
    <t>102425</t>
  </si>
  <si>
    <t>Laser disc players</t>
  </si>
  <si>
    <t>Lecteurs de disques laser</t>
  </si>
  <si>
    <t>102426</t>
  </si>
  <si>
    <t>Cassette players</t>
  </si>
  <si>
    <t>Lecteurs de cassettes</t>
  </si>
  <si>
    <t>102427</t>
  </si>
  <si>
    <t>Recorders for magnetic optical discs</t>
  </si>
  <si>
    <t>Enregistreurs de disques optiques magnétiques</t>
  </si>
  <si>
    <t>102428</t>
  </si>
  <si>
    <t>Audio and video apparatus for reproducing sounds or images</t>
  </si>
  <si>
    <t>Appareils audio et vidéo pour la reproduction de sons ou d'images</t>
  </si>
  <si>
    <t>102429</t>
  </si>
  <si>
    <t>MP3 players</t>
  </si>
  <si>
    <t>Lecteurs MP3</t>
  </si>
  <si>
    <t>102430</t>
  </si>
  <si>
    <t>Digital versatile disc players [DVD players]</t>
  </si>
  <si>
    <t>Lecteurs de disques optiques numériques polyvalents [lecteurs DVD]</t>
  </si>
  <si>
    <t>102431</t>
  </si>
  <si>
    <t>Earpieces for monitoring broadcasts or recordings</t>
  </si>
  <si>
    <t>Oreillettes de contrôle d'émissions ou d'enregistrements</t>
  </si>
  <si>
    <t>104643</t>
  </si>
  <si>
    <t>Portable digital multimedia players</t>
  </si>
  <si>
    <t>Lecteurs multimédia numériques portables</t>
  </si>
  <si>
    <t>104764</t>
  </si>
  <si>
    <t>Audio mixers</t>
  </si>
  <si>
    <t>Consoles de mixage audio</t>
  </si>
  <si>
    <t>104987</t>
  </si>
  <si>
    <t>Karaoke booths</t>
  </si>
  <si>
    <t>Cabines de karaoké</t>
  </si>
  <si>
    <t>104988</t>
  </si>
  <si>
    <t>Smart speakers</t>
  </si>
  <si>
    <t>Enceintes connectées</t>
  </si>
  <si>
    <t>105095</t>
  </si>
  <si>
    <t>Earphones</t>
  </si>
  <si>
    <t>Écouteurs</t>
  </si>
  <si>
    <t>14-02</t>
  </si>
  <si>
    <t>102432</t>
  </si>
  <si>
    <t>DATA PROCESSING EQUIPMENT AS WELL AS PERIPHERAL APPARATUS AND DEVICES</t>
  </si>
  <si>
    <t>Keyboards for card perforators</t>
  </si>
  <si>
    <t>Claviers pour perforatrices de cartes</t>
  </si>
  <si>
    <t>102433</t>
  </si>
  <si>
    <t>Readers [data processing]</t>
  </si>
  <si>
    <t>Lecteurs [informatique]</t>
  </si>
  <si>
    <t>102434</t>
  </si>
  <si>
    <t>Computers</t>
  </si>
  <si>
    <t>Ordinateurs</t>
  </si>
  <si>
    <t>102435</t>
  </si>
  <si>
    <t>Card punches [data processing]</t>
  </si>
  <si>
    <t>Poinçonneuses de cartes [informatique]</t>
  </si>
  <si>
    <t>102436</t>
  </si>
  <si>
    <t>Tabulators for punched cards</t>
  </si>
  <si>
    <t>Tabulatrices pour cartes perforées</t>
  </si>
  <si>
    <t>102437</t>
  </si>
  <si>
    <t>Scanners for punched cards</t>
  </si>
  <si>
    <t>Vérificatrices de cartes perforées</t>
  </si>
  <si>
    <t>102439</t>
  </si>
  <si>
    <t>Data processing equipment</t>
  </si>
  <si>
    <t>Appareils de traitement de l'information</t>
  </si>
  <si>
    <t>102440</t>
  </si>
  <si>
    <t>Keyboards for data equipment</t>
  </si>
  <si>
    <t>Claviers d'ordinateurs</t>
  </si>
  <si>
    <t>102441</t>
  </si>
  <si>
    <t>Computer plotters</t>
  </si>
  <si>
    <t>Traceurs d'ordinateurs</t>
  </si>
  <si>
    <t>102442</t>
  </si>
  <si>
    <t>Electronic pocket diaries</t>
  </si>
  <si>
    <t>Agendas électroniques de poche</t>
  </si>
  <si>
    <t>102443</t>
  </si>
  <si>
    <t>Computer casings</t>
  </si>
  <si>
    <t>Boîtiers d'ordinateurs</t>
  </si>
  <si>
    <t>102444</t>
  </si>
  <si>
    <t>Computer screens</t>
  </si>
  <si>
    <t>Écrans d'ordinateurs</t>
  </si>
  <si>
    <t>102445</t>
  </si>
  <si>
    <t>Scanners [data processing]</t>
  </si>
  <si>
    <t>Scanners [informatique]</t>
  </si>
  <si>
    <t>102446</t>
  </si>
  <si>
    <t>Micro-computers</t>
  </si>
  <si>
    <t>Micro-ordinateurs</t>
  </si>
  <si>
    <t>102447</t>
  </si>
  <si>
    <t>Disk drives</t>
  </si>
  <si>
    <t>Lecteurs de disquettes</t>
  </si>
  <si>
    <t>102448</t>
  </si>
  <si>
    <t>Bar code readers</t>
  </si>
  <si>
    <t>Lecteurs de codes barres</t>
  </si>
  <si>
    <t>102449</t>
  </si>
  <si>
    <t>Anti-noise casings for computer printers</t>
  </si>
  <si>
    <t>Caissons anti-bruit pour imprimantes</t>
  </si>
  <si>
    <t>102450</t>
  </si>
  <si>
    <t>Joysticks for computers</t>
  </si>
  <si>
    <t>Manettes pour ordinateurs</t>
  </si>
  <si>
    <t>102451</t>
  </si>
  <si>
    <t>Monitors [data processing]</t>
  </si>
  <si>
    <t>Moniteurs [informatique]</t>
  </si>
  <si>
    <t>102452</t>
  </si>
  <si>
    <t>Computer mouses</t>
  </si>
  <si>
    <t>Souris [informatique]</t>
  </si>
  <si>
    <t>102453</t>
  </si>
  <si>
    <t>Cartridges for computer printers</t>
  </si>
  <si>
    <t>Cartouches pour imprimantes d'ordinateur</t>
  </si>
  <si>
    <t>102454</t>
  </si>
  <si>
    <t>Computer terminals</t>
  </si>
  <si>
    <t>Terminaux d'ordinateurs</t>
  </si>
  <si>
    <t>102455</t>
  </si>
  <si>
    <t>Computer printers</t>
  </si>
  <si>
    <t>Imprimantes</t>
  </si>
  <si>
    <t>102456</t>
  </si>
  <si>
    <t>Compact disc players [data processing]</t>
  </si>
  <si>
    <t>Lecteurs de disques compacts [informatique]</t>
  </si>
  <si>
    <t>102457</t>
  </si>
  <si>
    <t>Hard disc players</t>
  </si>
  <si>
    <t>Lecteurs de disques durs</t>
  </si>
  <si>
    <t>102458</t>
  </si>
  <si>
    <t>Multimedia communication terminals</t>
  </si>
  <si>
    <t>Terminaux de communication multimédia</t>
  </si>
  <si>
    <t>102459</t>
  </si>
  <si>
    <t>Electronic devices for reading magnetic cards</t>
  </si>
  <si>
    <t>Dispositifs électroniques pour lire les cartes magnétiques</t>
  </si>
  <si>
    <t>102460</t>
  </si>
  <si>
    <t>Computer interfaces</t>
  </si>
  <si>
    <t>Interfaces d'ordinateurs</t>
  </si>
  <si>
    <t>102461</t>
  </si>
  <si>
    <t>Network switches for computers</t>
  </si>
  <si>
    <t>Commutateurs de réseau pour ordinateurs</t>
  </si>
  <si>
    <t>102462</t>
  </si>
  <si>
    <t>Digital picture frames</t>
  </si>
  <si>
    <t>Cadres photos numériques</t>
  </si>
  <si>
    <t>102463</t>
  </si>
  <si>
    <t>Notebooks [laptop computers]</t>
  </si>
  <si>
    <t>Ordinateurs portables</t>
  </si>
  <si>
    <t>102465</t>
  </si>
  <si>
    <t>Touch screens</t>
  </si>
  <si>
    <t>Écrans tactiles</t>
  </si>
  <si>
    <t>102466</t>
  </si>
  <si>
    <t>Terminals with screens for Internet access</t>
  </si>
  <si>
    <t>Bornes avec écrans pour internet</t>
  </si>
  <si>
    <t>102467</t>
  </si>
  <si>
    <t>Handheld computers</t>
  </si>
  <si>
    <t>Assistants numériques</t>
  </si>
  <si>
    <t>102468</t>
  </si>
  <si>
    <t>Data transmission devices [data processing]</t>
  </si>
  <si>
    <t>Dispositifs pour la transmission de données [traitement des données]</t>
  </si>
  <si>
    <t>104603</t>
  </si>
  <si>
    <t>E-book readers</t>
  </si>
  <si>
    <t>Liseuses électroniques</t>
  </si>
  <si>
    <t>104649</t>
  </si>
  <si>
    <t>Reading and talking pens</t>
  </si>
  <si>
    <t>Stylos lecteurs parlants</t>
  </si>
  <si>
    <t>104667</t>
  </si>
  <si>
    <t>Tablet computers</t>
  </si>
  <si>
    <t>Tablettes [informatique]</t>
  </si>
  <si>
    <t>104765</t>
  </si>
  <si>
    <t>Wrist tablet computers</t>
  </si>
  <si>
    <t>Tablettes électroniques à porter au poignet</t>
  </si>
  <si>
    <t>104766</t>
  </si>
  <si>
    <t>Point-of-sale [POS] terminals</t>
  </si>
  <si>
    <t>Terminaux points de vente [TPV]</t>
  </si>
  <si>
    <t>104767</t>
  </si>
  <si>
    <t>Security tokens [encryption devices]</t>
  </si>
  <si>
    <t>Dispositifs de sécurité bancaire [appareils de codage]</t>
  </si>
  <si>
    <t>104768</t>
  </si>
  <si>
    <t>Multifunction printers</t>
  </si>
  <si>
    <t>Imprimantes multifonctions</t>
  </si>
  <si>
    <t>104876</t>
  </si>
  <si>
    <t>Keys for computer keyboards</t>
  </si>
  <si>
    <t>Touches pour clavier d'ordinateur</t>
  </si>
  <si>
    <t>104877</t>
  </si>
  <si>
    <t>Mouse scanners [data processing]</t>
  </si>
  <si>
    <t>Souris scanners [informatique]</t>
  </si>
  <si>
    <t>104878</t>
  </si>
  <si>
    <t>Slide scanners [data processing]</t>
  </si>
  <si>
    <t>Appareils pour scanner les diapositives [informatique]</t>
  </si>
  <si>
    <t>104879</t>
  </si>
  <si>
    <t>Somatosensory detectors [computer interfaces]</t>
  </si>
  <si>
    <t>Détecteurs somatosensoriels [interfaces d'ordinateurs]</t>
  </si>
  <si>
    <t>104880</t>
  </si>
  <si>
    <t>Devices for the projection of virtual keyboards</t>
  </si>
  <si>
    <t>Dispositifs pour la projection de claviers virtuels</t>
  </si>
  <si>
    <t>104881</t>
  </si>
  <si>
    <t>Virtual reality headsets</t>
  </si>
  <si>
    <t>Casques de réalité virtuelle</t>
  </si>
  <si>
    <t>104882</t>
  </si>
  <si>
    <t>Virtual reality glasses</t>
  </si>
  <si>
    <t>Lunettes de réalité virtuelle</t>
  </si>
  <si>
    <t>104989</t>
  </si>
  <si>
    <t>Cryptocurrency wallets</t>
  </si>
  <si>
    <t>Portefeuilles de cryptomonnaie</t>
  </si>
  <si>
    <t>104990</t>
  </si>
  <si>
    <t>Terminals for recharging electronic payment cards</t>
  </si>
  <si>
    <t>Terminaux de rechargement de cartes de paiement électronique</t>
  </si>
  <si>
    <t>105096</t>
  </si>
  <si>
    <t>Motion capture devices</t>
  </si>
  <si>
    <t>Dispositifs de capture de mouvement</t>
  </si>
  <si>
    <t>105099</t>
  </si>
  <si>
    <t>Smart pens</t>
  </si>
  <si>
    <t>Stylos intelligents</t>
  </si>
  <si>
    <t>14-03</t>
  </si>
  <si>
    <t>102469</t>
  </si>
  <si>
    <t>TELECOMMUNICATIONS EQUIPMENT, WIRELESS REMOTE CONTROLS AND RADIO AMPLIFIERS</t>
  </si>
  <si>
    <t>Telephone relays</t>
  </si>
  <si>
    <t>Relais téléphoniques</t>
  </si>
  <si>
    <t>102470</t>
  </si>
  <si>
    <t>Sound amplifiers</t>
  </si>
  <si>
    <t>Amplificateurs de son</t>
  </si>
  <si>
    <t>102471</t>
  </si>
  <si>
    <t>Radio aerials</t>
  </si>
  <si>
    <t>Antennes de radio</t>
  </si>
  <si>
    <t>102472</t>
  </si>
  <si>
    <t>Television aerials</t>
  </si>
  <si>
    <t>Antennes de télévision</t>
  </si>
  <si>
    <t>102473</t>
  </si>
  <si>
    <t>Aerials for vehicles</t>
  </si>
  <si>
    <t>Antennes pour véhicules</t>
  </si>
  <si>
    <t>102474</t>
  </si>
  <si>
    <t>Honeycomb coils for wireless apparatus</t>
  </si>
  <si>
    <t>Bobines et corps de bobines en nids d'abeilles pour T.S.F.</t>
  </si>
  <si>
    <t>102475</t>
  </si>
  <si>
    <t>Radio dials</t>
  </si>
  <si>
    <t>Cadrans d'appareils de radio</t>
  </si>
  <si>
    <t>102476</t>
  </si>
  <si>
    <t>Frame aerials [radio and television]</t>
  </si>
  <si>
    <t>Cadres récepteurs [antennes de radio ou de télévision]</t>
  </si>
  <si>
    <t>102477</t>
  </si>
  <si>
    <t>Emergency call boxes [roadside]</t>
  </si>
  <si>
    <t>Colonnes S.O.S.</t>
  </si>
  <si>
    <t>102478</t>
  </si>
  <si>
    <t>Frequency converters [radio and television]</t>
  </si>
  <si>
    <t>Convertisseurs de fréquences [radio et télévision]</t>
  </si>
  <si>
    <t>102480</t>
  </si>
  <si>
    <t>Telephone dials</t>
  </si>
  <si>
    <t>Disques sélecteurs pour appareils téléphoniques</t>
  </si>
  <si>
    <t>102481</t>
  </si>
  <si>
    <t>Telephone receivers</t>
  </si>
  <si>
    <t>Récepteurs téléphoniques</t>
  </si>
  <si>
    <t>Écouteurs d'appareils téléphoniques</t>
  </si>
  <si>
    <t>102482</t>
  </si>
  <si>
    <t>Walkie-talkie radios</t>
  </si>
  <si>
    <t>Émetteurs-récepteurs portatifs</t>
  </si>
  <si>
    <t>102484</t>
  </si>
  <si>
    <t>Intercommunication devices</t>
  </si>
  <si>
    <t>Dispositifs d'intercommunication</t>
  </si>
  <si>
    <t>102485</t>
  </si>
  <si>
    <t>Microphones for telephones</t>
  </si>
  <si>
    <t>Microphones de téléphones</t>
  </si>
  <si>
    <t>102486</t>
  </si>
  <si>
    <t>Microtelephones</t>
  </si>
  <si>
    <t>Microtéléphones</t>
  </si>
  <si>
    <t>102487</t>
  </si>
  <si>
    <t>Megaphones</t>
  </si>
  <si>
    <t>Mégaphones</t>
  </si>
  <si>
    <t>Porte-voix</t>
  </si>
  <si>
    <t>102488</t>
  </si>
  <si>
    <t>Radiogoniometers</t>
  </si>
  <si>
    <t>Radiogoniomètres</t>
  </si>
  <si>
    <t>102489</t>
  </si>
  <si>
    <t>Radios for vehicles</t>
  </si>
  <si>
    <t>Radios de véhicules</t>
  </si>
  <si>
    <t>102490</t>
  </si>
  <si>
    <t>Radio receivers</t>
  </si>
  <si>
    <t>Récepteurs de radio</t>
  </si>
  <si>
    <t>Radiorécepteurs</t>
  </si>
  <si>
    <t>102493</t>
  </si>
  <si>
    <t>Telephone exchanges</t>
  </si>
  <si>
    <t>Standards téléphoniques</t>
  </si>
  <si>
    <t>102494</t>
  </si>
  <si>
    <t>Wireless sets</t>
  </si>
  <si>
    <t>Appareils de T.S.F.</t>
  </si>
  <si>
    <t>102496</t>
  </si>
  <si>
    <t>Communications equipment</t>
  </si>
  <si>
    <t>Appareils de communication</t>
  </si>
  <si>
    <t>102499</t>
  </si>
  <si>
    <t>Telephones</t>
  </si>
  <si>
    <t>Téléphones</t>
  </si>
  <si>
    <t>102501</t>
  </si>
  <si>
    <t>Television apparatus</t>
  </si>
  <si>
    <t>Téléviseurs</t>
  </si>
  <si>
    <t>102502</t>
  </si>
  <si>
    <t>Videotelephony apparatus</t>
  </si>
  <si>
    <t>Appareils pour la vidéotéléphonie</t>
  </si>
  <si>
    <t>102503</t>
  </si>
  <si>
    <t>Indicator boards [call bells]</t>
  </si>
  <si>
    <t>Tableaux d'appels [sonneries]</t>
  </si>
  <si>
    <t>102504</t>
  </si>
  <si>
    <t>Switchboards for telecommunications</t>
  </si>
  <si>
    <t>Tableaux de commutation pour télécommunications</t>
  </si>
  <si>
    <t>102505</t>
  </si>
  <si>
    <t>Street emergency telephone posts</t>
  </si>
  <si>
    <t>Téléphones d'alarme publics</t>
  </si>
  <si>
    <t>102506</t>
  </si>
  <si>
    <t>Speaking tubes</t>
  </si>
  <si>
    <t>Tubes acoustiques [porte-voix]</t>
  </si>
  <si>
    <t>102507</t>
  </si>
  <si>
    <t>Fax machines</t>
  </si>
  <si>
    <t>Télécopieurs</t>
  </si>
  <si>
    <t>Facsimile machines</t>
  </si>
  <si>
    <t>Machines à fac-similés</t>
  </si>
  <si>
    <t>102508</t>
  </si>
  <si>
    <t>Modems</t>
  </si>
  <si>
    <t>102509</t>
  </si>
  <si>
    <t>Telecommunication apparatus</t>
  </si>
  <si>
    <t>Appareils de télécommunication</t>
  </si>
  <si>
    <t>102510</t>
  </si>
  <si>
    <t>Video screens [large screen television]</t>
  </si>
  <si>
    <t>Écrans vidéo [écrans géants de télévision]</t>
  </si>
  <si>
    <t>102511</t>
  </si>
  <si>
    <t>Television decoders</t>
  </si>
  <si>
    <t>Décodeurs pour téléviseurs</t>
  </si>
  <si>
    <t>102512</t>
  </si>
  <si>
    <t>Basic apparatus for wireless telephones</t>
  </si>
  <si>
    <t>Appareils de base pour téléphones sans fil</t>
  </si>
  <si>
    <t>102513</t>
  </si>
  <si>
    <t>Remote controls [wireless]</t>
  </si>
  <si>
    <t>Appareils de télécommande [sans fil]</t>
  </si>
  <si>
    <t>102514</t>
  </si>
  <si>
    <t>Videophones</t>
  </si>
  <si>
    <t>Vidéophones</t>
  </si>
  <si>
    <t>102515</t>
  </si>
  <si>
    <t>Wireless tuners</t>
  </si>
  <si>
    <t>Tuners radiophoniques</t>
  </si>
  <si>
    <t>102516</t>
  </si>
  <si>
    <t>Screens for telephony</t>
  </si>
  <si>
    <t>Écrans à usage téléphonique</t>
  </si>
  <si>
    <t>102517</t>
  </si>
  <si>
    <t>Digital pagers</t>
  </si>
  <si>
    <t>Bips numériques</t>
  </si>
  <si>
    <t>102518</t>
  </si>
  <si>
    <t>Cordless modems</t>
  </si>
  <si>
    <t>Modems sans fil</t>
  </si>
  <si>
    <t>102519</t>
  </si>
  <si>
    <t>Portable telephones</t>
  </si>
  <si>
    <t>Téléphones portables</t>
  </si>
  <si>
    <t>102520</t>
  </si>
  <si>
    <t>Telephone handsets</t>
  </si>
  <si>
    <t>Combinés téléphoniques</t>
  </si>
  <si>
    <t>102521</t>
  </si>
  <si>
    <t>Intercom phones</t>
  </si>
  <si>
    <t>Interphones</t>
  </si>
  <si>
    <t>102522</t>
  </si>
  <si>
    <t>Satellite receivers</t>
  </si>
  <si>
    <t>Récepteurs de satellites</t>
  </si>
  <si>
    <t>102523</t>
  </si>
  <si>
    <t>Antenna sockets</t>
  </si>
  <si>
    <t>Prises d'antenne</t>
  </si>
  <si>
    <t>102524</t>
  </si>
  <si>
    <t>Global positioning devices [GPS]</t>
  </si>
  <si>
    <t>Dispositifs mondiaux de localisation [GPS]</t>
  </si>
  <si>
    <t>102525</t>
  </si>
  <si>
    <t>Mobile telephones</t>
  </si>
  <si>
    <t>Téléphones mobiles</t>
  </si>
  <si>
    <t>102526</t>
  </si>
  <si>
    <t>Navigational devices</t>
  </si>
  <si>
    <t>Dispositifs de navigation</t>
  </si>
  <si>
    <t>102528</t>
  </si>
  <si>
    <t>Headsets for telephones [earphones and microphones combined]</t>
  </si>
  <si>
    <t>Casques pour téléphones [écouteurs et microphones combinés]</t>
  </si>
  <si>
    <t>104686</t>
  </si>
  <si>
    <t>Wireless laser presentation remote controls</t>
  </si>
  <si>
    <t>Télécommandes laser sans fil pour présentations</t>
  </si>
  <si>
    <t>104769</t>
  </si>
  <si>
    <t>Wrist smartphones</t>
  </si>
  <si>
    <t>Téléphones mobiles multifonctions à porter au poignet</t>
  </si>
  <si>
    <t>Téléphones intelligents à porter au poignet</t>
  </si>
  <si>
    <t>104770</t>
  </si>
  <si>
    <t>Smartphones</t>
  </si>
  <si>
    <t>Téléphones mobiles multifonctions</t>
  </si>
  <si>
    <t>Téléphones intelligents</t>
  </si>
  <si>
    <t>104771</t>
  </si>
  <si>
    <t>Phablets</t>
  </si>
  <si>
    <t>Phablettes</t>
  </si>
  <si>
    <t>104772</t>
  </si>
  <si>
    <t>Handheld wireless voting apparatus</t>
  </si>
  <si>
    <t>Appareils de vote sans fil portatifs</t>
  </si>
  <si>
    <t>104883</t>
  </si>
  <si>
    <t>Beacons for wireless devices</t>
  </si>
  <si>
    <t>Balises pour dispositifs sans fil</t>
  </si>
  <si>
    <t>104991</t>
  </si>
  <si>
    <t>Radio-frequency identification [RFID] bracelets</t>
  </si>
  <si>
    <t>Bracelets d'identification par radiofréquence [RFID]</t>
  </si>
  <si>
    <t>104992</t>
  </si>
  <si>
    <t>Live video broadcasting devices</t>
  </si>
  <si>
    <t>Dispositifs pour la vidéotransmission en direct</t>
  </si>
  <si>
    <t>105097</t>
  </si>
  <si>
    <t>Electronic tracking tags</t>
  </si>
  <si>
    <t>Étiquettes électroniques de suivi</t>
  </si>
  <si>
    <t>14-04</t>
  </si>
  <si>
    <t>102529</t>
  </si>
  <si>
    <t>SCREEN DISPLAYS AND ICONS</t>
  </si>
  <si>
    <t>Graphical user interfaces [computer screen layout]</t>
  </si>
  <si>
    <t>Interfaces utilisateurs graphiques [affichage sur écran d'ordinateur]</t>
  </si>
  <si>
    <t>102530</t>
  </si>
  <si>
    <t>Icons [for computers]</t>
  </si>
  <si>
    <t>Icônes [informatique]</t>
  </si>
  <si>
    <t>104993</t>
  </si>
  <si>
    <t>Graphic symbols for screen display</t>
  </si>
  <si>
    <t>Symboles graphiques pour interfaces</t>
  </si>
  <si>
    <t>104994</t>
  </si>
  <si>
    <t>Web banners</t>
  </si>
  <si>
    <t>Bannières publicitaires [informatique]</t>
  </si>
  <si>
    <t>105098</t>
  </si>
  <si>
    <t>Augmented reality graphical user interfaces [for screen display]</t>
  </si>
  <si>
    <t>Interfaces utilisateurs graphiques de réalité augmentée [pour affichage sur écran]</t>
  </si>
  <si>
    <t>14-05</t>
  </si>
  <si>
    <t>102550</t>
  </si>
  <si>
    <t>Recording and data storage media</t>
  </si>
  <si>
    <t>Memory cards [electronic]</t>
  </si>
  <si>
    <t>Cartes mémoire [électroniques]</t>
  </si>
  <si>
    <t>102535</t>
  </si>
  <si>
    <t>Cartridges for magnetic tapes</t>
  </si>
  <si>
    <t>Cassettes pour bandes magnétiques</t>
  </si>
  <si>
    <t>Cassettes for magnetic tapes</t>
  </si>
  <si>
    <t>102538</t>
  </si>
  <si>
    <t>Compact discs</t>
  </si>
  <si>
    <t>Disques compacts</t>
  </si>
  <si>
    <t>102539</t>
  </si>
  <si>
    <t>Computer cassettes for discs</t>
  </si>
  <si>
    <t>Cassettes d'ordinateur pour disques</t>
  </si>
  <si>
    <t>102537</t>
  </si>
  <si>
    <t>Floppy discs</t>
  </si>
  <si>
    <t>Disquettes</t>
  </si>
  <si>
    <t>102533</t>
  </si>
  <si>
    <t>Magnetic tapes</t>
  </si>
  <si>
    <t>Bandes magnétiques</t>
  </si>
  <si>
    <t>102534</t>
  </si>
  <si>
    <t>Phonograph records</t>
  </si>
  <si>
    <t>Disques acoustiques</t>
  </si>
  <si>
    <t>102464</t>
  </si>
  <si>
    <t>USB memory devices</t>
  </si>
  <si>
    <t>Clés USB</t>
  </si>
  <si>
    <t>14-06</t>
  </si>
  <si>
    <t>102548</t>
  </si>
  <si>
    <t>Holders, stands and supports for electronic equipment, not included in other classes</t>
  </si>
  <si>
    <t>Computer keyboard stands</t>
  </si>
  <si>
    <t>Supports pour claviers d'ordinateur</t>
  </si>
  <si>
    <t>102544</t>
  </si>
  <si>
    <t>Fixing devices [brackets] for loudspeakers</t>
  </si>
  <si>
    <t>Dispositifs de fixation [supports] pour haut-parleurs</t>
  </si>
  <si>
    <t>102551</t>
  </si>
  <si>
    <t>Holders for remote controls</t>
  </si>
  <si>
    <t>Supports pour commandes à distance</t>
  </si>
  <si>
    <t>102541</t>
  </si>
  <si>
    <t>Stands for loudspeakers</t>
  </si>
  <si>
    <t>Supports pour haut-parleurs</t>
  </si>
  <si>
    <t>102540</t>
  </si>
  <si>
    <t>Supports for computer terminals</t>
  </si>
  <si>
    <t>Supports pour terminaux d'ordinateur</t>
  </si>
  <si>
    <t>102543</t>
  </si>
  <si>
    <t>Supports for telephones</t>
  </si>
  <si>
    <t>Supports pour téléphones</t>
  </si>
  <si>
    <t>102542</t>
  </si>
  <si>
    <t>Supports for television apparatus</t>
  </si>
  <si>
    <t>Supports de téléviseurs</t>
  </si>
  <si>
    <t>104775</t>
  </si>
  <si>
    <t>Selfie sticks</t>
  </si>
  <si>
    <t>Perches à selfie</t>
  </si>
  <si>
    <t>104774</t>
  </si>
  <si>
    <t>Stands for mobile telephones</t>
  </si>
  <si>
    <t>Supports pour téléphones mobiles</t>
  </si>
  <si>
    <t>101404</t>
  </si>
  <si>
    <t>Brackets for radio sets for vehicles</t>
  </si>
  <si>
    <t>Étriers pour radios de véhicules</t>
  </si>
  <si>
    <t>Supports de radios de véhicules</t>
  </si>
  <si>
    <t>14-99</t>
  </si>
  <si>
    <t>102531</t>
  </si>
  <si>
    <t>Demagnetization apparatus</t>
  </si>
  <si>
    <t>Appareils de démagnétisation</t>
  </si>
  <si>
    <t>102532</t>
  </si>
  <si>
    <t>Photo-transmission diodes</t>
  </si>
  <si>
    <t>Diodes photo-émissives</t>
  </si>
  <si>
    <t>102536</t>
  </si>
  <si>
    <t>Electronic tubes</t>
  </si>
  <si>
    <t>Tubes électroniques</t>
  </si>
  <si>
    <t>102545</t>
  </si>
  <si>
    <t>Protective filters for visual display units</t>
  </si>
  <si>
    <t>Filtres de protection pour écrans d'affichage</t>
  </si>
  <si>
    <t>102546</t>
  </si>
  <si>
    <t>Computer mouse pads</t>
  </si>
  <si>
    <t>Tapis pour souris d'ordinateurs</t>
  </si>
  <si>
    <t>102547</t>
  </si>
  <si>
    <t>Boxes for compact discs [packaging]</t>
  </si>
  <si>
    <t>Boîtiers à disques compacts [conteneurs]</t>
  </si>
  <si>
    <t>102549</t>
  </si>
  <si>
    <t>Data transmission cables</t>
  </si>
  <si>
    <t>Câbles pour la transmission de données</t>
  </si>
  <si>
    <t>104664</t>
  </si>
  <si>
    <t>Styluses for touch screens</t>
  </si>
  <si>
    <t>Stylets pour écrans tactiles</t>
  </si>
  <si>
    <t>104773</t>
  </si>
  <si>
    <t>USB hubs</t>
  </si>
  <si>
    <t>Multiprises USB</t>
  </si>
  <si>
    <t>104884</t>
  </si>
  <si>
    <t>Optical fiber connectors</t>
  </si>
  <si>
    <t>Connecteurs à fibres optiques</t>
  </si>
  <si>
    <t>15</t>
  </si>
  <si>
    <t>15-01</t>
  </si>
  <si>
    <t>102552</t>
  </si>
  <si>
    <t>Máquinas no especificadas en otra parte: Comprende maquinaria diversa que no encaja en otras categorías.</t>
  </si>
  <si>
    <t>MACHINES, NOT ELSEWHERE SPECIFIED</t>
  </si>
  <si>
    <t>ENGINES</t>
  </si>
  <si>
    <t>Hot air engines</t>
  </si>
  <si>
    <t>Moteurs à air chaud</t>
  </si>
  <si>
    <t>102553</t>
  </si>
  <si>
    <t>Carburettors for motors</t>
  </si>
  <si>
    <t>Carburateurs de moteurs</t>
  </si>
  <si>
    <t>102554</t>
  </si>
  <si>
    <t>Gear and gearing casings</t>
  </si>
  <si>
    <t>Carters d'engrenages</t>
  </si>
  <si>
    <t>102555</t>
  </si>
  <si>
    <t>Cylinders for motors</t>
  </si>
  <si>
    <t>Cylindres de moteurs</t>
  </si>
  <si>
    <t>102556</t>
  </si>
  <si>
    <t>Exhaust silencers</t>
  </si>
  <si>
    <t>Pots d'échappement</t>
  </si>
  <si>
    <t>102557</t>
  </si>
  <si>
    <t>Engine pistons</t>
  </si>
  <si>
    <t>Pistons de moteurs</t>
  </si>
  <si>
    <t>102558</t>
  </si>
  <si>
    <t>Jet engines</t>
  </si>
  <si>
    <t>Moteurs à réaction</t>
  </si>
  <si>
    <t>102559</t>
  </si>
  <si>
    <t>Motors</t>
  </si>
  <si>
    <t>Moteurs</t>
  </si>
  <si>
    <t>102560</t>
  </si>
  <si>
    <t>Turbine rotors</t>
  </si>
  <si>
    <t>Rotors de turbines</t>
  </si>
  <si>
    <t>102561</t>
  </si>
  <si>
    <t>Silencers for motors</t>
  </si>
  <si>
    <t>Silencieux de moteurs</t>
  </si>
  <si>
    <t>Mufflers for motors</t>
  </si>
  <si>
    <t>102562</t>
  </si>
  <si>
    <t>Turbine stators</t>
  </si>
  <si>
    <t>Stators de turbines</t>
  </si>
  <si>
    <t>102563</t>
  </si>
  <si>
    <t>Turbines</t>
  </si>
  <si>
    <t>102564</t>
  </si>
  <si>
    <t>Sparking plugs for motors</t>
  </si>
  <si>
    <t>Bougies d'allumage de moteurs</t>
  </si>
  <si>
    <t>102565</t>
  </si>
  <si>
    <t>Ignition regulators for motors</t>
  </si>
  <si>
    <t>Régulateurs d'allumage de moteurs</t>
  </si>
  <si>
    <t>102566</t>
  </si>
  <si>
    <t>Steam engines</t>
  </si>
  <si>
    <t>Machines à vapeur</t>
  </si>
  <si>
    <t>102567</t>
  </si>
  <si>
    <t>Engine heaters</t>
  </si>
  <si>
    <t>Dispositifs pour réchauffer les moteurs</t>
  </si>
  <si>
    <t>102568</t>
  </si>
  <si>
    <t>Valves for engines</t>
  </si>
  <si>
    <t>Soupapes pour moteurs</t>
  </si>
  <si>
    <t>102569</t>
  </si>
  <si>
    <t>Engine units</t>
  </si>
  <si>
    <t>Blocs-moteurs</t>
  </si>
  <si>
    <t>102570</t>
  </si>
  <si>
    <t>Electronic boxes for engines</t>
  </si>
  <si>
    <t>Boîtiers électroniques de moteurs</t>
  </si>
  <si>
    <t>104678</t>
  </si>
  <si>
    <t>Ventilators for engines</t>
  </si>
  <si>
    <t>Ventilateurs pour moteurs</t>
  </si>
  <si>
    <t>104776</t>
  </si>
  <si>
    <t>Exhaust manifolds for combustion engines</t>
  </si>
  <si>
    <t>Collecteurs d'échappement pour moteurs à combustion</t>
  </si>
  <si>
    <t>104777</t>
  </si>
  <si>
    <t>Filters for engines</t>
  </si>
  <si>
    <t>Filtres pour moteurs</t>
  </si>
  <si>
    <t>104778</t>
  </si>
  <si>
    <t>Actuators [machines]</t>
  </si>
  <si>
    <t>Actionneurs [machines]</t>
  </si>
  <si>
    <t>15-02</t>
  </si>
  <si>
    <t>102571</t>
  </si>
  <si>
    <t>PUMPS AND COMPRESSORS</t>
  </si>
  <si>
    <t>Compressors</t>
  </si>
  <si>
    <t>Compresseurs</t>
  </si>
  <si>
    <t>102572</t>
  </si>
  <si>
    <t>Air dispensers for inflating tyres</t>
  </si>
  <si>
    <t>Distributeurs d'air à gonfler les pneumatiques</t>
  </si>
  <si>
    <t>102573</t>
  </si>
  <si>
    <t>Pumps for liquids</t>
  </si>
  <si>
    <t>Pompes à liquides</t>
  </si>
  <si>
    <t>102574</t>
  </si>
  <si>
    <t>Vacuum pumps</t>
  </si>
  <si>
    <t>Pompes à vide</t>
  </si>
  <si>
    <t>102575</t>
  </si>
  <si>
    <t>Pumps for inflating tyres [machines]</t>
  </si>
  <si>
    <t>Pompes à gonfler les pneus [machines]</t>
  </si>
  <si>
    <t>102576</t>
  </si>
  <si>
    <t>Fuel injection pumps</t>
  </si>
  <si>
    <t>Pompes d'injection de carburant</t>
  </si>
  <si>
    <t>102577</t>
  </si>
  <si>
    <t>Laboratory air pumps</t>
  </si>
  <si>
    <t>Pompes à air pour laboratoires</t>
  </si>
  <si>
    <t>Air pumps for laboratories</t>
  </si>
  <si>
    <t>102578</t>
  </si>
  <si>
    <t>Air pumps for condensers</t>
  </si>
  <si>
    <t>Pompes à air pour condenseurs</t>
  </si>
  <si>
    <t>102579</t>
  </si>
  <si>
    <t>Direct-action pumps</t>
  </si>
  <si>
    <t>Pompes à action directe</t>
  </si>
  <si>
    <t>102580</t>
  </si>
  <si>
    <t>Centrifugal pumps</t>
  </si>
  <si>
    <t>Pompes centrifuges</t>
  </si>
  <si>
    <t>102581</t>
  </si>
  <si>
    <t>Boiler feed pumps</t>
  </si>
  <si>
    <t>Pompes d'alimentation pour chaudières</t>
  </si>
  <si>
    <t>102582</t>
  </si>
  <si>
    <t>Suction and injection pumps for brine</t>
  </si>
  <si>
    <t>Pompes d'aspiration et d'injection de saumure</t>
  </si>
  <si>
    <t>Pompes d'aspiration et injection de saumure</t>
  </si>
  <si>
    <t>102583</t>
  </si>
  <si>
    <t>Central heating pumps</t>
  </si>
  <si>
    <t>Pompes de chauffage central</t>
  </si>
  <si>
    <t>Circulateurs pour le chauffage central</t>
  </si>
  <si>
    <t>102584</t>
  </si>
  <si>
    <t>Grease guns [machines]</t>
  </si>
  <si>
    <t>Pompes de graissage [machines]</t>
  </si>
  <si>
    <t>15-03</t>
  </si>
  <si>
    <t>102585</t>
  </si>
  <si>
    <t>AGRICULTURAL AND FORESTRY MACHINERY</t>
  </si>
  <si>
    <t>Agricultural machines</t>
  </si>
  <si>
    <t>Machines agricoles</t>
  </si>
  <si>
    <t>102586</t>
  </si>
  <si>
    <t>Potato diggers [machines]</t>
  </si>
  <si>
    <t>Arracheuses de pommes de terre</t>
  </si>
  <si>
    <t>102587</t>
  </si>
  <si>
    <t>Threshing machines</t>
  </si>
  <si>
    <t>Batteuses agricoles</t>
  </si>
  <si>
    <t>102588</t>
  </si>
  <si>
    <t>Hoeing machines</t>
  </si>
  <si>
    <t>Bineuses</t>
  </si>
  <si>
    <t>102589</t>
  </si>
  <si>
    <t>Trussing machines</t>
  </si>
  <si>
    <t>Botteleuses</t>
  </si>
  <si>
    <t>102590</t>
  </si>
  <si>
    <t>Ploughs</t>
  </si>
  <si>
    <t>Charrues</t>
  </si>
  <si>
    <t>Plows</t>
  </si>
  <si>
    <t>102591</t>
  </si>
  <si>
    <t>Lime spreaders [agriculture]</t>
  </si>
  <si>
    <t>Chauleuses [agriculture]</t>
  </si>
  <si>
    <t>102592</t>
  </si>
  <si>
    <t>Hay cutters [machines]</t>
  </si>
  <si>
    <t>Coupe-foin [machines]</t>
  </si>
  <si>
    <t>102593</t>
  </si>
  <si>
    <t>Top-cutting machines for root crops</t>
  </si>
  <si>
    <t>Décolleteuses agricoles</t>
  </si>
  <si>
    <t>102594</t>
  </si>
  <si>
    <t>Fertilizer spreaders</t>
  </si>
  <si>
    <t>Distributeurs d'engrais</t>
  </si>
  <si>
    <t>102595</t>
  </si>
  <si>
    <t>Manure spreaders</t>
  </si>
  <si>
    <t>Épandeurs d'engrais</t>
  </si>
  <si>
    <t>102596</t>
  </si>
  <si>
    <t>Stone removing machines for grain</t>
  </si>
  <si>
    <t>Épierreuses de grain</t>
  </si>
  <si>
    <t>102597</t>
  </si>
  <si>
    <t>Steam driers [agriculture]</t>
  </si>
  <si>
    <t>Étuves-séchoirs [agriculture]</t>
  </si>
  <si>
    <t>Étuves séchoirs [agriculture]</t>
  </si>
  <si>
    <t>102598</t>
  </si>
  <si>
    <t>Hay tedders [machines]</t>
  </si>
  <si>
    <t>Faneuses mécaniques</t>
  </si>
  <si>
    <t>102599</t>
  </si>
  <si>
    <t>Mowing machines [agriculture]</t>
  </si>
  <si>
    <t>Faucheuses</t>
  </si>
  <si>
    <t>102600</t>
  </si>
  <si>
    <t>Fumigators for the treatment of plants</t>
  </si>
  <si>
    <t>Fumigateurs pour le traitement des plantes</t>
  </si>
  <si>
    <t>102601</t>
  </si>
  <si>
    <t>Grain driers [machines]</t>
  </si>
  <si>
    <t>Séchoirs à grain [machines]</t>
  </si>
  <si>
    <t>102602</t>
  </si>
  <si>
    <t>Grain separators</t>
  </si>
  <si>
    <t>Égreneuses [machines]</t>
  </si>
  <si>
    <t>102603</t>
  </si>
  <si>
    <t>Chaffcutter blades</t>
  </si>
  <si>
    <t>Lames pour hache-paille</t>
  </si>
  <si>
    <t>102604</t>
  </si>
  <si>
    <t>Chaffcutters</t>
  </si>
  <si>
    <t>Hache-paille</t>
  </si>
  <si>
    <t>102605</t>
  </si>
  <si>
    <t>Harrows [agricultural machines]</t>
  </si>
  <si>
    <t>Herses [machines agricoles]</t>
  </si>
  <si>
    <t>102606</t>
  </si>
  <si>
    <t>Ploughshare blades</t>
  </si>
  <si>
    <t>Lames pour socs de charrues</t>
  </si>
  <si>
    <t>Plowshare blades</t>
  </si>
  <si>
    <t>102607</t>
  </si>
  <si>
    <t>Power driven cultivators</t>
  </si>
  <si>
    <t>Motoculteurs</t>
  </si>
  <si>
    <t>102608</t>
  </si>
  <si>
    <t>Planting machines</t>
  </si>
  <si>
    <t>Planteuses de plants</t>
  </si>
  <si>
    <t>102609</t>
  </si>
  <si>
    <t>Rakes [machines]</t>
  </si>
  <si>
    <t>Râteleuses</t>
  </si>
  <si>
    <t>102610</t>
  </si>
  <si>
    <t>Machines for pricking out</t>
  </si>
  <si>
    <t>Machines à repiquer</t>
  </si>
  <si>
    <t>102611</t>
  </si>
  <si>
    <t>Land rollers [machines]</t>
  </si>
  <si>
    <t>Rouleaux agricoles [machines]</t>
  </si>
  <si>
    <t>102612</t>
  </si>
  <si>
    <t>Weeding machines</t>
  </si>
  <si>
    <t>Sarcleuses [machines]</t>
  </si>
  <si>
    <t>102613</t>
  </si>
  <si>
    <t>Scarifiers [agriculture]</t>
  </si>
  <si>
    <t>Scarificateurs [agriculture]</t>
  </si>
  <si>
    <t>102614</t>
  </si>
  <si>
    <t>Sowing machines</t>
  </si>
  <si>
    <t>Semoirs</t>
  </si>
  <si>
    <t>Seeders</t>
  </si>
  <si>
    <t>102615</t>
  </si>
  <si>
    <t>Plowshares</t>
  </si>
  <si>
    <t>Socs de charrues</t>
  </si>
  <si>
    <t>102616</t>
  </si>
  <si>
    <t>Sulfurators [agriculture]</t>
  </si>
  <si>
    <t>Soufreuses agricoles</t>
  </si>
  <si>
    <t>102617</t>
  </si>
  <si>
    <t>Milking machines</t>
  </si>
  <si>
    <t>Machines à traire</t>
  </si>
  <si>
    <t>102618</t>
  </si>
  <si>
    <t>Root slicers [machines]</t>
  </si>
  <si>
    <t>Coupe-racines [machines]</t>
  </si>
  <si>
    <t>102619</t>
  </si>
  <si>
    <t>Machines for the chemical treatment of plants</t>
  </si>
  <si>
    <t>Machines pour le traitement chimique des plantes</t>
  </si>
  <si>
    <t>102620</t>
  </si>
  <si>
    <t>Beet lifters [machines]</t>
  </si>
  <si>
    <t>Arracheuses de betteraves</t>
  </si>
  <si>
    <t>102621</t>
  </si>
  <si>
    <t>Vineyard plows</t>
  </si>
  <si>
    <t>Décavaillonneuses</t>
  </si>
  <si>
    <t>102622</t>
  </si>
  <si>
    <t>Reaping and binding machines</t>
  </si>
  <si>
    <t>Moissonneuses-lieuses</t>
  </si>
  <si>
    <t>Binding and reaping machines</t>
  </si>
  <si>
    <t>102623</t>
  </si>
  <si>
    <t>Fodder presses</t>
  </si>
  <si>
    <t>Presses à fourrage</t>
  </si>
  <si>
    <t>102624</t>
  </si>
  <si>
    <t>Lawn mowers</t>
  </si>
  <si>
    <t>Tondeuses à gazon</t>
  </si>
  <si>
    <t>102625</t>
  </si>
  <si>
    <t>Tree-dozers</t>
  </si>
  <si>
    <t>Débroussailleuses</t>
  </si>
  <si>
    <t>102626</t>
  </si>
  <si>
    <t>Lawn aerators</t>
  </si>
  <si>
    <t>Aérateurs à gazon</t>
  </si>
  <si>
    <t>102627</t>
  </si>
  <si>
    <t>Robotic lawn mowers</t>
  </si>
  <si>
    <t>Tondeuses à gazon robotisées</t>
  </si>
  <si>
    <t>104631</t>
  </si>
  <si>
    <t>Lawn trimmers</t>
  </si>
  <si>
    <t>Coupe-bordures</t>
  </si>
  <si>
    <t>102781</t>
  </si>
  <si>
    <t>Machines for felling trees</t>
  </si>
  <si>
    <t>Machines pour l'abattage des arbres</t>
  </si>
  <si>
    <t>102814</t>
  </si>
  <si>
    <t>Harvesters [forest]</t>
  </si>
  <si>
    <t>Véhicules sylvicoles pour le déboisement</t>
  </si>
  <si>
    <t>105091</t>
  </si>
  <si>
    <t>Snowblowers [machines]</t>
  </si>
  <si>
    <t>Fraises à neige [machines]</t>
  </si>
  <si>
    <t>15-04</t>
  </si>
  <si>
    <t>102628</t>
  </si>
  <si>
    <t>CONSTRUCTION AND MINING MACHINERY</t>
  </si>
  <si>
    <t>Construction machines</t>
  </si>
  <si>
    <t>Machines pour bâtir</t>
  </si>
  <si>
    <t>102629</t>
  </si>
  <si>
    <t>Concrete mixers</t>
  </si>
  <si>
    <t>Bétonnières</t>
  </si>
  <si>
    <t>Mélangeurs de béton</t>
  </si>
  <si>
    <t>102630</t>
  </si>
  <si>
    <t>Bulldozers</t>
  </si>
  <si>
    <t>Bouldozeurs</t>
  </si>
  <si>
    <t>102631</t>
  </si>
  <si>
    <t>Dredgers</t>
  </si>
  <si>
    <t>Dragues</t>
  </si>
  <si>
    <t>102632</t>
  </si>
  <si>
    <t>Excavators</t>
  </si>
  <si>
    <t>Excavatrices</t>
  </si>
  <si>
    <t>102633</t>
  </si>
  <si>
    <t>Civil engineering machines</t>
  </si>
  <si>
    <t>Machines utilisées en génie civil</t>
  </si>
  <si>
    <t>102634</t>
  </si>
  <si>
    <t>Tar spraying machines</t>
  </si>
  <si>
    <t>Goudronneuses</t>
  </si>
  <si>
    <t>102635</t>
  </si>
  <si>
    <t>Mixing machines [construction]</t>
  </si>
  <si>
    <t>Malaxeurs [construction]</t>
  </si>
  <si>
    <t>102636</t>
  </si>
  <si>
    <t>Pile driver rams</t>
  </si>
  <si>
    <t>Moutons [machines de construction]</t>
  </si>
  <si>
    <t>102637</t>
  </si>
  <si>
    <t>Shovels, mechanical</t>
  </si>
  <si>
    <t>Pelles mécaniques</t>
  </si>
  <si>
    <t>102638</t>
  </si>
  <si>
    <t>Drilling machines [construction]</t>
  </si>
  <si>
    <t>Perforatrices [construction]</t>
  </si>
  <si>
    <t>102639</t>
  </si>
  <si>
    <t>Vibrators [construction]</t>
  </si>
  <si>
    <t>Vibrateurs [construction]</t>
  </si>
  <si>
    <t>102640</t>
  </si>
  <si>
    <t>Road making machines</t>
  </si>
  <si>
    <t>Machines pour la construction des routes</t>
  </si>
  <si>
    <t>102641</t>
  </si>
  <si>
    <t>Excavator buckets</t>
  </si>
  <si>
    <t>Godets d'excavatrices</t>
  </si>
  <si>
    <t>102642</t>
  </si>
  <si>
    <t>Dredger buckets</t>
  </si>
  <si>
    <t>Godets de dragues</t>
  </si>
  <si>
    <t>102643</t>
  </si>
  <si>
    <t>Road rollers [motor driven]</t>
  </si>
  <si>
    <t>Rouleaux compresseurs [à moteur]</t>
  </si>
  <si>
    <t>102789</t>
  </si>
  <si>
    <t>Crushers</t>
  </si>
  <si>
    <t>Concasseurs</t>
  </si>
  <si>
    <t>102784</t>
  </si>
  <si>
    <t>Ore crushers</t>
  </si>
  <si>
    <t>Bocards</t>
  </si>
  <si>
    <t>102811</t>
  </si>
  <si>
    <t>Ore separators</t>
  </si>
  <si>
    <t>Séparateurs de minerais</t>
  </si>
  <si>
    <t>Trieurs de minerais</t>
  </si>
  <si>
    <t>102812</t>
  </si>
  <si>
    <t>Rock drills</t>
  </si>
  <si>
    <t>Trépans de forage</t>
  </si>
  <si>
    <t>102796</t>
  </si>
  <si>
    <t>Winding machines [mining]</t>
  </si>
  <si>
    <t>Machines d'extraction [mines]</t>
  </si>
  <si>
    <t>102803</t>
  </si>
  <si>
    <t>Apparatus for boring the ground</t>
  </si>
  <si>
    <t>Appareils de sondage du sol</t>
  </si>
  <si>
    <t>102797</t>
  </si>
  <si>
    <t>Rock drills [machines]</t>
  </si>
  <si>
    <t>Perforatrices [forets pour roche]</t>
  </si>
  <si>
    <t>Forets pour roche [perforatrices]</t>
  </si>
  <si>
    <t>15-05</t>
  </si>
  <si>
    <t>102644</t>
  </si>
  <si>
    <t>WASHING, CLEANING AND DRYING MACHINES</t>
  </si>
  <si>
    <t>Drying cabinets</t>
  </si>
  <si>
    <t>Armoires de séchage</t>
  </si>
  <si>
    <t>102645</t>
  </si>
  <si>
    <t>Vacuum cleaners [industry or household]</t>
  </si>
  <si>
    <t>Aspirateurs de poussière [industrie ou ménage]</t>
  </si>
  <si>
    <t>102646</t>
  </si>
  <si>
    <t>Carpet beating vacuum cleaners</t>
  </si>
  <si>
    <t>Aspirateurs-batteurs</t>
  </si>
  <si>
    <t>102647</t>
  </si>
  <si>
    <t>Washing installations for motor cars</t>
  </si>
  <si>
    <t>Installations à laver les automobiles</t>
  </si>
  <si>
    <t>102648</t>
  </si>
  <si>
    <t>Laundry apparatus</t>
  </si>
  <si>
    <t>Appareils de blanchisserie</t>
  </si>
  <si>
    <t>102649</t>
  </si>
  <si>
    <t>Brushing machines for shoes</t>
  </si>
  <si>
    <t>Machines à brosser les chaussures</t>
  </si>
  <si>
    <t>102650</t>
  </si>
  <si>
    <t>Mangles</t>
  </si>
  <si>
    <t>Calandres à linge</t>
  </si>
  <si>
    <t>102651</t>
  </si>
  <si>
    <t>Floor polishers, electric</t>
  </si>
  <si>
    <t>Cireuses à parquets électriques</t>
  </si>
  <si>
    <t>102652</t>
  </si>
  <si>
    <t>Dish racks for dishwashers [machines]</t>
  </si>
  <si>
    <t>Corbeilles de machines à laver la vaisselle</t>
  </si>
  <si>
    <t>102653</t>
  </si>
  <si>
    <t>Sewer cleaning machines</t>
  </si>
  <si>
    <t>Machines pour le nettoyage des égouts</t>
  </si>
  <si>
    <t>102654</t>
  </si>
  <si>
    <t>Drying machines for laundry purposes</t>
  </si>
  <si>
    <t>Essoreuses à linge</t>
  </si>
  <si>
    <t>102655</t>
  </si>
  <si>
    <t>Dishwashers [machines]</t>
  </si>
  <si>
    <t>Lave-vaisselle [machines]</t>
  </si>
  <si>
    <t>Machines à laver la vaisselle</t>
  </si>
  <si>
    <t>102656</t>
  </si>
  <si>
    <t>Washing machines</t>
  </si>
  <si>
    <t>Machines à laver</t>
  </si>
  <si>
    <t>102657</t>
  </si>
  <si>
    <t>Washing machines for laundry purposes</t>
  </si>
  <si>
    <t>Machines pour la lessive</t>
  </si>
  <si>
    <t>102658</t>
  </si>
  <si>
    <t>Shoe cleaning machines</t>
  </si>
  <si>
    <t>Machines pour le nettoyage des souliers</t>
  </si>
  <si>
    <t>102659</t>
  </si>
  <si>
    <t>Floor cleaning machines</t>
  </si>
  <si>
    <t>Machines pour le nettoyage des sols</t>
  </si>
  <si>
    <t>Machines for cleaning floors</t>
  </si>
  <si>
    <t>Machines pour le nettoyage des planchers</t>
  </si>
  <si>
    <t>102660</t>
  </si>
  <si>
    <t>Ironing machines</t>
  </si>
  <si>
    <t>Repasseuses [machines]</t>
  </si>
  <si>
    <t>Machines pour le repassage</t>
  </si>
  <si>
    <t>102661</t>
  </si>
  <si>
    <t>Bottle washing machines</t>
  </si>
  <si>
    <t>Machines à rincer les bouteilles</t>
  </si>
  <si>
    <t>102662</t>
  </si>
  <si>
    <t>Rinsing machines for barrels</t>
  </si>
  <si>
    <t>Rinceuses de tonneaux</t>
  </si>
  <si>
    <t>102663</t>
  </si>
  <si>
    <t>Drying machines</t>
  </si>
  <si>
    <t>Machines de séchage</t>
  </si>
  <si>
    <t>102664</t>
  </si>
  <si>
    <t>Transparent doors for washing machines</t>
  </si>
  <si>
    <t>Hublots de machines à laver</t>
  </si>
  <si>
    <t>102665</t>
  </si>
  <si>
    <t>Boot and shoe polishing machines</t>
  </si>
  <si>
    <t>Machines à cirer les chaussures</t>
  </si>
  <si>
    <t>102666</t>
  </si>
  <si>
    <t>Centrifugal drying machines</t>
  </si>
  <si>
    <t>Essoreuses centrifuges</t>
  </si>
  <si>
    <t>102667</t>
  </si>
  <si>
    <t>Filling indicators for vacuum cleaners</t>
  </si>
  <si>
    <t>Indicateurs de remplissage pour aspirateurs</t>
  </si>
  <si>
    <t>102668</t>
  </si>
  <si>
    <t>Machines for washing drinking glasses</t>
  </si>
  <si>
    <t>Machines pour le nettoyage des verres à boire</t>
  </si>
  <si>
    <t>102669</t>
  </si>
  <si>
    <t>Clothes driers [machines]</t>
  </si>
  <si>
    <t>Sèche-linge</t>
  </si>
  <si>
    <t>102670</t>
  </si>
  <si>
    <t>High-pressure cleaners</t>
  </si>
  <si>
    <t>Nettoyeurs à haute pression</t>
  </si>
  <si>
    <t>102671</t>
  </si>
  <si>
    <t>Carpet shampooers</t>
  </si>
  <si>
    <t>Shampouineuses</t>
  </si>
  <si>
    <t>102672</t>
  </si>
  <si>
    <t>Water suction apparatus</t>
  </si>
  <si>
    <t>Aspirateurs d'eau</t>
  </si>
  <si>
    <t>102673</t>
  </si>
  <si>
    <t>Automatic swimming pool cleaners</t>
  </si>
  <si>
    <t>Robots aspirateurs pour piscines</t>
  </si>
  <si>
    <t>Automatic cleaners for swimming pools</t>
  </si>
  <si>
    <t>102674</t>
  </si>
  <si>
    <t>Cleaner heads [including brushes]</t>
  </si>
  <si>
    <t>Embouts d'aspirateurs [y compris les brosses]</t>
  </si>
  <si>
    <t>104779</t>
  </si>
  <si>
    <t>Steam mops</t>
  </si>
  <si>
    <t>Balais vapeur</t>
  </si>
  <si>
    <t>104780</t>
  </si>
  <si>
    <t>Sweeping machines for chimneys</t>
  </si>
  <si>
    <t>Machines de ramonage pour cheminées</t>
  </si>
  <si>
    <t>104885</t>
  </si>
  <si>
    <t>Robotic vacuum cleaners</t>
  </si>
  <si>
    <t>Aspirateurs de poussière robotisés</t>
  </si>
  <si>
    <t>104995</t>
  </si>
  <si>
    <t>Sterilizing cabinets [except for medical purposes]</t>
  </si>
  <si>
    <t>Armoires de stérilisation [autres qu'à usage médical]</t>
  </si>
  <si>
    <t>104996</t>
  </si>
  <si>
    <t>Cabinets for cleaning and freshening clothing</t>
  </si>
  <si>
    <t>Cabines pour le nettoyage et le rafraîchissement des vêtements</t>
  </si>
  <si>
    <t>104997</t>
  </si>
  <si>
    <t>Ultrasonic washing devices [portable]</t>
  </si>
  <si>
    <t>Machines à laver à ultrasons [portatives]</t>
  </si>
  <si>
    <t>104998</t>
  </si>
  <si>
    <t>Dust mite vacuum cleaners</t>
  </si>
  <si>
    <t>Aspirateurs anti-acariens</t>
  </si>
  <si>
    <t>105092</t>
  </si>
  <si>
    <t>Leaf blowers</t>
  </si>
  <si>
    <t>Souffleurs de feuilles</t>
  </si>
  <si>
    <t>105101</t>
  </si>
  <si>
    <t>Robots for window cleaning</t>
  </si>
  <si>
    <t>Robots pour le nettoyage des vitres</t>
  </si>
  <si>
    <t>15-06</t>
  </si>
  <si>
    <t>102675</t>
  </si>
  <si>
    <t>TEXTILE, SEWING, KNITTING AND EMBROIDERING MACHINES, INCLUDING THEIR INTEGRAL PARTS</t>
  </si>
  <si>
    <t>Fabric stretching frames</t>
  </si>
  <si>
    <t>Bancs d'étirage pour tissus</t>
  </si>
  <si>
    <t>102676</t>
  </si>
  <si>
    <t>Bobbins [spinning]</t>
  </si>
  <si>
    <t>Bobines [filature]</t>
  </si>
  <si>
    <t>102677</t>
  </si>
  <si>
    <t>Buttonholing machines</t>
  </si>
  <si>
    <t>Machines à faire les boutonnières</t>
  </si>
  <si>
    <t>102678</t>
  </si>
  <si>
    <t>Spindles</t>
  </si>
  <si>
    <t>Broches de filature</t>
  </si>
  <si>
    <t>102679</t>
  </si>
  <si>
    <t>Shuttle pins</t>
  </si>
  <si>
    <t>Broches de navettes</t>
  </si>
  <si>
    <t>102680</t>
  </si>
  <si>
    <t>Embroidery machines</t>
  </si>
  <si>
    <t>Machines à broder</t>
  </si>
  <si>
    <t>102681</t>
  </si>
  <si>
    <t>Roll calenders [textile]</t>
  </si>
  <si>
    <t>Calandres à rouleaux pour l'industrie textile</t>
  </si>
  <si>
    <t>102682</t>
  </si>
  <si>
    <t>Sewing machines</t>
  </si>
  <si>
    <t>Machines à coudre</t>
  </si>
  <si>
    <t>102683</t>
  </si>
  <si>
    <t>Unwinding machines</t>
  </si>
  <si>
    <t>Machines pour le dévidage</t>
  </si>
  <si>
    <t>102684</t>
  </si>
  <si>
    <t>Reels for textile machines</t>
  </si>
  <si>
    <t>Dévidoirs pour machines textiles</t>
  </si>
  <si>
    <t>102685</t>
  </si>
  <si>
    <t>Cutting machines for textiles</t>
  </si>
  <si>
    <t>Machines à couper le textile</t>
  </si>
  <si>
    <t>102686</t>
  </si>
  <si>
    <t>Cotton gins</t>
  </si>
  <si>
    <t>Égreneuses de coton</t>
  </si>
  <si>
    <t>102687</t>
  </si>
  <si>
    <t>Spinning machines</t>
  </si>
  <si>
    <t>Machines de filature</t>
  </si>
  <si>
    <t>102688</t>
  </si>
  <si>
    <t>Thread humidifiers [spinning]</t>
  </si>
  <si>
    <t>Humidificateurs des fils [filatures]</t>
  </si>
  <si>
    <t>102689</t>
  </si>
  <si>
    <t>Twisting mills</t>
  </si>
  <si>
    <t>Métiers à retordre</t>
  </si>
  <si>
    <t>102690</t>
  </si>
  <si>
    <t>Weaving looms</t>
  </si>
  <si>
    <t>Métiers à tisser</t>
  </si>
  <si>
    <t>102691</t>
  </si>
  <si>
    <t>Knitting looms</t>
  </si>
  <si>
    <t>Métiers à tricoter</t>
  </si>
  <si>
    <t>102692</t>
  </si>
  <si>
    <t>Looms for tulle and lace</t>
  </si>
  <si>
    <t>Métiers pour tulles et dentelles</t>
  </si>
  <si>
    <t>102693</t>
  </si>
  <si>
    <t>Warping machines</t>
  </si>
  <si>
    <t>Ourdissoirs</t>
  </si>
  <si>
    <t>102694</t>
  </si>
  <si>
    <t>Hemming machines</t>
  </si>
  <si>
    <t>Machines à ourler</t>
  </si>
  <si>
    <t>102695</t>
  </si>
  <si>
    <t>Combs [weaving]</t>
  </si>
  <si>
    <t>Peignes [tissage]</t>
  </si>
  <si>
    <t>102696</t>
  </si>
  <si>
    <t>Balling machines</t>
  </si>
  <si>
    <t>Peloteuses</t>
  </si>
  <si>
    <t>102697</t>
  </si>
  <si>
    <t>Darning machines</t>
  </si>
  <si>
    <t>Machines à repriser</t>
  </si>
  <si>
    <t>102698</t>
  </si>
  <si>
    <t>Spinning wheels</t>
  </si>
  <si>
    <t>Rouets</t>
  </si>
  <si>
    <t>102699</t>
  </si>
  <si>
    <t>Weaving machinery</t>
  </si>
  <si>
    <t>Machines à tisser</t>
  </si>
  <si>
    <t>102700</t>
  </si>
  <si>
    <t>Braiding machines [textile]</t>
  </si>
  <si>
    <t>Tresseuses [machines textiles]</t>
  </si>
  <si>
    <t>102701</t>
  </si>
  <si>
    <t>Knitting machines</t>
  </si>
  <si>
    <t>Machines à tricoter</t>
  </si>
  <si>
    <t>102702</t>
  </si>
  <si>
    <t>Hosiery looms</t>
  </si>
  <si>
    <t>Métiers à bonneterie</t>
  </si>
  <si>
    <t>102703</t>
  </si>
  <si>
    <t>Embroidery frames</t>
  </si>
  <si>
    <t>Métiers à broder</t>
  </si>
  <si>
    <t>102704</t>
  </si>
  <si>
    <t>Spinning frames</t>
  </si>
  <si>
    <t>Métiers à filer</t>
  </si>
  <si>
    <t>102705</t>
  </si>
  <si>
    <t>Sewing machine tables</t>
  </si>
  <si>
    <t>Tables de machines à coudre</t>
  </si>
  <si>
    <t>102706</t>
  </si>
  <si>
    <t>Shuttles for sewing machines</t>
  </si>
  <si>
    <t>Navettes pour machines à coudre</t>
  </si>
  <si>
    <t>102707</t>
  </si>
  <si>
    <t>Shuttles [battens] for looms</t>
  </si>
  <si>
    <t>Navettes pour métiers à tisser</t>
  </si>
  <si>
    <t>Shuttles for looms [battens]</t>
  </si>
  <si>
    <t>102708</t>
  </si>
  <si>
    <t>Heddles</t>
  </si>
  <si>
    <t>Lisses</t>
  </si>
  <si>
    <t>102709</t>
  </si>
  <si>
    <t>Bobbins for sewing machines</t>
  </si>
  <si>
    <t>Canettes pour machines à coudre</t>
  </si>
  <si>
    <t>102710</t>
  </si>
  <si>
    <t>Pedals [treadles] for sewing machines</t>
  </si>
  <si>
    <t>Pédales pour machines à coudre</t>
  </si>
  <si>
    <t>Pedals for sewing machines [treadles]</t>
  </si>
  <si>
    <t>104587</t>
  </si>
  <si>
    <t>Carding machines</t>
  </si>
  <si>
    <t>Cardeuses</t>
  </si>
  <si>
    <t>104640</t>
  </si>
  <si>
    <t>Pedals [treadles] for looms</t>
  </si>
  <si>
    <t>Pédales pour métiers à tisser</t>
  </si>
  <si>
    <t>104670</t>
  </si>
  <si>
    <t>Thread separators for looms</t>
  </si>
  <si>
    <t>Séparateurs de fils pour métiers à tisser</t>
  </si>
  <si>
    <t>15-07</t>
  </si>
  <si>
    <t>102711</t>
  </si>
  <si>
    <t>REFRIGERATION MACHINERY AND APPARATUS</t>
  </si>
  <si>
    <t>Refrigerators</t>
  </si>
  <si>
    <t>Réfrigérateurs</t>
  </si>
  <si>
    <t>102712</t>
  </si>
  <si>
    <t>Refrigerated sales counters</t>
  </si>
  <si>
    <t>Comptoirs de vente réfrigérés</t>
  </si>
  <si>
    <t>102713</t>
  </si>
  <si>
    <t>Refrigerating apparatus</t>
  </si>
  <si>
    <t>Appareils frigorifiques</t>
  </si>
  <si>
    <t>102714</t>
  </si>
  <si>
    <t>Ice machines and apparatus</t>
  </si>
  <si>
    <t>Machines et appareils à glace</t>
  </si>
  <si>
    <t>102715</t>
  </si>
  <si>
    <t>Refrigerator doors</t>
  </si>
  <si>
    <t>Portes de réfrigérateurs</t>
  </si>
  <si>
    <t>102716</t>
  </si>
  <si>
    <t>Freezers</t>
  </si>
  <si>
    <t>Congélateurs</t>
  </si>
  <si>
    <t>104999</t>
  </si>
  <si>
    <t>Refrigerated showcases</t>
  </si>
  <si>
    <t>Vitrines réfrigérées</t>
  </si>
  <si>
    <t>15-08</t>
  </si>
  <si>
    <t>15-09</t>
  </si>
  <si>
    <t>102717</t>
  </si>
  <si>
    <t>MACHINE TOOLS, ABRADING AND FOUNDING MACHINERY</t>
  </si>
  <si>
    <t>Abrading machines</t>
  </si>
  <si>
    <t>Machines à abraser</t>
  </si>
  <si>
    <t>102718</t>
  </si>
  <si>
    <t>Sharpening machines</t>
  </si>
  <si>
    <t>Affûteuses [machines]</t>
  </si>
  <si>
    <t>102719</t>
  </si>
  <si>
    <t>Coolers for foundries</t>
  </si>
  <si>
    <t>Bacs refroidisseurs pour fonderie</t>
  </si>
  <si>
    <t>102720</t>
  </si>
  <si>
    <t>Grinding and crushing machines for industry</t>
  </si>
  <si>
    <t>Broyeurs pour l'industrie</t>
  </si>
  <si>
    <t>102721</t>
  </si>
  <si>
    <t>Calenders for paper manufacture</t>
  </si>
  <si>
    <t>Calandres pour l'industrie du papier</t>
  </si>
  <si>
    <t>102722</t>
  </si>
  <si>
    <t>Machines for boring, drilling, grooving rifle barrels</t>
  </si>
  <si>
    <t>Machines à percer ou à rayer les canons de fusils</t>
  </si>
  <si>
    <t>102723</t>
  </si>
  <si>
    <t>Chamfering machines</t>
  </si>
  <si>
    <t>Machines à chanfreiner</t>
  </si>
  <si>
    <t>102724</t>
  </si>
  <si>
    <t>Casting carriages</t>
  </si>
  <si>
    <t>Chariots de coulée [fonderie]</t>
  </si>
  <si>
    <t>102725</t>
  </si>
  <si>
    <t>Bending machines</t>
  </si>
  <si>
    <t>Machines à cintrer</t>
  </si>
  <si>
    <t>102726</t>
  </si>
  <si>
    <t>Pipe benders</t>
  </si>
  <si>
    <t>Cintreuses pour tubes</t>
  </si>
  <si>
    <t>102727</t>
  </si>
  <si>
    <t>Machines for cutting out</t>
  </si>
  <si>
    <t>Machines pour le découpage</t>
  </si>
  <si>
    <t>102728</t>
  </si>
  <si>
    <t>Edging machines for leather</t>
  </si>
  <si>
    <t>Machines à doler le cuir</t>
  </si>
  <si>
    <t>102729</t>
  </si>
  <si>
    <t>Embossing machines</t>
  </si>
  <si>
    <t>Machines pour l'emboutissage</t>
  </si>
  <si>
    <t>102730</t>
  </si>
  <si>
    <t>Machines for stamping metals</t>
  </si>
  <si>
    <t>Machines pour l'estampage des métaux</t>
  </si>
  <si>
    <t>102731</t>
  </si>
  <si>
    <t>Cold working machines for metals</t>
  </si>
  <si>
    <t>Machines à façonner les métaux à froid</t>
  </si>
  <si>
    <t>102732</t>
  </si>
  <si>
    <t>Milling machines, fixed</t>
  </si>
  <si>
    <t>Machines fixes à fraiser</t>
  </si>
  <si>
    <t>102733</t>
  </si>
  <si>
    <t>Boring machines [except for rock]</t>
  </si>
  <si>
    <t>Aléseuses [machines]</t>
  </si>
  <si>
    <t>Machines à percer [autres que pour les roches]</t>
  </si>
  <si>
    <t>102734</t>
  </si>
  <si>
    <t>Apparatus for loading blast furnaces</t>
  </si>
  <si>
    <t>Appareils pour le chargement des hauts fourneaux</t>
  </si>
  <si>
    <t>102735</t>
  </si>
  <si>
    <t>Filing machines</t>
  </si>
  <si>
    <t>Machines à limer</t>
  </si>
  <si>
    <t>102736</t>
  </si>
  <si>
    <t>Machine tools for woodworking and metalworking</t>
  </si>
  <si>
    <t>Machines-outils pour le travail du bois et des métaux</t>
  </si>
  <si>
    <t>102737</t>
  </si>
  <si>
    <t>Power hammers</t>
  </si>
  <si>
    <t>Marteaux-pilons</t>
  </si>
  <si>
    <t>102738</t>
  </si>
  <si>
    <t>Electroplating equipment</t>
  </si>
  <si>
    <t>Dispositifs pour la métallisation par électrolyse</t>
  </si>
  <si>
    <t>102739</t>
  </si>
  <si>
    <t>Millstones</t>
  </si>
  <si>
    <t>Meules de moulins</t>
  </si>
  <si>
    <t>102740</t>
  </si>
  <si>
    <t>Slotting machines</t>
  </si>
  <si>
    <t>Mortaiseuses</t>
  </si>
  <si>
    <t>102741</t>
  </si>
  <si>
    <t>Casting machines</t>
  </si>
  <si>
    <t>Machines à mouler</t>
  </si>
  <si>
    <t>102742</t>
  </si>
  <si>
    <t>Eyelet fixing machines</t>
  </si>
  <si>
    <t>Machines à fixer les œillets</t>
  </si>
  <si>
    <t>102743</t>
  </si>
  <si>
    <t>Stone sawing or cutting machines</t>
  </si>
  <si>
    <t>Machines à scier ou tailler la pierre</t>
  </si>
  <si>
    <t>102744</t>
  </si>
  <si>
    <t>Planishing machines [machine tools]</t>
  </si>
  <si>
    <t>Planeuses [machines-outils]</t>
  </si>
  <si>
    <t>102745</t>
  </si>
  <si>
    <t>Punching machines [industry]</t>
  </si>
  <si>
    <t>Poinçonneuses pour l'industrie</t>
  </si>
  <si>
    <t>102746</t>
  </si>
  <si>
    <t>Polishing machines for metal</t>
  </si>
  <si>
    <t>Machines à polir les métaux</t>
  </si>
  <si>
    <t>102747</t>
  </si>
  <si>
    <t>Sanding machines</t>
  </si>
  <si>
    <t>Ponceuses</t>
  </si>
  <si>
    <t>102748</t>
  </si>
  <si>
    <t>Tailstocks for lathes</t>
  </si>
  <si>
    <t>Poupées mobiles de tours</t>
  </si>
  <si>
    <t>102749</t>
  </si>
  <si>
    <t>Presses for fuel briquettes</t>
  </si>
  <si>
    <t>Presses à briquettes combustibles</t>
  </si>
  <si>
    <t>102750</t>
  </si>
  <si>
    <t>Bending brakes</t>
  </si>
  <si>
    <t>Presses plieuses</t>
  </si>
  <si>
    <t>102751</t>
  </si>
  <si>
    <t>Planing machines</t>
  </si>
  <si>
    <t>Raboteuses</t>
  </si>
  <si>
    <t>102752</t>
  </si>
  <si>
    <t>Riveting machines</t>
  </si>
  <si>
    <t>Riveuses</t>
  </si>
  <si>
    <t>102753</t>
  </si>
  <si>
    <t>Welding apparatus for thermoplastic materials</t>
  </si>
  <si>
    <t>Appareils à souder les matières thermoplastiques</t>
  </si>
  <si>
    <t>102754</t>
  </si>
  <si>
    <t>Sawing machines, fixed</t>
  </si>
  <si>
    <t>Machines à scier, fixes</t>
  </si>
  <si>
    <t>102755</t>
  </si>
  <si>
    <t>Band saws</t>
  </si>
  <si>
    <t>Scies à ruban</t>
  </si>
  <si>
    <t>102756</t>
  </si>
  <si>
    <t>Welding machines</t>
  </si>
  <si>
    <t>Machines à souder</t>
  </si>
  <si>
    <t>102757</t>
  </si>
  <si>
    <t>Sandblast machines</t>
  </si>
  <si>
    <t>Souffleuses de sable</t>
  </si>
  <si>
    <t>102758</t>
  </si>
  <si>
    <t>Tapping machines</t>
  </si>
  <si>
    <t>Taraudeuses</t>
  </si>
  <si>
    <t>102759</t>
  </si>
  <si>
    <t>Spindle moulding machines</t>
  </si>
  <si>
    <t>Toupies [machines]</t>
  </si>
  <si>
    <t>Spindle molding machines</t>
  </si>
  <si>
    <t>102760</t>
  </si>
  <si>
    <t>Lathes [machine tools]</t>
  </si>
  <si>
    <t>Tours [machines-outils]</t>
  </si>
  <si>
    <t>102761</t>
  </si>
  <si>
    <t>Opticians' lathes</t>
  </si>
  <si>
    <t>Tours d'opticien</t>
  </si>
  <si>
    <t>102762</t>
  </si>
  <si>
    <t>Potters' wheels</t>
  </si>
  <si>
    <t>Tours de potier</t>
  </si>
  <si>
    <t>102763</t>
  </si>
  <si>
    <t>Wire drawing machines</t>
  </si>
  <si>
    <t>Machines à tréfiler</t>
  </si>
  <si>
    <t>102764</t>
  </si>
  <si>
    <t>Screw-making machines</t>
  </si>
  <si>
    <t>Machines à fabriquer les vis</t>
  </si>
  <si>
    <t>102765</t>
  </si>
  <si>
    <t>Rolling presses for paper making</t>
  </si>
  <si>
    <t>Laminoirs de papeterie</t>
  </si>
  <si>
    <t>102766</t>
  </si>
  <si>
    <t>Rolling mills for metal</t>
  </si>
  <si>
    <t>Laminoirs pour métaux</t>
  </si>
  <si>
    <t>102767</t>
  </si>
  <si>
    <t>Draw plates for metal</t>
  </si>
  <si>
    <t>Filières pour étirer le métal</t>
  </si>
  <si>
    <t>102768</t>
  </si>
  <si>
    <t>Cork stopper making machines</t>
  </si>
  <si>
    <t>Machines à fabriquer les bouchons de liège</t>
  </si>
  <si>
    <t>102769</t>
  </si>
  <si>
    <t>Grinding machines for sharpening, trueing, adjusting</t>
  </si>
  <si>
    <t>Meules à affûter, dresser, repasser, rectifier [machines]</t>
  </si>
  <si>
    <t>102770</t>
  </si>
  <si>
    <t>Forging presses</t>
  </si>
  <si>
    <t>Presses à forger</t>
  </si>
  <si>
    <t>102771</t>
  </si>
  <si>
    <t>Presses, hydraulic</t>
  </si>
  <si>
    <t>Presses hydrauliques</t>
  </si>
  <si>
    <t>102772</t>
  </si>
  <si>
    <t>Control desks for machine tools</t>
  </si>
  <si>
    <t>Pupitres de commande de machines-outils</t>
  </si>
  <si>
    <t>102773</t>
  </si>
  <si>
    <t>Cask planing machines</t>
  </si>
  <si>
    <t>Machines à raboter les tonneaux</t>
  </si>
  <si>
    <t>102774</t>
  </si>
  <si>
    <t>Tile and brick moulding machines</t>
  </si>
  <si>
    <t>Machines à mouler les tuiles et les briques</t>
  </si>
  <si>
    <t>Brick and tile molding machines</t>
  </si>
  <si>
    <t>Brick and tile moulding machines</t>
  </si>
  <si>
    <t>Tile and brick molding machines</t>
  </si>
  <si>
    <t>102775</t>
  </si>
  <si>
    <t>Presses for moulding soap</t>
  </si>
  <si>
    <t>Presses à mouler le savon</t>
  </si>
  <si>
    <t>Presses for molding soap</t>
  </si>
  <si>
    <t>102776</t>
  </si>
  <si>
    <t>Mills for making cement</t>
  </si>
  <si>
    <t>Moulins pour fabriquer le ciment</t>
  </si>
  <si>
    <t>102777</t>
  </si>
  <si>
    <t>Moulds for concrete [construction]</t>
  </si>
  <si>
    <t>Moules à béton [construction]</t>
  </si>
  <si>
    <t>Molds for concrete [construction]</t>
  </si>
  <si>
    <t>102778</t>
  </si>
  <si>
    <t>Circular saws [machines]</t>
  </si>
  <si>
    <t>Scies circulaires [machines]</t>
  </si>
  <si>
    <t>102779</t>
  </si>
  <si>
    <t>Wood choppers [machines]</t>
  </si>
  <si>
    <t>Hache-bois [machines]</t>
  </si>
  <si>
    <t>102780</t>
  </si>
  <si>
    <t>Metalworking machines</t>
  </si>
  <si>
    <t>Machines pour l'usinage des métaux</t>
  </si>
  <si>
    <t>104781</t>
  </si>
  <si>
    <t>3D printers</t>
  </si>
  <si>
    <t>Imprimantes 3D</t>
  </si>
  <si>
    <t>105000</t>
  </si>
  <si>
    <t>Computer numerical control [CNC] machine tools</t>
  </si>
  <si>
    <t>Machines-outils à commande numérique [MOCN]</t>
  </si>
  <si>
    <t>105104</t>
  </si>
  <si>
    <t>Injection moulding machines</t>
  </si>
  <si>
    <t>Machines de moulage par injection</t>
  </si>
  <si>
    <t>Injection molding machines</t>
  </si>
  <si>
    <t>15-10</t>
  </si>
  <si>
    <t>102793</t>
  </si>
  <si>
    <t>Machinery for filling, packing or packaging</t>
  </si>
  <si>
    <t>Packing machines</t>
  </si>
  <si>
    <t>Machines pour l'empaquetage</t>
  </si>
  <si>
    <t>102794</t>
  </si>
  <si>
    <t>Machines for filling bags or sacks</t>
  </si>
  <si>
    <t>Ensacheuses</t>
  </si>
  <si>
    <t>102802</t>
  </si>
  <si>
    <t>Machines for weighing and filling bags</t>
  </si>
  <si>
    <t>Peseuses-ensacheuses</t>
  </si>
  <si>
    <t>102804</t>
  </si>
  <si>
    <t>Machines for filling bottles</t>
  </si>
  <si>
    <t>Machines à soutirer</t>
  </si>
  <si>
    <t>102805</t>
  </si>
  <si>
    <t>Bottle capping machines</t>
  </si>
  <si>
    <t>Machines à capsuler les bouteilles</t>
  </si>
  <si>
    <t>102785</t>
  </si>
  <si>
    <t>Corking machines</t>
  </si>
  <si>
    <t>Machines à boucher les bouteilles</t>
  </si>
  <si>
    <t>15-99</t>
  </si>
  <si>
    <t>102782</t>
  </si>
  <si>
    <t>Stapling machines</t>
  </si>
  <si>
    <t>Machines de fixation d'agrafes</t>
  </si>
  <si>
    <t>102783</t>
  </si>
  <si>
    <t>Jigs for repairing vehicle bodies</t>
  </si>
  <si>
    <t>Bancs de redressage pour carrosseries de véhicules</t>
  </si>
  <si>
    <t>102786</t>
  </si>
  <si>
    <t>Gear levers for machinery</t>
  </si>
  <si>
    <t>Leviers de changement de vitesse pour machines</t>
  </si>
  <si>
    <t>102787</t>
  </si>
  <si>
    <t>Machines for making cigarettes</t>
  </si>
  <si>
    <t>Machines à fabriquer les cigarettes</t>
  </si>
  <si>
    <t>102788</t>
  </si>
  <si>
    <t>Nailing machines</t>
  </si>
  <si>
    <t>Machines à clouer</t>
  </si>
  <si>
    <t>102790</t>
  </si>
  <si>
    <t>Belting machines</t>
  </si>
  <si>
    <t>Machines à fabriquer les courroies</t>
  </si>
  <si>
    <t>102791</t>
  </si>
  <si>
    <t>Driving belts [for machines]</t>
  </si>
  <si>
    <t>Courroies de transmission pour machines</t>
  </si>
  <si>
    <t>102792</t>
  </si>
  <si>
    <t>Vulcanizing boilers</t>
  </si>
  <si>
    <t>Cuiseurs pour la vulcanisation</t>
  </si>
  <si>
    <t>102795</t>
  </si>
  <si>
    <t>Balancing machines for vehicle wheels</t>
  </si>
  <si>
    <t>Machines pour l'équilibrage des roues de véhicules</t>
  </si>
  <si>
    <t>102798</t>
  </si>
  <si>
    <t>Mixers, industrial</t>
  </si>
  <si>
    <t>Malaxeurs industriels</t>
  </si>
  <si>
    <t>102799</t>
  </si>
  <si>
    <t>Machines for mechanical handling of radioactive material</t>
  </si>
  <si>
    <t>Machines pour la manutention mécanique de matières radioactives</t>
  </si>
  <si>
    <t>102800</t>
  </si>
  <si>
    <t>Tobacco mixing and sifting machines</t>
  </si>
  <si>
    <t>Machines à mélanger et tamiser le tabac</t>
  </si>
  <si>
    <t>102801</t>
  </si>
  <si>
    <t>Tyre fitting machines</t>
  </si>
  <si>
    <t>Machines pour le montage de pneus</t>
  </si>
  <si>
    <t>102806</t>
  </si>
  <si>
    <t>Lasts for shoemaking [machine parts]</t>
  </si>
  <si>
    <t>Formes pour la fabrication de chaussures [parties de machines]</t>
  </si>
  <si>
    <t>102807</t>
  </si>
  <si>
    <t>Frames for making mattresses</t>
  </si>
  <si>
    <t>Métiers à monter les matelas</t>
  </si>
  <si>
    <t>102808</t>
  </si>
  <si>
    <t>Ball bearings</t>
  </si>
  <si>
    <t>Roulements à billes</t>
  </si>
  <si>
    <t>102809</t>
  </si>
  <si>
    <t>Grease separators for waste water [machines]</t>
  </si>
  <si>
    <t>Séparateurs de graisse pour eaux usées [machines]</t>
  </si>
  <si>
    <t>102810</t>
  </si>
  <si>
    <t>Liquid and steam separators</t>
  </si>
  <si>
    <t>Séparateurs de liquides et de vapeurs</t>
  </si>
  <si>
    <t>102813</t>
  </si>
  <si>
    <t>Machines for skinning animals [except for use in the food industry]</t>
  </si>
  <si>
    <t>Machines à dépouiller les animaux [autres que pour l'industrie alimentaire]</t>
  </si>
  <si>
    <t>102815</t>
  </si>
  <si>
    <t>Wastepaper presses</t>
  </si>
  <si>
    <t>Presses à déchets de papier</t>
  </si>
  <si>
    <t>102816</t>
  </si>
  <si>
    <t>Winders</t>
  </si>
  <si>
    <t>Bobineuses</t>
  </si>
  <si>
    <t>102817</t>
  </si>
  <si>
    <t>Snow guns</t>
  </si>
  <si>
    <t>Canons à neige</t>
  </si>
  <si>
    <t>104782</t>
  </si>
  <si>
    <t>Indoor cultivation apparatus</t>
  </si>
  <si>
    <t>Appareils de culture d'intérieur</t>
  </si>
  <si>
    <t>104783</t>
  </si>
  <si>
    <t>Industrial robots</t>
  </si>
  <si>
    <t>Robots industriels</t>
  </si>
  <si>
    <t>104784</t>
  </si>
  <si>
    <t>Robots for guiding people</t>
  </si>
  <si>
    <t>Robots pour le guidage d'individus</t>
  </si>
  <si>
    <t>104785</t>
  </si>
  <si>
    <t>Lacquering machines</t>
  </si>
  <si>
    <t>Vernisseuses</t>
  </si>
  <si>
    <t>104786</t>
  </si>
  <si>
    <t>Oil dampers for machines</t>
  </si>
  <si>
    <t>Amortisseurs à huile pour machines</t>
  </si>
  <si>
    <t>104787</t>
  </si>
  <si>
    <t>Crankshafts for machines</t>
  </si>
  <si>
    <t>Vilebrequins pour machines</t>
  </si>
  <si>
    <t>105001</t>
  </si>
  <si>
    <t>Linear actuators [machines]</t>
  </si>
  <si>
    <t>Actionneurs linéaires [machines]</t>
  </si>
  <si>
    <t>105002</t>
  </si>
  <si>
    <t>Fog machines</t>
  </si>
  <si>
    <t>Machines à brouillard</t>
  </si>
  <si>
    <t>105105</t>
  </si>
  <si>
    <t>Robots [other than those with a specific function]</t>
  </si>
  <si>
    <t>Robots [autres que ceux ayant une fonction spécifique]</t>
  </si>
  <si>
    <t>16</t>
  </si>
  <si>
    <t>16-01</t>
  </si>
  <si>
    <t>102818</t>
  </si>
  <si>
    <t>Aparatos fotográficos, cinematográficos y ópticos: Incluye equipos relacionados con la fotografía y óptica, excluyendo lámparas para fotografía o filmación.</t>
  </si>
  <si>
    <t>PHOTOGRAPHIC, CINEMATOGRAPHIC AND OPTICAL APPARATUS</t>
  </si>
  <si>
    <t>Not including lamps for photography or filming (Cl. 26-05).</t>
  </si>
  <si>
    <t>PHOTOGRAPHIC CAMERAS AND FILM CAMERAS</t>
  </si>
  <si>
    <t>Cinematographic cameras</t>
  </si>
  <si>
    <t>Caméras cinématographiques</t>
  </si>
  <si>
    <t>102819</t>
  </si>
  <si>
    <t>Diaphragms [photography]</t>
  </si>
  <si>
    <t>Diaphragmes [photographie]</t>
  </si>
  <si>
    <t>102820</t>
  </si>
  <si>
    <t>Filming apparatus</t>
  </si>
  <si>
    <t>Appareils pour filmer</t>
  </si>
  <si>
    <t>102821</t>
  </si>
  <si>
    <t>Photographic cameras</t>
  </si>
  <si>
    <t>Appareils photographiques</t>
  </si>
  <si>
    <t>102822</t>
  </si>
  <si>
    <t>Television cameras</t>
  </si>
  <si>
    <t>Caméras de télévision</t>
  </si>
  <si>
    <t>102823</t>
  </si>
  <si>
    <t>Shutters [photography]</t>
  </si>
  <si>
    <t>Obturateurs [photographie]</t>
  </si>
  <si>
    <t>102824</t>
  </si>
  <si>
    <t>Camcorders</t>
  </si>
  <si>
    <t>Caméscopes</t>
  </si>
  <si>
    <t>102826</t>
  </si>
  <si>
    <t>Surveillance cameras</t>
  </si>
  <si>
    <t>Caméras de surveillance</t>
  </si>
  <si>
    <t>102827</t>
  </si>
  <si>
    <t>Webcams</t>
  </si>
  <si>
    <t>Caméras Web</t>
  </si>
  <si>
    <t>Web (caméras)</t>
  </si>
  <si>
    <t>104788</t>
  </si>
  <si>
    <t>Dashboard cameras</t>
  </si>
  <si>
    <t>Caméras embarquées</t>
  </si>
  <si>
    <t>104886</t>
  </si>
  <si>
    <t>Thermal imaging cameras</t>
  </si>
  <si>
    <t>Caméras thermiques</t>
  </si>
  <si>
    <t>104887</t>
  </si>
  <si>
    <t>Photo booths</t>
  </si>
  <si>
    <t>Cabines photographiques</t>
  </si>
  <si>
    <t>16-02</t>
  </si>
  <si>
    <t>102828</t>
  </si>
  <si>
    <t>PROJECTORS AND VIEWERS</t>
  </si>
  <si>
    <t>Slide projectors</t>
  </si>
  <si>
    <t>Appareils de projection de diapositives</t>
  </si>
  <si>
    <t>Diapositive projection apparatus</t>
  </si>
  <si>
    <t>102829</t>
  </si>
  <si>
    <t>Film projectors</t>
  </si>
  <si>
    <t>Appareils de projection de films</t>
  </si>
  <si>
    <t>102830</t>
  </si>
  <si>
    <t>Viewers for films</t>
  </si>
  <si>
    <t>Visionneuses de films</t>
  </si>
  <si>
    <t>102831</t>
  </si>
  <si>
    <t>Viewers for slides</t>
  </si>
  <si>
    <t>Visionneuses de diapositives</t>
  </si>
  <si>
    <t>102832</t>
  </si>
  <si>
    <t>Overhead projectors</t>
  </si>
  <si>
    <t>Rétroprojecteurs</t>
  </si>
  <si>
    <t>105003</t>
  </si>
  <si>
    <t>Smart projectors</t>
  </si>
  <si>
    <t>Projecteurs intelligents</t>
  </si>
  <si>
    <t>16-03</t>
  </si>
  <si>
    <t>102833</t>
  </si>
  <si>
    <t>PHOTOCOPYING APPARATUS AND ENLARGERS</t>
  </si>
  <si>
    <t>Enlargers [photography]</t>
  </si>
  <si>
    <t>Agrandisseurs [photographie]</t>
  </si>
  <si>
    <t>102834</t>
  </si>
  <si>
    <t>Easels for photographic enlarging</t>
  </si>
  <si>
    <t>Chevalets d'agrandissement [photographie]</t>
  </si>
  <si>
    <t>102835</t>
  </si>
  <si>
    <t>Blueprint apparatus</t>
  </si>
  <si>
    <t>Appareils pour photocalques</t>
  </si>
  <si>
    <t>102836</t>
  </si>
  <si>
    <t>Microfilm reading apparatus</t>
  </si>
  <si>
    <t>Lecteurs de microfilms</t>
  </si>
  <si>
    <t>102838</t>
  </si>
  <si>
    <t>Microfilming apparatus</t>
  </si>
  <si>
    <t>Appareils à microfilmer</t>
  </si>
  <si>
    <t>102839</t>
  </si>
  <si>
    <t>Photocopying apparatus</t>
  </si>
  <si>
    <t>Appareils à photocopier</t>
  </si>
  <si>
    <t>102840</t>
  </si>
  <si>
    <t>Printers [photography]</t>
  </si>
  <si>
    <t>Tireuses [photographie]</t>
  </si>
  <si>
    <t>102841</t>
  </si>
  <si>
    <t>Toner cartridges for office copying apparatus</t>
  </si>
  <si>
    <t>Cartouches d'encre [toner] pour appareils à photocopier</t>
  </si>
  <si>
    <t>16-04</t>
  </si>
  <si>
    <t>102842</t>
  </si>
  <si>
    <t>DEVELOPING APPARATUS AND EQUIPMENT</t>
  </si>
  <si>
    <t>Film developing apparatus and implements</t>
  </si>
  <si>
    <t>Appareils et ustensiles pour le développement de films</t>
  </si>
  <si>
    <t>102843</t>
  </si>
  <si>
    <t>Developing equipment for photographic prints</t>
  </si>
  <si>
    <t>Appareils de développement pour épreuves photographiques</t>
  </si>
  <si>
    <t>102844</t>
  </si>
  <si>
    <t>Tanks for developing films</t>
  </si>
  <si>
    <t>Cuves pour le développement des films</t>
  </si>
  <si>
    <t>102845</t>
  </si>
  <si>
    <t>Developing baths [containers] for photography</t>
  </si>
  <si>
    <t>Cuvettes pour bains photographiques</t>
  </si>
  <si>
    <t>16-05</t>
  </si>
  <si>
    <t>102846</t>
  </si>
  <si>
    <t>ACCESSORIES</t>
  </si>
  <si>
    <t>Exposure meters</t>
  </si>
  <si>
    <t>Posemètres</t>
  </si>
  <si>
    <t>102847</t>
  </si>
  <si>
    <t>Photo reels</t>
  </si>
  <si>
    <t>Bobines pour pellicules photographiques</t>
  </si>
  <si>
    <t>102848</t>
  </si>
  <si>
    <t>Spools for film projectors</t>
  </si>
  <si>
    <t>Bobines pour projecteurs de films</t>
  </si>
  <si>
    <t>102849</t>
  </si>
  <si>
    <t>Printing masks [photography]</t>
  </si>
  <si>
    <t>Caches pour photographies</t>
  </si>
  <si>
    <t>102850</t>
  </si>
  <si>
    <t>Frames for transparencies [slides]</t>
  </si>
  <si>
    <t>Cadres de diapositives</t>
  </si>
  <si>
    <t>Slide frames [photography]</t>
  </si>
  <si>
    <t>102851</t>
  </si>
  <si>
    <t>Cardboard frames for photographs</t>
  </si>
  <si>
    <t>Cadres-fenêtres pour photographies</t>
  </si>
  <si>
    <t>102852</t>
  </si>
  <si>
    <t>Film cassettes</t>
  </si>
  <si>
    <t>Cassettes pour films</t>
  </si>
  <si>
    <t>102853</t>
  </si>
  <si>
    <t>Film loaders [photography]</t>
  </si>
  <si>
    <t>Chargeurs de films [photographie]</t>
  </si>
  <si>
    <t>102854</t>
  </si>
  <si>
    <t>Diapositive loaders</t>
  </si>
  <si>
    <t>Chargeurs de diapositives</t>
  </si>
  <si>
    <t>102855</t>
  </si>
  <si>
    <t>Holders for diapositives</t>
  </si>
  <si>
    <t>Classeurs pour diapositives</t>
  </si>
  <si>
    <t>102856</t>
  </si>
  <si>
    <t>Mounting corners for photographs</t>
  </si>
  <si>
    <t>Coins pour photographies</t>
  </si>
  <si>
    <t>102857</t>
  </si>
  <si>
    <t>Film splicers</t>
  </si>
  <si>
    <t>Colleuses pour films</t>
  </si>
  <si>
    <t>102858</t>
  </si>
  <si>
    <t>Remote controls [except wireless] for diapositive projectors</t>
  </si>
  <si>
    <t>Commandes à distance [autres que sans fil] pour projecteurs de diapositives</t>
  </si>
  <si>
    <t>Appareils de télécommande [autres que sans fil] pour projecteurs de diapositives</t>
  </si>
  <si>
    <t>102859</t>
  </si>
  <si>
    <t>Shutter releases [photography]</t>
  </si>
  <si>
    <t>Déclencheurs pour appareils photographiques</t>
  </si>
  <si>
    <t>102860</t>
  </si>
  <si>
    <t>Filters [photography]</t>
  </si>
  <si>
    <t>Filtres pour la photographie</t>
  </si>
  <si>
    <t>102861</t>
  </si>
  <si>
    <t>Flashlamps for photography</t>
  </si>
  <si>
    <t>Flashs [photographie]</t>
  </si>
  <si>
    <t>Flash apparatus [photography]</t>
  </si>
  <si>
    <t>Lampes-éclair pour prises de vues</t>
  </si>
  <si>
    <t>102862</t>
  </si>
  <si>
    <t>Photometers [photography]</t>
  </si>
  <si>
    <t>Photomètres [photographie]</t>
  </si>
  <si>
    <t>102863</t>
  </si>
  <si>
    <t>Stands for photographic or cinematographic cameras</t>
  </si>
  <si>
    <t>Pieds d'appareils photographiques ou cinématographiques</t>
  </si>
  <si>
    <t>102864</t>
  </si>
  <si>
    <t>Titlers for films</t>
  </si>
  <si>
    <t>Titreuses pour films</t>
  </si>
  <si>
    <t>102865</t>
  </si>
  <si>
    <t>Tripods for cameras [photography]</t>
  </si>
  <si>
    <t>Trépieds [photographie]</t>
  </si>
  <si>
    <t>102866</t>
  </si>
  <si>
    <t>Projection screens</t>
  </si>
  <si>
    <t>Écrans de projection</t>
  </si>
  <si>
    <t>102867</t>
  </si>
  <si>
    <t>Cassettes for microfilms</t>
  </si>
  <si>
    <t>Cassettes pour microfilms</t>
  </si>
  <si>
    <t>102868</t>
  </si>
  <si>
    <t>Exposure tables [photography]</t>
  </si>
  <si>
    <t>Tableaux des temps de pose</t>
  </si>
  <si>
    <t>102869</t>
  </si>
  <si>
    <t>Viewfinders [photography]</t>
  </si>
  <si>
    <t>Viseurs [photographie]</t>
  </si>
  <si>
    <t>102870</t>
  </si>
  <si>
    <t>Films</t>
  </si>
  <si>
    <t>Films [photographie]</t>
  </si>
  <si>
    <t>104573</t>
  </si>
  <si>
    <t>Ball heads for tripods [photography]</t>
  </si>
  <si>
    <t>Têtes de trépied à billes [photographie]</t>
  </si>
  <si>
    <t>104789</t>
  </si>
  <si>
    <t>Battery pack grips for photographic cameras</t>
  </si>
  <si>
    <t>Poignées d'alimentation pour appareils photographiques</t>
  </si>
  <si>
    <t>16-06</t>
  </si>
  <si>
    <t>102871</t>
  </si>
  <si>
    <t>OPTICAL ARTICLES</t>
  </si>
  <si>
    <t>Anti-dazzle spectacles</t>
  </si>
  <si>
    <t>Lunettes antiéblouissantes</t>
  </si>
  <si>
    <t>102872</t>
  </si>
  <si>
    <t>Bridges for spectacle frames</t>
  </si>
  <si>
    <t>Arcades de montures de lunettes</t>
  </si>
  <si>
    <t>102873</t>
  </si>
  <si>
    <t>Arms of spectacle frames</t>
  </si>
  <si>
    <t>Branches de montures de lunettes</t>
  </si>
  <si>
    <t>102874</t>
  </si>
  <si>
    <t>Hinges for spectacles</t>
  </si>
  <si>
    <t>Charnières de lunettes</t>
  </si>
  <si>
    <t>102875</t>
  </si>
  <si>
    <t>Binoculars</t>
  </si>
  <si>
    <t>Jumelles [optique]</t>
  </si>
  <si>
    <t>Field glasses</t>
  </si>
  <si>
    <t>102876</t>
  </si>
  <si>
    <t>Opera glasses</t>
  </si>
  <si>
    <t>Jumelles de théâtre</t>
  </si>
  <si>
    <t>102877</t>
  </si>
  <si>
    <t>Lenses, simple</t>
  </si>
  <si>
    <t>Lentilles [optique]</t>
  </si>
  <si>
    <t>102878</t>
  </si>
  <si>
    <t>Telescopes</t>
  </si>
  <si>
    <t>Télescopes</t>
  </si>
  <si>
    <t>Longues-vues</t>
  </si>
  <si>
    <t>102879</t>
  </si>
  <si>
    <t>Magnifying glasses</t>
  </si>
  <si>
    <t>Loupes [optique]</t>
  </si>
  <si>
    <t>102880</t>
  </si>
  <si>
    <t>Spectacles</t>
  </si>
  <si>
    <t>Lunettes [optique]</t>
  </si>
  <si>
    <t>102881</t>
  </si>
  <si>
    <t>Spyglasses</t>
  </si>
  <si>
    <t>Lunettes d'approche</t>
  </si>
  <si>
    <t>102882</t>
  </si>
  <si>
    <t>Goggles</t>
  </si>
  <si>
    <t>Lunettes de protection</t>
  </si>
  <si>
    <t>102883</t>
  </si>
  <si>
    <t>Telescopic sights for firearms</t>
  </si>
  <si>
    <t>Lunettes de visée pour armes à feu</t>
  </si>
  <si>
    <t>102884</t>
  </si>
  <si>
    <t>Microscopes</t>
  </si>
  <si>
    <t>102885</t>
  </si>
  <si>
    <t>Peepholes for doors</t>
  </si>
  <si>
    <t>Microviseurs de portes [judas]</t>
  </si>
  <si>
    <t>Judas-holes</t>
  </si>
  <si>
    <t>Judas</t>
  </si>
  <si>
    <t>Spy-holes for doors</t>
  </si>
  <si>
    <t>102886</t>
  </si>
  <si>
    <t>Monocles</t>
  </si>
  <si>
    <t>102887</t>
  </si>
  <si>
    <t>Combination of lenses</t>
  </si>
  <si>
    <t>Objectifs [optique]</t>
  </si>
  <si>
    <t>102889</t>
  </si>
  <si>
    <t>Periscopes</t>
  </si>
  <si>
    <t>Périscopes</t>
  </si>
  <si>
    <t>102890</t>
  </si>
  <si>
    <t>Pince-nez</t>
  </si>
  <si>
    <t>Lorgnettes</t>
  </si>
  <si>
    <t>Lorgnons</t>
  </si>
  <si>
    <t>102891</t>
  </si>
  <si>
    <t>Refractors</t>
  </si>
  <si>
    <t>Réfracteurs</t>
  </si>
  <si>
    <t>102892</t>
  </si>
  <si>
    <t>Stereoscopes</t>
  </si>
  <si>
    <t>Stéréoscopes</t>
  </si>
  <si>
    <t>102893</t>
  </si>
  <si>
    <t>Prisms [optics]</t>
  </si>
  <si>
    <t>Prismes [optique]</t>
  </si>
  <si>
    <t>102894</t>
  </si>
  <si>
    <t>Mirrors [optics]</t>
  </si>
  <si>
    <t>Miroirs optiques</t>
  </si>
  <si>
    <t>102895</t>
  </si>
  <si>
    <t>Sunglasses</t>
  </si>
  <si>
    <t>Lunettes de soleil</t>
  </si>
  <si>
    <t>102896</t>
  </si>
  <si>
    <t>Spectacle frames</t>
  </si>
  <si>
    <t>Montures de lunettes</t>
  </si>
  <si>
    <t>102897</t>
  </si>
  <si>
    <t>Gun sights</t>
  </si>
  <si>
    <t>Viseurs de canons</t>
  </si>
  <si>
    <t>102898</t>
  </si>
  <si>
    <t>Spectacle lenses</t>
  </si>
  <si>
    <t>Verres de lunettes</t>
  </si>
  <si>
    <t>102899</t>
  </si>
  <si>
    <t>Fastenings for spectacles</t>
  </si>
  <si>
    <t>Attaches pour lunettes</t>
  </si>
  <si>
    <t>104618</t>
  </si>
  <si>
    <t>Holders for telescopic sights</t>
  </si>
  <si>
    <t>Supports pour lunettes de visée</t>
  </si>
  <si>
    <t>104790</t>
  </si>
  <si>
    <t>Smartglasses</t>
  </si>
  <si>
    <t>Lunettes intelligentes</t>
  </si>
  <si>
    <t>104791</t>
  </si>
  <si>
    <t>Contact lenses</t>
  </si>
  <si>
    <t>Lentilles de contact</t>
  </si>
  <si>
    <t>104792</t>
  </si>
  <si>
    <t>Camera lenses</t>
  </si>
  <si>
    <t>Objectifs photographiques</t>
  </si>
  <si>
    <t>104793</t>
  </si>
  <si>
    <t>Camera lens caps</t>
  </si>
  <si>
    <t>Capuchons d'objectif photographique et cinématographique</t>
  </si>
  <si>
    <t>104794</t>
  </si>
  <si>
    <t>Camera lens hoods</t>
  </si>
  <si>
    <t>Pare-soleil pour objectifs photographiques</t>
  </si>
  <si>
    <t>104795</t>
  </si>
  <si>
    <t>Lenses for smartphone cameras</t>
  </si>
  <si>
    <t>Objectifs pour appareils photographiques de téléphones mobiles multifonctions</t>
  </si>
  <si>
    <t>Objectifs pour appareils photographiques de téléphones intelligents</t>
  </si>
  <si>
    <t>104796</t>
  </si>
  <si>
    <t>Ski goggles</t>
  </si>
  <si>
    <t>Lunettes de ski</t>
  </si>
  <si>
    <t>104797</t>
  </si>
  <si>
    <t>Swimming goggles</t>
  </si>
  <si>
    <t>Lunettes de natation</t>
  </si>
  <si>
    <t>16-99</t>
  </si>
  <si>
    <t>102900</t>
  </si>
  <si>
    <t>Microscope slides</t>
  </si>
  <si>
    <t>Lamelles pour microscopes</t>
  </si>
  <si>
    <t>17</t>
  </si>
  <si>
    <t>17-01</t>
  </si>
  <si>
    <t>102901</t>
  </si>
  <si>
    <t>Instrumentos musicales: Comprende todo tipo de instrumentos musicales, excluyendo estuches y equipos de grabación o reproducción de sonido.</t>
  </si>
  <si>
    <t>MUSICAL INSTRUMENTS</t>
  </si>
  <si>
    <t>Not including cases for musical instruments (Cl. 03-01), or equipment for the recording or reproduction of sounds (Cl. 14-01).</t>
  </si>
  <si>
    <t>KEYBOARD INSTRUMENTS</t>
  </si>
  <si>
    <t>Accordions</t>
  </si>
  <si>
    <t>Accordéons</t>
  </si>
  <si>
    <t>102902</t>
  </si>
  <si>
    <t>Keyboard instruments</t>
  </si>
  <si>
    <t>Instruments de musique à clavier</t>
  </si>
  <si>
    <t>102903</t>
  </si>
  <si>
    <t>Keyboards for musical instruments</t>
  </si>
  <si>
    <t>Claviers d'instruments de musique</t>
  </si>
  <si>
    <t>102904</t>
  </si>
  <si>
    <t>Concertinas</t>
  </si>
  <si>
    <t>102905</t>
  </si>
  <si>
    <t>Harmoniums</t>
  </si>
  <si>
    <t>102906</t>
  </si>
  <si>
    <t>Organs</t>
  </si>
  <si>
    <t>Orgues</t>
  </si>
  <si>
    <t>102908</t>
  </si>
  <si>
    <t>Pianos</t>
  </si>
  <si>
    <t>102909</t>
  </si>
  <si>
    <t>Mechanical pianos</t>
  </si>
  <si>
    <t>Pianos mécaniques</t>
  </si>
  <si>
    <t>102910</t>
  </si>
  <si>
    <t>Organ stops</t>
  </si>
  <si>
    <t>Registres d'orgues</t>
  </si>
  <si>
    <t>102911</t>
  </si>
  <si>
    <t>Sound boards for pianos</t>
  </si>
  <si>
    <t>Tables d'harmonie de pianos</t>
  </si>
  <si>
    <t>102912</t>
  </si>
  <si>
    <t>Keys for musical instruments</t>
  </si>
  <si>
    <t>Touches pour instruments de musique</t>
  </si>
  <si>
    <t>102913</t>
  </si>
  <si>
    <t>Organ pipes</t>
  </si>
  <si>
    <t>Tuyaux d'orgues</t>
  </si>
  <si>
    <t>17-02</t>
  </si>
  <si>
    <t>102914</t>
  </si>
  <si>
    <t>WIND INSTRUMENTS</t>
  </si>
  <si>
    <t>Reeds for musical instruments</t>
  </si>
  <si>
    <t>Anches d'instruments de musique</t>
  </si>
  <si>
    <t>102915</t>
  </si>
  <si>
    <t>Bassoons</t>
  </si>
  <si>
    <t>Bassons</t>
  </si>
  <si>
    <t>102916</t>
  </si>
  <si>
    <t>Bugles</t>
  </si>
  <si>
    <t>Clairons</t>
  </si>
  <si>
    <t>102917</t>
  </si>
  <si>
    <t>Clarinets</t>
  </si>
  <si>
    <t>Clarinettes</t>
  </si>
  <si>
    <t>102918</t>
  </si>
  <si>
    <t>Horns [musical instruments]</t>
  </si>
  <si>
    <t>Cors [instruments de musique]</t>
  </si>
  <si>
    <t>Cornets [instruments de musique]</t>
  </si>
  <si>
    <t>102919</t>
  </si>
  <si>
    <t>Cornets [musical instruments]</t>
  </si>
  <si>
    <t>Cornets à pistons</t>
  </si>
  <si>
    <t>102920</t>
  </si>
  <si>
    <t>Hunting horns</t>
  </si>
  <si>
    <t>Cors de chasse</t>
  </si>
  <si>
    <t>102921</t>
  </si>
  <si>
    <t>Flutes</t>
  </si>
  <si>
    <t>Flûtes</t>
  </si>
  <si>
    <t>102922</t>
  </si>
  <si>
    <t>Harmonicas</t>
  </si>
  <si>
    <t>Mouth organs</t>
  </si>
  <si>
    <t>Musiques à bouche</t>
  </si>
  <si>
    <t>102923</t>
  </si>
  <si>
    <t>Oboes</t>
  </si>
  <si>
    <t>Hautbois</t>
  </si>
  <si>
    <t>102924</t>
  </si>
  <si>
    <t>Kazoos</t>
  </si>
  <si>
    <t>Mirlitons [instruments de musique]</t>
  </si>
  <si>
    <t>102925</t>
  </si>
  <si>
    <t>Bagpipes</t>
  </si>
  <si>
    <t>Cornemuses</t>
  </si>
  <si>
    <t>102926</t>
  </si>
  <si>
    <t>Wind instruments</t>
  </si>
  <si>
    <t>Instruments de musique à vent</t>
  </si>
  <si>
    <t>Wind musical instruments</t>
  </si>
  <si>
    <t>102927</t>
  </si>
  <si>
    <t>Ocarinas</t>
  </si>
  <si>
    <t>102928</t>
  </si>
  <si>
    <t>Piccolos</t>
  </si>
  <si>
    <t>102929</t>
  </si>
  <si>
    <t>Euphoniums</t>
  </si>
  <si>
    <t>Saxhorn basses</t>
  </si>
  <si>
    <t>102930</t>
  </si>
  <si>
    <t>Saxophones</t>
  </si>
  <si>
    <t>102931</t>
  </si>
  <si>
    <t>Trombones</t>
  </si>
  <si>
    <t>Trombones [instruments de musique]</t>
  </si>
  <si>
    <t>102932</t>
  </si>
  <si>
    <t>Trumpets [musical instruments]</t>
  </si>
  <si>
    <t>Trompettes</t>
  </si>
  <si>
    <t>104624</t>
  </si>
  <si>
    <t>Hulusies [musical instruments]</t>
  </si>
  <si>
    <t>Hulusis [instruments de musique]</t>
  </si>
  <si>
    <t>104675</t>
  </si>
  <si>
    <t>Xuns [musical instruments]</t>
  </si>
  <si>
    <t>Xuns [instruments de musique]</t>
  </si>
  <si>
    <t>Tsuns [musical instruments]</t>
  </si>
  <si>
    <t>17-03</t>
  </si>
  <si>
    <t>102933</t>
  </si>
  <si>
    <t>STRINGED INSTRUMENTS</t>
  </si>
  <si>
    <t>Bows for musical instruments</t>
  </si>
  <si>
    <t>Archets pour instruments de musique</t>
  </si>
  <si>
    <t>102934</t>
  </si>
  <si>
    <t>Banjos</t>
  </si>
  <si>
    <t>102935</t>
  </si>
  <si>
    <t>Zithers</t>
  </si>
  <si>
    <t>Cithares</t>
  </si>
  <si>
    <t>102936</t>
  </si>
  <si>
    <t>Pegs for stringed instruments</t>
  </si>
  <si>
    <t>Chevilles d'instruments à cordes</t>
  </si>
  <si>
    <t>Tuning pegs for stringed instruments</t>
  </si>
  <si>
    <t>Clés d'instruments à cordes [chevilles]</t>
  </si>
  <si>
    <t>102937</t>
  </si>
  <si>
    <t>Double bass</t>
  </si>
  <si>
    <t>Contrebasses</t>
  </si>
  <si>
    <t>102938</t>
  </si>
  <si>
    <t>Stringed instruments</t>
  </si>
  <si>
    <t>Instruments de musique à cordes</t>
  </si>
  <si>
    <t>102939</t>
  </si>
  <si>
    <t>Guitars</t>
  </si>
  <si>
    <t>Guitares</t>
  </si>
  <si>
    <t>102940</t>
  </si>
  <si>
    <t>Harps</t>
  </si>
  <si>
    <t>Harpes</t>
  </si>
  <si>
    <t>102941</t>
  </si>
  <si>
    <t>Mandolins</t>
  </si>
  <si>
    <t>Mandolines</t>
  </si>
  <si>
    <t>102942</t>
  </si>
  <si>
    <t>Dulcimers</t>
  </si>
  <si>
    <t>Tympanons</t>
  </si>
  <si>
    <t>102943</t>
  </si>
  <si>
    <t>Violoncellos</t>
  </si>
  <si>
    <t>Violoncelles</t>
  </si>
  <si>
    <t>102944</t>
  </si>
  <si>
    <t>Violins</t>
  </si>
  <si>
    <t>Violons</t>
  </si>
  <si>
    <t>102945</t>
  </si>
  <si>
    <t>Violin chin rests</t>
  </si>
  <si>
    <t>Mentonnières pour violons</t>
  </si>
  <si>
    <t>102946</t>
  </si>
  <si>
    <t>Balalaikas</t>
  </si>
  <si>
    <t>Balalaïkas</t>
  </si>
  <si>
    <t>102947</t>
  </si>
  <si>
    <t>Ukuleles</t>
  </si>
  <si>
    <t>Ukulélés</t>
  </si>
  <si>
    <t>104605</t>
  </si>
  <si>
    <t>Erhues [musical instruments]</t>
  </si>
  <si>
    <t>Erhus [instruments de musique]</t>
  </si>
  <si>
    <t>104641</t>
  </si>
  <si>
    <t>Pipaes [musical instruments]</t>
  </si>
  <si>
    <t>Pipas [instruments de musique]</t>
  </si>
  <si>
    <t>17-04</t>
  </si>
  <si>
    <t>102948</t>
  </si>
  <si>
    <t>PERCUSSION INSTRUMENTS</t>
  </si>
  <si>
    <t>Chimes</t>
  </si>
  <si>
    <t>Carillons</t>
  </si>
  <si>
    <t>102949</t>
  </si>
  <si>
    <t>Castanets</t>
  </si>
  <si>
    <t>Castagnettes</t>
  </si>
  <si>
    <t>102950</t>
  </si>
  <si>
    <t>Bells</t>
  </si>
  <si>
    <t>Cloches</t>
  </si>
  <si>
    <t>102951</t>
  </si>
  <si>
    <t>Cymbals</t>
  </si>
  <si>
    <t>Cymbales</t>
  </si>
  <si>
    <t>102952</t>
  </si>
  <si>
    <t>Gongs</t>
  </si>
  <si>
    <t>102953</t>
  </si>
  <si>
    <t>Small globular bells</t>
  </si>
  <si>
    <t>Grelots</t>
  </si>
  <si>
    <t>102954</t>
  </si>
  <si>
    <t>Bass drum sticks</t>
  </si>
  <si>
    <t>Mailloches [instruments de musique]</t>
  </si>
  <si>
    <t>102955</t>
  </si>
  <si>
    <t>Marimbas</t>
  </si>
  <si>
    <t>102956</t>
  </si>
  <si>
    <t>Percussion instruments</t>
  </si>
  <si>
    <t>Instruments de musique à percussion</t>
  </si>
  <si>
    <t>Batteries [instruments de musique]</t>
  </si>
  <si>
    <t>102957</t>
  </si>
  <si>
    <t>Tambourines</t>
  </si>
  <si>
    <t>Tambourins</t>
  </si>
  <si>
    <t>102958</t>
  </si>
  <si>
    <t>Drums [musical instruments]</t>
  </si>
  <si>
    <t>Tambours [instruments de musique]</t>
  </si>
  <si>
    <t>102959</t>
  </si>
  <si>
    <t>Kettledrums</t>
  </si>
  <si>
    <t>Timbales [instruments de musique]</t>
  </si>
  <si>
    <t>102960</t>
  </si>
  <si>
    <t>Triangles [musical instruments]</t>
  </si>
  <si>
    <t>Triangles [instruments de musique]</t>
  </si>
  <si>
    <t>102961</t>
  </si>
  <si>
    <t>Xylophones</t>
  </si>
  <si>
    <t>102962</t>
  </si>
  <si>
    <t>Small bells</t>
  </si>
  <si>
    <t>Clochettes</t>
  </si>
  <si>
    <t>102963</t>
  </si>
  <si>
    <t>Big drums [musical instruments]</t>
  </si>
  <si>
    <t>Grosses caisses</t>
  </si>
  <si>
    <t>102964</t>
  </si>
  <si>
    <t>Maracas</t>
  </si>
  <si>
    <t>104648</t>
  </si>
  <si>
    <t>Ratchets</t>
  </si>
  <si>
    <t>Crécelles</t>
  </si>
  <si>
    <t>17-05</t>
  </si>
  <si>
    <t>102965</t>
  </si>
  <si>
    <t>MECHANICAL INSTRUMENTS</t>
  </si>
  <si>
    <t>Music boxes</t>
  </si>
  <si>
    <t>Boîtes à musique</t>
  </si>
  <si>
    <t>102966</t>
  </si>
  <si>
    <t>Calliopes [musical instruments]</t>
  </si>
  <si>
    <t>Calliopes [instruments de musique]</t>
  </si>
  <si>
    <t>102967</t>
  </si>
  <si>
    <t>Mechanical musical instruments</t>
  </si>
  <si>
    <t>Instruments de musique mécaniques</t>
  </si>
  <si>
    <t>102968</t>
  </si>
  <si>
    <t>Mechanical singing birds</t>
  </si>
  <si>
    <t>Oiseaux chanteurs [automates]</t>
  </si>
  <si>
    <t>102969</t>
  </si>
  <si>
    <t>Barrel organs</t>
  </si>
  <si>
    <t>Orgues mécaniques [de Barbarie]</t>
  </si>
  <si>
    <t>Orgues de barbarie</t>
  </si>
  <si>
    <t>17-99</t>
  </si>
  <si>
    <t>102970</t>
  </si>
  <si>
    <t>Conductors' batons [music]</t>
  </si>
  <si>
    <t>Baguettes de mesure [musique]</t>
  </si>
  <si>
    <t>102971</t>
  </si>
  <si>
    <t>Tuning forks</t>
  </si>
  <si>
    <t>Diapasons</t>
  </si>
  <si>
    <t>102972</t>
  </si>
  <si>
    <t>Dampers for musical instruments</t>
  </si>
  <si>
    <t>Sourdines pour instruments de musique</t>
  </si>
  <si>
    <t>Mutes for musical instruments</t>
  </si>
  <si>
    <t>102973</t>
  </si>
  <si>
    <t>Tuning whistles</t>
  </si>
  <si>
    <t>Sifflets d'accordage</t>
  </si>
  <si>
    <t>104690</t>
  </si>
  <si>
    <t>Pedals for musical instruments</t>
  </si>
  <si>
    <t>Pédales d'instruments de musique</t>
  </si>
  <si>
    <t>104798</t>
  </si>
  <si>
    <t>Jews' harps</t>
  </si>
  <si>
    <t>Guimbardes</t>
  </si>
  <si>
    <t>105004</t>
  </si>
  <si>
    <t>Stands for musical instruments</t>
  </si>
  <si>
    <t>Supports pour instruments de musique</t>
  </si>
  <si>
    <t>18</t>
  </si>
  <si>
    <t>18-01</t>
  </si>
  <si>
    <t>102974</t>
  </si>
  <si>
    <t>Máquinas de impresión y de oficina: Incluye equipos utilizados en oficinas y para procesos de impresión.</t>
  </si>
  <si>
    <t>PRINTING AND OFFICE MACHINERY</t>
  </si>
  <si>
    <t>TYPEWRITERS AND CALCULATING MACHINES</t>
  </si>
  <si>
    <t>Adding machines</t>
  </si>
  <si>
    <t>Machines à additionner</t>
  </si>
  <si>
    <t>102975</t>
  </si>
  <si>
    <t>Cash registers</t>
  </si>
  <si>
    <t>Caisses enregistreuses</t>
  </si>
  <si>
    <t>102976</t>
  </si>
  <si>
    <t>Calculating machines [except computers]</t>
  </si>
  <si>
    <t>Machines à calculer [à l'exception des ordinateurs]</t>
  </si>
  <si>
    <t>102977</t>
  </si>
  <si>
    <t>Typewriters</t>
  </si>
  <si>
    <t>Machines à écrire</t>
  </si>
  <si>
    <t>102978</t>
  </si>
  <si>
    <t>Typewriter ribbons</t>
  </si>
  <si>
    <t>Encreurs de machines à écrire</t>
  </si>
  <si>
    <t>102979</t>
  </si>
  <si>
    <t>Paper guides for typewriters</t>
  </si>
  <si>
    <t>Guide-papier de machines à écrire</t>
  </si>
  <si>
    <t>102980</t>
  </si>
  <si>
    <t>Checkwriters</t>
  </si>
  <si>
    <t>Machines à établir les chèques</t>
  </si>
  <si>
    <t>102981</t>
  </si>
  <si>
    <t>Accounting machines</t>
  </si>
  <si>
    <t>Machines comptables</t>
  </si>
  <si>
    <t>102982</t>
  </si>
  <si>
    <t>Stenographic machines</t>
  </si>
  <si>
    <t>Machines à sténographier</t>
  </si>
  <si>
    <t>102983</t>
  </si>
  <si>
    <t>Stenotypes [office machines]</t>
  </si>
  <si>
    <t>Sténotypes</t>
  </si>
  <si>
    <t>102984</t>
  </si>
  <si>
    <t>Abacus</t>
  </si>
  <si>
    <t>Abaques</t>
  </si>
  <si>
    <t>102985</t>
  </si>
  <si>
    <t>Ballot counting or voting machines</t>
  </si>
  <si>
    <t>Machines à voter ou à compter les voix</t>
  </si>
  <si>
    <t>102986</t>
  </si>
  <si>
    <t>Typewriter platens</t>
  </si>
  <si>
    <t>Rouleaux de machines à écrire</t>
  </si>
  <si>
    <t>102987</t>
  </si>
  <si>
    <t>Typewriter keys</t>
  </si>
  <si>
    <t>Touches de machines à écrire</t>
  </si>
  <si>
    <t>102988</t>
  </si>
  <si>
    <t>Calculators [except computers]</t>
  </si>
  <si>
    <t>Calculateurs [à l'exception des ordinateurs]</t>
  </si>
  <si>
    <t>102989</t>
  </si>
  <si>
    <t>Validation and payment consoles with screens [except computers]</t>
  </si>
  <si>
    <t>Pupitres de validation et de paiement avec écran [à l'exception des ordinateurs]</t>
  </si>
  <si>
    <t>18-02</t>
  </si>
  <si>
    <t>102990</t>
  </si>
  <si>
    <t>PRINTING MACHINES</t>
  </si>
  <si>
    <t>Addressing machines</t>
  </si>
  <si>
    <t>Machines à adresser</t>
  </si>
  <si>
    <t>102991</t>
  </si>
  <si>
    <t>Address plates for addressing machines</t>
  </si>
  <si>
    <t>Plaques pour machines à adresser</t>
  </si>
  <si>
    <t>102992</t>
  </si>
  <si>
    <t>Franking machines</t>
  </si>
  <si>
    <t>Machines à affranchir</t>
  </si>
  <si>
    <t>102993</t>
  </si>
  <si>
    <t>Stereotype machines and apparatus</t>
  </si>
  <si>
    <t>Machines et appareils de clicherie</t>
  </si>
  <si>
    <t>102994</t>
  </si>
  <si>
    <t>Address plates</t>
  </si>
  <si>
    <t>Clichés pour machines à adresser</t>
  </si>
  <si>
    <t>102995</t>
  </si>
  <si>
    <t>Typesetting apparatus</t>
  </si>
  <si>
    <t>Composeuses [imprimerie]</t>
  </si>
  <si>
    <t>102996</t>
  </si>
  <si>
    <t>Duplicators</t>
  </si>
  <si>
    <t>Duplicateurs</t>
  </si>
  <si>
    <t>102997</t>
  </si>
  <si>
    <t>Mimeograph apparatus and machines</t>
  </si>
  <si>
    <t>Appareils et machines à polycopier</t>
  </si>
  <si>
    <t>102998</t>
  </si>
  <si>
    <t>Inking apparatus for printing machinery</t>
  </si>
  <si>
    <t>Encreurs d'imprimerie</t>
  </si>
  <si>
    <t>102999</t>
  </si>
  <si>
    <t>Offset printing machines</t>
  </si>
  <si>
    <t>Machines à imprimer offset</t>
  </si>
  <si>
    <t>103000</t>
  </si>
  <si>
    <t>Printing machines</t>
  </si>
  <si>
    <t>Machines à imprimer</t>
  </si>
  <si>
    <t>103001</t>
  </si>
  <si>
    <t>Cancelling machines</t>
  </si>
  <si>
    <t>Machines à oblitérer</t>
  </si>
  <si>
    <t>103003</t>
  </si>
  <si>
    <t>Stamping machines</t>
  </si>
  <si>
    <t>Machines à timbrer</t>
  </si>
  <si>
    <t>103004</t>
  </si>
  <si>
    <t>Typographic machines</t>
  </si>
  <si>
    <t>Machines pour la typographie</t>
  </si>
  <si>
    <t>103005</t>
  </si>
  <si>
    <t>Typecasting machines</t>
  </si>
  <si>
    <t>Machines à couler les caractères d'imprimerie</t>
  </si>
  <si>
    <t>103006</t>
  </si>
  <si>
    <t>Printing presses</t>
  </si>
  <si>
    <t>Presses d'imprimerie</t>
  </si>
  <si>
    <t>103007</t>
  </si>
  <si>
    <t>Inking rollers for printing machines</t>
  </si>
  <si>
    <t>Rouleaux encreurs d'imprimerie</t>
  </si>
  <si>
    <t>103008</t>
  </si>
  <si>
    <t>Anti-noise casings for printing machines</t>
  </si>
  <si>
    <t>Caissons anti-bruit pour machines d'imprimerie</t>
  </si>
  <si>
    <t>103009</t>
  </si>
  <si>
    <t>Toner cartridges for printing machines</t>
  </si>
  <si>
    <t>Cartouches d'encre [toner] pour machines à imprimer</t>
  </si>
  <si>
    <t>18-03</t>
  </si>
  <si>
    <t>103010</t>
  </si>
  <si>
    <t>TYPE AND TYPE FACES</t>
  </si>
  <si>
    <t>Printing type</t>
  </si>
  <si>
    <t>Caractères d'imprimerie</t>
  </si>
  <si>
    <t>Alphabets [printing characters]</t>
  </si>
  <si>
    <t>Alphabets [caractères d'imprimerie]</t>
  </si>
  <si>
    <t>103011</t>
  </si>
  <si>
    <t>Typewriter type</t>
  </si>
  <si>
    <t>Caractères de machines à écrire</t>
  </si>
  <si>
    <t>103012</t>
  </si>
  <si>
    <t>Type for subtitles [films]</t>
  </si>
  <si>
    <t>Caractères pour titrer les films</t>
  </si>
  <si>
    <t>103013</t>
  </si>
  <si>
    <t>Figures for vehicle registration plates</t>
  </si>
  <si>
    <t>Chiffres pour plaques d'immatriculation</t>
  </si>
  <si>
    <t>Figures for vehicle license plates</t>
  </si>
  <si>
    <t>103014</t>
  </si>
  <si>
    <t>Luminous letters</t>
  </si>
  <si>
    <t>Lettres lumineuses</t>
  </si>
  <si>
    <t>103015</t>
  </si>
  <si>
    <t>Monograms</t>
  </si>
  <si>
    <t>Monogrammes</t>
  </si>
  <si>
    <t>103016</t>
  </si>
  <si>
    <t>Letters for signs</t>
  </si>
  <si>
    <t>Lettres pour enseignes</t>
  </si>
  <si>
    <t>103017</t>
  </si>
  <si>
    <t>Printing matrices</t>
  </si>
  <si>
    <t>Matrices d'imprimerie</t>
  </si>
  <si>
    <t>103018</t>
  </si>
  <si>
    <t>Letters for vehicle registration plates</t>
  </si>
  <si>
    <t>Lettres pour plaques d'immatriculation</t>
  </si>
  <si>
    <t>Letters for vehicle license plates</t>
  </si>
  <si>
    <t>104677</t>
  </si>
  <si>
    <t>Typefaces</t>
  </si>
  <si>
    <t>Polices de caractères</t>
  </si>
  <si>
    <t>18-04</t>
  </si>
  <si>
    <t>103019</t>
  </si>
  <si>
    <t>BOOKBINDING MACHINES, PRINTERS’ STAPLING MACHINES, GUILLOTINES AND TRIMMERS (FOR BOOKBINDING)</t>
  </si>
  <si>
    <t>Folding machines [bookbinding]</t>
  </si>
  <si>
    <t>Machines à plier [reliure]</t>
  </si>
  <si>
    <t>103020</t>
  </si>
  <si>
    <t>Printers' stapling machines</t>
  </si>
  <si>
    <t>Agrafeuses d'imprimerie</t>
  </si>
  <si>
    <t>103021</t>
  </si>
  <si>
    <t>Machines or devices for cutting paper</t>
  </si>
  <si>
    <t>Machines ou dispositifs pour couper le papier</t>
  </si>
  <si>
    <t>103022</t>
  </si>
  <si>
    <t>Bookbinding machines</t>
  </si>
  <si>
    <t>Machines à relier</t>
  </si>
  <si>
    <t>103023</t>
  </si>
  <si>
    <t>Envelope sealing apparatus and machines</t>
  </si>
  <si>
    <t>Appareils et machines à fermer les enveloppes</t>
  </si>
  <si>
    <t>103024</t>
  </si>
  <si>
    <t>Paper cutters [machines]</t>
  </si>
  <si>
    <t>Massicots</t>
  </si>
  <si>
    <t>Guillotines [bookbinding]</t>
  </si>
  <si>
    <t>Trimmers [bookbinding]</t>
  </si>
  <si>
    <t>103025</t>
  </si>
  <si>
    <t>Stitchers [bookbinding]</t>
  </si>
  <si>
    <t>Couseuses-brocheuses de livres</t>
  </si>
  <si>
    <t>103026</t>
  </si>
  <si>
    <t>Envelope opening apparatus and machines</t>
  </si>
  <si>
    <t>Ouvre-enveloppes [appareils et machines]</t>
  </si>
  <si>
    <t>18-99</t>
  </si>
  <si>
    <t>103027</t>
  </si>
  <si>
    <t>Cases [typography]</t>
  </si>
  <si>
    <t>Casses [imprimerie]</t>
  </si>
  <si>
    <t>103028</t>
  </si>
  <si>
    <t>Composing frames [typography]</t>
  </si>
  <si>
    <t>Cadres à composer [imprimerie]</t>
  </si>
  <si>
    <t>103029</t>
  </si>
  <si>
    <t>Document destroyers</t>
  </si>
  <si>
    <t>Machines pour la destruction de documents</t>
  </si>
  <si>
    <t>103030</t>
  </si>
  <si>
    <t>Labellers [machines]</t>
  </si>
  <si>
    <t>Étiqueteuses</t>
  </si>
  <si>
    <t>103031</t>
  </si>
  <si>
    <t>Composing tables for printing</t>
  </si>
  <si>
    <t>Tables de composition [imprimerie]</t>
  </si>
  <si>
    <t>103033</t>
  </si>
  <si>
    <t>Paper sorters</t>
  </si>
  <si>
    <t>Trieuses de papiers</t>
  </si>
  <si>
    <t>103034</t>
  </si>
  <si>
    <t>Table supports for pocket calculating machines</t>
  </si>
  <si>
    <t>Supports de table pour calculatrices de poche</t>
  </si>
  <si>
    <t>19</t>
  </si>
  <si>
    <t>19-01</t>
  </si>
  <si>
    <t>103035</t>
  </si>
  <si>
    <t>Papelería y equipo de oficina, materiales para artistas y enseñanza: Comprende artículos de papelería y equipos utilizados en oficinas, arte y educación.</t>
  </si>
  <si>
    <t>STATIONERY AND OFFICE EQUIPMENT, ARTISTS’ AND TEACHING MATERIALS</t>
  </si>
  <si>
    <t>WRITING PAPER, CARDS FOR CORRESPONDENCE AND ANNOUNCEMENTS</t>
  </si>
  <si>
    <t>Mailing wrappers for printed matter</t>
  </si>
  <si>
    <t>Bandes pour l'expédition d'imprimés</t>
  </si>
  <si>
    <t>103036</t>
  </si>
  <si>
    <t>Letter cards</t>
  </si>
  <si>
    <t>Cartes-lettres</t>
  </si>
  <si>
    <t>103037</t>
  </si>
  <si>
    <t>Drawing paper</t>
  </si>
  <si>
    <t>Papier à dessin</t>
  </si>
  <si>
    <t>103038</t>
  </si>
  <si>
    <t>Envelopes [stationery]</t>
  </si>
  <si>
    <t>Enveloppes [papeterie]</t>
  </si>
  <si>
    <t>Plis postaux [papeterie]</t>
  </si>
  <si>
    <t>103040</t>
  </si>
  <si>
    <t>Security paper</t>
  </si>
  <si>
    <t>Papier de sûreté, pour valeurs</t>
  </si>
  <si>
    <t>103041</t>
  </si>
  <si>
    <t>Newsprint</t>
  </si>
  <si>
    <t>Papier journal</t>
  </si>
  <si>
    <t>103042</t>
  </si>
  <si>
    <t>Photographic paper</t>
  </si>
  <si>
    <t>Papier photographique</t>
  </si>
  <si>
    <t>103043</t>
  </si>
  <si>
    <t>Paper for architectural plans</t>
  </si>
  <si>
    <t>Papier pour plans d'architecte</t>
  </si>
  <si>
    <t>103044</t>
  </si>
  <si>
    <t>Mourning cards</t>
  </si>
  <si>
    <t>Cartes de condoléances</t>
  </si>
  <si>
    <t>103045</t>
  </si>
  <si>
    <t>Greetings cards</t>
  </si>
  <si>
    <t>Cartes de vœux</t>
  </si>
  <si>
    <t>103046</t>
  </si>
  <si>
    <t>Picture postcards</t>
  </si>
  <si>
    <t>Cartes illustrées</t>
  </si>
  <si>
    <t>103047</t>
  </si>
  <si>
    <t>Illustrated postcards</t>
  </si>
  <si>
    <t>Cartes postales illustrées</t>
  </si>
  <si>
    <t>103048</t>
  </si>
  <si>
    <t>Announcement cards</t>
  </si>
  <si>
    <t>Faire-part</t>
  </si>
  <si>
    <t>103049</t>
  </si>
  <si>
    <t>Aerograms</t>
  </si>
  <si>
    <t>Aérogrammes</t>
  </si>
  <si>
    <t>103050</t>
  </si>
  <si>
    <t>Postcards</t>
  </si>
  <si>
    <t>Cartes postales</t>
  </si>
  <si>
    <t>103051</t>
  </si>
  <si>
    <t>Writing paper</t>
  </si>
  <si>
    <t>Papier à écrire</t>
  </si>
  <si>
    <t>103052</t>
  </si>
  <si>
    <t>Printing paper</t>
  </si>
  <si>
    <t>Papier à imprimer</t>
  </si>
  <si>
    <t>103053</t>
  </si>
  <si>
    <t>Tracing paper</t>
  </si>
  <si>
    <t>Papier calque</t>
  </si>
  <si>
    <t>103054</t>
  </si>
  <si>
    <t>Carbon paper</t>
  </si>
  <si>
    <t>Papier carbone</t>
  </si>
  <si>
    <t>104799</t>
  </si>
  <si>
    <t>Origami paper</t>
  </si>
  <si>
    <t>Papier origami</t>
  </si>
  <si>
    <t>104888</t>
  </si>
  <si>
    <t>Sticky notes</t>
  </si>
  <si>
    <t>Notes adhésives</t>
  </si>
  <si>
    <t>19-02</t>
  </si>
  <si>
    <t>103055</t>
  </si>
  <si>
    <t>OFFICE EQUIPMENT</t>
  </si>
  <si>
    <t>Staple removers</t>
  </si>
  <si>
    <t>Appareils à enlever les agrafes</t>
  </si>
  <si>
    <t>103056</t>
  </si>
  <si>
    <t>Letter fasteners</t>
  </si>
  <si>
    <t>Attache-lettres</t>
  </si>
  <si>
    <t>103057</t>
  </si>
  <si>
    <t>Paper fasteners</t>
  </si>
  <si>
    <t>Attaches pour papier</t>
  </si>
  <si>
    <t>103058</t>
  </si>
  <si>
    <t>Supports for shorthand pads</t>
  </si>
  <si>
    <t>Supports de blocs de sténographie</t>
  </si>
  <si>
    <t>Supports for stenography tablets</t>
  </si>
  <si>
    <t>103059</t>
  </si>
  <si>
    <t>Cashboxes</t>
  </si>
  <si>
    <t>Boîtes à monnaie</t>
  </si>
  <si>
    <t>103060</t>
  </si>
  <si>
    <t>Filing boxes [office equipment]</t>
  </si>
  <si>
    <t>Boîtes de classement [articles de bureau]</t>
  </si>
  <si>
    <t>103061</t>
  </si>
  <si>
    <t>Office staplers</t>
  </si>
  <si>
    <t>Agrafeuses de bureau</t>
  </si>
  <si>
    <t>Brocheuses de bureau</t>
  </si>
  <si>
    <t>103062</t>
  </si>
  <si>
    <t>Office seals</t>
  </si>
  <si>
    <t>Sceaux [cachets de bureau]</t>
  </si>
  <si>
    <t>Cachets de bureau [sceaux]</t>
  </si>
  <si>
    <t>103063</t>
  </si>
  <si>
    <t>Change boxes [money]</t>
  </si>
  <si>
    <t>Casiers à monnaie</t>
  </si>
  <si>
    <t>103064</t>
  </si>
  <si>
    <t>Card index guide tabs</t>
  </si>
  <si>
    <t>Cavaliers pour fiches de répertoires</t>
  </si>
  <si>
    <t>103065</t>
  </si>
  <si>
    <t>Change sorters [money]</t>
  </si>
  <si>
    <t>Classeurs à monnaie</t>
  </si>
  <si>
    <t>Râteliers à monnaie</t>
  </si>
  <si>
    <t>103066</t>
  </si>
  <si>
    <t>Dating and numbering devices for office use</t>
  </si>
  <si>
    <t>Composteurs pour bureau</t>
  </si>
  <si>
    <t>103067</t>
  </si>
  <si>
    <t>Correspondence trays</t>
  </si>
  <si>
    <t>Corbeilles à correspondance</t>
  </si>
  <si>
    <t>103068</t>
  </si>
  <si>
    <t>Paper knives</t>
  </si>
  <si>
    <t>Coupe-papier</t>
  </si>
  <si>
    <t>103069</t>
  </si>
  <si>
    <t>Electric apparatus for erasing [office equipment]</t>
  </si>
  <si>
    <t>Appareils électriques à effacer [articles de bureau]</t>
  </si>
  <si>
    <t>103070</t>
  </si>
  <si>
    <t>Card index cabinets [mobile]</t>
  </si>
  <si>
    <t>Fichiers [casiers mobiles]</t>
  </si>
  <si>
    <t>103071</t>
  </si>
  <si>
    <t>Dampers [office equipment]</t>
  </si>
  <si>
    <t>Mouilleurs de bureau</t>
  </si>
  <si>
    <t>103072</t>
  </si>
  <si>
    <t>Numbering stamps</t>
  </si>
  <si>
    <t>Numéroteurs</t>
  </si>
  <si>
    <t>103073</t>
  </si>
  <si>
    <t>Coin plates</t>
  </si>
  <si>
    <t>Assiettes à monnaie</t>
  </si>
  <si>
    <t>103074</t>
  </si>
  <si>
    <t>Paper punches [for office use]</t>
  </si>
  <si>
    <t>Perforateurs de papier [articles de bureau]</t>
  </si>
  <si>
    <t>103075</t>
  </si>
  <si>
    <t>Office punches</t>
  </si>
  <si>
    <t>Poinçonneuses de bureau</t>
  </si>
  <si>
    <t>Pinces à poinçonner de bureau</t>
  </si>
  <si>
    <t>103076</t>
  </si>
  <si>
    <t>Spring clamps for holding papers</t>
  </si>
  <si>
    <t>Pincettes porte-documents</t>
  </si>
  <si>
    <t>103077</t>
  </si>
  <si>
    <t>Spindle files</t>
  </si>
  <si>
    <t>Pique-notes</t>
  </si>
  <si>
    <t>103078</t>
  </si>
  <si>
    <t>Card index plates</t>
  </si>
  <si>
    <t>Plaques pour fichiers</t>
  </si>
  <si>
    <t>103079</t>
  </si>
  <si>
    <t>Paperweights</t>
  </si>
  <si>
    <t>Presse-papiers</t>
  </si>
  <si>
    <t>103080</t>
  </si>
  <si>
    <t>Stencils [stationery]</t>
  </si>
  <si>
    <t>Stencils</t>
  </si>
  <si>
    <t>103081</t>
  </si>
  <si>
    <t>Money boxes for counting change</t>
  </si>
  <si>
    <t>Cassettes à compter la monnaie</t>
  </si>
  <si>
    <t>103082</t>
  </si>
  <si>
    <t>Adhesive tape dispensers</t>
  </si>
  <si>
    <t>Dévidoirs pour bandes adhésives</t>
  </si>
  <si>
    <t>103083</t>
  </si>
  <si>
    <t>Folders for hanging files</t>
  </si>
  <si>
    <t>Poches de classement pour dossiers suspendus</t>
  </si>
  <si>
    <t>103084</t>
  </si>
  <si>
    <t>Elastic bands for office use</t>
  </si>
  <si>
    <t>Bandes élastiques pour le bureau</t>
  </si>
  <si>
    <t>103085</t>
  </si>
  <si>
    <t>Paper clips</t>
  </si>
  <si>
    <t>Trombones [attaches]</t>
  </si>
  <si>
    <t>103086</t>
  </si>
  <si>
    <t>Banknote clips</t>
  </si>
  <si>
    <t>Pinces à billets</t>
  </si>
  <si>
    <t>Money clips</t>
  </si>
  <si>
    <t>103087</t>
  </si>
  <si>
    <t>Drawing clips</t>
  </si>
  <si>
    <t>Pinces à dessins</t>
  </si>
  <si>
    <t>103088</t>
  </si>
  <si>
    <t>Apparatus for making rolls of coins</t>
  </si>
  <si>
    <t>Appareils à faire les rouleaux de monnaie</t>
  </si>
  <si>
    <t>103089</t>
  </si>
  <si>
    <t>Money shovels</t>
  </si>
  <si>
    <t>Ramasse-monnaie</t>
  </si>
  <si>
    <t>103090</t>
  </si>
  <si>
    <t>Memo pad holders</t>
  </si>
  <si>
    <t>Supports de blocs-notes</t>
  </si>
  <si>
    <t>103091</t>
  </si>
  <si>
    <t>Cancelling stamps [tools] for postmarks</t>
  </si>
  <si>
    <t>Timbres à oblitérer [postes]</t>
  </si>
  <si>
    <t>103092</t>
  </si>
  <si>
    <t>Rubber stamps</t>
  </si>
  <si>
    <t>Timbres humides</t>
  </si>
  <si>
    <t>103093</t>
  </si>
  <si>
    <t>Perforating stamps</t>
  </si>
  <si>
    <t>Timbres perforateurs</t>
  </si>
  <si>
    <t>103094</t>
  </si>
  <si>
    <t>Draft holders</t>
  </si>
  <si>
    <t>Porte-copies</t>
  </si>
  <si>
    <t>103095</t>
  </si>
  <si>
    <t>Dispensers for correction fluid</t>
  </si>
  <si>
    <t>Distributeurs de liquide correcteur</t>
  </si>
  <si>
    <t>103096</t>
  </si>
  <si>
    <t>Apparatus for smoothing bank notes</t>
  </si>
  <si>
    <t>Appareils à repasser les billets de banque</t>
  </si>
  <si>
    <t>103097</t>
  </si>
  <si>
    <t>Apparatus for counting bank notes</t>
  </si>
  <si>
    <t>Appareils à compter les billets de banque</t>
  </si>
  <si>
    <t>103098</t>
  </si>
  <si>
    <t>Boxes for paper clips</t>
  </si>
  <si>
    <t>Boîtes à trombones</t>
  </si>
  <si>
    <t>103099</t>
  </si>
  <si>
    <t>Holders for paper clips</t>
  </si>
  <si>
    <t>Supports pour trombones</t>
  </si>
  <si>
    <t>103100</t>
  </si>
  <si>
    <t>Telephone number finders</t>
  </si>
  <si>
    <t>Dispositifs pour la recherche des numéros de téléphone</t>
  </si>
  <si>
    <t>103101</t>
  </si>
  <si>
    <t>Filing trays [office equipment]</t>
  </si>
  <si>
    <t>Casiers de classement [articles de bureau]</t>
  </si>
  <si>
    <t>103102</t>
  </si>
  <si>
    <t>Holders for stamps [seals]</t>
  </si>
  <si>
    <t>Supports à timbres [cachets]</t>
  </si>
  <si>
    <t>103103</t>
  </si>
  <si>
    <t>Lettering apparatus, hand-operated [office equipment]</t>
  </si>
  <si>
    <t>Appareils à main à estampiller [articles de bureau]</t>
  </si>
  <si>
    <t>103104</t>
  </si>
  <si>
    <t>Pin trays [office equipment]</t>
  </si>
  <si>
    <t>Vide-poches [articles de bureau]</t>
  </si>
  <si>
    <t>103105</t>
  </si>
  <si>
    <t>Dispensers for correction ribbons</t>
  </si>
  <si>
    <t>Distributeurs de ruban correcteur</t>
  </si>
  <si>
    <t>103106</t>
  </si>
  <si>
    <t>Holders for visiting cards [office equipment]</t>
  </si>
  <si>
    <t>Supports pour cartes de visite [articles de bureau]</t>
  </si>
  <si>
    <t>104689</t>
  </si>
  <si>
    <t>Drawing pins</t>
  </si>
  <si>
    <t>Punaises</t>
  </si>
  <si>
    <t>Thumbtacks</t>
  </si>
  <si>
    <t>104800</t>
  </si>
  <si>
    <t>Dispensers for correction tapes</t>
  </si>
  <si>
    <t>Dévidoirs de correcteur</t>
  </si>
  <si>
    <t>104801</t>
  </si>
  <si>
    <t>Letter openers</t>
  </si>
  <si>
    <t>Ouvre-lettres</t>
  </si>
  <si>
    <t>104889</t>
  </si>
  <si>
    <t>Staples for paper</t>
  </si>
  <si>
    <t>Agrafes à papier</t>
  </si>
  <si>
    <t>104890</t>
  </si>
  <si>
    <t>Brass fasteners for paper [foldback pins]</t>
  </si>
  <si>
    <t>Attaches parisiennes</t>
  </si>
  <si>
    <t>104891</t>
  </si>
  <si>
    <t>Binder clips</t>
  </si>
  <si>
    <t>Pince-notes</t>
  </si>
  <si>
    <t>Pince-papiers</t>
  </si>
  <si>
    <t>19-03</t>
  </si>
  <si>
    <t>103107</t>
  </si>
  <si>
    <t>CALENDARS</t>
  </si>
  <si>
    <t>Calendars [also as advertising material]</t>
  </si>
  <si>
    <t>Calendriers [aussi publicitaires]</t>
  </si>
  <si>
    <t>103108</t>
  </si>
  <si>
    <t>Tear-off calendars</t>
  </si>
  <si>
    <t>Éphémérides</t>
  </si>
  <si>
    <t>103109</t>
  </si>
  <si>
    <t>Pages for loose-leaf desk diaries</t>
  </si>
  <si>
    <t>Feuillets de blocs éphémérides</t>
  </si>
  <si>
    <t>103110</t>
  </si>
  <si>
    <t>Bases for loose-leaf desk diaries</t>
  </si>
  <si>
    <t>Supports de blocs éphémérides</t>
  </si>
  <si>
    <t>Tear-off calendar holders</t>
  </si>
  <si>
    <t>103111</t>
  </si>
  <si>
    <t>Advent calendars</t>
  </si>
  <si>
    <t>Calendriers de l'avent</t>
  </si>
  <si>
    <t>103252</t>
  </si>
  <si>
    <t>Wall charts for vacation planning</t>
  </si>
  <si>
    <t>Tableaux d'affichage pour la gestion des congés</t>
  </si>
  <si>
    <t>19-04</t>
  </si>
  <si>
    <t>103112</t>
  </si>
  <si>
    <t>BOOKS AND OTHER OBJECTS OF SIMILAR OUTWARD APPEARANCE</t>
  </si>
  <si>
    <t>Jackets for papers</t>
  </si>
  <si>
    <t>Chemises pour documents</t>
  </si>
  <si>
    <t>Portfolios [stationery]</t>
  </si>
  <si>
    <t>103113</t>
  </si>
  <si>
    <t>Office files</t>
  </si>
  <si>
    <t>Classeurs de bureau</t>
  </si>
  <si>
    <t>103114</t>
  </si>
  <si>
    <t>Diaries</t>
  </si>
  <si>
    <t>Agendas</t>
  </si>
  <si>
    <t>103115</t>
  </si>
  <si>
    <t>Scrap books</t>
  </si>
  <si>
    <t>Albums à découper</t>
  </si>
  <si>
    <t>103116</t>
  </si>
  <si>
    <t>Albums of all sorts [stamps, photographs, postcards]</t>
  </si>
  <si>
    <t>Albums de toutes sortes [timbres, photographies, cartes postales]</t>
  </si>
  <si>
    <t>103117</t>
  </si>
  <si>
    <t>Almanacs</t>
  </si>
  <si>
    <t>Almanachs</t>
  </si>
  <si>
    <t>103118</t>
  </si>
  <si>
    <t>Binding rings</t>
  </si>
  <si>
    <t>Anneaux de reliure</t>
  </si>
  <si>
    <t>103119</t>
  </si>
  <si>
    <t>Scoring pads for bridge</t>
  </si>
  <si>
    <t>Blocs pour le bridge</t>
  </si>
  <si>
    <t>103120</t>
  </si>
  <si>
    <t>Note pads</t>
  </si>
  <si>
    <t>Blocs-notes</t>
  </si>
  <si>
    <t>103121</t>
  </si>
  <si>
    <t>Notebooks [books]</t>
  </si>
  <si>
    <t>Cahiers</t>
  </si>
  <si>
    <t>Carnets</t>
  </si>
  <si>
    <t>103122</t>
  </si>
  <si>
    <t>Postage stamp classifiers</t>
  </si>
  <si>
    <t>Classeurs pour timbres-poste</t>
  </si>
  <si>
    <t>103123</t>
  </si>
  <si>
    <t>Book covers</t>
  </si>
  <si>
    <t>Couvertures de livres</t>
  </si>
  <si>
    <t>103124</t>
  </si>
  <si>
    <t>Photograph albums</t>
  </si>
  <si>
    <t>Albums pour photographies</t>
  </si>
  <si>
    <t>Snapshot albums</t>
  </si>
  <si>
    <t>Albums de photographies</t>
  </si>
  <si>
    <t>103125</t>
  </si>
  <si>
    <t>Books</t>
  </si>
  <si>
    <t>Livres</t>
  </si>
  <si>
    <t>103126</t>
  </si>
  <si>
    <t>Booklets</t>
  </si>
  <si>
    <t>Livrets</t>
  </si>
  <si>
    <t>103127</t>
  </si>
  <si>
    <t>Office ledgers</t>
  </si>
  <si>
    <t>Registres [articles de bureau]</t>
  </si>
  <si>
    <t>103128</t>
  </si>
  <si>
    <t>Bindings [book]</t>
  </si>
  <si>
    <t>Reliures</t>
  </si>
  <si>
    <t>103129</t>
  </si>
  <si>
    <t>Magazines</t>
  </si>
  <si>
    <t>Revues</t>
  </si>
  <si>
    <t>103130</t>
  </si>
  <si>
    <t>Catalogues</t>
  </si>
  <si>
    <t>Catalogs</t>
  </si>
  <si>
    <t>103131</t>
  </si>
  <si>
    <t>Stamp albums</t>
  </si>
  <si>
    <t>Albums de timbres-poste</t>
  </si>
  <si>
    <t>103132</t>
  </si>
  <si>
    <t>Postcard albums</t>
  </si>
  <si>
    <t>Albums de cartes postales</t>
  </si>
  <si>
    <t>103133</t>
  </si>
  <si>
    <t>Book jackets</t>
  </si>
  <si>
    <t>Liseuses [couvre-livres]</t>
  </si>
  <si>
    <t>Couvre-livres [liseuses]</t>
  </si>
  <si>
    <t>103134</t>
  </si>
  <si>
    <t>Accounting books</t>
  </si>
  <si>
    <t>Livres pour comptabilité</t>
  </si>
  <si>
    <t>103135</t>
  </si>
  <si>
    <t>Music books</t>
  </si>
  <si>
    <t>Cahiers de musique</t>
  </si>
  <si>
    <t>103136</t>
  </si>
  <si>
    <t>Document folders</t>
  </si>
  <si>
    <t>Pochettes pour documents</t>
  </si>
  <si>
    <t>Poches protectrices de documents</t>
  </si>
  <si>
    <t>103137</t>
  </si>
  <si>
    <t>Address books</t>
  </si>
  <si>
    <t>Répertoires d'adresses</t>
  </si>
  <si>
    <t>103138</t>
  </si>
  <si>
    <t>Shorthand pads</t>
  </si>
  <si>
    <t>Blocs de sténographie</t>
  </si>
  <si>
    <t>103139</t>
  </si>
  <si>
    <t>Filing containers for compact discs</t>
  </si>
  <si>
    <t>Classeurs pour disques compacts</t>
  </si>
  <si>
    <t>103140</t>
  </si>
  <si>
    <t>Filing containers for diskettes</t>
  </si>
  <si>
    <t>Classeurs pour disquettes</t>
  </si>
  <si>
    <t>103141</t>
  </si>
  <si>
    <t>Filing containers for visiting cards</t>
  </si>
  <si>
    <t>Classeurs pour cartes de visite</t>
  </si>
  <si>
    <t>103244</t>
  </si>
  <si>
    <t>Printed leaves of albums</t>
  </si>
  <si>
    <t>Feuilles d'album [imprimées]</t>
  </si>
  <si>
    <t>103265</t>
  </si>
  <si>
    <t>Album leaves fitted with pockets</t>
  </si>
  <si>
    <t>Feuilles d'albums pourvues de pochettes</t>
  </si>
  <si>
    <t>103267</t>
  </si>
  <si>
    <t>Filing pages for coins for collectors</t>
  </si>
  <si>
    <t>Classeurs pour pièces de monnaie pour collectionneurs</t>
  </si>
  <si>
    <t>19-05</t>
  </si>
  <si>
    <t>19-06</t>
  </si>
  <si>
    <t>103142</t>
  </si>
  <si>
    <t>MATERIALS AND INSTRUMENTS FOR WRITING BY HAND, FOR DRAWING, FOR PAINTING, FOR SCULPTURE, FOR ENGRAVING AND FOR OTHER ARTISTIC TECHNIQUES</t>
  </si>
  <si>
    <t>Desk blotting mats</t>
  </si>
  <si>
    <t>Buvards</t>
  </si>
  <si>
    <t>103143</t>
  </si>
  <si>
    <t>Sharpeners for chalks</t>
  </si>
  <si>
    <t>Taille-craies</t>
  </si>
  <si>
    <t>103144</t>
  </si>
  <si>
    <t>Inkstands</t>
  </si>
  <si>
    <t>Écritoires</t>
  </si>
  <si>
    <t>103145</t>
  </si>
  <si>
    <t>Inkwells</t>
  </si>
  <si>
    <t>Encriers</t>
  </si>
  <si>
    <t>103146</t>
  </si>
  <si>
    <t>Desk mats</t>
  </si>
  <si>
    <t>Sous-main</t>
  </si>
  <si>
    <t>103147</t>
  </si>
  <si>
    <t>Writing slates</t>
  </si>
  <si>
    <t>Ardoises à écrire</t>
  </si>
  <si>
    <t>103148</t>
  </si>
  <si>
    <t>Fountain pen nibs</t>
  </si>
  <si>
    <t>Becs de plumes à réservoir</t>
  </si>
  <si>
    <t>103149</t>
  </si>
  <si>
    <t>Paint boxes for painters</t>
  </si>
  <si>
    <t>Boîtes à couleurs pour peintre</t>
  </si>
  <si>
    <t>103150</t>
  </si>
  <si>
    <t>Burins</t>
  </si>
  <si>
    <t>103151</t>
  </si>
  <si>
    <t>Cartridges for drawing ink</t>
  </si>
  <si>
    <t>Cartouches d'encre à dessin</t>
  </si>
  <si>
    <t>103152</t>
  </si>
  <si>
    <t>Canvas stretchers for painters</t>
  </si>
  <si>
    <t>Châssis de toiles de peintre</t>
  </si>
  <si>
    <t>103153</t>
  </si>
  <si>
    <t>Painters' easels</t>
  </si>
  <si>
    <t>Chevalets de peintre</t>
  </si>
  <si>
    <t>103154</t>
  </si>
  <si>
    <t>Drawing compasses</t>
  </si>
  <si>
    <t>Compas à dessin</t>
  </si>
  <si>
    <t>103155</t>
  </si>
  <si>
    <t>Dividers</t>
  </si>
  <si>
    <t>Compas à pointes sèches</t>
  </si>
  <si>
    <t>103156</t>
  </si>
  <si>
    <t>Curve tracers</t>
  </si>
  <si>
    <t>Curvigraphes</t>
  </si>
  <si>
    <t>Traceurs de courbes</t>
  </si>
  <si>
    <t>103157</t>
  </si>
  <si>
    <t>Line chalks</t>
  </si>
  <si>
    <t>Craies à écrire ou à marquer</t>
  </si>
  <si>
    <t>Craies à marquer ou écrire</t>
  </si>
  <si>
    <t>103158</t>
  </si>
  <si>
    <t>Pencils</t>
  </si>
  <si>
    <t>Crayons</t>
  </si>
  <si>
    <t>103159</t>
  </si>
  <si>
    <t>Crayons de pastel</t>
  </si>
  <si>
    <t>103160</t>
  </si>
  <si>
    <t>Drawing apparatus</t>
  </si>
  <si>
    <t>Appareils à dessiner</t>
  </si>
  <si>
    <t>103161</t>
  </si>
  <si>
    <t>Blackboard erasers</t>
  </si>
  <si>
    <t>Effaceurs pour tableaux noirs</t>
  </si>
  <si>
    <t>103162</t>
  </si>
  <si>
    <t>Ellipsographs</t>
  </si>
  <si>
    <t>Ellipsographes</t>
  </si>
  <si>
    <t>103163</t>
  </si>
  <si>
    <t>Toolmakers' squares</t>
  </si>
  <si>
    <t>Équerres d'outilleur</t>
  </si>
  <si>
    <t>103164</t>
  </si>
  <si>
    <t>Bevel protractors</t>
  </si>
  <si>
    <t>Fausses équerres à rapporteur</t>
  </si>
  <si>
    <t>103165</t>
  </si>
  <si>
    <t>Water color saucers for artists</t>
  </si>
  <si>
    <t>Godets de peinture</t>
  </si>
  <si>
    <t>103166</t>
  </si>
  <si>
    <t>Drawing implements</t>
  </si>
  <si>
    <t>Instruments de dessin</t>
  </si>
  <si>
    <t>103167</t>
  </si>
  <si>
    <t>Painters' palettes</t>
  </si>
  <si>
    <t>Palettes de peintre</t>
  </si>
  <si>
    <t>103168</t>
  </si>
  <si>
    <t>Pantographs for drawing</t>
  </si>
  <si>
    <t>Pantographes pour le dessin</t>
  </si>
  <si>
    <t>103169</t>
  </si>
  <si>
    <t>Pens</t>
  </si>
  <si>
    <t>Plumes à écrire</t>
  </si>
  <si>
    <t>103170</t>
  </si>
  <si>
    <t>Pencil boxes</t>
  </si>
  <si>
    <t>Plumiers</t>
  </si>
  <si>
    <t>Pen trays</t>
  </si>
  <si>
    <t>103171</t>
  </si>
  <si>
    <t>Stencils [patterns]</t>
  </si>
  <si>
    <t>Pochoirs</t>
  </si>
  <si>
    <t>103172</t>
  </si>
  <si>
    <t>Pen holders</t>
  </si>
  <si>
    <t>Porte-plume</t>
  </si>
  <si>
    <t>103173</t>
  </si>
  <si>
    <t>Fountain pens</t>
  </si>
  <si>
    <t>Porte-plume à réservoir</t>
  </si>
  <si>
    <t>103174</t>
  </si>
  <si>
    <t>Refills for ball-point pens</t>
  </si>
  <si>
    <t>Recharges pour stylos</t>
  </si>
  <si>
    <t>103175</t>
  </si>
  <si>
    <t>Office rulers</t>
  </si>
  <si>
    <t>Règles de bureau</t>
  </si>
  <si>
    <t>103176</t>
  </si>
  <si>
    <t>Styles</t>
  </si>
  <si>
    <t>103177</t>
  </si>
  <si>
    <t>Stylographs</t>
  </si>
  <si>
    <t>Stylographes</t>
  </si>
  <si>
    <t>103178</t>
  </si>
  <si>
    <t>School blackboards</t>
  </si>
  <si>
    <t>Tableaux noirs [école]</t>
  </si>
  <si>
    <t>103179</t>
  </si>
  <si>
    <t>Drawing squares</t>
  </si>
  <si>
    <t>Équerres à dessin</t>
  </si>
  <si>
    <t>103180</t>
  </si>
  <si>
    <t>Cutting squares</t>
  </si>
  <si>
    <t>Équerres de coupe</t>
  </si>
  <si>
    <t>103181</t>
  </si>
  <si>
    <t>Bevel squares</t>
  </si>
  <si>
    <t>Fausses équerres</t>
  </si>
  <si>
    <t>103182</t>
  </si>
  <si>
    <t>Eraser shields</t>
  </si>
  <si>
    <t>Gabarits [patrons] à effacer</t>
  </si>
  <si>
    <t>103183</t>
  </si>
  <si>
    <t>Erasing rubbers</t>
  </si>
  <si>
    <t>Gommes à effacer</t>
  </si>
  <si>
    <t>103184</t>
  </si>
  <si>
    <t>French curves</t>
  </si>
  <si>
    <t>Pistolets de dessinateur</t>
  </si>
  <si>
    <t>Pistolets pour le tracé des courbes</t>
  </si>
  <si>
    <t>103185</t>
  </si>
  <si>
    <t>Drawing boards [except tables]</t>
  </si>
  <si>
    <t>Planches à dessin</t>
  </si>
  <si>
    <t>103186</t>
  </si>
  <si>
    <t>Chalk holders</t>
  </si>
  <si>
    <t>Porte-craie</t>
  </si>
  <si>
    <t>103187</t>
  </si>
  <si>
    <t>Pencil holders</t>
  </si>
  <si>
    <t>Porte-crayon</t>
  </si>
  <si>
    <t>103188</t>
  </si>
  <si>
    <t>Propelling pencils</t>
  </si>
  <si>
    <t>Porte-mine</t>
  </si>
  <si>
    <t>Crayons porte-mines</t>
  </si>
  <si>
    <t>103189</t>
  </si>
  <si>
    <t>Protractors [also nautical]</t>
  </si>
  <si>
    <t>Rapporteurs d'angles [aussi pour la marine]</t>
  </si>
  <si>
    <t>103190</t>
  </si>
  <si>
    <t>Drawing rules</t>
  </si>
  <si>
    <t>Règles à dessin</t>
  </si>
  <si>
    <t>103191</t>
  </si>
  <si>
    <t>Electric engraving stylus</t>
  </si>
  <si>
    <t>Stylets électriques à graver</t>
  </si>
  <si>
    <t>103192</t>
  </si>
  <si>
    <t>Ball-point pens</t>
  </si>
  <si>
    <t>Stylos à billes</t>
  </si>
  <si>
    <t>103193</t>
  </si>
  <si>
    <t>Stands for pens</t>
  </si>
  <si>
    <t>Supports de plumes</t>
  </si>
  <si>
    <t>103194</t>
  </si>
  <si>
    <t>Pencil sharpeners</t>
  </si>
  <si>
    <t>Taille-crayons</t>
  </si>
  <si>
    <t>103195</t>
  </si>
  <si>
    <t>Hand blotters</t>
  </si>
  <si>
    <t>Tampons buvards</t>
  </si>
  <si>
    <t>103196</t>
  </si>
  <si>
    <t>Lead sharpeners [pencils]</t>
  </si>
  <si>
    <t>Taille-mines</t>
  </si>
  <si>
    <t>103197</t>
  </si>
  <si>
    <t>Drawing machine heads</t>
  </si>
  <si>
    <t>Têtes de machines à dessiner</t>
  </si>
  <si>
    <t>103198</t>
  </si>
  <si>
    <t>Thermocauteries for pyrography</t>
  </si>
  <si>
    <t>Thermocautères pour pyrogravure</t>
  </si>
  <si>
    <t>103199</t>
  </si>
  <si>
    <t>Drawing pens</t>
  </si>
  <si>
    <t>Tire-lignes</t>
  </si>
  <si>
    <t>Ruling pens</t>
  </si>
  <si>
    <t>103200</t>
  </si>
  <si>
    <t>Painting kits for water colorists</t>
  </si>
  <si>
    <t>Trousses d'aquarelliste</t>
  </si>
  <si>
    <t>104617</t>
  </si>
  <si>
    <t>Markers</t>
  </si>
  <si>
    <t>Surligneurs</t>
  </si>
  <si>
    <t>Highlighters</t>
  </si>
  <si>
    <t>104802</t>
  </si>
  <si>
    <t>3D printing pens</t>
  </si>
  <si>
    <t>Stylos d'impression 3D</t>
  </si>
  <si>
    <t>104803</t>
  </si>
  <si>
    <t>Signing machines</t>
  </si>
  <si>
    <t>Machines à signer</t>
  </si>
  <si>
    <t>19-07</t>
  </si>
  <si>
    <t>103201</t>
  </si>
  <si>
    <t>TEACHING MATERIALS AND APPARATUS</t>
  </si>
  <si>
    <t>Teaching apparatus [except audiovisual aids]</t>
  </si>
  <si>
    <t>Appareils d'enseignement [non audiovisuel]</t>
  </si>
  <si>
    <t>103202</t>
  </si>
  <si>
    <t>Geographical maps</t>
  </si>
  <si>
    <t>Cartes géographiques</t>
  </si>
  <si>
    <t>103203</t>
  </si>
  <si>
    <t>Road maps</t>
  </si>
  <si>
    <t>Cartes routières</t>
  </si>
  <si>
    <t>103204</t>
  </si>
  <si>
    <t>Teaching materials</t>
  </si>
  <si>
    <t>Matériel d'enseignement</t>
  </si>
  <si>
    <t>103205</t>
  </si>
  <si>
    <t>Terrestrial globes</t>
  </si>
  <si>
    <t>Globes terrestres</t>
  </si>
  <si>
    <t>103206</t>
  </si>
  <si>
    <t>Maps of the world in two hemispheres</t>
  </si>
  <si>
    <t>Mappemondes</t>
  </si>
  <si>
    <t>103207</t>
  </si>
  <si>
    <t>Planetariums</t>
  </si>
  <si>
    <t>Planétariums</t>
  </si>
  <si>
    <t>103208</t>
  </si>
  <si>
    <t>Astronomical maps</t>
  </si>
  <si>
    <t>Cartes astronomiques</t>
  </si>
  <si>
    <t>103209</t>
  </si>
  <si>
    <t>Astronomical globes</t>
  </si>
  <si>
    <t>Globes célestes</t>
  </si>
  <si>
    <t>103210</t>
  </si>
  <si>
    <t>Planispheres for navigation</t>
  </si>
  <si>
    <t>Planisphères de navigation</t>
  </si>
  <si>
    <t>103211</t>
  </si>
  <si>
    <t>City plans</t>
  </si>
  <si>
    <t>Plans de villes</t>
  </si>
  <si>
    <t>103212</t>
  </si>
  <si>
    <t>Panoramic tables [sightseeing]</t>
  </si>
  <si>
    <t>Tables d'orientation</t>
  </si>
  <si>
    <t>103213</t>
  </si>
  <si>
    <t>Pointers</t>
  </si>
  <si>
    <t>Baguettes pour indiquer</t>
  </si>
  <si>
    <t>103214</t>
  </si>
  <si>
    <t>Atlases</t>
  </si>
  <si>
    <t>Atlas</t>
  </si>
  <si>
    <t>104804</t>
  </si>
  <si>
    <t>Flight simulators for training</t>
  </si>
  <si>
    <t>Simulateurs de vol pour la formation</t>
  </si>
  <si>
    <t>104805</t>
  </si>
  <si>
    <t>Medical simulators for training</t>
  </si>
  <si>
    <t>Simulateurs pour l'apprentissage de gestes médicaux</t>
  </si>
  <si>
    <t>103273</t>
  </si>
  <si>
    <t>Map holders [teaching material]</t>
  </si>
  <si>
    <t>Porte-cartes [matériel d'enseignement]</t>
  </si>
  <si>
    <t>105005</t>
  </si>
  <si>
    <t>Laser pointers</t>
  </si>
  <si>
    <t>Pointeurs laser</t>
  </si>
  <si>
    <t>105106</t>
  </si>
  <si>
    <t>Driving simulators for training</t>
  </si>
  <si>
    <t>Simulateurs de conduite pour la formation</t>
  </si>
  <si>
    <t>19-08</t>
  </si>
  <si>
    <t>103215</t>
  </si>
  <si>
    <t>OTHER PRINTED MATTER</t>
  </si>
  <si>
    <t>Cards for registering absences</t>
  </si>
  <si>
    <t>Cartes de contrôle des absences</t>
  </si>
  <si>
    <t>103216</t>
  </si>
  <si>
    <t>Admission tickets</t>
  </si>
  <si>
    <t>Billets d'entrée [tickets]</t>
  </si>
  <si>
    <t>103217</t>
  </si>
  <si>
    <t>Embroidery designs [patterns]</t>
  </si>
  <si>
    <t>Modèle de broderie</t>
  </si>
  <si>
    <t>103218</t>
  </si>
  <si>
    <t>Seals for letters</t>
  </si>
  <si>
    <t>Cachets pour lettres [scellés]</t>
  </si>
  <si>
    <t>103219</t>
  </si>
  <si>
    <t>Calculating tables</t>
  </si>
  <si>
    <t>Tables de calcul</t>
  </si>
  <si>
    <t>103220</t>
  </si>
  <si>
    <t>Identification cards</t>
  </si>
  <si>
    <t>Cartes d'identité</t>
  </si>
  <si>
    <t>103221</t>
  </si>
  <si>
    <t>Credit cards</t>
  </si>
  <si>
    <t>Cartes de crédit</t>
  </si>
  <si>
    <t>103222</t>
  </si>
  <si>
    <t>Visiting cards</t>
  </si>
  <si>
    <t>Cartes de visite</t>
  </si>
  <si>
    <t>103223</t>
  </si>
  <si>
    <t>Cards for card indexes</t>
  </si>
  <si>
    <t>Cartes de fichiers</t>
  </si>
  <si>
    <t>103224</t>
  </si>
  <si>
    <t>Accounting sheets</t>
  </si>
  <si>
    <t>Fiches de comptabilité</t>
  </si>
  <si>
    <t>103225</t>
  </si>
  <si>
    <t>Transfers for vehicle registration plates</t>
  </si>
  <si>
    <t>Décalcomanies pour plaques d'immatriculation</t>
  </si>
  <si>
    <t>Transfers for vehicle license plates</t>
  </si>
  <si>
    <t>103226</t>
  </si>
  <si>
    <t>Transfers</t>
  </si>
  <si>
    <t>Décalques</t>
  </si>
  <si>
    <t>103227</t>
  </si>
  <si>
    <t>Parking discs</t>
  </si>
  <si>
    <t>Disques de stationnement</t>
  </si>
  <si>
    <t>103228</t>
  </si>
  <si>
    <t>Tables for indicating distances</t>
  </si>
  <si>
    <t>Tables indicatrices de distances</t>
  </si>
  <si>
    <t>Tables indicating distances</t>
  </si>
  <si>
    <t>103229</t>
  </si>
  <si>
    <t>Advertisement inserts</t>
  </si>
  <si>
    <t>Encarts publicitaires</t>
  </si>
  <si>
    <t>Advertisement insets</t>
  </si>
  <si>
    <t>103231</t>
  </si>
  <si>
    <t>Tags</t>
  </si>
  <si>
    <t>Étiquettes</t>
  </si>
  <si>
    <t>Labels</t>
  </si>
  <si>
    <t>103232</t>
  </si>
  <si>
    <t>Printed leaves of ledgers</t>
  </si>
  <si>
    <t>Feuilles de registre comptable [imprimées]</t>
  </si>
  <si>
    <t>103233</t>
  </si>
  <si>
    <t>Graphs</t>
  </si>
  <si>
    <t>Graphiques</t>
  </si>
  <si>
    <t>103234</t>
  </si>
  <si>
    <t>Engravings</t>
  </si>
  <si>
    <t>Gravures</t>
  </si>
  <si>
    <t>103235</t>
  </si>
  <si>
    <t>Timetables</t>
  </si>
  <si>
    <t>Horaires</t>
  </si>
  <si>
    <t>103236</t>
  </si>
  <si>
    <t>Test pictures for oculists' instruments</t>
  </si>
  <si>
    <t>Images-tests pour instruments d'oculistes</t>
  </si>
  <si>
    <t>103237</t>
  </si>
  <si>
    <t>Printed matter, including advertising materials</t>
  </si>
  <si>
    <t>Imprimés, y compris publicitaires</t>
  </si>
  <si>
    <t>103238</t>
  </si>
  <si>
    <t>Newspapers</t>
  </si>
  <si>
    <t>Journaux</t>
  </si>
  <si>
    <t>103239</t>
  </si>
  <si>
    <t>Music paper</t>
  </si>
  <si>
    <t>Papier à musique</t>
  </si>
  <si>
    <t>103240</t>
  </si>
  <si>
    <t>Topographical plans</t>
  </si>
  <si>
    <t>Plans topographiques</t>
  </si>
  <si>
    <t>103241</t>
  </si>
  <si>
    <t>Advertisement posters</t>
  </si>
  <si>
    <t>Affiches publicitaires</t>
  </si>
  <si>
    <t>103242</t>
  </si>
  <si>
    <t>Advertising placards</t>
  </si>
  <si>
    <t>Pancartes publicitaires</t>
  </si>
  <si>
    <t>103243</t>
  </si>
  <si>
    <t>Bank checks</t>
  </si>
  <si>
    <t>Chèques bancaires</t>
  </si>
  <si>
    <t>103245</t>
  </si>
  <si>
    <t>Templates for cutting</t>
  </si>
  <si>
    <t>Gabarits pour la coupe</t>
  </si>
  <si>
    <t>103246</t>
  </si>
  <si>
    <t>Railway timetables</t>
  </si>
  <si>
    <t>Tableaux horaires des trains</t>
  </si>
  <si>
    <t>103247</t>
  </si>
  <si>
    <t>Menstrual cycle indicators</t>
  </si>
  <si>
    <t>Indicateurs des cycles menstruels</t>
  </si>
  <si>
    <t>103248</t>
  </si>
  <si>
    <t>Medical prescription pads</t>
  </si>
  <si>
    <t>Blocs d'ordonnances médicales</t>
  </si>
  <si>
    <t>103249</t>
  </si>
  <si>
    <t>Patterns for dressmaking</t>
  </si>
  <si>
    <t>Patrons pour couture</t>
  </si>
  <si>
    <t>103250</t>
  </si>
  <si>
    <t>Architects' plans</t>
  </si>
  <si>
    <t>Plans d'architectes</t>
  </si>
  <si>
    <t>103251</t>
  </si>
  <si>
    <t>Stamp album leaves</t>
  </si>
  <si>
    <t>Feuilles d'albums de timbres-poste</t>
  </si>
  <si>
    <t>103253</t>
  </si>
  <si>
    <t>Forms [printed]</t>
  </si>
  <si>
    <t>Formulaires</t>
  </si>
  <si>
    <t>103254</t>
  </si>
  <si>
    <t>Prospectus</t>
  </si>
  <si>
    <t>103255</t>
  </si>
  <si>
    <t>Stickers</t>
  </si>
  <si>
    <t>Autocollants</t>
  </si>
  <si>
    <t>103256</t>
  </si>
  <si>
    <t>Smart cards</t>
  </si>
  <si>
    <t>Cartes à mémoire</t>
  </si>
  <si>
    <t>103257</t>
  </si>
  <si>
    <t>Chip cards</t>
  </si>
  <si>
    <t>Cartes à puce</t>
  </si>
  <si>
    <t>103258</t>
  </si>
  <si>
    <t>Magnetic cards</t>
  </si>
  <si>
    <t>Cartes magnétiques</t>
  </si>
  <si>
    <t>103259</t>
  </si>
  <si>
    <t>Lottery forms [printed]</t>
  </si>
  <si>
    <t>Bulletins de loterie [imprimés]</t>
  </si>
  <si>
    <t>19-99</t>
  </si>
  <si>
    <t>103260</t>
  </si>
  <si>
    <t>Label fasteners</t>
  </si>
  <si>
    <t>Attaches pour étiquettes</t>
  </si>
  <si>
    <t>103261</t>
  </si>
  <si>
    <t>Folders for film negatives [loose leaves]</t>
  </si>
  <si>
    <t>Classeurs pour négatifs de films</t>
  </si>
  <si>
    <t>103262</t>
  </si>
  <si>
    <t>Binding strips [bookbinding]</t>
  </si>
  <si>
    <t>Onglets [reliure]</t>
  </si>
  <si>
    <t>Onglets pour reliure</t>
  </si>
  <si>
    <t>103263</t>
  </si>
  <si>
    <t>Page turners</t>
  </si>
  <si>
    <t>Tourne-pages</t>
  </si>
  <si>
    <t>103264</t>
  </si>
  <si>
    <t>Calculating discs</t>
  </si>
  <si>
    <t>Disques à calcul</t>
  </si>
  <si>
    <t>103266</t>
  </si>
  <si>
    <t>Book markers</t>
  </si>
  <si>
    <t>Signets</t>
  </si>
  <si>
    <t>Marqueurs pour livres</t>
  </si>
  <si>
    <t>103268</t>
  </si>
  <si>
    <t>Newspaper holders [for reading]</t>
  </si>
  <si>
    <t>Porte-journaux [pour la lecture]</t>
  </si>
  <si>
    <t>103269</t>
  </si>
  <si>
    <t>Slide rules</t>
  </si>
  <si>
    <t>Règles à calcul</t>
  </si>
  <si>
    <t>103270</t>
  </si>
  <si>
    <t>Folders for photographic negatives and prints</t>
  </si>
  <si>
    <t>Pochettes pour négatifs et photographies</t>
  </si>
  <si>
    <t>103271</t>
  </si>
  <si>
    <t>Memo boards</t>
  </si>
  <si>
    <t>Tableaux mémentos</t>
  </si>
  <si>
    <t>103274</t>
  </si>
  <si>
    <t>Magnetic boards</t>
  </si>
  <si>
    <t>Tableaux magnétiques</t>
  </si>
  <si>
    <t>20</t>
  </si>
  <si>
    <t>20-01</t>
  </si>
  <si>
    <t>103276</t>
  </si>
  <si>
    <t>Equipo de ventas y publicidad, señales: Incluye letreros, equipos de venta y materiales promocionales.</t>
  </si>
  <si>
    <t>SALES AND ADVERTISING EQUIPMENT, SIGNS</t>
  </si>
  <si>
    <t>AUTOMATIC VENDING MACHINES</t>
  </si>
  <si>
    <t>Automatic vending machines for sweets</t>
  </si>
  <si>
    <t>Distributeurs automatiques de bonbons</t>
  </si>
  <si>
    <t>103277</t>
  </si>
  <si>
    <t>Money changing machines</t>
  </si>
  <si>
    <t>Changeurs de monnaie</t>
  </si>
  <si>
    <t>103278</t>
  </si>
  <si>
    <t>Automatic vending machines for cigarettes</t>
  </si>
  <si>
    <t>Distributeurs automatiques de cigarettes</t>
  </si>
  <si>
    <t>103279</t>
  </si>
  <si>
    <t>Coin-operated automatic vending machines</t>
  </si>
  <si>
    <t>Distributeurs automatiques pour la vente</t>
  </si>
  <si>
    <t>103280</t>
  </si>
  <si>
    <t>Transport ticket vending machines</t>
  </si>
  <si>
    <t>Distributeurs automatiques de titres de transport</t>
  </si>
  <si>
    <t>103281</t>
  </si>
  <si>
    <t>Automatic vending machines for drinks</t>
  </si>
  <si>
    <t>Distributeurs automatiques de boissons</t>
  </si>
  <si>
    <t>103282</t>
  </si>
  <si>
    <t>Automatic vending machines for ice cream cornets</t>
  </si>
  <si>
    <t>Distributeurs automatiques de cornets à glace</t>
  </si>
  <si>
    <t>103283</t>
  </si>
  <si>
    <t>Water dispensers</t>
  </si>
  <si>
    <t>Fontaines à eau [distributeurs]</t>
  </si>
  <si>
    <t>103284</t>
  </si>
  <si>
    <t>Control panels for vending apparatus</t>
  </si>
  <si>
    <t>Panneaux de commande pour appareils de vente</t>
  </si>
  <si>
    <t>103285</t>
  </si>
  <si>
    <t>Automatic teller machines [on-line banking terminals]</t>
  </si>
  <si>
    <t>Distributeurs bancaires automatiques</t>
  </si>
  <si>
    <t>104633</t>
  </si>
  <si>
    <t>Machines for collecting bottles or cans</t>
  </si>
  <si>
    <t>Machines collectrices de bouteilles ou de canettes</t>
  </si>
  <si>
    <t>104647</t>
  </si>
  <si>
    <t>Queue management devices</t>
  </si>
  <si>
    <t>Dispositifs pour la gestion de files d'attente</t>
  </si>
  <si>
    <t>104806</t>
  </si>
  <si>
    <t>Self-service payment terminals</t>
  </si>
  <si>
    <t>Bornes de paiement en libre service</t>
  </si>
  <si>
    <t>105006</t>
  </si>
  <si>
    <t>Self-service leasing machines for portable power banks</t>
  </si>
  <si>
    <t>Machines pour la location en libre-service de batteries externes portables</t>
  </si>
  <si>
    <t>20-02</t>
  </si>
  <si>
    <t>103286</t>
  </si>
  <si>
    <t>DISPLAY AND SALES EQUIPMENT</t>
  </si>
  <si>
    <t>Display units for bobbins of thread</t>
  </si>
  <si>
    <t>Présentoirs pour bobines de fil</t>
  </si>
  <si>
    <t>103287</t>
  </si>
  <si>
    <t>Dressmakers' busts for displaying or fitting</t>
  </si>
  <si>
    <t>Bustes d'étalage ou d'essayage</t>
  </si>
  <si>
    <t>103288</t>
  </si>
  <si>
    <t>Display racks</t>
  </si>
  <si>
    <t>Chevalets d'étalage</t>
  </si>
  <si>
    <t>Display stands</t>
  </si>
  <si>
    <t>103289</t>
  </si>
  <si>
    <t>Rollers for dispensing cloth [in shops]</t>
  </si>
  <si>
    <t>Dévidoirs pour étoffes [pour magasins]</t>
  </si>
  <si>
    <t>103290</t>
  </si>
  <si>
    <t>Petrol pumps [service stations]</t>
  </si>
  <si>
    <t>Distributeurs d'essence [stations-service]</t>
  </si>
  <si>
    <t>103291</t>
  </si>
  <si>
    <t>Display stalls [open-air]</t>
  </si>
  <si>
    <t>Éventaires</t>
  </si>
  <si>
    <t>103292</t>
  </si>
  <si>
    <t>Display units for writing implements</t>
  </si>
  <si>
    <t>Présentoirs pour instruments à écrire</t>
  </si>
  <si>
    <t>103293</t>
  </si>
  <si>
    <t>Tailors' dummies</t>
  </si>
  <si>
    <t>Mannequins</t>
  </si>
  <si>
    <t>103294</t>
  </si>
  <si>
    <t>Shade cards or charts for hair dyes</t>
  </si>
  <si>
    <t>Nuanciers pour teintures de cheveux</t>
  </si>
  <si>
    <t>103295</t>
  </si>
  <si>
    <t>Stands for millinery</t>
  </si>
  <si>
    <t>Piédestaux pour articles de mode</t>
  </si>
  <si>
    <t>103296</t>
  </si>
  <si>
    <t>Magazine display stands</t>
  </si>
  <si>
    <t>Porte-revues [étalages]</t>
  </si>
  <si>
    <t>103297</t>
  </si>
  <si>
    <t>Display units</t>
  </si>
  <si>
    <t>Présentoirs</t>
  </si>
  <si>
    <t>103298</t>
  </si>
  <si>
    <t>Stands for displaying bottles</t>
  </si>
  <si>
    <t>Socles pour présentation de flacons</t>
  </si>
  <si>
    <t>103299</t>
  </si>
  <si>
    <t>Sales stands</t>
  </si>
  <si>
    <t>Stands de vente</t>
  </si>
  <si>
    <t>103300</t>
  </si>
  <si>
    <t>Stands for ready-made clothes</t>
  </si>
  <si>
    <t>Supports d'articles de confection</t>
  </si>
  <si>
    <t>103301</t>
  </si>
  <si>
    <t>Makeup shade charts</t>
  </si>
  <si>
    <t>Tableaux des teintes de maquillage</t>
  </si>
  <si>
    <t>103302</t>
  </si>
  <si>
    <t>Fuel pumps [service stations]</t>
  </si>
  <si>
    <t>Distributeurs de carburants [stations-service]</t>
  </si>
  <si>
    <t>103303</t>
  </si>
  <si>
    <t>String dispensers</t>
  </si>
  <si>
    <t>Distributeurs de ficelles</t>
  </si>
  <si>
    <t>103304</t>
  </si>
  <si>
    <t>Dispensers for wrapping paper</t>
  </si>
  <si>
    <t>Distributeurs de papier d'emballage</t>
  </si>
  <si>
    <t>103305</t>
  </si>
  <si>
    <t>Racks for postcards</t>
  </si>
  <si>
    <t>Râteliers à cartes postales</t>
  </si>
  <si>
    <t>103306</t>
  </si>
  <si>
    <t>Dispensers for bags [packaging]</t>
  </si>
  <si>
    <t>Distributeurs de sacs [emballages]</t>
  </si>
  <si>
    <t>103307</t>
  </si>
  <si>
    <t>Showcases for watches [display units]</t>
  </si>
  <si>
    <t>Vitrines pour montres [présentoirs]</t>
  </si>
  <si>
    <t>103308</t>
  </si>
  <si>
    <t>Display stands for watches</t>
  </si>
  <si>
    <t>Présentoirs pour montres</t>
  </si>
  <si>
    <t>103309</t>
  </si>
  <si>
    <t>Display stands for ties</t>
  </si>
  <si>
    <t>Présentoirs pour cravates</t>
  </si>
  <si>
    <t>103310</t>
  </si>
  <si>
    <t>Display units for the sale of flowers or plants</t>
  </si>
  <si>
    <t>Supports-présentoirs pour la vente de fleurs ou de plantes</t>
  </si>
  <si>
    <t>103311</t>
  </si>
  <si>
    <t>Exhibition stands</t>
  </si>
  <si>
    <t>Stands d'exposition</t>
  </si>
  <si>
    <t>103312</t>
  </si>
  <si>
    <t>Stands for displaying samples</t>
  </si>
  <si>
    <t>Supports de présentation d'échantillons</t>
  </si>
  <si>
    <t>104652</t>
  </si>
  <si>
    <t>Rollup poster stands</t>
  </si>
  <si>
    <t>Supports pour affiches déroulantes</t>
  </si>
  <si>
    <t>104658</t>
  </si>
  <si>
    <t>Showcases [display units]</t>
  </si>
  <si>
    <t>Vitrines [présentoirs]</t>
  </si>
  <si>
    <t>105007</t>
  </si>
  <si>
    <t>Product pusher devices</t>
  </si>
  <si>
    <t>Poussoirs de produits</t>
  </si>
  <si>
    <t>20-03</t>
  </si>
  <si>
    <t>103313</t>
  </si>
  <si>
    <t>SIGNS, SIGNBOARDS AND ADVERTISING DEVICES</t>
  </si>
  <si>
    <t>Barber poles</t>
  </si>
  <si>
    <t>Bâtons de coiffeur [enseignes]</t>
  </si>
  <si>
    <t>103314</t>
  </si>
  <si>
    <t>Advertisement screens</t>
  </si>
  <si>
    <t>Écrans publicitaires</t>
  </si>
  <si>
    <t>103316</t>
  </si>
  <si>
    <t>Advertisement boards</t>
  </si>
  <si>
    <t>Panneaux publicitaires</t>
  </si>
  <si>
    <t>103317</t>
  </si>
  <si>
    <t>Advertising devices [luminous or not, mobile or static]</t>
  </si>
  <si>
    <t>Dispositifs publicitaires [lumineux ou non, mobiles ou non]</t>
  </si>
  <si>
    <t>103318</t>
  </si>
  <si>
    <t>Apparatus for animated advertising</t>
  </si>
  <si>
    <t>Appareils de publicité animée</t>
  </si>
  <si>
    <t>103319</t>
  </si>
  <si>
    <t>Boundary markers for hunting and fishing reservations</t>
  </si>
  <si>
    <t>Balises pour réserves de chasse et de pêche</t>
  </si>
  <si>
    <t>103320</t>
  </si>
  <si>
    <t>Registration plates for vehicles</t>
  </si>
  <si>
    <t>Plaques d'immatriculation de véhicules</t>
  </si>
  <si>
    <t>License plates for vehicles</t>
  </si>
  <si>
    <t>103322</t>
  </si>
  <si>
    <t>Nameplates</t>
  </si>
  <si>
    <t>Plaques nominatives</t>
  </si>
  <si>
    <t>103323</t>
  </si>
  <si>
    <t>Memorial tablets</t>
  </si>
  <si>
    <t>Plaques commémoratives</t>
  </si>
  <si>
    <t>Commemorative plaques</t>
  </si>
  <si>
    <t>103324</t>
  </si>
  <si>
    <t>Billboards</t>
  </si>
  <si>
    <t>Panneaux d'affichage</t>
  </si>
  <si>
    <t>103325</t>
  </si>
  <si>
    <t>Identity plaques</t>
  </si>
  <si>
    <t>Plaques d'identité</t>
  </si>
  <si>
    <t>103327</t>
  </si>
  <si>
    <t>Nationality plates for vehicles</t>
  </si>
  <si>
    <t>Plaques de nationalité de véhicules</t>
  </si>
  <si>
    <t>103328</t>
  </si>
  <si>
    <t>Game scoreboards</t>
  </si>
  <si>
    <t>Tableaux de marquage de résultats sportifs</t>
  </si>
  <si>
    <t>103329</t>
  </si>
  <si>
    <t>Pictographs</t>
  </si>
  <si>
    <t>Pictogrammes</t>
  </si>
  <si>
    <t>103330</t>
  </si>
  <si>
    <t>Advertising pillars</t>
  </si>
  <si>
    <t>Colonnes d'affichage</t>
  </si>
  <si>
    <t>103331</t>
  </si>
  <si>
    <t>Signboards for vehicles</t>
  </si>
  <si>
    <t>Enseignes pour véhicules</t>
  </si>
  <si>
    <t>103332</t>
  </si>
  <si>
    <t>Video screens [electronic notice boards]</t>
  </si>
  <si>
    <t>Écrans vidéo [tableaux d'affichage électroniques]</t>
  </si>
  <si>
    <t>103333</t>
  </si>
  <si>
    <t>Holders for advertising labels</t>
  </si>
  <si>
    <t>Supports pour étiquettes d'affichage</t>
  </si>
  <si>
    <t>103334</t>
  </si>
  <si>
    <t>Signboards for taxis</t>
  </si>
  <si>
    <t>Enseignes pour taxis</t>
  </si>
  <si>
    <t>103335</t>
  </si>
  <si>
    <t>Holographic signs, indicators and devices</t>
  </si>
  <si>
    <t>Enseignes, indicateurs et dispositifs holographiques</t>
  </si>
  <si>
    <t>104642</t>
  </si>
  <si>
    <t>Plant labels</t>
  </si>
  <si>
    <t>Étiquettes pour plantes</t>
  </si>
  <si>
    <t>104892</t>
  </si>
  <si>
    <t>Shop signs</t>
  </si>
  <si>
    <t>Enseignes de magasins</t>
  </si>
  <si>
    <t>105008</t>
  </si>
  <si>
    <t>Checkout dividers</t>
  </si>
  <si>
    <t>Séparateurs de caisse</t>
  </si>
  <si>
    <t>105107</t>
  </si>
  <si>
    <t>Digital signs</t>
  </si>
  <si>
    <t>Enseignes numériques</t>
  </si>
  <si>
    <t>105108</t>
  </si>
  <si>
    <t>Door signs</t>
  </si>
  <si>
    <t>Plaques de porte</t>
  </si>
  <si>
    <t>105109</t>
  </si>
  <si>
    <t>Electronic door signs</t>
  </si>
  <si>
    <t>Plaques de porte électroniques</t>
  </si>
  <si>
    <t>105110</t>
  </si>
  <si>
    <t>Frames for vehicle registration plates</t>
  </si>
  <si>
    <t>Cadres de plaques d'immatriculation</t>
  </si>
  <si>
    <t>Frames for vehicle license plates</t>
  </si>
  <si>
    <t>20-99</t>
  </si>
  <si>
    <t>104635</t>
  </si>
  <si>
    <t>Mascots</t>
  </si>
  <si>
    <t>Mascottes</t>
  </si>
  <si>
    <t>21</t>
  </si>
  <si>
    <t>21-01</t>
  </si>
  <si>
    <t>103336</t>
  </si>
  <si>
    <t>Juegos, juguetes, tiendas de campaña y artículos deportivos: Comprende juguetes, juegos, equipos deportivos y tiendas de campaña.</t>
  </si>
  <si>
    <t>GAMES, TOYS, TENTS AND SPORTS GOODS</t>
  </si>
  <si>
    <t>GAMES AND TOYS</t>
  </si>
  <si>
    <t>Balloons for children</t>
  </si>
  <si>
    <t>Ballons pour enfants [baudruches]</t>
  </si>
  <si>
    <t>103337</t>
  </si>
  <si>
    <t>Playing cards</t>
  </si>
  <si>
    <t>Cartes à jouer</t>
  </si>
  <si>
    <t>103338</t>
  </si>
  <si>
    <t>Hoops [toys]</t>
  </si>
  <si>
    <t>Cerceaux [jouets]</t>
  </si>
  <si>
    <t>103339</t>
  </si>
  <si>
    <t>Kites [toys]</t>
  </si>
  <si>
    <t>Cerfs-volants</t>
  </si>
  <si>
    <t>103340</t>
  </si>
  <si>
    <t>Rocking horses</t>
  </si>
  <si>
    <t>Chevaux à bascules</t>
  </si>
  <si>
    <t>103341</t>
  </si>
  <si>
    <t>Wooden horses [toys]</t>
  </si>
  <si>
    <t>Chevaux de bois [jouets]</t>
  </si>
  <si>
    <t>103342</t>
  </si>
  <si>
    <t>Tracks for racing cars [toys]</t>
  </si>
  <si>
    <t>Circuits de course de voitures [jeux]</t>
  </si>
  <si>
    <t>103343</t>
  </si>
  <si>
    <t>Construction sets for children</t>
  </si>
  <si>
    <t>Boîtes de construction pour enfants</t>
  </si>
  <si>
    <t>103344</t>
  </si>
  <si>
    <t>Skipping ropes</t>
  </si>
  <si>
    <t>Cordes à sauter</t>
  </si>
  <si>
    <t>103345</t>
  </si>
  <si>
    <t>Cups for dice</t>
  </si>
  <si>
    <t>Cornets à dés</t>
  </si>
  <si>
    <t>103346</t>
  </si>
  <si>
    <t>Checkers [games]</t>
  </si>
  <si>
    <t>Jeux de dames</t>
  </si>
  <si>
    <t>Draughts [games]</t>
  </si>
  <si>
    <t>103347</t>
  </si>
  <si>
    <t>Dice for games</t>
  </si>
  <si>
    <t>Dés pour le jeu</t>
  </si>
  <si>
    <t>103348</t>
  </si>
  <si>
    <t>Diabolos [toys]</t>
  </si>
  <si>
    <t>Diabolos</t>
  </si>
  <si>
    <t>103349</t>
  </si>
  <si>
    <t>Dominos [games]</t>
  </si>
  <si>
    <t>Dominos [jeux]</t>
  </si>
  <si>
    <t>103350</t>
  </si>
  <si>
    <t>Stilts</t>
  </si>
  <si>
    <t>Échasses</t>
  </si>
  <si>
    <t>103351</t>
  </si>
  <si>
    <t>Chess [games]</t>
  </si>
  <si>
    <t>Jeux d'échecs</t>
  </si>
  <si>
    <t>103352</t>
  </si>
  <si>
    <t>Chessboards</t>
  </si>
  <si>
    <t>Échiquiers</t>
  </si>
  <si>
    <t>103353</t>
  </si>
  <si>
    <t>Chessmen</t>
  </si>
  <si>
    <t>Figurines de jeux d'échecs</t>
  </si>
  <si>
    <t>103354</t>
  </si>
  <si>
    <t>Darts [games]</t>
  </si>
  <si>
    <t>Fléchettes [jeux]</t>
  </si>
  <si>
    <t>103355</t>
  </si>
  <si>
    <t>Table golf</t>
  </si>
  <si>
    <t>Golfs de table</t>
  </si>
  <si>
    <t>103356</t>
  </si>
  <si>
    <t>Courses and obstacles for miniature golf</t>
  </si>
  <si>
    <t>Pistes et obstacles de golfs miniatures</t>
  </si>
  <si>
    <t>103357</t>
  </si>
  <si>
    <t>Rattles [toys]</t>
  </si>
  <si>
    <t>Hochets</t>
  </si>
  <si>
    <t>103358</t>
  </si>
  <si>
    <t>Counters for games</t>
  </si>
  <si>
    <t>Jetons pour jeux divers</t>
  </si>
  <si>
    <t>103359</t>
  </si>
  <si>
    <t>Gameboard pieces</t>
  </si>
  <si>
    <t>Pièces de jeux</t>
  </si>
  <si>
    <t>103360</t>
  </si>
  <si>
    <t>Games, including educational games</t>
  </si>
  <si>
    <t>Jeux, y compris jeux pédagogiques</t>
  </si>
  <si>
    <t>103361</t>
  </si>
  <si>
    <t>Toys</t>
  </si>
  <si>
    <t>Jouets</t>
  </si>
  <si>
    <t>103362</t>
  </si>
  <si>
    <t>Mechanical toys</t>
  </si>
  <si>
    <t>Jouets mécaniques</t>
  </si>
  <si>
    <t>103363</t>
  </si>
  <si>
    <t>Kaleidoscopes [toys]</t>
  </si>
  <si>
    <t>Kaléidoscopes [jouets]</t>
  </si>
  <si>
    <t>103364</t>
  </si>
  <si>
    <t>Lotto [games]</t>
  </si>
  <si>
    <t>Lotos [jeux]</t>
  </si>
  <si>
    <t>103365</t>
  </si>
  <si>
    <t>Scorers for games</t>
  </si>
  <si>
    <t>Marqueurs pour jeux</t>
  </si>
  <si>
    <t>103366</t>
  </si>
  <si>
    <t>Scale models</t>
  </si>
  <si>
    <t>Modèles réduits</t>
  </si>
  <si>
    <t>103367</t>
  </si>
  <si>
    <t>Scooters [toys]</t>
  </si>
  <si>
    <t>Trottinettes [jouets]</t>
  </si>
  <si>
    <t>Patinettes [jouets]</t>
  </si>
  <si>
    <t>103368</t>
  </si>
  <si>
    <t>Pawns [chess]</t>
  </si>
  <si>
    <t>Pions de jeux d'échecs</t>
  </si>
  <si>
    <t>103369</t>
  </si>
  <si>
    <t>Gameboards</t>
  </si>
  <si>
    <t>Planches de jeux</t>
  </si>
  <si>
    <t>103370</t>
  </si>
  <si>
    <t>Dolls</t>
  </si>
  <si>
    <t>Poupées</t>
  </si>
  <si>
    <t>103371</t>
  </si>
  <si>
    <t>Heads for dolls</t>
  </si>
  <si>
    <t>Têtes de poupées</t>
  </si>
  <si>
    <t>Dolls' heads</t>
  </si>
  <si>
    <t>103372</t>
  </si>
  <si>
    <t>Prams for dolls</t>
  </si>
  <si>
    <t>Poussettes pour poupées</t>
  </si>
  <si>
    <t>103373</t>
  </si>
  <si>
    <t>Roulette [games]</t>
  </si>
  <si>
    <t>Roulette [jeux]</t>
  </si>
  <si>
    <t>103374</t>
  </si>
  <si>
    <t>Buckets [toys]</t>
  </si>
  <si>
    <t>Seaux [jouets]</t>
  </si>
  <si>
    <t>103375</t>
  </si>
  <si>
    <t>Spinning tops [toys]</t>
  </si>
  <si>
    <t>Toupies [jouets]</t>
  </si>
  <si>
    <t>103376</t>
  </si>
  <si>
    <t>Zanzibars [dice games]</t>
  </si>
  <si>
    <t>Zanzibars [jeux]</t>
  </si>
  <si>
    <t>103377</t>
  </si>
  <si>
    <t>Draughtboards</t>
  </si>
  <si>
    <t>Damiers pour le jeu</t>
  </si>
  <si>
    <t>Checkerboards</t>
  </si>
  <si>
    <t>103378</t>
  </si>
  <si>
    <t>Puppets</t>
  </si>
  <si>
    <t>Marionnettes</t>
  </si>
  <si>
    <t>Marionettes</t>
  </si>
  <si>
    <t>103379</t>
  </si>
  <si>
    <t>Billiard cue rests</t>
  </si>
  <si>
    <t>Râteaux [accessoires pour le jeu de billard]</t>
  </si>
  <si>
    <t>103380</t>
  </si>
  <si>
    <t>Chalk for billiard cues</t>
  </si>
  <si>
    <t>Craie pour queues de billard</t>
  </si>
  <si>
    <t>103381</t>
  </si>
  <si>
    <t>Soap-bubble pipes [toys]</t>
  </si>
  <si>
    <t>Pipes pour bulles de savon [jouets]</t>
  </si>
  <si>
    <t>103382</t>
  </si>
  <si>
    <t>Cribbage boards</t>
  </si>
  <si>
    <t>Planches de cribbage</t>
  </si>
  <si>
    <t>103383</t>
  </si>
  <si>
    <t>Jigsaw puzzles</t>
  </si>
  <si>
    <t>Puzzles [jeux]</t>
  </si>
  <si>
    <t>103384</t>
  </si>
  <si>
    <t>Billiard cues</t>
  </si>
  <si>
    <t>Queues de billard</t>
  </si>
  <si>
    <t>103385</t>
  </si>
  <si>
    <t>Jack-in-the-boxes</t>
  </si>
  <si>
    <t>Boîtes à surprises</t>
  </si>
  <si>
    <t>103386</t>
  </si>
  <si>
    <t>Articles of clothing for dolls</t>
  </si>
  <si>
    <t>Articles d'habillement pour poupées</t>
  </si>
  <si>
    <t>103387</t>
  </si>
  <si>
    <t>Electronic toys</t>
  </si>
  <si>
    <t>Jouets électroniques</t>
  </si>
  <si>
    <t>103388</t>
  </si>
  <si>
    <t>Joysticks for toys</t>
  </si>
  <si>
    <t>Manettes pour jouets</t>
  </si>
  <si>
    <t>103389</t>
  </si>
  <si>
    <t>Tricycles [toys]</t>
  </si>
  <si>
    <t>Tricycles [jouets]</t>
  </si>
  <si>
    <t>103390</t>
  </si>
  <si>
    <t>Paper dolls</t>
  </si>
  <si>
    <t>Poupées en papier</t>
  </si>
  <si>
    <t>103391</t>
  </si>
  <si>
    <t>Electronic games stations</t>
  </si>
  <si>
    <t>Stations de jeux électroniques</t>
  </si>
  <si>
    <t>103392</t>
  </si>
  <si>
    <t>Electronic games consoles</t>
  </si>
  <si>
    <t>Consoles de jeux électroniques</t>
  </si>
  <si>
    <t>103393</t>
  </si>
  <si>
    <t>Remote-controlled toys</t>
  </si>
  <si>
    <t>Jouets télécommandés</t>
  </si>
  <si>
    <t>103394</t>
  </si>
  <si>
    <t>Game cartridges for electronic games or electronic games stations</t>
  </si>
  <si>
    <t>Cassettes de jeux pour jeux électroniques ou stations de jeux électroniques</t>
  </si>
  <si>
    <t>103395</t>
  </si>
  <si>
    <t>Electronic billiards</t>
  </si>
  <si>
    <t>Billards électroniques</t>
  </si>
  <si>
    <t>103396</t>
  </si>
  <si>
    <t>Electronic games</t>
  </si>
  <si>
    <t>Jeux électroniques</t>
  </si>
  <si>
    <t>103397</t>
  </si>
  <si>
    <t>Vehicles [toys]</t>
  </si>
  <si>
    <t>Véhicules [jouets]</t>
  </si>
  <si>
    <t>103398</t>
  </si>
  <si>
    <t>Figurines [toys]</t>
  </si>
  <si>
    <t>Figurines [jouets]</t>
  </si>
  <si>
    <t>103399</t>
  </si>
  <si>
    <t>Cuddly toys</t>
  </si>
  <si>
    <t>Peluches [jouets]</t>
  </si>
  <si>
    <t>103400</t>
  </si>
  <si>
    <t>Backgammon sets</t>
  </si>
  <si>
    <t>Jeux de trictrac</t>
  </si>
  <si>
    <t>103401</t>
  </si>
  <si>
    <t>Board games</t>
  </si>
  <si>
    <t>Jeux de société</t>
  </si>
  <si>
    <t>104599</t>
  </si>
  <si>
    <t>Dance pads [electronic games]</t>
  </si>
  <si>
    <t>Tapis de danse [jeux électroniques]</t>
  </si>
  <si>
    <t>104614</t>
  </si>
  <si>
    <t>Glove puppets</t>
  </si>
  <si>
    <t>Marionnettes à gaine</t>
  </si>
  <si>
    <t>104807</t>
  </si>
  <si>
    <t>Robots [toys]</t>
  </si>
  <si>
    <t>Robots [jouets]</t>
  </si>
  <si>
    <t>104808</t>
  </si>
  <si>
    <t>Drones [toys]</t>
  </si>
  <si>
    <t>Drones [jouets]</t>
  </si>
  <si>
    <t>104809</t>
  </si>
  <si>
    <t>Foosball tables</t>
  </si>
  <si>
    <t>Baby-foot</t>
  </si>
  <si>
    <t>Football tables</t>
  </si>
  <si>
    <t>100566</t>
  </si>
  <si>
    <t>Tables for bridge</t>
  </si>
  <si>
    <t>Tables de bridge</t>
  </si>
  <si>
    <t>100567</t>
  </si>
  <si>
    <t>Tables for games</t>
  </si>
  <si>
    <t>Tables de jeu</t>
  </si>
  <si>
    <t>100573</t>
  </si>
  <si>
    <t>Billiard tables</t>
  </si>
  <si>
    <t>Tables de billard</t>
  </si>
  <si>
    <t>Billards</t>
  </si>
  <si>
    <t>104893</t>
  </si>
  <si>
    <t>Scale models to build</t>
  </si>
  <si>
    <t>Maquettes à assembler [modèles réduits]</t>
  </si>
  <si>
    <t>104894</t>
  </si>
  <si>
    <t>Construction toys with interlocking bricks</t>
  </si>
  <si>
    <t>Jeux de construction avec blocs autobloquants</t>
  </si>
  <si>
    <t>104895</t>
  </si>
  <si>
    <t>Billiard balls</t>
  </si>
  <si>
    <t>Billes de billard</t>
  </si>
  <si>
    <t>Boules de billard</t>
  </si>
  <si>
    <t>103402</t>
  </si>
  <si>
    <t>Marbles</t>
  </si>
  <si>
    <t>Billes pour jeux de bille</t>
  </si>
  <si>
    <t>105009</t>
  </si>
  <si>
    <t>Go-karts [toys]</t>
  </si>
  <si>
    <t>Karts à pédales [jouets]</t>
  </si>
  <si>
    <t>105010</t>
  </si>
  <si>
    <t>Baby gyms</t>
  </si>
  <si>
    <t>Tapis d'éveil</t>
  </si>
  <si>
    <t>105111</t>
  </si>
  <si>
    <t>Playing card holders</t>
  </si>
  <si>
    <t>Porte-cartes à jouer</t>
  </si>
  <si>
    <t>105112</t>
  </si>
  <si>
    <t>Mobiles [toys]</t>
  </si>
  <si>
    <t>Mobiles [jouets]</t>
  </si>
  <si>
    <t>21-02</t>
  </si>
  <si>
    <t>103403</t>
  </si>
  <si>
    <t>GYMNASTICS AND SPORTS APPARATUS AND EQUIPMENT</t>
  </si>
  <si>
    <t>Playing bowls</t>
  </si>
  <si>
    <t>Boules de jeu</t>
  </si>
  <si>
    <t>103404</t>
  </si>
  <si>
    <t>Ice hockey pucks</t>
  </si>
  <si>
    <t>Palets [de hockey sur glace]</t>
  </si>
  <si>
    <t>103405</t>
  </si>
  <si>
    <t>Skittles [games]</t>
  </si>
  <si>
    <t>Jeux de quilles</t>
  </si>
  <si>
    <t>103406</t>
  </si>
  <si>
    <t>Bowling pins</t>
  </si>
  <si>
    <t>Quilles à jouer</t>
  </si>
  <si>
    <t>103407</t>
  </si>
  <si>
    <t>Shuttlecocks</t>
  </si>
  <si>
    <t>Volants [jeux]</t>
  </si>
  <si>
    <t>103408</t>
  </si>
  <si>
    <t>Apparatus for gymnastics</t>
  </si>
  <si>
    <t>Agrès de gymnastique</t>
  </si>
  <si>
    <t>103409</t>
  </si>
  <si>
    <t>Rings for beach games</t>
  </si>
  <si>
    <t>Anneaux pour jeux de plage</t>
  </si>
  <si>
    <t>103410</t>
  </si>
  <si>
    <t>Ski edges</t>
  </si>
  <si>
    <t>Arêtes de skis</t>
  </si>
  <si>
    <t>103411</t>
  </si>
  <si>
    <t>Rowing exercising machines</t>
  </si>
  <si>
    <t>Appareils d'entraînement pour l'aviron</t>
  </si>
  <si>
    <t>103412</t>
  </si>
  <si>
    <t>Balls [toys]</t>
  </si>
  <si>
    <t>Balles de jeu</t>
  </si>
  <si>
    <t>103413</t>
  </si>
  <si>
    <t>Balls for sports</t>
  </si>
  <si>
    <t>Ballons de sport</t>
  </si>
  <si>
    <t>103414</t>
  </si>
  <si>
    <t>Horizontal bars [sports]</t>
  </si>
  <si>
    <t>Barres fixes [sport]</t>
  </si>
  <si>
    <t>103415</t>
  </si>
  <si>
    <t>Ski poles</t>
  </si>
  <si>
    <t>Bâtons de skis</t>
  </si>
  <si>
    <t>Ski sticks</t>
  </si>
  <si>
    <t>103416</t>
  </si>
  <si>
    <t>Training bicycles, stationary</t>
  </si>
  <si>
    <t>Bicyclettes d'entraînement [fixes]</t>
  </si>
  <si>
    <t>103417</t>
  </si>
  <si>
    <t>Golf clubs</t>
  </si>
  <si>
    <t>Clubs de golf</t>
  </si>
  <si>
    <t>Cannes de golf</t>
  </si>
  <si>
    <t>103418</t>
  </si>
  <si>
    <t>Treadmills [exercising devices]</t>
  </si>
  <si>
    <t>Cyclotrainers</t>
  </si>
  <si>
    <t>103419</t>
  </si>
  <si>
    <t>Discuses [sports]</t>
  </si>
  <si>
    <t>Disques à lancer</t>
  </si>
  <si>
    <t>103420</t>
  </si>
  <si>
    <t>Athletics equipment</t>
  </si>
  <si>
    <t>Engins d'athlétisme</t>
  </si>
  <si>
    <t>103421</t>
  </si>
  <si>
    <t>Bindings for skis and their parts</t>
  </si>
  <si>
    <t>Fixations de ski et leurs parties</t>
  </si>
  <si>
    <t>103422</t>
  </si>
  <si>
    <t>Exercising apparatus</t>
  </si>
  <si>
    <t>Exerciseurs</t>
  </si>
  <si>
    <t>103423</t>
  </si>
  <si>
    <t>Gymnasium equipment</t>
  </si>
  <si>
    <t>Équipements pour gymnases</t>
  </si>
  <si>
    <t>103424</t>
  </si>
  <si>
    <t>Dumbbells</t>
  </si>
  <si>
    <t>Haltères</t>
  </si>
  <si>
    <t>103425</t>
  </si>
  <si>
    <t>Apparatus for developing muscles</t>
  </si>
  <si>
    <t>Appareils pour développer la musculature</t>
  </si>
  <si>
    <t>103426</t>
  </si>
  <si>
    <t>Hurdles</t>
  </si>
  <si>
    <t>Obstacles [courses]</t>
  </si>
  <si>
    <t>103427</t>
  </si>
  <si>
    <t>Ice skates</t>
  </si>
  <si>
    <t>Patins à glace [sport]</t>
  </si>
  <si>
    <t>103428</t>
  </si>
  <si>
    <t>Roller skates</t>
  </si>
  <si>
    <t>Patins à roulettes</t>
  </si>
  <si>
    <t>103430</t>
  </si>
  <si>
    <t>Protective tips for skis</t>
  </si>
  <si>
    <t>Plaques protectrices pour pointes de ski</t>
  </si>
  <si>
    <t>Plaques protectrices pour pointes de skis</t>
  </si>
  <si>
    <t>103431</t>
  </si>
  <si>
    <t>Weights for athletics</t>
  </si>
  <si>
    <t>Poids pour athlétisme</t>
  </si>
  <si>
    <t>103432</t>
  </si>
  <si>
    <t>Racquets for games</t>
  </si>
  <si>
    <t>Raquettes pour jeux</t>
  </si>
  <si>
    <t>103433</t>
  </si>
  <si>
    <t>Soles of skis</t>
  </si>
  <si>
    <t>Semelles de skis</t>
  </si>
  <si>
    <t>103434</t>
  </si>
  <si>
    <t>Surface coverings of soles of skis</t>
  </si>
  <si>
    <t>Revêtements de semelles de skis</t>
  </si>
  <si>
    <t>103435</t>
  </si>
  <si>
    <t>Skis</t>
  </si>
  <si>
    <t>103436</t>
  </si>
  <si>
    <t>Trampolines</t>
  </si>
  <si>
    <t>103437</t>
  </si>
  <si>
    <t>Flying trapezes</t>
  </si>
  <si>
    <t>Trapèzes volants</t>
  </si>
  <si>
    <t>103438</t>
  </si>
  <si>
    <t>Valves for inflatable balls</t>
  </si>
  <si>
    <t>Valves de chambres à air de ballons de sport</t>
  </si>
  <si>
    <t>103439</t>
  </si>
  <si>
    <t>Roller skis</t>
  </si>
  <si>
    <t>Skis à roulettes</t>
  </si>
  <si>
    <t>103440</t>
  </si>
  <si>
    <t>Baseball bats</t>
  </si>
  <si>
    <t>Battes de baseball</t>
  </si>
  <si>
    <t>103441</t>
  </si>
  <si>
    <t>Crampons for climbing</t>
  </si>
  <si>
    <t>Crampons d'alpinistes</t>
  </si>
  <si>
    <t>103442</t>
  </si>
  <si>
    <t>Hand straps for ski sticks</t>
  </si>
  <si>
    <t>Dragonnes pour bâtons de ski</t>
  </si>
  <si>
    <t>Hand straps for ski poles</t>
  </si>
  <si>
    <t>103443</t>
  </si>
  <si>
    <t>Machines for physical exercise</t>
  </si>
  <si>
    <t>Engins pour exercices physiques</t>
  </si>
  <si>
    <t>103444</t>
  </si>
  <si>
    <t>Chest expanders</t>
  </si>
  <si>
    <t>Extenseurs pour la musculation</t>
  </si>
  <si>
    <t>103445</t>
  </si>
  <si>
    <t>Bowling alleys</t>
  </si>
  <si>
    <t>Jeux de boules</t>
  </si>
  <si>
    <t>103446</t>
  </si>
  <si>
    <t>Croquet sets</t>
  </si>
  <si>
    <t>Jeux de croquet</t>
  </si>
  <si>
    <t>103447</t>
  </si>
  <si>
    <t>Fencing masks</t>
  </si>
  <si>
    <t>Masques d'escrime</t>
  </si>
  <si>
    <t>103448</t>
  </si>
  <si>
    <t>Flippers for swimming</t>
  </si>
  <si>
    <t>Palmes pour nageurs</t>
  </si>
  <si>
    <t>Swim fins</t>
  </si>
  <si>
    <t>103449</t>
  </si>
  <si>
    <t>Nose clips for swimmers</t>
  </si>
  <si>
    <t>Pince-nez pour nageurs</t>
  </si>
  <si>
    <t>103450</t>
  </si>
  <si>
    <t>Ski stick handles</t>
  </si>
  <si>
    <t>Poignées de bâtons de ski</t>
  </si>
  <si>
    <t>Ski pole handles</t>
  </si>
  <si>
    <t>103451</t>
  </si>
  <si>
    <t>Frames for gymnastic exercises</t>
  </si>
  <si>
    <t>Portiques pour exercices physiques</t>
  </si>
  <si>
    <t>103452</t>
  </si>
  <si>
    <t>Ski stick discs</t>
  </si>
  <si>
    <t>Rondelles pour bâtons de ski</t>
  </si>
  <si>
    <t>Ski pole discs</t>
  </si>
  <si>
    <t>103453</t>
  </si>
  <si>
    <t>Surfboards</t>
  </si>
  <si>
    <t>Planches de surf</t>
  </si>
  <si>
    <t>103454</t>
  </si>
  <si>
    <t>Heel grips for ski bindings</t>
  </si>
  <si>
    <t>Talonnières pour fixations de skis</t>
  </si>
  <si>
    <t>103455</t>
  </si>
  <si>
    <t>Golf tees</t>
  </si>
  <si>
    <t>Tees de golf</t>
  </si>
  <si>
    <t>Golf pegs</t>
  </si>
  <si>
    <t>103457</t>
  </si>
  <si>
    <t>Skin-divers' masks</t>
  </si>
  <si>
    <t>Masques de plongée</t>
  </si>
  <si>
    <t>103458</t>
  </si>
  <si>
    <t>Wind-surfing boards</t>
  </si>
  <si>
    <t>Planches à voile</t>
  </si>
  <si>
    <t>103459</t>
  </si>
  <si>
    <t>Climbing ropes</t>
  </si>
  <si>
    <t>Cordes d'alpinistes</t>
  </si>
  <si>
    <t>103460</t>
  </si>
  <si>
    <t>Water skis</t>
  </si>
  <si>
    <t>Skis nautiques</t>
  </si>
  <si>
    <t>103461</t>
  </si>
  <si>
    <t>Sticks for playing sports</t>
  </si>
  <si>
    <t>Crosses de sport</t>
  </si>
  <si>
    <t>103462</t>
  </si>
  <si>
    <t>Flying discs [toys]</t>
  </si>
  <si>
    <t>Disques volants [jouets]</t>
  </si>
  <si>
    <t>103464</t>
  </si>
  <si>
    <t>Ice hockey sticks</t>
  </si>
  <si>
    <t>Crosses de hockey sur glace</t>
  </si>
  <si>
    <t>103465</t>
  </si>
  <si>
    <t>Cricket balls</t>
  </si>
  <si>
    <t>Balles de cricket</t>
  </si>
  <si>
    <t>103466</t>
  </si>
  <si>
    <t>Cricket bats</t>
  </si>
  <si>
    <t>Battes de cricket</t>
  </si>
  <si>
    <t>103467</t>
  </si>
  <si>
    <t>Croquet balls</t>
  </si>
  <si>
    <t>Boules de croquet</t>
  </si>
  <si>
    <t>103468</t>
  </si>
  <si>
    <t>Croquet mallets</t>
  </si>
  <si>
    <t>Maillets de croquet</t>
  </si>
  <si>
    <t>103469</t>
  </si>
  <si>
    <t>Skateboards</t>
  </si>
  <si>
    <t>Planches à roulettes</t>
  </si>
  <si>
    <t>103470</t>
  </si>
  <si>
    <t>Ski tips [spare parts]</t>
  </si>
  <si>
    <t>Pointes de skis [pièces détachées]</t>
  </si>
  <si>
    <t>103471</t>
  </si>
  <si>
    <t>Paragliders</t>
  </si>
  <si>
    <t>Parapentes</t>
  </si>
  <si>
    <t>103472</t>
  </si>
  <si>
    <t>Inline skates</t>
  </si>
  <si>
    <t>Patins à roulettes en ligne</t>
  </si>
  <si>
    <t>103473</t>
  </si>
  <si>
    <t>Snowboards</t>
  </si>
  <si>
    <t>Planches de surf des neiges</t>
  </si>
  <si>
    <t>103474</t>
  </si>
  <si>
    <t>Snowshoes</t>
  </si>
  <si>
    <t>Raquettes à neige</t>
  </si>
  <si>
    <t>100569</t>
  </si>
  <si>
    <t>Table tennis tables</t>
  </si>
  <si>
    <t>Tables pour tennis de table</t>
  </si>
  <si>
    <t>104896</t>
  </si>
  <si>
    <t>Bandy sticks</t>
  </si>
  <si>
    <t>Crosses de bandy</t>
  </si>
  <si>
    <t>104897</t>
  </si>
  <si>
    <t>Goals for sports</t>
  </si>
  <si>
    <t>Cages de but</t>
  </si>
  <si>
    <t>105011</t>
  </si>
  <si>
    <t>Belay devices [climbing equipment]</t>
  </si>
  <si>
    <t>Dispositifs d'assurage pour l'escalade</t>
  </si>
  <si>
    <t>105012</t>
  </si>
  <si>
    <t>Climbing walls</t>
  </si>
  <si>
    <t>Murs d'escalade</t>
  </si>
  <si>
    <t>105113</t>
  </si>
  <si>
    <t>Resistance bands</t>
  </si>
  <si>
    <t>Bandes de résistance pour le sport</t>
  </si>
  <si>
    <t>21-03</t>
  </si>
  <si>
    <t>103475</t>
  </si>
  <si>
    <t>OTHER AMUSEMENT AND ENTERTAINMENT ARTICLES</t>
  </si>
  <si>
    <t>Seesaws</t>
  </si>
  <si>
    <t>Balançoires</t>
  </si>
  <si>
    <t>Swings</t>
  </si>
  <si>
    <t>103476</t>
  </si>
  <si>
    <t>Automatic machines for games of chance</t>
  </si>
  <si>
    <t>Automates pour jeux de hasard</t>
  </si>
  <si>
    <t>103477</t>
  </si>
  <si>
    <t>Firecrackers for parties</t>
  </si>
  <si>
    <t>Bombes de salon</t>
  </si>
  <si>
    <t>103478</t>
  </si>
  <si>
    <t>Merry-go-rounds</t>
  </si>
  <si>
    <t>Manèges forains</t>
  </si>
  <si>
    <t>Carrousels</t>
  </si>
  <si>
    <t>Carrousels forains</t>
  </si>
  <si>
    <t>Roundabouts [fairground]</t>
  </si>
  <si>
    <t>103479</t>
  </si>
  <si>
    <t>Roundabouts for children's playgrounds</t>
  </si>
  <si>
    <t>Carrousels de jardins d'enfants</t>
  </si>
  <si>
    <t>103480</t>
  </si>
  <si>
    <t>Confetti</t>
  </si>
  <si>
    <t>Confettis</t>
  </si>
  <si>
    <t>103481</t>
  </si>
  <si>
    <t>Amusement apparatus</t>
  </si>
  <si>
    <t>Appareils de divertissement</t>
  </si>
  <si>
    <t>103482</t>
  </si>
  <si>
    <t>Ferris wheels</t>
  </si>
  <si>
    <t>Grandes roues [parcs d'attractions]</t>
  </si>
  <si>
    <t>103483</t>
  </si>
  <si>
    <t>One arm bandits</t>
  </si>
  <si>
    <t>Machines à sous [jeux de hasard]</t>
  </si>
  <si>
    <t>103484</t>
  </si>
  <si>
    <t>Paper streamers [entertainment articles]</t>
  </si>
  <si>
    <t>Serpentins [articles d'amusement]</t>
  </si>
  <si>
    <t>103485</t>
  </si>
  <si>
    <t>Fairground shooting galleries</t>
  </si>
  <si>
    <t>Stands de tir forains</t>
  </si>
  <si>
    <t>103486</t>
  </si>
  <si>
    <t>Scenic railways</t>
  </si>
  <si>
    <t>Montagnes russes</t>
  </si>
  <si>
    <t>Amusement railways</t>
  </si>
  <si>
    <t>Switchback railways [for amusement]</t>
  </si>
  <si>
    <t>103487</t>
  </si>
  <si>
    <t>Toboggan slides</t>
  </si>
  <si>
    <t>Toboggans [glissoires]</t>
  </si>
  <si>
    <t>Slides [chutes]</t>
  </si>
  <si>
    <t>Glissoires [toboggans]</t>
  </si>
  <si>
    <t>103488</t>
  </si>
  <si>
    <t>Jokes and tricks</t>
  </si>
  <si>
    <t>Attrapes et farces</t>
  </si>
  <si>
    <t>Tricks and jokes</t>
  </si>
  <si>
    <t>Farces et attrapes</t>
  </si>
  <si>
    <t>103489</t>
  </si>
  <si>
    <t>Masks for disguise</t>
  </si>
  <si>
    <t>Masques de déguisement</t>
  </si>
  <si>
    <t>103490</t>
  </si>
  <si>
    <t>Mirrors for fairgrounds</t>
  </si>
  <si>
    <t>Miroirs de foires</t>
  </si>
  <si>
    <t>103491</t>
  </si>
  <si>
    <t>Climbing frames [play equipment]</t>
  </si>
  <si>
    <t>Structures de jeux pour escalades</t>
  </si>
  <si>
    <t>103492</t>
  </si>
  <si>
    <t>Water slides</t>
  </si>
  <si>
    <t>Toboggans aquatiques</t>
  </si>
  <si>
    <t>103493</t>
  </si>
  <si>
    <t>Sand pits</t>
  </si>
  <si>
    <t>Bacs à sable</t>
  </si>
  <si>
    <t>103494</t>
  </si>
  <si>
    <t>Frames for outdoor games</t>
  </si>
  <si>
    <t>Structures de jeux de plein air</t>
  </si>
  <si>
    <t>104645</t>
  </si>
  <si>
    <t>Puppet theaters</t>
  </si>
  <si>
    <t>Théâtres de marionnettes</t>
  </si>
  <si>
    <t>104692</t>
  </si>
  <si>
    <t>Swimming pools [transportable]</t>
  </si>
  <si>
    <t>Piscines transportables</t>
  </si>
  <si>
    <t>104810</t>
  </si>
  <si>
    <t>Piñatas</t>
  </si>
  <si>
    <t>Pinatas</t>
  </si>
  <si>
    <t>105013</t>
  </si>
  <si>
    <t>Inflatable tubes for aquatic activities</t>
  </si>
  <si>
    <t>Bouées gonflables pour activités aquatiques</t>
  </si>
  <si>
    <t>21-04</t>
  </si>
  <si>
    <t>103495</t>
  </si>
  <si>
    <t>TENTS AND ACCESSORIES THEREOF</t>
  </si>
  <si>
    <t>Tent groundsheets</t>
  </si>
  <si>
    <t>Sols de fonds de tentes</t>
  </si>
  <si>
    <t>103496</t>
  </si>
  <si>
    <t>Tent poles</t>
  </si>
  <si>
    <t>Mâts de tentes</t>
  </si>
  <si>
    <t>103497</t>
  </si>
  <si>
    <t>Pegs for tents</t>
  </si>
  <si>
    <t>Piquets de tentes [sardines]</t>
  </si>
  <si>
    <t>Sardines [piquets de tentes]</t>
  </si>
  <si>
    <t>103498</t>
  </si>
  <si>
    <t>Tents</t>
  </si>
  <si>
    <t>Tentes</t>
  </si>
  <si>
    <t>103499</t>
  </si>
  <si>
    <t>Circus tents [big tops]</t>
  </si>
  <si>
    <t>Chapiteaux de cirques</t>
  </si>
  <si>
    <t>104634</t>
  </si>
  <si>
    <t>Marquees [tents]</t>
  </si>
  <si>
    <t>Chapiteaux [tentes pour manifestations]</t>
  </si>
  <si>
    <t>Tentes pour manifestations</t>
  </si>
  <si>
    <t>104898</t>
  </si>
  <si>
    <t>Rooftop tents for vehicles</t>
  </si>
  <si>
    <t>Tentes de toits pour véhicules</t>
  </si>
  <si>
    <t>21-99</t>
  </si>
  <si>
    <t>22</t>
  </si>
  <si>
    <t>22-01</t>
  </si>
  <si>
    <t>103500</t>
  </si>
  <si>
    <t>Armas, artículos pirotécnicos, artículos para caza, pesca y exterminio de plagas: Incluye armas y artículos relacionados con estas actividades.</t>
  </si>
  <si>
    <t>Clase 22 - Armas, artículos pirotécnicos, artículos para caza, pesca y exterminio de plagas: Incluye armas y artículos relacionados con estas actividades. Abarca armas de proyectil como pistolas y rifles, otras armas, municiones, cohetes, artículos pirotécnicos, blancos y accesorios para prácticas de tiro, equipos de caza y pesca, trampas, artículos para exterminio de plagas y otros artículos misceláneos.</t>
  </si>
  <si>
    <t>ARMS, PYROTECHNIC ARTICLES, ARTICLES FOR HUNTING, FISHING AND PEST KILLING</t>
  </si>
  <si>
    <t>PROJECTILE WEAPONS</t>
  </si>
  <si>
    <t>Slingshots</t>
  </si>
  <si>
    <t>Lance-pierres</t>
  </si>
  <si>
    <t>103501</t>
  </si>
  <si>
    <t>Gun carriages</t>
  </si>
  <si>
    <t>Affûts de canons</t>
  </si>
  <si>
    <t>103502</t>
  </si>
  <si>
    <t>Crossbows</t>
  </si>
  <si>
    <t>Arbalètes</t>
  </si>
  <si>
    <t>103503</t>
  </si>
  <si>
    <t>Spear guns for underwater fishing</t>
  </si>
  <si>
    <t>Arbalètes pour chasse sous-marine</t>
  </si>
  <si>
    <t>103504</t>
  </si>
  <si>
    <t>Bows [archery]</t>
  </si>
  <si>
    <t>Arcs de tir</t>
  </si>
  <si>
    <t>103505</t>
  </si>
  <si>
    <t>Firearms</t>
  </si>
  <si>
    <t>Armes à feu</t>
  </si>
  <si>
    <t>103506</t>
  </si>
  <si>
    <t>Cylinders of firearms</t>
  </si>
  <si>
    <t>Barillets d'armes</t>
  </si>
  <si>
    <t>103507</t>
  </si>
  <si>
    <t>Gun barrels</t>
  </si>
  <si>
    <t>Canons de fusils</t>
  </si>
  <si>
    <t>103508</t>
  </si>
  <si>
    <t>Harpoon guns</t>
  </si>
  <si>
    <t>Canons lance-harpons</t>
  </si>
  <si>
    <t>103509</t>
  </si>
  <si>
    <t>Anti-hail guns</t>
  </si>
  <si>
    <t>Canons paragrêle</t>
  </si>
  <si>
    <t>103510</t>
  </si>
  <si>
    <t>Carbines</t>
  </si>
  <si>
    <t>Carabines</t>
  </si>
  <si>
    <t>103511</t>
  </si>
  <si>
    <t>Butts of firearms</t>
  </si>
  <si>
    <t>Crosses d'armes</t>
  </si>
  <si>
    <t>103512</t>
  </si>
  <si>
    <t>Breeches of firearms</t>
  </si>
  <si>
    <t>Culasses d'armes à feu</t>
  </si>
  <si>
    <t>103513</t>
  </si>
  <si>
    <t>Rifles</t>
  </si>
  <si>
    <t>Fusils [armes]</t>
  </si>
  <si>
    <t>103514</t>
  </si>
  <si>
    <t>Guns for underwater fishing</t>
  </si>
  <si>
    <t>Fusils pour la pêche sous-marine</t>
  </si>
  <si>
    <t>103515</t>
  </si>
  <si>
    <t>Triggers for guns</t>
  </si>
  <si>
    <t>Gâchettes de fusils</t>
  </si>
  <si>
    <t>103516</t>
  </si>
  <si>
    <t>Spear guns</t>
  </si>
  <si>
    <t>Fusils lance-harpons</t>
  </si>
  <si>
    <t>103517</t>
  </si>
  <si>
    <t>Machine guns</t>
  </si>
  <si>
    <t>Mitrailleuses</t>
  </si>
  <si>
    <t>103518</t>
  </si>
  <si>
    <t>Howitzers</t>
  </si>
  <si>
    <t>Obusiers</t>
  </si>
  <si>
    <t>103519</t>
  </si>
  <si>
    <t>Pistols</t>
  </si>
  <si>
    <t>Pistolets [armes]</t>
  </si>
  <si>
    <t>103520</t>
  </si>
  <si>
    <t>Revolvers</t>
  </si>
  <si>
    <t>103521</t>
  </si>
  <si>
    <t>Slings for firearms</t>
  </si>
  <si>
    <t>Bretelles d'armes à feu</t>
  </si>
  <si>
    <t>103522</t>
  </si>
  <si>
    <t>Gun rests</t>
  </si>
  <si>
    <t>Chevalets de visée</t>
  </si>
  <si>
    <t>103523</t>
  </si>
  <si>
    <t>Guns</t>
  </si>
  <si>
    <t>Canons</t>
  </si>
  <si>
    <t>Cannons</t>
  </si>
  <si>
    <t>103524</t>
  </si>
  <si>
    <t>Air guns</t>
  </si>
  <si>
    <t>Fusils à air comprimé</t>
  </si>
  <si>
    <t>103525</t>
  </si>
  <si>
    <t>Handshields for shotguns</t>
  </si>
  <si>
    <t>Garde-mains pour fusils de chasse</t>
  </si>
  <si>
    <t>103526</t>
  </si>
  <si>
    <t>Rifle magazines</t>
  </si>
  <si>
    <t>Magasins de fusils</t>
  </si>
  <si>
    <t>103527</t>
  </si>
  <si>
    <t>Gun silencers</t>
  </si>
  <si>
    <t>Silencieux d'armes à feu</t>
  </si>
  <si>
    <t>103528</t>
  </si>
  <si>
    <t>Warning guns for protection against trespassers</t>
  </si>
  <si>
    <t>Canons avertisseurs pour la protection des propriétés</t>
  </si>
  <si>
    <t>103529</t>
  </si>
  <si>
    <t>Sub-machine-guns</t>
  </si>
  <si>
    <t>Mitraillettes</t>
  </si>
  <si>
    <t>103530</t>
  </si>
  <si>
    <t>Cartridge clips for firearms</t>
  </si>
  <si>
    <t>Chargeurs pour armes à feu</t>
  </si>
  <si>
    <t>22-02</t>
  </si>
  <si>
    <t>103531</t>
  </si>
  <si>
    <t>OTHER WEAPONS</t>
  </si>
  <si>
    <t>Bladed weapons</t>
  </si>
  <si>
    <t>Armes blanches</t>
  </si>
  <si>
    <t>103532</t>
  </si>
  <si>
    <t>Bayonets</t>
  </si>
  <si>
    <t>Baïonnettes</t>
  </si>
  <si>
    <t>103533</t>
  </si>
  <si>
    <t>Boomerangs</t>
  </si>
  <si>
    <t>103534</t>
  </si>
  <si>
    <t>Fencing-foil tips</t>
  </si>
  <si>
    <t>Boutons de fleurets</t>
  </si>
  <si>
    <t>103535</t>
  </si>
  <si>
    <t>Brass knuckles</t>
  </si>
  <si>
    <t>Coups-de-poing américains</t>
  </si>
  <si>
    <t>103536</t>
  </si>
  <si>
    <t>Swords</t>
  </si>
  <si>
    <t>Épées</t>
  </si>
  <si>
    <t>103537</t>
  </si>
  <si>
    <t>Fencing foils</t>
  </si>
  <si>
    <t>Fleurets</t>
  </si>
  <si>
    <t>103538</t>
  </si>
  <si>
    <t>Truncheons</t>
  </si>
  <si>
    <t>Matraques</t>
  </si>
  <si>
    <t>103539</t>
  </si>
  <si>
    <t>Sabres</t>
  </si>
  <si>
    <t>103540</t>
  </si>
  <si>
    <t>Flame throwers</t>
  </si>
  <si>
    <t>Lance-flammes</t>
  </si>
  <si>
    <t>104899</t>
  </si>
  <si>
    <t>Electroshock weapons</t>
  </si>
  <si>
    <t>Pistolets à impulsions électriques</t>
  </si>
  <si>
    <t>105014</t>
  </si>
  <si>
    <t>Anti-drone guns</t>
  </si>
  <si>
    <t>Fusils anti-drones</t>
  </si>
  <si>
    <t>105015</t>
  </si>
  <si>
    <t>Daggers</t>
  </si>
  <si>
    <t>Dagues</t>
  </si>
  <si>
    <t>22-03</t>
  </si>
  <si>
    <t>103541</t>
  </si>
  <si>
    <t>AMMUNITION, ROCKETS AND PYROTECHNIC ARTICLES</t>
  </si>
  <si>
    <t>Missile boosters</t>
  </si>
  <si>
    <t>Accélérateurs de missiles</t>
  </si>
  <si>
    <t>103542</t>
  </si>
  <si>
    <t>Ammunition caps</t>
  </si>
  <si>
    <t>Amorces [munition]</t>
  </si>
  <si>
    <t>103543</t>
  </si>
  <si>
    <t>Rifle bullets</t>
  </si>
  <si>
    <t>Balles de fusil</t>
  </si>
  <si>
    <t>103544</t>
  </si>
  <si>
    <t>Detonating capsules</t>
  </si>
  <si>
    <t>Capsules fulminantes</t>
  </si>
  <si>
    <t>103545</t>
  </si>
  <si>
    <t>Blasting caps</t>
  </si>
  <si>
    <t>Capsules fulminantes [mines]</t>
  </si>
  <si>
    <t>103546</t>
  </si>
  <si>
    <t>Cartridges [ammunition]</t>
  </si>
  <si>
    <t>Cartouches [munition]</t>
  </si>
  <si>
    <t>103547</t>
  </si>
  <si>
    <t>Blank cartridges</t>
  </si>
  <si>
    <t>Cartouches à blanc</t>
  </si>
  <si>
    <t>103548</t>
  </si>
  <si>
    <t>Blasting cartridges</t>
  </si>
  <si>
    <t>Cartouches de mines</t>
  </si>
  <si>
    <t>103549</t>
  </si>
  <si>
    <t>Detonators</t>
  </si>
  <si>
    <t>Détonateurs</t>
  </si>
  <si>
    <t>103550</t>
  </si>
  <si>
    <t>Arrows</t>
  </si>
  <si>
    <t>Flèches</t>
  </si>
  <si>
    <t>103551</t>
  </si>
  <si>
    <t>Rockets [fireworks or missiles]</t>
  </si>
  <si>
    <t>Fusées [balistiques ou pyrotechniques]</t>
  </si>
  <si>
    <t>103552</t>
  </si>
  <si>
    <t>Signalling flares</t>
  </si>
  <si>
    <t>Fusées de signalisation</t>
  </si>
  <si>
    <t>103553</t>
  </si>
  <si>
    <t>Grenades [missiles]</t>
  </si>
  <si>
    <t>Grenades [projectiles]</t>
  </si>
  <si>
    <t>103554</t>
  </si>
  <si>
    <t>Floating and underwater mines</t>
  </si>
  <si>
    <t>Mines flottantes et sous-marines</t>
  </si>
  <si>
    <t>103555</t>
  </si>
  <si>
    <t>Magnetic mines</t>
  </si>
  <si>
    <t>Mines magnétiques</t>
  </si>
  <si>
    <t>103556</t>
  </si>
  <si>
    <t>Guided missiles</t>
  </si>
  <si>
    <t>Missiles téléguidés</t>
  </si>
  <si>
    <t>103557</t>
  </si>
  <si>
    <t>Ammunition</t>
  </si>
  <si>
    <t>Munitions</t>
  </si>
  <si>
    <t>103558</t>
  </si>
  <si>
    <t>Projectiles</t>
  </si>
  <si>
    <t>103559</t>
  </si>
  <si>
    <t>Pyrotechnic articles</t>
  </si>
  <si>
    <t>Articles pyrotechniques</t>
  </si>
  <si>
    <t>103560</t>
  </si>
  <si>
    <t>Torpedoes</t>
  </si>
  <si>
    <t>Torpilles</t>
  </si>
  <si>
    <t>103561</t>
  </si>
  <si>
    <t>Ignition fuses</t>
  </si>
  <si>
    <t>Mèches d'allumage</t>
  </si>
  <si>
    <t>103562</t>
  </si>
  <si>
    <t>Torches [pyrotechnic]</t>
  </si>
  <si>
    <t>Torches pyrotechniques</t>
  </si>
  <si>
    <t>103563</t>
  </si>
  <si>
    <t>Distress signal rockets</t>
  </si>
  <si>
    <t>Fusées de signal de détresse</t>
  </si>
  <si>
    <t>22-04</t>
  </si>
  <si>
    <t>103564</t>
  </si>
  <si>
    <t>TARGETS AND ACCESSORIES</t>
  </si>
  <si>
    <t>Targets</t>
  </si>
  <si>
    <t>Cibles</t>
  </si>
  <si>
    <t>103565</t>
  </si>
  <si>
    <t>Clay-pigeon launchers</t>
  </si>
  <si>
    <t>Lance-pigeons artificiels</t>
  </si>
  <si>
    <t>103566</t>
  </si>
  <si>
    <t>Clay pigeons</t>
  </si>
  <si>
    <t>Pigeons artificiels</t>
  </si>
  <si>
    <t>22-05</t>
  </si>
  <si>
    <t>103567</t>
  </si>
  <si>
    <t>HUNTING AND FISHING EQUIPMENT</t>
  </si>
  <si>
    <t>Bait for fishing</t>
  </si>
  <si>
    <t>Amorces pour la pêche</t>
  </si>
  <si>
    <t>Appâts de pêche</t>
  </si>
  <si>
    <t>103568</t>
  </si>
  <si>
    <t>Decoy-birds</t>
  </si>
  <si>
    <t>Appeaux [automatiques ou non]</t>
  </si>
  <si>
    <t>103569</t>
  </si>
  <si>
    <t>Reels for fishing lines</t>
  </si>
  <si>
    <t>Bobines pour fil de pêche</t>
  </si>
  <si>
    <t>103570</t>
  </si>
  <si>
    <t>Nets [for ferrets and rabbits]</t>
  </si>
  <si>
    <t>Bourses [à furets et lapins]</t>
  </si>
  <si>
    <t>103571</t>
  </si>
  <si>
    <t>Fishing rods</t>
  </si>
  <si>
    <t>Cannes à pêche</t>
  </si>
  <si>
    <t>103572</t>
  </si>
  <si>
    <t>Pots and nets for shrimping</t>
  </si>
  <si>
    <t>Casiers pour la pêche aux crevettes</t>
  </si>
  <si>
    <t>103573</t>
  </si>
  <si>
    <t>Trawls</t>
  </si>
  <si>
    <t>Chaluts</t>
  </si>
  <si>
    <t>103574</t>
  </si>
  <si>
    <t>Spoon bait</t>
  </si>
  <si>
    <t>Cuillères pour la pêche</t>
  </si>
  <si>
    <t>103575</t>
  </si>
  <si>
    <t>Disgorgers [fishing]</t>
  </si>
  <si>
    <t>Dégorgeoirs [pêche]</t>
  </si>
  <si>
    <t>103576</t>
  </si>
  <si>
    <t>Swivels for fishing</t>
  </si>
  <si>
    <t>Émerillons pour pêcheur</t>
  </si>
  <si>
    <t>103577</t>
  </si>
  <si>
    <t>Fishing tackle</t>
  </si>
  <si>
    <t>Attirail de pêche</t>
  </si>
  <si>
    <t>103578</t>
  </si>
  <si>
    <t>Landing nets [fishing]</t>
  </si>
  <si>
    <t>Épuisettes pour la pêche</t>
  </si>
  <si>
    <t>103579</t>
  </si>
  <si>
    <t>Fishing nets</t>
  </si>
  <si>
    <t>Filets de pêche</t>
  </si>
  <si>
    <t>103580</t>
  </si>
  <si>
    <t>Floats for fishing</t>
  </si>
  <si>
    <t>Flotteurs pour la pêche</t>
  </si>
  <si>
    <t>Flottes pour la pêche</t>
  </si>
  <si>
    <t>103581</t>
  </si>
  <si>
    <t>Reel type brakes [fishing rods]</t>
  </si>
  <si>
    <t>Freins de moulinet de pêche</t>
  </si>
  <si>
    <t>103582</t>
  </si>
  <si>
    <t>Fish hooks</t>
  </si>
  <si>
    <t>Hameçons</t>
  </si>
  <si>
    <t>103583</t>
  </si>
  <si>
    <t>Fishing harpoons</t>
  </si>
  <si>
    <t>Harpons de pêche</t>
  </si>
  <si>
    <t>Spears for fishing</t>
  </si>
  <si>
    <t>103584</t>
  </si>
  <si>
    <t>Artificial flies for fishing</t>
  </si>
  <si>
    <t>Insectes artificiels pour la pêche</t>
  </si>
  <si>
    <t>Mouches artificielles</t>
  </si>
  <si>
    <t>103585</t>
  </si>
  <si>
    <t>Artificial worms for fishing</t>
  </si>
  <si>
    <t>Larves artificielles pour la pêche</t>
  </si>
  <si>
    <t>103586</t>
  </si>
  <si>
    <t>Fishing lures</t>
  </si>
  <si>
    <t>Leurres pour la pêche</t>
  </si>
  <si>
    <t>103587</t>
  </si>
  <si>
    <t>Fishing lines</t>
  </si>
  <si>
    <t>Lignes de pêche</t>
  </si>
  <si>
    <t>103588</t>
  </si>
  <si>
    <t>Reels for fishing rods</t>
  </si>
  <si>
    <t>Moulinets de canne à pêche</t>
  </si>
  <si>
    <t>103589</t>
  </si>
  <si>
    <t>Fishing traps</t>
  </si>
  <si>
    <t>Nasses de pêche</t>
  </si>
  <si>
    <t>103590</t>
  </si>
  <si>
    <t>Sinkers for fishing</t>
  </si>
  <si>
    <t>Plombs pour la pêche</t>
  </si>
  <si>
    <t>103591</t>
  </si>
  <si>
    <t>Bait buckets</t>
  </si>
  <si>
    <t>Seaux à vifs pour la pêche</t>
  </si>
  <si>
    <t>103592</t>
  </si>
  <si>
    <t>Lobster creels</t>
  </si>
  <si>
    <t>Casiers à homards</t>
  </si>
  <si>
    <t>103593</t>
  </si>
  <si>
    <t>Decoys for hunting</t>
  </si>
  <si>
    <t>Leurres pour la chasse</t>
  </si>
  <si>
    <t>103594</t>
  </si>
  <si>
    <t>Artificial fish with hooks [bait]</t>
  </si>
  <si>
    <t>Poissons artificiels à hameçons [appâts]</t>
  </si>
  <si>
    <t>103595</t>
  </si>
  <si>
    <t>Fishing bait holders</t>
  </si>
  <si>
    <t>Porte-appâts de pêche</t>
  </si>
  <si>
    <t>103596</t>
  </si>
  <si>
    <t>Fishing rod holders</t>
  </si>
  <si>
    <t>Porte-cannes à pêche</t>
  </si>
  <si>
    <t>103597</t>
  </si>
  <si>
    <t>Fishing rod props</t>
  </si>
  <si>
    <t>Piques pour cannes à pêche</t>
  </si>
  <si>
    <t>105016</t>
  </si>
  <si>
    <t>Fishing net clearers</t>
  </si>
  <si>
    <t>Paumailleurs</t>
  </si>
  <si>
    <t>Démêleurs-transporteurs de filets</t>
  </si>
  <si>
    <t>105114</t>
  </si>
  <si>
    <t>Underwater fishing lights for attracting fish</t>
  </si>
  <si>
    <t>Lampes de pêche sous-marine pour attirer les poissons</t>
  </si>
  <si>
    <t>22-06</t>
  </si>
  <si>
    <t>103599</t>
  </si>
  <si>
    <t>TRAPS, ARTICLES FOR PEST KILLING</t>
  </si>
  <si>
    <t>Traps and articles for destruction of pests</t>
  </si>
  <si>
    <t>Pièges et articles pour la destruction d'animaux nuisibles</t>
  </si>
  <si>
    <t>103600</t>
  </si>
  <si>
    <t>Insect or bird catching nets</t>
  </si>
  <si>
    <t>Filets à insectes ou à oiseaux</t>
  </si>
  <si>
    <t>103601</t>
  </si>
  <si>
    <t>Traps for animals</t>
  </si>
  <si>
    <t>Pièges pour animaux</t>
  </si>
  <si>
    <t>103602</t>
  </si>
  <si>
    <t>Traps for insects [electric or non-electric]</t>
  </si>
  <si>
    <t>Pièges pour insectes [électriques ou non électriques]</t>
  </si>
  <si>
    <t>103603</t>
  </si>
  <si>
    <t>Rat traps</t>
  </si>
  <si>
    <t>Ratières [pièges à rats]</t>
  </si>
  <si>
    <t>103604</t>
  </si>
  <si>
    <t>Mousetraps</t>
  </si>
  <si>
    <t>Souricières</t>
  </si>
  <si>
    <t>103606</t>
  </si>
  <si>
    <t>Caterpillar lanterns [traps]</t>
  </si>
  <si>
    <t>Falots pour prendre les chenilles</t>
  </si>
  <si>
    <t>103607</t>
  </si>
  <si>
    <t>Lark mirrors</t>
  </si>
  <si>
    <t>Miroirs à alouettes</t>
  </si>
  <si>
    <t>103608</t>
  </si>
  <si>
    <t>Flypaper holders</t>
  </si>
  <si>
    <t>Porte-attrape-mouches</t>
  </si>
  <si>
    <t>103609</t>
  </si>
  <si>
    <t>Fly swatters</t>
  </si>
  <si>
    <t>Tapettes tue-mouches</t>
  </si>
  <si>
    <t>Tue-mouches</t>
  </si>
  <si>
    <t>103610</t>
  </si>
  <si>
    <t>Atomizers for insecticides [except aerosol dispensers and agricultural atomizers]</t>
  </si>
  <si>
    <t>Vaporisateurs d'insecticides [à l'exception des bombes aérosols et des pulvérisateurs agricoles]</t>
  </si>
  <si>
    <t>103611</t>
  </si>
  <si>
    <t>Moth traps</t>
  </si>
  <si>
    <t>Antimites</t>
  </si>
  <si>
    <t>104571</t>
  </si>
  <si>
    <t>Baits for mousetraps or rat traps</t>
  </si>
  <si>
    <t>Appâts pour souricières ou ratières</t>
  </si>
  <si>
    <t>104811</t>
  </si>
  <si>
    <t>Mosquito repellent bracelets</t>
  </si>
  <si>
    <t>Bracelets anti-moustiques</t>
  </si>
  <si>
    <t>104812</t>
  </si>
  <si>
    <t>Refills for mosquito repellent bracelets</t>
  </si>
  <si>
    <t>Recharges pour bracelets anti-moustiques</t>
  </si>
  <si>
    <t>22-99</t>
  </si>
  <si>
    <t>103612</t>
  </si>
  <si>
    <t>Armor</t>
  </si>
  <si>
    <t>Armures</t>
  </si>
  <si>
    <t>103613</t>
  </si>
  <si>
    <t>Shields [arms]</t>
  </si>
  <si>
    <t>Boucliers [armes]</t>
  </si>
  <si>
    <t>103614</t>
  </si>
  <si>
    <t>Paravanes</t>
  </si>
  <si>
    <t>Pare-mines</t>
  </si>
  <si>
    <t>103615</t>
  </si>
  <si>
    <t>Camouflage nets</t>
  </si>
  <si>
    <t>Filets de camouflage</t>
  </si>
  <si>
    <t>23</t>
  </si>
  <si>
    <t>23-01</t>
  </si>
  <si>
    <t>103616</t>
  </si>
  <si>
    <t>Equipos de distribución de fluidos, sanitarios, calefacción, ventilación y aire acondicionado, combustibles sólidos: Abarca equipos relacionados con sistemas de fluidos y climatización.</t>
  </si>
  <si>
    <t>FLUID DISTRIBUTION EQUIPMENT, SANITARY, HEATING, VENTILATION AND AIR CONDITIONING EQUIPMENT, SOLID FUEL</t>
  </si>
  <si>
    <t>FLUID DISTRIBUTION EQUIPMENT</t>
  </si>
  <si>
    <t>Adapters for pipe joints</t>
  </si>
  <si>
    <t>Adaptateurs pour raccords de tuyauterie</t>
  </si>
  <si>
    <t>103617</t>
  </si>
  <si>
    <t>Water softening apparatus</t>
  </si>
  <si>
    <t>Appareils pour l'adoucissement de l'eau</t>
  </si>
  <si>
    <t>103618</t>
  </si>
  <si>
    <t>Water sprinklers</t>
  </si>
  <si>
    <t>Installations d'arrosage</t>
  </si>
  <si>
    <t>103619</t>
  </si>
  <si>
    <t>Tap casings</t>
  </si>
  <si>
    <t>Boisseaux de robinets</t>
  </si>
  <si>
    <t>103620</t>
  </si>
  <si>
    <t>Hydrants</t>
  </si>
  <si>
    <t>Prises d'eau</t>
  </si>
  <si>
    <t>Bouches d'eau</t>
  </si>
  <si>
    <t>103621</t>
  </si>
  <si>
    <t>Anti-splash nozzles for taps</t>
  </si>
  <si>
    <t>Brise-jet pour robinets</t>
  </si>
  <si>
    <t>103622</t>
  </si>
  <si>
    <t>Faucet handles</t>
  </si>
  <si>
    <t>Clefs de robinets</t>
  </si>
  <si>
    <t>103623</t>
  </si>
  <si>
    <t>Suction roses</t>
  </si>
  <si>
    <t>Crépines [filtres]</t>
  </si>
  <si>
    <t>103624</t>
  </si>
  <si>
    <t>Pressure reducers for gas</t>
  </si>
  <si>
    <t>Détendeurs de gaz</t>
  </si>
  <si>
    <t>103625</t>
  </si>
  <si>
    <t>Fluid distribution equipment</t>
  </si>
  <si>
    <t>Installations pour la distribution de fluides</t>
  </si>
  <si>
    <t>103626</t>
  </si>
  <si>
    <t>Tap bases</t>
  </si>
  <si>
    <t>Embases de robinets</t>
  </si>
  <si>
    <t>103627</t>
  </si>
  <si>
    <t>Water filters</t>
  </si>
  <si>
    <t>Filtres à eau</t>
  </si>
  <si>
    <t>103628</t>
  </si>
  <si>
    <t>Drinking fountains</t>
  </si>
  <si>
    <t>Fontaines à eau potable</t>
  </si>
  <si>
    <t>103629</t>
  </si>
  <si>
    <t>Apparatus for supply of gas</t>
  </si>
  <si>
    <t>Appareils pour la distribution de gaz</t>
  </si>
  <si>
    <t>103630</t>
  </si>
  <si>
    <t>Waterspouts</t>
  </si>
  <si>
    <t>Goulottes</t>
  </si>
  <si>
    <t>103631</t>
  </si>
  <si>
    <t>Joints for pipes</t>
  </si>
  <si>
    <t>Raccords de tuyaux</t>
  </si>
  <si>
    <t>Joints de tuyaux</t>
  </si>
  <si>
    <t>Raccords et joints de tuyaux</t>
  </si>
  <si>
    <t>103632</t>
  </si>
  <si>
    <t>Pressure reducers [pipe fittings]</t>
  </si>
  <si>
    <t>Manodétenteurs [robinetterie]</t>
  </si>
  <si>
    <t>103633</t>
  </si>
  <si>
    <t>Extensible connections for flexible piping</t>
  </si>
  <si>
    <t>Raccords extensibles de tuyaux souples</t>
  </si>
  <si>
    <t>103634</t>
  </si>
  <si>
    <t>Taps and cocks</t>
  </si>
  <si>
    <t>Robinetterie</t>
  </si>
  <si>
    <t>103635</t>
  </si>
  <si>
    <t>Coiled pipes [parts of appliances]</t>
  </si>
  <si>
    <t>Serpentins [parties d'appareils]</t>
  </si>
  <si>
    <t>103636</t>
  </si>
  <si>
    <t>Siphons for decanting liquids</t>
  </si>
  <si>
    <t>Siphons pour transvasement de liquides</t>
  </si>
  <si>
    <t>103637</t>
  </si>
  <si>
    <t>Lawn sprinklers</t>
  </si>
  <si>
    <t>Tourniquets d'arrosage de jardin</t>
  </si>
  <si>
    <t>103638</t>
  </si>
  <si>
    <t>Pipes of concrete or cement</t>
  </si>
  <si>
    <t>Tuyaux en béton ou en ciment</t>
  </si>
  <si>
    <t>103639</t>
  </si>
  <si>
    <t>Flexible pipes</t>
  </si>
  <si>
    <t>Tuyaux flexibles</t>
  </si>
  <si>
    <t>103640</t>
  </si>
  <si>
    <t>Rigid piping</t>
  </si>
  <si>
    <t>Tuyaux rigides</t>
  </si>
  <si>
    <t>103641</t>
  </si>
  <si>
    <t>Valves [taps]</t>
  </si>
  <si>
    <t>Vannes [robinets]</t>
  </si>
  <si>
    <t>103642</t>
  </si>
  <si>
    <t>Standpipes</t>
  </si>
  <si>
    <t>Bornes-fontaines</t>
  </si>
  <si>
    <t>103643</t>
  </si>
  <si>
    <t>Gutters</t>
  </si>
  <si>
    <t>Gouttières [ferblanterie]</t>
  </si>
  <si>
    <t>Chéneaux</t>
  </si>
  <si>
    <t>103644</t>
  </si>
  <si>
    <t>Tanks for gaseous or liquid substances</t>
  </si>
  <si>
    <t>Réservoirs à liquides ou à gaz [sauf construction]</t>
  </si>
  <si>
    <t>Citernes</t>
  </si>
  <si>
    <t>103645</t>
  </si>
  <si>
    <t>Taps</t>
  </si>
  <si>
    <t>Robinets</t>
  </si>
  <si>
    <t>Faucets</t>
  </si>
  <si>
    <t>103646</t>
  </si>
  <si>
    <t>Water hose nozzles</t>
  </si>
  <si>
    <t>Lances d'arrosage</t>
  </si>
  <si>
    <t>103647</t>
  </si>
  <si>
    <t>Fire hydrants</t>
  </si>
  <si>
    <t>Bouches d'incendie</t>
  </si>
  <si>
    <t>103648</t>
  </si>
  <si>
    <t>Fire hose nozzles</t>
  </si>
  <si>
    <t>Lances d'incendie</t>
  </si>
  <si>
    <t>103649</t>
  </si>
  <si>
    <t>Douche bags</t>
  </si>
  <si>
    <t>Outres à eau pour douche</t>
  </si>
  <si>
    <t>103650</t>
  </si>
  <si>
    <t>Connecting devices for gas bottles</t>
  </si>
  <si>
    <t>Raccords de bonbonnes à gaz</t>
  </si>
  <si>
    <t>103651</t>
  </si>
  <si>
    <t>Hydraulic output regulators</t>
  </si>
  <si>
    <t>Régulateurs de débit hydraulique</t>
  </si>
  <si>
    <t>103652</t>
  </si>
  <si>
    <t>Mixing taps</t>
  </si>
  <si>
    <t>Robinets mélangeurs</t>
  </si>
  <si>
    <t>103653</t>
  </si>
  <si>
    <t>Fire hoses</t>
  </si>
  <si>
    <t>Tuyaux à incendie</t>
  </si>
  <si>
    <t>103654</t>
  </si>
  <si>
    <t>Stove pipes</t>
  </si>
  <si>
    <t>Tuyaux de poêles</t>
  </si>
  <si>
    <t>103655</t>
  </si>
  <si>
    <t>Safety valves for cisterns</t>
  </si>
  <si>
    <t>Valves de sécurité pour citernes</t>
  </si>
  <si>
    <t>103656</t>
  </si>
  <si>
    <t>Sluice gates</t>
  </si>
  <si>
    <t>Vannes d'écluses</t>
  </si>
  <si>
    <t>103657</t>
  </si>
  <si>
    <t>Pipe and plate packed joints</t>
  </si>
  <si>
    <t>Joints d'étanchéité</t>
  </si>
  <si>
    <t>103658</t>
  </si>
  <si>
    <t>Leaf gratings for down pipes</t>
  </si>
  <si>
    <t>Grilles de retenue de feuilles pour tuyaux de descente</t>
  </si>
  <si>
    <t>103659</t>
  </si>
  <si>
    <t>Packing rings for tubes and pipes</t>
  </si>
  <si>
    <t>Rondelles d'étanchéité pour tubes et tuyaux</t>
  </si>
  <si>
    <t>Joint or packing rings for tubes and pipes</t>
  </si>
  <si>
    <t>Anneaux d'étanchéité pour tubes et tuyaux</t>
  </si>
  <si>
    <t>Joint rings for tubes and pipes</t>
  </si>
  <si>
    <t>Anneaux ou rondelles d'étanchéité pour tubes et tuyaux</t>
  </si>
  <si>
    <t>103660</t>
  </si>
  <si>
    <t>Water purifiers</t>
  </si>
  <si>
    <t>Purificateurs d'eau</t>
  </si>
  <si>
    <t>Épurateurs d'eau</t>
  </si>
  <si>
    <t>103661</t>
  </si>
  <si>
    <t>Drainpipes</t>
  </si>
  <si>
    <t>Tuyaux de drainage</t>
  </si>
  <si>
    <t>103662</t>
  </si>
  <si>
    <t>Slurry tanks</t>
  </si>
  <si>
    <t>Réservoirs pour collecter des boues</t>
  </si>
  <si>
    <t>103663</t>
  </si>
  <si>
    <t>Thermostatic mixers</t>
  </si>
  <si>
    <t>Mélangeurs thermostatiques</t>
  </si>
  <si>
    <t>103664</t>
  </si>
  <si>
    <t>Washing nozzles</t>
  </si>
  <si>
    <t>Lances de lavage</t>
  </si>
  <si>
    <t>103665</t>
  </si>
  <si>
    <t>Control handles for taps</t>
  </si>
  <si>
    <t>Poignées de commande pour robinetterie</t>
  </si>
  <si>
    <t>103666</t>
  </si>
  <si>
    <t>Garden hoses</t>
  </si>
  <si>
    <t>Tuyaux d'arrosage</t>
  </si>
  <si>
    <t>103667</t>
  </si>
  <si>
    <t>Sprinklers for sinks</t>
  </si>
  <si>
    <t>Douchettes pour éviers</t>
  </si>
  <si>
    <t>104630</t>
  </si>
  <si>
    <t>Irrigation installations</t>
  </si>
  <si>
    <t>Installations d'irrigation</t>
  </si>
  <si>
    <t>104693</t>
  </si>
  <si>
    <t>Storm drains</t>
  </si>
  <si>
    <t>Collecteurs d'eaux pluviales</t>
  </si>
  <si>
    <t>104694</t>
  </si>
  <si>
    <t>Gratings for storm drains</t>
  </si>
  <si>
    <t>Grilles pour collecteurs d'eaux pluviales</t>
  </si>
  <si>
    <t>104695</t>
  </si>
  <si>
    <t>Safety devices for drain gratings</t>
  </si>
  <si>
    <t>Dispositifs de sécurité pour grilles de drainage</t>
  </si>
  <si>
    <t>104813</t>
  </si>
  <si>
    <t>Floor drains [indoor and outdoor]</t>
  </si>
  <si>
    <t>Siphons de sol [d'intérieur et d'extérieur]</t>
  </si>
  <si>
    <t>104814</t>
  </si>
  <si>
    <t>Grates for floor drains [indoor and outdoor]</t>
  </si>
  <si>
    <t>Grilles pour siphons de sol [d'intérieur et d'extérieur]</t>
  </si>
  <si>
    <t>104900</t>
  </si>
  <si>
    <t>Fire sprinklers</t>
  </si>
  <si>
    <t>Gicleurs d'incendie</t>
  </si>
  <si>
    <t>103712</t>
  </si>
  <si>
    <t>Water purifying installations</t>
  </si>
  <si>
    <t>Installations pour l'épuration de l'eau</t>
  </si>
  <si>
    <t>23-02</t>
  </si>
  <si>
    <t>23-03</t>
  </si>
  <si>
    <t>103720</t>
  </si>
  <si>
    <t>HEATING EQUIPMENT</t>
  </si>
  <si>
    <t>Igniters for gaseous fuel burners</t>
  </si>
  <si>
    <t>Allumeurs pour brûleurs à gaz</t>
  </si>
  <si>
    <t>103721</t>
  </si>
  <si>
    <t>Braziers</t>
  </si>
  <si>
    <t>Braseros</t>
  </si>
  <si>
    <t>103722</t>
  </si>
  <si>
    <t>Burners [heating]</t>
  </si>
  <si>
    <t>Brûleurs [chauffage]</t>
  </si>
  <si>
    <t>103723</t>
  </si>
  <si>
    <t>Mantelpieces for fireplaces</t>
  </si>
  <si>
    <t>Chambranles pour foyers</t>
  </si>
  <si>
    <t>103724</t>
  </si>
  <si>
    <t>Heating equipment</t>
  </si>
  <si>
    <t>Équipements pour le chauffage</t>
  </si>
  <si>
    <t>103725</t>
  </si>
  <si>
    <t>Animal or plant husbandry heaters</t>
  </si>
  <si>
    <t>Installations de chauffage pour serre ou pour élevage</t>
  </si>
  <si>
    <t>Installations de chauffage pour serres ou pour élevage</t>
  </si>
  <si>
    <t>103726</t>
  </si>
  <si>
    <t>Water heaters [gas]</t>
  </si>
  <si>
    <t>Chauffe-eau à gaz</t>
  </si>
  <si>
    <t>103727</t>
  </si>
  <si>
    <t>Water heaters [electric]</t>
  </si>
  <si>
    <t>Chauffe-eau électriques</t>
  </si>
  <si>
    <t>103728</t>
  </si>
  <si>
    <t>Footwarmers</t>
  </si>
  <si>
    <t>Chauffe-pieds</t>
  </si>
  <si>
    <t>103729</t>
  </si>
  <si>
    <t>Gas fireplaces</t>
  </si>
  <si>
    <t>Cheminées à gaz</t>
  </si>
  <si>
    <t>103730</t>
  </si>
  <si>
    <t>Indoor fireplaces</t>
  </si>
  <si>
    <t>Cheminées d'appartement</t>
  </si>
  <si>
    <t>103731</t>
  </si>
  <si>
    <t>Flame deflectors for oil-fired heating devices</t>
  </si>
  <si>
    <t>Déflecteurs de flammes pour chauffage à mazout</t>
  </si>
  <si>
    <t>103732</t>
  </si>
  <si>
    <t>Pottery kilns</t>
  </si>
  <si>
    <t>Fours à poteries</t>
  </si>
  <si>
    <t>Four à poteries</t>
  </si>
  <si>
    <t>103733</t>
  </si>
  <si>
    <t>Glassmaking furnaces</t>
  </si>
  <si>
    <t>Fours de verrerie</t>
  </si>
  <si>
    <t>103734</t>
  </si>
  <si>
    <t>Ovens [industrial]</t>
  </si>
  <si>
    <t>Fours industriels</t>
  </si>
  <si>
    <t>103735</t>
  </si>
  <si>
    <t>Steam boilers for heating</t>
  </si>
  <si>
    <t>Générateurs de vapeur pour chauffage</t>
  </si>
  <si>
    <t>103736</t>
  </si>
  <si>
    <t>Nuclear reactors</t>
  </si>
  <si>
    <t>Réacteurs nucléaires</t>
  </si>
  <si>
    <t>103737</t>
  </si>
  <si>
    <t>Stoves [heating]</t>
  </si>
  <si>
    <t>Poêles de chauffage</t>
  </si>
  <si>
    <t>Chaufferettes [chauffage]</t>
  </si>
  <si>
    <t>103738</t>
  </si>
  <si>
    <t>Radiators for heating</t>
  </si>
  <si>
    <t>Radiateurs de chauffage</t>
  </si>
  <si>
    <t>103739</t>
  </si>
  <si>
    <t>Draught regulators for fireplaces</t>
  </si>
  <si>
    <t>Régulateurs de tirage pour cheminées</t>
  </si>
  <si>
    <t>103740</t>
  </si>
  <si>
    <t>Sauna heaters</t>
  </si>
  <si>
    <t>Installations de chauffage pour saunas</t>
  </si>
  <si>
    <t>103741</t>
  </si>
  <si>
    <t>Draught regulators [heating]</t>
  </si>
  <si>
    <t>Régulateurs de tirage [chauffage]</t>
  </si>
  <si>
    <t>103742</t>
  </si>
  <si>
    <t>Jets for gas burners</t>
  </si>
  <si>
    <t>Buses pour brûleurs à gaz</t>
  </si>
  <si>
    <t>103743</t>
  </si>
  <si>
    <t>Bath heaters</t>
  </si>
  <si>
    <t>Chauffe-bains</t>
  </si>
  <si>
    <t>103744</t>
  </si>
  <si>
    <t>Brick and tile kilns</t>
  </si>
  <si>
    <t>Fours à briques et tuiles</t>
  </si>
  <si>
    <t>103745</t>
  </si>
  <si>
    <t>Bakers' ovens</t>
  </si>
  <si>
    <t>Fours de boulangerie</t>
  </si>
  <si>
    <t>103746</t>
  </si>
  <si>
    <t>Smelting furnaces [electric]</t>
  </si>
  <si>
    <t>Fours de fonderie électriques</t>
  </si>
  <si>
    <t>103747</t>
  </si>
  <si>
    <t>Hot air generators</t>
  </si>
  <si>
    <t>Générateurs d'air chaud</t>
  </si>
  <si>
    <t>103748</t>
  </si>
  <si>
    <t>Fire grates</t>
  </si>
  <si>
    <t>Grilles de foyers</t>
  </si>
  <si>
    <t>103749</t>
  </si>
  <si>
    <t>Infrared lamps for heating</t>
  </si>
  <si>
    <t>Lampes à rayons infrarouges pour chauffage</t>
  </si>
  <si>
    <t>103750</t>
  </si>
  <si>
    <t>Atomic piles</t>
  </si>
  <si>
    <t>Piles atomiques</t>
  </si>
  <si>
    <t>103751</t>
  </si>
  <si>
    <t>Intake pipes for central heating</t>
  </si>
  <si>
    <t>Tuyères d'aspiration pour chauffage central</t>
  </si>
  <si>
    <t>103752</t>
  </si>
  <si>
    <t>Ashpan sifters</t>
  </si>
  <si>
    <t>Tamis à cendres</t>
  </si>
  <si>
    <t>103753</t>
  </si>
  <si>
    <t>Solar heat collectors</t>
  </si>
  <si>
    <t>Capteurs de chaleur solaire</t>
  </si>
  <si>
    <t>103754</t>
  </si>
  <si>
    <t>Control panels for bath heaters</t>
  </si>
  <si>
    <t>Panneaux de commande pour chauffe-bains</t>
  </si>
  <si>
    <t>103755</t>
  </si>
  <si>
    <t>Air humidifiers for heating radiators</t>
  </si>
  <si>
    <t>Saturateurs pour radiateurs d'appartement</t>
  </si>
  <si>
    <t>103756</t>
  </si>
  <si>
    <t>Bleeding taps for heating radiators</t>
  </si>
  <si>
    <t>Purgeurs pour radiateurs de chauffage</t>
  </si>
  <si>
    <t>103757</t>
  </si>
  <si>
    <t>Bunsen burners</t>
  </si>
  <si>
    <t>Becs Bunsen</t>
  </si>
  <si>
    <t>Brûleurs Bunsen</t>
  </si>
  <si>
    <t>103758</t>
  </si>
  <si>
    <t>Convectors</t>
  </si>
  <si>
    <t>Convecteurs</t>
  </si>
  <si>
    <t>103759</t>
  </si>
  <si>
    <t>Furnaces</t>
  </si>
  <si>
    <t>Foyers</t>
  </si>
  <si>
    <t>Hearths</t>
  </si>
  <si>
    <t>103760</t>
  </si>
  <si>
    <t>Heat recuperators</t>
  </si>
  <si>
    <t>Récupérateurs de chaleur</t>
  </si>
  <si>
    <t>103761</t>
  </si>
  <si>
    <t>Heating boilers</t>
  </si>
  <si>
    <t>Chaudières de chauffage</t>
  </si>
  <si>
    <t>103762</t>
  </si>
  <si>
    <t>Flued stoves</t>
  </si>
  <si>
    <t>Poêles-cheminées</t>
  </si>
  <si>
    <t>103763</t>
  </si>
  <si>
    <t>Outdoor heaters</t>
  </si>
  <si>
    <t>Appareils de chauffage d'extérieur</t>
  </si>
  <si>
    <t>104612</t>
  </si>
  <si>
    <t>Garden fireplaces</t>
  </si>
  <si>
    <t>Cheminées de jardin</t>
  </si>
  <si>
    <t>104901</t>
  </si>
  <si>
    <t>Waste heat recovery units</t>
  </si>
  <si>
    <t>Chaudières de récupération de chaleur</t>
  </si>
  <si>
    <t>105115</t>
  </si>
  <si>
    <t>Heating boilers for water-heated mattress pads</t>
  </si>
  <si>
    <t>Chauffe-eau pour surmatelas chauffant</t>
  </si>
  <si>
    <t>23-04</t>
  </si>
  <si>
    <t>103764</t>
  </si>
  <si>
    <t>VENTILATION AND AIR-CONDITIONING EQUIPMENT</t>
  </si>
  <si>
    <t>Ventilating fans</t>
  </si>
  <si>
    <t>Aérateurs [ventilation]</t>
  </si>
  <si>
    <t>Ventilateurs</t>
  </si>
  <si>
    <t>103765</t>
  </si>
  <si>
    <t>Air deodorizing apparatus</t>
  </si>
  <si>
    <t>Appareils pour désodoriser l'air</t>
  </si>
  <si>
    <t>103766</t>
  </si>
  <si>
    <t>Smoke extractors</t>
  </si>
  <si>
    <t>Aspirateurs de fumée</t>
  </si>
  <si>
    <t>103767</t>
  </si>
  <si>
    <t>Air purifiers</t>
  </si>
  <si>
    <t>Purificateurs d'air</t>
  </si>
  <si>
    <t>Épurateurs d'air</t>
  </si>
  <si>
    <t>103768</t>
  </si>
  <si>
    <t>Hoods for ventilation</t>
  </si>
  <si>
    <t>Hottes de ventilation</t>
  </si>
  <si>
    <t>103769</t>
  </si>
  <si>
    <t>Ventilation valves</t>
  </si>
  <si>
    <t>Soupapes de ventilation</t>
  </si>
  <si>
    <t>103770</t>
  </si>
  <si>
    <t>Air conditioning apparatus</t>
  </si>
  <si>
    <t>Appareils pour le conditionnement d'air</t>
  </si>
  <si>
    <t>103771</t>
  </si>
  <si>
    <t>Air humidifiers</t>
  </si>
  <si>
    <t>Humidificateurs d'air</t>
  </si>
  <si>
    <t>103772</t>
  </si>
  <si>
    <t>Air sterilizing apparatus</t>
  </si>
  <si>
    <t>Appareils pour la stérilisation de l'air</t>
  </si>
  <si>
    <t>Apparatus for air sterilization</t>
  </si>
  <si>
    <t>103773</t>
  </si>
  <si>
    <t>Air vents</t>
  </si>
  <si>
    <t>Bouches d'aération</t>
  </si>
  <si>
    <t>103774</t>
  </si>
  <si>
    <t>Ventilation grids</t>
  </si>
  <si>
    <t>Grilles d'aération</t>
  </si>
  <si>
    <t>103775</t>
  </si>
  <si>
    <t>Ventilation ducts</t>
  </si>
  <si>
    <t>Conduits de ventilation</t>
  </si>
  <si>
    <t>103776</t>
  </si>
  <si>
    <t>Ventilator blades</t>
  </si>
  <si>
    <t>Pales de ventilateurs</t>
  </si>
  <si>
    <t>103777</t>
  </si>
  <si>
    <t>Air conditioners</t>
  </si>
  <si>
    <t>Climatiseurs</t>
  </si>
  <si>
    <t>105017</t>
  </si>
  <si>
    <t>Air dehumidifiers</t>
  </si>
  <si>
    <t>Déshumidificateurs d'air</t>
  </si>
  <si>
    <t>23-05</t>
  </si>
  <si>
    <t>103778</t>
  </si>
  <si>
    <t>SOLID FUEL</t>
  </si>
  <si>
    <t>Coal briquettes</t>
  </si>
  <si>
    <t>Agglomérés combustibles</t>
  </si>
  <si>
    <t>103779</t>
  </si>
  <si>
    <t>Fire starters</t>
  </si>
  <si>
    <t>Allume-feu</t>
  </si>
  <si>
    <t>103780</t>
  </si>
  <si>
    <t>Nuts [fuel]</t>
  </si>
  <si>
    <t>Boulets combustibles</t>
  </si>
  <si>
    <t>103781</t>
  </si>
  <si>
    <t>Briquettes [fuel]</t>
  </si>
  <si>
    <t>Briquettes [combustible]</t>
  </si>
  <si>
    <t>103782</t>
  </si>
  <si>
    <t>Charcoal</t>
  </si>
  <si>
    <t>Charbon de bois</t>
  </si>
  <si>
    <t>103783</t>
  </si>
  <si>
    <t>Coal</t>
  </si>
  <si>
    <t>Charbon [combustible]</t>
  </si>
  <si>
    <t>103784</t>
  </si>
  <si>
    <t>Solid fuels</t>
  </si>
  <si>
    <t>Combustibles solides</t>
  </si>
  <si>
    <t>23-06</t>
  </si>
  <si>
    <t>103673</t>
  </si>
  <si>
    <t>Sanitary appliances for HYGIENIC PURPOSES</t>
  </si>
  <si>
    <t>Baby baths</t>
  </si>
  <si>
    <t>Baignoires pour bébés</t>
  </si>
  <si>
    <t>103671</t>
  </si>
  <si>
    <t>Bath tubs</t>
  </si>
  <si>
    <t>Baignoires</t>
  </si>
  <si>
    <t>103672</t>
  </si>
  <si>
    <t>Bath tubs for sitz-baths</t>
  </si>
  <si>
    <t>Baignoires pour bains de siège</t>
  </si>
  <si>
    <t>103670</t>
  </si>
  <si>
    <t>Hot air bath appliances</t>
  </si>
  <si>
    <t>Appareils pour bains à air chaud</t>
  </si>
  <si>
    <t>103711</t>
  </si>
  <si>
    <t>Isolation tanks [for relaxation]</t>
  </si>
  <si>
    <t>Caissons d'isolation sensorielle</t>
  </si>
  <si>
    <t>103694</t>
  </si>
  <si>
    <t>Saunas</t>
  </si>
  <si>
    <t>103669</t>
  </si>
  <si>
    <t>Shower cabinets</t>
  </si>
  <si>
    <t>Cabines de douche</t>
  </si>
  <si>
    <t>103716</t>
  </si>
  <si>
    <t>Shower trays</t>
  </si>
  <si>
    <t>Bacs de douche</t>
  </si>
  <si>
    <t>103686</t>
  </si>
  <si>
    <t>Showers</t>
  </si>
  <si>
    <t>Douches</t>
  </si>
  <si>
    <t>103687</t>
  </si>
  <si>
    <t>Spray heads for showers</t>
  </si>
  <si>
    <t>Pommes de douches</t>
  </si>
  <si>
    <t>103674</t>
  </si>
  <si>
    <t>Steam baths equipment</t>
  </si>
  <si>
    <t>Appareils pour bains de vapeur</t>
  </si>
  <si>
    <t>103697</t>
  </si>
  <si>
    <t>Sudation apparatus, non-medical</t>
  </si>
  <si>
    <t>Appareils non médicaux de sudation</t>
  </si>
  <si>
    <t>103704</t>
  </si>
  <si>
    <t>Turkish bath cabinets, portable</t>
  </si>
  <si>
    <t>Cabines portatives pour bains turcs</t>
  </si>
  <si>
    <t>103675</t>
  </si>
  <si>
    <t>Bidets</t>
  </si>
  <si>
    <t>103718</t>
  </si>
  <si>
    <t>Lavabos</t>
  </si>
  <si>
    <t>Lave-mains</t>
  </si>
  <si>
    <t>103702</t>
  </si>
  <si>
    <t>Washbasins</t>
  </si>
  <si>
    <t>Lavatory basins</t>
  </si>
  <si>
    <t>103717</t>
  </si>
  <si>
    <t>Overflows</t>
  </si>
  <si>
    <t>Trop-pleins</t>
  </si>
  <si>
    <t>103715</t>
  </si>
  <si>
    <t>Plugs for sinks</t>
  </si>
  <si>
    <t>Bouchons pour éviers</t>
  </si>
  <si>
    <t>103678</t>
  </si>
  <si>
    <t>Sink drains</t>
  </si>
  <si>
    <t>Bondes d'évier</t>
  </si>
  <si>
    <t>103707</t>
  </si>
  <si>
    <t>Sink strainers</t>
  </si>
  <si>
    <t>Pommelles d'évier</t>
  </si>
  <si>
    <t>103677</t>
  </si>
  <si>
    <t>Sink units</t>
  </si>
  <si>
    <t>Blocs-éviers</t>
  </si>
  <si>
    <t>103688</t>
  </si>
  <si>
    <t>Sinks</t>
  </si>
  <si>
    <t>Éviers</t>
  </si>
  <si>
    <t>103668</t>
  </si>
  <si>
    <t>Wash-hand basins</t>
  </si>
  <si>
    <t>Cuvettes [récipients pour la toilette]</t>
  </si>
  <si>
    <t>104315</t>
  </si>
  <si>
    <t>Hair washing basins</t>
  </si>
  <si>
    <t>Lave-tête</t>
  </si>
  <si>
    <t>23-07</t>
  </si>
  <si>
    <t>104816</t>
  </si>
  <si>
    <t>Equipment for urination and defecation</t>
  </si>
  <si>
    <t>Commode chairs</t>
  </si>
  <si>
    <t>Chaises percées</t>
  </si>
  <si>
    <t>103679</t>
  </si>
  <si>
    <t>Flushing cisterns</t>
  </si>
  <si>
    <t>Réservoirs de chasse d'eau</t>
  </si>
  <si>
    <t>103680</t>
  </si>
  <si>
    <t>Flushing devices for water closets</t>
  </si>
  <si>
    <t>Chasses d'eau pour W.-C.</t>
  </si>
  <si>
    <t>103692</t>
  </si>
  <si>
    <t>Latrines</t>
  </si>
  <si>
    <t>103719</t>
  </si>
  <si>
    <t>Toilet seat adapters for babies</t>
  </si>
  <si>
    <t>Réducteurs de sièges de toilettes pour bébés</t>
  </si>
  <si>
    <t>103681</t>
  </si>
  <si>
    <t>Toilet seat covers</t>
  </si>
  <si>
    <t>Couvercles de lunettes de W.-C.</t>
  </si>
  <si>
    <t>103701</t>
  </si>
  <si>
    <t>Toilet seats</t>
  </si>
  <si>
    <t>Sièges de W.-C.</t>
  </si>
  <si>
    <t>Abattants de W.-C.</t>
  </si>
  <si>
    <t>Sièges de water-closets</t>
  </si>
  <si>
    <t>103699</t>
  </si>
  <si>
    <t>Urinals [public]</t>
  </si>
  <si>
    <t>Urinoirs</t>
  </si>
  <si>
    <t>103700</t>
  </si>
  <si>
    <t>Water closets</t>
  </si>
  <si>
    <t>Water-closets</t>
  </si>
  <si>
    <t>103706</t>
  </si>
  <si>
    <t>Water-closet outlet floats</t>
  </si>
  <si>
    <t>Flotteurs pour chasses d'eau</t>
  </si>
  <si>
    <t>103682</t>
  </si>
  <si>
    <t>Water-closet pans</t>
  </si>
  <si>
    <t>Cuvettes de W.-C.</t>
  </si>
  <si>
    <t>103690</t>
  </si>
  <si>
    <t>Septic tanks</t>
  </si>
  <si>
    <t>Fosses septiques</t>
  </si>
  <si>
    <t>103689</t>
  </si>
  <si>
    <t>Cesspools, fixed or movable</t>
  </si>
  <si>
    <t>Fosses d'aisance fixes ou mobiles</t>
  </si>
  <si>
    <t>101652</t>
  </si>
  <si>
    <t>Babies' potties</t>
  </si>
  <si>
    <t>Pots pour bébés</t>
  </si>
  <si>
    <t>101640</t>
  </si>
  <si>
    <t>Chamber pots</t>
  </si>
  <si>
    <t>Vases de nuit</t>
  </si>
  <si>
    <t>101641</t>
  </si>
  <si>
    <t>Bucket latrines</t>
  </si>
  <si>
    <t>Tinettes</t>
  </si>
  <si>
    <t>23-08</t>
  </si>
  <si>
    <t>103676</t>
  </si>
  <si>
    <t>Other sanitary equipment and accessories, not included in other classes or subclasses</t>
  </si>
  <si>
    <t>Sanitary units [including for hospitals]</t>
  </si>
  <si>
    <t>Blocs sanitaires, y compris pour hôpitaux</t>
  </si>
  <si>
    <t>103709</t>
  </si>
  <si>
    <t>Bathroom shelves [except furniture]</t>
  </si>
  <si>
    <t>Tablettes de lavabo</t>
  </si>
  <si>
    <t>103713</t>
  </si>
  <si>
    <t>Decanting apparatus for waste water</t>
  </si>
  <si>
    <t>Décanteurs pour eaux usées</t>
  </si>
  <si>
    <t>103714</t>
  </si>
  <si>
    <t>Deodorant holders [for sanitary equipment]</t>
  </si>
  <si>
    <t>Supports de désodorisants [pour appareils sanitaires]</t>
  </si>
  <si>
    <t>103708</t>
  </si>
  <si>
    <t>Glass holders [for bathroom]</t>
  </si>
  <si>
    <t>Porte-verre à dents</t>
  </si>
  <si>
    <t>103703</t>
  </si>
  <si>
    <t>Lavatory-brush holders</t>
  </si>
  <si>
    <t>Porte-balais sanitaires</t>
  </si>
  <si>
    <t>103695</t>
  </si>
  <si>
    <t>Liquid soap dispensers</t>
  </si>
  <si>
    <t>Distributeurs de savon liquide</t>
  </si>
  <si>
    <t>103710</t>
  </si>
  <si>
    <t>Towel holders [sanitary equipment]</t>
  </si>
  <si>
    <t>Porte-serviettes [équipement sanitaire]</t>
  </si>
  <si>
    <t>103705</t>
  </si>
  <si>
    <t>Sewer traps</t>
  </si>
  <si>
    <t>Siphons d'égout</t>
  </si>
  <si>
    <t>103684</t>
  </si>
  <si>
    <t>Soap dispensers</t>
  </si>
  <si>
    <t>Distributeurs de savon</t>
  </si>
  <si>
    <t>103693</t>
  </si>
  <si>
    <t>Soap holders</t>
  </si>
  <si>
    <t>Porte-savon</t>
  </si>
  <si>
    <t>Soap dishes</t>
  </si>
  <si>
    <t>103683</t>
  </si>
  <si>
    <t>Toilet paper dispensers</t>
  </si>
  <si>
    <t>Distributeurs de papier hygiénique</t>
  </si>
  <si>
    <t>103698</t>
  </si>
  <si>
    <t>Toilet paper holders</t>
  </si>
  <si>
    <t>Porte-papier hygiénique</t>
  </si>
  <si>
    <t>Supports de papier hygiénique</t>
  </si>
  <si>
    <t>103685</t>
  </si>
  <si>
    <t>Towel dispensers</t>
  </si>
  <si>
    <t>Distributeurs de serviettes</t>
  </si>
  <si>
    <t>104815</t>
  </si>
  <si>
    <t>Towel rails</t>
  </si>
  <si>
    <t>Barres porte-serviettes</t>
  </si>
  <si>
    <t>103696</t>
  </si>
  <si>
    <t>Traps for sanitary apparatus</t>
  </si>
  <si>
    <t>Siphons d'appareils sanitaires</t>
  </si>
  <si>
    <t>104837</t>
  </si>
  <si>
    <t>Holders for toilet rim blocks</t>
  </si>
  <si>
    <t>Blocs pour cuvettes de toilettes [supports]</t>
  </si>
  <si>
    <t>104838</t>
  </si>
  <si>
    <t>Applicators for toilet bowl cleaning gel</t>
  </si>
  <si>
    <t>Applicateurs de gel nettoyant pour cuvettes de toilettes</t>
  </si>
  <si>
    <t>105018</t>
  </si>
  <si>
    <t>Toothpaste dispensers</t>
  </si>
  <si>
    <t>Distributeurs de dentifrice</t>
  </si>
  <si>
    <t>104328</t>
  </si>
  <si>
    <t>Hand driers</t>
  </si>
  <si>
    <t>Sèche-mains</t>
  </si>
  <si>
    <t>105116</t>
  </si>
  <si>
    <t>Dispensers for hand sanitizer</t>
  </si>
  <si>
    <t>Distributeurs de désinfectant pour les mains</t>
  </si>
  <si>
    <t>105117</t>
  </si>
  <si>
    <t>Wrist-mounted dispensers for hand sanitizer</t>
  </si>
  <si>
    <t>Distributeurs de désinfectant pour les mains à porter au poignet</t>
  </si>
  <si>
    <t>105118</t>
  </si>
  <si>
    <t>Toilet paper moisteners</t>
  </si>
  <si>
    <t>Humidificateurs de papier hygiénique</t>
  </si>
  <si>
    <t>23-99</t>
  </si>
  <si>
    <t>103785</t>
  </si>
  <si>
    <t>Water distillation apparatus</t>
  </si>
  <si>
    <t>Appareils pour la distillation d'eau</t>
  </si>
  <si>
    <t>Appareils de distillation d'eau</t>
  </si>
  <si>
    <t>103786</t>
  </si>
  <si>
    <t>Trash burners</t>
  </si>
  <si>
    <t>Incinérateurs d'ordures</t>
  </si>
  <si>
    <t>103787</t>
  </si>
  <si>
    <t>Refuse incinerators</t>
  </si>
  <si>
    <t>Incinérateurs de déchets</t>
  </si>
  <si>
    <t>105077</t>
  </si>
  <si>
    <t>Sterilizing atomizers [hand-operated]</t>
  </si>
  <si>
    <t>Pulvérisateurs pour la stérilisation [à main]</t>
  </si>
  <si>
    <t>105086</t>
  </si>
  <si>
    <t>Human disinfection chambers [except for medical purposes]</t>
  </si>
  <si>
    <t>Cabines de désinfection pour êtres humains [autres qu'à usage médical]</t>
  </si>
  <si>
    <t>105100</t>
  </si>
  <si>
    <t>Disinfectant foggers [electric] [except for agricultural use]</t>
  </si>
  <si>
    <t>Nébulisateurs électriques pour désinfecter [à l'exception de l'usage agricole]</t>
  </si>
  <si>
    <t>105102</t>
  </si>
  <si>
    <t>Ultraviolet disinfection robots</t>
  </si>
  <si>
    <t>Robots de désinfection par ultraviolets</t>
  </si>
  <si>
    <t>24</t>
  </si>
  <si>
    <t>24-01</t>
  </si>
  <si>
    <t>103788</t>
  </si>
  <si>
    <t>Equipos médicos y de laboratorio: Incluye equipamiento médico, quirúrgico, dental y veterinario.</t>
  </si>
  <si>
    <t>MEDICAL AND LABORATORY EQUIPMENT</t>
  </si>
  <si>
    <t>The term “medical equipment” covers also surgical, dental and veterinary equipment.</t>
  </si>
  <si>
    <t>APPARATUS AND EQUIPMENT FOR DOCTORS, HOSPITALS AND LABORATORIES</t>
  </si>
  <si>
    <t>Particle accelerators</t>
  </si>
  <si>
    <t>Accélérateurs de particules</t>
  </si>
  <si>
    <t>103789</t>
  </si>
  <si>
    <t>Blood testing apparatus</t>
  </si>
  <si>
    <t>Appareils pour analyse du sang</t>
  </si>
  <si>
    <t>103790</t>
  </si>
  <si>
    <t>Anaesthetic apparatus</t>
  </si>
  <si>
    <t>Appareils d'anesthésie</t>
  </si>
  <si>
    <t>103791</t>
  </si>
  <si>
    <t>Disinfection equipment for premises</t>
  </si>
  <si>
    <t>Appareils aseptiseurs pour locaux</t>
  </si>
  <si>
    <t>103792</t>
  </si>
  <si>
    <t>Audiometers</t>
  </si>
  <si>
    <t>Audiomètres</t>
  </si>
  <si>
    <t>103793</t>
  </si>
  <si>
    <t>Autoclaves [medicine]</t>
  </si>
  <si>
    <t>Autoclaves [médecine]</t>
  </si>
  <si>
    <t>103794</t>
  </si>
  <si>
    <t>Eye testing apparatus and equipment</t>
  </si>
  <si>
    <t>Appareils et installations pour le contrôle des yeux</t>
  </si>
  <si>
    <t>103795</t>
  </si>
  <si>
    <t>Incubators for newborn infants</t>
  </si>
  <si>
    <t>Couveuses pour nouveau-nés</t>
  </si>
  <si>
    <t>103796</t>
  </si>
  <si>
    <t>Muscle relaxing apparatus for medical purposes</t>
  </si>
  <si>
    <t>Appareils de relaxation musculaire à usage médical</t>
  </si>
  <si>
    <t>103797</t>
  </si>
  <si>
    <t>Dental appliances [fixed]</t>
  </si>
  <si>
    <t>Appareils dentaires, fixes</t>
  </si>
  <si>
    <t>103798</t>
  </si>
  <si>
    <t>Compression diaphragms [Roentgen apparatus]</t>
  </si>
  <si>
    <t>Diaphragmes à compression [appareils Roentgen]</t>
  </si>
  <si>
    <t>103799</t>
  </si>
  <si>
    <t>Diathermy apparatus</t>
  </si>
  <si>
    <t>Appareils pour diathermie</t>
  </si>
  <si>
    <t>103800</t>
  </si>
  <si>
    <t>Drills [dental]</t>
  </si>
  <si>
    <t>Fraises dentaires</t>
  </si>
  <si>
    <t>103801</t>
  </si>
  <si>
    <t>Fixed apparatus and equipment for hospitals</t>
  </si>
  <si>
    <t>Appareils et installations fixes d'hôpitaux</t>
  </si>
  <si>
    <t>103802</t>
  </si>
  <si>
    <t>Irradiation apparatus</t>
  </si>
  <si>
    <t>Appareils à irradiation</t>
  </si>
  <si>
    <t>103803</t>
  </si>
  <si>
    <t>Fixed apparatus and equipment for laboratories</t>
  </si>
  <si>
    <t>Appareils et installations fixes de laboratoires</t>
  </si>
  <si>
    <t>103804</t>
  </si>
  <si>
    <t>Medical apparatus and equipment [fixed]</t>
  </si>
  <si>
    <t>Appareils fixes pour la médecine</t>
  </si>
  <si>
    <t>103805</t>
  </si>
  <si>
    <t>Fixed apparatus and equipment for doctors</t>
  </si>
  <si>
    <t>Appareils et installations fixes pour médecins</t>
  </si>
  <si>
    <t>103806</t>
  </si>
  <si>
    <t>Microtomes</t>
  </si>
  <si>
    <t>103807</t>
  </si>
  <si>
    <t>Oxygen tents</t>
  </si>
  <si>
    <t>Tentes à oxygène</t>
  </si>
  <si>
    <t>103808</t>
  </si>
  <si>
    <t>Ozonizers for medical use</t>
  </si>
  <si>
    <t>Ozoniseurs médicaux</t>
  </si>
  <si>
    <t>103809</t>
  </si>
  <si>
    <t>Spray guns for dentists</t>
  </si>
  <si>
    <t>Pistolets pulvérisateurs pour dentistes</t>
  </si>
  <si>
    <t>103810</t>
  </si>
  <si>
    <t>Saliva aspirators [dental]</t>
  </si>
  <si>
    <t>Pompes à salive [art dentaire]</t>
  </si>
  <si>
    <t>103811</t>
  </si>
  <si>
    <t>X-ray production apparatus</t>
  </si>
  <si>
    <t>Appareils pour la production de rayons X</t>
  </si>
  <si>
    <t>103812</t>
  </si>
  <si>
    <t>X-ray tubes</t>
  </si>
  <si>
    <t>Tubes à rayons X</t>
  </si>
  <si>
    <t>103813</t>
  </si>
  <si>
    <t>Resuscitators</t>
  </si>
  <si>
    <t>Appareils de réanimation</t>
  </si>
  <si>
    <t>103814</t>
  </si>
  <si>
    <t>Sterilizers for medical use</t>
  </si>
  <si>
    <t>Stérilisateurs [médecine]</t>
  </si>
  <si>
    <t>103815</t>
  </si>
  <si>
    <t>Sudation apparatus for medical use</t>
  </si>
  <si>
    <t>Appareils médicaux de sudation</t>
  </si>
  <si>
    <t>103816</t>
  </si>
  <si>
    <t>Ureterotomy apparatus</t>
  </si>
  <si>
    <t>Appareils pour urétérotomie</t>
  </si>
  <si>
    <t>103817</t>
  </si>
  <si>
    <t>Vibrators for dentists</t>
  </si>
  <si>
    <t>Vibrateurs pour dentiste</t>
  </si>
  <si>
    <t>103818</t>
  </si>
  <si>
    <t>Disinfecting and sterilizing chambers</t>
  </si>
  <si>
    <t>Étuves à désinfection et à stérilisation</t>
  </si>
  <si>
    <t>Sterilizing and disinfecting chambers</t>
  </si>
  <si>
    <t>103819</t>
  </si>
  <si>
    <t>Anaesthetic masks</t>
  </si>
  <si>
    <t>Masques anesthésiques</t>
  </si>
  <si>
    <t>103820</t>
  </si>
  <si>
    <t>Portable microlathes for dental and bone surgery</t>
  </si>
  <si>
    <t>Microtours portatifs pour la chirurgie dentaire et osseuse</t>
  </si>
  <si>
    <t>103821</t>
  </si>
  <si>
    <t>Insufflation apparatus for pneumothorax</t>
  </si>
  <si>
    <t>Appareils d'insufflation pour pneumothorax</t>
  </si>
  <si>
    <t>103822</t>
  </si>
  <si>
    <t>Mass spectrographs</t>
  </si>
  <si>
    <t>Spectrographes de masse</t>
  </si>
  <si>
    <t>103823</t>
  </si>
  <si>
    <t>Operating tables</t>
  </si>
  <si>
    <t>Tables d'opérations</t>
  </si>
  <si>
    <t>103824</t>
  </si>
  <si>
    <t>Apparatus for thermotherapy</t>
  </si>
  <si>
    <t>Appareils pour la thermothérapie</t>
  </si>
  <si>
    <t>103825</t>
  </si>
  <si>
    <t>Blood transfusion and sampling apparatus</t>
  </si>
  <si>
    <t>Appareils pour transfusion et prélèvement de sang</t>
  </si>
  <si>
    <t>Appareils pour la transfusion et prélèvement de sang</t>
  </si>
  <si>
    <t>103826</t>
  </si>
  <si>
    <t>Chromatographs</t>
  </si>
  <si>
    <t>Chromatographes</t>
  </si>
  <si>
    <t>103827</t>
  </si>
  <si>
    <t>Apparatus and installations for medical or laboratory diagnosis</t>
  </si>
  <si>
    <t>Appareils et installations pour le diagnostic médical ou de laboratoire</t>
  </si>
  <si>
    <t>103828</t>
  </si>
  <si>
    <t>Spirometers for medical purposes</t>
  </si>
  <si>
    <t>Spiromètres à usage médical</t>
  </si>
  <si>
    <t>103829</t>
  </si>
  <si>
    <t>Exercise devices for disabled persons</t>
  </si>
  <si>
    <t>Dispositifs d'entraînement pour handicapés</t>
  </si>
  <si>
    <t>103830</t>
  </si>
  <si>
    <t>Physiotherapy apparatus</t>
  </si>
  <si>
    <t>Appareils pour la physiothérapie</t>
  </si>
  <si>
    <t>103831</t>
  </si>
  <si>
    <t>Incubators [medical apparatus]</t>
  </si>
  <si>
    <t>Incubateurs [appareils médicaux]</t>
  </si>
  <si>
    <t>103832</t>
  </si>
  <si>
    <t>Light therapy apparatus</t>
  </si>
  <si>
    <t>Appareils de photothérapie</t>
  </si>
  <si>
    <t>104625</t>
  </si>
  <si>
    <t>Hydrotherapy apparatus [medical apparatus]</t>
  </si>
  <si>
    <t>Appareils d'hydrothérapie [appareils médicaux]</t>
  </si>
  <si>
    <t>104637</t>
  </si>
  <si>
    <t>Medical rehabilitation apparatus</t>
  </si>
  <si>
    <t>Appareils médicaux de rééducation</t>
  </si>
  <si>
    <t>104902</t>
  </si>
  <si>
    <t>Surgical microscopes</t>
  </si>
  <si>
    <t>Microscopes chirurgicaux</t>
  </si>
  <si>
    <t>104903</t>
  </si>
  <si>
    <t>Artificial lung ventilation apparatus</t>
  </si>
  <si>
    <t>Appareils pour la respiration artificielle</t>
  </si>
  <si>
    <t>104904</t>
  </si>
  <si>
    <t>Defibrillators</t>
  </si>
  <si>
    <t>Défibrillateurs</t>
  </si>
  <si>
    <t>104905</t>
  </si>
  <si>
    <t>Electrocardiographs</t>
  </si>
  <si>
    <t>Électrocardiographes</t>
  </si>
  <si>
    <t>104906</t>
  </si>
  <si>
    <t>Blood glucose meters</t>
  </si>
  <si>
    <t>Lecteurs de glycémie</t>
  </si>
  <si>
    <t>104907</t>
  </si>
  <si>
    <t>Electrosurgical apparatus</t>
  </si>
  <si>
    <t>Appareils électro-chirurgicaux</t>
  </si>
  <si>
    <t>104908</t>
  </si>
  <si>
    <t>Laser scalpels</t>
  </si>
  <si>
    <t>Bistouris au laser</t>
  </si>
  <si>
    <t>105103</t>
  </si>
  <si>
    <t>Disinfection apparatus using ultraviolet lamps</t>
  </si>
  <si>
    <t xml:space="preserve">Appareils pour la désinfection par lampes à rayons ultraviolets
</t>
  </si>
  <si>
    <t>105119</t>
  </si>
  <si>
    <t>Electronic muscle stimulators for medical purposes</t>
  </si>
  <si>
    <t>Stimulateurs musculaires électroniques à usage médical</t>
  </si>
  <si>
    <t>105120</t>
  </si>
  <si>
    <t>Ultrasonic probes for medical purposes</t>
  </si>
  <si>
    <t>Sondes à ultrasons à usage médical</t>
  </si>
  <si>
    <t>105121</t>
  </si>
  <si>
    <t>Ultrasonic diagnostic apparatus</t>
  </si>
  <si>
    <t>Appareils de diagnostic par ultrasons</t>
  </si>
  <si>
    <t>105122</t>
  </si>
  <si>
    <t>Magnetic resonance imaging [MRI] apparatus</t>
  </si>
  <si>
    <t>Appareils d'imagerie par résonance magnétique [IRM]</t>
  </si>
  <si>
    <t>105123</t>
  </si>
  <si>
    <t>Electroencephalographs</t>
  </si>
  <si>
    <t>Électroencéphalographes</t>
  </si>
  <si>
    <t>105124</t>
  </si>
  <si>
    <t>Electrode helmets for electroencephalographs</t>
  </si>
  <si>
    <t>Casques à électrodes pour électroencéphalographes</t>
  </si>
  <si>
    <t>105125</t>
  </si>
  <si>
    <t>Electrodes for electrocardiographs</t>
  </si>
  <si>
    <t>Électrodes pour électrocardiographes</t>
  </si>
  <si>
    <t>24-02</t>
  </si>
  <si>
    <t>103833</t>
  </si>
  <si>
    <t>MEDICAL INSTRUMENTS, INSTRUMENTS AND TOOLS FOR LABORATORY USE</t>
  </si>
  <si>
    <t>Douches for injections</t>
  </si>
  <si>
    <t>Bocks pour injections</t>
  </si>
  <si>
    <t>103834</t>
  </si>
  <si>
    <t>Dilators [medical instruments]</t>
  </si>
  <si>
    <t>Dilatateurs [instruments médicaux]</t>
  </si>
  <si>
    <t>103835</t>
  </si>
  <si>
    <t>Hypodermic needles</t>
  </si>
  <si>
    <t>Aiguilles de seringues hypodermiques</t>
  </si>
  <si>
    <t>103836</t>
  </si>
  <si>
    <t>Needles for medical purposes</t>
  </si>
  <si>
    <t>Aiguilles à usage médical</t>
  </si>
  <si>
    <t>103837</t>
  </si>
  <si>
    <t>Retorts</t>
  </si>
  <si>
    <t>Alambics pour laboratoires</t>
  </si>
  <si>
    <t>Cornues [vases]</t>
  </si>
  <si>
    <t>103838</t>
  </si>
  <si>
    <t>Apparatus for keeping the mouth open [dentistry]</t>
  </si>
  <si>
    <t>Appareils de dentiste pour maintenir la bouche ouverte</t>
  </si>
  <si>
    <t>103839</t>
  </si>
  <si>
    <t>Injection tubes</t>
  </si>
  <si>
    <t>Canules</t>
  </si>
  <si>
    <t>103840</t>
  </si>
  <si>
    <t>Surgical instruments</t>
  </si>
  <si>
    <t>Instruments de chirurgie</t>
  </si>
  <si>
    <t>103841</t>
  </si>
  <si>
    <t>Droppers for medical or laboratory purposes</t>
  </si>
  <si>
    <t>Compte-gouttes [médicaux ou de laboratoire]</t>
  </si>
  <si>
    <t>103842</t>
  </si>
  <si>
    <t>Knives for surgical purposes</t>
  </si>
  <si>
    <t>Bistouris</t>
  </si>
  <si>
    <t>Couteaux à usage chirurgical</t>
  </si>
  <si>
    <t>103843</t>
  </si>
  <si>
    <t>Crucibles [for laboratories]</t>
  </si>
  <si>
    <t>Creusets [laboratoires]</t>
  </si>
  <si>
    <t>103844</t>
  </si>
  <si>
    <t>Curettes [medicine]</t>
  </si>
  <si>
    <t>Curettes [médecine]</t>
  </si>
  <si>
    <t>103845</t>
  </si>
  <si>
    <t>Cystoscopes</t>
  </si>
  <si>
    <t>103846</t>
  </si>
  <si>
    <t>Dental forceps</t>
  </si>
  <si>
    <t>Daviers [art dentaire]</t>
  </si>
  <si>
    <t>103847</t>
  </si>
  <si>
    <t>Dental instruments</t>
  </si>
  <si>
    <t>Instruments dentaires à main</t>
  </si>
  <si>
    <t>103848</t>
  </si>
  <si>
    <t>Swabs for taking mucus smears</t>
  </si>
  <si>
    <t>Écouvillons pour prélèvements sur muqueuses</t>
  </si>
  <si>
    <t>103849</t>
  </si>
  <si>
    <t>Syringe nozzles</t>
  </si>
  <si>
    <t>Embouts de seringues</t>
  </si>
  <si>
    <t>103850</t>
  </si>
  <si>
    <t>Test tubes</t>
  </si>
  <si>
    <t>Éprouvettes</t>
  </si>
  <si>
    <t>103851</t>
  </si>
  <si>
    <t>Forceps</t>
  </si>
  <si>
    <t>103852</t>
  </si>
  <si>
    <t>Gastroscopes</t>
  </si>
  <si>
    <t>103853</t>
  </si>
  <si>
    <t>Medicine injectors</t>
  </si>
  <si>
    <t>Injecteurs de médicaments</t>
  </si>
  <si>
    <t>103854</t>
  </si>
  <si>
    <t>Castrating instruments</t>
  </si>
  <si>
    <t>Instruments de castration</t>
  </si>
  <si>
    <t>103855</t>
  </si>
  <si>
    <t>Hand-operated instruments and tools for laboratories</t>
  </si>
  <si>
    <t>Instruments et ustensiles à main de laboratoire</t>
  </si>
  <si>
    <t>103856</t>
  </si>
  <si>
    <t>Lancets</t>
  </si>
  <si>
    <t>Lancettes</t>
  </si>
  <si>
    <t>103857</t>
  </si>
  <si>
    <t>Laryngoscopes</t>
  </si>
  <si>
    <t>103858</t>
  </si>
  <si>
    <t>Hand-operated medical instruments</t>
  </si>
  <si>
    <t>Instruments médicaux [à main]</t>
  </si>
  <si>
    <t>103859</t>
  </si>
  <si>
    <t>Medical instruments</t>
  </si>
  <si>
    <t>Instruments médicaux</t>
  </si>
  <si>
    <t>103860</t>
  </si>
  <si>
    <t>Mirrors for doctors and dentists</t>
  </si>
  <si>
    <t>Miroirs pour médecins et dentistes</t>
  </si>
  <si>
    <t>103861</t>
  </si>
  <si>
    <t>Pipettes</t>
  </si>
  <si>
    <t>103862</t>
  </si>
  <si>
    <t>Washing bottles [for laboratories]</t>
  </si>
  <si>
    <t>Pissettes [pour laboratoires]</t>
  </si>
  <si>
    <t>103863</t>
  </si>
  <si>
    <t>Apparatus for taking blood samples</t>
  </si>
  <si>
    <t>Appareils de prise de sang</t>
  </si>
  <si>
    <t>103864</t>
  </si>
  <si>
    <t>Retractors</t>
  </si>
  <si>
    <t>Rétracteurs</t>
  </si>
  <si>
    <t>103865</t>
  </si>
  <si>
    <t>Scalpels</t>
  </si>
  <si>
    <t>103866</t>
  </si>
  <si>
    <t>Medical syringes</t>
  </si>
  <si>
    <t>Seringues [instruments médicaux]</t>
  </si>
  <si>
    <t>103867</t>
  </si>
  <si>
    <t>Laboratory siphons</t>
  </si>
  <si>
    <t>Siphons [pour laboratoires]</t>
  </si>
  <si>
    <t>103868</t>
  </si>
  <si>
    <t>Medical probes</t>
  </si>
  <si>
    <t>Sondes médicales</t>
  </si>
  <si>
    <t>103869</t>
  </si>
  <si>
    <t>Dentists' spatulas</t>
  </si>
  <si>
    <t>Spatules de dentiste</t>
  </si>
  <si>
    <t>103870</t>
  </si>
  <si>
    <t>Specula</t>
  </si>
  <si>
    <t>Spéculums</t>
  </si>
  <si>
    <t>103871</t>
  </si>
  <si>
    <t>Sphygmometers</t>
  </si>
  <si>
    <t>Sphygmomètres</t>
  </si>
  <si>
    <t>103872</t>
  </si>
  <si>
    <t>Stethoscopes</t>
  </si>
  <si>
    <t>Stéthoscopes</t>
  </si>
  <si>
    <t>103873</t>
  </si>
  <si>
    <t>Dropping tubes</t>
  </si>
  <si>
    <t>Stilligouttes</t>
  </si>
  <si>
    <t>103874</t>
  </si>
  <si>
    <t>Medical thermocauteries</t>
  </si>
  <si>
    <t>Thermocautères médicaux</t>
  </si>
  <si>
    <t>103875</t>
  </si>
  <si>
    <t>Trepans [surgery]</t>
  </si>
  <si>
    <t>Trépans [chirurgie]</t>
  </si>
  <si>
    <t>103876</t>
  </si>
  <si>
    <t>Trocars</t>
  </si>
  <si>
    <t>Trocarts</t>
  </si>
  <si>
    <t>103877</t>
  </si>
  <si>
    <t>Urinometers</t>
  </si>
  <si>
    <t>Uromètres</t>
  </si>
  <si>
    <t>103878</t>
  </si>
  <si>
    <t>Chains for calving cattle</t>
  </si>
  <si>
    <t>Chaînes à vêler le bétail</t>
  </si>
  <si>
    <t>103879</t>
  </si>
  <si>
    <t>Tooth extractors</t>
  </si>
  <si>
    <t>Extracteurs de dents</t>
  </si>
  <si>
    <t>103880</t>
  </si>
  <si>
    <t>Grinding wheels for dentists</t>
  </si>
  <si>
    <t>Meules de dentiste</t>
  </si>
  <si>
    <t>103881</t>
  </si>
  <si>
    <t>Ear cleaners [medical]</t>
  </si>
  <si>
    <t>Instruments médicaux pour nettoyer les oreilles</t>
  </si>
  <si>
    <t>103882</t>
  </si>
  <si>
    <t>Oxygen masks</t>
  </si>
  <si>
    <t>Masques à oxygène</t>
  </si>
  <si>
    <t>103883</t>
  </si>
  <si>
    <t>Haemostatic clamps</t>
  </si>
  <si>
    <t>Pinces hémostatiques</t>
  </si>
  <si>
    <t>103884</t>
  </si>
  <si>
    <t>Saws for surgical purposes</t>
  </si>
  <si>
    <t>Scies à usage chirurgical</t>
  </si>
  <si>
    <t>103885</t>
  </si>
  <si>
    <t>Devices for calculating blood sedimentation rate</t>
  </si>
  <si>
    <t>Dispositifs pour le calcul de la vitesse de sédimentation du sang</t>
  </si>
  <si>
    <t>103886</t>
  </si>
  <si>
    <t>Ear syringes</t>
  </si>
  <si>
    <t>Seringues auriculaires</t>
  </si>
  <si>
    <t>103887</t>
  </si>
  <si>
    <t>Cooling coils [for laboratories]</t>
  </si>
  <si>
    <t>Serpentins de refroidissement [laboratoires]</t>
  </si>
  <si>
    <t>103888</t>
  </si>
  <si>
    <t>Blood pressure measuring apparatus</t>
  </si>
  <si>
    <t>Appareils pour mesurer la tension artérielle</t>
  </si>
  <si>
    <t>103889</t>
  </si>
  <si>
    <t>Breast pumps for nursing mothers</t>
  </si>
  <si>
    <t>Tire-lait pour nourrices</t>
  </si>
  <si>
    <t>103890</t>
  </si>
  <si>
    <t>Laboratory glassware</t>
  </si>
  <si>
    <t>Verrerie de laboratoire</t>
  </si>
  <si>
    <t>103891</t>
  </si>
  <si>
    <t>Graduated glassware</t>
  </si>
  <si>
    <t>Verres gradués</t>
  </si>
  <si>
    <t>103892</t>
  </si>
  <si>
    <t>Clips for surgical purposes</t>
  </si>
  <si>
    <t>Pinces à usage chirurgical</t>
  </si>
  <si>
    <t>103893</t>
  </si>
  <si>
    <t>Instruments and utensils for medical or laboratory diagnosis</t>
  </si>
  <si>
    <t>Instruments et ustensiles pour le diagnostic médical ou de laboratoire</t>
  </si>
  <si>
    <t>103894</t>
  </si>
  <si>
    <t>Surgical staplers</t>
  </si>
  <si>
    <t>Agrafeuses chirurgicales</t>
  </si>
  <si>
    <t>103895</t>
  </si>
  <si>
    <t>Acupuncture instruments</t>
  </si>
  <si>
    <t>Instruments pour l'acupuncture</t>
  </si>
  <si>
    <t>103896</t>
  </si>
  <si>
    <t>Mortars [for laboratories]</t>
  </si>
  <si>
    <t>Mortiers [pour laboratoires]</t>
  </si>
  <si>
    <t>103897</t>
  </si>
  <si>
    <t>Test strips for medical or laboratory purposes</t>
  </si>
  <si>
    <t>Bandelettes-test [médicales ou de laboratoire]</t>
  </si>
  <si>
    <t>104615</t>
  </si>
  <si>
    <t>Gua sha scrapers</t>
  </si>
  <si>
    <t>Grattoirs pour Gua Sha</t>
  </si>
  <si>
    <t>104638</t>
  </si>
  <si>
    <t>Moxibustion instruments</t>
  </si>
  <si>
    <t>Instruments de moxibustion</t>
  </si>
  <si>
    <t>104639</t>
  </si>
  <si>
    <t>Needles for acupuncture</t>
  </si>
  <si>
    <t>Aiguilles d'acupuncture</t>
  </si>
  <si>
    <t>104818</t>
  </si>
  <si>
    <t>Specimen cups with lids</t>
  </si>
  <si>
    <t>Cupules à échantillons et leurs couvercles</t>
  </si>
  <si>
    <t>104909</t>
  </si>
  <si>
    <t>Anti-snoring devices</t>
  </si>
  <si>
    <t>Dispositifs anti-ronflements</t>
  </si>
  <si>
    <t>105141</t>
  </si>
  <si>
    <t>Tweezers for removing ticks</t>
  </si>
  <si>
    <t>Tire-tiques</t>
  </si>
  <si>
    <t>24-03</t>
  </si>
  <si>
    <t>103898</t>
  </si>
  <si>
    <t>PROSTHETIC ARTICLES</t>
  </si>
  <si>
    <t>Bridges [dental]</t>
  </si>
  <si>
    <t>Bridges [prothèses dentaires]</t>
  </si>
  <si>
    <t>103899</t>
  </si>
  <si>
    <t>Dental plates</t>
  </si>
  <si>
    <t>Dentiers</t>
  </si>
  <si>
    <t>103900</t>
  </si>
  <si>
    <t>Artificial teeth</t>
  </si>
  <si>
    <t>Dents artificielles</t>
  </si>
  <si>
    <t>103901</t>
  </si>
  <si>
    <t>Artificial limbs</t>
  </si>
  <si>
    <t>Membres artificiels</t>
  </si>
  <si>
    <t>103902</t>
  </si>
  <si>
    <t>Pins for artificial teeth</t>
  </si>
  <si>
    <t>Pivots pour dents artificielles</t>
  </si>
  <si>
    <t>103903</t>
  </si>
  <si>
    <t>Prosthetics</t>
  </si>
  <si>
    <t>Prothèses</t>
  </si>
  <si>
    <t>103904</t>
  </si>
  <si>
    <t>Artificial eyes</t>
  </si>
  <si>
    <t>Yeux artificiels</t>
  </si>
  <si>
    <t>103905</t>
  </si>
  <si>
    <t>Denture fixing devices</t>
  </si>
  <si>
    <t>Dispositifs de fixation de prothèses dentaires</t>
  </si>
  <si>
    <t>103906</t>
  </si>
  <si>
    <t>Surgical nails</t>
  </si>
  <si>
    <t>Clous chirurgicaux</t>
  </si>
  <si>
    <t>104910</t>
  </si>
  <si>
    <t>Artificial heart valves</t>
  </si>
  <si>
    <t>Valves cardiaques artificielles</t>
  </si>
  <si>
    <t>104911</t>
  </si>
  <si>
    <t>Stents</t>
  </si>
  <si>
    <t>104912</t>
  </si>
  <si>
    <t>Stent grafts</t>
  </si>
  <si>
    <t>Endoprothèses couvertes</t>
  </si>
  <si>
    <t>104913</t>
  </si>
  <si>
    <t>Implantable pacemakers</t>
  </si>
  <si>
    <t>Stimulateurs cardiaques implantables</t>
  </si>
  <si>
    <t>24-04</t>
  </si>
  <si>
    <t>103907</t>
  </si>
  <si>
    <t>MATERIALS FOR DRESSING WOUNDS, NURSING AND MEDICAL CARE</t>
  </si>
  <si>
    <t>Teething rings</t>
  </si>
  <si>
    <t>Anneaux pour favoriser la dentition</t>
  </si>
  <si>
    <t>103908</t>
  </si>
  <si>
    <t>Comforters</t>
  </si>
  <si>
    <t>Sucettes [tétines]</t>
  </si>
  <si>
    <t>Pacifiers for babies</t>
  </si>
  <si>
    <t>103909</t>
  </si>
  <si>
    <t>Absorbent bandages</t>
  </si>
  <si>
    <t>Pansements absorbants</t>
  </si>
  <si>
    <t>103910</t>
  </si>
  <si>
    <t>Apparatus for cutting plaster-of-paris bandages</t>
  </si>
  <si>
    <t>Appareils à découper les bandages en plâtre</t>
  </si>
  <si>
    <t>103911</t>
  </si>
  <si>
    <t>Surgical bandages</t>
  </si>
  <si>
    <t>Bandages chirurgicaux</t>
  </si>
  <si>
    <t>103912</t>
  </si>
  <si>
    <t>Umbilical tapes</t>
  </si>
  <si>
    <t>Bandes ombilicales</t>
  </si>
  <si>
    <t>103913</t>
  </si>
  <si>
    <t>Belts [bandages]</t>
  </si>
  <si>
    <t>Ceintures [bandages]</t>
  </si>
  <si>
    <t>103914</t>
  </si>
  <si>
    <t>Medical compresses</t>
  </si>
  <si>
    <t>Compresses médicales</t>
  </si>
  <si>
    <t>103915</t>
  </si>
  <si>
    <t>Weaning devices</t>
  </si>
  <si>
    <t>Dispositifs pour sevrage</t>
  </si>
  <si>
    <t>103916</t>
  </si>
  <si>
    <t>Drainage tubes for medical purposes</t>
  </si>
  <si>
    <t>Drains à usage médical</t>
  </si>
  <si>
    <t>103917</t>
  </si>
  <si>
    <t>Slings [surgical]</t>
  </si>
  <si>
    <t>Écharpes chirurgicales</t>
  </si>
  <si>
    <t>103918</t>
  </si>
  <si>
    <t>Splints [surgical]</t>
  </si>
  <si>
    <t>Attelles [chirurgie]</t>
  </si>
  <si>
    <t>Éclisses [chirurgie]</t>
  </si>
  <si>
    <t>103919</t>
  </si>
  <si>
    <t>Plasters for rheumatism, sciatica</t>
  </si>
  <si>
    <t>Emplâtres pour rhumatismes, sciatiques</t>
  </si>
  <si>
    <t>103920</t>
  </si>
  <si>
    <t>Fumigators</t>
  </si>
  <si>
    <t>Fumigateurs médicaux</t>
  </si>
  <si>
    <t>103921</t>
  </si>
  <si>
    <t>Cradle-splints for injured limbs</t>
  </si>
  <si>
    <t>Gouttières [bandages chirurgicaux]</t>
  </si>
  <si>
    <t>103922</t>
  </si>
  <si>
    <t>Inhalers</t>
  </si>
  <si>
    <t>Inhalateurs</t>
  </si>
  <si>
    <t>103923</t>
  </si>
  <si>
    <t>Irrigators [medical]</t>
  </si>
  <si>
    <t>Irrigateurs [médicaux]</t>
  </si>
  <si>
    <t>103924</t>
  </si>
  <si>
    <t>Medical equipment for enemas</t>
  </si>
  <si>
    <t>Appareils médicaux pour lavements</t>
  </si>
  <si>
    <t>103925</t>
  </si>
  <si>
    <t>Ear plugs</t>
  </si>
  <si>
    <t>Tampons d'oreilles</t>
  </si>
  <si>
    <t>Ear stoppers</t>
  </si>
  <si>
    <t>Tampons d'oreilles contre le bruit</t>
  </si>
  <si>
    <t>103926</t>
  </si>
  <si>
    <t>Dressings</t>
  </si>
  <si>
    <t>Articles de pansement</t>
  </si>
  <si>
    <t>103927</t>
  </si>
  <si>
    <t>Pessaries</t>
  </si>
  <si>
    <t>Pessaires</t>
  </si>
  <si>
    <t>103928</t>
  </si>
  <si>
    <t>Atomizers for medicine [except aerosol dispensers]</t>
  </si>
  <si>
    <t>Vaporisateurs de médicaments [à l'exception des bombes aérosols]</t>
  </si>
  <si>
    <t>Pulvérisateurs de médicaments [à l'exception des bombes aérosols]</t>
  </si>
  <si>
    <t>103929</t>
  </si>
  <si>
    <t>Sticking plasters for medical purposes</t>
  </si>
  <si>
    <t>Sparadraps</t>
  </si>
  <si>
    <t>103930</t>
  </si>
  <si>
    <t>Suspensory bandages</t>
  </si>
  <si>
    <t>Suspensoirs [bandages]</t>
  </si>
  <si>
    <t>Jock straps</t>
  </si>
  <si>
    <t>103931</t>
  </si>
  <si>
    <t>Sanitary tampons</t>
  </si>
  <si>
    <t>Tampons hygiéniques</t>
  </si>
  <si>
    <t>Menstruation tampons</t>
  </si>
  <si>
    <t>Tampons périodiques</t>
  </si>
  <si>
    <t>103932</t>
  </si>
  <si>
    <t>Urinals [receptacles]</t>
  </si>
  <si>
    <t>Urinaux</t>
  </si>
  <si>
    <t>103933</t>
  </si>
  <si>
    <t>Bedpans</t>
  </si>
  <si>
    <t>Vases hygiéniques pour malades</t>
  </si>
  <si>
    <t>103934</t>
  </si>
  <si>
    <t>Cupping glasses [medical]</t>
  </si>
  <si>
    <t>Ventouses médicales</t>
  </si>
  <si>
    <t>Suction cups [medical]</t>
  </si>
  <si>
    <t>103935</t>
  </si>
  <si>
    <t>Plasters for callosities</t>
  </si>
  <si>
    <t>Emplâtres pour durillons</t>
  </si>
  <si>
    <t>103936</t>
  </si>
  <si>
    <t>Hernia bandages</t>
  </si>
  <si>
    <t>Bandages herniaires</t>
  </si>
  <si>
    <t>103937</t>
  </si>
  <si>
    <t>Feeding devices for invalids</t>
  </si>
  <si>
    <t>Dispositifs pour alimentation d'invalides</t>
  </si>
  <si>
    <t>103938</t>
  </si>
  <si>
    <t>Ice bags for medical purposes</t>
  </si>
  <si>
    <t>Sacs à glace à usage médical</t>
  </si>
  <si>
    <t>103939</t>
  </si>
  <si>
    <t>Rectal enema syringes</t>
  </si>
  <si>
    <t>Poires à lavement rectal</t>
  </si>
  <si>
    <t>103940</t>
  </si>
  <si>
    <t>Orthopaedic ankle supports and braces</t>
  </si>
  <si>
    <t>Chevillères et orthèses orthopédiques</t>
  </si>
  <si>
    <t>Orthopedic ankle supports and braces</t>
  </si>
  <si>
    <t>103941</t>
  </si>
  <si>
    <t>Sanitary towels</t>
  </si>
  <si>
    <t>Serviettes périodiques</t>
  </si>
  <si>
    <t>103942</t>
  </si>
  <si>
    <t>Cutting devices for adhesive plaster</t>
  </si>
  <si>
    <t>Appareils pour couper le sparadrap</t>
  </si>
  <si>
    <t>103943</t>
  </si>
  <si>
    <t>Orthopaedic arch supports</t>
  </si>
  <si>
    <t>Supports plantaires</t>
  </si>
  <si>
    <t>Orthopedic arch supports</t>
  </si>
  <si>
    <t>103944</t>
  </si>
  <si>
    <t>Cushions for pelvis support</t>
  </si>
  <si>
    <t>Coussins de soutien du bassin</t>
  </si>
  <si>
    <t>103945</t>
  </si>
  <si>
    <t>Condoms</t>
  </si>
  <si>
    <t>Préservatifs</t>
  </si>
  <si>
    <t>104628</t>
  </si>
  <si>
    <t>Incontinence pads</t>
  </si>
  <si>
    <t>Serviettes d'incontinence</t>
  </si>
  <si>
    <t>104629</t>
  </si>
  <si>
    <t>Intrauterine devices [IUD]</t>
  </si>
  <si>
    <t>Stérilets</t>
  </si>
  <si>
    <t>104914</t>
  </si>
  <si>
    <t>Medical infusion bags</t>
  </si>
  <si>
    <t>Poches médicales de perfusion</t>
  </si>
  <si>
    <t>105019</t>
  </si>
  <si>
    <t>Pacifier clips</t>
  </si>
  <si>
    <t>Attache-tétines</t>
  </si>
  <si>
    <t>Pacifier holders</t>
  </si>
  <si>
    <t>Attache-sucettes</t>
  </si>
  <si>
    <t>105020</t>
  </si>
  <si>
    <t>Menstrual cups</t>
  </si>
  <si>
    <t>Coupes menstruelles</t>
  </si>
  <si>
    <t>105126</t>
  </si>
  <si>
    <t>Nursing pads</t>
  </si>
  <si>
    <t>Coussinets d'allaitement</t>
  </si>
  <si>
    <t>105127</t>
  </si>
  <si>
    <t>Interlabial pads</t>
  </si>
  <si>
    <t>Serviettes interlabiales</t>
  </si>
  <si>
    <t>105128</t>
  </si>
  <si>
    <t>Panty liners</t>
  </si>
  <si>
    <t>Protège-slips</t>
  </si>
  <si>
    <t>24-05</t>
  </si>
  <si>
    <t>100379</t>
  </si>
  <si>
    <t>WALKING AIDS</t>
  </si>
  <si>
    <t>Crutches</t>
  </si>
  <si>
    <t>Béquilles [aides à la marche]</t>
  </si>
  <si>
    <t>100378</t>
  </si>
  <si>
    <t>Crutch armrests</t>
  </si>
  <si>
    <t>Appuie-bras de béquilles</t>
  </si>
  <si>
    <t>100388</t>
  </si>
  <si>
    <t>Crutch tips</t>
  </si>
  <si>
    <t>Pieds de béquilles</t>
  </si>
  <si>
    <t>102216</t>
  </si>
  <si>
    <t>Walking frames</t>
  </si>
  <si>
    <t>Déambulateurs</t>
  </si>
  <si>
    <t>102217</t>
  </si>
  <si>
    <t>Handles for walking frames</t>
  </si>
  <si>
    <t>Poignées pour déambulateurs</t>
  </si>
  <si>
    <t>104651</t>
  </si>
  <si>
    <t>Wheeled walkers</t>
  </si>
  <si>
    <t>Déambulateurs à roulettes</t>
  </si>
  <si>
    <t>105129</t>
  </si>
  <si>
    <t>Robotic exoskeleton suits [walking aids]</t>
  </si>
  <si>
    <t>Combinaisons exosquelettes robotisées [aides à la marche]</t>
  </si>
  <si>
    <t>24-99</t>
  </si>
  <si>
    <t>103946</t>
  </si>
  <si>
    <t>Hearing aids for the deaf</t>
  </si>
  <si>
    <t>Appareils acoustiques pour personnes dures d'oreille</t>
  </si>
  <si>
    <t>103947</t>
  </si>
  <si>
    <t>Dental floss holders</t>
  </si>
  <si>
    <t>Supports pour soie dentaire</t>
  </si>
  <si>
    <t>103948</t>
  </si>
  <si>
    <t>Dental braces</t>
  </si>
  <si>
    <t>Bagues dentaires</t>
  </si>
  <si>
    <t>104568</t>
  </si>
  <si>
    <t>Acupressure mats</t>
  </si>
  <si>
    <t>Tapis d'acupression</t>
  </si>
  <si>
    <t>104819</t>
  </si>
  <si>
    <t>Posture correction devices</t>
  </si>
  <si>
    <t>Dispositifs de correction de la posture</t>
  </si>
  <si>
    <t>105021</t>
  </si>
  <si>
    <t>Devices for magnetic therapy</t>
  </si>
  <si>
    <t>Dispositifs de magnétothérapie</t>
  </si>
  <si>
    <t>105022</t>
  </si>
  <si>
    <t>Orthokeratology lenses</t>
  </si>
  <si>
    <t>Lentilles d'orthokératologie</t>
  </si>
  <si>
    <t>25</t>
  </si>
  <si>
    <t>25-01</t>
  </si>
  <si>
    <t>103949</t>
  </si>
  <si>
    <t>Unidades de construcción y elementos de construcción: Comprende materiales y componentes utilizados en construcción.</t>
  </si>
  <si>
    <t>BUILDING UNITS AND CONSTRUCTION ELEMENTS</t>
  </si>
  <si>
    <t>BUILDING MATERIALS</t>
  </si>
  <si>
    <t>Fish plates [rail]</t>
  </si>
  <si>
    <t>Éclisses de rails</t>
  </si>
  <si>
    <t>103950</t>
  </si>
  <si>
    <t>Slates for building</t>
  </si>
  <si>
    <t>Ardoises pour la construction</t>
  </si>
  <si>
    <t>103951</t>
  </si>
  <si>
    <t>Shingle boards</t>
  </si>
  <si>
    <t>Bardeaux</t>
  </si>
  <si>
    <t>Clapboards</t>
  </si>
  <si>
    <t>103952</t>
  </si>
  <si>
    <t>Curbs for sidewalks</t>
  </si>
  <si>
    <t>Bordures pour trottoirs</t>
  </si>
  <si>
    <t>Kerbs for pavements</t>
  </si>
  <si>
    <t>103953</t>
  </si>
  <si>
    <t>Boundary stones</t>
  </si>
  <si>
    <t>Bornes cadastrales</t>
  </si>
  <si>
    <t>103954</t>
  </si>
  <si>
    <t>Bricks</t>
  </si>
  <si>
    <t>Briques</t>
  </si>
  <si>
    <t>103955</t>
  </si>
  <si>
    <t>Refractory materials</t>
  </si>
  <si>
    <t>Matériaux réfractaires</t>
  </si>
  <si>
    <t>103956</t>
  </si>
  <si>
    <t>Building materials</t>
  </si>
  <si>
    <t>Matériaux de construction</t>
  </si>
  <si>
    <t>103957</t>
  </si>
  <si>
    <t>Angle irons</t>
  </si>
  <si>
    <t>Cornières métalliques</t>
  </si>
  <si>
    <t>103958</t>
  </si>
  <si>
    <t>Battens [carpentry]</t>
  </si>
  <si>
    <t>Couvre-joints de charpentes</t>
  </si>
  <si>
    <t>103960</t>
  </si>
  <si>
    <t>Supports [props]</t>
  </si>
  <si>
    <t>Étançons</t>
  </si>
  <si>
    <t>103961</t>
  </si>
  <si>
    <t>Joists</t>
  </si>
  <si>
    <t>Lambourdes</t>
  </si>
  <si>
    <t>103962</t>
  </si>
  <si>
    <t>Panelling</t>
  </si>
  <si>
    <t>Lambris</t>
  </si>
  <si>
    <t>103963</t>
  </si>
  <si>
    <t>Laths</t>
  </si>
  <si>
    <t>Lattes</t>
  </si>
  <si>
    <t>103964</t>
  </si>
  <si>
    <t>Cork sheets [construction]</t>
  </si>
  <si>
    <t>Plaques de liège [construction]</t>
  </si>
  <si>
    <t>103965</t>
  </si>
  <si>
    <t>Brackets [woodwork]</t>
  </si>
  <si>
    <t>Liteaux [menuiserie]</t>
  </si>
  <si>
    <t>103966</t>
  </si>
  <si>
    <t>Longitudinal girders</t>
  </si>
  <si>
    <t>Longerons de charpentes</t>
  </si>
  <si>
    <t>103967</t>
  </si>
  <si>
    <t>Sheeting piles</t>
  </si>
  <si>
    <t>Palplanches</t>
  </si>
  <si>
    <t>103968</t>
  </si>
  <si>
    <t>Panelling [building]</t>
  </si>
  <si>
    <t>Panneaux de revêtement [construction]</t>
  </si>
  <si>
    <t>103969</t>
  </si>
  <si>
    <t>Paving stones</t>
  </si>
  <si>
    <t>Dalles</t>
  </si>
  <si>
    <t>Pavés</t>
  </si>
  <si>
    <t>103970</t>
  </si>
  <si>
    <t>Piles [stakes]</t>
  </si>
  <si>
    <t>Pilotis</t>
  </si>
  <si>
    <t>103971</t>
  </si>
  <si>
    <t>Plates [building]</t>
  </si>
  <si>
    <t>Plaques [construction]</t>
  </si>
  <si>
    <t>Slabs [building]</t>
  </si>
  <si>
    <t>103972</t>
  </si>
  <si>
    <t>Roofing plates</t>
  </si>
  <si>
    <t>Plaques pour toitures</t>
  </si>
  <si>
    <t>Plaques pour revêtement de toitures</t>
  </si>
  <si>
    <t>103973</t>
  </si>
  <si>
    <t>Plinths</t>
  </si>
  <si>
    <t>Plinthes</t>
  </si>
  <si>
    <t>103974</t>
  </si>
  <si>
    <t>Girders</t>
  </si>
  <si>
    <t>Poutres</t>
  </si>
  <si>
    <t>Beams [construction]</t>
  </si>
  <si>
    <t>103975</t>
  </si>
  <si>
    <t>Construction elements [angles]</t>
  </si>
  <si>
    <t>Profilés de construction</t>
  </si>
  <si>
    <t>103976</t>
  </si>
  <si>
    <t>Linings for building</t>
  </si>
  <si>
    <t>Revêtement [construction]</t>
  </si>
  <si>
    <t>Cladding for building</t>
  </si>
  <si>
    <t>103977</t>
  </si>
  <si>
    <t>Tiles</t>
  </si>
  <si>
    <t>Tuiles</t>
  </si>
  <si>
    <t>103978</t>
  </si>
  <si>
    <t>Blocks for construction</t>
  </si>
  <si>
    <t>Blocs pour la construction</t>
  </si>
  <si>
    <t>103979</t>
  </si>
  <si>
    <t>Rods for reinforcing concrete</t>
  </si>
  <si>
    <t>Fers à béton</t>
  </si>
  <si>
    <t>103980</t>
  </si>
  <si>
    <t>Railway sleepers</t>
  </si>
  <si>
    <t>Traverses de chemin de fer</t>
  </si>
  <si>
    <t>Railroad ties</t>
  </si>
  <si>
    <t>103981</t>
  </si>
  <si>
    <t>Architectural mouldings</t>
  </si>
  <si>
    <t>Moulures d'architecture</t>
  </si>
  <si>
    <t>Architectural moldings</t>
  </si>
  <si>
    <t>103982</t>
  </si>
  <si>
    <t>Railway rails</t>
  </si>
  <si>
    <t>Rails de chemin de fer</t>
  </si>
  <si>
    <t>103983</t>
  </si>
  <si>
    <t>Conduits for cables</t>
  </si>
  <si>
    <t>Caniveaux pour câbles</t>
  </si>
  <si>
    <t>103984</t>
  </si>
  <si>
    <t>Ceramic tiles for building</t>
  </si>
  <si>
    <t>Carreaux en céramique pour construction</t>
  </si>
  <si>
    <t>103985</t>
  </si>
  <si>
    <t>Acoustic building elements</t>
  </si>
  <si>
    <t>Éléments de construction acoustiques</t>
  </si>
  <si>
    <t>103986</t>
  </si>
  <si>
    <t>Angle irons [L-shaped sections]</t>
  </si>
  <si>
    <t>Fers d'angle [profilés]</t>
  </si>
  <si>
    <t>103987</t>
  </si>
  <si>
    <t>Building stones</t>
  </si>
  <si>
    <t>Pierres de construction</t>
  </si>
  <si>
    <t>103988</t>
  </si>
  <si>
    <t>Fence pickets</t>
  </si>
  <si>
    <t>Piquets de clôtures</t>
  </si>
  <si>
    <t>Posts for fences</t>
  </si>
  <si>
    <t>Pieux de clôtures</t>
  </si>
  <si>
    <t>Piquets de clôture</t>
  </si>
  <si>
    <t>103989</t>
  </si>
  <si>
    <t>Tufa stones</t>
  </si>
  <si>
    <t>Pierres de tuf</t>
  </si>
  <si>
    <t>103990</t>
  </si>
  <si>
    <t>Reinforced glass</t>
  </si>
  <si>
    <t>Verre armé</t>
  </si>
  <si>
    <t>103991</t>
  </si>
  <si>
    <t>Edge lists for lawns and beds of flowers</t>
  </si>
  <si>
    <t>Bordures pour gazon et parterres de fleurs</t>
  </si>
  <si>
    <t>103992</t>
  </si>
  <si>
    <t>Anti-noise screens [building materials]</t>
  </si>
  <si>
    <t>Écrans anti-bruit [matériaux de construction]</t>
  </si>
  <si>
    <t>103993</t>
  </si>
  <si>
    <t>Panels for electric conductors</t>
  </si>
  <si>
    <t>Panneaux pour conducteurs électriques</t>
  </si>
  <si>
    <t>103994</t>
  </si>
  <si>
    <t>Decorative panels for building</t>
  </si>
  <si>
    <t>Panneaux décoratifs pour la construction</t>
  </si>
  <si>
    <t>103995</t>
  </si>
  <si>
    <t>Anchoring components [building]</t>
  </si>
  <si>
    <t>Éléments d'ancrage [construction]</t>
  </si>
  <si>
    <t>103996</t>
  </si>
  <si>
    <t>Scantlings [carpentry]</t>
  </si>
  <si>
    <t>Voliges</t>
  </si>
  <si>
    <t>104657</t>
  </si>
  <si>
    <t>Sections [building materials]</t>
  </si>
  <si>
    <t>Profilés [matériaux de construction]</t>
  </si>
  <si>
    <t>104820</t>
  </si>
  <si>
    <t>Blocks for breakwaters</t>
  </si>
  <si>
    <t>Blocs pour brise-lames</t>
  </si>
  <si>
    <t>25-02</t>
  </si>
  <si>
    <t>103997</t>
  </si>
  <si>
    <t>PREFABRICATED OR PRE-ASSEMBLED BUILDING PARTS</t>
  </si>
  <si>
    <t>Manhole covers</t>
  </si>
  <si>
    <t>Couvercles de trou d'homme</t>
  </si>
  <si>
    <t>103998</t>
  </si>
  <si>
    <t>Chimney cowls</t>
  </si>
  <si>
    <t>Abat-vent de cheminées</t>
  </si>
  <si>
    <t>Tournevents</t>
  </si>
  <si>
    <t>103999</t>
  </si>
  <si>
    <t>Windowsills</t>
  </si>
  <si>
    <t>Appuis de fenêtres</t>
  </si>
  <si>
    <t>Sills [windowsills]</t>
  </si>
  <si>
    <t>104000</t>
  </si>
  <si>
    <t>Awnings</t>
  </si>
  <si>
    <t>Auvents</t>
  </si>
  <si>
    <t>104001</t>
  </si>
  <si>
    <t>Balustrades</t>
  </si>
  <si>
    <t>Banisters</t>
  </si>
  <si>
    <t>104002</t>
  </si>
  <si>
    <t>Balustrading</t>
  </si>
  <si>
    <t>Balustres</t>
  </si>
  <si>
    <t>104003</t>
  </si>
  <si>
    <t>Barriers</t>
  </si>
  <si>
    <t>Barrières</t>
  </si>
  <si>
    <t>104004</t>
  </si>
  <si>
    <t>Crash barriers for roads</t>
  </si>
  <si>
    <t>Glissières de sécurité pour routes</t>
  </si>
  <si>
    <t>Highway line guards</t>
  </si>
  <si>
    <t>104005</t>
  </si>
  <si>
    <t>Level-crossing gates</t>
  </si>
  <si>
    <t>Barrières de passages à niveau</t>
  </si>
  <si>
    <t>Grade-crossing gates</t>
  </si>
  <si>
    <t>104007</t>
  </si>
  <si>
    <t>Vault safes</t>
  </si>
  <si>
    <t>Chambres fortes</t>
  </si>
  <si>
    <t>104008</t>
  </si>
  <si>
    <t>Chimney caps</t>
  </si>
  <si>
    <t>Chapeaux de cheminées</t>
  </si>
  <si>
    <t>104009</t>
  </si>
  <si>
    <t>Framework [building]</t>
  </si>
  <si>
    <t>Charpentes</t>
  </si>
  <si>
    <t>104010</t>
  </si>
  <si>
    <t>Forcing frames [horticulture]</t>
  </si>
  <si>
    <t>Châssis de couches</t>
  </si>
  <si>
    <t>104011</t>
  </si>
  <si>
    <t>Window frames</t>
  </si>
  <si>
    <t>Châssis de fenêtres</t>
  </si>
  <si>
    <t>104012</t>
  </si>
  <si>
    <t>Chimneys for buildings</t>
  </si>
  <si>
    <t>Cheminées d'immeubles</t>
  </si>
  <si>
    <t>104013</t>
  </si>
  <si>
    <t>Screens for hothouses</t>
  </si>
  <si>
    <t>Claies pour serres</t>
  </si>
  <si>
    <t>104014</t>
  </si>
  <si>
    <t>Partitions [building]</t>
  </si>
  <si>
    <t>Cloisons [bâtiment]</t>
  </si>
  <si>
    <t>104015</t>
  </si>
  <si>
    <t>Fences</t>
  </si>
  <si>
    <t>Clôtures</t>
  </si>
  <si>
    <t>104016</t>
  </si>
  <si>
    <t>Columns [building]</t>
  </si>
  <si>
    <t>Colonnes [construction]</t>
  </si>
  <si>
    <t>104017</t>
  </si>
  <si>
    <t>Prefabricated or pre-assembled building parts</t>
  </si>
  <si>
    <t>Parties préfabriquées ou préassemblées pour construction</t>
  </si>
  <si>
    <t>104018</t>
  </si>
  <si>
    <t>Storm windows</t>
  </si>
  <si>
    <t>Contre-fenêtres</t>
  </si>
  <si>
    <t>104019</t>
  </si>
  <si>
    <t>Cornices [building]</t>
  </si>
  <si>
    <t>Corniches [construction]</t>
  </si>
  <si>
    <t>104020</t>
  </si>
  <si>
    <t>Casement windows</t>
  </si>
  <si>
    <t>Croisées [fenêtres]</t>
  </si>
  <si>
    <t>104021</t>
  </si>
  <si>
    <t>Abutments for bridges</t>
  </si>
  <si>
    <t>Culées de ponts</t>
  </si>
  <si>
    <t>104022</t>
  </si>
  <si>
    <t>Pavings</t>
  </si>
  <si>
    <t>Dallages</t>
  </si>
  <si>
    <t>104023</t>
  </si>
  <si>
    <t>Domes</t>
  </si>
  <si>
    <t>Dômes</t>
  </si>
  <si>
    <t>104024</t>
  </si>
  <si>
    <t>Windows</t>
  </si>
  <si>
    <t>Fenêtres</t>
  </si>
  <si>
    <t>104025</t>
  </si>
  <si>
    <t>Parapets</t>
  </si>
  <si>
    <t>Garde-fous</t>
  </si>
  <si>
    <t>104026</t>
  </si>
  <si>
    <t>Gratings [parts of buildings]</t>
  </si>
  <si>
    <t>Grilles [parties de construction]</t>
  </si>
  <si>
    <t>104027</t>
  </si>
  <si>
    <t>Venetian shutters [outdoor]</t>
  </si>
  <si>
    <t>Jalousies extérieures</t>
  </si>
  <si>
    <t>Persiennes</t>
  </si>
  <si>
    <t>104028</t>
  </si>
  <si>
    <t>Slats for blinds</t>
  </si>
  <si>
    <t>Lamelles de stores</t>
  </si>
  <si>
    <t>104029</t>
  </si>
  <si>
    <t>Devices for adjusting slats for blinds</t>
  </si>
  <si>
    <t>Appareils pour l'orientation des lamelles de stores</t>
  </si>
  <si>
    <t>104030</t>
  </si>
  <si>
    <t>Dome lanterns</t>
  </si>
  <si>
    <t>Lanterneaux</t>
  </si>
  <si>
    <t>Skylights</t>
  </si>
  <si>
    <t>104031</t>
  </si>
  <si>
    <t>Lintels</t>
  </si>
  <si>
    <t>Linteaux</t>
  </si>
  <si>
    <t>104032</t>
  </si>
  <si>
    <t>Dormer windows</t>
  </si>
  <si>
    <t>Lucarnes</t>
  </si>
  <si>
    <t>104033</t>
  </si>
  <si>
    <t>Handrails</t>
  </si>
  <si>
    <t>Mains courantes</t>
  </si>
  <si>
    <t>104034</t>
  </si>
  <si>
    <t>Canopies for doors</t>
  </si>
  <si>
    <t>Marquises [construction]</t>
  </si>
  <si>
    <t>104035</t>
  </si>
  <si>
    <t>Palisades</t>
  </si>
  <si>
    <t>Palissades</t>
  </si>
  <si>
    <t>104036</t>
  </si>
  <si>
    <t>Partition walls</t>
  </si>
  <si>
    <t>Parois [bâtiment]</t>
  </si>
  <si>
    <t>104037</t>
  </si>
  <si>
    <t>Parquets</t>
  </si>
  <si>
    <t>104038</t>
  </si>
  <si>
    <t>Ceilings</t>
  </si>
  <si>
    <t>Plafonds</t>
  </si>
  <si>
    <t>104039</t>
  </si>
  <si>
    <t>Floors</t>
  </si>
  <si>
    <t>Planchers</t>
  </si>
  <si>
    <t>104040</t>
  </si>
  <si>
    <t>Gates</t>
  </si>
  <si>
    <t>Portails</t>
  </si>
  <si>
    <t>104041</t>
  </si>
  <si>
    <t>Doors</t>
  </si>
  <si>
    <t>Portes</t>
  </si>
  <si>
    <t>104042</t>
  </si>
  <si>
    <t>Thresholds</t>
  </si>
  <si>
    <t>Seuils de portes</t>
  </si>
  <si>
    <t>104043</t>
  </si>
  <si>
    <t>Blinds [outdoor]</t>
  </si>
  <si>
    <t>Stores extérieurs</t>
  </si>
  <si>
    <t>104044</t>
  </si>
  <si>
    <t>Roofs</t>
  </si>
  <si>
    <t>Toitures</t>
  </si>
  <si>
    <t>104045</t>
  </si>
  <si>
    <t>Turnstiles</t>
  </si>
  <si>
    <t>Tourniquets pour entrées</t>
  </si>
  <si>
    <t>104046</t>
  </si>
  <si>
    <t>Latticework</t>
  </si>
  <si>
    <t>Treillages</t>
  </si>
  <si>
    <t>104047</t>
  </si>
  <si>
    <t>Stained-glass windows</t>
  </si>
  <si>
    <t>Vitraux</t>
  </si>
  <si>
    <t>104048</t>
  </si>
  <si>
    <t>Shutters [venetian]</t>
  </si>
  <si>
    <t>Volets [persiennes]</t>
  </si>
  <si>
    <t>104049</t>
  </si>
  <si>
    <t>Mine props</t>
  </si>
  <si>
    <t>Étais de mine</t>
  </si>
  <si>
    <t>Pitprops [mining]</t>
  </si>
  <si>
    <t>104050</t>
  </si>
  <si>
    <t>Waste disposal chutes</t>
  </si>
  <si>
    <t>Vide-ordures</t>
  </si>
  <si>
    <t>104051</t>
  </si>
  <si>
    <t>Fanlights</t>
  </si>
  <si>
    <t>Vasistas</t>
  </si>
  <si>
    <t>Transoms</t>
  </si>
  <si>
    <t>Impostes</t>
  </si>
  <si>
    <t>104052</t>
  </si>
  <si>
    <t>Lock gates</t>
  </si>
  <si>
    <t>Portes d'écluses</t>
  </si>
  <si>
    <t>104053</t>
  </si>
  <si>
    <t>Chimney pots</t>
  </si>
  <si>
    <t>Mitres de cheminées</t>
  </si>
  <si>
    <t>104054</t>
  </si>
  <si>
    <t>False ceilings</t>
  </si>
  <si>
    <t>Faux plafonds</t>
  </si>
  <si>
    <t>104055</t>
  </si>
  <si>
    <t>Door casings</t>
  </si>
  <si>
    <t>Châssis de portes</t>
  </si>
  <si>
    <t>Door frames</t>
  </si>
  <si>
    <t>Cadres de portes</t>
  </si>
  <si>
    <t>Cadres et châssis de portes</t>
  </si>
  <si>
    <t>104056</t>
  </si>
  <si>
    <t>Door panels</t>
  </si>
  <si>
    <t>Panneaux de portes</t>
  </si>
  <si>
    <t>104057</t>
  </si>
  <si>
    <t>Elevator doors</t>
  </si>
  <si>
    <t>Portes d'ascenseurs</t>
  </si>
  <si>
    <t>Lift doors</t>
  </si>
  <si>
    <t>104058</t>
  </si>
  <si>
    <t>Shop shutters</t>
  </si>
  <si>
    <t>Rideaux de boutique [métalliques]</t>
  </si>
  <si>
    <t>104059</t>
  </si>
  <si>
    <t>Sockets for posts</t>
  </si>
  <si>
    <t>Socles de poteaux</t>
  </si>
  <si>
    <t>Bases for posts</t>
  </si>
  <si>
    <t>104060</t>
  </si>
  <si>
    <t>Ventilation shutters</t>
  </si>
  <si>
    <t>Volets d'aération [vasistas]</t>
  </si>
  <si>
    <t>104061</t>
  </si>
  <si>
    <t>Flower boxes [outdoor]</t>
  </si>
  <si>
    <t>Bacs à fleurs d'extérieur</t>
  </si>
  <si>
    <t>104063</t>
  </si>
  <si>
    <t>Snow fences [for roofs]</t>
  </si>
  <si>
    <t>Pare-neige [pour toitures]</t>
  </si>
  <si>
    <t>104064</t>
  </si>
  <si>
    <t>Stone windows</t>
  </si>
  <si>
    <t>Claustra</t>
  </si>
  <si>
    <t>Openwork partition</t>
  </si>
  <si>
    <t>104065</t>
  </si>
  <si>
    <t>Tiling</t>
  </si>
  <si>
    <t>Carrelages</t>
  </si>
  <si>
    <t>104066</t>
  </si>
  <si>
    <t>Tree protectors</t>
  </si>
  <si>
    <t>Dispositifs protecteurs d'arbres</t>
  </si>
  <si>
    <t>104067</t>
  </si>
  <si>
    <t>Flower stands [masonry]</t>
  </si>
  <si>
    <t>Jardinières [maçonnerie]</t>
  </si>
  <si>
    <t>104068</t>
  </si>
  <si>
    <t>Bowls [masonry]</t>
  </si>
  <si>
    <t>Vasques [maçonnerie]</t>
  </si>
  <si>
    <t>104069</t>
  </si>
  <si>
    <t>French windows</t>
  </si>
  <si>
    <t>Portes-fenêtres</t>
  </si>
  <si>
    <t>104071</t>
  </si>
  <si>
    <t>Gabions</t>
  </si>
  <si>
    <t>104072</t>
  </si>
  <si>
    <t>Lawn grid plates</t>
  </si>
  <si>
    <t>Plaques-grilles pour gazon</t>
  </si>
  <si>
    <t>104073</t>
  </si>
  <si>
    <t>Rest barriers [outdoor]</t>
  </si>
  <si>
    <t>Barrières de repos d'extérieur</t>
  </si>
  <si>
    <t>104570</t>
  </si>
  <si>
    <t>Artificial grass tiles</t>
  </si>
  <si>
    <t>Dalles de gazon artificiel</t>
  </si>
  <si>
    <t>104597</t>
  </si>
  <si>
    <t>Corbels</t>
  </si>
  <si>
    <t>Encorbellements</t>
  </si>
  <si>
    <t>104607</t>
  </si>
  <si>
    <t>Folding doors</t>
  </si>
  <si>
    <t>Portes pliantes</t>
  </si>
  <si>
    <t>104611</t>
  </si>
  <si>
    <t>Garage doors</t>
  </si>
  <si>
    <t>Portes de garage</t>
  </si>
  <si>
    <t>104685</t>
  </si>
  <si>
    <t>Windbreaks [building]</t>
  </si>
  <si>
    <t>Brise-vents [construction]</t>
  </si>
  <si>
    <t>104821</t>
  </si>
  <si>
    <t>Removable floor tiles for outdoor use</t>
  </si>
  <si>
    <t>Dalles de sol amovibles pour l'extérieur</t>
  </si>
  <si>
    <t>104822</t>
  </si>
  <si>
    <t>Sewer manholes</t>
  </si>
  <si>
    <t>Regards d'égout</t>
  </si>
  <si>
    <t>104823</t>
  </si>
  <si>
    <t>Insulated building panels</t>
  </si>
  <si>
    <t>Panneaux de construction isolés</t>
  </si>
  <si>
    <t>104824</t>
  </si>
  <si>
    <t>Bollards</t>
  </si>
  <si>
    <t>Poteaux</t>
  </si>
  <si>
    <t>104915</t>
  </si>
  <si>
    <t>Balconies</t>
  </si>
  <si>
    <t>Balcons</t>
  </si>
  <si>
    <t>105023</t>
  </si>
  <si>
    <t>Speed bumps</t>
  </si>
  <si>
    <t>Ralentisseurs</t>
  </si>
  <si>
    <t>25-03</t>
  </si>
  <si>
    <t>104074</t>
  </si>
  <si>
    <t>HOUSES, GARAGES AND OTHER BUILDINGS</t>
  </si>
  <si>
    <t>Bomb shelters</t>
  </si>
  <si>
    <t>Abris contre les bombes</t>
  </si>
  <si>
    <t>104075</t>
  </si>
  <si>
    <t>Sheds for animals</t>
  </si>
  <si>
    <t>Abris couverts pour animaux</t>
  </si>
  <si>
    <t>104076</t>
  </si>
  <si>
    <t>Sheds for bicycles</t>
  </si>
  <si>
    <t>Abris pour cycles</t>
  </si>
  <si>
    <t>104077</t>
  </si>
  <si>
    <t>Market shelters</t>
  </si>
  <si>
    <t>Abris pour marchés</t>
  </si>
  <si>
    <t>104078</t>
  </si>
  <si>
    <t>Carports</t>
  </si>
  <si>
    <t>Auvents pour automobiles</t>
  </si>
  <si>
    <t>104079</t>
  </si>
  <si>
    <t>Sheds [building]</t>
  </si>
  <si>
    <t>Baraquements</t>
  </si>
  <si>
    <t>104080</t>
  </si>
  <si>
    <t>Buildings</t>
  </si>
  <si>
    <t>Bâtiments</t>
  </si>
  <si>
    <t>104081</t>
  </si>
  <si>
    <t>Bungalows</t>
  </si>
  <si>
    <t>104082</t>
  </si>
  <si>
    <t>Paint spray booths</t>
  </si>
  <si>
    <t>Cabines de peinture</t>
  </si>
  <si>
    <t>104083</t>
  </si>
  <si>
    <t>Beach huts</t>
  </si>
  <si>
    <t>Cabines de plage</t>
  </si>
  <si>
    <t>104084</t>
  </si>
  <si>
    <t>Changing cubicles</t>
  </si>
  <si>
    <t>Cabines pour se changer</t>
  </si>
  <si>
    <t>104085</t>
  </si>
  <si>
    <t>Telephone boxes</t>
  </si>
  <si>
    <t>Cabines téléphoniques</t>
  </si>
  <si>
    <t>Telephone booths</t>
  </si>
  <si>
    <t>104086</t>
  </si>
  <si>
    <t>Supports for carrying cables</t>
  </si>
  <si>
    <t>Supports de câbles transporteurs</t>
  </si>
  <si>
    <t>104087</t>
  </si>
  <si>
    <t>Burial vaults</t>
  </si>
  <si>
    <t>Caveaux funéraires</t>
  </si>
  <si>
    <t>104088</t>
  </si>
  <si>
    <t>Water towers</t>
  </si>
  <si>
    <t>Châteaux d'eau</t>
  </si>
  <si>
    <t>104089</t>
  </si>
  <si>
    <t>Buildings [transportable]</t>
  </si>
  <si>
    <t>Constructions transportables</t>
  </si>
  <si>
    <t>104090</t>
  </si>
  <si>
    <t>Crypts</t>
  </si>
  <si>
    <t>Cryptes</t>
  </si>
  <si>
    <t>104091</t>
  </si>
  <si>
    <t>Locks [canal]</t>
  </si>
  <si>
    <t>Écluses</t>
  </si>
  <si>
    <t>104092</t>
  </si>
  <si>
    <t>Garages</t>
  </si>
  <si>
    <t>104093</t>
  </si>
  <si>
    <t>Gasometers</t>
  </si>
  <si>
    <t>Gazomètres</t>
  </si>
  <si>
    <t>104094</t>
  </si>
  <si>
    <t>Barns</t>
  </si>
  <si>
    <t>Granges</t>
  </si>
  <si>
    <t>104095</t>
  </si>
  <si>
    <t>Hangars</t>
  </si>
  <si>
    <t>Sheds</t>
  </si>
  <si>
    <t>104096</t>
  </si>
  <si>
    <t>Houses</t>
  </si>
  <si>
    <t>Maisons</t>
  </si>
  <si>
    <t>104097</t>
  </si>
  <si>
    <t>Transmitter masts</t>
  </si>
  <si>
    <t>Mâts pour émetteurs</t>
  </si>
  <si>
    <t>104098</t>
  </si>
  <si>
    <t>Mausoleums</t>
  </si>
  <si>
    <t>Mausolées</t>
  </si>
  <si>
    <t>104099</t>
  </si>
  <si>
    <t>Monuments</t>
  </si>
  <si>
    <t>104100</t>
  </si>
  <si>
    <t>Windmills [construction]</t>
  </si>
  <si>
    <t>Moulins à vent [construction]</t>
  </si>
  <si>
    <t>104101</t>
  </si>
  <si>
    <t>Recesses for telephones</t>
  </si>
  <si>
    <t>Niches pour téléphones</t>
  </si>
  <si>
    <t>104102</t>
  </si>
  <si>
    <t>Skating rinks [structure]</t>
  </si>
  <si>
    <t>Patinoires [construction]</t>
  </si>
  <si>
    <t>104103</t>
  </si>
  <si>
    <t>Pavilions [building]</t>
  </si>
  <si>
    <t>Pavillons [construction]</t>
  </si>
  <si>
    <t>104104</t>
  </si>
  <si>
    <t>Bridge piers</t>
  </si>
  <si>
    <t>Piles de ponts</t>
  </si>
  <si>
    <t>104105</t>
  </si>
  <si>
    <t>Swimming pools [non-transportable]</t>
  </si>
  <si>
    <t>Piscines non transportables</t>
  </si>
  <si>
    <t>104106</t>
  </si>
  <si>
    <t>Bridges [civil engineering]</t>
  </si>
  <si>
    <t>Ponts [génie civil]</t>
  </si>
  <si>
    <t>104107</t>
  </si>
  <si>
    <t>Hen houses</t>
  </si>
  <si>
    <t>Poulaillers</t>
  </si>
  <si>
    <t>104108</t>
  </si>
  <si>
    <t>Pylons</t>
  </si>
  <si>
    <t>Pylônes</t>
  </si>
  <si>
    <t>104109</t>
  </si>
  <si>
    <t>Greenhouses</t>
  </si>
  <si>
    <t>Serres</t>
  </si>
  <si>
    <t>104110</t>
  </si>
  <si>
    <t>Silos</t>
  </si>
  <si>
    <t>104111</t>
  </si>
  <si>
    <t>Solariums [construction]</t>
  </si>
  <si>
    <t>104112</t>
  </si>
  <si>
    <t>Terraces</t>
  </si>
  <si>
    <t>Terrasses</t>
  </si>
  <si>
    <t>104113</t>
  </si>
  <si>
    <t>Tombstones</t>
  </si>
  <si>
    <t>Pierres tombales</t>
  </si>
  <si>
    <t>104114</t>
  </si>
  <si>
    <t>Sarcophagi</t>
  </si>
  <si>
    <t>Sarcophages</t>
  </si>
  <si>
    <t>104115</t>
  </si>
  <si>
    <t>Boathouses</t>
  </si>
  <si>
    <t>Hangars à bateaux</t>
  </si>
  <si>
    <t>104116</t>
  </si>
  <si>
    <t>Inflatable marquees</t>
  </si>
  <si>
    <t>Halles gonflables</t>
  </si>
  <si>
    <t>104117</t>
  </si>
  <si>
    <t>Posts for electricity mains cables</t>
  </si>
  <si>
    <t>Poteaux pour conduites d'électricité</t>
  </si>
  <si>
    <t>104118</t>
  </si>
  <si>
    <t>Service stations</t>
  </si>
  <si>
    <t>Stations-service</t>
  </si>
  <si>
    <t>Filling stations</t>
  </si>
  <si>
    <t>104119</t>
  </si>
  <si>
    <t>Theatre stages</t>
  </si>
  <si>
    <t>Plateaux de théâtre</t>
  </si>
  <si>
    <t>104120</t>
  </si>
  <si>
    <t>Mooring booms</t>
  </si>
  <si>
    <t>Mâts d'amarrage</t>
  </si>
  <si>
    <t>104121</t>
  </si>
  <si>
    <t>Floating bridges</t>
  </si>
  <si>
    <t>Ponts flottants</t>
  </si>
  <si>
    <t>104122</t>
  </si>
  <si>
    <t>Sentry boxes [cabins]</t>
  </si>
  <si>
    <t>Guérites [cabines]</t>
  </si>
  <si>
    <t>104123</t>
  </si>
  <si>
    <t>Footbridges</t>
  </si>
  <si>
    <t>Passerelles [ponts]</t>
  </si>
  <si>
    <t>104124</t>
  </si>
  <si>
    <t>Kiosks</t>
  </si>
  <si>
    <t>Kiosques</t>
  </si>
  <si>
    <t>104125</t>
  </si>
  <si>
    <t>Dustbin shelters</t>
  </si>
  <si>
    <t>Abris pour poubelles</t>
  </si>
  <si>
    <t>104126</t>
  </si>
  <si>
    <t>Passenger shelters</t>
  </si>
  <si>
    <t>Abris pour voyageurs</t>
  </si>
  <si>
    <t>104127</t>
  </si>
  <si>
    <t>Toll houses</t>
  </si>
  <si>
    <t>Cabines de péage</t>
  </si>
  <si>
    <t>104128</t>
  </si>
  <si>
    <t>Columbaria</t>
  </si>
  <si>
    <t>Columbariums</t>
  </si>
  <si>
    <t>104129</t>
  </si>
  <si>
    <t>Protective shelters for building materials</t>
  </si>
  <si>
    <t>Abris pour la protection de matériaux de construction</t>
  </si>
  <si>
    <t>104130</t>
  </si>
  <si>
    <t>Miniature buildings [except toys]</t>
  </si>
  <si>
    <t>Constructions miniatures [à l'exception des jouets]</t>
  </si>
  <si>
    <t>104131</t>
  </si>
  <si>
    <t>Children's play-houses</t>
  </si>
  <si>
    <t>Cabanes de jeux pour enfants</t>
  </si>
  <si>
    <t>104132</t>
  </si>
  <si>
    <t>Shelters for service stations</t>
  </si>
  <si>
    <t>Abris pour stations-service</t>
  </si>
  <si>
    <t>104133</t>
  </si>
  <si>
    <t>Pergolas</t>
  </si>
  <si>
    <t>104134</t>
  </si>
  <si>
    <t>Modular shelters</t>
  </si>
  <si>
    <t>Abris modulaires</t>
  </si>
  <si>
    <t>104135</t>
  </si>
  <si>
    <t>Power stations [civil engineering]</t>
  </si>
  <si>
    <t>Centrales énergétiques [génie civil]</t>
  </si>
  <si>
    <t>104136</t>
  </si>
  <si>
    <t>Letter boxes</t>
  </si>
  <si>
    <t>Boîtes aux lettres</t>
  </si>
  <si>
    <t>104137</t>
  </si>
  <si>
    <t>Horticultural cloches</t>
  </si>
  <si>
    <t>Cloches d'horticulture</t>
  </si>
  <si>
    <t>104138</t>
  </si>
  <si>
    <t>Newspaper boxes</t>
  </si>
  <si>
    <t>Boîtes à journaux</t>
  </si>
  <si>
    <t>104601</t>
  </si>
  <si>
    <t>Dolphins [structures]</t>
  </si>
  <si>
    <t>Ducs-d'Albe</t>
  </si>
  <si>
    <t>104684</t>
  </si>
  <si>
    <t>Wind turbines [construction]</t>
  </si>
  <si>
    <t>Éoliennes</t>
  </si>
  <si>
    <t>104687</t>
  </si>
  <si>
    <t>Yurts</t>
  </si>
  <si>
    <t>Yourtes</t>
  </si>
  <si>
    <t>104825</t>
  </si>
  <si>
    <t>Rooftop wind turbines</t>
  </si>
  <si>
    <t>Éoliennes de toit</t>
  </si>
  <si>
    <t>104826</t>
  </si>
  <si>
    <t>Supports for rooftop wind turbines</t>
  </si>
  <si>
    <t>Supports pour éoliennes de toit</t>
  </si>
  <si>
    <t>104827</t>
  </si>
  <si>
    <t>Artificial reefs</t>
  </si>
  <si>
    <t>Récifs artificiels</t>
  </si>
  <si>
    <t>105024</t>
  </si>
  <si>
    <t>Fountains [construction]</t>
  </si>
  <si>
    <t>Fontaines [construction]</t>
  </si>
  <si>
    <t>105131</t>
  </si>
  <si>
    <t>Tree houses</t>
  </si>
  <si>
    <t>Cabanes dans les arbres</t>
  </si>
  <si>
    <t>25-04</t>
  </si>
  <si>
    <t>104139</t>
  </si>
  <si>
    <t>STEPS, LADDERS AND SCAFFOLDS</t>
  </si>
  <si>
    <t>Step stools</t>
  </si>
  <si>
    <t>Marchepieds [escabeaux]</t>
  </si>
  <si>
    <t>Tabourets-échelles</t>
  </si>
  <si>
    <t>104140</t>
  </si>
  <si>
    <t>Ladders</t>
  </si>
  <si>
    <t>Échelles</t>
  </si>
  <si>
    <t>104141</t>
  </si>
  <si>
    <t>Staircases</t>
  </si>
  <si>
    <t>Escaliers</t>
  </si>
  <si>
    <t>104142</t>
  </si>
  <si>
    <t>Stair banisters</t>
  </si>
  <si>
    <t>Rampes d'escaliers</t>
  </si>
  <si>
    <t>104143</t>
  </si>
  <si>
    <t>Scaffoldings and their components</t>
  </si>
  <si>
    <t>Échafaudages et leurs éléments</t>
  </si>
  <si>
    <t>104144</t>
  </si>
  <si>
    <t>Feet of ladders</t>
  </si>
  <si>
    <t>Pieds d'échelles</t>
  </si>
  <si>
    <t>104145</t>
  </si>
  <si>
    <t>Staircase steps</t>
  </si>
  <si>
    <t>Marches d'escaliers</t>
  </si>
  <si>
    <t>104146</t>
  </si>
  <si>
    <t>Tubes for scaffolding</t>
  </si>
  <si>
    <t>Tubes d'échafaudages</t>
  </si>
  <si>
    <t>104147</t>
  </si>
  <si>
    <t>Portable observation ladders</t>
  </si>
  <si>
    <t>Échelles portables d'observation</t>
  </si>
  <si>
    <t>25-99</t>
  </si>
  <si>
    <t>104148</t>
  </si>
  <si>
    <t>Draft excluder strips</t>
  </si>
  <si>
    <t>Bandes de calfeutrage</t>
  </si>
  <si>
    <t>Draught excluder strips</t>
  </si>
  <si>
    <t>104149</t>
  </si>
  <si>
    <t>Garden pools</t>
  </si>
  <si>
    <t>Bassins de jardin</t>
  </si>
  <si>
    <t>104150</t>
  </si>
  <si>
    <t>Weather strips</t>
  </si>
  <si>
    <t>Bourrelets d'étanchéité pour portes et fenêtres</t>
  </si>
  <si>
    <t>104151</t>
  </si>
  <si>
    <t>Windbreaks [for protecting plants]</t>
  </si>
  <si>
    <t>Brise-vent [abris pour cultures]</t>
  </si>
  <si>
    <t>104152</t>
  </si>
  <si>
    <t>Buffers for railway terminals</t>
  </si>
  <si>
    <t>Butoirs [chemin de fer]</t>
  </si>
  <si>
    <t>104153</t>
  </si>
  <si>
    <t>Canopies for thrones, chairs of state or altars</t>
  </si>
  <si>
    <t>Dais</t>
  </si>
  <si>
    <t>104154</t>
  </si>
  <si>
    <t>Slipways for ships</t>
  </si>
  <si>
    <t>Plans inclinés pour lancement de bateaux</t>
  </si>
  <si>
    <t>104155</t>
  </si>
  <si>
    <t>Airtight and watertight padding [construction]</t>
  </si>
  <si>
    <t>Garnitures d'étanchéité [construction]</t>
  </si>
  <si>
    <t>104156</t>
  </si>
  <si>
    <t>Packing for doors and windows to prevent draft</t>
  </si>
  <si>
    <t>Joints de calfeutrage pour portes et fenêtres</t>
  </si>
  <si>
    <t>104157</t>
  </si>
  <si>
    <t>Painters' stands</t>
  </si>
  <si>
    <t>Tréteaux pour peintre</t>
  </si>
  <si>
    <t>26</t>
  </si>
  <si>
    <t>26-01</t>
  </si>
  <si>
    <t>104158</t>
  </si>
  <si>
    <t>Aparatos de iluminación: Incluye todo tipo de dispositivos diseñados para iluminar espacios.</t>
  </si>
  <si>
    <t>LIGHTING APPARATUS</t>
  </si>
  <si>
    <t>CANDLESTICKS AND CANDELABRA</t>
  </si>
  <si>
    <t>Candle drip rings</t>
  </si>
  <si>
    <t>Bobèches</t>
  </si>
  <si>
    <t>104159</t>
  </si>
  <si>
    <t>Candlesticks</t>
  </si>
  <si>
    <t>Chandeliers</t>
  </si>
  <si>
    <t>Bougeoirs</t>
  </si>
  <si>
    <t>Porte-bougies</t>
  </si>
  <si>
    <t>104160</t>
  </si>
  <si>
    <t>Holders for garden candles</t>
  </si>
  <si>
    <t>Supports pour bougies de jardin</t>
  </si>
  <si>
    <t>104161</t>
  </si>
  <si>
    <t>Candle holders</t>
  </si>
  <si>
    <t>Porte-cierges</t>
  </si>
  <si>
    <t>104162</t>
  </si>
  <si>
    <t>Candle lights for graves</t>
  </si>
  <si>
    <t>Photophores pour tombes</t>
  </si>
  <si>
    <t>104586</t>
  </si>
  <si>
    <t>Candle jars</t>
  </si>
  <si>
    <t>Photophores</t>
  </si>
  <si>
    <t>26-02</t>
  </si>
  <si>
    <t>104163</t>
  </si>
  <si>
    <t>TORCHES, HAND LAMPS AND LANTERNS</t>
  </si>
  <si>
    <t>Grille-protected portable lamps</t>
  </si>
  <si>
    <t>Baladeuses [lampes]</t>
  </si>
  <si>
    <t>104164</t>
  </si>
  <si>
    <t>Battery lamps</t>
  </si>
  <si>
    <t>Lampes à piles</t>
  </si>
  <si>
    <t>104165</t>
  </si>
  <si>
    <t>Miners' lamps</t>
  </si>
  <si>
    <t>Lampes de mineur</t>
  </si>
  <si>
    <t>104166</t>
  </si>
  <si>
    <t>Hand lamps</t>
  </si>
  <si>
    <t>Lampes portatives</t>
  </si>
  <si>
    <t>104167</t>
  </si>
  <si>
    <t>Portable lanterns</t>
  </si>
  <si>
    <t>Lanternes portatives</t>
  </si>
  <si>
    <t>104168</t>
  </si>
  <si>
    <t>Electric torches</t>
  </si>
  <si>
    <t>Torches électriques</t>
  </si>
  <si>
    <t>104169</t>
  </si>
  <si>
    <t>Pocket torches</t>
  </si>
  <si>
    <t>Lampes de poche</t>
  </si>
  <si>
    <t>104170</t>
  </si>
  <si>
    <t>Head torches</t>
  </si>
  <si>
    <t>Lampes frontales</t>
  </si>
  <si>
    <t>104171</t>
  </si>
  <si>
    <t>Chinese lanterns</t>
  </si>
  <si>
    <t>Lampions</t>
  </si>
  <si>
    <t>104828</t>
  </si>
  <si>
    <t>Flaming torches</t>
  </si>
  <si>
    <t>Flambeaux</t>
  </si>
  <si>
    <t>26-03</t>
  </si>
  <si>
    <t>104172</t>
  </si>
  <si>
    <t>PUBLIC LIGHTING FIXTURES, OUTDOOR LIGHTING, STAGE LIGHTING</t>
  </si>
  <si>
    <t>Street lamp posts</t>
  </si>
  <si>
    <t>Candélabres [éclairage public]</t>
  </si>
  <si>
    <t>104173</t>
  </si>
  <si>
    <t>Public lighting fixtures</t>
  </si>
  <si>
    <t>Éclairage public [appareils]</t>
  </si>
  <si>
    <t>104174</t>
  </si>
  <si>
    <t>Stage lighting</t>
  </si>
  <si>
    <t>Éclairage de scène</t>
  </si>
  <si>
    <t>104175</t>
  </si>
  <si>
    <t>Light projectors</t>
  </si>
  <si>
    <t>Projecteurs de lumière</t>
  </si>
  <si>
    <t>104176</t>
  </si>
  <si>
    <t>Street lamps</t>
  </si>
  <si>
    <t>Réverbères</t>
  </si>
  <si>
    <t>Lampadaires [éclairage public]</t>
  </si>
  <si>
    <t>104177</t>
  </si>
  <si>
    <t>Garden lamps</t>
  </si>
  <si>
    <t>Lampes de jardin</t>
  </si>
  <si>
    <t>104178</t>
  </si>
  <si>
    <t>Solar-powered garden lamps</t>
  </si>
  <si>
    <t>Lampes de jardin à énergie solaire</t>
  </si>
  <si>
    <t>105025</t>
  </si>
  <si>
    <t>Ground lights</t>
  </si>
  <si>
    <t>Éclairages de sol encastrés</t>
  </si>
  <si>
    <t>105026</t>
  </si>
  <si>
    <t>Emergency lights [except portable lamps]</t>
  </si>
  <si>
    <t>Éclairage de sécurité</t>
  </si>
  <si>
    <t>105132</t>
  </si>
  <si>
    <t>Searchlights</t>
  </si>
  <si>
    <t>Projecteurs [éclairage]</t>
  </si>
  <si>
    <t>Floodlights</t>
  </si>
  <si>
    <t>105133</t>
  </si>
  <si>
    <t>Swimming pool lights</t>
  </si>
  <si>
    <t>Éclairage de piscine</t>
  </si>
  <si>
    <t>26-04</t>
  </si>
  <si>
    <t>104179</t>
  </si>
  <si>
    <t>LUMINOUS SOURCES, ELECTRIC OR NON-ELECTRIC</t>
  </si>
  <si>
    <t>Electric lights for Christmas trees</t>
  </si>
  <si>
    <t>Lampes électriques pour arbres de Noël</t>
  </si>
  <si>
    <t>104180</t>
  </si>
  <si>
    <t>Bulbs for lighting fixtures</t>
  </si>
  <si>
    <t>Ampoules d'éclairage</t>
  </si>
  <si>
    <t>104181</t>
  </si>
  <si>
    <t>Bulbs for electric lamps</t>
  </si>
  <si>
    <t>Ampoules de lampes électriques</t>
  </si>
  <si>
    <t>104182</t>
  </si>
  <si>
    <t>Bulbs for signalling lamps</t>
  </si>
  <si>
    <t>Ampoules de lampes de signalisation</t>
  </si>
  <si>
    <t>104183</t>
  </si>
  <si>
    <t>Candles</t>
  </si>
  <si>
    <t>Bougies [éclairage]</t>
  </si>
  <si>
    <t>Chandelles</t>
  </si>
  <si>
    <t>104184</t>
  </si>
  <si>
    <t>Candles for Christmas trees</t>
  </si>
  <si>
    <t>Bougies pour arbres de Noël</t>
  </si>
  <si>
    <t>104185</t>
  </si>
  <si>
    <t>Burners [lighting]</t>
  </si>
  <si>
    <t>Brûleurs [éclairage]</t>
  </si>
  <si>
    <t>104186</t>
  </si>
  <si>
    <t>Wax candles</t>
  </si>
  <si>
    <t>Cierges</t>
  </si>
  <si>
    <t>104187</t>
  </si>
  <si>
    <t>Electric candles</t>
  </si>
  <si>
    <t>Bougies électriques [éclairage]</t>
  </si>
  <si>
    <t>Chandelles électriques</t>
  </si>
  <si>
    <t>Cierges électriques</t>
  </si>
  <si>
    <t>104188</t>
  </si>
  <si>
    <t>Filaments for light bulbs</t>
  </si>
  <si>
    <t>Filaments pour ampoules d'éclairage</t>
  </si>
  <si>
    <t>104189</t>
  </si>
  <si>
    <t>Arc lamps</t>
  </si>
  <si>
    <t>Lampes à arc</t>
  </si>
  <si>
    <t>104190</t>
  </si>
  <si>
    <t>Fluorescent lamps</t>
  </si>
  <si>
    <t>Lampes fluorescentes</t>
  </si>
  <si>
    <t>104191</t>
  </si>
  <si>
    <t>Dark room lamps [photography]</t>
  </si>
  <si>
    <t>Lampes pour chambres noires [photographie]</t>
  </si>
  <si>
    <t>104192</t>
  </si>
  <si>
    <t>Lamp mantles</t>
  </si>
  <si>
    <t>Manchons de lampes</t>
  </si>
  <si>
    <t>104193</t>
  </si>
  <si>
    <t>Lamp wicks</t>
  </si>
  <si>
    <t>Mèches de lampes</t>
  </si>
  <si>
    <t>104194</t>
  </si>
  <si>
    <t>Luminous plaques [lighting]</t>
  </si>
  <si>
    <t>Plaques lumineuses [éclairage]</t>
  </si>
  <si>
    <t>104195</t>
  </si>
  <si>
    <t>Sodium vapor lamps</t>
  </si>
  <si>
    <t>Lampes à vapeur de sodium</t>
  </si>
  <si>
    <t>104196</t>
  </si>
  <si>
    <t>Luminous tubes [lighting]</t>
  </si>
  <si>
    <t>Tubes lumineux [éclairage]</t>
  </si>
  <si>
    <t>104197</t>
  </si>
  <si>
    <t>Oil lamps</t>
  </si>
  <si>
    <t>Lampes à huile</t>
  </si>
  <si>
    <t>104198</t>
  </si>
  <si>
    <t>Illuminated Advent stars</t>
  </si>
  <si>
    <t>Étoiles de l'Avent lumineuses</t>
  </si>
  <si>
    <t>104199</t>
  </si>
  <si>
    <t>Halogen bulbs</t>
  </si>
  <si>
    <t>Ampoules halogène</t>
  </si>
  <si>
    <t>104200</t>
  </si>
  <si>
    <t>Light festoons</t>
  </si>
  <si>
    <t>Guirlandes lumineuses</t>
  </si>
  <si>
    <t>104201</t>
  </si>
  <si>
    <t>Garden candles</t>
  </si>
  <si>
    <t>Bougies de jardin</t>
  </si>
  <si>
    <t>104203</t>
  </si>
  <si>
    <t>Light emitting diodes</t>
  </si>
  <si>
    <t>Diodes électroluminescentes</t>
  </si>
  <si>
    <t>104585</t>
  </si>
  <si>
    <t>Light cables [lighting]</t>
  </si>
  <si>
    <t>Câbles lumineux [éclairage]</t>
  </si>
  <si>
    <t>104668</t>
  </si>
  <si>
    <t>Tealights</t>
  </si>
  <si>
    <t>Bougies chauffe-plat</t>
  </si>
  <si>
    <t>104829</t>
  </si>
  <si>
    <t>Curtain lights</t>
  </si>
  <si>
    <t>Rideaux lumineux</t>
  </si>
  <si>
    <t>105134</t>
  </si>
  <si>
    <t>Bulbs for vehicle lights</t>
  </si>
  <si>
    <t>Ampoules pour feux de véhicules</t>
  </si>
  <si>
    <t>26-05</t>
  </si>
  <si>
    <t>104208</t>
  </si>
  <si>
    <t>LAMPS, STANDARD LAMPS, CHANDELIERS, WALL AND CEILING FIXTURES, PHOTOGRAPHIC AND CINEMATOGRAPHIC PROJECTOR LAMPS</t>
  </si>
  <si>
    <t>Lamps [non portable]</t>
  </si>
  <si>
    <t>Lampes non portatives</t>
  </si>
  <si>
    <t>104209</t>
  </si>
  <si>
    <t>Lamps for photography or cinematography [except flashlamps]</t>
  </si>
  <si>
    <t>Lampes pour prises de vues [à l'exception des flashs]</t>
  </si>
  <si>
    <t>104210</t>
  </si>
  <si>
    <t>Bracket lamps</t>
  </si>
  <si>
    <t>Appliques [lampes]</t>
  </si>
  <si>
    <t>104211</t>
  </si>
  <si>
    <t>Ceiling lights</t>
  </si>
  <si>
    <t>Plafonniers</t>
  </si>
  <si>
    <t>104214</t>
  </si>
  <si>
    <t>Standard lamps</t>
  </si>
  <si>
    <t>Lampadaires</t>
  </si>
  <si>
    <t>104215</t>
  </si>
  <si>
    <t>Lustres</t>
  </si>
  <si>
    <t>104216</t>
  </si>
  <si>
    <t>Lamps for medical purposes [lighting]</t>
  </si>
  <si>
    <t>Lampes à usage médical [éclairage]</t>
  </si>
  <si>
    <t>104221</t>
  </si>
  <si>
    <t>Floor lamps [torchères]</t>
  </si>
  <si>
    <t>Torchères [lampadaires]</t>
  </si>
  <si>
    <t>Torchères [floor lamps]</t>
  </si>
  <si>
    <t>104223</t>
  </si>
  <si>
    <t>Light organs</t>
  </si>
  <si>
    <t>Modulateurs de lumière</t>
  </si>
  <si>
    <t>104224</t>
  </si>
  <si>
    <t>Night-lights [lamps]</t>
  </si>
  <si>
    <t>Veilleuses [lampes]</t>
  </si>
  <si>
    <t>104225</t>
  </si>
  <si>
    <t>Lamps</t>
  </si>
  <si>
    <t>Luminaires</t>
  </si>
  <si>
    <t>104226</t>
  </si>
  <si>
    <t>Halogen lamps</t>
  </si>
  <si>
    <t>Lampes à halogène</t>
  </si>
  <si>
    <t>104666</t>
  </si>
  <si>
    <t>Table lamps</t>
  </si>
  <si>
    <t>Lampes de table</t>
  </si>
  <si>
    <t>26-06</t>
  </si>
  <si>
    <t>104227</t>
  </si>
  <si>
    <t>LUMINOUS DEVICES FOR VEHICLES</t>
  </si>
  <si>
    <t>Flashing direction indicators for vehicles</t>
  </si>
  <si>
    <t>Clignoteurs de véhicules</t>
  </si>
  <si>
    <t>104228</t>
  </si>
  <si>
    <t>Lighting equipment for vehicles</t>
  </si>
  <si>
    <t>Appareils d'éclairage pour véhicules</t>
  </si>
  <si>
    <t>104229</t>
  </si>
  <si>
    <t>Signalling lights for vehicles</t>
  </si>
  <si>
    <t>Feux de signalisation de véhicules</t>
  </si>
  <si>
    <t>104230</t>
  </si>
  <si>
    <t>Headlights for vehicles</t>
  </si>
  <si>
    <t>Phares de véhicules</t>
  </si>
  <si>
    <t>104231</t>
  </si>
  <si>
    <t>Roof lights for vehicles</t>
  </si>
  <si>
    <t>Plafonniers de véhicules</t>
  </si>
  <si>
    <t>Dome lights for vehicles</t>
  </si>
  <si>
    <t>104232</t>
  </si>
  <si>
    <t>Direction indicators for vehicles</t>
  </si>
  <si>
    <t>Indicateurs de direction de véhicules</t>
  </si>
  <si>
    <t>104233</t>
  </si>
  <si>
    <t>Lights for vehicles</t>
  </si>
  <si>
    <t>Feux de véhicules</t>
  </si>
  <si>
    <t>104234</t>
  </si>
  <si>
    <t>Cycle lamps</t>
  </si>
  <si>
    <t>Lanternes de cycles</t>
  </si>
  <si>
    <t>104235</t>
  </si>
  <si>
    <t>Navigation lights for vehicles</t>
  </si>
  <si>
    <t>Feux de navigation de véhicules</t>
  </si>
  <si>
    <t>104236</t>
  </si>
  <si>
    <t>Rear lamp clusters for vehicles</t>
  </si>
  <si>
    <t>Blocs de feux arrière pour véhicules</t>
  </si>
  <si>
    <t>104580</t>
  </si>
  <si>
    <t>Boat lanterns</t>
  </si>
  <si>
    <t>Fanaux de bateaux</t>
  </si>
  <si>
    <t>26-07</t>
  </si>
  <si>
    <t>104207</t>
  </si>
  <si>
    <t>PARTS AND ACCESSORIES FOR LIGHTING APPARATUS, NOT INCLUDED IN OTHER CLASSES OR SUBCLASSES</t>
  </si>
  <si>
    <t>Globes [lamps]</t>
  </si>
  <si>
    <t>Globes [lampes]</t>
  </si>
  <si>
    <t>104213</t>
  </si>
  <si>
    <t>Hangings for lamps</t>
  </si>
  <si>
    <t>Suspensions de lampes</t>
  </si>
  <si>
    <t>104205</t>
  </si>
  <si>
    <t>Lamp brackets</t>
  </si>
  <si>
    <t>Appliques pour lampes</t>
  </si>
  <si>
    <t>104222</t>
  </si>
  <si>
    <t>Lamp glasses</t>
  </si>
  <si>
    <t>Verres de lampes</t>
  </si>
  <si>
    <t>104218</t>
  </si>
  <si>
    <t>Lamp stands</t>
  </si>
  <si>
    <t>Pieds de lampes</t>
  </si>
  <si>
    <t>104204</t>
  </si>
  <si>
    <t>Lampshades</t>
  </si>
  <si>
    <t>Abat-jour</t>
  </si>
  <si>
    <t>104206</t>
  </si>
  <si>
    <t>Light diffusers</t>
  </si>
  <si>
    <t>Diffuseurs d'éclairage</t>
  </si>
  <si>
    <t>104217</t>
  </si>
  <si>
    <t>Light diffusing grilles</t>
  </si>
  <si>
    <t>Panneaux-grilles diffuseurs de lumière</t>
  </si>
  <si>
    <t>104219</t>
  </si>
  <si>
    <t>Reflectors for photography or cinematography</t>
  </si>
  <si>
    <t>Réflecteurs pour photographie ou cinéma</t>
  </si>
  <si>
    <t>104212</t>
  </si>
  <si>
    <t>Lamp reflectors</t>
  </si>
  <si>
    <t>Réflecteurs de lampes</t>
  </si>
  <si>
    <t>104220</t>
  </si>
  <si>
    <t>Supports for studio lighting apparatus</t>
  </si>
  <si>
    <t>Supports d'appareils d'éclairage de studios</t>
  </si>
  <si>
    <t>104239</t>
  </si>
  <si>
    <t>Lamp sockets</t>
  </si>
  <si>
    <t>Douilles de lampe</t>
  </si>
  <si>
    <t>104241</t>
  </si>
  <si>
    <t>Arc lamp regulators</t>
  </si>
  <si>
    <t>Régulateurs de lampes à arc</t>
  </si>
  <si>
    <t>26-99</t>
  </si>
  <si>
    <t>104237</t>
  </si>
  <si>
    <t>Extinguishers for candles</t>
  </si>
  <si>
    <t>Éteignoirs</t>
  </si>
  <si>
    <t>104238</t>
  </si>
  <si>
    <t>Simulated logs [for fireplaces]</t>
  </si>
  <si>
    <t>Bûches lumineuses</t>
  </si>
  <si>
    <t>104240</t>
  </si>
  <si>
    <t>Snuffers</t>
  </si>
  <si>
    <t>Mouchettes</t>
  </si>
  <si>
    <t>27</t>
  </si>
  <si>
    <t>27-01</t>
  </si>
  <si>
    <t>104242</t>
  </si>
  <si>
    <t>Tabaco y artículos para fumadores: Comprende productos de tabaco y accesorios para fumadores.</t>
  </si>
  <si>
    <t>Clase 27 - Tabaco y artículos para fumadores: Comprende productos de tabaco y accesorios para fumadores. Incluye tabaco, puros, cigarrillos, pipas, boquillas para puros y cigarrillos, ceniceros, fósforos, encendedores, estuches para puros y cigarrillos, tarros y bolsas de tabaco, cigarrillos electrónicos, otros suministros electrónicos para fumar y artículos misceláneos relacionados.</t>
  </si>
  <si>
    <t>TOBACCO AND SMOKERS’ SUPPLIES</t>
  </si>
  <si>
    <t>TOBACCO, CIGARS AND CIGARETTES</t>
  </si>
  <si>
    <t>Cigar filter tips</t>
  </si>
  <si>
    <t>Bouts filtrants de cigare</t>
  </si>
  <si>
    <t>104243</t>
  </si>
  <si>
    <t>Cigars</t>
  </si>
  <si>
    <t>Cigares</t>
  </si>
  <si>
    <t>104244</t>
  </si>
  <si>
    <t>Cigarettes</t>
  </si>
  <si>
    <t>104245</t>
  </si>
  <si>
    <t>Cigarillos</t>
  </si>
  <si>
    <t>104246</t>
  </si>
  <si>
    <t>Tobacco</t>
  </si>
  <si>
    <t>Tabacs</t>
  </si>
  <si>
    <t>104247</t>
  </si>
  <si>
    <t>Cigarette filters</t>
  </si>
  <si>
    <t>Filtres pour cigarettes</t>
  </si>
  <si>
    <t>104248</t>
  </si>
  <si>
    <t>Cigar tips</t>
  </si>
  <si>
    <t>Embouts de cigare</t>
  </si>
  <si>
    <t>104249</t>
  </si>
  <si>
    <t>Cigarette filter tips</t>
  </si>
  <si>
    <t>Bouts filtrants de cigarette</t>
  </si>
  <si>
    <t>104250</t>
  </si>
  <si>
    <t>Quids</t>
  </si>
  <si>
    <t>Chiques de tabac</t>
  </si>
  <si>
    <t>27-02</t>
  </si>
  <si>
    <t>104251</t>
  </si>
  <si>
    <t>PIPES, CIGAR AND CIGARETTE HOLDERS</t>
  </si>
  <si>
    <t>Mouthpieces for tobacco pipes</t>
  </si>
  <si>
    <t>Embouchures de pipes</t>
  </si>
  <si>
    <t>104252</t>
  </si>
  <si>
    <t>Hookahs</t>
  </si>
  <si>
    <t>Narguilés</t>
  </si>
  <si>
    <t>104253</t>
  </si>
  <si>
    <t>Cigar holders</t>
  </si>
  <si>
    <t>Fume-cigares</t>
  </si>
  <si>
    <t>104254</t>
  </si>
  <si>
    <t>Cigarette holders</t>
  </si>
  <si>
    <t>Fume-cigarettes</t>
  </si>
  <si>
    <t>104255</t>
  </si>
  <si>
    <t>Tobacco pipes</t>
  </si>
  <si>
    <t>Pipes</t>
  </si>
  <si>
    <t>27-03</t>
  </si>
  <si>
    <t>104256</t>
  </si>
  <si>
    <t>ASHTRAYS</t>
  </si>
  <si>
    <t>Ashtrays</t>
  </si>
  <si>
    <t>Cendriers pour fumeurs</t>
  </si>
  <si>
    <t>27-04</t>
  </si>
  <si>
    <t>104257</t>
  </si>
  <si>
    <t>MATCHES</t>
  </si>
  <si>
    <t>Matches</t>
  </si>
  <si>
    <t>Allumettes</t>
  </si>
  <si>
    <t>27-05</t>
  </si>
  <si>
    <t>104258</t>
  </si>
  <si>
    <t>LIGHTERS</t>
  </si>
  <si>
    <t>Electric cigar lighters</t>
  </si>
  <si>
    <t>Allume-cigares électriques</t>
  </si>
  <si>
    <t>104259</t>
  </si>
  <si>
    <t>Cigarette lighters</t>
  </si>
  <si>
    <t>Briquets pour fumeurs</t>
  </si>
  <si>
    <t>104830</t>
  </si>
  <si>
    <t>Cigarette lighters for cars</t>
  </si>
  <si>
    <t>Allume-cigares pour voitures</t>
  </si>
  <si>
    <t>27-06</t>
  </si>
  <si>
    <t>104260</t>
  </si>
  <si>
    <t>CIGAR CASES, CIGARETTE CASES, TOBACCO JARS AND POUCHES</t>
  </si>
  <si>
    <t>Tobacco pouches</t>
  </si>
  <si>
    <t>Blagues à tabac</t>
  </si>
  <si>
    <t>104261</t>
  </si>
  <si>
    <t>Tobacco boxes</t>
  </si>
  <si>
    <t>Boîtes à tabac</t>
  </si>
  <si>
    <t>104262</t>
  </si>
  <si>
    <t>Cigar cases</t>
  </si>
  <si>
    <t>Étuis à cigares</t>
  </si>
  <si>
    <t>104263</t>
  </si>
  <si>
    <t>Cigarette cases</t>
  </si>
  <si>
    <t>Étuis à cigarettes</t>
  </si>
  <si>
    <t>104264</t>
  </si>
  <si>
    <t>Tobacco jars</t>
  </si>
  <si>
    <t>Pots à tabac</t>
  </si>
  <si>
    <t>104265</t>
  </si>
  <si>
    <t>Snuffboxes</t>
  </si>
  <si>
    <t>Tabatières</t>
  </si>
  <si>
    <t>104266</t>
  </si>
  <si>
    <t>Cigar boxes</t>
  </si>
  <si>
    <t>Boîtes à cigares</t>
  </si>
  <si>
    <t>104267</t>
  </si>
  <si>
    <t>Cases for cigarette paper</t>
  </si>
  <si>
    <t>Étuis à papier à cigarettes</t>
  </si>
  <si>
    <t>104268</t>
  </si>
  <si>
    <t>Humidors</t>
  </si>
  <si>
    <t>Boîtes à cigares pourvues d'un humidificateur</t>
  </si>
  <si>
    <t>105027</t>
  </si>
  <si>
    <t>Cases for electronic cigarettes</t>
  </si>
  <si>
    <t>Étuis pour cigarettes électroniques</t>
  </si>
  <si>
    <t>105028</t>
  </si>
  <si>
    <t>Cases for electronic hookahs</t>
  </si>
  <si>
    <t>Étuis pour narguilés électroniques</t>
  </si>
  <si>
    <t>27-07</t>
  </si>
  <si>
    <t>104604</t>
  </si>
  <si>
    <t>Electronic cigarettes AND OTHER ELECTRONIC SMOKING SUPPLIES</t>
  </si>
  <si>
    <t>Electronic cigarettes</t>
  </si>
  <si>
    <t>Cigarettes électroniques</t>
  </si>
  <si>
    <t>105029</t>
  </si>
  <si>
    <t>Electronic hookahs</t>
  </si>
  <si>
    <t>Narguilés électroniques</t>
  </si>
  <si>
    <t>105030</t>
  </si>
  <si>
    <t>Electronic tobacco pipes</t>
  </si>
  <si>
    <t>Pipes électroniques</t>
  </si>
  <si>
    <t>27-99</t>
  </si>
  <si>
    <t>104269</t>
  </si>
  <si>
    <t>Match holders</t>
  </si>
  <si>
    <t>Porte-allumettes</t>
  </si>
  <si>
    <t>104270</t>
  </si>
  <si>
    <t>Tobacco tampers</t>
  </si>
  <si>
    <t>Bourroirs de pipes</t>
  </si>
  <si>
    <t>104271</t>
  </si>
  <si>
    <t>Cleaners for tobacco pipes</t>
  </si>
  <si>
    <t>Cure-pipes</t>
  </si>
  <si>
    <t>104272</t>
  </si>
  <si>
    <t>Tobacco pipe scrapers</t>
  </si>
  <si>
    <t>Débourreurs de pipes</t>
  </si>
  <si>
    <t>104273</t>
  </si>
  <si>
    <t>Cigarette paper</t>
  </si>
  <si>
    <t>Papier à cigarettes</t>
  </si>
  <si>
    <t>104274</t>
  </si>
  <si>
    <t>Cigarette extinguishers</t>
  </si>
  <si>
    <t>Extincteurs de cigarettes</t>
  </si>
  <si>
    <t>104275</t>
  </si>
  <si>
    <t>Pipe stands</t>
  </si>
  <si>
    <t>Porte-pipes</t>
  </si>
  <si>
    <t>104276</t>
  </si>
  <si>
    <t>Cigarette-lighter holders</t>
  </si>
  <si>
    <t>Supports de briquets</t>
  </si>
  <si>
    <t>104277</t>
  </si>
  <si>
    <t>Cigar trimmers</t>
  </si>
  <si>
    <t>Taille-cigares</t>
  </si>
  <si>
    <t>104278</t>
  </si>
  <si>
    <t>Portable rolling apparatus for cigarettes</t>
  </si>
  <si>
    <t>Appareils portatifs pour rouler les cigarettes</t>
  </si>
  <si>
    <t>28</t>
  </si>
  <si>
    <t>28-01</t>
  </si>
  <si>
    <t>104279</t>
  </si>
  <si>
    <t>Productos farmacéuticos y cosméticos, artículos y aparatos de tocador: Incluye medicamentos, productos de belleza y artículos de higiene personal, excluyendo embalajes.</t>
  </si>
  <si>
    <t>PHARMACEUTICAL AND COSMETIC PRODUCTS, TOILET ARTICLES AND APPARATUS</t>
  </si>
  <si>
    <t>Not including packaging (Cl. 9).</t>
  </si>
  <si>
    <t>PHARMACEUTICAL PRODUCTS</t>
  </si>
  <si>
    <t>Contraceptives</t>
  </si>
  <si>
    <t>Contraceptifs</t>
  </si>
  <si>
    <t>104280</t>
  </si>
  <si>
    <t>Cachets, pharmaceutical</t>
  </si>
  <si>
    <t>Cachets pharmaceutiques</t>
  </si>
  <si>
    <t>104281</t>
  </si>
  <si>
    <t>Capsules, pharmaceutical</t>
  </si>
  <si>
    <t>Capsules pharmaceutiques</t>
  </si>
  <si>
    <t>104282</t>
  </si>
  <si>
    <t>Pharmaceutical tablets</t>
  </si>
  <si>
    <t>Comprimés pharmaceutiques</t>
  </si>
  <si>
    <t>Tablettes pharmaceutiques</t>
  </si>
  <si>
    <t>104283</t>
  </si>
  <si>
    <t>Lozenges</t>
  </si>
  <si>
    <t>Pastilles pharmaceutiques</t>
  </si>
  <si>
    <t>104284</t>
  </si>
  <si>
    <t>Pills</t>
  </si>
  <si>
    <t>Pilules</t>
  </si>
  <si>
    <t>104285</t>
  </si>
  <si>
    <t>Suppositories</t>
  </si>
  <si>
    <t>Suppositoires</t>
  </si>
  <si>
    <t>104831</t>
  </si>
  <si>
    <t>Dietary supplement tablets</t>
  </si>
  <si>
    <t>Comprimés de compléments alimentaires</t>
  </si>
  <si>
    <t>28-02</t>
  </si>
  <si>
    <t>104286</t>
  </si>
  <si>
    <t>COSMETIC PRODUCTS</t>
  </si>
  <si>
    <t>Styptic pencils</t>
  </si>
  <si>
    <t>Crayons styptiques</t>
  </si>
  <si>
    <t>104287</t>
  </si>
  <si>
    <t>Deodorant sticks</t>
  </si>
  <si>
    <t>Bâtons désodorisants</t>
  </si>
  <si>
    <t>104288</t>
  </si>
  <si>
    <t>Hemostatic pencils</t>
  </si>
  <si>
    <t>Crayons hémostatiques</t>
  </si>
  <si>
    <t>104289</t>
  </si>
  <si>
    <t>Soap</t>
  </si>
  <si>
    <t>Savons</t>
  </si>
  <si>
    <t>104291</t>
  </si>
  <si>
    <t>Cosmetic pencils</t>
  </si>
  <si>
    <t>Crayons cosmétiques</t>
  </si>
  <si>
    <t>104292</t>
  </si>
  <si>
    <t>Lipsticks</t>
  </si>
  <si>
    <t>Bâtons de rouge à lèvres</t>
  </si>
  <si>
    <t>104293</t>
  </si>
  <si>
    <t>Eye liners</t>
  </si>
  <si>
    <t>Eye-liners</t>
  </si>
  <si>
    <t>28-03</t>
  </si>
  <si>
    <t>104296</t>
  </si>
  <si>
    <t>TOILET ARTICLES AND BEAUTY PARLOR EQUIPMENT</t>
  </si>
  <si>
    <t>Toothpicks</t>
  </si>
  <si>
    <t>Cure-dents</t>
  </si>
  <si>
    <t>104297</t>
  </si>
  <si>
    <t>Holders for electric razors [including recharging holders]</t>
  </si>
  <si>
    <t>Supports pour rasoirs électriques [y compris supports de recharge]</t>
  </si>
  <si>
    <t>104298</t>
  </si>
  <si>
    <t>Atomizers, vaporizers and sprayers for perfumes [except packaging]</t>
  </si>
  <si>
    <t>Atomiseurs, vaporisateurs et pulvérisateurs de parfum [à l'exception des emballages]</t>
  </si>
  <si>
    <t>104302</t>
  </si>
  <si>
    <t>Manicure hand rests</t>
  </si>
  <si>
    <t>Chevalets de manucure</t>
  </si>
  <si>
    <t>104304</t>
  </si>
  <si>
    <t>Nail clippers</t>
  </si>
  <si>
    <t>Coupe-ongles</t>
  </si>
  <si>
    <t>104305</t>
  </si>
  <si>
    <t>Cotton sticks [toilet]</t>
  </si>
  <si>
    <t>Bâtonnets ouatés</t>
  </si>
  <si>
    <t>104307</t>
  </si>
  <si>
    <t>Hair-removing appliances</t>
  </si>
  <si>
    <t>Appareils pour épiler</t>
  </si>
  <si>
    <t>104311</t>
  </si>
  <si>
    <t>Gloves for massage</t>
  </si>
  <si>
    <t>Gants de massage</t>
  </si>
  <si>
    <t>104312</t>
  </si>
  <si>
    <t>Electric razor heads</t>
  </si>
  <si>
    <t>Grilles de rasoirs électriques</t>
  </si>
  <si>
    <t>104313</t>
  </si>
  <si>
    <t>Powder puffs</t>
  </si>
  <si>
    <t>Houppes à poudre</t>
  </si>
  <si>
    <t>Houppettes à poudre</t>
  </si>
  <si>
    <t>104314</t>
  </si>
  <si>
    <t>Razor blades</t>
  </si>
  <si>
    <t>Lames de rasoir</t>
  </si>
  <si>
    <t>104316</t>
  </si>
  <si>
    <t>Nail files</t>
  </si>
  <si>
    <t>Limes à ongles</t>
  </si>
  <si>
    <t>Meules à ongles</t>
  </si>
  <si>
    <t>104317</t>
  </si>
  <si>
    <t>Hand mirrors</t>
  </si>
  <si>
    <t>Miroirs à main</t>
  </si>
  <si>
    <t>104318</t>
  </si>
  <si>
    <t>Mirrors for ladies' handbags</t>
  </si>
  <si>
    <t>Miroirs de sacs de dames</t>
  </si>
  <si>
    <t>104320</t>
  </si>
  <si>
    <t>Anti-wrinkle dressings [cosmetic products]</t>
  </si>
  <si>
    <t>Pansements antirides [produits cosmétiques]</t>
  </si>
  <si>
    <t>104323</t>
  </si>
  <si>
    <t>Powder compacts</t>
  </si>
  <si>
    <t>Poudriers</t>
  </si>
  <si>
    <t>104324</t>
  </si>
  <si>
    <t>Razors</t>
  </si>
  <si>
    <t>Rasoirs</t>
  </si>
  <si>
    <t>104325</t>
  </si>
  <si>
    <t>Anti-wrinkle appliances</t>
  </si>
  <si>
    <t>Appareils contre les rides</t>
  </si>
  <si>
    <t>104327</t>
  </si>
  <si>
    <t>Vibrators for massage</t>
  </si>
  <si>
    <t>Vibrateurs pour massage</t>
  </si>
  <si>
    <t>104331</t>
  </si>
  <si>
    <t>Corn cutters</t>
  </si>
  <si>
    <t>Coupe-cors</t>
  </si>
  <si>
    <t>104334</t>
  </si>
  <si>
    <t>Horsehair gloves</t>
  </si>
  <si>
    <t>Gants de crin</t>
  </si>
  <si>
    <t>104335</t>
  </si>
  <si>
    <t>Dispensers for razor blades</t>
  </si>
  <si>
    <t>Distributeurs de lames de rasoir</t>
  </si>
  <si>
    <t>104338</t>
  </si>
  <si>
    <t>Nail nippers</t>
  </si>
  <si>
    <t>Pinces à ongles</t>
  </si>
  <si>
    <t>104340</t>
  </si>
  <si>
    <t>Hair tweezers</t>
  </si>
  <si>
    <t>Pincettes à épiler</t>
  </si>
  <si>
    <t>104342</t>
  </si>
  <si>
    <t>Shaving dishes</t>
  </si>
  <si>
    <t>Plats à barbe</t>
  </si>
  <si>
    <t>104343</t>
  </si>
  <si>
    <t>Nail polishers</t>
  </si>
  <si>
    <t>Polissoirs à ongles</t>
  </si>
  <si>
    <t>104344</t>
  </si>
  <si>
    <t>Hand rests for manicuring</t>
  </si>
  <si>
    <t>Repose-main de manucure</t>
  </si>
  <si>
    <t>104346</t>
  </si>
  <si>
    <t>Holders for electric toothbrushes [including recharging holders]</t>
  </si>
  <si>
    <t>Supports pour brosses à dents électriques [y compris supports de recharge]</t>
  </si>
  <si>
    <t>104347</t>
  </si>
  <si>
    <t>Oral waterjets</t>
  </si>
  <si>
    <t>Douches buccales</t>
  </si>
  <si>
    <t>104348</t>
  </si>
  <si>
    <t>Electric razors</t>
  </si>
  <si>
    <t>Rasoirs électriques</t>
  </si>
  <si>
    <t>104349</t>
  </si>
  <si>
    <t>Electric toothbrushes [appliances]</t>
  </si>
  <si>
    <t>Brosses à dents électriques [appareils]</t>
  </si>
  <si>
    <t>104350</t>
  </si>
  <si>
    <t>Sunlamps</t>
  </si>
  <si>
    <t>Lampes soleil (lampes à rayons ultra-violets)</t>
  </si>
  <si>
    <t>104351</t>
  </si>
  <si>
    <t>Cushions for vibromassage</t>
  </si>
  <si>
    <t>Coussins-vibromasseurs</t>
  </si>
  <si>
    <t>104352</t>
  </si>
  <si>
    <t>Dispensers for cosmetics</t>
  </si>
  <si>
    <t>Distributeurs de produits cosmétiques</t>
  </si>
  <si>
    <t>104353</t>
  </si>
  <si>
    <t>Chiropodists' scrapers</t>
  </si>
  <si>
    <t>Râpes de pédicure</t>
  </si>
  <si>
    <t>104355</t>
  </si>
  <si>
    <t>Massage appliances</t>
  </si>
  <si>
    <t>Appareils de massage</t>
  </si>
  <si>
    <t>104356</t>
  </si>
  <si>
    <t>Anti-cellulite appliances</t>
  </si>
  <si>
    <t>Appareils anti-cellulite</t>
  </si>
  <si>
    <t>104357</t>
  </si>
  <si>
    <t>Washing sponges</t>
  </si>
  <si>
    <t>Éponges pour la toilette</t>
  </si>
  <si>
    <t>104358</t>
  </si>
  <si>
    <t>Ear-piercing apparatus</t>
  </si>
  <si>
    <t>Appareils pour percer les oreilles</t>
  </si>
  <si>
    <t>104663</t>
  </si>
  <si>
    <t>Solarium apparatus</t>
  </si>
  <si>
    <t>Appareils de solarium</t>
  </si>
  <si>
    <t>104832</t>
  </si>
  <si>
    <t>Sex toys</t>
  </si>
  <si>
    <t>Jouets sexuels</t>
  </si>
  <si>
    <t>104916</t>
  </si>
  <si>
    <t>Facial mask making appliances</t>
  </si>
  <si>
    <t>Appareils pour la fabrication de masques faciaux</t>
  </si>
  <si>
    <t>104918</t>
  </si>
  <si>
    <t>Facial hair trimmers</t>
  </si>
  <si>
    <t>Appareils pour couper les poils du visage</t>
  </si>
  <si>
    <t>104919</t>
  </si>
  <si>
    <t>Facial massagers</t>
  </si>
  <si>
    <t>Appareils de massage pour le visage</t>
  </si>
  <si>
    <t>104920</t>
  </si>
  <si>
    <t>Tongue cleaners</t>
  </si>
  <si>
    <t>Gratte-langues</t>
  </si>
  <si>
    <t>104921</t>
  </si>
  <si>
    <t>Nail polish dryers</t>
  </si>
  <si>
    <t>Séchoirs à ongles</t>
  </si>
  <si>
    <t>104922</t>
  </si>
  <si>
    <t>Cosmetic sheet masks</t>
  </si>
  <si>
    <t>Masques de beauté en feuille</t>
  </si>
  <si>
    <t>105031</t>
  </si>
  <si>
    <t>Toothbrush holders</t>
  </si>
  <si>
    <t>Porte-brosses à dents</t>
  </si>
  <si>
    <t>105032</t>
  </si>
  <si>
    <t>Diffusers for perfumes or essential oils</t>
  </si>
  <si>
    <t>Diffuseurs de parfums ou d'huiles essentielles</t>
  </si>
  <si>
    <t>105033</t>
  </si>
  <si>
    <t>Toe separators</t>
  </si>
  <si>
    <t>Séparateurs d'orteils</t>
  </si>
  <si>
    <t>105034</t>
  </si>
  <si>
    <t>Eye masks [for cosmetic purposes]</t>
  </si>
  <si>
    <t>Masques pour les yeux [à usage cosmétique]</t>
  </si>
  <si>
    <t>105035</t>
  </si>
  <si>
    <t>Steam eye masks</t>
  </si>
  <si>
    <t>Masques chauffants pour les yeux</t>
  </si>
  <si>
    <t>105036</t>
  </si>
  <si>
    <t>Electronic muscle stimulators [except for medical purposes]</t>
  </si>
  <si>
    <t>Stimulateurs musculaires électroniques [autres qu'à usage médical]</t>
  </si>
  <si>
    <t>105037</t>
  </si>
  <si>
    <t>LED masks [for cosmetic purposes]</t>
  </si>
  <si>
    <t>Masques à DEL [à usage cosmétique]</t>
  </si>
  <si>
    <t>105138</t>
  </si>
  <si>
    <t>Eye massagers</t>
  </si>
  <si>
    <t>Masseurs oculaires</t>
  </si>
  <si>
    <t>105139</t>
  </si>
  <si>
    <t>Tattooing apparatus</t>
  </si>
  <si>
    <t>Appareils à tatouer</t>
  </si>
  <si>
    <t>105140</t>
  </si>
  <si>
    <t>Teeth whitening devices</t>
  </si>
  <si>
    <t>Dispositifs de blanchiment dentaire</t>
  </si>
  <si>
    <t>28-04</t>
  </si>
  <si>
    <t>104359</t>
  </si>
  <si>
    <t>Wigs and false beauty articles</t>
  </si>
  <si>
    <t>False beards</t>
  </si>
  <si>
    <t>Barbes postiches</t>
  </si>
  <si>
    <t>104360</t>
  </si>
  <si>
    <t>False hair</t>
  </si>
  <si>
    <t>Cheveux postiches</t>
  </si>
  <si>
    <t>104361</t>
  </si>
  <si>
    <t>Toupees</t>
  </si>
  <si>
    <t>Mèches postiches [coiffure]</t>
  </si>
  <si>
    <t>104362</t>
  </si>
  <si>
    <t>False moustaches</t>
  </si>
  <si>
    <t>Moustaches postiches</t>
  </si>
  <si>
    <t>104363</t>
  </si>
  <si>
    <t>Wigs</t>
  </si>
  <si>
    <t>Perruques</t>
  </si>
  <si>
    <t>104364</t>
  </si>
  <si>
    <t>False hairpieces</t>
  </si>
  <si>
    <t>Cheveux, barbes ou moustaches postiches</t>
  </si>
  <si>
    <t>104365</t>
  </si>
  <si>
    <t>Hair plaits</t>
  </si>
  <si>
    <t>Nattes de cheveux</t>
  </si>
  <si>
    <t>104367</t>
  </si>
  <si>
    <t>False eyelashes</t>
  </si>
  <si>
    <t>Faux cils</t>
  </si>
  <si>
    <t>104368</t>
  </si>
  <si>
    <t>False nails</t>
  </si>
  <si>
    <t>Faux ongles</t>
  </si>
  <si>
    <t>28-05</t>
  </si>
  <si>
    <t>104370</t>
  </si>
  <si>
    <t>Air fresheners</t>
  </si>
  <si>
    <t>Air fresheners [except apparatus]</t>
  </si>
  <si>
    <t>Rafraîchisseurs d'air [à l'exception des appareils]</t>
  </si>
  <si>
    <t>28-06</t>
  </si>
  <si>
    <t>104310</t>
  </si>
  <si>
    <t>HAIR STYLING APPARATUS AND INSTRUMENTS</t>
  </si>
  <si>
    <t>Apparatus for curling and waving the hair</t>
  </si>
  <si>
    <t>Appareils à friser et à onduler les cheveux</t>
  </si>
  <si>
    <t>104322</t>
  </si>
  <si>
    <t>Combs</t>
  </si>
  <si>
    <t>Peignes</t>
  </si>
  <si>
    <t>104321</t>
  </si>
  <si>
    <t>Hair curling papers</t>
  </si>
  <si>
    <t>Papillotes pour la coiffure</t>
  </si>
  <si>
    <t>104306</t>
  </si>
  <si>
    <t>Detangling combs</t>
  </si>
  <si>
    <t>Démêloirs</t>
  </si>
  <si>
    <t>104917</t>
  </si>
  <si>
    <t>Hair claw clips</t>
  </si>
  <si>
    <t>Pinces à cheveux</t>
  </si>
  <si>
    <t>104345</t>
  </si>
  <si>
    <t>Hair clippers</t>
  </si>
  <si>
    <t>Tondeuses à cheveux</t>
  </si>
  <si>
    <t>104329</t>
  </si>
  <si>
    <t>Hair curler heaters</t>
  </si>
  <si>
    <t>Chauffe-bigoudis</t>
  </si>
  <si>
    <t>104299</t>
  </si>
  <si>
    <t>Hair curlers</t>
  </si>
  <si>
    <t>Bigoudis</t>
  </si>
  <si>
    <t>Hair rollers</t>
  </si>
  <si>
    <t>104308</t>
  </si>
  <si>
    <t>Hair curling pins</t>
  </si>
  <si>
    <t>Épingles à friser les cheveux</t>
  </si>
  <si>
    <t>104330</t>
  </si>
  <si>
    <t>Hair cutters</t>
  </si>
  <si>
    <t>Coupe-cheveux</t>
  </si>
  <si>
    <t>104354</t>
  </si>
  <si>
    <t>Hair driers</t>
  </si>
  <si>
    <t>Sèche-cheveux</t>
  </si>
  <si>
    <t>104295</t>
  </si>
  <si>
    <t>Hair fasteners [except jewellery]</t>
  </si>
  <si>
    <t>Fixe-cheveux [à l'exception des articles de bijouterie]</t>
  </si>
  <si>
    <t>104333</t>
  </si>
  <si>
    <t>Hair nets</t>
  </si>
  <si>
    <t>Résilles à cheveux</t>
  </si>
  <si>
    <t>Filets à cheveux</t>
  </si>
  <si>
    <t>104332</t>
  </si>
  <si>
    <t>Hair pins</t>
  </si>
  <si>
    <t>Épingles à cheveux</t>
  </si>
  <si>
    <t>Hair grips</t>
  </si>
  <si>
    <t>Bobby pins</t>
  </si>
  <si>
    <t>104294</t>
  </si>
  <si>
    <t>Hair slides</t>
  </si>
  <si>
    <t>Barrettes à cheveux</t>
  </si>
  <si>
    <t>Hair barrettes</t>
  </si>
  <si>
    <t>104923</t>
  </si>
  <si>
    <t>Hair straightening irons</t>
  </si>
  <si>
    <t>Fers à lisser les cheveux</t>
  </si>
  <si>
    <t>104319</t>
  </si>
  <si>
    <t>Hair waving clips</t>
  </si>
  <si>
    <t>Pinces à onduler les cheveux</t>
  </si>
  <si>
    <t>104301</t>
  </si>
  <si>
    <t>Hoods for hair driers</t>
  </si>
  <si>
    <t>Casques sèche-cheveux</t>
  </si>
  <si>
    <t>Hair drier hoods</t>
  </si>
  <si>
    <t>104303</t>
  </si>
  <si>
    <t>Hygienic collars [hairdressing]</t>
  </si>
  <si>
    <t>Collerettes hygiéniques</t>
  </si>
  <si>
    <t>104339</t>
  </si>
  <si>
    <t>Perm rods</t>
  </si>
  <si>
    <t>Bigoudis à permanentes</t>
  </si>
  <si>
    <t>Curlers for permanent waves</t>
  </si>
  <si>
    <t>104337</t>
  </si>
  <si>
    <t>Pins for hair curlers</t>
  </si>
  <si>
    <t>Épingles à bigoudis</t>
  </si>
  <si>
    <t>Pins for hair rollers</t>
  </si>
  <si>
    <t>104341</t>
  </si>
  <si>
    <t>Spraying apparatus for hairdressers</t>
  </si>
  <si>
    <t>Pistolets pulvérisateurs pour coiffeur</t>
  </si>
  <si>
    <t>28-99</t>
  </si>
  <si>
    <t>104366</t>
  </si>
  <si>
    <t>Back scratchers</t>
  </si>
  <si>
    <t>Gratte-dos</t>
  </si>
  <si>
    <t>104369</t>
  </si>
  <si>
    <t>Blocks of washing products</t>
  </si>
  <si>
    <t>Blocs de produits de lavage</t>
  </si>
  <si>
    <t>104371</t>
  </si>
  <si>
    <t>Deodorants [tablets] for dishwashing machines</t>
  </si>
  <si>
    <t>Tablettes désodorisantes pour machines à laver la vaisselle</t>
  </si>
  <si>
    <t>29</t>
  </si>
  <si>
    <t>29-01</t>
  </si>
  <si>
    <t>104372</t>
  </si>
  <si>
    <t>Dispositivos y equipos contra riesgos de incendio, para prevención de accidentes y rescate: Abarca equipamiento destinado a la seguridad y protección.</t>
  </si>
  <si>
    <t>DEVICES AND EQUIPMENT AGAINST FIRE HAZARDS, FOR ACCIDENT PREVENTION AND FOR RESCUE</t>
  </si>
  <si>
    <t>DEVICES AND EQUIPMENT AGAINST FIRE HAZARDS</t>
  </si>
  <si>
    <t>Beaters for fire</t>
  </si>
  <si>
    <t>Battes pour incendie</t>
  </si>
  <si>
    <t>104373</t>
  </si>
  <si>
    <t>Foam sprays [firefighting]</t>
  </si>
  <si>
    <t>Canons à mousse extinctrice</t>
  </si>
  <si>
    <t>104374</t>
  </si>
  <si>
    <t>Extinguishers</t>
  </si>
  <si>
    <t>Extincteurs</t>
  </si>
  <si>
    <t>104375</t>
  </si>
  <si>
    <t>Devices and equipment against fire hazards</t>
  </si>
  <si>
    <t>Dispositifs et équipements contre le feu</t>
  </si>
  <si>
    <t>104376</t>
  </si>
  <si>
    <t>Flame arresters</t>
  </si>
  <si>
    <t>Pare-flammes</t>
  </si>
  <si>
    <t>104377</t>
  </si>
  <si>
    <t>Fire extinguishing pumps</t>
  </si>
  <si>
    <t>Pompes à incendie</t>
  </si>
  <si>
    <t>104378</t>
  </si>
  <si>
    <t>Fire extinguisher tanks</t>
  </si>
  <si>
    <t>Réservoirs d'extincteurs</t>
  </si>
  <si>
    <t>29-02</t>
  </si>
  <si>
    <t>104379</t>
  </si>
  <si>
    <t>DEVICES AND EQUIPMENT FOR ACCIDENT PREVENTION AND FOR RESCUE, NOT ELSEWHERE SPECIFIED</t>
  </si>
  <si>
    <t>Rescue nets</t>
  </si>
  <si>
    <t>Filets de sauvetage</t>
  </si>
  <si>
    <t>Life nets</t>
  </si>
  <si>
    <t>104380</t>
  </si>
  <si>
    <t>Rescue chutes</t>
  </si>
  <si>
    <t>Glissoires de sauvetage</t>
  </si>
  <si>
    <t>104381</t>
  </si>
  <si>
    <t>Lifebuoys</t>
  </si>
  <si>
    <t>Bouées de sauvetage</t>
  </si>
  <si>
    <t>104382</t>
  </si>
  <si>
    <t>Lifebelts</t>
  </si>
  <si>
    <t>Ceintures de sauvetage</t>
  </si>
  <si>
    <t>104383</t>
  </si>
  <si>
    <t>Safety belts for vehicle seats</t>
  </si>
  <si>
    <t>Ceintures de sécurité pour sièges de véhicules</t>
  </si>
  <si>
    <t>104384</t>
  </si>
  <si>
    <t>Diving bells</t>
  </si>
  <si>
    <t>Cloches de plongée</t>
  </si>
  <si>
    <t>104385</t>
  </si>
  <si>
    <t>Face shields</t>
  </si>
  <si>
    <t>Écrans de protection pour le visage</t>
  </si>
  <si>
    <t>104386</t>
  </si>
  <si>
    <t>Lifejackets</t>
  </si>
  <si>
    <t>Gilets de sauvetage</t>
  </si>
  <si>
    <t>104387</t>
  </si>
  <si>
    <t>Welders' masks</t>
  </si>
  <si>
    <t>Masques de soudeurs</t>
  </si>
  <si>
    <t>104388</t>
  </si>
  <si>
    <t>Protective face masks</t>
  </si>
  <si>
    <t>Masques protecteurs pour le visage</t>
  </si>
  <si>
    <t>104389</t>
  </si>
  <si>
    <t>Breathing masks</t>
  </si>
  <si>
    <t>Masques respiratoires</t>
  </si>
  <si>
    <t>Respiratory masks</t>
  </si>
  <si>
    <t>104390</t>
  </si>
  <si>
    <t>Parachutes</t>
  </si>
  <si>
    <t>104391</t>
  </si>
  <si>
    <t>Submarine escape devices</t>
  </si>
  <si>
    <t>Dispositifs de sauvetage pour sous-marins</t>
  </si>
  <si>
    <t>104392</t>
  </si>
  <si>
    <t>Anti-dust nasal filters</t>
  </si>
  <si>
    <t>Filtres nasaux antipoussière</t>
  </si>
  <si>
    <t>104393</t>
  </si>
  <si>
    <t>Safety harnesses</t>
  </si>
  <si>
    <t>Harnais de sécurité</t>
  </si>
  <si>
    <t>104394</t>
  </si>
  <si>
    <t>Gas masks</t>
  </si>
  <si>
    <t>Masques à gaz</t>
  </si>
  <si>
    <t>104395</t>
  </si>
  <si>
    <t>Devices for protection against X-rays</t>
  </si>
  <si>
    <t>Dispositifs de protection contre les rayons X</t>
  </si>
  <si>
    <t>104396</t>
  </si>
  <si>
    <t>Rescue bags for transport of persons</t>
  </si>
  <si>
    <t>Sacs d'évacuation pour personnes en péril</t>
  </si>
  <si>
    <t>104397</t>
  </si>
  <si>
    <t>Blasting mats</t>
  </si>
  <si>
    <t>Pare-éclats</t>
  </si>
  <si>
    <t>104398</t>
  </si>
  <si>
    <t>Floating barriers for preventing oil pollution</t>
  </si>
  <si>
    <t>Barrages flottants pour la prévention de la pollution par les hydrocarbures</t>
  </si>
  <si>
    <t>Estacades</t>
  </si>
  <si>
    <t>104584</t>
  </si>
  <si>
    <t>Bullet proof vests</t>
  </si>
  <si>
    <t>Gilets de protection pare-balles</t>
  </si>
  <si>
    <t>104833</t>
  </si>
  <si>
    <t>Rescue robots</t>
  </si>
  <si>
    <t>Robots de sauvetage</t>
  </si>
  <si>
    <t>104834</t>
  </si>
  <si>
    <t>Tactile indicator studs for road surfaces</t>
  </si>
  <si>
    <t>Clous podotactiles indicateurs de surfaces de marche</t>
  </si>
  <si>
    <t>105142</t>
  </si>
  <si>
    <t>Disposable face masks</t>
  </si>
  <si>
    <t>Masques jetables pour le visage</t>
  </si>
  <si>
    <t>105143</t>
  </si>
  <si>
    <t>Face masks for infection control</t>
  </si>
  <si>
    <t>Masques faciaux pour le contrôle des infections</t>
  </si>
  <si>
    <t>105144</t>
  </si>
  <si>
    <t>Protective face shields</t>
  </si>
  <si>
    <t>Visières de protection pour le visage</t>
  </si>
  <si>
    <t>105145</t>
  </si>
  <si>
    <t>Face shields for infection control</t>
  </si>
  <si>
    <t>Visières pour le contrôle des infections</t>
  </si>
  <si>
    <t>29-99</t>
  </si>
  <si>
    <t>105038</t>
  </si>
  <si>
    <t>Emergency equipment posts</t>
  </si>
  <si>
    <t>Bornes d'équipements d'urgence</t>
  </si>
  <si>
    <t>30</t>
  </si>
  <si>
    <t>30-01</t>
  </si>
  <si>
    <t>104399</t>
  </si>
  <si>
    <t>Artículos para el cuidado y manejo de animales: Incluye productos para el cuidado de animales, excluyendo alimentos y productos farmacéuticos o cosméticos para animales.</t>
  </si>
  <si>
    <t>ARTICLES FOR THE CARE AND HANDLING OF ANIMALS</t>
  </si>
  <si>
    <t>Not including animal foodstuffs (Cl. 1), or pharmaceutical and cosmetic products for animals (Cl. 28-01 or Cl. 28-02).</t>
  </si>
  <si>
    <t>ANIMAL CLOTHING</t>
  </si>
  <si>
    <t>Horse boots</t>
  </si>
  <si>
    <t>Protège-sabots pour chevaux</t>
  </si>
  <si>
    <t>104400</t>
  </si>
  <si>
    <t>Bootees for dogs</t>
  </si>
  <si>
    <t>Bottes pour chiens</t>
  </si>
  <si>
    <t>104401</t>
  </si>
  <si>
    <t>Headwear for horses</t>
  </si>
  <si>
    <t>Coiffures pour chevaux</t>
  </si>
  <si>
    <t>104402</t>
  </si>
  <si>
    <t>Animal pads</t>
  </si>
  <si>
    <t>Coussinets de protection pour animaux</t>
  </si>
  <si>
    <t>104403</t>
  </si>
  <si>
    <t>Blankets for animals</t>
  </si>
  <si>
    <t>Couvertures pour animaux</t>
  </si>
  <si>
    <t>104404</t>
  </si>
  <si>
    <t>Kneepads for horses</t>
  </si>
  <si>
    <t>Genouillères pour chevaux</t>
  </si>
  <si>
    <t>104405</t>
  </si>
  <si>
    <t>Horsecloths</t>
  </si>
  <si>
    <t>Housses de chevaux</t>
  </si>
  <si>
    <t>104406</t>
  </si>
  <si>
    <t>Animal clothing</t>
  </si>
  <si>
    <t>Vêtements pour animaux</t>
  </si>
  <si>
    <t>104623</t>
  </si>
  <si>
    <t>Horse gaiters</t>
  </si>
  <si>
    <t>Guêtres pour chevaux</t>
  </si>
  <si>
    <t>30-02</t>
  </si>
  <si>
    <t>104407</t>
  </si>
  <si>
    <t>PENS, CAGES, KENNELS AND SIMILAR SHELTERS</t>
  </si>
  <si>
    <t>Aquariums</t>
  </si>
  <si>
    <t>104408</t>
  </si>
  <si>
    <t>Trap-frames for queen bees</t>
  </si>
  <si>
    <t>Cadres-pièges à reines d'abeilles</t>
  </si>
  <si>
    <t>104409</t>
  </si>
  <si>
    <t>Cages for animals</t>
  </si>
  <si>
    <t>Cages pour animaux</t>
  </si>
  <si>
    <t>104410</t>
  </si>
  <si>
    <t>Rabbit hutches</t>
  </si>
  <si>
    <t>Clapiers</t>
  </si>
  <si>
    <t>104411</t>
  </si>
  <si>
    <t>Fowl confining devices</t>
  </si>
  <si>
    <t>Parcs à volailles</t>
  </si>
  <si>
    <t>104412</t>
  </si>
  <si>
    <t>Pens for animals</t>
  </si>
  <si>
    <t>Enclos pour animaux</t>
  </si>
  <si>
    <t>104413</t>
  </si>
  <si>
    <t>Apiaries</t>
  </si>
  <si>
    <t>Ruchers</t>
  </si>
  <si>
    <t>104414</t>
  </si>
  <si>
    <t>Beehives</t>
  </si>
  <si>
    <t>Ruches pour abeilles</t>
  </si>
  <si>
    <t>104415</t>
  </si>
  <si>
    <t>Terrariums</t>
  </si>
  <si>
    <t>104416</t>
  </si>
  <si>
    <t>Aviaries</t>
  </si>
  <si>
    <t>Volières</t>
  </si>
  <si>
    <t>104417</t>
  </si>
  <si>
    <t>Bird houses</t>
  </si>
  <si>
    <t>Abris pour oiseaux</t>
  </si>
  <si>
    <t>104418</t>
  </si>
  <si>
    <t>Receptacles for queen bee rearing</t>
  </si>
  <si>
    <t>Récipients pour l'élevage de reines d'abeilles</t>
  </si>
  <si>
    <t>104419</t>
  </si>
  <si>
    <t>Dog kennels</t>
  </si>
  <si>
    <t>Niches pour chiens</t>
  </si>
  <si>
    <t>104420</t>
  </si>
  <si>
    <t>Fish tanks</t>
  </si>
  <si>
    <t>Viviers</t>
  </si>
  <si>
    <t>104421</t>
  </si>
  <si>
    <t>Birdcages</t>
  </si>
  <si>
    <t>Volières [cages à oiseaux]</t>
  </si>
  <si>
    <t>104422</t>
  </si>
  <si>
    <t>Transport containers for animals</t>
  </si>
  <si>
    <t>Contenants pour le transport d'animaux</t>
  </si>
  <si>
    <t>105061</t>
  </si>
  <si>
    <t>Pet gates</t>
  </si>
  <si>
    <t>Barrières pour animaux de compagnie</t>
  </si>
  <si>
    <t>30-03</t>
  </si>
  <si>
    <t>104423</t>
  </si>
  <si>
    <t>FEEDERS AND WATERERS</t>
  </si>
  <si>
    <t>Drinking troughs</t>
  </si>
  <si>
    <t>Abreuvoirs</t>
  </si>
  <si>
    <t>104424</t>
  </si>
  <si>
    <t>Troughs for cattle</t>
  </si>
  <si>
    <t>Auges pour le bétail</t>
  </si>
  <si>
    <t>104425</t>
  </si>
  <si>
    <t>Cribs for animal fodder</t>
  </si>
  <si>
    <t>Crèches pour le bétail</t>
  </si>
  <si>
    <t>104426</t>
  </si>
  <si>
    <t>Nose bags</t>
  </si>
  <si>
    <t>Musettes-mangeoires</t>
  </si>
  <si>
    <t>104427</t>
  </si>
  <si>
    <t>Mangers</t>
  </si>
  <si>
    <t>Mangeoires</t>
  </si>
  <si>
    <t>104428</t>
  </si>
  <si>
    <t>Dog bowls</t>
  </si>
  <si>
    <t>Gamelles de chiens</t>
  </si>
  <si>
    <t>104429</t>
  </si>
  <si>
    <t>Racks for feeding animals</t>
  </si>
  <si>
    <t>Râteliers pour animaux</t>
  </si>
  <si>
    <t>104430</t>
  </si>
  <si>
    <t>Teats for drinking troughs</t>
  </si>
  <si>
    <t>Tétines pour abreuvoirs</t>
  </si>
  <si>
    <t>104431</t>
  </si>
  <si>
    <t>Bird tables</t>
  </si>
  <si>
    <t>Tables pour oiseaux [mangeoires]</t>
  </si>
  <si>
    <t>104579</t>
  </si>
  <si>
    <t>Bird feeders</t>
  </si>
  <si>
    <t>Mangeoires pour oiseaux</t>
  </si>
  <si>
    <t>104655</t>
  </si>
  <si>
    <t>Saltlick holders</t>
  </si>
  <si>
    <t>Supports pour pierres à sel</t>
  </si>
  <si>
    <t>105039</t>
  </si>
  <si>
    <t>Pet feeding bowls with visual recognition</t>
  </si>
  <si>
    <t>Gamelles pour animaux de compagnie avec reconnaissance visuelle</t>
  </si>
  <si>
    <t>30-04</t>
  </si>
  <si>
    <t>104432</t>
  </si>
  <si>
    <t>SADDLERY</t>
  </si>
  <si>
    <t>Terrets</t>
  </si>
  <si>
    <t>Anneaux d'attelles</t>
  </si>
  <si>
    <t>104433</t>
  </si>
  <si>
    <t>Saddlebows</t>
  </si>
  <si>
    <t>Arçons de selles</t>
  </si>
  <si>
    <t>104434</t>
  </si>
  <si>
    <t>Hames for shafts</t>
  </si>
  <si>
    <t>Attelles pour timons</t>
  </si>
  <si>
    <t>104435</t>
  </si>
  <si>
    <t>Packsaddles</t>
  </si>
  <si>
    <t>Bâts</t>
  </si>
  <si>
    <t>104436</t>
  </si>
  <si>
    <t>Bridles</t>
  </si>
  <si>
    <t>Brides</t>
  </si>
  <si>
    <t>104437</t>
  </si>
  <si>
    <t>Cavessons</t>
  </si>
  <si>
    <t>Caveçons</t>
  </si>
  <si>
    <t>104438</t>
  </si>
  <si>
    <t>Collars for animals</t>
  </si>
  <si>
    <t>Colliers pour animaux</t>
  </si>
  <si>
    <t>104439</t>
  </si>
  <si>
    <t>Harness hooks</t>
  </si>
  <si>
    <t>Crochets de harnais</t>
  </si>
  <si>
    <t>104440</t>
  </si>
  <si>
    <t>Harness pads</t>
  </si>
  <si>
    <t>Dossières [harnachement]</t>
  </si>
  <si>
    <t>104441</t>
  </si>
  <si>
    <t>Stirrups</t>
  </si>
  <si>
    <t>Étriers</t>
  </si>
  <si>
    <t>104442</t>
  </si>
  <si>
    <t>Stirrup leathers</t>
  </si>
  <si>
    <t>Étrivières</t>
  </si>
  <si>
    <t>104443</t>
  </si>
  <si>
    <t>Reins [harness]</t>
  </si>
  <si>
    <t>Rênes</t>
  </si>
  <si>
    <t>Guides [harnachement]</t>
  </si>
  <si>
    <t>104444</t>
  </si>
  <si>
    <t>Harnesses</t>
  </si>
  <si>
    <t>Harnachements</t>
  </si>
  <si>
    <t>104445</t>
  </si>
  <si>
    <t>Leads for animals</t>
  </si>
  <si>
    <t>Laisses pour animaux</t>
  </si>
  <si>
    <t>Leashes for animals</t>
  </si>
  <si>
    <t>104446</t>
  </si>
  <si>
    <t>Halters</t>
  </si>
  <si>
    <t>Licous</t>
  </si>
  <si>
    <t>Licols</t>
  </si>
  <si>
    <t>104447</t>
  </si>
  <si>
    <t>Tethers</t>
  </si>
  <si>
    <t>Longes pour chevaux</t>
  </si>
  <si>
    <t>Longes</t>
  </si>
  <si>
    <t>Lunges</t>
  </si>
  <si>
    <t>104448</t>
  </si>
  <si>
    <t>Bits for horses</t>
  </si>
  <si>
    <t>Mors de chevaux</t>
  </si>
  <si>
    <t>104449</t>
  </si>
  <si>
    <t>Muzzles</t>
  </si>
  <si>
    <t>Muselières</t>
  </si>
  <si>
    <t>104450</t>
  </si>
  <si>
    <t>Nose bands [harness]</t>
  </si>
  <si>
    <t>Muserolles</t>
  </si>
  <si>
    <t>104451</t>
  </si>
  <si>
    <t>Breast harness</t>
  </si>
  <si>
    <t>Poitrail [harnachement]</t>
  </si>
  <si>
    <t>104452</t>
  </si>
  <si>
    <t>Saddlebags</t>
  </si>
  <si>
    <t>Sacoches de selles</t>
  </si>
  <si>
    <t>104453</t>
  </si>
  <si>
    <t>Saddlery</t>
  </si>
  <si>
    <t>Sellerie</t>
  </si>
  <si>
    <t>104454</t>
  </si>
  <si>
    <t>Cantles of saddles</t>
  </si>
  <si>
    <t>Troussequins de selles</t>
  </si>
  <si>
    <t>104455</t>
  </si>
  <si>
    <t>Blinkers for horses</t>
  </si>
  <si>
    <t>Œillères [harnachement]</t>
  </si>
  <si>
    <t>Blinders for horses</t>
  </si>
  <si>
    <t>104456</t>
  </si>
  <si>
    <t>Dog chains</t>
  </si>
  <si>
    <t>Chaînes pour chiens</t>
  </si>
  <si>
    <t>104457</t>
  </si>
  <si>
    <t>Fasteners for stirrup leathers</t>
  </si>
  <si>
    <t>Fixe-étrivières</t>
  </si>
  <si>
    <t>104458</t>
  </si>
  <si>
    <t>Rein guards</t>
  </si>
  <si>
    <t>Garde-rênes</t>
  </si>
  <si>
    <t>104459</t>
  </si>
  <si>
    <t>Harness buckles</t>
  </si>
  <si>
    <t>Boucles de harnais</t>
  </si>
  <si>
    <t>104460</t>
  </si>
  <si>
    <t>Yokes [harness]</t>
  </si>
  <si>
    <t>Jougs [harnachement]</t>
  </si>
  <si>
    <t>104461</t>
  </si>
  <si>
    <t>Girths</t>
  </si>
  <si>
    <t>Sangles de harnais</t>
  </si>
  <si>
    <t>104462</t>
  </si>
  <si>
    <t>Riding saddles</t>
  </si>
  <si>
    <t>Selles de cavalier</t>
  </si>
  <si>
    <t>104463</t>
  </si>
  <si>
    <t>Harness tugs</t>
  </si>
  <si>
    <t>Traits d'attelage</t>
  </si>
  <si>
    <t>104574</t>
  </si>
  <si>
    <t>Bark control collars</t>
  </si>
  <si>
    <t>Colliers anti-aboiement</t>
  </si>
  <si>
    <t>104653</t>
  </si>
  <si>
    <t>Saddle cloths</t>
  </si>
  <si>
    <t>Tapis de selles</t>
  </si>
  <si>
    <t>Saddle blankets</t>
  </si>
  <si>
    <t>104654</t>
  </si>
  <si>
    <t>Saddle pommels</t>
  </si>
  <si>
    <t>Pommeaux de selles</t>
  </si>
  <si>
    <t>30-05</t>
  </si>
  <si>
    <t>104464</t>
  </si>
  <si>
    <t>WHIPS AND PRODS</t>
  </si>
  <si>
    <t>Goads</t>
  </si>
  <si>
    <t>Aiguillons</t>
  </si>
  <si>
    <t>Prods</t>
  </si>
  <si>
    <t>104465</t>
  </si>
  <si>
    <t>Crops for riders</t>
  </si>
  <si>
    <t>Cravaches</t>
  </si>
  <si>
    <t>104466</t>
  </si>
  <si>
    <t>Spurs</t>
  </si>
  <si>
    <t>Éperons</t>
  </si>
  <si>
    <t>104467</t>
  </si>
  <si>
    <t>Whips for animals</t>
  </si>
  <si>
    <t>Fouets pour animaux</t>
  </si>
  <si>
    <t>30-06</t>
  </si>
  <si>
    <t>104468</t>
  </si>
  <si>
    <t>Beds, nests and furniture for animals</t>
  </si>
  <si>
    <t>Beds for animals</t>
  </si>
  <si>
    <t>Couchettes pour animaux</t>
  </si>
  <si>
    <t>104469</t>
  </si>
  <si>
    <t>Nests</t>
  </si>
  <si>
    <t>Nids</t>
  </si>
  <si>
    <t>104470</t>
  </si>
  <si>
    <t>Sleeping baskets for domestic animals</t>
  </si>
  <si>
    <t>Couchettes pour animaux domestiques</t>
  </si>
  <si>
    <t>104492</t>
  </si>
  <si>
    <t>Scratching posts for cats</t>
  </si>
  <si>
    <t>Arbres à griffes pour chats</t>
  </si>
  <si>
    <t>104609</t>
  </si>
  <si>
    <t>Furniture for pets</t>
  </si>
  <si>
    <t>Meubles pour animaux de compagnie</t>
  </si>
  <si>
    <t>30-07</t>
  </si>
  <si>
    <t>104471</t>
  </si>
  <si>
    <t>PERCHES AND OTHER CAGE ATTACHMENTS</t>
  </si>
  <si>
    <t>Bird baths</t>
  </si>
  <si>
    <t>Baignoires pour oiseaux</t>
  </si>
  <si>
    <t>104472</t>
  </si>
  <si>
    <t>Perches for poultry</t>
  </si>
  <si>
    <t>Perchoirs pour volailles</t>
  </si>
  <si>
    <t>104473</t>
  </si>
  <si>
    <t>Perches for birds</t>
  </si>
  <si>
    <t>Perchoirs pour oiseaux</t>
  </si>
  <si>
    <t>30-08</t>
  </si>
  <si>
    <t>104474</t>
  </si>
  <si>
    <t>MARKERS, MARKS AND SHACKLES</t>
  </si>
  <si>
    <t>Rings for birds</t>
  </si>
  <si>
    <t>Bagues pour oiseaux</t>
  </si>
  <si>
    <t>104475</t>
  </si>
  <si>
    <t>Hobbles for animals</t>
  </si>
  <si>
    <t>Entraves pour animaux</t>
  </si>
  <si>
    <t>Shackles for animals</t>
  </si>
  <si>
    <t>104476</t>
  </si>
  <si>
    <t>Branding irons for animals</t>
  </si>
  <si>
    <t>Fers à marquer les animaux</t>
  </si>
  <si>
    <t>104477</t>
  </si>
  <si>
    <t>Marks for animals</t>
  </si>
  <si>
    <t>Marques pour animaux</t>
  </si>
  <si>
    <t>104478</t>
  </si>
  <si>
    <t>Markers for animals</t>
  </si>
  <si>
    <t>Marqueurs pour animaux</t>
  </si>
  <si>
    <t>104602</t>
  </si>
  <si>
    <t>Ear tags for livestock</t>
  </si>
  <si>
    <t>Marques d'oreilles pour bétail</t>
  </si>
  <si>
    <t>30-09</t>
  </si>
  <si>
    <t>104479</t>
  </si>
  <si>
    <t>HITCHING POSTS</t>
  </si>
  <si>
    <t>Hitching posts</t>
  </si>
  <si>
    <t>Poteaux d'attache pour animaux</t>
  </si>
  <si>
    <t>104480</t>
  </si>
  <si>
    <t>Attachment anchors for animals</t>
  </si>
  <si>
    <t>Ancres d'attache pour animaux</t>
  </si>
  <si>
    <t>30-10</t>
  </si>
  <si>
    <t>104493</t>
  </si>
  <si>
    <t>Grooming articles for animals</t>
  </si>
  <si>
    <t>Brushes for animals</t>
  </si>
  <si>
    <t>Brosses pour les animaux</t>
  </si>
  <si>
    <t>104491</t>
  </si>
  <si>
    <t>Grooming gloves for animals</t>
  </si>
  <si>
    <t>Gants de toilettage pour animaux</t>
  </si>
  <si>
    <t>104486</t>
  </si>
  <si>
    <t>Combs for dogs</t>
  </si>
  <si>
    <t>Démêloirs pour chiens</t>
  </si>
  <si>
    <t>104483</t>
  </si>
  <si>
    <t>Curry combs</t>
  </si>
  <si>
    <t>Étrilles</t>
  </si>
  <si>
    <t>105146</t>
  </si>
  <si>
    <t>Hair clippers for animals</t>
  </si>
  <si>
    <t>Tondeuses pour la coupe du poil des animaux</t>
  </si>
  <si>
    <t>105147</t>
  </si>
  <si>
    <t>Animal shearing apparatus</t>
  </si>
  <si>
    <t>Appareils pour tondre les animaux</t>
  </si>
  <si>
    <t>105150</t>
  </si>
  <si>
    <t>Grooming towels for animals</t>
  </si>
  <si>
    <t>Serviettes de toilettage pour animaux</t>
  </si>
  <si>
    <t>30-11</t>
  </si>
  <si>
    <t>104490</t>
  </si>
  <si>
    <t>Litter BOXES and devices for removing animal excrement</t>
  </si>
  <si>
    <t>Devices for removing animal excrement</t>
  </si>
  <si>
    <t>Dispositifs pour l'enlèvement des excréments d'animaux</t>
  </si>
  <si>
    <t>104489</t>
  </si>
  <si>
    <t>Toilet seats adapted for animals</t>
  </si>
  <si>
    <t>Sièges de toilette adaptés pour les animaux</t>
  </si>
  <si>
    <t>104672</t>
  </si>
  <si>
    <t>Toilets for pets</t>
  </si>
  <si>
    <t>Toilettes pour animaux de compagnie</t>
  </si>
  <si>
    <t>105040</t>
  </si>
  <si>
    <t>Litter boxes</t>
  </si>
  <si>
    <t>Bacs à litières</t>
  </si>
  <si>
    <t>30-12</t>
  </si>
  <si>
    <t>104485</t>
  </si>
  <si>
    <t>Toys AND TRAINING EQUIPMENT for animals</t>
  </si>
  <si>
    <t>Toys for animals</t>
  </si>
  <si>
    <t>Jouets pour animaux</t>
  </si>
  <si>
    <t>104488</t>
  </si>
  <si>
    <t>Bones for dogs, artificial</t>
  </si>
  <si>
    <t>Os artificiels pour chiens</t>
  </si>
  <si>
    <t>105151</t>
  </si>
  <si>
    <t>Dummies for dog training</t>
  </si>
  <si>
    <t>Articles pour le dressage canin</t>
  </si>
  <si>
    <t>30-99</t>
  </si>
  <si>
    <t>104481</t>
  </si>
  <si>
    <t>Drenching bits</t>
  </si>
  <si>
    <t>Baillons pour faire avaler les médicaments aux animaux</t>
  </si>
  <si>
    <t>104482</t>
  </si>
  <si>
    <t>Brooders</t>
  </si>
  <si>
    <t>Couveuses pour œufs</t>
  </si>
  <si>
    <t>Incubators for eggs</t>
  </si>
  <si>
    <t>104484</t>
  </si>
  <si>
    <t>Horseshoes</t>
  </si>
  <si>
    <t>Fers à cheval</t>
  </si>
  <si>
    <t>104487</t>
  </si>
  <si>
    <t>Matting for stables</t>
  </si>
  <si>
    <t>Nattes pour écuries</t>
  </si>
  <si>
    <t>104494</t>
  </si>
  <si>
    <t>Cat flaps</t>
  </si>
  <si>
    <t>Chatières</t>
  </si>
  <si>
    <t>104495</t>
  </si>
  <si>
    <t>Trays with recesses for the transport of pet animals</t>
  </si>
  <si>
    <t>Plateaux perforés pour le transport d'animaux de compagnie</t>
  </si>
  <si>
    <t>104835</t>
  </si>
  <si>
    <t>Pet carriers</t>
  </si>
  <si>
    <t>Dispositifs pour le transport d'animaux de compagnie</t>
  </si>
  <si>
    <t>105136</t>
  </si>
  <si>
    <t>Massage appliances for animals</t>
  </si>
  <si>
    <t>Appareils de massage pour animaux</t>
  </si>
  <si>
    <t>105148</t>
  </si>
  <si>
    <t>Baths for animals</t>
  </si>
  <si>
    <t>Baignoires pour animaux</t>
  </si>
  <si>
    <t>105149</t>
  </si>
  <si>
    <t>Dryers for animals</t>
  </si>
  <si>
    <t>Séchoirs pour animaux</t>
  </si>
  <si>
    <t>31</t>
  </si>
  <si>
    <t>31-00</t>
  </si>
  <si>
    <t>104496</t>
  </si>
  <si>
    <t>Máquinas y aparatos para preparar alimentos o bebidas no especificados en otra parte: Comprende equipos para la preparación de alimentos y bebidas, excluyendo utensilios manuales y cuchillos de cocina.</t>
  </si>
  <si>
    <t>Clase 31 - Máquinas y aparatos para preparar alimentos o bebidas no especificados en otra parte: Comprende equipos para la preparación de alimentos y bebidas, como máquinas y aparatos que no están clasificados en otras categorías, excluyendo utensilios manuales y cuchillos de cocina.</t>
  </si>
  <si>
    <t>MACHINES AND APPLIANCES FOR PREPARING FOOD OR DRINK, NOT ELSEWHERE SPECIFIED</t>
  </si>
  <si>
    <t>Not including hand-operated utensils, instruments and appliances for serving or preparing food or drink (Cl. 7), or kitchen knives, knives for boning meat (Cl. 08-03).</t>
  </si>
  <si>
    <t>Choppers, electric [household]</t>
  </si>
  <si>
    <t>Hachoirs électriques [articles ménagers]</t>
  </si>
  <si>
    <t>Mincers, electric [household]</t>
  </si>
  <si>
    <t>104497</t>
  </si>
  <si>
    <t>Food masticators</t>
  </si>
  <si>
    <t>Masticateurs d'aliments</t>
  </si>
  <si>
    <t>104498</t>
  </si>
  <si>
    <t>Grinding machines [household]</t>
  </si>
  <si>
    <t>Machines à moudre pour le ménage</t>
  </si>
  <si>
    <t>104499</t>
  </si>
  <si>
    <t>Slicing machines [household]</t>
  </si>
  <si>
    <t>Machines de ménage à trancher</t>
  </si>
  <si>
    <t>104500</t>
  </si>
  <si>
    <t>Grape crushing machines</t>
  </si>
  <si>
    <t>Fouloirs de vendange [machines]</t>
  </si>
  <si>
    <t>104501</t>
  </si>
  <si>
    <t>Stills for distilling beverages</t>
  </si>
  <si>
    <t>Alambics pour distillation de boissons</t>
  </si>
  <si>
    <t>104502</t>
  </si>
  <si>
    <t>Food industry machines</t>
  </si>
  <si>
    <t>Machines pour l'industrie alimentaire</t>
  </si>
  <si>
    <t>104503</t>
  </si>
  <si>
    <t>Butter churns [machines]</t>
  </si>
  <si>
    <t>Baratteuses [machines]</t>
  </si>
  <si>
    <t>104504</t>
  </si>
  <si>
    <t>Bolters, electric</t>
  </si>
  <si>
    <t>Blutoirs électriques</t>
  </si>
  <si>
    <t>104505</t>
  </si>
  <si>
    <t>Machines for the industrial preparation of drinks</t>
  </si>
  <si>
    <t>Machines pour la préparation industrielle des boissons</t>
  </si>
  <si>
    <t>104506</t>
  </si>
  <si>
    <t>Butchers' machines</t>
  </si>
  <si>
    <t>Machines de boucherie</t>
  </si>
  <si>
    <t>104507</t>
  </si>
  <si>
    <t>Oil cake crushers</t>
  </si>
  <si>
    <t>Broyeurs de pain d'huile</t>
  </si>
  <si>
    <t>104508</t>
  </si>
  <si>
    <t>Cutting up machines for fruit</t>
  </si>
  <si>
    <t>Machines à couper les fruits</t>
  </si>
  <si>
    <t>104509</t>
  </si>
  <si>
    <t>Corers for apples [machines]</t>
  </si>
  <si>
    <t>Vide-pommes [machines]</t>
  </si>
  <si>
    <t>104510</t>
  </si>
  <si>
    <t>Cream-milk separators, electric</t>
  </si>
  <si>
    <t>Séparateurs de crème, électriques</t>
  </si>
  <si>
    <t>104511</t>
  </si>
  <si>
    <t>Peeling machines for fruit and vegetables [industrial]</t>
  </si>
  <si>
    <t>Éplucheurs [industrie]</t>
  </si>
  <si>
    <t>104512</t>
  </si>
  <si>
    <t>Sugar driers</t>
  </si>
  <si>
    <t>Essoreuses pour le sucre</t>
  </si>
  <si>
    <t>104513</t>
  </si>
  <si>
    <t>Fruit juice extractors [electric]</t>
  </si>
  <si>
    <t>Extracteurs de jus de fruits, électriques</t>
  </si>
  <si>
    <t>104514</t>
  </si>
  <si>
    <t>Dairy machines</t>
  </si>
  <si>
    <t>Machines pour la laiterie</t>
  </si>
  <si>
    <t>104515</t>
  </si>
  <si>
    <t>Popcorn machines</t>
  </si>
  <si>
    <t>Machines à préparer le pop-corn</t>
  </si>
  <si>
    <t>104516</t>
  </si>
  <si>
    <t>Malt cleaning machines</t>
  </si>
  <si>
    <t>Machines à nettoyer le malt</t>
  </si>
  <si>
    <t>104517</t>
  </si>
  <si>
    <t>Flour milling machines</t>
  </si>
  <si>
    <t>Machines de meunerie</t>
  </si>
  <si>
    <t>104518</t>
  </si>
  <si>
    <t>Bread moulds [machine parts]</t>
  </si>
  <si>
    <t>Moules à pain [parties de machines]</t>
  </si>
  <si>
    <t>Bread molds [machine parts]</t>
  </si>
  <si>
    <t>104519</t>
  </si>
  <si>
    <t>Machines or appliances [electric] for extracting fruit stones</t>
  </si>
  <si>
    <t>Machines ou appareils [électriques] à dénoyauter les fruits</t>
  </si>
  <si>
    <t>104520</t>
  </si>
  <si>
    <t>Kneading machines</t>
  </si>
  <si>
    <t>Pétrins mécaniques</t>
  </si>
  <si>
    <t>104521</t>
  </si>
  <si>
    <t>Presses for fruit or vegetable [electric]</t>
  </si>
  <si>
    <t>Presses à fruits ou à légumes [électriques]</t>
  </si>
  <si>
    <t>104522</t>
  </si>
  <si>
    <t>Wine presses, electric</t>
  </si>
  <si>
    <t>Pressoirs de raisins électriques</t>
  </si>
  <si>
    <t>104523</t>
  </si>
  <si>
    <t>Poultry pluckers [machines]</t>
  </si>
  <si>
    <t>Machines à plumer les volailles</t>
  </si>
  <si>
    <t>104524</t>
  </si>
  <si>
    <t>Fish cutting and gutting machines</t>
  </si>
  <si>
    <t>Machines à couper et vider le poisson</t>
  </si>
  <si>
    <t>104525</t>
  </si>
  <si>
    <t>Moulds for chocolate and confectionery [machine parts]</t>
  </si>
  <si>
    <t>Moules pour chocolaterie et confiserie [parties de machines]</t>
  </si>
  <si>
    <t>Molds for chocolate and confectionery [machine parts]</t>
  </si>
  <si>
    <t>104526</t>
  </si>
  <si>
    <t>Meat cutting machines</t>
  </si>
  <si>
    <t>Machines à couper la viande</t>
  </si>
  <si>
    <t>104527</t>
  </si>
  <si>
    <t>Grinding mills for sugar cane</t>
  </si>
  <si>
    <t>Broyeurs de cannes à sucre</t>
  </si>
  <si>
    <t>104528</t>
  </si>
  <si>
    <t>Mash tubs</t>
  </si>
  <si>
    <t>Cuve-matières pour brasseurs</t>
  </si>
  <si>
    <t>104529</t>
  </si>
  <si>
    <t>Centrifugal milk separators, electric</t>
  </si>
  <si>
    <t>Écrémeuses centrifuges, électriques</t>
  </si>
  <si>
    <t>104530</t>
  </si>
  <si>
    <t>Drying machines for butter</t>
  </si>
  <si>
    <t>Essoreuses pour le beurre [machines]</t>
  </si>
  <si>
    <t>104531</t>
  </si>
  <si>
    <t>Beer wort making apparatus</t>
  </si>
  <si>
    <t>Appareils pour la fabrication de moût de bière</t>
  </si>
  <si>
    <t>104532</t>
  </si>
  <si>
    <t>Dough cutting machines</t>
  </si>
  <si>
    <t>Machines à couper la pâte</t>
  </si>
  <si>
    <t>104533</t>
  </si>
  <si>
    <t>Dough mixing machines</t>
  </si>
  <si>
    <t>Machines à mélanger la pâte</t>
  </si>
  <si>
    <t>104534</t>
  </si>
  <si>
    <t>Oil presses, electric</t>
  </si>
  <si>
    <t>Presses à huile, électriques</t>
  </si>
  <si>
    <t>104535</t>
  </si>
  <si>
    <t>Presses for biscuit manufacture</t>
  </si>
  <si>
    <t>Presses pour la fabrication de biscuits</t>
  </si>
  <si>
    <t>104536</t>
  </si>
  <si>
    <t>Sifting machines for flour milling</t>
  </si>
  <si>
    <t>Sasseurs de meunerie</t>
  </si>
  <si>
    <t>104537</t>
  </si>
  <si>
    <t>Sieves for flour milling [machines]</t>
  </si>
  <si>
    <t>Tamis pour meunerie [machines]</t>
  </si>
  <si>
    <t>104538</t>
  </si>
  <si>
    <t>Coffee roasters, electric</t>
  </si>
  <si>
    <t>Torréfacteurs à café, électriques</t>
  </si>
  <si>
    <t>104539</t>
  </si>
  <si>
    <t>Separators for flour [machines]</t>
  </si>
  <si>
    <t>Trieurs de meunerie</t>
  </si>
  <si>
    <t>104540</t>
  </si>
  <si>
    <t>Beaters, electric [household]</t>
  </si>
  <si>
    <t>Batteurs électriques [articles ménagers]</t>
  </si>
  <si>
    <t>104541</t>
  </si>
  <si>
    <t>Bread slicers, electric</t>
  </si>
  <si>
    <t>Coupe-pain, électriques</t>
  </si>
  <si>
    <t>104542</t>
  </si>
  <si>
    <t>Cheese slicers, electric</t>
  </si>
  <si>
    <t>Instruments pour couper le fromage en tranches, électriques</t>
  </si>
  <si>
    <t>104543</t>
  </si>
  <si>
    <t>Potato chippers, electric</t>
  </si>
  <si>
    <t>Coupe-frites, électriques</t>
  </si>
  <si>
    <t>French-fry cutters, electric</t>
  </si>
  <si>
    <t>104544</t>
  </si>
  <si>
    <t>Onion choppers, electric</t>
  </si>
  <si>
    <t>Coupe-oignons, électriques</t>
  </si>
  <si>
    <t>104545</t>
  </si>
  <si>
    <t>Crushing machines [household]</t>
  </si>
  <si>
    <t>Moulins de cuisine [machines]</t>
  </si>
  <si>
    <t>104546</t>
  </si>
  <si>
    <t>Drink preparing machines or appliances [electric]</t>
  </si>
  <si>
    <t>Machines ou appareils [électriques] pour préparer les boissons</t>
  </si>
  <si>
    <t>104547</t>
  </si>
  <si>
    <t>Emulsifiers, electric, for cream</t>
  </si>
  <si>
    <t>Émulseurs de crème, électriques</t>
  </si>
  <si>
    <t>104548</t>
  </si>
  <si>
    <t>Ice cream freezers, electric</t>
  </si>
  <si>
    <t>Sorbetières, électriques</t>
  </si>
  <si>
    <t>104549</t>
  </si>
  <si>
    <t>Fruit squeezers, electric</t>
  </si>
  <si>
    <t>Presse-fruits électriques</t>
  </si>
  <si>
    <t>104550</t>
  </si>
  <si>
    <t>Coffee grinders, electric [household]</t>
  </si>
  <si>
    <t>Moulins à café de ménage, électriques</t>
  </si>
  <si>
    <t>104551</t>
  </si>
  <si>
    <t>Crushers-grinders, electric [household]</t>
  </si>
  <si>
    <t>Broyeurs ménagers électriques</t>
  </si>
  <si>
    <t>104552</t>
  </si>
  <si>
    <t>Mixers, electric [household]</t>
  </si>
  <si>
    <t>Mixeurs électriques [articles ménagers]</t>
  </si>
  <si>
    <t>104553</t>
  </si>
  <si>
    <t>Peelers, electric</t>
  </si>
  <si>
    <t>Éplucheurs électriques</t>
  </si>
  <si>
    <t>104554</t>
  </si>
  <si>
    <t>Vegetable slicers, electric [household]</t>
  </si>
  <si>
    <t>Coupe-légumes de ménage, électriques</t>
  </si>
  <si>
    <t>104555</t>
  </si>
  <si>
    <t>Yogurt making appliances, electric</t>
  </si>
  <si>
    <t>Yaourtières électriques</t>
  </si>
  <si>
    <t>Yoghurt making appliances, electric</t>
  </si>
  <si>
    <t>104556</t>
  </si>
  <si>
    <t>Pouring stands for draught beer</t>
  </si>
  <si>
    <t>Supports pour verser la bière à la pression</t>
  </si>
  <si>
    <t>104557</t>
  </si>
  <si>
    <t>Baking machines</t>
  </si>
  <si>
    <t>Machines de cuisson</t>
  </si>
  <si>
    <t>104558</t>
  </si>
  <si>
    <t>Electric graters</t>
  </si>
  <si>
    <t>Râpes électriques</t>
  </si>
  <si>
    <t>104559</t>
  </si>
  <si>
    <t>Coffee machines [except for household purposes]</t>
  </si>
  <si>
    <t>Machines à café [autres qu'à usage ménager]</t>
  </si>
  <si>
    <t>104606</t>
  </si>
  <si>
    <t>Fermenting chambers for baking</t>
  </si>
  <si>
    <t>Chambres de fermentation pour boulangerie</t>
  </si>
  <si>
    <t>104619</t>
  </si>
  <si>
    <t>Honey presses [machines]</t>
  </si>
  <si>
    <t>Presses à miel [machines]</t>
  </si>
  <si>
    <t>104620</t>
  </si>
  <si>
    <t>Honey slingers</t>
  </si>
  <si>
    <t>Centrifugeuses à miel</t>
  </si>
  <si>
    <t>104636</t>
  </si>
  <si>
    <t>Meat grinders [machines]</t>
  </si>
  <si>
    <t>Hachoirs à viande [machines]</t>
  </si>
  <si>
    <t>105041</t>
  </si>
  <si>
    <t>Beer pumps [machines]</t>
  </si>
  <si>
    <t>Pompes à bière [machines]</t>
  </si>
  <si>
    <t>105042</t>
  </si>
  <si>
    <t>Dry-aging cabinets</t>
  </si>
  <si>
    <t>Armoires de maturation sèche</t>
  </si>
  <si>
    <t>105152</t>
  </si>
  <si>
    <t>Robots for preparing food or drink</t>
  </si>
  <si>
    <t>Robots pour préparer la nourriture ou les boissons</t>
  </si>
  <si>
    <t>105153</t>
  </si>
  <si>
    <t>Household machines or appliances [electric] for aerating water</t>
  </si>
  <si>
    <t>Machines ou appareils ménagers [électriques] pour gazéifier l'eau</t>
  </si>
  <si>
    <t>32</t>
  </si>
  <si>
    <t>32-01</t>
  </si>
  <si>
    <t>104562</t>
  </si>
  <si>
    <t>Símbolos gráficos y logotipos, patrones superficiales, ornamentación, disposición de interiores y exteriores: Incluye diseños gráficos, patrones decorativos y arreglos de espacios interiores y exteriores.</t>
  </si>
  <si>
    <t>GRAPHIC SYMBOLS AND LOGOS, SURFACE PATTERNS, ORNAMENTATION, ARRANGEMENT OF INTERIORS AND EXTERIORS</t>
  </si>
  <si>
    <t>GRAPHIC SYMBOLS AND LOGOS, SURFACE PATTERNS, ORNAMENTATION</t>
  </si>
  <si>
    <t>Graphic designs [two-dimensional]</t>
  </si>
  <si>
    <t>Graphismes [bidimensionnels]</t>
  </si>
  <si>
    <t>104563</t>
  </si>
  <si>
    <t>Graphic symbols</t>
  </si>
  <si>
    <t>Symboles graphiques</t>
  </si>
  <si>
    <t>104564</t>
  </si>
  <si>
    <t>Graphic symbols [comic figures]</t>
  </si>
  <si>
    <t>Symboles graphiques [personnages comiques]</t>
  </si>
  <si>
    <t>104565</t>
  </si>
  <si>
    <t>Logos</t>
  </si>
  <si>
    <t>104566</t>
  </si>
  <si>
    <t>Ornamentation</t>
  </si>
  <si>
    <t>Ornementation</t>
  </si>
  <si>
    <t>104567</t>
  </si>
  <si>
    <t>Surface patterns</t>
  </si>
  <si>
    <t>Motifs décoratifs pour surfaces</t>
  </si>
  <si>
    <t>32-02</t>
  </si>
  <si>
    <t>104836</t>
  </si>
  <si>
    <t>ARRANGEMENT OF INTERIORS AND EXTERIORS</t>
  </si>
  <si>
    <t>Arrangement of boat interiors</t>
  </si>
  <si>
    <t>Présentation [arrangement] d'intérieurs de bateau</t>
  </si>
  <si>
    <t>104926</t>
  </si>
  <si>
    <t>Arrangement of restaurant interiors</t>
  </si>
  <si>
    <t>Présentation [arrangement] d'intérieurs de restaurant</t>
  </si>
  <si>
    <t>104924</t>
  </si>
  <si>
    <t>Arrangement of shop interiors</t>
  </si>
  <si>
    <t>Présentation [arrangement] d'intérieurs de magasin</t>
  </si>
  <si>
    <t>104561</t>
  </si>
  <si>
    <t>Arrangement of the interior of a room</t>
  </si>
  <si>
    <t>Présentation [arrangement] d'intérieurs de pièces</t>
  </si>
  <si>
    <t>104613</t>
  </si>
  <si>
    <t>Arrangement of train interiors</t>
  </si>
  <si>
    <t>Présentation [arrangement] d'intérieurs de train</t>
  </si>
  <si>
    <t>104925</t>
  </si>
  <si>
    <t>Arrangement of window displays</t>
  </si>
  <si>
    <t>Présentation [arrangement] de vitrines</t>
  </si>
  <si>
    <t>105154</t>
  </si>
  <si>
    <t>Arrangement of a park</t>
  </si>
  <si>
    <t>Présentation [arrangement] d'un parc</t>
  </si>
  <si>
    <t>105155</t>
  </si>
  <si>
    <t>Arrangement of automobile interiors</t>
  </si>
  <si>
    <t>Présentation [arrangement] d'intérieurs d'automobile</t>
  </si>
  <si>
    <t>105156</t>
  </si>
  <si>
    <t>Arrangement of office interiors</t>
  </si>
  <si>
    <t>Présentation [arrangement] d'intérieurs de bureau</t>
  </si>
  <si>
    <t>105157</t>
  </si>
  <si>
    <t>Arrangement of educational facility interiors</t>
  </si>
  <si>
    <t>Présentation [arrangement] d'intérieurs d'établissement d'enseignement</t>
  </si>
  <si>
    <t>award_category</t>
  </si>
  <si>
    <t>award_short</t>
  </si>
  <si>
    <t>3D Printed Forms and Products Design Award Category.</t>
  </si>
  <si>
    <t>Advertising, Marketing and Communication Design Award Category.</t>
  </si>
  <si>
    <t>Aerospace and Aircraft Design Award Category.</t>
  </si>
  <si>
    <t>Agricultural Tools, Equipment and Machinery Design Award Category.</t>
  </si>
  <si>
    <t>Architecture, Building and Structure Design Award Category.</t>
  </si>
  <si>
    <t>Art Materials, Stationery Supplies and Gift Items Design Award Category.</t>
  </si>
  <si>
    <t>Arts, Crafts and Ready-Made Design Award Category.</t>
  </si>
  <si>
    <t>Audio and Sound Equipment Design Award Category.</t>
  </si>
  <si>
    <t>Awards, Prize and Competitions Design Award Category.</t>
  </si>
  <si>
    <t>Baby, Kids' and Children's Products Design Award Category.</t>
  </si>
  <si>
    <t>Bakeware, Tableware, Drinkware and Cookware Design Award Category.</t>
  </si>
  <si>
    <t>Bathroom Furniture and Sanitary Ware Design Award Category.</t>
  </si>
  <si>
    <t>Beauty, Personal Care and Cosmetic Products Design Award Category.</t>
  </si>
  <si>
    <t>Building Materials and Construction Components Design Award Category.</t>
  </si>
  <si>
    <t>Camera and Photography Equipment Design Award Category.</t>
  </si>
  <si>
    <t>Car and Land Based Motor Vehicles Design Award Category.</t>
  </si>
  <si>
    <t>Computer Graphics and 3D Model Design Award Category.</t>
  </si>
  <si>
    <t>Computers and Peripheral Devices Design Award Category.</t>
  </si>
  <si>
    <t>Construction and Real Estate Projects Design Award Category.</t>
  </si>
  <si>
    <t>Cultural Heritage and Culture Industry Design Award Category.</t>
  </si>
  <si>
    <t>Cybernetics, Prosthesis and Implant Design Award Category.</t>
  </si>
  <si>
    <t>Design Quality and Innovation Award Category.</t>
  </si>
  <si>
    <t>Differently Abled and Seniors' Assistance Design Award Category.</t>
  </si>
  <si>
    <t>Digital and Broadcasting Media Design Award Category.</t>
  </si>
  <si>
    <t>Digital and Electronic Devices Design Award Category.</t>
  </si>
  <si>
    <t>Disposable and Single-Use Product Design Award Category.</t>
  </si>
  <si>
    <t>Education, Teaching Aid and Training Content Design Award Category.</t>
  </si>
  <si>
    <t>Energy Products, Projects and Devices Design Award Category.</t>
  </si>
  <si>
    <t>Engineering and Technical Design Award Category.</t>
  </si>
  <si>
    <t>Engineering, Construction and Infrastructure Design Award Category.</t>
  </si>
  <si>
    <t>Entertainment, Content Creation and Streaming Media Design Award Category.</t>
  </si>
  <si>
    <t>Event and Happening Design Award Category.</t>
  </si>
  <si>
    <t>Fashion and Travel Accessories Design Award Category.</t>
  </si>
  <si>
    <t>Fashion, Apparel and Garment Design Award Category.</t>
  </si>
  <si>
    <t>Food, Beverage and Culinary Arts Design Award Category.</t>
  </si>
  <si>
    <t>Footwear, Shoes and Boots Design Award Category.</t>
  </si>
  <si>
    <t>Furniture Accessories, Hardware and Materials Design Award Category.</t>
  </si>
  <si>
    <t>Furniture Design Award Category.</t>
  </si>
  <si>
    <t>Futuristic Design Award Category.</t>
  </si>
  <si>
    <t>Garden and Outdoor Furniture Design Award Category.</t>
  </si>
  <si>
    <t>Generative, Algorithmic and Parametric Design Award Category.</t>
  </si>
  <si>
    <t>Graphics, Illustration and Visual Communication Design Award Category.</t>
  </si>
  <si>
    <t>Hardware, Power and Hand Tools Design Award Category.</t>
  </si>
  <si>
    <t>Heating, Ventilation, and Air Conditioning Products Design Award Category.</t>
  </si>
  <si>
    <t>Heavy Machinery Design Award Category.</t>
  </si>
  <si>
    <t>Home Appliances Design Award Category.</t>
  </si>
  <si>
    <t>Hospitality, Recreation, Travel and Tourism Design Award Category.</t>
  </si>
  <si>
    <t>Hospitality, Restaurant and Catering Products Design Award Category.</t>
  </si>
  <si>
    <t>Idea Design Award Category.</t>
  </si>
  <si>
    <t>Idea</t>
  </si>
  <si>
    <t>Industrial Equipment and Heavy-duty Appliances Design Award Category.</t>
  </si>
  <si>
    <t>Information Technologies Design Award Category.</t>
  </si>
  <si>
    <t>Interface and Interaction Design Award Category.</t>
  </si>
  <si>
    <t>Interior Space and Exhibition Design Award Category.</t>
  </si>
  <si>
    <t>Jewelry, Eyewear and Watch Design Award Category.</t>
  </si>
  <si>
    <t>Kitchen Furniture, Equipment and Fixtures Design Award Category.</t>
  </si>
  <si>
    <t>Landscape Planning and Garden Design Award Category.</t>
  </si>
  <si>
    <t>Lighting Products and Lighting Projects Design Award Category.</t>
  </si>
  <si>
    <t>Limited Edition and Custom Design Award Category.</t>
  </si>
  <si>
    <t>Luxury Design Award Category.</t>
  </si>
  <si>
    <t>Manufacturing and Processing Machinery Design Award Category.</t>
  </si>
  <si>
    <t>Medical Devices and Medical Equipment Design Award Category.</t>
  </si>
  <si>
    <t>Meta, Strategic and Service Design Award Category.</t>
  </si>
  <si>
    <t>Mobile Technologies, Applications and Software Design Award Category.</t>
  </si>
  <si>
    <t>Movie, Video and Animation Design Award Category.</t>
  </si>
  <si>
    <t>Music, Audio and Sound Design Award Category.</t>
  </si>
  <si>
    <t>Musical Instruments Design Award Category.</t>
  </si>
  <si>
    <t>Office Furniture Design Award Category.</t>
  </si>
  <si>
    <t>Office and Business Appliances Design Award Category.</t>
  </si>
  <si>
    <t>Outdoor Gear and Camping Equipment Design Award Category.</t>
  </si>
  <si>
    <t>Packaging Design Award Category.</t>
  </si>
  <si>
    <t>Performing Arts, Style and Scenery Design Award Category.</t>
  </si>
  <si>
    <t>Pet Supplies and Products for Animals Design Award Category.</t>
  </si>
  <si>
    <t>Photography and Photo Manipulation Design Award Category.</t>
  </si>
  <si>
    <t>Print and Published Media Design Award Category.</t>
  </si>
  <si>
    <t>Prosumer Products, Tools, and Machinery Design Award Category.</t>
  </si>
  <si>
    <t>Public Awareness, Volunteerism, and Society Design Award Category.</t>
  </si>
  <si>
    <t>Robotics, Automaton and Automation Design Award Category.</t>
  </si>
  <si>
    <t>Safety Clothing and Personal Protective Equipment Design Award Category.</t>
  </si>
  <si>
    <t>Scientific Instruments and Research Equipment Design Award Category.</t>
  </si>
  <si>
    <t>Security, Safety and Surveillance Products Design Award Category.</t>
  </si>
  <si>
    <t>Social Design Award Category.</t>
  </si>
  <si>
    <t>Social</t>
  </si>
  <si>
    <t>Sports, Entertainment and Recreation Equipment Design Award Category.</t>
  </si>
  <si>
    <t>Street Furniture Design Award Category.</t>
  </si>
  <si>
    <t>Sustainable Products, Projects and Green Design Award Category.</t>
  </si>
  <si>
    <t>Textile, Fabric, Textures, Patterns and Cloth Design Award Category.</t>
  </si>
  <si>
    <t>Toy, Games and Hobby Products Design Award Category.</t>
  </si>
  <si>
    <t>Urban Planning and Urban Design Award Category.</t>
  </si>
  <si>
    <t>Vehicle Parts, Auto Accessories and Care Products Design Award Category.</t>
  </si>
  <si>
    <t>Vehicle, Mobility and Transportation Design Award Category.</t>
  </si>
  <si>
    <t>Video and Broadcasting Equipment Design Award Category.</t>
  </si>
  <si>
    <t>Wearable Technologies Design Award Category.</t>
  </si>
  <si>
    <t>Website and Web Design Award Category.</t>
  </si>
  <si>
    <t>Wholesale, Retail Trade, Commerce and E-Commerce Design Award Category.</t>
  </si>
  <si>
    <t>Yacht and Marine Vessels Design Award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</si>
</sst>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scheme val="minor"/>
    </font>
    <font>
      <sz val="11"/>
      <color theme="1"/>
      <name val="Aptos Narrow"/>
    </font>
    <font>
      <sz val="8"/>
      <color theme="1"/>
      <name val="Aptos Narrow"/>
    </font>
    <font>
      <sz val="8"/>
      <color theme="1"/>
      <name val="Arial"/>
    </font>
    <font>
      <sz val="9"/>
      <color rgb="FF000000"/>
      <name val="&quot;Google Sans Mono&quot;"/>
    </font>
    <font>
      <sz val="10"/>
      <color theme="1"/>
      <name val="Aptos Narrow"/>
    </font>
    <font>
      <sz val="11"/>
      <color theme="1"/>
      <name val="Aptos Narrow"/>
      <scheme val="minor"/>
    </font>
    <font>
      <sz val="11"/>
      <color theme="1"/>
      <name val="Aptos Narrow"/>
      <family val="2"/>
    </font>
    <font>
      <sz val="10"/>
      <color theme="1"/>
      <name val="Aptos Narrow"/>
      <family val="2"/>
    </font>
    <font>
      <sz val="10"/>
      <color theme="1"/>
      <name val="Arial"/>
      <family val="2"/>
    </font>
    <font>
      <sz val="10"/>
      <color theme="1"/>
      <name val="Aptos Narrow"/>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16" fontId="1" fillId="0" borderId="0" xfId="0" applyNumberFormat="1" applyFont="1" applyAlignment="1">
      <alignment horizontal="left" vertical="top"/>
    </xf>
    <xf numFmtId="17" fontId="1" fillId="0" borderId="0" xfId="0" applyNumberFormat="1" applyFont="1" applyAlignment="1">
      <alignment horizontal="left" vertical="top"/>
    </xf>
    <xf numFmtId="0" fontId="2" fillId="0" borderId="0" xfId="0" applyFont="1"/>
    <xf numFmtId="0" fontId="3" fillId="0" borderId="0" xfId="0" applyFont="1"/>
    <xf numFmtId="0" fontId="4" fillId="2" borderId="0" xfId="0" applyFont="1" applyFill="1"/>
    <xf numFmtId="0" fontId="5" fillId="0" borderId="0" xfId="0" applyFont="1"/>
    <xf numFmtId="0" fontId="6" fillId="0" borderId="0" xfId="0" applyFont="1"/>
    <xf numFmtId="0" fontId="8" fillId="0" borderId="0" xfId="0" applyFont="1" applyAlignment="1">
      <alignment horizontal="left" vertical="top"/>
    </xf>
    <xf numFmtId="0" fontId="8" fillId="0" borderId="0" xfId="0" applyFont="1"/>
    <xf numFmtId="0" fontId="7" fillId="0" borderId="0" xfId="0" applyFont="1" applyAlignment="1">
      <alignment horizontal="left" vertical="top"/>
    </xf>
    <xf numFmtId="0" fontId="9" fillId="0" borderId="0" xfId="0" applyFont="1"/>
    <xf numFmtId="0" fontId="10" fillId="0" borderId="0" xfId="0" applyFont="1"/>
  </cellXfs>
  <cellStyles count="1">
    <cellStyle name="Normal" xfId="0" builtinId="0"/>
  </cellStyles>
  <dxfs count="2">
    <dxf>
      <fill>
        <patternFill patternType="solid">
          <fgColor rgb="FFFF6161"/>
          <bgColor rgb="FFFF6161"/>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83" workbookViewId="0">
      <selection activeCell="A100" sqref="A100"/>
    </sheetView>
  </sheetViews>
  <sheetFormatPr baseColWidth="10" defaultColWidth="12.5703125" defaultRowHeight="15" customHeight="1"/>
  <cols>
    <col min="1" max="1" width="48.85546875" customWidth="1"/>
    <col min="2" max="2" width="117.140625" customWidth="1"/>
    <col min="3" max="4" width="37.7109375" customWidth="1"/>
    <col min="5" max="26" width="42.85546875" customWidth="1"/>
  </cols>
  <sheetData>
    <row r="1" spans="1:26" ht="15.75" customHeight="1">
      <c r="A1" s="1" t="s">
        <v>0</v>
      </c>
      <c r="B1" s="2" t="s">
        <v>1</v>
      </c>
      <c r="C1" s="2" t="s">
        <v>2</v>
      </c>
      <c r="D1" s="1" t="s">
        <v>3</v>
      </c>
      <c r="E1" s="1"/>
      <c r="F1" s="1"/>
      <c r="G1" s="1"/>
      <c r="H1" s="1"/>
      <c r="I1" s="1"/>
      <c r="J1" s="1"/>
      <c r="K1" s="1"/>
      <c r="L1" s="1"/>
      <c r="M1" s="1"/>
      <c r="N1" s="1"/>
      <c r="O1" s="1"/>
      <c r="P1" s="1"/>
      <c r="Q1" s="1"/>
      <c r="R1" s="1"/>
      <c r="S1" s="1"/>
      <c r="T1" s="1"/>
      <c r="U1" s="1"/>
      <c r="V1" s="1"/>
      <c r="W1" s="1"/>
      <c r="X1" s="1"/>
      <c r="Y1" s="1"/>
      <c r="Z1" s="1"/>
    </row>
    <row r="2" spans="1:26" ht="15.75" customHeight="1">
      <c r="A2" s="1" t="s">
        <v>4</v>
      </c>
      <c r="B2" s="2" t="s">
        <v>5</v>
      </c>
      <c r="C2" s="2"/>
      <c r="D2" s="1"/>
      <c r="E2" s="1"/>
      <c r="F2" s="1"/>
      <c r="G2" s="1"/>
      <c r="H2" s="1"/>
      <c r="I2" s="1"/>
      <c r="J2" s="1"/>
      <c r="K2" s="1"/>
      <c r="L2" s="1"/>
      <c r="M2" s="1"/>
      <c r="N2" s="1"/>
      <c r="O2" s="1"/>
      <c r="P2" s="1"/>
      <c r="Q2" s="1"/>
      <c r="R2" s="1"/>
      <c r="S2" s="1"/>
      <c r="T2" s="1"/>
      <c r="U2" s="1"/>
      <c r="V2" s="1"/>
      <c r="W2" s="1"/>
      <c r="X2" s="1"/>
      <c r="Y2" s="1"/>
      <c r="Z2" s="1"/>
    </row>
    <row r="3" spans="1:26" ht="15.75" customHeight="1">
      <c r="A3" s="1" t="s">
        <v>6</v>
      </c>
      <c r="B3" s="2" t="s">
        <v>7</v>
      </c>
      <c r="C3" s="2"/>
      <c r="D3" s="1"/>
      <c r="E3" s="1"/>
      <c r="F3" s="1"/>
      <c r="G3" s="1"/>
      <c r="H3" s="1"/>
      <c r="I3" s="1"/>
      <c r="J3" s="1"/>
      <c r="K3" s="1"/>
      <c r="L3" s="1"/>
      <c r="M3" s="1"/>
      <c r="N3" s="1"/>
      <c r="O3" s="1"/>
      <c r="P3" s="1"/>
      <c r="Q3" s="1"/>
      <c r="R3" s="1"/>
      <c r="S3" s="1"/>
      <c r="T3" s="1"/>
      <c r="U3" s="1"/>
      <c r="V3" s="1"/>
      <c r="W3" s="1"/>
      <c r="X3" s="1"/>
      <c r="Y3" s="1"/>
      <c r="Z3" s="1"/>
    </row>
    <row r="4" spans="1:26" ht="15.75" customHeight="1">
      <c r="A4" s="1" t="s">
        <v>8</v>
      </c>
      <c r="B4" s="2" t="s">
        <v>7</v>
      </c>
      <c r="C4" s="2"/>
      <c r="D4" s="1"/>
      <c r="E4" s="1"/>
      <c r="F4" s="1"/>
      <c r="G4" s="1"/>
      <c r="H4" s="1"/>
      <c r="I4" s="1"/>
      <c r="J4" s="1"/>
      <c r="K4" s="1"/>
      <c r="L4" s="1"/>
      <c r="M4" s="1"/>
      <c r="N4" s="1"/>
      <c r="O4" s="1"/>
      <c r="P4" s="1"/>
      <c r="Q4" s="1"/>
      <c r="R4" s="1"/>
      <c r="S4" s="1"/>
      <c r="T4" s="1"/>
      <c r="U4" s="1"/>
      <c r="V4" s="1"/>
      <c r="W4" s="1"/>
      <c r="X4" s="1"/>
      <c r="Y4" s="1"/>
      <c r="Z4" s="1"/>
    </row>
    <row r="5" spans="1:26" ht="15.75" customHeight="1">
      <c r="A5" s="1" t="s">
        <v>9</v>
      </c>
      <c r="B5" s="2" t="s">
        <v>10</v>
      </c>
      <c r="C5" s="2"/>
      <c r="D5" s="1"/>
      <c r="E5" s="1"/>
      <c r="F5" s="1"/>
      <c r="G5" s="1"/>
      <c r="H5" s="1"/>
      <c r="I5" s="1"/>
      <c r="J5" s="1"/>
      <c r="K5" s="1"/>
      <c r="L5" s="1"/>
      <c r="M5" s="1"/>
      <c r="N5" s="1"/>
      <c r="O5" s="1"/>
      <c r="P5" s="1"/>
      <c r="Q5" s="1"/>
      <c r="R5" s="1"/>
      <c r="S5" s="1"/>
      <c r="T5" s="1"/>
      <c r="U5" s="1"/>
      <c r="V5" s="1"/>
      <c r="W5" s="1"/>
      <c r="X5" s="1"/>
      <c r="Y5" s="1"/>
      <c r="Z5" s="1"/>
    </row>
    <row r="6" spans="1:26" ht="15.75" customHeight="1">
      <c r="A6" s="1" t="s">
        <v>11</v>
      </c>
      <c r="B6" s="2" t="s">
        <v>12</v>
      </c>
      <c r="C6" s="2"/>
      <c r="D6" s="1"/>
      <c r="E6" s="1"/>
      <c r="F6" s="1"/>
      <c r="G6" s="1"/>
      <c r="H6" s="1"/>
      <c r="I6" s="1"/>
      <c r="J6" s="1"/>
      <c r="K6" s="1"/>
      <c r="L6" s="1"/>
      <c r="M6" s="1"/>
      <c r="N6" s="1"/>
      <c r="O6" s="1"/>
      <c r="P6" s="1"/>
      <c r="Q6" s="1"/>
      <c r="R6" s="1"/>
      <c r="S6" s="1"/>
      <c r="T6" s="1"/>
      <c r="U6" s="1"/>
      <c r="V6" s="1"/>
      <c r="W6" s="1"/>
      <c r="X6" s="1"/>
      <c r="Y6" s="1"/>
      <c r="Z6" s="1"/>
    </row>
    <row r="7" spans="1:26" ht="15.75" customHeight="1">
      <c r="A7" s="1" t="s">
        <v>13</v>
      </c>
      <c r="B7" s="2" t="s">
        <v>14</v>
      </c>
      <c r="C7" s="2"/>
      <c r="D7" s="1"/>
      <c r="E7" s="1"/>
      <c r="F7" s="1"/>
      <c r="G7" s="1"/>
      <c r="H7" s="1"/>
      <c r="I7" s="1"/>
      <c r="J7" s="1"/>
      <c r="K7" s="1"/>
      <c r="L7" s="1"/>
      <c r="M7" s="1"/>
      <c r="N7" s="1"/>
      <c r="O7" s="1"/>
      <c r="P7" s="1"/>
      <c r="Q7" s="1"/>
      <c r="R7" s="1"/>
      <c r="S7" s="1"/>
      <c r="T7" s="1"/>
      <c r="U7" s="1"/>
      <c r="V7" s="1"/>
      <c r="W7" s="1"/>
      <c r="X7" s="1"/>
      <c r="Y7" s="1"/>
      <c r="Z7" s="1"/>
    </row>
    <row r="8" spans="1:26" ht="15.75" customHeight="1">
      <c r="A8" s="1" t="s">
        <v>15</v>
      </c>
      <c r="B8" s="2" t="s">
        <v>14</v>
      </c>
      <c r="C8" s="2"/>
      <c r="D8" s="1"/>
      <c r="E8" s="1"/>
      <c r="F8" s="1"/>
      <c r="G8" s="1"/>
      <c r="H8" s="1"/>
      <c r="I8" s="1"/>
      <c r="J8" s="1"/>
      <c r="K8" s="1"/>
      <c r="L8" s="1"/>
      <c r="M8" s="1"/>
      <c r="N8" s="1"/>
      <c r="O8" s="1"/>
      <c r="P8" s="1"/>
      <c r="Q8" s="1"/>
      <c r="R8" s="1"/>
      <c r="S8" s="1"/>
      <c r="T8" s="1"/>
      <c r="U8" s="1"/>
      <c r="V8" s="1"/>
      <c r="W8" s="1"/>
      <c r="X8" s="1"/>
      <c r="Y8" s="1"/>
      <c r="Z8" s="1"/>
    </row>
    <row r="9" spans="1:26" ht="15.75" customHeight="1">
      <c r="A9" s="1" t="s">
        <v>16</v>
      </c>
      <c r="B9" s="2" t="s">
        <v>14</v>
      </c>
      <c r="C9" s="2"/>
      <c r="D9" s="1"/>
      <c r="E9" s="1"/>
      <c r="F9" s="1"/>
      <c r="G9" s="1"/>
      <c r="H9" s="1"/>
      <c r="I9" s="1"/>
      <c r="J9" s="1"/>
      <c r="K9" s="1"/>
      <c r="L9" s="1"/>
      <c r="M9" s="1"/>
      <c r="N9" s="1"/>
      <c r="O9" s="1"/>
      <c r="P9" s="1"/>
      <c r="Q9" s="1"/>
      <c r="R9" s="1"/>
      <c r="S9" s="1"/>
      <c r="T9" s="1"/>
      <c r="U9" s="1"/>
      <c r="V9" s="1"/>
      <c r="W9" s="1"/>
      <c r="X9" s="1"/>
      <c r="Y9" s="1"/>
      <c r="Z9" s="1"/>
    </row>
    <row r="10" spans="1:26" ht="15.75" customHeight="1">
      <c r="A10" s="1" t="s">
        <v>17</v>
      </c>
      <c r="B10" s="2" t="s">
        <v>14</v>
      </c>
      <c r="C10" s="2" t="s">
        <v>18</v>
      </c>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t="s">
        <v>19</v>
      </c>
      <c r="B11" s="2" t="s">
        <v>14</v>
      </c>
      <c r="C11" s="2"/>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t="s">
        <v>20</v>
      </c>
      <c r="B12" s="2" t="s">
        <v>14</v>
      </c>
      <c r="C12" s="2"/>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 t="s">
        <v>21</v>
      </c>
      <c r="B13" s="2" t="s">
        <v>14</v>
      </c>
      <c r="C13" s="2"/>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t="s">
        <v>22</v>
      </c>
      <c r="B14" s="2" t="s">
        <v>23</v>
      </c>
      <c r="C14" s="2"/>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t="s">
        <v>24</v>
      </c>
      <c r="B15" s="2" t="s">
        <v>23</v>
      </c>
      <c r="C15" s="2"/>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t="s">
        <v>25</v>
      </c>
      <c r="B16" s="2" t="s">
        <v>23</v>
      </c>
      <c r="C16" s="2"/>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t="s">
        <v>26</v>
      </c>
      <c r="B17" s="2" t="s">
        <v>27</v>
      </c>
      <c r="C17" s="2"/>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t="s">
        <v>28</v>
      </c>
      <c r="B18" s="2" t="s">
        <v>29</v>
      </c>
      <c r="C18" s="2"/>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t="s">
        <v>30</v>
      </c>
      <c r="B19" s="2" t="s">
        <v>31</v>
      </c>
      <c r="C19" s="2" t="s">
        <v>32</v>
      </c>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t="s">
        <v>33</v>
      </c>
      <c r="B20" s="2" t="s">
        <v>18</v>
      </c>
      <c r="C20" s="2"/>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t="s">
        <v>34</v>
      </c>
      <c r="B21" s="2" t="s">
        <v>18</v>
      </c>
      <c r="C21" s="2"/>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t="s">
        <v>35</v>
      </c>
      <c r="B22" s="2" t="s">
        <v>36</v>
      </c>
      <c r="C22" s="2"/>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t="s">
        <v>37</v>
      </c>
      <c r="B23" s="2" t="s">
        <v>36</v>
      </c>
      <c r="C23" s="2"/>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t="s">
        <v>38</v>
      </c>
      <c r="B24" s="2" t="s">
        <v>36</v>
      </c>
      <c r="C24" s="2"/>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t="s">
        <v>39</v>
      </c>
      <c r="B25" s="2" t="s">
        <v>36</v>
      </c>
      <c r="C25" s="2"/>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t="s">
        <v>40</v>
      </c>
      <c r="B26" s="2" t="s">
        <v>36</v>
      </c>
      <c r="C26" s="2"/>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t="s">
        <v>41</v>
      </c>
      <c r="B27" s="2" t="s">
        <v>42</v>
      </c>
      <c r="C27" s="2"/>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t="s">
        <v>43</v>
      </c>
      <c r="B28" s="2" t="s">
        <v>44</v>
      </c>
      <c r="C28" s="2"/>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t="s">
        <v>45</v>
      </c>
      <c r="B29" s="2" t="s">
        <v>44</v>
      </c>
      <c r="C29" s="2"/>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t="s">
        <v>46</v>
      </c>
      <c r="B30" s="2" t="s">
        <v>44</v>
      </c>
      <c r="C30" s="2"/>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t="s">
        <v>47</v>
      </c>
      <c r="B31" s="2" t="s">
        <v>44</v>
      </c>
      <c r="C31" s="2"/>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t="s">
        <v>48</v>
      </c>
      <c r="B32" s="2" t="s">
        <v>44</v>
      </c>
      <c r="C32" s="2"/>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t="s">
        <v>49</v>
      </c>
      <c r="B33" s="2" t="s">
        <v>44</v>
      </c>
      <c r="C33" s="2"/>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t="s">
        <v>50</v>
      </c>
      <c r="B34" s="2" t="s">
        <v>44</v>
      </c>
      <c r="C34" s="2"/>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t="s">
        <v>51</v>
      </c>
      <c r="B35" s="2" t="s">
        <v>52</v>
      </c>
      <c r="C35" s="2"/>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t="s">
        <v>53</v>
      </c>
      <c r="B36" s="2" t="s">
        <v>52</v>
      </c>
      <c r="C36" s="2"/>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t="s">
        <v>54</v>
      </c>
      <c r="B37" s="2" t="s">
        <v>52</v>
      </c>
      <c r="C37" s="2"/>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t="s">
        <v>55</v>
      </c>
      <c r="B38" s="2" t="s">
        <v>52</v>
      </c>
      <c r="C38" s="2"/>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t="s">
        <v>56</v>
      </c>
      <c r="B39" s="2" t="s">
        <v>52</v>
      </c>
      <c r="C39" s="2"/>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t="s">
        <v>57</v>
      </c>
      <c r="B40" s="2" t="s">
        <v>52</v>
      </c>
      <c r="C40" s="2"/>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t="s">
        <v>58</v>
      </c>
      <c r="B41" s="2" t="s">
        <v>59</v>
      </c>
      <c r="C41" s="2"/>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t="s">
        <v>60</v>
      </c>
      <c r="B42" s="2" t="s">
        <v>59</v>
      </c>
      <c r="C42" s="2"/>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t="s">
        <v>61</v>
      </c>
      <c r="B43" s="2" t="s">
        <v>62</v>
      </c>
      <c r="C43" s="2"/>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t="s">
        <v>63</v>
      </c>
      <c r="B44" s="2" t="s">
        <v>64</v>
      </c>
      <c r="C44" s="2"/>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t="s">
        <v>65</v>
      </c>
      <c r="B45" s="2" t="s">
        <v>66</v>
      </c>
      <c r="C45" s="2" t="s">
        <v>67</v>
      </c>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t="s">
        <v>68</v>
      </c>
      <c r="B46" s="2" t="s">
        <v>69</v>
      </c>
      <c r="C46" s="2"/>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t="s">
        <v>70</v>
      </c>
      <c r="B47" s="2" t="s">
        <v>67</v>
      </c>
      <c r="C47" s="2"/>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t="s">
        <v>71</v>
      </c>
      <c r="B48" s="2" t="s">
        <v>67</v>
      </c>
      <c r="C48" s="2"/>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t="s">
        <v>72</v>
      </c>
      <c r="B49" s="2" t="s">
        <v>67</v>
      </c>
      <c r="C49" s="2"/>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t="s">
        <v>73</v>
      </c>
      <c r="B50" s="2" t="s">
        <v>67</v>
      </c>
      <c r="C50" s="2"/>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t="s">
        <v>74</v>
      </c>
      <c r="B51" s="2" t="s">
        <v>75</v>
      </c>
      <c r="C51" s="2" t="s">
        <v>14</v>
      </c>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t="s">
        <v>76</v>
      </c>
      <c r="B52" s="2" t="s">
        <v>75</v>
      </c>
      <c r="C52" s="2"/>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t="s">
        <v>77</v>
      </c>
      <c r="B53" s="2" t="s">
        <v>32</v>
      </c>
      <c r="C53" s="2"/>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t="s">
        <v>78</v>
      </c>
      <c r="B54" s="2" t="s">
        <v>32</v>
      </c>
      <c r="C54" s="2"/>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t="s">
        <v>79</v>
      </c>
      <c r="B55" s="2" t="s">
        <v>32</v>
      </c>
      <c r="C55" s="2"/>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t="s">
        <v>80</v>
      </c>
      <c r="B56" s="2" t="s">
        <v>81</v>
      </c>
      <c r="C56" s="2"/>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t="s">
        <v>82</v>
      </c>
      <c r="B57" s="2" t="s">
        <v>81</v>
      </c>
      <c r="C57" s="2"/>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t="s">
        <v>83</v>
      </c>
      <c r="B58" s="2" t="s">
        <v>81</v>
      </c>
      <c r="C58" s="2"/>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t="s">
        <v>84</v>
      </c>
      <c r="B59" s="2" t="s">
        <v>85</v>
      </c>
      <c r="C59" s="2"/>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t="s">
        <v>86</v>
      </c>
      <c r="B60" s="2" t="s">
        <v>87</v>
      </c>
      <c r="C60" s="2"/>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t="s">
        <v>88</v>
      </c>
      <c r="B61" s="2" t="s">
        <v>89</v>
      </c>
      <c r="C61" s="2"/>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t="s">
        <v>90</v>
      </c>
      <c r="B62" s="2" t="s">
        <v>91</v>
      </c>
      <c r="C62" s="2"/>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t="s">
        <v>92</v>
      </c>
      <c r="B63" s="2" t="s">
        <v>93</v>
      </c>
      <c r="C63" s="2"/>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t="s">
        <v>94</v>
      </c>
      <c r="B64" s="2"/>
      <c r="C64" s="2"/>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t="s">
        <v>95</v>
      </c>
      <c r="B65" s="2"/>
      <c r="C65" s="2"/>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t="s">
        <v>96</v>
      </c>
      <c r="B66" s="2"/>
      <c r="C66" s="2"/>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t="s">
        <v>97</v>
      </c>
      <c r="B67" s="2"/>
      <c r="C67" s="2"/>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t="s">
        <v>98</v>
      </c>
      <c r="B68" s="2"/>
      <c r="C68" s="2"/>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t="s">
        <v>99</v>
      </c>
      <c r="B69" s="2"/>
      <c r="C69" s="2"/>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t="s">
        <v>100</v>
      </c>
      <c r="B70" s="2"/>
      <c r="C70" s="2"/>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t="s">
        <v>101</v>
      </c>
      <c r="B71" s="2"/>
      <c r="C71" s="2"/>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t="s">
        <v>102</v>
      </c>
      <c r="B72" s="2"/>
      <c r="C72" s="2"/>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t="s">
        <v>103</v>
      </c>
      <c r="B73" s="2"/>
      <c r="C73" s="2"/>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t="s">
        <v>104</v>
      </c>
      <c r="B74" s="2"/>
      <c r="C74" s="2"/>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t="s">
        <v>105</v>
      </c>
      <c r="B75" s="2"/>
      <c r="C75" s="2"/>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t="s">
        <v>106</v>
      </c>
      <c r="B76" s="2"/>
      <c r="C76" s="2"/>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t="s">
        <v>107</v>
      </c>
      <c r="B77" s="2"/>
      <c r="C77" s="2"/>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t="s">
        <v>108</v>
      </c>
      <c r="B78" s="2"/>
      <c r="C78" s="2"/>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t="s">
        <v>109</v>
      </c>
      <c r="B79" s="2"/>
      <c r="C79" s="2"/>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t="s">
        <v>110</v>
      </c>
      <c r="B80" s="2"/>
      <c r="C80" s="2"/>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t="s">
        <v>111</v>
      </c>
      <c r="B81" s="2"/>
      <c r="C81" s="2"/>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t="s">
        <v>112</v>
      </c>
      <c r="B82" s="2"/>
      <c r="C82" s="2"/>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t="s">
        <v>113</v>
      </c>
      <c r="B83" s="2"/>
      <c r="C83" s="2"/>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t="s">
        <v>114</v>
      </c>
      <c r="B84" s="2"/>
      <c r="C84" s="2"/>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t="s">
        <v>115</v>
      </c>
      <c r="B85" s="2"/>
      <c r="C85" s="2"/>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t="s">
        <v>116</v>
      </c>
      <c r="B86" s="2"/>
      <c r="C86" s="2"/>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t="s">
        <v>117</v>
      </c>
      <c r="B87" s="2"/>
      <c r="C87" s="2"/>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t="s">
        <v>118</v>
      </c>
      <c r="B88" s="2"/>
      <c r="C88" s="2"/>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t="s">
        <v>119</v>
      </c>
      <c r="B89" s="2"/>
      <c r="C89" s="2"/>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t="s">
        <v>120</v>
      </c>
      <c r="B90" s="2"/>
      <c r="C90" s="2"/>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t="s">
        <v>121</v>
      </c>
      <c r="B91" s="2"/>
      <c r="C91" s="2"/>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t="s">
        <v>122</v>
      </c>
      <c r="B92" s="2"/>
      <c r="C92" s="2"/>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t="s">
        <v>123</v>
      </c>
      <c r="B93" s="2"/>
      <c r="C93" s="2"/>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t="s">
        <v>124</v>
      </c>
      <c r="B94" s="2"/>
      <c r="C94" s="2"/>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t="s">
        <v>125</v>
      </c>
      <c r="B95" s="2"/>
      <c r="C95" s="2"/>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2" t="s">
        <v>152</v>
      </c>
      <c r="B96" s="2"/>
      <c r="C96" s="2"/>
      <c r="D96" s="3"/>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2"/>
      <c r="C97" s="2"/>
      <c r="D97" s="3"/>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2"/>
      <c r="C98" s="2"/>
      <c r="D98" s="3"/>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2"/>
      <c r="C99" s="2"/>
      <c r="D99" s="3"/>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2"/>
      <c r="C100" s="2"/>
      <c r="D100" s="3"/>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2"/>
      <c r="C101" s="2"/>
      <c r="D101" s="3"/>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2"/>
      <c r="C102" s="2"/>
      <c r="D102" s="3"/>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2"/>
      <c r="C103" s="2"/>
      <c r="D103" s="3"/>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2"/>
      <c r="C104" s="2"/>
      <c r="D104" s="3"/>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2"/>
      <c r="C105" s="2"/>
      <c r="D105" s="3"/>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2"/>
      <c r="C106" s="2"/>
      <c r="D106" s="3"/>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2"/>
      <c r="C107" s="2"/>
      <c r="D107" s="4"/>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2"/>
      <c r="C108" s="2"/>
      <c r="D108" s="4"/>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2"/>
      <c r="C109" s="2"/>
      <c r="D109" s="4"/>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2"/>
      <c r="C110" s="2"/>
      <c r="D110" s="4"/>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2"/>
      <c r="C111" s="2"/>
      <c r="D111" s="4"/>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2"/>
      <c r="C112" s="2"/>
      <c r="D112" s="4"/>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2"/>
      <c r="C113" s="2"/>
      <c r="D113" s="3"/>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2"/>
      <c r="C114" s="2"/>
      <c r="D114" s="3"/>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2"/>
      <c r="C115" s="2"/>
      <c r="D115" s="3"/>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2"/>
      <c r="C116" s="2"/>
      <c r="D116" s="3"/>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2"/>
      <c r="C117" s="2"/>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2"/>
      <c r="C118" s="2"/>
      <c r="D118" s="3"/>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2"/>
      <c r="C119" s="2"/>
      <c r="D119" s="3"/>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2"/>
      <c r="C120" s="2"/>
      <c r="D120" s="3"/>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2"/>
      <c r="C121" s="2"/>
      <c r="D121" s="3"/>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2"/>
      <c r="C122" s="2"/>
      <c r="D122" s="3"/>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2"/>
      <c r="C123" s="2"/>
      <c r="D123" s="3"/>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2"/>
      <c r="C124" s="2"/>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2"/>
      <c r="C125" s="2"/>
      <c r="D125" s="3"/>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2"/>
      <c r="C126" s="2"/>
      <c r="D126" s="3"/>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2"/>
      <c r="C127" s="2"/>
      <c r="D127" s="3"/>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2"/>
      <c r="C128" s="2"/>
      <c r="D128" s="3"/>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2"/>
      <c r="C129" s="2"/>
      <c r="D129" s="3"/>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2"/>
      <c r="C130" s="2"/>
      <c r="D130" s="3"/>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2"/>
      <c r="C131" s="2"/>
      <c r="D131" s="3"/>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2"/>
      <c r="C132" s="2"/>
      <c r="D132" s="3"/>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2"/>
      <c r="C133" s="2"/>
      <c r="D133" s="3"/>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2"/>
      <c r="C134" s="2"/>
      <c r="D134" s="3"/>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2"/>
      <c r="C135" s="2"/>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2"/>
      <c r="C136" s="2"/>
      <c r="D136" s="3"/>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2"/>
      <c r="C137" s="2"/>
      <c r="D137" s="3"/>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2"/>
      <c r="C138" s="2"/>
      <c r="D138" s="3"/>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2"/>
      <c r="C139" s="2"/>
      <c r="D139" s="3"/>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2"/>
      <c r="C140" s="2"/>
      <c r="D140" s="3"/>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2"/>
      <c r="C141" s="2"/>
      <c r="D141" s="3"/>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2"/>
      <c r="C142" s="2"/>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2"/>
      <c r="C143" s="2"/>
      <c r="D143" s="3"/>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2"/>
      <c r="C144" s="2"/>
      <c r="D144" s="3"/>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2"/>
      <c r="C145" s="2"/>
      <c r="D145" s="3"/>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2"/>
      <c r="C146" s="2"/>
      <c r="D146" s="3"/>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2"/>
      <c r="C147" s="2"/>
      <c r="D147" s="3"/>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2"/>
      <c r="C148" s="2"/>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2"/>
      <c r="C149" s="2"/>
      <c r="D149" s="3"/>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2"/>
      <c r="C150" s="2"/>
      <c r="D150" s="3"/>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2"/>
      <c r="C151" s="2"/>
      <c r="D151" s="3"/>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2"/>
      <c r="C152" s="2"/>
      <c r="D152" s="3"/>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2"/>
      <c r="C153" s="2"/>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2"/>
      <c r="C154" s="2"/>
      <c r="D154" s="3"/>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2"/>
      <c r="C155" s="2"/>
      <c r="D155" s="3"/>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2"/>
      <c r="C156" s="2"/>
      <c r="D156" s="3"/>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2"/>
      <c r="C157" s="2"/>
      <c r="D157" s="3"/>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2"/>
      <c r="C158" s="2"/>
      <c r="D158" s="3"/>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2"/>
      <c r="C159" s="2"/>
      <c r="D159" s="3"/>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2"/>
      <c r="C160" s="2"/>
      <c r="D160" s="3"/>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2"/>
      <c r="C161" s="2"/>
      <c r="D161" s="3"/>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2"/>
      <c r="C162" s="2"/>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2"/>
      <c r="C163" s="2"/>
      <c r="D163" s="3"/>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2"/>
      <c r="C164" s="2"/>
      <c r="D164" s="3"/>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2"/>
      <c r="C165" s="2"/>
      <c r="D165" s="3"/>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2"/>
      <c r="C166" s="2"/>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2"/>
      <c r="C167" s="2"/>
      <c r="D167" s="3"/>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2"/>
      <c r="C168" s="2"/>
      <c r="D168" s="3"/>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2"/>
      <c r="C169" s="2"/>
      <c r="D169" s="3"/>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2"/>
      <c r="C170" s="2"/>
      <c r="D170" s="3"/>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2"/>
      <c r="C171" s="2"/>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2"/>
      <c r="C172" s="2"/>
      <c r="D172" s="3"/>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2"/>
      <c r="C173" s="2"/>
      <c r="D173" s="3"/>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2"/>
      <c r="C174" s="2"/>
      <c r="D174" s="3"/>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2"/>
      <c r="C175" s="2"/>
      <c r="D175" s="3"/>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2"/>
      <c r="C176" s="2"/>
      <c r="D176" s="3"/>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2"/>
      <c r="C177" s="2"/>
      <c r="D177" s="3"/>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2"/>
      <c r="C178" s="2"/>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2"/>
      <c r="C179" s="2"/>
      <c r="D179" s="3"/>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2"/>
      <c r="C180" s="2"/>
      <c r="D180" s="3"/>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2"/>
      <c r="C181" s="2"/>
      <c r="D181" s="3"/>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2"/>
      <c r="C182" s="2"/>
      <c r="D182" s="3"/>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2"/>
      <c r="C183" s="2"/>
      <c r="D183" s="3"/>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2"/>
      <c r="C184" s="2"/>
      <c r="D184" s="3"/>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2"/>
      <c r="C185" s="2"/>
      <c r="D185" s="3"/>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2"/>
      <c r="C186" s="2"/>
      <c r="D186" s="3"/>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2"/>
      <c r="C187" s="2"/>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2"/>
      <c r="C188" s="2"/>
      <c r="D188" s="3"/>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2"/>
      <c r="C189" s="2"/>
      <c r="D189" s="3"/>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2"/>
      <c r="C190" s="2"/>
      <c r="D190" s="3"/>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2"/>
      <c r="C191" s="2"/>
      <c r="D191" s="3"/>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2"/>
      <c r="C192" s="2"/>
      <c r="D192" s="3"/>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2"/>
      <c r="C193" s="2"/>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2"/>
      <c r="C194" s="2"/>
      <c r="D194" s="3"/>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2"/>
      <c r="C195" s="2"/>
      <c r="D195" s="3"/>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2"/>
      <c r="C196" s="2"/>
      <c r="D196" s="3"/>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2"/>
      <c r="C197" s="2"/>
      <c r="D197" s="3"/>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2"/>
      <c r="C198" s="2"/>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2"/>
      <c r="C199" s="2"/>
      <c r="D199" s="3"/>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2"/>
      <c r="C200" s="2"/>
      <c r="D200" s="3"/>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2"/>
      <c r="C201" s="2"/>
      <c r="D201" s="3"/>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2"/>
      <c r="C202" s="2"/>
      <c r="D202" s="3"/>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2"/>
      <c r="C203" s="2"/>
      <c r="D203" s="3"/>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2"/>
      <c r="C204" s="2"/>
      <c r="D204" s="3"/>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2"/>
      <c r="C205" s="2"/>
      <c r="D205" s="3"/>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2"/>
      <c r="C206" s="2"/>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2"/>
      <c r="C207" s="2"/>
      <c r="D207" s="3"/>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2"/>
      <c r="C208" s="2"/>
      <c r="D208" s="3"/>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2"/>
      <c r="C209" s="2"/>
      <c r="D209" s="3"/>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2"/>
      <c r="C210" s="2"/>
      <c r="D210" s="3"/>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2"/>
      <c r="C211" s="2"/>
      <c r="D211" s="3"/>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2"/>
      <c r="C212" s="2"/>
      <c r="D212" s="3"/>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2"/>
      <c r="C213" s="2"/>
      <c r="D213" s="3"/>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2"/>
      <c r="C214" s="2"/>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2"/>
      <c r="C215" s="2"/>
      <c r="D215" s="3"/>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2"/>
      <c r="C216" s="2"/>
      <c r="D216" s="3"/>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2"/>
      <c r="C217" s="2"/>
      <c r="D217" s="3"/>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2"/>
      <c r="C218" s="2"/>
      <c r="D218" s="3"/>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2"/>
      <c r="C219" s="2"/>
      <c r="D219" s="3"/>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2"/>
      <c r="C220" s="2"/>
      <c r="D220" s="3"/>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2"/>
      <c r="C221" s="2"/>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2"/>
      <c r="C222" s="2"/>
      <c r="D222" s="3"/>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2"/>
      <c r="C223" s="2"/>
      <c r="D223" s="3"/>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2"/>
      <c r="C224" s="2"/>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2"/>
      <c r="C225" s="2"/>
      <c r="D225" s="3"/>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2"/>
      <c r="C226" s="2"/>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2"/>
      <c r="C227" s="2"/>
      <c r="D227" s="3"/>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2"/>
      <c r="C228" s="2"/>
      <c r="D228" s="3"/>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2"/>
      <c r="C229" s="2"/>
      <c r="D229" s="3"/>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2"/>
      <c r="C230" s="2"/>
      <c r="D230" s="3"/>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2"/>
      <c r="C231" s="2"/>
      <c r="D231" s="3"/>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2"/>
      <c r="C232" s="2"/>
      <c r="D232" s="3"/>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2"/>
      <c r="C233" s="2"/>
      <c r="D233" s="3"/>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2"/>
      <c r="C234" s="2"/>
      <c r="D234" s="3"/>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2"/>
      <c r="C235" s="2"/>
      <c r="D235" s="3"/>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2"/>
      <c r="C236" s="2"/>
      <c r="D236" s="3"/>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2"/>
      <c r="C237" s="2"/>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2"/>
      <c r="C238" s="2"/>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2"/>
      <c r="C239" s="2"/>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2"/>
      <c r="C240" s="2"/>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2"/>
      <c r="C241" s="2"/>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2"/>
      <c r="C242" s="2"/>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2"/>
      <c r="C243" s="2"/>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2"/>
      <c r="C244" s="2"/>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2"/>
      <c r="C245" s="2"/>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2"/>
      <c r="C246" s="2"/>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2"/>
      <c r="C247" s="2"/>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2"/>
      <c r="C248" s="2"/>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2"/>
      <c r="C249" s="2"/>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2"/>
      <c r="C250" s="2"/>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2"/>
      <c r="C251" s="2"/>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2"/>
      <c r="C252" s="2"/>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2"/>
      <c r="C253" s="2"/>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2"/>
      <c r="C254" s="2"/>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2"/>
      <c r="C255" s="2"/>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2"/>
      <c r="C256" s="2"/>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2"/>
      <c r="C257" s="2"/>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2"/>
      <c r="C258" s="2"/>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2"/>
      <c r="C259" s="2"/>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2"/>
      <c r="C260" s="2"/>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2"/>
      <c r="C261" s="2"/>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2"/>
      <c r="C262" s="2"/>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2"/>
      <c r="C263" s="2"/>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2"/>
      <c r="C264" s="2"/>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2"/>
      <c r="C265" s="2"/>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2"/>
      <c r="C266" s="2"/>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2"/>
      <c r="C267" s="2"/>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2"/>
      <c r="C268" s="2"/>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2"/>
      <c r="C269" s="2"/>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2"/>
      <c r="C270" s="2"/>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2"/>
      <c r="C271" s="2"/>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2"/>
      <c r="C272" s="2"/>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2"/>
      <c r="C273" s="2"/>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2"/>
      <c r="C274" s="2"/>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2"/>
      <c r="C275" s="2"/>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2"/>
      <c r="C276" s="2"/>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2"/>
      <c r="C277" s="2"/>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2"/>
      <c r="C278" s="2"/>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2"/>
      <c r="C279" s="2"/>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2"/>
      <c r="C280" s="2"/>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2"/>
      <c r="C281" s="2"/>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2"/>
      <c r="C282" s="2"/>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2"/>
      <c r="C283" s="2"/>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2"/>
      <c r="C284" s="2"/>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2"/>
      <c r="C285" s="2"/>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2"/>
      <c r="C286" s="2"/>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2"/>
      <c r="C287" s="2"/>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2"/>
      <c r="C288" s="2"/>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2"/>
      <c r="C289" s="2"/>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2"/>
      <c r="C290" s="2"/>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2"/>
      <c r="C291" s="2"/>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2"/>
      <c r="C292" s="2"/>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2"/>
      <c r="C293" s="2"/>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2"/>
      <c r="C294" s="2"/>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2"/>
      <c r="C295" s="2"/>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2"/>
      <c r="C296" s="2"/>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2"/>
      <c r="C297" s="2"/>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2"/>
      <c r="C298" s="2"/>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2"/>
      <c r="C299" s="2"/>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2"/>
      <c r="C300" s="2"/>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2"/>
      <c r="C301" s="2"/>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2"/>
      <c r="C302" s="2"/>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2"/>
      <c r="C303" s="2"/>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2"/>
      <c r="C304" s="2"/>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2"/>
      <c r="C305" s="2"/>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2"/>
      <c r="C306" s="2"/>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2"/>
      <c r="C307" s="2"/>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2"/>
      <c r="C308" s="2"/>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2"/>
      <c r="C309" s="2"/>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2"/>
      <c r="C310" s="2"/>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2"/>
      <c r="C311" s="2"/>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2"/>
      <c r="C312" s="2"/>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2"/>
      <c r="C313" s="2"/>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2"/>
      <c r="C314" s="2"/>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2"/>
      <c r="C315" s="2"/>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2"/>
      <c r="C316" s="2"/>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2"/>
      <c r="C317" s="2"/>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2"/>
      <c r="C318" s="2"/>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2"/>
      <c r="C319" s="2"/>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2"/>
      <c r="C320" s="2"/>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2"/>
      <c r="C321" s="2"/>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2"/>
      <c r="C322" s="2"/>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2"/>
      <c r="C323" s="2"/>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2"/>
      <c r="C324" s="2"/>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2"/>
      <c r="C325" s="2"/>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2"/>
      <c r="C326" s="2"/>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2"/>
      <c r="C327" s="2"/>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2"/>
      <c r="C328" s="2"/>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2"/>
      <c r="C329" s="2"/>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2"/>
      <c r="C330" s="2"/>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2"/>
      <c r="C331" s="2"/>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2"/>
      <c r="C332" s="2"/>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2"/>
      <c r="C333" s="2"/>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2"/>
      <c r="C334" s="2"/>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2"/>
      <c r="C335" s="2"/>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2"/>
      <c r="C336" s="2"/>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2"/>
      <c r="C337" s="2"/>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2"/>
      <c r="C338" s="2"/>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2"/>
      <c r="C339" s="2"/>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2"/>
      <c r="C340" s="2"/>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2"/>
      <c r="C341" s="2"/>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2"/>
      <c r="C342" s="2"/>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2"/>
      <c r="C343" s="2"/>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2"/>
      <c r="C344" s="2"/>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2"/>
      <c r="C345" s="2"/>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2"/>
      <c r="C346" s="2"/>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2"/>
      <c r="C347" s="2"/>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2"/>
      <c r="C348" s="2"/>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2"/>
      <c r="C349" s="2"/>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2"/>
      <c r="C350" s="2"/>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2"/>
      <c r="C351" s="2"/>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2"/>
      <c r="C352" s="2"/>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2"/>
      <c r="C353" s="2"/>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2"/>
      <c r="C354" s="2"/>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2"/>
      <c r="C355" s="2"/>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2"/>
      <c r="C356" s="2"/>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2"/>
      <c r="C357" s="2"/>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2"/>
      <c r="C358" s="2"/>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2"/>
      <c r="C359" s="2"/>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2"/>
      <c r="C360" s="2"/>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2"/>
      <c r="C361" s="2"/>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2"/>
      <c r="C362" s="2"/>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2"/>
      <c r="C363" s="2"/>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2"/>
      <c r="C364" s="2"/>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2"/>
      <c r="C365" s="2"/>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2"/>
      <c r="C366" s="2"/>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2"/>
      <c r="C367" s="2"/>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2"/>
      <c r="C368" s="2"/>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2"/>
      <c r="C369" s="2"/>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2"/>
      <c r="C370" s="2"/>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2"/>
      <c r="C371" s="2"/>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2"/>
      <c r="C372" s="2"/>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2"/>
      <c r="C373" s="2"/>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2"/>
      <c r="C374" s="2"/>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2"/>
      <c r="C375" s="2"/>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2"/>
      <c r="C376" s="2"/>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2"/>
      <c r="C377" s="2"/>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2"/>
      <c r="C378" s="2"/>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2"/>
      <c r="C379" s="2"/>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2"/>
      <c r="C380" s="2"/>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2"/>
      <c r="C381" s="2"/>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2"/>
      <c r="C382" s="2"/>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2"/>
      <c r="C383" s="2"/>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2"/>
      <c r="C384" s="2"/>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2"/>
      <c r="C385" s="2"/>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2"/>
      <c r="C386" s="2"/>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2"/>
      <c r="C387" s="2"/>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2"/>
      <c r="C388" s="2"/>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2"/>
      <c r="C389" s="2"/>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2"/>
      <c r="C390" s="2"/>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2"/>
      <c r="C391" s="2"/>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2"/>
      <c r="C392" s="2"/>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2"/>
      <c r="C393" s="2"/>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2"/>
      <c r="C394" s="2"/>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2"/>
      <c r="C395" s="2"/>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2"/>
      <c r="C396" s="2"/>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2"/>
      <c r="C397" s="2"/>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2"/>
      <c r="C398" s="2"/>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2"/>
      <c r="C399" s="2"/>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2"/>
      <c r="C400" s="2"/>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2"/>
      <c r="C401" s="2"/>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2"/>
      <c r="C402" s="2"/>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2"/>
      <c r="C403" s="2"/>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2"/>
      <c r="C404" s="2"/>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2"/>
      <c r="C405" s="2"/>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2"/>
      <c r="C406" s="2"/>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2"/>
      <c r="C407" s="2"/>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2"/>
      <c r="C408" s="2"/>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2"/>
      <c r="C409" s="2"/>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2"/>
      <c r="C410" s="2"/>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2"/>
      <c r="C411" s="2"/>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2"/>
      <c r="C412" s="2"/>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2"/>
      <c r="C413" s="2"/>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2"/>
      <c r="C414" s="2"/>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2"/>
      <c r="C415" s="2"/>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2"/>
      <c r="C416" s="2"/>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2"/>
      <c r="C417" s="2"/>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2"/>
      <c r="C418" s="2"/>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2"/>
      <c r="C419" s="2"/>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2"/>
      <c r="C420" s="2"/>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2"/>
      <c r="C421" s="2"/>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2"/>
      <c r="C422" s="2"/>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2"/>
      <c r="C423" s="2"/>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2"/>
      <c r="C424" s="2"/>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2"/>
      <c r="C425" s="2"/>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2"/>
      <c r="C426" s="2"/>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2"/>
      <c r="C427" s="2"/>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2"/>
      <c r="C428" s="2"/>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2"/>
      <c r="C429" s="2"/>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2"/>
      <c r="C430" s="2"/>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2"/>
      <c r="C431" s="2"/>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2"/>
      <c r="C432" s="2"/>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2"/>
      <c r="C433" s="2"/>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2"/>
      <c r="C434" s="2"/>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2"/>
      <c r="C435" s="2"/>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2"/>
      <c r="C436" s="2"/>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2"/>
      <c r="C437" s="2"/>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2"/>
      <c r="C438" s="2"/>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2"/>
      <c r="C439" s="2"/>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2"/>
      <c r="C440" s="2"/>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2"/>
      <c r="C441" s="2"/>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2"/>
      <c r="C442" s="2"/>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2"/>
      <c r="C443" s="2"/>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2"/>
      <c r="C444" s="2"/>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2"/>
      <c r="C445" s="2"/>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2"/>
      <c r="C446" s="2"/>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2"/>
      <c r="C447" s="2"/>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2"/>
      <c r="C448" s="2"/>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2"/>
      <c r="C449" s="2"/>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2"/>
      <c r="C450" s="2"/>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2"/>
      <c r="C451" s="2"/>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2"/>
      <c r="C452" s="2"/>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2"/>
      <c r="C453" s="2"/>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2"/>
      <c r="C454" s="2"/>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2"/>
      <c r="C455" s="2"/>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2"/>
      <c r="C456" s="2"/>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2"/>
      <c r="C457" s="2"/>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2"/>
      <c r="C458" s="2"/>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2"/>
      <c r="C459" s="2"/>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2"/>
      <c r="C460" s="2"/>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2"/>
      <c r="C461" s="2"/>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2"/>
      <c r="C462" s="2"/>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2"/>
      <c r="C463" s="2"/>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2"/>
      <c r="C464" s="2"/>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2"/>
      <c r="C465" s="2"/>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2"/>
      <c r="C466" s="2"/>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2"/>
      <c r="C467" s="2"/>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2"/>
      <c r="C468" s="2"/>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2"/>
      <c r="C469" s="2"/>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2"/>
      <c r="C470" s="2"/>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2"/>
      <c r="C471" s="2"/>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2"/>
      <c r="C472" s="2"/>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2"/>
      <c r="C473" s="2"/>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2"/>
      <c r="C474" s="2"/>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2"/>
      <c r="C475" s="2"/>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2"/>
      <c r="C476" s="2"/>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2"/>
      <c r="C477" s="2"/>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2"/>
      <c r="C478" s="2"/>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2"/>
      <c r="C479" s="2"/>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2"/>
      <c r="C480" s="2"/>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2"/>
      <c r="C481" s="2"/>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2"/>
      <c r="C482" s="2"/>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2"/>
      <c r="C483" s="2"/>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2"/>
      <c r="C484" s="2"/>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2"/>
      <c r="C485" s="2"/>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2"/>
      <c r="C486" s="2"/>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2"/>
      <c r="C487" s="2"/>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2"/>
      <c r="C488" s="2"/>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2"/>
      <c r="C489" s="2"/>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2"/>
      <c r="C490" s="2"/>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2"/>
      <c r="C491" s="2"/>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2"/>
      <c r="C492" s="2"/>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2"/>
      <c r="C493" s="2"/>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2"/>
      <c r="C494" s="2"/>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2"/>
      <c r="C495" s="2"/>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2"/>
      <c r="C496" s="2"/>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2"/>
      <c r="C497" s="2"/>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2"/>
      <c r="C498" s="2"/>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2"/>
      <c r="C499" s="2"/>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2"/>
      <c r="C500" s="2"/>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2"/>
      <c r="C501" s="2"/>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2"/>
      <c r="C502" s="2"/>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2"/>
      <c r="C503" s="2"/>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2"/>
      <c r="C504" s="2"/>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2"/>
      <c r="C505" s="2"/>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2"/>
      <c r="C506" s="2"/>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2"/>
      <c r="C507" s="2"/>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2"/>
      <c r="C508" s="2"/>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2"/>
      <c r="C509" s="2"/>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2"/>
      <c r="C510" s="2"/>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2"/>
      <c r="C511" s="2"/>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2"/>
      <c r="C512" s="2"/>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2"/>
      <c r="C513" s="2"/>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2"/>
      <c r="C514" s="2"/>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2"/>
      <c r="C515" s="2"/>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2"/>
      <c r="C516" s="2"/>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2"/>
      <c r="C517" s="2"/>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2"/>
      <c r="C518" s="2"/>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2"/>
      <c r="C519" s="2"/>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2"/>
      <c r="C520" s="2"/>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2"/>
      <c r="C521" s="2"/>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2"/>
      <c r="C522" s="2"/>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2"/>
      <c r="C523" s="2"/>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2"/>
      <c r="C524" s="2"/>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2"/>
      <c r="C525" s="2"/>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2"/>
      <c r="C526" s="2"/>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2"/>
      <c r="C527" s="2"/>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2"/>
      <c r="C528" s="2"/>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2"/>
      <c r="C529" s="2"/>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2"/>
      <c r="C530" s="2"/>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2"/>
      <c r="C531" s="2"/>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2"/>
      <c r="C532" s="2"/>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2"/>
      <c r="C533" s="2"/>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2"/>
      <c r="C534" s="2"/>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2"/>
      <c r="C535" s="2"/>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2"/>
      <c r="C536" s="2"/>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2"/>
      <c r="C537" s="2"/>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2"/>
      <c r="C538" s="2"/>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2"/>
      <c r="C539" s="2"/>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2"/>
      <c r="C540" s="2"/>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2"/>
      <c r="C541" s="2"/>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2"/>
      <c r="C542" s="2"/>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2"/>
      <c r="C543" s="2"/>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2"/>
      <c r="C544" s="2"/>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2"/>
      <c r="C545" s="2"/>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2"/>
      <c r="C546" s="2"/>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2"/>
      <c r="C547" s="2"/>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2"/>
      <c r="C548" s="2"/>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2"/>
      <c r="C549" s="2"/>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2"/>
      <c r="C550" s="2"/>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2"/>
      <c r="C551" s="2"/>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2"/>
      <c r="C552" s="2"/>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2"/>
      <c r="C553" s="2"/>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2"/>
      <c r="C554" s="2"/>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2"/>
      <c r="C555" s="2"/>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2"/>
      <c r="C556" s="2"/>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2"/>
      <c r="C557" s="2"/>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2"/>
      <c r="C558" s="2"/>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2"/>
      <c r="C559" s="2"/>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2"/>
      <c r="C560" s="2"/>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2"/>
      <c r="C561" s="2"/>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2"/>
      <c r="C562" s="2"/>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2"/>
      <c r="C563" s="2"/>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2"/>
      <c r="C564" s="2"/>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2"/>
      <c r="C565" s="2"/>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2"/>
      <c r="C566" s="2"/>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2"/>
      <c r="C567" s="2"/>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2"/>
      <c r="C568" s="2"/>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2"/>
      <c r="C569" s="2"/>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2"/>
      <c r="C570" s="2"/>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2"/>
      <c r="C571" s="2"/>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2"/>
      <c r="C572" s="2"/>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2"/>
      <c r="C573" s="2"/>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2"/>
      <c r="C574" s="2"/>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2"/>
      <c r="C575" s="2"/>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2"/>
      <c r="C576" s="2"/>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2"/>
      <c r="C577" s="2"/>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2"/>
      <c r="C578" s="2"/>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2"/>
      <c r="C579" s="2"/>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2"/>
      <c r="C580" s="2"/>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2"/>
      <c r="C581" s="2"/>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2"/>
      <c r="C582" s="2"/>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2"/>
      <c r="C583" s="2"/>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2"/>
      <c r="C584" s="2"/>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2"/>
      <c r="C585" s="2"/>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2"/>
      <c r="C586" s="2"/>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2"/>
      <c r="C587" s="2"/>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2"/>
      <c r="C588" s="2"/>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2"/>
      <c r="C589" s="2"/>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2"/>
      <c r="C590" s="2"/>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2"/>
      <c r="C591" s="2"/>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2"/>
      <c r="C592" s="2"/>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2"/>
      <c r="C593" s="2"/>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2"/>
      <c r="C594" s="2"/>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2"/>
      <c r="C595" s="2"/>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2"/>
      <c r="C596" s="2"/>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2"/>
      <c r="C597" s="2"/>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2"/>
      <c r="C598" s="2"/>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2"/>
      <c r="C599" s="2"/>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2"/>
      <c r="C600" s="2"/>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2"/>
      <c r="C601" s="2"/>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2"/>
      <c r="C602" s="2"/>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2"/>
      <c r="C603" s="2"/>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2"/>
      <c r="C604" s="2"/>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2"/>
      <c r="C605" s="2"/>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2"/>
      <c r="C606" s="2"/>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2"/>
      <c r="C607" s="2"/>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2"/>
      <c r="C608" s="2"/>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2"/>
      <c r="C609" s="2"/>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2"/>
      <c r="C610" s="2"/>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2"/>
      <c r="C611" s="2"/>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2"/>
      <c r="C612" s="2"/>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2"/>
      <c r="C613" s="2"/>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2"/>
      <c r="C614" s="2"/>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2"/>
      <c r="C615" s="2"/>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2"/>
      <c r="C616" s="2"/>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2"/>
      <c r="C617" s="2"/>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2"/>
      <c r="C618" s="2"/>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2"/>
      <c r="C619" s="2"/>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2"/>
      <c r="C620" s="2"/>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2"/>
      <c r="C621" s="2"/>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2"/>
      <c r="C622" s="2"/>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2"/>
      <c r="C623" s="2"/>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2"/>
      <c r="C624" s="2"/>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2"/>
      <c r="C625" s="2"/>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2"/>
      <c r="C626" s="2"/>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2"/>
      <c r="C627" s="2"/>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2"/>
      <c r="C628" s="2"/>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2"/>
      <c r="C629" s="2"/>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2"/>
      <c r="C630" s="2"/>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2"/>
      <c r="C631" s="2"/>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2"/>
      <c r="C632" s="2"/>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2"/>
      <c r="C633" s="2"/>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2"/>
      <c r="C634" s="2"/>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2"/>
      <c r="C635" s="2"/>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2"/>
      <c r="C636" s="2"/>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2"/>
      <c r="C637" s="2"/>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2"/>
      <c r="C638" s="2"/>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2"/>
      <c r="C639" s="2"/>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2"/>
      <c r="C640" s="2"/>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2"/>
      <c r="C641" s="2"/>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2"/>
      <c r="C642" s="2"/>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2"/>
      <c r="C643" s="2"/>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2"/>
      <c r="C644" s="2"/>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2"/>
      <c r="C645" s="2"/>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2"/>
      <c r="C646" s="2"/>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2"/>
      <c r="C647" s="2"/>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2"/>
      <c r="C648" s="2"/>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2"/>
      <c r="C649" s="2"/>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2"/>
      <c r="C650" s="2"/>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2"/>
      <c r="C651" s="2"/>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2"/>
      <c r="C652" s="2"/>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2"/>
      <c r="C653" s="2"/>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2"/>
      <c r="C654" s="2"/>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2"/>
      <c r="C655" s="2"/>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2"/>
      <c r="C656" s="2"/>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2"/>
      <c r="C657" s="2"/>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2"/>
      <c r="C658" s="2"/>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2"/>
      <c r="C659" s="2"/>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2"/>
      <c r="C660" s="2"/>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2"/>
      <c r="C661" s="2"/>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2"/>
      <c r="C662" s="2"/>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2"/>
      <c r="C663" s="2"/>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2"/>
      <c r="C664" s="2"/>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2"/>
      <c r="C665" s="2"/>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2"/>
      <c r="C666" s="2"/>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2"/>
      <c r="C667" s="2"/>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2"/>
      <c r="C668" s="2"/>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2"/>
      <c r="C669" s="2"/>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2"/>
      <c r="C670" s="2"/>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2"/>
      <c r="C671" s="2"/>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2"/>
      <c r="C672" s="2"/>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2"/>
      <c r="C673" s="2"/>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2"/>
      <c r="C674" s="2"/>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2"/>
      <c r="C675" s="2"/>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2"/>
      <c r="C676" s="2"/>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2"/>
      <c r="C677" s="2"/>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2"/>
      <c r="C678" s="2"/>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2"/>
      <c r="C679" s="2"/>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2"/>
      <c r="C680" s="2"/>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2"/>
      <c r="C681" s="2"/>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2"/>
      <c r="C682" s="2"/>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2"/>
      <c r="C683" s="2"/>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2"/>
      <c r="C684" s="2"/>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2"/>
      <c r="C685" s="2"/>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2"/>
      <c r="C686" s="2"/>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2"/>
      <c r="C687" s="2"/>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2"/>
      <c r="C688" s="2"/>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2"/>
      <c r="C689" s="2"/>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2"/>
      <c r="C690" s="2"/>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2"/>
      <c r="C691" s="2"/>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2"/>
      <c r="C692" s="2"/>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2"/>
      <c r="C693" s="2"/>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2"/>
      <c r="C694" s="2"/>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2"/>
      <c r="C695" s="2"/>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2"/>
      <c r="C696" s="2"/>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2"/>
      <c r="C697" s="2"/>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2"/>
      <c r="C698" s="2"/>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2"/>
      <c r="C699" s="2"/>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2"/>
      <c r="C700" s="2"/>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2"/>
      <c r="C701" s="2"/>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2"/>
      <c r="C702" s="2"/>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2"/>
      <c r="C703" s="2"/>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2"/>
      <c r="C704" s="2"/>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2"/>
      <c r="C705" s="2"/>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2"/>
      <c r="C706" s="2"/>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2"/>
      <c r="C707" s="2"/>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2"/>
      <c r="C708" s="2"/>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2"/>
      <c r="C709" s="2"/>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2"/>
      <c r="C710" s="2"/>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2"/>
      <c r="C711" s="2"/>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2"/>
      <c r="C712" s="2"/>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2"/>
      <c r="C713" s="2"/>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2"/>
      <c r="C714" s="2"/>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2"/>
      <c r="C715" s="2"/>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2"/>
      <c r="C716" s="2"/>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2"/>
      <c r="C717" s="2"/>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2"/>
      <c r="C718" s="2"/>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2"/>
      <c r="C719" s="2"/>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2"/>
      <c r="C720" s="2"/>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2"/>
      <c r="C721" s="2"/>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2"/>
      <c r="C722" s="2"/>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2"/>
      <c r="C723" s="2"/>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2"/>
      <c r="C724" s="2"/>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2"/>
      <c r="C725" s="2"/>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2"/>
      <c r="C726" s="2"/>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2"/>
      <c r="C727" s="2"/>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2"/>
      <c r="C728" s="2"/>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2"/>
      <c r="C729" s="2"/>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2"/>
      <c r="C730" s="2"/>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2"/>
      <c r="C731" s="2"/>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2"/>
      <c r="C732" s="2"/>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2"/>
      <c r="C733" s="2"/>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2"/>
      <c r="C734" s="2"/>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2"/>
      <c r="C735" s="2"/>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2"/>
      <c r="C736" s="2"/>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2"/>
      <c r="C737" s="2"/>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2"/>
      <c r="C738" s="2"/>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2"/>
      <c r="C739" s="2"/>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2"/>
      <c r="C740" s="2"/>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2"/>
      <c r="C741" s="2"/>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2"/>
      <c r="C742" s="2"/>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2"/>
      <c r="C743" s="2"/>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2"/>
      <c r="C744" s="2"/>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2"/>
      <c r="C745" s="2"/>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2"/>
      <c r="C746" s="2"/>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2"/>
      <c r="C747" s="2"/>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2"/>
      <c r="C748" s="2"/>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2"/>
      <c r="C749" s="2"/>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2"/>
      <c r="C750" s="2"/>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2"/>
      <c r="C751" s="2"/>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2"/>
      <c r="C752" s="2"/>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2"/>
      <c r="C753" s="2"/>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2"/>
      <c r="C754" s="2"/>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2"/>
      <c r="C755" s="2"/>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2"/>
      <c r="C756" s="2"/>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2"/>
      <c r="C757" s="2"/>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2"/>
      <c r="C758" s="2"/>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2"/>
      <c r="C759" s="2"/>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2"/>
      <c r="C760" s="2"/>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2"/>
      <c r="C761" s="2"/>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2"/>
      <c r="C762" s="2"/>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2"/>
      <c r="C763" s="2"/>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2"/>
      <c r="C764" s="2"/>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2"/>
      <c r="C765" s="2"/>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2"/>
      <c r="C766" s="2"/>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2"/>
      <c r="C767" s="2"/>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2"/>
      <c r="C768" s="2"/>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2"/>
      <c r="C769" s="2"/>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2"/>
      <c r="C770" s="2"/>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2"/>
      <c r="C771" s="2"/>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2"/>
      <c r="C772" s="2"/>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2"/>
      <c r="C773" s="2"/>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2"/>
      <c r="C774" s="2"/>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2"/>
      <c r="C775" s="2"/>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2"/>
      <c r="C776" s="2"/>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2"/>
      <c r="C777" s="2"/>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2"/>
      <c r="C778" s="2"/>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2"/>
      <c r="C779" s="2"/>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2"/>
      <c r="C780" s="2"/>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2"/>
      <c r="C781" s="2"/>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2"/>
      <c r="C782" s="2"/>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2"/>
      <c r="C783" s="2"/>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2"/>
      <c r="C784" s="2"/>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2"/>
      <c r="C785" s="2"/>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2"/>
      <c r="C786" s="2"/>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2"/>
      <c r="C787" s="2"/>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2"/>
      <c r="C788" s="2"/>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2"/>
      <c r="C789" s="2"/>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2"/>
      <c r="C790" s="2"/>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2"/>
      <c r="C791" s="2"/>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2"/>
      <c r="C792" s="2"/>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2"/>
      <c r="C793" s="2"/>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2"/>
      <c r="C794" s="2"/>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2"/>
      <c r="C795" s="2"/>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2"/>
      <c r="C796" s="2"/>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2"/>
      <c r="C797" s="2"/>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2"/>
      <c r="C798" s="2"/>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2"/>
      <c r="C799" s="2"/>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2"/>
      <c r="C800" s="2"/>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2"/>
      <c r="C801" s="2"/>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2"/>
      <c r="C802" s="2"/>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2"/>
      <c r="C803" s="2"/>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2"/>
      <c r="C804" s="2"/>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2"/>
      <c r="C805" s="2"/>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2"/>
      <c r="C806" s="2"/>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2"/>
      <c r="C807" s="2"/>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2"/>
      <c r="C808" s="2"/>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2"/>
      <c r="C809" s="2"/>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2"/>
      <c r="C810" s="2"/>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2"/>
      <c r="C811" s="2"/>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2"/>
      <c r="C812" s="2"/>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2"/>
      <c r="C813" s="2"/>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2"/>
      <c r="C814" s="2"/>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2"/>
      <c r="C815" s="2"/>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2"/>
      <c r="C816" s="2"/>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2"/>
      <c r="C817" s="2"/>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2"/>
      <c r="C818" s="2"/>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2"/>
      <c r="C819" s="2"/>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2"/>
      <c r="C820" s="2"/>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2"/>
      <c r="C821" s="2"/>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2"/>
      <c r="C822" s="2"/>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2"/>
      <c r="C823" s="2"/>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2"/>
      <c r="C824" s="2"/>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2"/>
      <c r="C825" s="2"/>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2"/>
      <c r="C826" s="2"/>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2"/>
      <c r="C827" s="2"/>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2"/>
      <c r="C828" s="2"/>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2"/>
      <c r="C829" s="2"/>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2"/>
      <c r="C830" s="2"/>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2"/>
      <c r="C831" s="2"/>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2"/>
      <c r="C832" s="2"/>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2"/>
      <c r="C833" s="2"/>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2"/>
      <c r="C834" s="2"/>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2"/>
      <c r="C835" s="2"/>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2"/>
      <c r="C836" s="2"/>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2"/>
      <c r="C837" s="2"/>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2"/>
      <c r="C838" s="2"/>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2"/>
      <c r="C839" s="2"/>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2"/>
      <c r="C840" s="2"/>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2"/>
      <c r="C841" s="2"/>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2"/>
      <c r="C842" s="2"/>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2"/>
      <c r="C843" s="2"/>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2"/>
      <c r="C844" s="2"/>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2"/>
      <c r="C845" s="2"/>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2"/>
      <c r="C846" s="2"/>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2"/>
      <c r="C847" s="2"/>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2"/>
      <c r="C848" s="2"/>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2"/>
      <c r="C849" s="2"/>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2"/>
      <c r="C850" s="2"/>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2"/>
      <c r="C851" s="2"/>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2"/>
      <c r="C852" s="2"/>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2"/>
      <c r="C853" s="2"/>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2"/>
      <c r="C854" s="2"/>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2"/>
      <c r="C855" s="2"/>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2"/>
      <c r="C856" s="2"/>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2"/>
      <c r="C857" s="2"/>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2"/>
      <c r="C858" s="2"/>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2"/>
      <c r="C859" s="2"/>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2"/>
      <c r="C860" s="2"/>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2"/>
      <c r="C861" s="2"/>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2"/>
      <c r="C862" s="2"/>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2"/>
      <c r="C863" s="2"/>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2"/>
      <c r="C864" s="2"/>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2"/>
      <c r="C865" s="2"/>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2"/>
      <c r="C866" s="2"/>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2"/>
      <c r="C867" s="2"/>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2"/>
      <c r="C868" s="2"/>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2"/>
      <c r="C869" s="2"/>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2"/>
      <c r="C870" s="2"/>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2"/>
      <c r="C871" s="2"/>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2"/>
      <c r="C872" s="2"/>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2"/>
      <c r="C873" s="2"/>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2"/>
      <c r="C874" s="2"/>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2"/>
      <c r="C875" s="2"/>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2"/>
      <c r="C876" s="2"/>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2"/>
      <c r="C877" s="2"/>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2"/>
      <c r="C878" s="2"/>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2"/>
      <c r="C879" s="2"/>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2"/>
      <c r="C880" s="2"/>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2"/>
      <c r="C881" s="2"/>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2"/>
      <c r="C882" s="2"/>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2"/>
      <c r="C883" s="2"/>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2"/>
      <c r="C884" s="2"/>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2"/>
      <c r="C885" s="2"/>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2"/>
      <c r="C886" s="2"/>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2"/>
      <c r="C887" s="2"/>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2"/>
      <c r="C888" s="2"/>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2"/>
      <c r="C889" s="2"/>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2"/>
      <c r="C890" s="2"/>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2"/>
      <c r="C891" s="2"/>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2"/>
      <c r="C892" s="2"/>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2"/>
      <c r="C893" s="2"/>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2"/>
      <c r="C894" s="2"/>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2"/>
      <c r="C895" s="2"/>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2"/>
      <c r="C896" s="2"/>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2"/>
      <c r="C897" s="2"/>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2"/>
      <c r="C898" s="2"/>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2"/>
      <c r="C899" s="2"/>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2"/>
      <c r="C900" s="2"/>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2"/>
      <c r="C901" s="2"/>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2"/>
      <c r="C902" s="2"/>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2"/>
      <c r="C903" s="2"/>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2"/>
      <c r="C904" s="2"/>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2"/>
      <c r="C905" s="2"/>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2"/>
      <c r="C906" s="2"/>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2"/>
      <c r="C907" s="2"/>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2"/>
      <c r="C908" s="2"/>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2"/>
      <c r="C909" s="2"/>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2"/>
      <c r="C910" s="2"/>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2"/>
      <c r="C911" s="2"/>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2"/>
      <c r="C912" s="2"/>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2"/>
      <c r="C913" s="2"/>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2"/>
      <c r="C914" s="2"/>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2"/>
      <c r="C915" s="2"/>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2"/>
      <c r="C916" s="2"/>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2"/>
      <c r="C917" s="2"/>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2"/>
      <c r="C918" s="2"/>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2"/>
      <c r="C919" s="2"/>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2"/>
      <c r="C920" s="2"/>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2"/>
      <c r="C921" s="2"/>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2"/>
      <c r="C922" s="2"/>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2"/>
      <c r="C923" s="2"/>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2"/>
      <c r="C924" s="2"/>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2"/>
      <c r="C925" s="2"/>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2"/>
      <c r="C926" s="2"/>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2"/>
      <c r="C927" s="2"/>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2"/>
      <c r="C928" s="2"/>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2"/>
      <c r="C929" s="2"/>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2"/>
      <c r="C930" s="2"/>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2"/>
      <c r="C931" s="2"/>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2"/>
      <c r="C932" s="2"/>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2"/>
      <c r="C933" s="2"/>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2"/>
      <c r="C934" s="2"/>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2"/>
      <c r="C935" s="2"/>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2"/>
      <c r="C936" s="2"/>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2"/>
      <c r="C937" s="2"/>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2"/>
      <c r="C938" s="2"/>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2"/>
      <c r="C939" s="2"/>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2"/>
      <c r="C940" s="2"/>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2"/>
      <c r="C941" s="2"/>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2"/>
      <c r="C942" s="2"/>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2"/>
      <c r="C943" s="2"/>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2"/>
      <c r="C944" s="2"/>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2"/>
      <c r="C945" s="2"/>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2"/>
      <c r="C946" s="2"/>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2"/>
      <c r="C947" s="2"/>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2"/>
      <c r="C948" s="2"/>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2"/>
      <c r="C949" s="2"/>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2"/>
      <c r="C950" s="2"/>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2"/>
      <c r="C951" s="2"/>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2"/>
      <c r="C952" s="2"/>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2"/>
      <c r="C953" s="2"/>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2"/>
      <c r="C954" s="2"/>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2"/>
      <c r="C955" s="2"/>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2"/>
      <c r="C956" s="2"/>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2"/>
      <c r="C957" s="2"/>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2"/>
      <c r="C958" s="2"/>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2"/>
      <c r="C959" s="2"/>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2"/>
      <c r="C960" s="2"/>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2"/>
      <c r="C961" s="2"/>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2"/>
      <c r="C962" s="2"/>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2"/>
      <c r="C963" s="2"/>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2"/>
      <c r="C964" s="2"/>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2"/>
      <c r="C965" s="2"/>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2"/>
      <c r="C966" s="2"/>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2"/>
      <c r="C967" s="2"/>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2"/>
      <c r="C968" s="2"/>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2"/>
      <c r="C969" s="2"/>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2"/>
      <c r="C970" s="2"/>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2"/>
      <c r="C971" s="2"/>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2"/>
      <c r="C972" s="2"/>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2"/>
      <c r="C973" s="2"/>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2"/>
      <c r="C974" s="2"/>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2"/>
      <c r="C975" s="2"/>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2"/>
      <c r="C976" s="2"/>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2"/>
      <c r="C977" s="2"/>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2"/>
      <c r="C978" s="2"/>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2"/>
      <c r="C979" s="2"/>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2"/>
      <c r="C980" s="2"/>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2"/>
      <c r="C981" s="2"/>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2"/>
      <c r="C982" s="2"/>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2"/>
      <c r="C983" s="2"/>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2"/>
      <c r="C984" s="2"/>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2"/>
      <c r="C985" s="2"/>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2"/>
      <c r="C986" s="2"/>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2"/>
      <c r="C987" s="2"/>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2"/>
      <c r="C988" s="2"/>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2"/>
      <c r="C989" s="2"/>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2"/>
      <c r="C990" s="2"/>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2"/>
      <c r="C991" s="2"/>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2"/>
      <c r="C992" s="2"/>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2"/>
      <c r="C993" s="2"/>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2"/>
      <c r="C994" s="2"/>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2"/>
      <c r="C995" s="2"/>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2"/>
      <c r="C996" s="2"/>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2"/>
      <c r="C997" s="2"/>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2"/>
      <c r="C998" s="2"/>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2"/>
      <c r="C999" s="2"/>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2"/>
      <c r="C1000" s="2"/>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1:D1" xr:uid="{00000000-0009-0000-0000-000000000000}"/>
  <conditionalFormatting sqref="B2:C95">
    <cfRule type="containsText" dxfId="1" priority="1" operator="containsText" text="Clase">
      <formula>NOT(ISERROR(SEARCH(("Clase"),(B2))))</formula>
    </cfRule>
    <cfRule type="notContainsText" dxfId="0" priority="2" operator="notContains" text="Clase">
      <formula>ISERROR(SEARCH(("Clase"),(B2)))</formula>
    </cfRule>
  </conditionalFormatting>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locarno!$E$2:$E$5670</xm:f>
          </x14:formula1>
          <xm:sqref>B2:D33 B34 D34 B35:D95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670"/>
  <sheetViews>
    <sheetView topLeftCell="H1" workbookViewId="0">
      <selection activeCell="H1" sqref="A1:XFD1048576"/>
    </sheetView>
  </sheetViews>
  <sheetFormatPr baseColWidth="10" defaultColWidth="12.5703125" defaultRowHeight="15" customHeight="1"/>
  <cols>
    <col min="1" max="1" width="8.42578125" customWidth="1"/>
    <col min="2" max="2" width="8.7109375" customWidth="1"/>
    <col min="3" max="3" width="9" customWidth="1"/>
    <col min="4" max="4" width="8.42578125" customWidth="1"/>
    <col min="5" max="5" width="25.7109375" customWidth="1"/>
    <col min="6" max="6" width="26.42578125" customWidth="1"/>
    <col min="7" max="7" width="3.140625" customWidth="1"/>
    <col min="8" max="8" width="79.42578125" customWidth="1"/>
    <col min="9" max="9" width="21.5703125" customWidth="1"/>
    <col min="10" max="10" width="25.85546875" customWidth="1"/>
    <col min="11" max="11" width="70.7109375" customWidth="1"/>
    <col min="12" max="12" width="60.85546875" bestFit="1" customWidth="1"/>
    <col min="13" max="14" width="33.85546875" customWidth="1"/>
  </cols>
  <sheetData>
    <row r="1" spans="1:14" ht="11.25" customHeight="1">
      <c r="A1" s="5" t="s">
        <v>126</v>
      </c>
      <c r="B1" s="5" t="s">
        <v>127</v>
      </c>
      <c r="C1" s="5" t="s">
        <v>128</v>
      </c>
      <c r="D1" s="5" t="s">
        <v>129</v>
      </c>
      <c r="E1" s="5" t="s">
        <v>130</v>
      </c>
      <c r="F1" s="5" t="s">
        <v>131</v>
      </c>
      <c r="G1" s="5" t="s">
        <v>132</v>
      </c>
      <c r="H1" s="5" t="s">
        <v>133</v>
      </c>
      <c r="I1" s="5" t="s">
        <v>135</v>
      </c>
      <c r="J1" s="5" t="s">
        <v>139</v>
      </c>
      <c r="K1" s="6" t="s">
        <v>134</v>
      </c>
      <c r="L1" s="5" t="s">
        <v>136</v>
      </c>
      <c r="M1" s="6" t="s">
        <v>137</v>
      </c>
      <c r="N1" s="6" t="s">
        <v>138</v>
      </c>
    </row>
    <row r="2" spans="1:14" ht="11.25" customHeight="1">
      <c r="A2" s="5" t="s">
        <v>140</v>
      </c>
      <c r="B2" s="5" t="s">
        <v>141</v>
      </c>
      <c r="C2" s="5" t="s">
        <v>142</v>
      </c>
      <c r="D2" s="5" t="s">
        <v>143</v>
      </c>
      <c r="E2" s="5" t="s">
        <v>5</v>
      </c>
      <c r="F2" s="5" t="s">
        <v>144</v>
      </c>
      <c r="G2" s="5" t="s">
        <v>145</v>
      </c>
      <c r="H2" s="5" t="s">
        <v>146</v>
      </c>
      <c r="I2" s="5" t="s">
        <v>147</v>
      </c>
      <c r="J2" s="5" t="s">
        <v>148</v>
      </c>
      <c r="K2" s="7" t="str">
        <f ca="1">IFERROR(__xludf.DUMMYFUNCTION("GOOGLETRANSLATE(H2,""EN"",""ES"")"),"PRODUCTOS DE PANADERIA, GALLETAS, PASTELERÍA, PASTA Y OTROS PRODUCTOS DE CEREALES, CHOCOLATES, CONFITERÍA, HIELOS")</f>
        <v>PRODUCTOS DE PANADERIA, GALLETAS, PASTELERÍA, PASTA Y OTROS PRODUCTOS DE CEREALES, CHOCOLATES, CONFITERÍA, HIELOS</v>
      </c>
      <c r="L2" s="5" t="str">
        <f ca="1">IFERROR(__xludf.DUMMYFUNCTION("GOOGLETRANSLATE(J2,""EN"",""ES"")"),"bizcochos")</f>
        <v>bizcochos</v>
      </c>
      <c r="M2" s="8" t="s">
        <v>4</v>
      </c>
      <c r="N2" s="8" t="s">
        <v>4</v>
      </c>
    </row>
    <row r="3" spans="1:14" ht="11.25" customHeight="1">
      <c r="A3" s="5" t="s">
        <v>140</v>
      </c>
      <c r="B3" s="5" t="s">
        <v>141</v>
      </c>
      <c r="C3" s="5" t="s">
        <v>149</v>
      </c>
      <c r="D3" s="5" t="s">
        <v>143</v>
      </c>
      <c r="E3" s="5" t="s">
        <v>5</v>
      </c>
      <c r="F3" s="5" t="s">
        <v>144</v>
      </c>
      <c r="G3" s="5" t="s">
        <v>145</v>
      </c>
      <c r="H3" s="5" t="s">
        <v>146</v>
      </c>
      <c r="I3" s="5" t="s">
        <v>150</v>
      </c>
      <c r="J3" s="5" t="s">
        <v>150</v>
      </c>
      <c r="K3" s="7" t="str">
        <f ca="1">IFERROR(__xludf.DUMMYFUNCTION("GOOGLETRANSLATE(H3,""EN"",""ES"")"),"PRODUCTOS DE PANADERIA, GALLETAS, PASTELERÍA, PASTA Y OTROS PRODUCTOS DE CEREALES, CHOCOLATES, CONFITERÍA, HIELOS")</f>
        <v>PRODUCTOS DE PANADERIA, GALLETAS, PASTELERÍA, PASTA Y OTROS PRODUCTOS DE CEREALES, CHOCOLATES, CONFITERÍA, HIELOS</v>
      </c>
      <c r="L3" s="5" t="str">
        <f ca="1">IFERROR(__xludf.DUMMYFUNCTION("GOOGLETRANSLATE(J3,""EN"",""ES"")"),"galletas")</f>
        <v>galletas</v>
      </c>
      <c r="M3" s="8" t="s">
        <v>4</v>
      </c>
      <c r="N3" s="8" t="s">
        <v>4</v>
      </c>
    </row>
    <row r="4" spans="1:14" ht="11.25" customHeight="1">
      <c r="A4" s="5" t="s">
        <v>140</v>
      </c>
      <c r="B4" s="5" t="s">
        <v>141</v>
      </c>
      <c r="C4" s="5" t="s">
        <v>149</v>
      </c>
      <c r="D4" s="5" t="s">
        <v>143</v>
      </c>
      <c r="E4" s="5" t="s">
        <v>5</v>
      </c>
      <c r="F4" s="5" t="s">
        <v>144</v>
      </c>
      <c r="G4" s="5" t="s">
        <v>145</v>
      </c>
      <c r="H4" s="5" t="s">
        <v>146</v>
      </c>
      <c r="I4" s="5" t="s">
        <v>151</v>
      </c>
      <c r="J4" s="5" t="s">
        <v>152</v>
      </c>
      <c r="K4" s="7" t="str">
        <f ca="1">IFERROR(__xludf.DUMMYFUNCTION("GOOGLETRANSLATE(H4,""EN"",""ES"")"),"PRODUCTOS DE PANADERIA, GALLETAS, PASTELERÍA, PASTA Y OTROS PRODUCTOS DE CEREALES, CHOCOLATES, CONFITERÍA, HIELOS")</f>
        <v>PRODUCTOS DE PANADERIA, GALLETAS, PASTELERÍA, PASTA Y OTROS PRODUCTOS DE CEREALES, CHOCOLATES, CONFITERÍA, HIELOS</v>
      </c>
      <c r="L4" s="5" t="str">
        <f ca="1">IFERROR(__xludf.DUMMYFUNCTION("GOOGLETRANSLATE(J4,""EN"",""ES"")"),"Galletas")</f>
        <v>Galletas</v>
      </c>
      <c r="M4" s="8" t="s">
        <v>4</v>
      </c>
      <c r="N4" s="8" t="s">
        <v>4</v>
      </c>
    </row>
    <row r="5" spans="1:14" ht="11.25" customHeight="1">
      <c r="A5" s="5" t="s">
        <v>140</v>
      </c>
      <c r="B5" s="5" t="s">
        <v>141</v>
      </c>
      <c r="C5" s="5" t="s">
        <v>153</v>
      </c>
      <c r="D5" s="5" t="s">
        <v>143</v>
      </c>
      <c r="E5" s="5" t="s">
        <v>5</v>
      </c>
      <c r="F5" s="5" t="s">
        <v>144</v>
      </c>
      <c r="G5" s="5" t="s">
        <v>145</v>
      </c>
      <c r="H5" s="5" t="s">
        <v>146</v>
      </c>
      <c r="I5" s="5" t="s">
        <v>154</v>
      </c>
      <c r="J5" s="5" t="s">
        <v>155</v>
      </c>
      <c r="K5" s="7" t="str">
        <f ca="1">IFERROR(__xludf.DUMMYFUNCTION("GOOGLETRANSLATE(H5,""EN"",""ES"")"),"PRODUCTOS DE PANADERIA, GALLETAS, PASTELERÍA, PASTA Y OTROS PRODUCTOS DE CEREALES, CHOCOLATES, CONFITERÍA, HIELOS")</f>
        <v>PRODUCTOS DE PANADERIA, GALLETAS, PASTELERÍA, PASTA Y OTROS PRODUCTOS DE CEREALES, CHOCOLATES, CONFITERÍA, HIELOS</v>
      </c>
      <c r="L5" s="5" t="str">
        <f ca="1">IFERROR(__xludf.DUMMYFUNCTION("GOOGLETRANSLATE(J5,""EN"",""ES"")"),"Dulces [dulces]")</f>
        <v>Dulces [dulces]</v>
      </c>
      <c r="M5" s="8" t="s">
        <v>4</v>
      </c>
      <c r="N5" s="8" t="s">
        <v>4</v>
      </c>
    </row>
    <row r="6" spans="1:14" ht="11.25" customHeight="1">
      <c r="A6" s="5" t="s">
        <v>140</v>
      </c>
      <c r="B6" s="5" t="s">
        <v>141</v>
      </c>
      <c r="C6" s="5" t="s">
        <v>156</v>
      </c>
      <c r="D6" s="5" t="s">
        <v>143</v>
      </c>
      <c r="E6" s="5" t="s">
        <v>5</v>
      </c>
      <c r="F6" s="5" t="s">
        <v>144</v>
      </c>
      <c r="G6" s="5" t="s">
        <v>145</v>
      </c>
      <c r="H6" s="5" t="s">
        <v>146</v>
      </c>
      <c r="I6" s="5" t="s">
        <v>157</v>
      </c>
      <c r="J6" s="5" t="s">
        <v>158</v>
      </c>
      <c r="K6" s="7" t="str">
        <f ca="1">IFERROR(__xludf.DUMMYFUNCTION("GOOGLETRANSLATE(H6,""EN"",""ES"")"),"PRODUCTOS DE PANADERIA, GALLETAS, PASTELERÍA, PASTA Y OTROS PRODUCTOS DE CEREALES, CHOCOLATES, CONFITERÍA, HIELOS")</f>
        <v>PRODUCTOS DE PANADERIA, GALLETAS, PASTELERÍA, PASTA Y OTROS PRODUCTOS DE CEREALES, CHOCOLATES, CONFITERÍA, HIELOS</v>
      </c>
      <c r="L6" s="5" t="str">
        <f ca="1">IFERROR(__xludf.DUMMYFUNCTION("GOOGLETRANSLATE(J6,""EN"",""ES"")"),"productos de panaderia")</f>
        <v>productos de panaderia</v>
      </c>
      <c r="M6" s="8" t="s">
        <v>4</v>
      </c>
      <c r="N6" s="8" t="s">
        <v>4</v>
      </c>
    </row>
    <row r="7" spans="1:14" ht="11.25" customHeight="1">
      <c r="A7" s="5" t="s">
        <v>140</v>
      </c>
      <c r="B7" s="5" t="s">
        <v>141</v>
      </c>
      <c r="C7" s="5" t="s">
        <v>159</v>
      </c>
      <c r="D7" s="5" t="s">
        <v>143</v>
      </c>
      <c r="E7" s="5" t="s">
        <v>5</v>
      </c>
      <c r="F7" s="5" t="s">
        <v>144</v>
      </c>
      <c r="G7" s="5" t="s">
        <v>145</v>
      </c>
      <c r="H7" s="5" t="s">
        <v>146</v>
      </c>
      <c r="I7" s="5" t="s">
        <v>160</v>
      </c>
      <c r="J7" s="5" t="s">
        <v>161</v>
      </c>
      <c r="K7" s="7" t="str">
        <f ca="1">IFERROR(__xludf.DUMMYFUNCTION("GOOGLETRANSLATE(H7,""EN"",""ES"")"),"PRODUCTOS DE PANADERIA, GALLETAS, PASTELERÍA, PASTA Y OTROS PRODUCTOS DE CEREALES, CHOCOLATES, CONFITERÍA, HIELOS")</f>
        <v>PRODUCTOS DE PANADERIA, GALLETAS, PASTELERÍA, PASTA Y OTROS PRODUCTOS DE CEREALES, CHOCOLATES, CONFITERÍA, HIELOS</v>
      </c>
      <c r="L7" s="5" t="str">
        <f ca="1">IFERROR(__xludf.DUMMYFUNCTION("GOOGLETRANSLATE(J7,""EN"",""ES"")"),"caramelos [dulces]")</f>
        <v>caramelos [dulces]</v>
      </c>
      <c r="M7" s="8" t="s">
        <v>4</v>
      </c>
      <c r="N7" s="8" t="s">
        <v>4</v>
      </c>
    </row>
    <row r="8" spans="1:14" ht="11.25" customHeight="1">
      <c r="A8" s="5" t="s">
        <v>140</v>
      </c>
      <c r="B8" s="5" t="s">
        <v>141</v>
      </c>
      <c r="C8" s="5" t="s">
        <v>162</v>
      </c>
      <c r="D8" s="5" t="s">
        <v>143</v>
      </c>
      <c r="E8" s="5" t="s">
        <v>5</v>
      </c>
      <c r="F8" s="5" t="s">
        <v>144</v>
      </c>
      <c r="G8" s="5" t="s">
        <v>145</v>
      </c>
      <c r="H8" s="5" t="s">
        <v>146</v>
      </c>
      <c r="I8" s="5" t="s">
        <v>163</v>
      </c>
      <c r="J8" s="5" t="s">
        <v>164</v>
      </c>
      <c r="K8" s="7" t="str">
        <f ca="1">IFERROR(__xludf.DUMMYFUNCTION("GOOGLETRANSLATE(H8,""EN"",""ES"")"),"PRODUCTOS DE PANADERIA, GALLETAS, PASTELERÍA, PASTA Y OTROS PRODUCTOS DE CEREALES, CHOCOLATES, CONFITERÍA, HIELOS")</f>
        <v>PRODUCTOS DE PANADERIA, GALLETAS, PASTELERÍA, PASTA Y OTROS PRODUCTOS DE CEREALES, CHOCOLATES, CONFITERÍA, HIELOS</v>
      </c>
      <c r="L8" s="5" t="str">
        <f ca="1">IFERROR(__xludf.DUMMYFUNCTION("GOOGLETRANSLATE(J8,""EN"",""ES"")"),"bombones")</f>
        <v>bombones</v>
      </c>
      <c r="M8" s="8" t="s">
        <v>4</v>
      </c>
      <c r="N8" s="8" t="s">
        <v>4</v>
      </c>
    </row>
    <row r="9" spans="1:14" ht="11.25" customHeight="1">
      <c r="A9" s="5" t="s">
        <v>140</v>
      </c>
      <c r="B9" s="5" t="s">
        <v>141</v>
      </c>
      <c r="C9" s="5" t="s">
        <v>165</v>
      </c>
      <c r="D9" s="5" t="s">
        <v>143</v>
      </c>
      <c r="E9" s="5" t="s">
        <v>5</v>
      </c>
      <c r="F9" s="5" t="s">
        <v>144</v>
      </c>
      <c r="G9" s="5" t="s">
        <v>145</v>
      </c>
      <c r="H9" s="5" t="s">
        <v>146</v>
      </c>
      <c r="I9" s="5" t="s">
        <v>166</v>
      </c>
      <c r="J9" s="5" t="s">
        <v>167</v>
      </c>
      <c r="K9" s="7" t="str">
        <f ca="1">IFERROR(__xludf.DUMMYFUNCTION("GOOGLETRANSLATE(H9,""EN"",""ES"")"),"PRODUCTOS DE PANADERIA, GALLETAS, PASTELERÍA, PASTA Y OTROS PRODUCTOS DE CEREALES, CHOCOLATES, CONFITERÍA, HIELOS")</f>
        <v>PRODUCTOS DE PANADERIA, GALLETAS, PASTELERÍA, PASTA Y OTROS PRODUCTOS DE CEREALES, CHOCOLATES, CONFITERÍA, HIELOS</v>
      </c>
      <c r="L9" s="5" t="str">
        <f ca="1">IFERROR(__xludf.DUMMYFUNCTION("GOOGLETRANSLATE(J9,""EN"",""ES"")"),"Confitería")</f>
        <v>Confitería</v>
      </c>
      <c r="M9" s="8" t="s">
        <v>4</v>
      </c>
      <c r="N9" s="8" t="s">
        <v>4</v>
      </c>
    </row>
    <row r="10" spans="1:14" ht="11.25" customHeight="1">
      <c r="A10" s="5" t="s">
        <v>140</v>
      </c>
      <c r="B10" s="5" t="s">
        <v>141</v>
      </c>
      <c r="C10" s="5" t="s">
        <v>168</v>
      </c>
      <c r="D10" s="5" t="s">
        <v>143</v>
      </c>
      <c r="E10" s="5" t="s">
        <v>5</v>
      </c>
      <c r="F10" s="5" t="s">
        <v>144</v>
      </c>
      <c r="G10" s="5" t="s">
        <v>145</v>
      </c>
      <c r="H10" s="5" t="s">
        <v>146</v>
      </c>
      <c r="I10" s="5" t="s">
        <v>169</v>
      </c>
      <c r="J10" s="5" t="s">
        <v>170</v>
      </c>
      <c r="K10" s="7" t="str">
        <f ca="1">IFERROR(__xludf.DUMMYFUNCTION("GOOGLETRANSLATE(H10,""EN"",""ES"")"),"PRODUCTOS DE PANADERIA, GALLETAS, PASTELERÍA, PASTA Y OTROS PRODUCTOS DE CEREALES, CHOCOLATES, CONFITERÍA, HIELOS")</f>
        <v>PRODUCTOS DE PANADERIA, GALLETAS, PASTELERÍA, PASTA Y OTROS PRODUCTOS DE CEREALES, CHOCOLATES, CONFITERÍA, HIELOS</v>
      </c>
      <c r="L10" s="5" t="str">
        <f ca="1">IFERROR(__xludf.DUMMYFUNCTION("GOOGLETRANSLATE(J10,""EN"",""ES"")"),"Tortas")</f>
        <v>Tortas</v>
      </c>
      <c r="M10" s="8" t="s">
        <v>4</v>
      </c>
      <c r="N10" s="8" t="s">
        <v>4</v>
      </c>
    </row>
    <row r="11" spans="1:14" ht="11.25" customHeight="1">
      <c r="A11" s="5" t="s">
        <v>140</v>
      </c>
      <c r="B11" s="5" t="s">
        <v>141</v>
      </c>
      <c r="C11" s="5" t="s">
        <v>171</v>
      </c>
      <c r="D11" s="5" t="s">
        <v>143</v>
      </c>
      <c r="E11" s="5" t="s">
        <v>5</v>
      </c>
      <c r="F11" s="5" t="s">
        <v>144</v>
      </c>
      <c r="G11" s="5" t="s">
        <v>145</v>
      </c>
      <c r="H11" s="5" t="s">
        <v>146</v>
      </c>
      <c r="I11" s="5" t="s">
        <v>172</v>
      </c>
      <c r="J11" s="5" t="s">
        <v>173</v>
      </c>
      <c r="K11" s="7" t="str">
        <f ca="1">IFERROR(__xludf.DUMMYFUNCTION("GOOGLETRANSLATE(H11,""EN"",""ES"")"),"PRODUCTOS DE PANADERIA, GALLETAS, PASTELERÍA, PASTA Y OTROS PRODUCTOS DE CEREALES, CHOCOLATES, CONFITERÍA, HIELOS")</f>
        <v>PRODUCTOS DE PANADERIA, GALLETAS, PASTELERÍA, PASTA Y OTROS PRODUCTOS DE CEREALES, CHOCOLATES, CONFITERÍA, HIELOS</v>
      </c>
      <c r="L11" s="5" t="str">
        <f ca="1">IFERROR(__xludf.DUMMYFUNCTION("GOOGLETRANSLATE(J11,""EN"",""ES"")"),"Cornetas de helado [comestibles]")</f>
        <v>Cornetas de helado [comestibles]</v>
      </c>
      <c r="M11" s="8" t="s">
        <v>4</v>
      </c>
      <c r="N11" s="8" t="s">
        <v>4</v>
      </c>
    </row>
    <row r="12" spans="1:14" ht="11.25" customHeight="1">
      <c r="A12" s="5" t="s">
        <v>140</v>
      </c>
      <c r="B12" s="5" t="s">
        <v>141</v>
      </c>
      <c r="C12" s="5" t="s">
        <v>174</v>
      </c>
      <c r="D12" s="5" t="s">
        <v>143</v>
      </c>
      <c r="E12" s="5" t="s">
        <v>5</v>
      </c>
      <c r="F12" s="5" t="s">
        <v>144</v>
      </c>
      <c r="G12" s="5" t="s">
        <v>145</v>
      </c>
      <c r="H12" s="5" t="s">
        <v>146</v>
      </c>
      <c r="I12" s="5" t="s">
        <v>175</v>
      </c>
      <c r="J12" s="5" t="s">
        <v>176</v>
      </c>
      <c r="K12" s="7" t="str">
        <f ca="1">IFERROR(__xludf.DUMMYFUNCTION("GOOGLETRANSLATE(H12,""EN"",""ES"")"),"PRODUCTOS DE PANADERIA, GALLETAS, PASTELERÍA, PASTA Y OTROS PRODUCTOS DE CEREALES, CHOCOLATES, CONFITERÍA, HIELOS")</f>
        <v>PRODUCTOS DE PANADERIA, GALLETAS, PASTELERÍA, PASTA Y OTROS PRODUCTOS DE CEREALES, CHOCOLATES, CONFITERÍA, HIELOS</v>
      </c>
      <c r="L12" s="5" t="str">
        <f ca="1">IFERROR(__xludf.DUMMYFUNCTION("GOOGLETRANSLATE(J12,""EN"",""ES"")"),"Helado")</f>
        <v>Helado</v>
      </c>
      <c r="M12" s="8" t="s">
        <v>4</v>
      </c>
      <c r="N12" s="8" t="s">
        <v>4</v>
      </c>
    </row>
    <row r="13" spans="1:14" ht="11.25" customHeight="1">
      <c r="A13" s="5" t="s">
        <v>140</v>
      </c>
      <c r="B13" s="5" t="s">
        <v>141</v>
      </c>
      <c r="C13" s="5" t="s">
        <v>177</v>
      </c>
      <c r="D13" s="5" t="s">
        <v>143</v>
      </c>
      <c r="E13" s="5" t="s">
        <v>5</v>
      </c>
      <c r="F13" s="5" t="s">
        <v>144</v>
      </c>
      <c r="G13" s="5" t="s">
        <v>145</v>
      </c>
      <c r="H13" s="5" t="s">
        <v>146</v>
      </c>
      <c r="I13" s="5" t="s">
        <v>178</v>
      </c>
      <c r="J13" s="5" t="s">
        <v>179</v>
      </c>
      <c r="K13" s="7" t="str">
        <f ca="1">IFERROR(__xludf.DUMMYFUNCTION("GOOGLETRANSLATE(H13,""EN"",""ES"")"),"PRODUCTOS DE PANADERIA, GALLETAS, PASTELERÍA, PASTA Y OTROS PRODUCTOS DE CEREALES, CHOCOLATES, CONFITERÍA, HIELOS")</f>
        <v>PRODUCTOS DE PANADERIA, GALLETAS, PASTELERÍA, PASTA Y OTROS PRODUCTOS DE CEREALES, CHOCOLATES, CONFITERÍA, HIELOS</v>
      </c>
      <c r="L13" s="5" t="str">
        <f ca="1">IFERROR(__xludf.DUMMYFUNCTION("GOOGLETRANSLATE(J13,""EN"",""ES"")"),"Goma de mascar")</f>
        <v>Goma de mascar</v>
      </c>
      <c r="M13" s="8" t="s">
        <v>4</v>
      </c>
      <c r="N13" s="8" t="s">
        <v>4</v>
      </c>
    </row>
    <row r="14" spans="1:14" ht="11.25" customHeight="1">
      <c r="A14" s="5" t="s">
        <v>140</v>
      </c>
      <c r="B14" s="5" t="s">
        <v>141</v>
      </c>
      <c r="C14" s="5" t="s">
        <v>180</v>
      </c>
      <c r="D14" s="5" t="s">
        <v>143</v>
      </c>
      <c r="E14" s="5" t="s">
        <v>5</v>
      </c>
      <c r="F14" s="5" t="s">
        <v>144</v>
      </c>
      <c r="G14" s="5" t="s">
        <v>145</v>
      </c>
      <c r="H14" s="5" t="s">
        <v>146</v>
      </c>
      <c r="I14" s="5" t="s">
        <v>181</v>
      </c>
      <c r="J14" s="5" t="s">
        <v>182</v>
      </c>
      <c r="K14" s="7" t="str">
        <f ca="1">IFERROR(__xludf.DUMMYFUNCTION("GOOGLETRANSLATE(H14,""EN"",""ES"")"),"PRODUCTOS DE PANADERIA, GALLETAS, PASTELERÍA, PASTA Y OTROS PRODUCTOS DE CEREALES, CHOCOLATES, CONFITERÍA, HIELOS")</f>
        <v>PRODUCTOS DE PANADERIA, GALLETAS, PASTELERÍA, PASTA Y OTROS PRODUCTOS DE CEREALES, CHOCOLATES, CONFITERÍA, HIELOS</v>
      </c>
      <c r="L14" s="5" t="str">
        <f ca="1">IFERROR(__xludf.DUMMYFUNCTION("GOOGLETRANSLATE(J14,""EN"",""ES"")"),"Macarrones")</f>
        <v>Macarrones</v>
      </c>
      <c r="M14" s="8" t="s">
        <v>4</v>
      </c>
      <c r="N14" s="8" t="s">
        <v>4</v>
      </c>
    </row>
    <row r="15" spans="1:14" ht="11.25" customHeight="1">
      <c r="A15" s="5" t="s">
        <v>140</v>
      </c>
      <c r="B15" s="5" t="s">
        <v>141</v>
      </c>
      <c r="C15" s="5" t="s">
        <v>183</v>
      </c>
      <c r="D15" s="5" t="s">
        <v>143</v>
      </c>
      <c r="E15" s="5" t="s">
        <v>5</v>
      </c>
      <c r="F15" s="5" t="s">
        <v>144</v>
      </c>
      <c r="G15" s="5" t="s">
        <v>145</v>
      </c>
      <c r="H15" s="5" t="s">
        <v>146</v>
      </c>
      <c r="I15" s="5" t="s">
        <v>184</v>
      </c>
      <c r="J15" s="5" t="s">
        <v>184</v>
      </c>
      <c r="K15" s="7" t="str">
        <f ca="1">IFERROR(__xludf.DUMMYFUNCTION("GOOGLETRANSLATE(H15,""EN"",""ES"")"),"PRODUCTOS DE PANADERIA, GALLETAS, PASTELERÍA, PASTA Y OTROS PRODUCTOS DE CEREALES, CHOCOLATES, CONFITERÍA, HIELOS")</f>
        <v>PRODUCTOS DE PANADERIA, GALLETAS, PASTELERÍA, PASTA Y OTROS PRODUCTOS DE CEREALES, CHOCOLATES, CONFITERÍA, HIELOS</v>
      </c>
      <c r="L15" s="5" t="str">
        <f ca="1">IFERROR(__xludf.DUMMYFUNCTION("GOOGLETRANSLATE(J15,""EN"",""ES"")"),"merengues")</f>
        <v>merengues</v>
      </c>
      <c r="M15" s="8" t="s">
        <v>4</v>
      </c>
      <c r="N15" s="8" t="s">
        <v>4</v>
      </c>
    </row>
    <row r="16" spans="1:14" ht="11.25" customHeight="1">
      <c r="A16" s="5" t="s">
        <v>140</v>
      </c>
      <c r="B16" s="5" t="s">
        <v>141</v>
      </c>
      <c r="C16" s="5" t="s">
        <v>185</v>
      </c>
      <c r="D16" s="5" t="s">
        <v>143</v>
      </c>
      <c r="E16" s="5" t="s">
        <v>5</v>
      </c>
      <c r="F16" s="5" t="s">
        <v>144</v>
      </c>
      <c r="G16" s="5" t="s">
        <v>145</v>
      </c>
      <c r="H16" s="5" t="s">
        <v>146</v>
      </c>
      <c r="I16" s="5" t="s">
        <v>186</v>
      </c>
      <c r="J16" s="5" t="s">
        <v>187</v>
      </c>
      <c r="K16" s="7" t="str">
        <f ca="1">IFERROR(__xludf.DUMMYFUNCTION("GOOGLETRANSLATE(H16,""EN"",""ES"")"),"PRODUCTOS DE PANADERIA, GALLETAS, PASTELERÍA, PASTA Y OTROS PRODUCTOS DE CEREALES, CHOCOLATES, CONFITERÍA, HIELOS")</f>
        <v>PRODUCTOS DE PANADERIA, GALLETAS, PASTELERÍA, PASTA Y OTROS PRODUCTOS DE CEREALES, CHOCOLATES, CONFITERÍA, HIELOS</v>
      </c>
      <c r="L16" s="5" t="str">
        <f ca="1">IFERROR(__xludf.DUMMYFUNCTION("GOOGLETRANSLATE(J16,""EN"",""ES"")"),"Fideos")</f>
        <v>Fideos</v>
      </c>
      <c r="M16" s="8" t="s">
        <v>4</v>
      </c>
      <c r="N16" s="8" t="s">
        <v>4</v>
      </c>
    </row>
    <row r="17" spans="1:14" ht="11.25" customHeight="1">
      <c r="A17" s="5" t="s">
        <v>140</v>
      </c>
      <c r="B17" s="5" t="s">
        <v>141</v>
      </c>
      <c r="C17" s="5" t="s">
        <v>188</v>
      </c>
      <c r="D17" s="5" t="s">
        <v>143</v>
      </c>
      <c r="E17" s="5" t="s">
        <v>5</v>
      </c>
      <c r="F17" s="5" t="s">
        <v>144</v>
      </c>
      <c r="G17" s="5" t="s">
        <v>145</v>
      </c>
      <c r="H17" s="5" t="s">
        <v>146</v>
      </c>
      <c r="I17" s="5" t="s">
        <v>189</v>
      </c>
      <c r="J17" s="5" t="s">
        <v>190</v>
      </c>
      <c r="K17" s="7" t="str">
        <f ca="1">IFERROR(__xludf.DUMMYFUNCTION("GOOGLETRANSLATE(H17,""EN"",""ES"")"),"PRODUCTOS DE PANADERIA, GALLETAS, PASTELERÍA, PASTA Y OTROS PRODUCTOS DE CEREALES, CHOCOLATES, CONFITERÍA, HIELOS")</f>
        <v>PRODUCTOS DE PANADERIA, GALLETAS, PASTELERÍA, PASTA Y OTROS PRODUCTOS DE CEREALES, CHOCOLATES, CONFITERÍA, HIELOS</v>
      </c>
      <c r="L17" s="5" t="str">
        <f ca="1">IFERROR(__xludf.DUMMYFUNCTION("GOOGLETRANSLATE(J17,""EN"",""ES"")"),"Pan")</f>
        <v>Pan</v>
      </c>
      <c r="M17" s="8" t="s">
        <v>4</v>
      </c>
      <c r="N17" s="8" t="s">
        <v>4</v>
      </c>
    </row>
    <row r="18" spans="1:14" ht="11.25" customHeight="1">
      <c r="A18" s="5" t="s">
        <v>140</v>
      </c>
      <c r="B18" s="5" t="s">
        <v>141</v>
      </c>
      <c r="C18" s="5" t="s">
        <v>191</v>
      </c>
      <c r="D18" s="5" t="s">
        <v>143</v>
      </c>
      <c r="E18" s="5" t="s">
        <v>5</v>
      </c>
      <c r="F18" s="5" t="s">
        <v>144</v>
      </c>
      <c r="G18" s="5" t="s">
        <v>145</v>
      </c>
      <c r="H18" s="5" t="s">
        <v>146</v>
      </c>
      <c r="I18" s="5" t="s">
        <v>192</v>
      </c>
      <c r="J18" s="5" t="s">
        <v>193</v>
      </c>
      <c r="K18" s="7" t="str">
        <f ca="1">IFERROR(__xludf.DUMMYFUNCTION("GOOGLETRANSLATE(H18,""EN"",""ES"")"),"PRODUCTOS DE PANADERIA, GALLETAS, PASTELERÍA, PASTA Y OTROS PRODUCTOS DE CEREALES, CHOCOLATES, CONFITERÍA, HIELOS")</f>
        <v>PRODUCTOS DE PANADERIA, GALLETAS, PASTELERÍA, PASTA Y OTROS PRODUCTOS DE CEREALES, CHOCOLATES, CONFITERÍA, HIELOS</v>
      </c>
      <c r="L18" s="5" t="str">
        <f ca="1">IFERROR(__xludf.DUMMYFUNCTION("GOOGLETRANSLATE(J18,""EN"",""ES"")"),"Pan de jengibre")</f>
        <v>Pan de jengibre</v>
      </c>
      <c r="M18" s="8" t="s">
        <v>4</v>
      </c>
      <c r="N18" s="8" t="s">
        <v>4</v>
      </c>
    </row>
    <row r="19" spans="1:14" ht="11.25" customHeight="1">
      <c r="A19" s="5" t="s">
        <v>140</v>
      </c>
      <c r="B19" s="5" t="s">
        <v>141</v>
      </c>
      <c r="C19" s="5" t="s">
        <v>194</v>
      </c>
      <c r="D19" s="5" t="s">
        <v>143</v>
      </c>
      <c r="E19" s="5" t="s">
        <v>5</v>
      </c>
      <c r="F19" s="5" t="s">
        <v>144</v>
      </c>
      <c r="G19" s="5" t="s">
        <v>145</v>
      </c>
      <c r="H19" s="5" t="s">
        <v>146</v>
      </c>
      <c r="I19" s="5" t="s">
        <v>195</v>
      </c>
      <c r="J19" s="5" t="s">
        <v>196</v>
      </c>
      <c r="K19" s="7" t="str">
        <f ca="1">IFERROR(__xludf.DUMMYFUNCTION("GOOGLETRANSLATE(H19,""EN"",""ES"")"),"PRODUCTOS DE PANADERIA, GALLETAS, PASTELERÍA, PASTA Y OTROS PRODUCTOS DE CEREALES, CHOCOLATES, CONFITERÍA, HIELOS")</f>
        <v>PRODUCTOS DE PANADERIA, GALLETAS, PASTELERÍA, PASTA Y OTROS PRODUCTOS DE CEREALES, CHOCOLATES, CONFITERÍA, HIELOS</v>
      </c>
      <c r="L19" s="5" t="str">
        <f ca="1">IFERROR(__xludf.DUMMYFUNCTION("GOOGLETRANSLATE(J19,""EN"",""ES"")"),"Pastas alimenticias farináceas")</f>
        <v>Pastas alimenticias farináceas</v>
      </c>
      <c r="M19" s="8" t="s">
        <v>4</v>
      </c>
      <c r="N19" s="8" t="s">
        <v>4</v>
      </c>
    </row>
    <row r="20" spans="1:14" ht="11.25" customHeight="1">
      <c r="A20" s="5" t="s">
        <v>140</v>
      </c>
      <c r="B20" s="5" t="s">
        <v>141</v>
      </c>
      <c r="C20" s="5" t="s">
        <v>194</v>
      </c>
      <c r="D20" s="5" t="s">
        <v>143</v>
      </c>
      <c r="E20" s="5" t="s">
        <v>5</v>
      </c>
      <c r="F20" s="5" t="s">
        <v>144</v>
      </c>
      <c r="G20" s="5" t="s">
        <v>145</v>
      </c>
      <c r="H20" s="5" t="s">
        <v>146</v>
      </c>
      <c r="I20" s="5" t="s">
        <v>197</v>
      </c>
      <c r="J20" s="5" t="s">
        <v>152</v>
      </c>
      <c r="K20" s="7" t="str">
        <f ca="1">IFERROR(__xludf.DUMMYFUNCTION("GOOGLETRANSLATE(H20,""EN"",""ES"")"),"PRODUCTOS DE PANADERIA, GALLETAS, PASTELERÍA, PASTA Y OTROS PRODUCTOS DE CEREALES, CHOCOLATES, CONFITERÍA, HIELOS")</f>
        <v>PRODUCTOS DE PANADERIA, GALLETAS, PASTELERÍA, PASTA Y OTROS PRODUCTOS DE CEREALES, CHOCOLATES, CONFITERÍA, HIELOS</v>
      </c>
      <c r="L20" s="5" t="str">
        <f ca="1">IFERROR(__xludf.DUMMYFUNCTION("GOOGLETRANSLATE(J20,""EN"",""ES"")"),"Pastas")</f>
        <v>Pastas</v>
      </c>
      <c r="M20" s="8" t="s">
        <v>4</v>
      </c>
      <c r="N20" s="8" t="s">
        <v>4</v>
      </c>
    </row>
    <row r="21" spans="1:14" ht="11.25" customHeight="1">
      <c r="A21" s="5" t="s">
        <v>140</v>
      </c>
      <c r="B21" s="5" t="s">
        <v>141</v>
      </c>
      <c r="C21" s="5" t="s">
        <v>198</v>
      </c>
      <c r="D21" s="5" t="s">
        <v>143</v>
      </c>
      <c r="E21" s="5" t="s">
        <v>5</v>
      </c>
      <c r="F21" s="5" t="s">
        <v>144</v>
      </c>
      <c r="G21" s="5" t="s">
        <v>145</v>
      </c>
      <c r="H21" s="5" t="s">
        <v>146</v>
      </c>
      <c r="I21" s="5" t="s">
        <v>199</v>
      </c>
      <c r="J21" s="5" t="s">
        <v>200</v>
      </c>
      <c r="K21" s="7" t="str">
        <f ca="1">IFERROR(__xludf.DUMMYFUNCTION("GOOGLETRANSLATE(H21,""EN"",""ES"")"),"PRODUCTOS DE PANADERIA, GALLETAS, PASTELERÍA, PASTA Y OTROS PRODUCTOS DE CEREALES, CHOCOLATES, CONFITERÍA, HIELOS")</f>
        <v>PRODUCTOS DE PANADERIA, GALLETAS, PASTELERÍA, PASTA Y OTROS PRODUCTOS DE CEREALES, CHOCOLATES, CONFITERÍA, HIELOS</v>
      </c>
      <c r="L21" s="5" t="str">
        <f ca="1">IFERROR(__xludf.DUMMYFUNCTION("GOOGLETRANSLATE(J21,""EN"",""ES"")"),"Pasteles")</f>
        <v>Pasteles</v>
      </c>
      <c r="M21" s="8" t="s">
        <v>4</v>
      </c>
      <c r="N21" s="8" t="s">
        <v>4</v>
      </c>
    </row>
    <row r="22" spans="1:14" ht="11.25" customHeight="1">
      <c r="A22" s="5" t="s">
        <v>140</v>
      </c>
      <c r="B22" s="5" t="s">
        <v>141</v>
      </c>
      <c r="C22" s="5" t="s">
        <v>201</v>
      </c>
      <c r="D22" s="5" t="s">
        <v>143</v>
      </c>
      <c r="E22" s="5" t="s">
        <v>5</v>
      </c>
      <c r="F22" s="5" t="s">
        <v>144</v>
      </c>
      <c r="G22" s="5" t="s">
        <v>145</v>
      </c>
      <c r="H22" s="5" t="s">
        <v>146</v>
      </c>
      <c r="I22" s="5" t="s">
        <v>202</v>
      </c>
      <c r="J22" s="5" t="s">
        <v>203</v>
      </c>
      <c r="K22" s="7" t="str">
        <f ca="1">IFERROR(__xludf.DUMMYFUNCTION("GOOGLETRANSLATE(H22,""EN"",""ES"")"),"PRODUCTOS DE PANADERIA, GALLETAS, PASTELERÍA, PASTA Y OTROS PRODUCTOS DE CEREALES, CHOCOLATES, CONFITERÍA, HIELOS")</f>
        <v>PRODUCTOS DE PANADERIA, GALLETAS, PASTELERÍA, PASTA Y OTROS PRODUCTOS DE CEREALES, CHOCOLATES, CONFITERÍA, HIELOS</v>
      </c>
      <c r="L22" s="5" t="str">
        <f ca="1">IFERROR(__xludf.DUMMYFUNCTION("GOOGLETRANSLATE(J22,""EN"",""ES"")"),"Petits fours [pasteles]")</f>
        <v>Petits fours [pasteles]</v>
      </c>
      <c r="M22" s="8" t="s">
        <v>4</v>
      </c>
      <c r="N22" s="8" t="s">
        <v>4</v>
      </c>
    </row>
    <row r="23" spans="1:14" ht="11.25" customHeight="1">
      <c r="A23" s="5" t="s">
        <v>140</v>
      </c>
      <c r="B23" s="5" t="s">
        <v>141</v>
      </c>
      <c r="C23" s="5" t="s">
        <v>204</v>
      </c>
      <c r="D23" s="5" t="s">
        <v>143</v>
      </c>
      <c r="E23" s="5" t="s">
        <v>5</v>
      </c>
      <c r="F23" s="5" t="s">
        <v>144</v>
      </c>
      <c r="G23" s="5" t="s">
        <v>145</v>
      </c>
      <c r="H23" s="5" t="s">
        <v>146</v>
      </c>
      <c r="I23" s="5" t="s">
        <v>205</v>
      </c>
      <c r="J23" s="5" t="s">
        <v>205</v>
      </c>
      <c r="K23" s="7" t="str">
        <f ca="1">IFERROR(__xludf.DUMMYFUNCTION("GOOGLETRANSLATE(H23,""EN"",""ES"")"),"PRODUCTOS DE PANADERIA, GALLETAS, PASTELERÍA, PASTA Y OTROS PRODUCTOS DE CEREALES, CHOCOLATES, CONFITERÍA, HIELOS")</f>
        <v>PRODUCTOS DE PANADERIA, GALLETAS, PASTELERÍA, PASTA Y OTROS PRODUCTOS DE CEREALES, CHOCOLATES, CONFITERÍA, HIELOS</v>
      </c>
      <c r="L23" s="5" t="str">
        <f ca="1">IFERROR(__xludf.DUMMYFUNCTION("GOOGLETRANSLATE(J23,""EN"",""ES"")"),"bombones")</f>
        <v>bombones</v>
      </c>
      <c r="M23" s="8" t="s">
        <v>4</v>
      </c>
      <c r="N23" s="8" t="s">
        <v>4</v>
      </c>
    </row>
    <row r="24" spans="1:14" ht="11.25" customHeight="1">
      <c r="A24" s="5" t="s">
        <v>140</v>
      </c>
      <c r="B24" s="5" t="s">
        <v>141</v>
      </c>
      <c r="C24" s="5" t="s">
        <v>206</v>
      </c>
      <c r="D24" s="5" t="s">
        <v>143</v>
      </c>
      <c r="E24" s="5" t="s">
        <v>5</v>
      </c>
      <c r="F24" s="5" t="s">
        <v>144</v>
      </c>
      <c r="G24" s="5" t="s">
        <v>145</v>
      </c>
      <c r="H24" s="5" t="s">
        <v>146</v>
      </c>
      <c r="I24" s="5" t="s">
        <v>207</v>
      </c>
      <c r="J24" s="5" t="s">
        <v>208</v>
      </c>
      <c r="K24" s="7" t="str">
        <f ca="1">IFERROR(__xludf.DUMMYFUNCTION("GOOGLETRANSLATE(H24,""EN"",""ES"")"),"PRODUCTOS DE PANADERIA, GALLETAS, PASTELERÍA, PASTA Y OTROS PRODUCTOS DE CEREALES, CHOCOLATES, CONFITERÍA, HIELOS")</f>
        <v>PRODUCTOS DE PANADERIA, GALLETAS, PASTELERÍA, PASTA Y OTROS PRODUCTOS DE CEREALES, CHOCOLATES, CONFITERÍA, HIELOS</v>
      </c>
      <c r="L24" s="5" t="str">
        <f ca="1">IFERROR(__xludf.DUMMYFUNCTION("GOOGLETRANSLATE(J24,""EN"",""ES"")"),"Sorbetes [helados]")</f>
        <v>Sorbetes [helados]</v>
      </c>
      <c r="M24" s="8" t="s">
        <v>4</v>
      </c>
      <c r="N24" s="8" t="s">
        <v>4</v>
      </c>
    </row>
    <row r="25" spans="1:14" ht="11.25" customHeight="1">
      <c r="A25" s="5" t="s">
        <v>140</v>
      </c>
      <c r="B25" s="5" t="s">
        <v>141</v>
      </c>
      <c r="C25" s="5" t="s">
        <v>206</v>
      </c>
      <c r="D25" s="5" t="s">
        <v>143</v>
      </c>
      <c r="E25" s="5" t="s">
        <v>5</v>
      </c>
      <c r="F25" s="5" t="s">
        <v>144</v>
      </c>
      <c r="G25" s="5" t="s">
        <v>145</v>
      </c>
      <c r="H25" s="5" t="s">
        <v>146</v>
      </c>
      <c r="I25" s="5" t="s">
        <v>209</v>
      </c>
      <c r="J25" s="5" t="s">
        <v>152</v>
      </c>
      <c r="K25" s="7" t="str">
        <f ca="1">IFERROR(__xludf.DUMMYFUNCTION("GOOGLETRANSLATE(H25,""EN"",""ES"")"),"PRODUCTOS DE PANADERIA, GALLETAS, PASTELERÍA, PASTA Y OTROS PRODUCTOS DE CEREALES, CHOCOLATES, CONFITERÍA, HIELOS")</f>
        <v>PRODUCTOS DE PANADERIA, GALLETAS, PASTELERÍA, PASTA Y OTROS PRODUCTOS DE CEREALES, CHOCOLATES, CONFITERÍA, HIELOS</v>
      </c>
      <c r="L25" s="5" t="str">
        <f ca="1">IFERROR(__xludf.DUMMYFUNCTION("GOOGLETRANSLATE(J25,""EN"",""ES"")"),"Sorbetes [helados]")</f>
        <v>Sorbetes [helados]</v>
      </c>
      <c r="M25" s="8" t="s">
        <v>4</v>
      </c>
      <c r="N25" s="8" t="s">
        <v>4</v>
      </c>
    </row>
    <row r="26" spans="1:14" ht="11.25" customHeight="1">
      <c r="A26" s="5" t="s">
        <v>140</v>
      </c>
      <c r="B26" s="5" t="s">
        <v>141</v>
      </c>
      <c r="C26" s="5" t="s">
        <v>210</v>
      </c>
      <c r="D26" s="5" t="s">
        <v>143</v>
      </c>
      <c r="E26" s="5" t="s">
        <v>5</v>
      </c>
      <c r="F26" s="5" t="s">
        <v>144</v>
      </c>
      <c r="G26" s="5" t="s">
        <v>145</v>
      </c>
      <c r="H26" s="5" t="s">
        <v>146</v>
      </c>
      <c r="I26" s="5" t="s">
        <v>211</v>
      </c>
      <c r="J26" s="5" t="s">
        <v>211</v>
      </c>
      <c r="K26" s="7" t="str">
        <f ca="1">IFERROR(__xludf.DUMMYFUNCTION("GOOGLETRANSLATE(H26,""EN"",""ES"")"),"PRODUCTOS DE PANADERIA, GALLETAS, PASTELERÍA, PASTA Y OTROS PRODUCTOS DE CEREALES, CHOCOLATES, CONFITERÍA, HIELOS")</f>
        <v>PRODUCTOS DE PANADERIA, GALLETAS, PASTELERÍA, PASTA Y OTROS PRODUCTOS DE CEREALES, CHOCOLATES, CONFITERÍA, HIELOS</v>
      </c>
      <c r="L26" s="5" t="str">
        <f ca="1">IFERROR(__xludf.DUMMYFUNCTION("GOOGLETRANSLATE(J26,""EN"",""ES"")"),"Espaguetis")</f>
        <v>Espaguetis</v>
      </c>
      <c r="M26" s="8" t="s">
        <v>4</v>
      </c>
      <c r="N26" s="8" t="s">
        <v>4</v>
      </c>
    </row>
    <row r="27" spans="1:14" ht="11.25" customHeight="1">
      <c r="A27" s="5" t="s">
        <v>140</v>
      </c>
      <c r="B27" s="5" t="s">
        <v>141</v>
      </c>
      <c r="C27" s="5" t="s">
        <v>212</v>
      </c>
      <c r="D27" s="5" t="s">
        <v>143</v>
      </c>
      <c r="E27" s="5" t="s">
        <v>5</v>
      </c>
      <c r="F27" s="5" t="s">
        <v>144</v>
      </c>
      <c r="G27" s="5" t="s">
        <v>145</v>
      </c>
      <c r="H27" s="5" t="s">
        <v>146</v>
      </c>
      <c r="I27" s="5" t="s">
        <v>213</v>
      </c>
      <c r="J27" s="5" t="s">
        <v>214</v>
      </c>
      <c r="K27" s="7" t="str">
        <f ca="1">IFERROR(__xludf.DUMMYFUNCTION("GOOGLETRANSLATE(H27,""EN"",""ES"")"),"PRODUCTOS DE PANADERIA, GALLETAS, PASTELERÍA, PASTA Y OTROS PRODUCTOS DE CEREALES, CHOCOLATES, CONFITERÍA, HIELOS")</f>
        <v>PRODUCTOS DE PANADERIA, GALLETAS, PASTELERÍA, PASTA Y OTROS PRODUCTOS DE CEREALES, CHOCOLATES, CONFITERÍA, HIELOS</v>
      </c>
      <c r="L27" s="5" t="str">
        <f ca="1">IFERROR(__xludf.DUMMYFUNCTION("GOOGLETRANSLATE(J27,""EN"",""ES"")"),"piruletas")</f>
        <v>piruletas</v>
      </c>
      <c r="M27" s="8" t="s">
        <v>4</v>
      </c>
      <c r="N27" s="8" t="s">
        <v>4</v>
      </c>
    </row>
    <row r="28" spans="1:14" ht="11.25" customHeight="1">
      <c r="A28" s="5" t="s">
        <v>140</v>
      </c>
      <c r="B28" s="5" t="s">
        <v>141</v>
      </c>
      <c r="C28" s="5" t="s">
        <v>215</v>
      </c>
      <c r="D28" s="5" t="s">
        <v>143</v>
      </c>
      <c r="E28" s="5" t="s">
        <v>5</v>
      </c>
      <c r="F28" s="5" t="s">
        <v>144</v>
      </c>
      <c r="G28" s="5" t="s">
        <v>145</v>
      </c>
      <c r="H28" s="5" t="s">
        <v>146</v>
      </c>
      <c r="I28" s="5" t="s">
        <v>216</v>
      </c>
      <c r="J28" s="5" t="s">
        <v>217</v>
      </c>
      <c r="K28" s="7" t="str">
        <f ca="1">IFERROR(__xludf.DUMMYFUNCTION("GOOGLETRANSLATE(H28,""EN"",""ES"")"),"PRODUCTOS DE PANADERIA, GALLETAS, PASTELERÍA, PASTA Y OTROS PRODUCTOS DE CEREALES, CHOCOLATES, CONFITERÍA, HIELOS")</f>
        <v>PRODUCTOS DE PANADERIA, GALLETAS, PASTELERÍA, PASTA Y OTROS PRODUCTOS DE CEREALES, CHOCOLATES, CONFITERÍA, HIELOS</v>
      </c>
      <c r="L28" s="5" t="str">
        <f ca="1">IFERROR(__xludf.DUMMYFUNCTION("GOOGLETRANSLATE(J28,""EN"",""ES"")"),"tartas")</f>
        <v>tartas</v>
      </c>
      <c r="M28" s="8" t="s">
        <v>4</v>
      </c>
      <c r="N28" s="8" t="s">
        <v>4</v>
      </c>
    </row>
    <row r="29" spans="1:14" ht="11.25" customHeight="1">
      <c r="A29" s="5" t="s">
        <v>140</v>
      </c>
      <c r="B29" s="5" t="s">
        <v>141</v>
      </c>
      <c r="C29" s="5" t="s">
        <v>218</v>
      </c>
      <c r="D29" s="5" t="s">
        <v>143</v>
      </c>
      <c r="E29" s="5" t="s">
        <v>5</v>
      </c>
      <c r="F29" s="5" t="s">
        <v>144</v>
      </c>
      <c r="G29" s="5" t="s">
        <v>145</v>
      </c>
      <c r="H29" s="5" t="s">
        <v>146</v>
      </c>
      <c r="I29" s="5" t="s">
        <v>219</v>
      </c>
      <c r="J29" s="5" t="s">
        <v>220</v>
      </c>
      <c r="K29" s="7" t="str">
        <f ca="1">IFERROR(__xludf.DUMMYFUNCTION("GOOGLETRANSLATE(H29,""EN"",""ES"")"),"PRODUCTOS DE PANADERIA, GALLETAS, PASTELERÍA, PASTA Y OTROS PRODUCTOS DE CEREALES, CHOCOLATES, CONFITERÍA, HIELOS")</f>
        <v>PRODUCTOS DE PANADERIA, GALLETAS, PASTELERÍA, PASTA Y OTROS PRODUCTOS DE CEREALES, CHOCOLATES, CONFITERÍA, HIELOS</v>
      </c>
      <c r="L29" s="5" t="str">
        <f ca="1">IFERROR(__xludf.DUMMYFUNCTION("GOOGLETRANSLATE(J29,""EN"",""ES"")"),"Fideos")</f>
        <v>Fideos</v>
      </c>
      <c r="M29" s="8" t="s">
        <v>4</v>
      </c>
      <c r="N29" s="8" t="s">
        <v>4</v>
      </c>
    </row>
    <row r="30" spans="1:14" ht="11.25" customHeight="1">
      <c r="A30" s="5" t="s">
        <v>140</v>
      </c>
      <c r="B30" s="5" t="s">
        <v>141</v>
      </c>
      <c r="C30" s="5" t="s">
        <v>221</v>
      </c>
      <c r="D30" s="5" t="s">
        <v>143</v>
      </c>
      <c r="E30" s="5" t="s">
        <v>5</v>
      </c>
      <c r="F30" s="5" t="s">
        <v>144</v>
      </c>
      <c r="G30" s="5" t="s">
        <v>145</v>
      </c>
      <c r="H30" s="5" t="s">
        <v>146</v>
      </c>
      <c r="I30" s="5" t="s">
        <v>222</v>
      </c>
      <c r="J30" s="5" t="s">
        <v>223</v>
      </c>
      <c r="K30" s="7" t="str">
        <f ca="1">IFERROR(__xludf.DUMMYFUNCTION("GOOGLETRANSLATE(H30,""EN"",""ES"")"),"PRODUCTOS DE PANADERIA, GALLETAS, PASTELERÍA, PASTA Y OTROS PRODUCTOS DE CEREALES, CHOCOLATES, CONFITERÍA, HIELOS")</f>
        <v>PRODUCTOS DE PANADERIA, GALLETAS, PASTELERÍA, PASTA Y OTROS PRODUCTOS DE CEREALES, CHOCOLATES, CONFITERÍA, HIELOS</v>
      </c>
      <c r="L30" s="5" t="str">
        <f ca="1">IFERROR(__xludf.DUMMYFUNCTION("GOOGLETRANSLATE(J30,""EN"",""ES"")"),"Zwiebacks")</f>
        <v>Zwiebacks</v>
      </c>
      <c r="M30" s="8" t="s">
        <v>4</v>
      </c>
      <c r="N30" s="8" t="s">
        <v>4</v>
      </c>
    </row>
    <row r="31" spans="1:14" ht="11.25" customHeight="1">
      <c r="A31" s="5" t="s">
        <v>140</v>
      </c>
      <c r="B31" s="5" t="s">
        <v>141</v>
      </c>
      <c r="C31" s="5" t="s">
        <v>224</v>
      </c>
      <c r="D31" s="5" t="s">
        <v>143</v>
      </c>
      <c r="E31" s="5" t="s">
        <v>5</v>
      </c>
      <c r="F31" s="5" t="s">
        <v>144</v>
      </c>
      <c r="G31" s="5" t="s">
        <v>145</v>
      </c>
      <c r="H31" s="5" t="s">
        <v>146</v>
      </c>
      <c r="I31" s="5" t="s">
        <v>225</v>
      </c>
      <c r="J31" s="5" t="s">
        <v>226</v>
      </c>
      <c r="K31" s="7" t="str">
        <f ca="1">IFERROR(__xludf.DUMMYFUNCTION("GOOGLETRANSLATE(H31,""EN"",""ES"")"),"PRODUCTOS DE PANADERIA, GALLETAS, PASTELERÍA, PASTA Y OTROS PRODUCTOS DE CEREALES, CHOCOLATES, CONFITERÍA, HIELOS")</f>
        <v>PRODUCTOS DE PANADERIA, GALLETAS, PASTELERÍA, PASTA Y OTROS PRODUCTOS DE CEREALES, CHOCOLATES, CONFITERÍA, HIELOS</v>
      </c>
      <c r="L31" s="5" t="str">
        <f ca="1">IFERROR(__xludf.DUMMYFUNCTION("GOOGLETRANSLATE(J31,""EN"",""ES"")"),"Preparaciones de cereales")</f>
        <v>Preparaciones de cereales</v>
      </c>
      <c r="M31" s="8" t="s">
        <v>4</v>
      </c>
      <c r="N31" s="8" t="s">
        <v>4</v>
      </c>
    </row>
    <row r="32" spans="1:14" ht="11.25" customHeight="1">
      <c r="A32" s="5" t="s">
        <v>140</v>
      </c>
      <c r="B32" s="5" t="s">
        <v>141</v>
      </c>
      <c r="C32" s="5" t="s">
        <v>227</v>
      </c>
      <c r="D32" s="5" t="s">
        <v>143</v>
      </c>
      <c r="E32" s="5" t="s">
        <v>5</v>
      </c>
      <c r="F32" s="5" t="s">
        <v>144</v>
      </c>
      <c r="G32" s="5" t="s">
        <v>145</v>
      </c>
      <c r="H32" s="5" t="s">
        <v>146</v>
      </c>
      <c r="I32" s="5" t="s">
        <v>228</v>
      </c>
      <c r="J32" s="5" t="s">
        <v>228</v>
      </c>
      <c r="K32" s="7" t="str">
        <f ca="1">IFERROR(__xludf.DUMMYFUNCTION("GOOGLETRANSLATE(H32,""EN"",""ES"")"),"PRODUCTOS DE PANADERIA, GALLETAS, PASTELERÍA, PASTA Y OTROS PRODUCTOS DE CEREALES, CHOCOLATES, CONFITERÍA, HIELOS")</f>
        <v>PRODUCTOS DE PANADERIA, GALLETAS, PASTELERÍA, PASTA Y OTROS PRODUCTOS DE CEREALES, CHOCOLATES, CONFITERÍA, HIELOS</v>
      </c>
      <c r="L32" s="5" t="str">
        <f ca="1">IFERROR(__xludf.DUMMYFUNCTION("GOOGLETRANSLATE(J32,""EN"",""ES"")"),"Pizzas")</f>
        <v>Pizzas</v>
      </c>
      <c r="M32" s="8" t="s">
        <v>4</v>
      </c>
      <c r="N32" s="8" t="s">
        <v>4</v>
      </c>
    </row>
    <row r="33" spans="1:14" ht="11.25" customHeight="1">
      <c r="A33" s="5" t="s">
        <v>140</v>
      </c>
      <c r="B33" s="5" t="s">
        <v>141</v>
      </c>
      <c r="C33" s="5" t="s">
        <v>229</v>
      </c>
      <c r="D33" s="5" t="s">
        <v>143</v>
      </c>
      <c r="E33" s="5" t="s">
        <v>5</v>
      </c>
      <c r="F33" s="5" t="s">
        <v>144</v>
      </c>
      <c r="G33" s="5" t="s">
        <v>145</v>
      </c>
      <c r="H33" s="5" t="s">
        <v>146</v>
      </c>
      <c r="I33" s="5" t="s">
        <v>230</v>
      </c>
      <c r="J33" s="5" t="s">
        <v>231</v>
      </c>
      <c r="K33" s="7" t="str">
        <f ca="1">IFERROR(__xludf.DUMMYFUNCTION("GOOGLETRANSLATE(H33,""EN"",""ES"")"),"PRODUCTOS DE PANADERIA, GALLETAS, PASTELERÍA, PASTA Y OTROS PRODUCTOS DE CEREALES, CHOCOLATES, CONFITERÍA, HIELOS")</f>
        <v>PRODUCTOS DE PANADERIA, GALLETAS, PASTELERÍA, PASTA Y OTROS PRODUCTOS DE CEREALES, CHOCOLATES, CONFITERÍA, HIELOS</v>
      </c>
      <c r="L33" s="5" t="str">
        <f ca="1">IFERROR(__xludf.DUMMYFUNCTION("GOOGLETRANSLATE(J33,""EN"",""ES"")"),"Gomas de frutas")</f>
        <v>Gomas de frutas</v>
      </c>
      <c r="M33" s="8" t="s">
        <v>4</v>
      </c>
      <c r="N33" s="8" t="s">
        <v>4</v>
      </c>
    </row>
    <row r="34" spans="1:14" ht="11.25" customHeight="1">
      <c r="A34" s="5" t="s">
        <v>140</v>
      </c>
      <c r="B34" s="5" t="s">
        <v>141</v>
      </c>
      <c r="C34" s="5" t="s">
        <v>232</v>
      </c>
      <c r="D34" s="5" t="s">
        <v>143</v>
      </c>
      <c r="E34" s="5" t="s">
        <v>5</v>
      </c>
      <c r="F34" s="5" t="s">
        <v>144</v>
      </c>
      <c r="G34" s="5" t="s">
        <v>145</v>
      </c>
      <c r="H34" s="5" t="s">
        <v>146</v>
      </c>
      <c r="I34" s="5" t="s">
        <v>233</v>
      </c>
      <c r="J34" s="5" t="s">
        <v>234</v>
      </c>
      <c r="K34" s="7" t="str">
        <f ca="1">IFERROR(__xludf.DUMMYFUNCTION("GOOGLETRANSLATE(H34,""EN"",""ES"")"),"PRODUCTOS DE PANADERIA, GALLETAS, PASTELERÍA, PASTA Y OTROS PRODUCTOS DE CEREALES, CHOCOLATES, CONFITERÍA, HIELOS")</f>
        <v>PRODUCTOS DE PANADERIA, GALLETAS, PASTELERÍA, PASTA Y OTROS PRODUCTOS DE CEREALES, CHOCOLATES, CONFITERÍA, HIELOS</v>
      </c>
      <c r="L34" s="5" t="str">
        <f ca="1">IFERROR(__xludf.DUMMYFUNCTION("GOOGLETRANSLATE(J34,""EN"",""ES"")"),"Obleas")</f>
        <v>Obleas</v>
      </c>
      <c r="M34" s="8" t="s">
        <v>4</v>
      </c>
      <c r="N34" s="8" t="s">
        <v>4</v>
      </c>
    </row>
    <row r="35" spans="1:14" ht="11.25" customHeight="1">
      <c r="A35" s="5" t="s">
        <v>140</v>
      </c>
      <c r="B35" s="5" t="s">
        <v>141</v>
      </c>
      <c r="C35" s="5" t="s">
        <v>235</v>
      </c>
      <c r="D35" s="5" t="s">
        <v>143</v>
      </c>
      <c r="E35" s="5" t="s">
        <v>5</v>
      </c>
      <c r="F35" s="5" t="s">
        <v>144</v>
      </c>
      <c r="G35" s="5" t="s">
        <v>145</v>
      </c>
      <c r="H35" s="5" t="s">
        <v>146</v>
      </c>
      <c r="I35" s="5" t="s">
        <v>236</v>
      </c>
      <c r="J35" s="5" t="s">
        <v>237</v>
      </c>
      <c r="K35" s="7" t="str">
        <f ca="1">IFERROR(__xludf.DUMMYFUNCTION("GOOGLETRANSLATE(H35,""EN"",""ES"")"),"PRODUCTOS DE PANADERIA, GALLETAS, PASTELERÍA, PASTA Y OTROS PRODUCTOS DE CEREALES, CHOCOLATES, CONFITERÍA, HIELOS")</f>
        <v>PRODUCTOS DE PANADERIA, GALLETAS, PASTELERÍA, PASTA Y OTROS PRODUCTOS DE CEREALES, CHOCOLATES, CONFITERÍA, HIELOS</v>
      </c>
      <c r="L35" s="5" t="str">
        <f ca="1">IFERROR(__xludf.DUMMYFUNCTION("GOOGLETRANSLATE(J35,""EN"",""ES"")"),"gofres")</f>
        <v>gofres</v>
      </c>
      <c r="M35" s="8" t="s">
        <v>4</v>
      </c>
      <c r="N35" s="8" t="s">
        <v>4</v>
      </c>
    </row>
    <row r="36" spans="1:14" ht="11.25" customHeight="1">
      <c r="A36" s="5" t="s">
        <v>140</v>
      </c>
      <c r="B36" s="5" t="s">
        <v>141</v>
      </c>
      <c r="C36" s="5" t="s">
        <v>238</v>
      </c>
      <c r="D36" s="5" t="s">
        <v>143</v>
      </c>
      <c r="E36" s="5" t="s">
        <v>5</v>
      </c>
      <c r="F36" s="5" t="s">
        <v>144</v>
      </c>
      <c r="G36" s="5" t="s">
        <v>145</v>
      </c>
      <c r="H36" s="5" t="s">
        <v>146</v>
      </c>
      <c r="I36" s="5" t="s">
        <v>239</v>
      </c>
      <c r="J36" s="5" t="s">
        <v>240</v>
      </c>
      <c r="K36" s="7" t="str">
        <f ca="1">IFERROR(__xludf.DUMMYFUNCTION("GOOGLETRANSLATE(H36,""EN"",""ES"")"),"PRODUCTOS DE PANADERIA, GALLETAS, PASTELERÍA, PASTA Y OTROS PRODUCTOS DE CEREALES, CHOCOLATES, CONFITERÍA, HIELOS")</f>
        <v>PRODUCTOS DE PANADERIA, GALLETAS, PASTELERÍA, PASTA Y OTROS PRODUCTOS DE CEREALES, CHOCOLATES, CONFITERÍA, HIELOS</v>
      </c>
      <c r="L36" s="5" t="str">
        <f ca="1">IFERROR(__xludf.DUMMYFUNCTION("GOOGLETRANSLATE(J36,""EN"",""ES"")"),"tortillas en forma")</f>
        <v>tortillas en forma</v>
      </c>
      <c r="M36" s="8" t="s">
        <v>4</v>
      </c>
      <c r="N36" s="8" t="s">
        <v>4</v>
      </c>
    </row>
    <row r="37" spans="1:14" ht="11.25" customHeight="1">
      <c r="A37" s="5" t="s">
        <v>140</v>
      </c>
      <c r="B37" s="5" t="s">
        <v>141</v>
      </c>
      <c r="C37" s="5" t="s">
        <v>241</v>
      </c>
      <c r="D37" s="5" t="s">
        <v>143</v>
      </c>
      <c r="E37" s="5" t="s">
        <v>5</v>
      </c>
      <c r="F37" s="5" t="s">
        <v>144</v>
      </c>
      <c r="G37" s="5" t="s">
        <v>145</v>
      </c>
      <c r="H37" s="5" t="s">
        <v>146</v>
      </c>
      <c r="I37" s="5" t="s">
        <v>242</v>
      </c>
      <c r="J37" s="5" t="s">
        <v>243</v>
      </c>
      <c r="K37" s="7" t="str">
        <f ca="1">IFERROR(__xludf.DUMMYFUNCTION("GOOGLETRANSLATE(H37,""EN"",""ES"")"),"PRODUCTOS DE PANADERIA, GALLETAS, PASTELERÍA, PASTA Y OTROS PRODUCTOS DE CEREALES, CHOCOLATES, CONFITERÍA, HIELOS")</f>
        <v>PRODUCTOS DE PANADERIA, GALLETAS, PASTELERÍA, PASTA Y OTROS PRODUCTOS DE CEREALES, CHOCOLATES, CONFITERÍA, HIELOS</v>
      </c>
      <c r="L37" s="5" t="str">
        <f ca="1">IFERROR(__xludf.DUMMYFUNCTION("GOOGLETRANSLATE(J37,""EN"",""ES"")"),"figuras de chocolate")</f>
        <v>figuras de chocolate</v>
      </c>
      <c r="M37" s="8" t="s">
        <v>4</v>
      </c>
      <c r="N37" s="8" t="s">
        <v>4</v>
      </c>
    </row>
    <row r="38" spans="1:14" ht="11.25" customHeight="1">
      <c r="A38" s="5" t="s">
        <v>140</v>
      </c>
      <c r="B38" s="5" t="s">
        <v>141</v>
      </c>
      <c r="C38" s="5" t="s">
        <v>244</v>
      </c>
      <c r="D38" s="5" t="s">
        <v>143</v>
      </c>
      <c r="E38" s="5" t="s">
        <v>5</v>
      </c>
      <c r="F38" s="5" t="s">
        <v>144</v>
      </c>
      <c r="G38" s="5" t="s">
        <v>145</v>
      </c>
      <c r="H38" s="5" t="s">
        <v>146</v>
      </c>
      <c r="I38" s="5" t="s">
        <v>245</v>
      </c>
      <c r="J38" s="5" t="s">
        <v>246</v>
      </c>
      <c r="K38" s="7" t="str">
        <f ca="1">IFERROR(__xludf.DUMMYFUNCTION("GOOGLETRANSLATE(H38,""EN"",""ES"")"),"PRODUCTOS DE PANADERIA, GALLETAS, PASTELERÍA, PASTA Y OTROS PRODUCTOS DE CEREALES, CHOCOLATES, CONFITERÍA, HIELOS")</f>
        <v>PRODUCTOS DE PANADERIA, GALLETAS, PASTELERÍA, PASTA Y OTROS PRODUCTOS DE CEREALES, CHOCOLATES, CONFITERÍA, HIELOS</v>
      </c>
      <c r="L38" s="5" t="str">
        <f ca="1">IFERROR(__xludf.DUMMYFUNCTION("GOOGLETRANSLATE(J38,""EN"",""ES"")"),"malvaviscos")</f>
        <v>malvaviscos</v>
      </c>
      <c r="M38" s="8" t="s">
        <v>4</v>
      </c>
      <c r="N38" s="8" t="s">
        <v>4</v>
      </c>
    </row>
    <row r="39" spans="1:14" ht="11.25" customHeight="1">
      <c r="A39" s="5" t="s">
        <v>140</v>
      </c>
      <c r="B39" s="5" t="s">
        <v>247</v>
      </c>
      <c r="C39" s="5" t="s">
        <v>248</v>
      </c>
      <c r="D39" s="5" t="s">
        <v>143</v>
      </c>
      <c r="E39" s="5" t="s">
        <v>5</v>
      </c>
      <c r="F39" s="5" t="s">
        <v>144</v>
      </c>
      <c r="G39" s="5" t="s">
        <v>145</v>
      </c>
      <c r="H39" s="5" t="s">
        <v>249</v>
      </c>
      <c r="I39" s="5" t="s">
        <v>250</v>
      </c>
      <c r="J39" s="5" t="s">
        <v>251</v>
      </c>
      <c r="K39" s="7" t="str">
        <f ca="1">IFERROR(__xludf.DUMMYFUNCTION("GOOGLETRANSLATE(H39,""EN"",""ES"")"),"FRUTAS, VERDURAS Y PRODUCTOS ELABORADOS A PARTIR DE FRUTAS Y VERDURAS")</f>
        <v>FRUTAS, VERDURAS Y PRODUCTOS ELABORADOS A PARTIR DE FRUTAS Y VERDURAS</v>
      </c>
      <c r="L39" s="5" t="str">
        <f ca="1">IFERROR(__xludf.DUMMYFUNCTION("GOOGLETRANSLATE(J39,""EN"",""ES"")"),"Fruta")</f>
        <v>Fruta</v>
      </c>
      <c r="M39" s="8" t="s">
        <v>4</v>
      </c>
      <c r="N39" s="8" t="s">
        <v>4</v>
      </c>
    </row>
    <row r="40" spans="1:14" ht="11.25" customHeight="1">
      <c r="A40" s="5" t="s">
        <v>140</v>
      </c>
      <c r="B40" s="5" t="s">
        <v>247</v>
      </c>
      <c r="C40" s="5" t="s">
        <v>252</v>
      </c>
      <c r="D40" s="5" t="s">
        <v>143</v>
      </c>
      <c r="E40" s="5" t="s">
        <v>5</v>
      </c>
      <c r="F40" s="5" t="s">
        <v>144</v>
      </c>
      <c r="G40" s="5" t="s">
        <v>145</v>
      </c>
      <c r="H40" s="5" t="s">
        <v>249</v>
      </c>
      <c r="I40" s="5" t="s">
        <v>253</v>
      </c>
      <c r="J40" s="5" t="s">
        <v>254</v>
      </c>
      <c r="K40" s="7" t="str">
        <f ca="1">IFERROR(__xludf.DUMMYFUNCTION("GOOGLETRANSLATE(H40,""EN"",""ES"")"),"FRUTAS, VERDURAS Y PRODUCTOS ELABORADOS A PARTIR DE FRUTAS Y VERDURAS")</f>
        <v>FRUTAS, VERDURAS Y PRODUCTOS ELABORADOS A PARTIR DE FRUTAS Y VERDURAS</v>
      </c>
      <c r="L40" s="5" t="str">
        <f ca="1">IFERROR(__xludf.DUMMYFUNCTION("GOOGLETRANSLATE(J40,""EN"",""ES"")"),"Verduras")</f>
        <v>Verduras</v>
      </c>
      <c r="M40" s="8" t="s">
        <v>4</v>
      </c>
      <c r="N40" s="8" t="s">
        <v>4</v>
      </c>
    </row>
    <row r="41" spans="1:14" ht="11.25" customHeight="1">
      <c r="A41" s="5" t="s">
        <v>140</v>
      </c>
      <c r="B41" s="5" t="s">
        <v>247</v>
      </c>
      <c r="C41" s="5" t="s">
        <v>255</v>
      </c>
      <c r="D41" s="5" t="s">
        <v>143</v>
      </c>
      <c r="E41" s="5" t="s">
        <v>5</v>
      </c>
      <c r="F41" s="5" t="s">
        <v>144</v>
      </c>
      <c r="G41" s="5" t="s">
        <v>145</v>
      </c>
      <c r="H41" s="5" t="s">
        <v>249</v>
      </c>
      <c r="I41" s="5" t="s">
        <v>256</v>
      </c>
      <c r="J41" s="5" t="s">
        <v>257</v>
      </c>
      <c r="K41" s="7" t="str">
        <f ca="1">IFERROR(__xludf.DUMMYFUNCTION("GOOGLETRANSLATE(H41,""EN"",""ES"")"),"FRUTAS, VERDURAS Y PRODUCTOS ELABORADOS A PARTIR DE FRUTAS Y VERDURAS")</f>
        <v>FRUTAS, VERDURAS Y PRODUCTOS ELABORADOS A PARTIR DE FRUTAS Y VERDURAS</v>
      </c>
      <c r="L41" s="5" t="str">
        <f ca="1">IFERROR(__xludf.DUMMYFUNCTION("GOOGLETRANSLATE(J41,""EN"",""ES"")"),"patatas fritas de verduras")</f>
        <v>patatas fritas de verduras</v>
      </c>
      <c r="M41" s="8" t="s">
        <v>4</v>
      </c>
      <c r="N41" s="8" t="s">
        <v>4</v>
      </c>
    </row>
    <row r="42" spans="1:14" ht="11.25" customHeight="1">
      <c r="A42" s="5" t="s">
        <v>140</v>
      </c>
      <c r="B42" s="5" t="s">
        <v>247</v>
      </c>
      <c r="C42" s="5" t="s">
        <v>255</v>
      </c>
      <c r="D42" s="5" t="s">
        <v>143</v>
      </c>
      <c r="E42" s="5" t="s">
        <v>5</v>
      </c>
      <c r="F42" s="5" t="s">
        <v>144</v>
      </c>
      <c r="G42" s="5" t="s">
        <v>145</v>
      </c>
      <c r="H42" s="5" t="s">
        <v>249</v>
      </c>
      <c r="I42" s="5" t="s">
        <v>258</v>
      </c>
      <c r="J42" s="5" t="s">
        <v>152</v>
      </c>
      <c r="K42" s="7" t="str">
        <f ca="1">IFERROR(__xludf.DUMMYFUNCTION("GOOGLETRANSLATE(H42,""EN"",""ES"")"),"FRUTAS, VERDURAS Y PRODUCTOS ELABORADOS A PARTIR DE FRUTAS Y VERDURAS")</f>
        <v>FRUTAS, VERDURAS Y PRODUCTOS ELABORADOS A PARTIR DE FRUTAS Y VERDURAS</v>
      </c>
      <c r="L42" s="5" t="str">
        <f ca="1">IFERROR(__xludf.DUMMYFUNCTION("GOOGLETRANSLATE(J42,""EN"",""ES"")"),"chips de verduras")</f>
        <v>chips de verduras</v>
      </c>
      <c r="M42" s="8" t="s">
        <v>4</v>
      </c>
      <c r="N42" s="8" t="s">
        <v>4</v>
      </c>
    </row>
    <row r="43" spans="1:14" ht="11.25" customHeight="1">
      <c r="A43" s="5" t="s">
        <v>140</v>
      </c>
      <c r="B43" s="5" t="s">
        <v>247</v>
      </c>
      <c r="C43" s="5" t="s">
        <v>259</v>
      </c>
      <c r="D43" s="5" t="s">
        <v>143</v>
      </c>
      <c r="E43" s="5" t="s">
        <v>5</v>
      </c>
      <c r="F43" s="5" t="s">
        <v>144</v>
      </c>
      <c r="G43" s="5" t="s">
        <v>145</v>
      </c>
      <c r="H43" s="5" t="s">
        <v>249</v>
      </c>
      <c r="I43" s="5" t="s">
        <v>260</v>
      </c>
      <c r="J43" s="5" t="s">
        <v>261</v>
      </c>
      <c r="K43" s="7" t="str">
        <f ca="1">IFERROR(__xludf.DUMMYFUNCTION("GOOGLETRANSLATE(H43,""EN"",""ES"")"),"FRUTAS, VERDURAS Y PRODUCTOS ELABORADOS A PARTIR DE FRUTAS Y VERDURAS")</f>
        <v>FRUTAS, VERDURAS Y PRODUCTOS ELABORADOS A PARTIR DE FRUTAS Y VERDURAS</v>
      </c>
      <c r="L43" s="5" t="str">
        <f ca="1">IFERROR(__xludf.DUMMYFUNCTION("GOOGLETRANSLATE(J43,""EN"",""ES"")"),"patatas fritas de frutas")</f>
        <v>patatas fritas de frutas</v>
      </c>
      <c r="M43" s="8" t="s">
        <v>4</v>
      </c>
      <c r="N43" s="8" t="s">
        <v>4</v>
      </c>
    </row>
    <row r="44" spans="1:14" ht="11.25" customHeight="1">
      <c r="A44" s="5" t="s">
        <v>140</v>
      </c>
      <c r="B44" s="5" t="s">
        <v>247</v>
      </c>
      <c r="C44" s="5" t="s">
        <v>259</v>
      </c>
      <c r="D44" s="5" t="s">
        <v>143</v>
      </c>
      <c r="E44" s="5" t="s">
        <v>5</v>
      </c>
      <c r="F44" s="5" t="s">
        <v>144</v>
      </c>
      <c r="G44" s="5" t="s">
        <v>145</v>
      </c>
      <c r="H44" s="5" t="s">
        <v>249</v>
      </c>
      <c r="I44" s="5" t="s">
        <v>262</v>
      </c>
      <c r="J44" s="5" t="s">
        <v>152</v>
      </c>
      <c r="K44" s="7" t="str">
        <f ca="1">IFERROR(__xludf.DUMMYFUNCTION("GOOGLETRANSLATE(H44,""EN"",""ES"")"),"FRUTAS, VERDURAS Y PRODUCTOS ELABORADOS A PARTIR DE FRUTAS Y VERDURAS")</f>
        <v>FRUTAS, VERDURAS Y PRODUCTOS ELABORADOS A PARTIR DE FRUTAS Y VERDURAS</v>
      </c>
      <c r="L44" s="5" t="str">
        <f ca="1">IFERROR(__xludf.DUMMYFUNCTION("GOOGLETRANSLATE(J44,""EN"",""ES"")"),"chips de frutas")</f>
        <v>chips de frutas</v>
      </c>
      <c r="M44" s="8" t="s">
        <v>4</v>
      </c>
      <c r="N44" s="8" t="s">
        <v>4</v>
      </c>
    </row>
    <row r="45" spans="1:14" ht="11.25" customHeight="1">
      <c r="A45" s="5" t="s">
        <v>140</v>
      </c>
      <c r="B45" s="5" t="s">
        <v>247</v>
      </c>
      <c r="C45" s="5" t="s">
        <v>263</v>
      </c>
      <c r="D45" s="5" t="s">
        <v>143</v>
      </c>
      <c r="E45" s="5" t="s">
        <v>5</v>
      </c>
      <c r="F45" s="5" t="s">
        <v>144</v>
      </c>
      <c r="G45" s="5" t="s">
        <v>145</v>
      </c>
      <c r="H45" s="5" t="s">
        <v>249</v>
      </c>
      <c r="I45" s="5" t="s">
        <v>264</v>
      </c>
      <c r="J45" s="5" t="s">
        <v>265</v>
      </c>
      <c r="K45" s="7" t="str">
        <f ca="1">IFERROR(__xludf.DUMMYFUNCTION("GOOGLETRANSLATE(H45,""EN"",""ES"")"),"FRUTAS, VERDURAS Y PRODUCTOS ELABORADOS A PARTIR DE FRUTAS Y VERDURAS")</f>
        <v>FRUTAS, VERDURAS Y PRODUCTOS ELABORADOS A PARTIR DE FRUTAS Y VERDURAS</v>
      </c>
      <c r="L45" s="5" t="str">
        <f ca="1">IFERROR(__xludf.DUMMYFUNCTION("GOOGLETRANSLATE(J45,""EN"",""ES"")"),"Productos vegetales preformados")</f>
        <v>Productos vegetales preformados</v>
      </c>
      <c r="M45" s="8" t="s">
        <v>4</v>
      </c>
      <c r="N45" s="8" t="s">
        <v>4</v>
      </c>
    </row>
    <row r="46" spans="1:14" ht="11.25" customHeight="1">
      <c r="A46" s="5" t="s">
        <v>140</v>
      </c>
      <c r="B46" s="5" t="s">
        <v>266</v>
      </c>
      <c r="C46" s="5" t="s">
        <v>267</v>
      </c>
      <c r="D46" s="5" t="s">
        <v>143</v>
      </c>
      <c r="E46" s="5" t="s">
        <v>5</v>
      </c>
      <c r="F46" s="5" t="s">
        <v>144</v>
      </c>
      <c r="G46" s="5" t="s">
        <v>145</v>
      </c>
      <c r="H46" s="5" t="s">
        <v>268</v>
      </c>
      <c r="I46" s="5" t="s">
        <v>269</v>
      </c>
      <c r="J46" s="5" t="s">
        <v>270</v>
      </c>
      <c r="K46" s="7" t="str">
        <f ca="1">IFERROR(__xludf.DUMMYFUNCTION("GOOGLETRANSLATE(H46,""EN"",""ES"")"),"QUESOS, MANTEQUILLA Y SUSTITUTOS DE MANTEQUILLA, OTROS PRODUCTOS LÁCTEOS")</f>
        <v>QUESOS, MANTEQUILLA Y SUSTITUTOS DE MANTEQUILLA, OTROS PRODUCTOS LÁCTEOS</v>
      </c>
      <c r="L46" s="5" t="str">
        <f ca="1">IFERROR(__xludf.DUMMYFUNCTION("GOOGLETRANSLATE(J46,""EN"",""ES"")"),"Mantequilla y sustitutos de la mantequilla")</f>
        <v>Mantequilla y sustitutos de la mantequilla</v>
      </c>
      <c r="M46" s="8" t="s">
        <v>4</v>
      </c>
      <c r="N46" s="8" t="s">
        <v>4</v>
      </c>
    </row>
    <row r="47" spans="1:14" ht="11.25" customHeight="1">
      <c r="A47" s="5" t="s">
        <v>140</v>
      </c>
      <c r="B47" s="5" t="s">
        <v>266</v>
      </c>
      <c r="C47" s="5" t="s">
        <v>271</v>
      </c>
      <c r="D47" s="5" t="s">
        <v>143</v>
      </c>
      <c r="E47" s="5" t="s">
        <v>5</v>
      </c>
      <c r="F47" s="5" t="s">
        <v>144</v>
      </c>
      <c r="G47" s="5" t="s">
        <v>145</v>
      </c>
      <c r="H47" s="5" t="s">
        <v>268</v>
      </c>
      <c r="I47" s="5" t="s">
        <v>272</v>
      </c>
      <c r="J47" s="5" t="s">
        <v>273</v>
      </c>
      <c r="K47" s="7" t="str">
        <f ca="1">IFERROR(__xludf.DUMMYFUNCTION("GOOGLETRANSLATE(H47,""EN"",""ES"")"),"QUESOS, MANTEQUILLA Y SUSTITUTOS DE MANTEQUILLA, OTROS PRODUCTOS LÁCTEOS")</f>
        <v>QUESOS, MANTEQUILLA Y SUSTITUTOS DE MANTEQUILLA, OTROS PRODUCTOS LÁCTEOS</v>
      </c>
      <c r="L47" s="5" t="str">
        <f ca="1">IFERROR(__xludf.DUMMYFUNCTION("GOOGLETRANSLATE(J47,""EN"",""ES"")"),"Quesos")</f>
        <v>Quesos</v>
      </c>
      <c r="M47" s="8" t="s">
        <v>4</v>
      </c>
      <c r="N47" s="8" t="s">
        <v>4</v>
      </c>
    </row>
    <row r="48" spans="1:14" ht="11.25" customHeight="1">
      <c r="A48" s="5" t="s">
        <v>140</v>
      </c>
      <c r="B48" s="5" t="s">
        <v>266</v>
      </c>
      <c r="C48" s="5" t="s">
        <v>274</v>
      </c>
      <c r="D48" s="5" t="s">
        <v>143</v>
      </c>
      <c r="E48" s="5" t="s">
        <v>5</v>
      </c>
      <c r="F48" s="5" t="s">
        <v>144</v>
      </c>
      <c r="G48" s="5" t="s">
        <v>145</v>
      </c>
      <c r="H48" s="5" t="s">
        <v>268</v>
      </c>
      <c r="I48" s="5" t="s">
        <v>275</v>
      </c>
      <c r="J48" s="5" t="s">
        <v>276</v>
      </c>
      <c r="K48" s="7" t="str">
        <f ca="1">IFERROR(__xludf.DUMMYFUNCTION("GOOGLETRANSLATE(H48,""EN"",""ES"")"),"QUESOS, MANTEQUILLA Y SUSTITUTOS DE MANTEQUILLA, OTROS PRODUCTOS LÁCTEOS")</f>
        <v>QUESOS, MANTEQUILLA Y SUSTITUTOS DE MANTEQUILLA, OTROS PRODUCTOS LÁCTEOS</v>
      </c>
      <c r="L48" s="5" t="str">
        <f ca="1">IFERROR(__xludf.DUMMYFUNCTION("GOOGLETRANSLATE(J48,""EN"",""ES"")"),"productos lácteos")</f>
        <v>productos lácteos</v>
      </c>
      <c r="M48" s="8" t="s">
        <v>4</v>
      </c>
      <c r="N48" s="8" t="s">
        <v>4</v>
      </c>
    </row>
    <row r="49" spans="1:14" ht="11.25" customHeight="1">
      <c r="A49" s="5" t="s">
        <v>140</v>
      </c>
      <c r="B49" s="5" t="s">
        <v>266</v>
      </c>
      <c r="C49" s="5" t="s">
        <v>277</v>
      </c>
      <c r="D49" s="5" t="s">
        <v>143</v>
      </c>
      <c r="E49" s="5" t="s">
        <v>5</v>
      </c>
      <c r="F49" s="5" t="s">
        <v>144</v>
      </c>
      <c r="G49" s="5" t="s">
        <v>145</v>
      </c>
      <c r="H49" s="5" t="s">
        <v>268</v>
      </c>
      <c r="I49" s="5" t="s">
        <v>278</v>
      </c>
      <c r="J49" s="5" t="s">
        <v>278</v>
      </c>
      <c r="K49" s="7" t="str">
        <f ca="1">IFERROR(__xludf.DUMMYFUNCTION("GOOGLETRANSLATE(H49,""EN"",""ES"")"),"QUESOS, MANTEQUILLA Y SUSTITUTOS DE MANTEQUILLA, OTROS PRODUCTOS LÁCTEOS")</f>
        <v>QUESOS, MANTEQUILLA Y SUSTITUTOS DE MANTEQUILLA, OTROS PRODUCTOS LÁCTEOS</v>
      </c>
      <c r="L49" s="5" t="str">
        <f ca="1">IFERROR(__xludf.DUMMYFUNCTION("GOOGLETRANSLATE(J49,""EN"",""ES"")"),"Margarina")</f>
        <v>Margarina</v>
      </c>
      <c r="M49" s="8" t="s">
        <v>4</v>
      </c>
      <c r="N49" s="8" t="s">
        <v>4</v>
      </c>
    </row>
    <row r="50" spans="1:14" ht="11.25" customHeight="1">
      <c r="A50" s="5" t="s">
        <v>140</v>
      </c>
      <c r="B50" s="5" t="s">
        <v>279</v>
      </c>
      <c r="C50" s="5" t="s">
        <v>280</v>
      </c>
      <c r="D50" s="5" t="s">
        <v>143</v>
      </c>
      <c r="E50" s="5" t="s">
        <v>5</v>
      </c>
      <c r="F50" s="5" t="s">
        <v>144</v>
      </c>
      <c r="G50" s="5" t="s">
        <v>145</v>
      </c>
      <c r="H50" s="5" t="s">
        <v>281</v>
      </c>
      <c r="I50" s="5" t="s">
        <v>282</v>
      </c>
      <c r="J50" s="5" t="s">
        <v>283</v>
      </c>
      <c r="K50" s="7" t="str">
        <f ca="1">IFERROR(__xludf.DUMMYFUNCTION("GOOGLETRANSLATE(H50,""EN"",""ES"")"),"CARNE DE CARNICERÍA (INCLUIDOS LOS PRODUCTOS DEL CERDO), PESCADO")</f>
        <v>CARNE DE CARNICERÍA (INCLUIDOS LOS PRODUCTOS DEL CERDO), PESCADO</v>
      </c>
      <c r="L50" s="5" t="str">
        <f ca="1">IFERROR(__xludf.DUMMYFUNCTION("GOOGLETRANSLATE(J50,""EN"",""ES"")"),"pasteles de pescado")</f>
        <v>pasteles de pescado</v>
      </c>
      <c r="M50" s="8" t="s">
        <v>4</v>
      </c>
      <c r="N50" s="8" t="s">
        <v>4</v>
      </c>
    </row>
    <row r="51" spans="1:14" ht="11.25" customHeight="1">
      <c r="A51" s="5" t="s">
        <v>140</v>
      </c>
      <c r="B51" s="5" t="s">
        <v>279</v>
      </c>
      <c r="C51" s="5" t="s">
        <v>284</v>
      </c>
      <c r="D51" s="5" t="s">
        <v>143</v>
      </c>
      <c r="E51" s="5" t="s">
        <v>5</v>
      </c>
      <c r="F51" s="5" t="s">
        <v>144</v>
      </c>
      <c r="G51" s="5" t="s">
        <v>145</v>
      </c>
      <c r="H51" s="5" t="s">
        <v>281</v>
      </c>
      <c r="I51" s="5" t="s">
        <v>285</v>
      </c>
      <c r="J51" s="5" t="s">
        <v>286</v>
      </c>
      <c r="K51" s="7" t="str">
        <f ca="1">IFERROR(__xludf.DUMMYFUNCTION("GOOGLETRANSLATE(H51,""EN"",""ES"")"),"CARNE DE CARNICERÍA (INCLUIDOS LOS PRODUCTOS DEL CERDO), PESCADO")</f>
        <v>CARNE DE CARNICERÍA (INCLUIDOS LOS PRODUCTOS DEL CERDO), PESCADO</v>
      </c>
      <c r="L51" s="5" t="str">
        <f ca="1">IFERROR(__xludf.DUMMYFUNCTION("GOOGLETRANSLATE(J51,""EN"",""ES"")"),"Salchichas")</f>
        <v>Salchichas</v>
      </c>
      <c r="M51" s="8" t="s">
        <v>4</v>
      </c>
      <c r="N51" s="8" t="s">
        <v>4</v>
      </c>
    </row>
    <row r="52" spans="1:14" ht="11.25" customHeight="1">
      <c r="A52" s="5" t="s">
        <v>140</v>
      </c>
      <c r="B52" s="5" t="s">
        <v>279</v>
      </c>
      <c r="C52" s="5" t="s">
        <v>287</v>
      </c>
      <c r="D52" s="5" t="s">
        <v>143</v>
      </c>
      <c r="E52" s="5" t="s">
        <v>5</v>
      </c>
      <c r="F52" s="5" t="s">
        <v>144</v>
      </c>
      <c r="G52" s="5" t="s">
        <v>145</v>
      </c>
      <c r="H52" s="5" t="s">
        <v>281</v>
      </c>
      <c r="I52" s="5" t="s">
        <v>288</v>
      </c>
      <c r="J52" s="5" t="s">
        <v>289</v>
      </c>
      <c r="K52" s="7" t="str">
        <f ca="1">IFERROR(__xludf.DUMMYFUNCTION("GOOGLETRANSLATE(H52,""EN"",""ES"")"),"CARNE DE CARNICERÍA (INCLUIDOS LOS PRODUCTOS DEL CERDO), PESCADO")</f>
        <v>CARNE DE CARNICERÍA (INCLUIDOS LOS PRODUCTOS DEL CERDO), PESCADO</v>
      </c>
      <c r="L52" s="5" t="str">
        <f ca="1">IFERROR(__xludf.DUMMYFUNCTION("GOOGLETRANSLATE(J52,""EN"",""ES"")"),"albóndigas")</f>
        <v>albóndigas</v>
      </c>
      <c r="M52" s="8" t="s">
        <v>4</v>
      </c>
      <c r="N52" s="8" t="s">
        <v>4</v>
      </c>
    </row>
    <row r="53" spans="1:14" ht="11.25" customHeight="1">
      <c r="A53" s="5" t="s">
        <v>140</v>
      </c>
      <c r="B53" s="5" t="s">
        <v>279</v>
      </c>
      <c r="C53" s="5" t="s">
        <v>290</v>
      </c>
      <c r="D53" s="5" t="s">
        <v>143</v>
      </c>
      <c r="E53" s="5" t="s">
        <v>5</v>
      </c>
      <c r="F53" s="5" t="s">
        <v>144</v>
      </c>
      <c r="G53" s="5" t="s">
        <v>145</v>
      </c>
      <c r="H53" s="5" t="s">
        <v>281</v>
      </c>
      <c r="I53" s="5" t="s">
        <v>291</v>
      </c>
      <c r="J53" s="5" t="s">
        <v>292</v>
      </c>
      <c r="K53" s="7" t="str">
        <f ca="1">IFERROR(__xludf.DUMMYFUNCTION("GOOGLETRANSLATE(H53,""EN"",""ES"")"),"CARNE DE CARNICERÍA (INCLUIDOS LOS PRODUCTOS DEL CERDO), PESCADO")</f>
        <v>CARNE DE CARNICERÍA (INCLUIDOS LOS PRODUCTOS DEL CERDO), PESCADO</v>
      </c>
      <c r="L53" s="5" t="str">
        <f ca="1">IFERROR(__xludf.DUMMYFUNCTION("GOOGLETRANSLATE(J53,""EN"",""ES"")"),"tiras de carne seca")</f>
        <v>tiras de carne seca</v>
      </c>
      <c r="M53" s="8" t="s">
        <v>4</v>
      </c>
      <c r="N53" s="8" t="s">
        <v>4</v>
      </c>
    </row>
    <row r="54" spans="1:14" ht="11.25" customHeight="1">
      <c r="A54" s="5" t="s">
        <v>140</v>
      </c>
      <c r="B54" s="5" t="s">
        <v>279</v>
      </c>
      <c r="C54" s="5" t="s">
        <v>293</v>
      </c>
      <c r="D54" s="5" t="s">
        <v>143</v>
      </c>
      <c r="E54" s="5" t="s">
        <v>5</v>
      </c>
      <c r="F54" s="5" t="s">
        <v>144</v>
      </c>
      <c r="G54" s="5" t="s">
        <v>145</v>
      </c>
      <c r="H54" s="5" t="s">
        <v>281</v>
      </c>
      <c r="I54" s="5" t="s">
        <v>294</v>
      </c>
      <c r="J54" s="5" t="s">
        <v>295</v>
      </c>
      <c r="K54" s="7" t="str">
        <f ca="1">IFERROR(__xludf.DUMMYFUNCTION("GOOGLETRANSLATE(H54,""EN"",""ES"")"),"CARNE DE CARNICERÍA (INCLUIDOS LOS PRODUCTOS DEL CERDO), PESCADO")</f>
        <v>CARNE DE CARNICERÍA (INCLUIDOS LOS PRODUCTOS DEL CERDO), PESCADO</v>
      </c>
      <c r="L54" s="5" t="str">
        <f ca="1">IFERROR(__xludf.DUMMYFUNCTION("GOOGLETRANSLATE(J54,""EN"",""ES"")"),"Productos cárnicos preformados")</f>
        <v>Productos cárnicos preformados</v>
      </c>
      <c r="M54" s="8" t="s">
        <v>4</v>
      </c>
      <c r="N54" s="8" t="s">
        <v>4</v>
      </c>
    </row>
    <row r="55" spans="1:14" ht="11.25" customHeight="1">
      <c r="A55" s="5" t="s">
        <v>140</v>
      </c>
      <c r="B55" s="5" t="s">
        <v>279</v>
      </c>
      <c r="C55" s="5" t="s">
        <v>296</v>
      </c>
      <c r="D55" s="5" t="s">
        <v>143</v>
      </c>
      <c r="E55" s="5" t="s">
        <v>5</v>
      </c>
      <c r="F55" s="5" t="s">
        <v>144</v>
      </c>
      <c r="G55" s="5" t="s">
        <v>145</v>
      </c>
      <c r="H55" s="5" t="s">
        <v>281</v>
      </c>
      <c r="I55" s="5" t="s">
        <v>297</v>
      </c>
      <c r="J55" s="5" t="s">
        <v>298</v>
      </c>
      <c r="K55" s="7" t="str">
        <f ca="1">IFERROR(__xludf.DUMMYFUNCTION("GOOGLETRANSLATE(H55,""EN"",""ES"")"),"CARNE DE CARNICERÍA (INCLUIDOS LOS PRODUCTOS DEL CERDO), PESCADO")</f>
        <v>CARNE DE CARNICERÍA (INCLUIDOS LOS PRODUCTOS DEL CERDO), PESCADO</v>
      </c>
      <c r="L55" s="5" t="str">
        <f ca="1">IFERROR(__xludf.DUMMYFUNCTION("GOOGLETRANSLATE(J55,""EN"",""ES"")"),"Productos pesqueros preformados")</f>
        <v>Productos pesqueros preformados</v>
      </c>
      <c r="M55" s="8" t="s">
        <v>4</v>
      </c>
      <c r="N55" s="8" t="s">
        <v>4</v>
      </c>
    </row>
    <row r="56" spans="1:14" ht="11.25" customHeight="1">
      <c r="A56" s="5" t="s">
        <v>140</v>
      </c>
      <c r="B56" s="5" t="s">
        <v>299</v>
      </c>
      <c r="C56" s="5" t="s">
        <v>300</v>
      </c>
      <c r="D56" s="5" t="s">
        <v>143</v>
      </c>
      <c r="E56" s="5" t="s">
        <v>5</v>
      </c>
      <c r="F56" s="5" t="s">
        <v>144</v>
      </c>
      <c r="G56" s="5" t="s">
        <v>145</v>
      </c>
      <c r="H56" s="5" t="s">
        <v>301</v>
      </c>
      <c r="I56" s="5" t="s">
        <v>302</v>
      </c>
      <c r="J56" s="5" t="s">
        <v>302</v>
      </c>
      <c r="K56" s="7" t="str">
        <f ca="1">IFERROR(__xludf.DUMMYFUNCTION("GOOGLETRANSLATE(H56,""EN"",""ES"")"),"TOFU Y PRODUCTOS DE TOFU")</f>
        <v>TOFU Y PRODUCTOS DE TOFU</v>
      </c>
      <c r="L56" s="5" t="str">
        <f ca="1">IFERROR(__xludf.DUMMYFUNCTION("GOOGLETRANSLATE(J56,""EN"",""ES"")"),"tofu")</f>
        <v>tofu</v>
      </c>
      <c r="M56" s="8" t="s">
        <v>4</v>
      </c>
      <c r="N56" s="8" t="s">
        <v>4</v>
      </c>
    </row>
    <row r="57" spans="1:14" ht="11.25" customHeight="1">
      <c r="A57" s="5" t="s">
        <v>140</v>
      </c>
      <c r="B57" s="5" t="s">
        <v>299</v>
      </c>
      <c r="C57" s="5" t="s">
        <v>303</v>
      </c>
      <c r="D57" s="5" t="s">
        <v>143</v>
      </c>
      <c r="E57" s="5" t="s">
        <v>5</v>
      </c>
      <c r="F57" s="5" t="s">
        <v>144</v>
      </c>
      <c r="G57" s="5" t="s">
        <v>145</v>
      </c>
      <c r="H57" s="5" t="s">
        <v>301</v>
      </c>
      <c r="I57" s="5" t="s">
        <v>304</v>
      </c>
      <c r="J57" s="5" t="s">
        <v>305</v>
      </c>
      <c r="K57" s="7" t="str">
        <f ca="1">IFERROR(__xludf.DUMMYFUNCTION("GOOGLETRANSLATE(H57,""EN"",""ES"")"),"TOFU Y PRODUCTOS DE TOFU")</f>
        <v>TOFU Y PRODUCTOS DE TOFU</v>
      </c>
      <c r="L57" s="5" t="str">
        <f ca="1">IFERROR(__xludf.DUMMYFUNCTION("GOOGLETRANSLATE(J57,""EN"",""ES"")"),"piel de tofu")</f>
        <v>piel de tofu</v>
      </c>
      <c r="M57" s="8" t="s">
        <v>4</v>
      </c>
      <c r="N57" s="8" t="s">
        <v>4</v>
      </c>
    </row>
    <row r="58" spans="1:14" ht="11.25" customHeight="1">
      <c r="A58" s="5" t="s">
        <v>140</v>
      </c>
      <c r="B58" s="5" t="s">
        <v>299</v>
      </c>
      <c r="C58" s="5" t="s">
        <v>306</v>
      </c>
      <c r="D58" s="5" t="s">
        <v>143</v>
      </c>
      <c r="E58" s="5" t="s">
        <v>5</v>
      </c>
      <c r="F58" s="5" t="s">
        <v>144</v>
      </c>
      <c r="G58" s="5" t="s">
        <v>145</v>
      </c>
      <c r="H58" s="5" t="s">
        <v>301</v>
      </c>
      <c r="I58" s="5" t="s">
        <v>307</v>
      </c>
      <c r="J58" s="5" t="s">
        <v>308</v>
      </c>
      <c r="K58" s="7" t="str">
        <f ca="1">IFERROR(__xludf.DUMMYFUNCTION("GOOGLETRANSLATE(H58,""EN"",""ES"")"),"TOFU Y PRODUCTOS DE TOFU")</f>
        <v>TOFU Y PRODUCTOS DE TOFU</v>
      </c>
      <c r="L58" s="5" t="str">
        <f ca="1">IFERROR(__xludf.DUMMYFUNCTION("GOOGLETRANSLATE(J58,""EN"",""ES"")"),"tofu seco")</f>
        <v>tofu seco</v>
      </c>
      <c r="M58" s="8" t="s">
        <v>4</v>
      </c>
      <c r="N58" s="8" t="s">
        <v>4</v>
      </c>
    </row>
    <row r="59" spans="1:14" ht="11.25" customHeight="1">
      <c r="A59" s="5" t="s">
        <v>140</v>
      </c>
      <c r="B59" s="5" t="s">
        <v>309</v>
      </c>
      <c r="C59" s="5" t="s">
        <v>310</v>
      </c>
      <c r="D59" s="5" t="s">
        <v>143</v>
      </c>
      <c r="E59" s="5" t="s">
        <v>5</v>
      </c>
      <c r="F59" s="5" t="s">
        <v>144</v>
      </c>
      <c r="G59" s="5" t="s">
        <v>145</v>
      </c>
      <c r="H59" s="5" t="s">
        <v>311</v>
      </c>
      <c r="I59" s="5" t="s">
        <v>312</v>
      </c>
      <c r="J59" s="5" t="s">
        <v>313</v>
      </c>
      <c r="K59" s="7" t="str">
        <f ca="1">IFERROR(__xludf.DUMMYFUNCTION("GOOGLETRANSLATE(H59,""EN"",""ES"")"),"ALIMENTOS PARA ANIMALES")</f>
        <v>ALIMENTOS PARA ANIMALES</v>
      </c>
      <c r="L59" s="5" t="str">
        <f ca="1">IFERROR(__xludf.DUMMYFUNCTION("GOOGLETRANSLATE(J59,""EN"",""ES"")"),"galletas para perros")</f>
        <v>galletas para perros</v>
      </c>
      <c r="M59" s="8" t="s">
        <v>4</v>
      </c>
      <c r="N59" s="8" t="s">
        <v>90</v>
      </c>
    </row>
    <row r="60" spans="1:14" ht="11.25" customHeight="1">
      <c r="A60" s="5" t="s">
        <v>140</v>
      </c>
      <c r="B60" s="5" t="s">
        <v>309</v>
      </c>
      <c r="C60" s="5" t="s">
        <v>314</v>
      </c>
      <c r="D60" s="5" t="s">
        <v>143</v>
      </c>
      <c r="E60" s="5" t="s">
        <v>5</v>
      </c>
      <c r="F60" s="5" t="s">
        <v>144</v>
      </c>
      <c r="G60" s="5" t="s">
        <v>145</v>
      </c>
      <c r="H60" s="5" t="s">
        <v>311</v>
      </c>
      <c r="I60" s="5" t="s">
        <v>315</v>
      </c>
      <c r="J60" s="5" t="s">
        <v>316</v>
      </c>
      <c r="K60" s="7" t="str">
        <f ca="1">IFERROR(__xludf.DUMMYFUNCTION("GOOGLETRANSLATE(H60,""EN"",""ES"")"),"ALIMENTOS PARA ANIMALES")</f>
        <v>ALIMENTOS PARA ANIMALES</v>
      </c>
      <c r="L60" s="5" t="str">
        <f ca="1">IFERROR(__xludf.DUMMYFUNCTION("GOOGLETRANSLATE(J60,""EN"",""ES"")"),"pan para pájaros")</f>
        <v>pan para pájaros</v>
      </c>
      <c r="M60" s="8" t="s">
        <v>4</v>
      </c>
      <c r="N60" s="8" t="s">
        <v>90</v>
      </c>
    </row>
    <row r="61" spans="1:14" ht="11.25" customHeight="1">
      <c r="A61" s="5" t="s">
        <v>140</v>
      </c>
      <c r="B61" s="5" t="s">
        <v>309</v>
      </c>
      <c r="C61" s="5" t="s">
        <v>317</v>
      </c>
      <c r="D61" s="5" t="s">
        <v>143</v>
      </c>
      <c r="E61" s="5" t="s">
        <v>5</v>
      </c>
      <c r="F61" s="5" t="s">
        <v>144</v>
      </c>
      <c r="G61" s="5" t="s">
        <v>145</v>
      </c>
      <c r="H61" s="5" t="s">
        <v>311</v>
      </c>
      <c r="I61" s="5" t="s">
        <v>318</v>
      </c>
      <c r="J61" s="5" t="s">
        <v>319</v>
      </c>
      <c r="K61" s="7" t="str">
        <f ca="1">IFERROR(__xludf.DUMMYFUNCTION("GOOGLETRANSLATE(H61,""EN"",""ES"")"),"ALIMENTOS PARA ANIMALES")</f>
        <v>ALIMENTOS PARA ANIMALES</v>
      </c>
      <c r="L61" s="5" t="str">
        <f ca="1">IFERROR(__xludf.DUMMYFUNCTION("GOOGLETRANSLATE(J61,""EN"",""ES"")"),"Lamedores de sal para ganado vacuno y de caza.")</f>
        <v>Lamedores de sal para ganado vacuno y de caza.</v>
      </c>
      <c r="M61" s="8" t="s">
        <v>4</v>
      </c>
      <c r="N61" s="8" t="s">
        <v>90</v>
      </c>
    </row>
    <row r="62" spans="1:14" ht="11.25" customHeight="1">
      <c r="A62" s="5" t="s">
        <v>140</v>
      </c>
      <c r="B62" s="5" t="s">
        <v>309</v>
      </c>
      <c r="C62" s="5" t="s">
        <v>317</v>
      </c>
      <c r="D62" s="5" t="s">
        <v>143</v>
      </c>
      <c r="E62" s="5" t="s">
        <v>5</v>
      </c>
      <c r="F62" s="5" t="s">
        <v>144</v>
      </c>
      <c r="G62" s="5" t="s">
        <v>145</v>
      </c>
      <c r="H62" s="5" t="s">
        <v>311</v>
      </c>
      <c r="I62" s="5" t="s">
        <v>152</v>
      </c>
      <c r="J62" s="5" t="s">
        <v>320</v>
      </c>
      <c r="K62" s="7" t="str">
        <f ca="1">IFERROR(__xludf.DUMMYFUNCTION("GOOGLETRANSLATE(H62,""EN"",""ES"")"),"ALIMENTOS PARA ANIMALES")</f>
        <v>ALIMENTOS PARA ANIMALES</v>
      </c>
      <c r="L62" s="5" t="str">
        <f ca="1">IFERROR(__xludf.DUMMYFUNCTION("GOOGLETRANSLATE(J62,""EN"",""ES"")"),"N / A")</f>
        <v>N / A</v>
      </c>
      <c r="M62" s="8" t="s">
        <v>4</v>
      </c>
      <c r="N62" s="8" t="s">
        <v>90</v>
      </c>
    </row>
    <row r="63" spans="1:14" ht="11.25" customHeight="1">
      <c r="A63" s="5" t="s">
        <v>140</v>
      </c>
      <c r="B63" s="5" t="s">
        <v>309</v>
      </c>
      <c r="C63" s="5" t="s">
        <v>321</v>
      </c>
      <c r="D63" s="5" t="s">
        <v>143</v>
      </c>
      <c r="E63" s="5" t="s">
        <v>5</v>
      </c>
      <c r="F63" s="5" t="s">
        <v>144</v>
      </c>
      <c r="G63" s="5" t="s">
        <v>145</v>
      </c>
      <c r="H63" s="5" t="s">
        <v>311</v>
      </c>
      <c r="I63" s="5" t="s">
        <v>322</v>
      </c>
      <c r="J63" s="5" t="s">
        <v>323</v>
      </c>
      <c r="K63" s="7" t="str">
        <f ca="1">IFERROR(__xludf.DUMMYFUNCTION("GOOGLETRANSLATE(H63,""EN"",""ES"")"),"ALIMENTOS PARA ANIMALES")</f>
        <v>ALIMENTOS PARA ANIMALES</v>
      </c>
      <c r="L63" s="5" t="str">
        <f ca="1">IFERROR(__xludf.DUMMYFUNCTION("GOOGLETRANSLATE(J63,""EN"",""ES"")"),"Torta de aceite para animales")</f>
        <v>Torta de aceite para animales</v>
      </c>
      <c r="M63" s="8" t="s">
        <v>4</v>
      </c>
      <c r="N63" s="8" t="s">
        <v>90</v>
      </c>
    </row>
    <row r="64" spans="1:14" ht="11.25" customHeight="1">
      <c r="A64" s="5" t="s">
        <v>140</v>
      </c>
      <c r="B64" s="5" t="s">
        <v>309</v>
      </c>
      <c r="C64" s="5" t="s">
        <v>324</v>
      </c>
      <c r="D64" s="5" t="s">
        <v>143</v>
      </c>
      <c r="E64" s="5" t="s">
        <v>5</v>
      </c>
      <c r="F64" s="5" t="s">
        <v>144</v>
      </c>
      <c r="G64" s="5" t="s">
        <v>145</v>
      </c>
      <c r="H64" s="5" t="s">
        <v>311</v>
      </c>
      <c r="I64" s="5" t="s">
        <v>325</v>
      </c>
      <c r="J64" s="5" t="s">
        <v>326</v>
      </c>
      <c r="K64" s="7" t="str">
        <f ca="1">IFERROR(__xludf.DUMMYFUNCTION("GOOGLETRANSLATE(H64,""EN"",""ES"")"),"ALIMENTOS PARA ANIMALES")</f>
        <v>ALIMENTOS PARA ANIMALES</v>
      </c>
      <c r="L64" s="5" t="str">
        <f ca="1">IFERROR(__xludf.DUMMYFUNCTION("GOOGLETRANSLATE(J64,""EN"",""ES"")"),"comida seca para mascotas")</f>
        <v>comida seca para mascotas</v>
      </c>
      <c r="M64" s="8" t="s">
        <v>4</v>
      </c>
      <c r="N64" s="8" t="s">
        <v>90</v>
      </c>
    </row>
    <row r="65" spans="1:14" ht="11.25" customHeight="1">
      <c r="A65" s="5" t="s">
        <v>140</v>
      </c>
      <c r="B65" s="5" t="s">
        <v>309</v>
      </c>
      <c r="C65" s="5" t="s">
        <v>324</v>
      </c>
      <c r="D65" s="5" t="s">
        <v>143</v>
      </c>
      <c r="E65" s="5" t="s">
        <v>5</v>
      </c>
      <c r="F65" s="5" t="s">
        <v>144</v>
      </c>
      <c r="G65" s="5" t="s">
        <v>145</v>
      </c>
      <c r="H65" s="5" t="s">
        <v>311</v>
      </c>
      <c r="I65" s="5" t="s">
        <v>152</v>
      </c>
      <c r="J65" s="5" t="s">
        <v>327</v>
      </c>
      <c r="K65" s="7" t="str">
        <f ca="1">IFERROR(__xludf.DUMMYFUNCTION("GOOGLETRANSLATE(H65,""EN"",""ES"")"),"ALIMENTOS PARA ANIMALES")</f>
        <v>ALIMENTOS PARA ANIMALES</v>
      </c>
      <c r="L65" s="5" t="str">
        <f ca="1">IFERROR(__xludf.DUMMYFUNCTION("GOOGLETRANSLATE(J65,""EN"",""ES"")"),"N / A")</f>
        <v>N / A</v>
      </c>
      <c r="M65" s="8" t="s">
        <v>4</v>
      </c>
      <c r="N65" s="8" t="s">
        <v>90</v>
      </c>
    </row>
    <row r="66" spans="1:14" ht="11.25" customHeight="1">
      <c r="A66" s="5" t="s">
        <v>140</v>
      </c>
      <c r="B66" s="5" t="s">
        <v>328</v>
      </c>
      <c r="C66" s="5" t="s">
        <v>329</v>
      </c>
      <c r="D66" s="5" t="s">
        <v>143</v>
      </c>
      <c r="E66" s="5" t="s">
        <v>5</v>
      </c>
      <c r="F66" s="5" t="s">
        <v>144</v>
      </c>
      <c r="G66" s="5" t="s">
        <v>145</v>
      </c>
      <c r="H66" s="5" t="s">
        <v>330</v>
      </c>
      <c r="I66" s="5" t="s">
        <v>331</v>
      </c>
      <c r="J66" s="5" t="s">
        <v>332</v>
      </c>
      <c r="K66" s="7" t="str">
        <f ca="1">IFERROR(__xludf.DUMMYFUNCTION("GOOGLETRANSLATE(H66,""EN"",""ES"")"),"MISCELÁNEAS")</f>
        <v>MISCELÁNEAS</v>
      </c>
      <c r="L66" s="5" t="str">
        <f ca="1">IFERROR(__xludf.DUMMYFUNCTION("GOOGLETRANSLATE(J66,""EN"",""ES"")"),"terrones de azucar")</f>
        <v>terrones de azucar</v>
      </c>
      <c r="M66" s="8" t="s">
        <v>4</v>
      </c>
      <c r="N66" s="8" t="s">
        <v>4</v>
      </c>
    </row>
    <row r="67" spans="1:14" ht="11.25" customHeight="1">
      <c r="A67" s="5" t="s">
        <v>140</v>
      </c>
      <c r="B67" s="5" t="s">
        <v>328</v>
      </c>
      <c r="C67" s="5" t="s">
        <v>333</v>
      </c>
      <c r="D67" s="5" t="s">
        <v>143</v>
      </c>
      <c r="E67" s="5" t="s">
        <v>5</v>
      </c>
      <c r="F67" s="5" t="s">
        <v>144</v>
      </c>
      <c r="G67" s="5" t="s">
        <v>145</v>
      </c>
      <c r="H67" s="5" t="s">
        <v>330</v>
      </c>
      <c r="I67" s="5" t="s">
        <v>334</v>
      </c>
      <c r="J67" s="5" t="s">
        <v>335</v>
      </c>
      <c r="K67" s="7" t="str">
        <f ca="1">IFERROR(__xludf.DUMMYFUNCTION("GOOGLETRANSLATE(H67,""EN"",""ES"")"),"MISCELÁNEAS")</f>
        <v>MISCELÁNEAS</v>
      </c>
      <c r="L67" s="5" t="str">
        <f ca="1">IFERROR(__xludf.DUMMYFUNCTION("GOOGLETRANSLATE(J67,""EN"",""ES"")"),"Caldo [caldo] en cubitos")</f>
        <v>Caldo [caldo] en cubitos</v>
      </c>
      <c r="M67" s="8" t="s">
        <v>4</v>
      </c>
      <c r="N67" s="8" t="s">
        <v>4</v>
      </c>
    </row>
    <row r="68" spans="1:14" ht="11.25" customHeight="1">
      <c r="A68" s="5" t="s">
        <v>140</v>
      </c>
      <c r="B68" s="5" t="s">
        <v>328</v>
      </c>
      <c r="C68" s="5" t="s">
        <v>336</v>
      </c>
      <c r="D68" s="5" t="s">
        <v>143</v>
      </c>
      <c r="E68" s="5" t="s">
        <v>5</v>
      </c>
      <c r="F68" s="5" t="s">
        <v>144</v>
      </c>
      <c r="G68" s="5" t="s">
        <v>145</v>
      </c>
      <c r="H68" s="5" t="s">
        <v>330</v>
      </c>
      <c r="I68" s="5" t="s">
        <v>337</v>
      </c>
      <c r="J68" s="5" t="s">
        <v>338</v>
      </c>
      <c r="K68" s="7" t="str">
        <f ca="1">IFERROR(__xludf.DUMMYFUNCTION("GOOGLETRANSLATE(H68,""EN"",""ES"")"),"MISCELÁNEAS")</f>
        <v>MISCELÁNEAS</v>
      </c>
      <c r="L68" s="5" t="str">
        <f ca="1">IFERROR(__xludf.DUMMYFUNCTION("GOOGLETRANSLATE(J68,""EN"",""ES"")"),"Té")</f>
        <v>Té</v>
      </c>
      <c r="M68" s="8" t="s">
        <v>4</v>
      </c>
      <c r="N68" s="8" t="s">
        <v>4</v>
      </c>
    </row>
    <row r="69" spans="1:14" ht="11.25" customHeight="1">
      <c r="A69" s="5" t="s">
        <v>140</v>
      </c>
      <c r="B69" s="5" t="s">
        <v>328</v>
      </c>
      <c r="C69" s="5" t="s">
        <v>339</v>
      </c>
      <c r="D69" s="5" t="s">
        <v>143</v>
      </c>
      <c r="E69" s="5" t="s">
        <v>5</v>
      </c>
      <c r="F69" s="5" t="s">
        <v>144</v>
      </c>
      <c r="G69" s="5" t="s">
        <v>145</v>
      </c>
      <c r="H69" s="5" t="s">
        <v>330</v>
      </c>
      <c r="I69" s="5" t="s">
        <v>340</v>
      </c>
      <c r="J69" s="5" t="s">
        <v>341</v>
      </c>
      <c r="K69" s="7" t="str">
        <f ca="1">IFERROR(__xludf.DUMMYFUNCTION("GOOGLETRANSLATE(H69,""EN"",""ES"")"),"MISCELÁNEAS")</f>
        <v>MISCELÁNEAS</v>
      </c>
      <c r="L69" s="5" t="str">
        <f ca="1">IFERROR(__xludf.DUMMYFUNCTION("GOOGLETRANSLATE(J69,""EN"",""ES"")"),"sushi")</f>
        <v>sushi</v>
      </c>
      <c r="M69" s="8" t="s">
        <v>4</v>
      </c>
      <c r="N69" s="8" t="s">
        <v>4</v>
      </c>
    </row>
    <row r="70" spans="1:14" ht="11.25" customHeight="1">
      <c r="A70" s="5" t="s">
        <v>140</v>
      </c>
      <c r="B70" s="5" t="s">
        <v>328</v>
      </c>
      <c r="C70" s="5" t="s">
        <v>342</v>
      </c>
      <c r="D70" s="5" t="s">
        <v>143</v>
      </c>
      <c r="E70" s="5" t="s">
        <v>5</v>
      </c>
      <c r="F70" s="5" t="s">
        <v>144</v>
      </c>
      <c r="G70" s="5" t="s">
        <v>145</v>
      </c>
      <c r="H70" s="5" t="s">
        <v>330</v>
      </c>
      <c r="I70" s="5" t="s">
        <v>343</v>
      </c>
      <c r="J70" s="5" t="s">
        <v>344</v>
      </c>
      <c r="K70" s="7" t="str">
        <f ca="1">IFERROR(__xludf.DUMMYFUNCTION("GOOGLETRANSLATE(H70,""EN"",""ES"")"),"MISCELÁNEAS")</f>
        <v>MISCELÁNEAS</v>
      </c>
      <c r="L70" s="5" t="str">
        <f ca="1">IFERROR(__xludf.DUMMYFUNCTION("GOOGLETRANSLATE(J70,""EN"",""ES"")"),"Comidas preparadas")</f>
        <v>Comidas preparadas</v>
      </c>
      <c r="M70" s="8" t="s">
        <v>4</v>
      </c>
      <c r="N70" s="8" t="s">
        <v>4</v>
      </c>
    </row>
    <row r="71" spans="1:14" ht="11.25" customHeight="1">
      <c r="A71" s="5" t="s">
        <v>345</v>
      </c>
      <c r="B71" s="5" t="s">
        <v>346</v>
      </c>
      <c r="C71" s="5" t="s">
        <v>347</v>
      </c>
      <c r="D71" s="5" t="s">
        <v>348</v>
      </c>
      <c r="E71" s="5" t="s">
        <v>7</v>
      </c>
      <c r="F71" s="5" t="s">
        <v>349</v>
      </c>
      <c r="G71" s="5" t="s">
        <v>350</v>
      </c>
      <c r="H71" s="5" t="s">
        <v>351</v>
      </c>
      <c r="I71" s="5" t="s">
        <v>352</v>
      </c>
      <c r="J71" s="5" t="s">
        <v>353</v>
      </c>
      <c r="K71" s="7" t="str">
        <f ca="1">IFERROR(__xludf.DUMMYFUNCTION("GOOGLETRANSLATE(H71,""EN"",""ES"")"),"ROPA INTERIOR, LENCERÍA, CORSÉS, BRASSIÈRES, ROPA DE NOCHE")</f>
        <v>ROPA INTERIOR, LENCERÍA, CORSÉS, BRASSIÈRES, ROPA DE NOCHE</v>
      </c>
      <c r="L71" s="5" t="str">
        <f ca="1">IFERROR(__xludf.DUMMYFUNCTION("GOOGLETRANSLATE(J71,""EN"",""ES"")"),"Calzoncillos tipo bóxer")</f>
        <v>Calzoncillos tipo bóxer</v>
      </c>
      <c r="M71" s="8" t="s">
        <v>9</v>
      </c>
      <c r="N71" s="8" t="s">
        <v>9</v>
      </c>
    </row>
    <row r="72" spans="1:14" ht="11.25" customHeight="1">
      <c r="A72" s="5" t="s">
        <v>345</v>
      </c>
      <c r="B72" s="5" t="s">
        <v>346</v>
      </c>
      <c r="C72" s="5" t="s">
        <v>354</v>
      </c>
      <c r="D72" s="5" t="s">
        <v>348</v>
      </c>
      <c r="E72" s="5" t="s">
        <v>7</v>
      </c>
      <c r="F72" s="5" t="s">
        <v>349</v>
      </c>
      <c r="G72" s="5" t="s">
        <v>350</v>
      </c>
      <c r="H72" s="5" t="s">
        <v>351</v>
      </c>
      <c r="I72" s="5" t="s">
        <v>355</v>
      </c>
      <c r="J72" s="5" t="s">
        <v>356</v>
      </c>
      <c r="K72" s="7" t="str">
        <f ca="1">IFERROR(__xludf.DUMMYFUNCTION("GOOGLETRANSLATE(H72,""EN"",""ES"")"),"ROPA INTERIOR, LENCERÍA, CORSÉS, BRASSIÈRES, ROPA DE NOCHE")</f>
        <v>ROPA INTERIOR, LENCERÍA, CORSÉS, BRASSIÈRES, ROPA DE NOCHE</v>
      </c>
      <c r="L72" s="5" t="str">
        <f ca="1">IFERROR(__xludf.DUMMYFUNCTION("GOOGLETRANSLATE(J72,""EN"",""ES"")"),"Camisones")</f>
        <v>Camisones</v>
      </c>
      <c r="M72" s="8" t="s">
        <v>9</v>
      </c>
      <c r="N72" s="8" t="s">
        <v>9</v>
      </c>
    </row>
    <row r="73" spans="1:14" ht="11.25" customHeight="1">
      <c r="A73" s="5" t="s">
        <v>345</v>
      </c>
      <c r="B73" s="5" t="s">
        <v>346</v>
      </c>
      <c r="C73" s="5" t="s">
        <v>354</v>
      </c>
      <c r="D73" s="5" t="s">
        <v>348</v>
      </c>
      <c r="E73" s="5" t="s">
        <v>7</v>
      </c>
      <c r="F73" s="5" t="s">
        <v>349</v>
      </c>
      <c r="G73" s="5" t="s">
        <v>350</v>
      </c>
      <c r="H73" s="5" t="s">
        <v>351</v>
      </c>
      <c r="I73" s="5" t="s">
        <v>357</v>
      </c>
      <c r="J73" s="5" t="s">
        <v>152</v>
      </c>
      <c r="K73" s="7" t="str">
        <f ca="1">IFERROR(__xludf.DUMMYFUNCTION("GOOGLETRANSLATE(H73,""EN"",""ES"")"),"ROPA INTERIOR, LENCERÍA, CORSÉS, BRASSIÈRES, ROPA DE NOCHE")</f>
        <v>ROPA INTERIOR, LENCERÍA, CORSÉS, BRASSIÈRES, ROPA DE NOCHE</v>
      </c>
      <c r="L73" s="5" t="str">
        <f ca="1">IFERROR(__xludf.DUMMYFUNCTION("GOOGLETRANSLATE(J73,""EN"",""ES"")"),"camisones")</f>
        <v>camisones</v>
      </c>
      <c r="M73" s="8" t="s">
        <v>9</v>
      </c>
      <c r="N73" s="8" t="s">
        <v>9</v>
      </c>
    </row>
    <row r="74" spans="1:14" ht="11.25" customHeight="1">
      <c r="A74" s="5" t="s">
        <v>345</v>
      </c>
      <c r="B74" s="5" t="s">
        <v>346</v>
      </c>
      <c r="C74" s="5" t="s">
        <v>358</v>
      </c>
      <c r="D74" s="5" t="s">
        <v>348</v>
      </c>
      <c r="E74" s="5" t="s">
        <v>7</v>
      </c>
      <c r="F74" s="5" t="s">
        <v>349</v>
      </c>
      <c r="G74" s="5" t="s">
        <v>350</v>
      </c>
      <c r="H74" s="5" t="s">
        <v>351</v>
      </c>
      <c r="I74" s="5" t="s">
        <v>359</v>
      </c>
      <c r="J74" s="5" t="s">
        <v>360</v>
      </c>
      <c r="K74" s="7" t="str">
        <f ca="1">IFERROR(__xludf.DUMMYFUNCTION("GOOGLETRANSLATE(H74,""EN"",""ES"")"),"ROPA INTERIOR, LENCERÍA, CORSÉS, BRASSIÈRES, ROPA DE NOCHE")</f>
        <v>ROPA INTERIOR, LENCERÍA, CORSÉS, BRASSIÈRES, ROPA DE NOCHE</v>
      </c>
      <c r="L74" s="5" t="str">
        <f ca="1">IFERROR(__xludf.DUMMYFUNCTION("GOOGLETRANSLATE(J74,""EN"",""ES"")"),"Enaguas")</f>
        <v>Enaguas</v>
      </c>
      <c r="M74" s="8" t="s">
        <v>9</v>
      </c>
      <c r="N74" s="8" t="s">
        <v>9</v>
      </c>
    </row>
    <row r="75" spans="1:14" ht="11.25" customHeight="1">
      <c r="A75" s="5" t="s">
        <v>345</v>
      </c>
      <c r="B75" s="5" t="s">
        <v>346</v>
      </c>
      <c r="C75" s="5" t="s">
        <v>358</v>
      </c>
      <c r="D75" s="5" t="s">
        <v>348</v>
      </c>
      <c r="E75" s="5" t="s">
        <v>7</v>
      </c>
      <c r="F75" s="5" t="s">
        <v>349</v>
      </c>
      <c r="G75" s="5" t="s">
        <v>350</v>
      </c>
      <c r="H75" s="5" t="s">
        <v>351</v>
      </c>
      <c r="I75" s="5" t="s">
        <v>361</v>
      </c>
      <c r="J75" s="5" t="s">
        <v>152</v>
      </c>
      <c r="K75" s="7" t="str">
        <f ca="1">IFERROR(__xludf.DUMMYFUNCTION("GOOGLETRANSLATE(H75,""EN"",""ES"")"),"ROPA INTERIOR, LENCERÍA, CORSÉS, BRASSIÈRES, ROPA DE NOCHE")</f>
        <v>ROPA INTERIOR, LENCERÍA, CORSÉS, BRASSIÈRES, ROPA DE NOCHE</v>
      </c>
      <c r="L75" s="5" t="str">
        <f ca="1">IFERROR(__xludf.DUMMYFUNCTION("GOOGLETRANSLATE(J75,""EN"",""ES"")"),"Slips [enaguas]")</f>
        <v>Slips [enaguas]</v>
      </c>
      <c r="M75" s="8" t="s">
        <v>9</v>
      </c>
      <c r="N75" s="8" t="s">
        <v>9</v>
      </c>
    </row>
    <row r="76" spans="1:14" ht="11.25" customHeight="1">
      <c r="A76" s="5" t="s">
        <v>345</v>
      </c>
      <c r="B76" s="5" t="s">
        <v>346</v>
      </c>
      <c r="C76" s="5" t="s">
        <v>362</v>
      </c>
      <c r="D76" s="5" t="s">
        <v>348</v>
      </c>
      <c r="E76" s="5" t="s">
        <v>7</v>
      </c>
      <c r="F76" s="5" t="s">
        <v>349</v>
      </c>
      <c r="G76" s="5" t="s">
        <v>350</v>
      </c>
      <c r="H76" s="5" t="s">
        <v>351</v>
      </c>
      <c r="I76" s="5" t="s">
        <v>363</v>
      </c>
      <c r="J76" s="5" t="s">
        <v>364</v>
      </c>
      <c r="K76" s="7" t="str">
        <f ca="1">IFERROR(__xludf.DUMMYFUNCTION("GOOGLETRANSLATE(H76,""EN"",""ES"")"),"ROPA INTERIOR, LENCERÍA, CORSÉS, BRASSIÈRES, ROPA DE NOCHE")</f>
        <v>ROPA INTERIOR, LENCERÍA, CORSÉS, BRASSIÈRES, ROPA DE NOCHE</v>
      </c>
      <c r="L76" s="5" t="str">
        <f ca="1">IFERROR(__xludf.DUMMYFUNCTION("GOOGLETRANSLATE(J76,""EN"",""ES"")"),"Prendas reductoras")</f>
        <v>Prendas reductoras</v>
      </c>
      <c r="M76" s="8" t="s">
        <v>9</v>
      </c>
      <c r="N76" s="8" t="s">
        <v>9</v>
      </c>
    </row>
    <row r="77" spans="1:14" ht="11.25" customHeight="1">
      <c r="A77" s="5" t="s">
        <v>345</v>
      </c>
      <c r="B77" s="5" t="s">
        <v>346</v>
      </c>
      <c r="C77" s="5" t="s">
        <v>365</v>
      </c>
      <c r="D77" s="5" t="s">
        <v>348</v>
      </c>
      <c r="E77" s="5" t="s">
        <v>7</v>
      </c>
      <c r="F77" s="5" t="s">
        <v>349</v>
      </c>
      <c r="G77" s="5" t="s">
        <v>350</v>
      </c>
      <c r="H77" s="5" t="s">
        <v>351</v>
      </c>
      <c r="I77" s="5" t="s">
        <v>366</v>
      </c>
      <c r="J77" s="5" t="s">
        <v>366</v>
      </c>
      <c r="K77" s="7" t="str">
        <f ca="1">IFERROR(__xludf.DUMMYFUNCTION("GOOGLETRANSLATE(H77,""EN"",""ES"")"),"ROPA INTERIOR, LENCERÍA, CORSÉS, BRASSIÈRES, ROPA DE NOCHE")</f>
        <v>ROPA INTERIOR, LENCERÍA, CORSÉS, BRASSIÈRES, ROPA DE NOCHE</v>
      </c>
      <c r="L77" s="5" t="str">
        <f ca="1">IFERROR(__xludf.DUMMYFUNCTION("GOOGLETRANSLATE(J77,""EN"",""ES"")"),"corsés")</f>
        <v>corsés</v>
      </c>
      <c r="M77" s="8" t="s">
        <v>9</v>
      </c>
      <c r="N77" s="8" t="s">
        <v>9</v>
      </c>
    </row>
    <row r="78" spans="1:14" ht="11.25" customHeight="1">
      <c r="A78" s="5" t="s">
        <v>345</v>
      </c>
      <c r="B78" s="5" t="s">
        <v>346</v>
      </c>
      <c r="C78" s="5" t="s">
        <v>365</v>
      </c>
      <c r="D78" s="5" t="s">
        <v>348</v>
      </c>
      <c r="E78" s="5" t="s">
        <v>7</v>
      </c>
      <c r="F78" s="5" t="s">
        <v>349</v>
      </c>
      <c r="G78" s="5" t="s">
        <v>350</v>
      </c>
      <c r="H78" s="5" t="s">
        <v>351</v>
      </c>
      <c r="I78" s="5" t="s">
        <v>367</v>
      </c>
      <c r="J78" s="5" t="s">
        <v>368</v>
      </c>
      <c r="K78" s="7" t="str">
        <f ca="1">IFERROR(__xludf.DUMMYFUNCTION("GOOGLETRANSLATE(H78,""EN"",""ES"")"),"ROPA INTERIOR, LENCERÍA, CORSÉS, BRASSIÈRES, ROPA DE NOCHE")</f>
        <v>ROPA INTERIOR, LENCERÍA, CORSÉS, BRASSIÈRES, ROPA DE NOCHE</v>
      </c>
      <c r="L78" s="5" t="str">
        <f ca="1">IFERROR(__xludf.DUMMYFUNCTION("GOOGLETRANSLATE(J78,""EN"",""ES"")"),"Fajas [ropa interior]")</f>
        <v>Fajas [ropa interior]</v>
      </c>
      <c r="M78" s="8" t="s">
        <v>9</v>
      </c>
      <c r="N78" s="8" t="s">
        <v>9</v>
      </c>
    </row>
    <row r="79" spans="1:14" ht="11.25" customHeight="1">
      <c r="A79" s="5" t="s">
        <v>345</v>
      </c>
      <c r="B79" s="5" t="s">
        <v>346</v>
      </c>
      <c r="C79" s="5" t="s">
        <v>369</v>
      </c>
      <c r="D79" s="5" t="s">
        <v>348</v>
      </c>
      <c r="E79" s="5" t="s">
        <v>7</v>
      </c>
      <c r="F79" s="5" t="s">
        <v>349</v>
      </c>
      <c r="G79" s="5" t="s">
        <v>350</v>
      </c>
      <c r="H79" s="5" t="s">
        <v>351</v>
      </c>
      <c r="I79" s="5" t="s">
        <v>370</v>
      </c>
      <c r="J79" s="5" t="s">
        <v>371</v>
      </c>
      <c r="K79" s="7" t="str">
        <f ca="1">IFERROR(__xludf.DUMMYFUNCTION("GOOGLETRANSLATE(H79,""EN"",""ES"")"),"ROPA INTERIOR, LENCERÍA, CORSÉS, BRASSIÈRES, ROPA DE NOCHE")</f>
        <v>ROPA INTERIOR, LENCERÍA, CORSÉS, BRASSIÈRES, ROPA DE NOCHE</v>
      </c>
      <c r="L79" s="5" t="str">
        <f ca="1">IFERROR(__xludf.DUMMYFUNCTION("GOOGLETRANSLATE(J79,""EN"",""ES"")"),"corsés ortopédicos")</f>
        <v>corsés ortopédicos</v>
      </c>
      <c r="M79" s="8" t="s">
        <v>9</v>
      </c>
      <c r="N79" s="8" t="s">
        <v>9</v>
      </c>
    </row>
    <row r="80" spans="1:14" ht="11.25" customHeight="1">
      <c r="A80" s="5" t="s">
        <v>345</v>
      </c>
      <c r="B80" s="5" t="s">
        <v>346</v>
      </c>
      <c r="C80" s="5" t="s">
        <v>369</v>
      </c>
      <c r="D80" s="5" t="s">
        <v>348</v>
      </c>
      <c r="E80" s="5" t="s">
        <v>7</v>
      </c>
      <c r="F80" s="5" t="s">
        <v>349</v>
      </c>
      <c r="G80" s="5" t="s">
        <v>350</v>
      </c>
      <c r="H80" s="5" t="s">
        <v>351</v>
      </c>
      <c r="I80" s="5" t="s">
        <v>372</v>
      </c>
      <c r="J80" s="5" t="s">
        <v>152</v>
      </c>
      <c r="K80" s="7" t="str">
        <f ca="1">IFERROR(__xludf.DUMMYFUNCTION("GOOGLETRANSLATE(H80,""EN"",""ES"")"),"ROPA INTERIOR, LENCERÍA, CORSÉS, BRASSIÈRES, ROPA DE NOCHE")</f>
        <v>ROPA INTERIOR, LENCERÍA, CORSÉS, BRASSIÈRES, ROPA DE NOCHE</v>
      </c>
      <c r="L80" s="5" t="str">
        <f ca="1">IFERROR(__xludf.DUMMYFUNCTION("GOOGLETRANSLATE(J80,""EN"",""ES"")"),"corsés ortopédicos")</f>
        <v>corsés ortopédicos</v>
      </c>
      <c r="M80" s="8" t="s">
        <v>9</v>
      </c>
      <c r="N80" s="8" t="s">
        <v>9</v>
      </c>
    </row>
    <row r="81" spans="1:14" ht="11.25" customHeight="1">
      <c r="A81" s="5" t="s">
        <v>345</v>
      </c>
      <c r="B81" s="5" t="s">
        <v>346</v>
      </c>
      <c r="C81" s="5" t="s">
        <v>373</v>
      </c>
      <c r="D81" s="5" t="s">
        <v>348</v>
      </c>
      <c r="E81" s="5" t="s">
        <v>7</v>
      </c>
      <c r="F81" s="5" t="s">
        <v>349</v>
      </c>
      <c r="G81" s="5" t="s">
        <v>350</v>
      </c>
      <c r="H81" s="5" t="s">
        <v>351</v>
      </c>
      <c r="I81" s="5" t="s">
        <v>374</v>
      </c>
      <c r="J81" s="5" t="s">
        <v>375</v>
      </c>
      <c r="K81" s="7" t="str">
        <f ca="1">IFERROR(__xludf.DUMMYFUNCTION("GOOGLETRANSLATE(H81,""EN"",""ES"")"),"ROPA INTERIOR, LENCERÍA, CORSÉS, BRASSIÈRES, ROPA DE NOCHE")</f>
        <v>ROPA INTERIOR, LENCERÍA, CORSÉS, BRASSIÈRES, ROPA DE NOCHE</v>
      </c>
      <c r="L81" s="5" t="str">
        <f ca="1">IFERROR(__xludf.DUMMYFUNCTION("GOOGLETRANSLATE(J81,""EN"",""ES"")"),"pañales para bebes")</f>
        <v>pañales para bebes</v>
      </c>
      <c r="M81" s="8" t="s">
        <v>9</v>
      </c>
      <c r="N81" s="8" t="s">
        <v>70</v>
      </c>
    </row>
    <row r="82" spans="1:14" ht="11.25" customHeight="1">
      <c r="A82" s="5" t="s">
        <v>345</v>
      </c>
      <c r="B82" s="5" t="s">
        <v>346</v>
      </c>
      <c r="C82" s="5" t="s">
        <v>373</v>
      </c>
      <c r="D82" s="5" t="s">
        <v>348</v>
      </c>
      <c r="E82" s="5" t="s">
        <v>7</v>
      </c>
      <c r="F82" s="5" t="s">
        <v>349</v>
      </c>
      <c r="G82" s="5" t="s">
        <v>350</v>
      </c>
      <c r="H82" s="5" t="s">
        <v>351</v>
      </c>
      <c r="I82" s="5" t="s">
        <v>376</v>
      </c>
      <c r="J82" s="5" t="s">
        <v>377</v>
      </c>
      <c r="K82" s="7" t="str">
        <f ca="1">IFERROR(__xludf.DUMMYFUNCTION("GOOGLETRANSLATE(H82,""EN"",""ES"")"),"ROPA INTERIOR, LENCERÍA, CORSÉS, BRASSIÈRES, ROPA DE NOCHE")</f>
        <v>ROPA INTERIOR, LENCERÍA, CORSÉS, BRASSIÈRES, ROPA DE NOCHE</v>
      </c>
      <c r="L82" s="5" t="str">
        <f ca="1">IFERROR(__xludf.DUMMYFUNCTION("GOOGLETRANSLATE(J82,""EN"",""ES"")"),"pañales para bebes")</f>
        <v>pañales para bebes</v>
      </c>
      <c r="M82" s="8" t="s">
        <v>9</v>
      </c>
      <c r="N82" s="8" t="s">
        <v>70</v>
      </c>
    </row>
    <row r="83" spans="1:14" ht="11.25" customHeight="1">
      <c r="A83" s="5" t="s">
        <v>345</v>
      </c>
      <c r="B83" s="5" t="s">
        <v>346</v>
      </c>
      <c r="C83" s="5" t="s">
        <v>378</v>
      </c>
      <c r="D83" s="5" t="s">
        <v>348</v>
      </c>
      <c r="E83" s="5" t="s">
        <v>7</v>
      </c>
      <c r="F83" s="5" t="s">
        <v>349</v>
      </c>
      <c r="G83" s="5" t="s">
        <v>350</v>
      </c>
      <c r="H83" s="5" t="s">
        <v>351</v>
      </c>
      <c r="I83" s="5" t="s">
        <v>379</v>
      </c>
      <c r="J83" s="5" t="s">
        <v>380</v>
      </c>
      <c r="K83" s="7" t="str">
        <f ca="1">IFERROR(__xludf.DUMMYFUNCTION("GOOGLETRANSLATE(H83,""EN"",""ES"")"),"ROPA INTERIOR, LENCERÍA, CORSÉS, BRASSIÈRES, ROPA DE NOCHE")</f>
        <v>ROPA INTERIOR, LENCERÍA, CORSÉS, BRASSIÈRES, ROPA DE NOCHE</v>
      </c>
      <c r="L83" s="5" t="str">
        <f ca="1">IFERROR(__xludf.DUMMYFUNCTION("GOOGLETRANSLATE(J83,""EN"",""ES"")"),"Bragas")</f>
        <v>Bragas</v>
      </c>
      <c r="M83" s="8" t="s">
        <v>9</v>
      </c>
      <c r="N83" s="8" t="s">
        <v>9</v>
      </c>
    </row>
    <row r="84" spans="1:14" ht="11.25" customHeight="1">
      <c r="A84" s="5" t="s">
        <v>345</v>
      </c>
      <c r="B84" s="5" t="s">
        <v>346</v>
      </c>
      <c r="C84" s="5" t="s">
        <v>378</v>
      </c>
      <c r="D84" s="5" t="s">
        <v>348</v>
      </c>
      <c r="E84" s="5" t="s">
        <v>7</v>
      </c>
      <c r="F84" s="5" t="s">
        <v>349</v>
      </c>
      <c r="G84" s="5" t="s">
        <v>350</v>
      </c>
      <c r="H84" s="5" t="s">
        <v>351</v>
      </c>
      <c r="I84" s="5" t="s">
        <v>381</v>
      </c>
      <c r="J84" s="5" t="s">
        <v>152</v>
      </c>
      <c r="K84" s="7" t="str">
        <f ca="1">IFERROR(__xludf.DUMMYFUNCTION("GOOGLETRANSLATE(H84,""EN"",""ES"")"),"ROPA INTERIOR, LENCERÍA, CORSÉS, BRASSIÈRES, ROPA DE NOCHE")</f>
        <v>ROPA INTERIOR, LENCERÍA, CORSÉS, BRASSIÈRES, ROPA DE NOCHE</v>
      </c>
      <c r="L84" s="5" t="str">
        <f ca="1">IFERROR(__xludf.DUMMYFUNCTION("GOOGLETRANSLATE(J84,""EN"",""ES"")"),"Bragas")</f>
        <v>Bragas</v>
      </c>
      <c r="M84" s="8" t="s">
        <v>9</v>
      </c>
      <c r="N84" s="8" t="s">
        <v>9</v>
      </c>
    </row>
    <row r="85" spans="1:14" ht="11.25" customHeight="1">
      <c r="A85" s="5" t="s">
        <v>345</v>
      </c>
      <c r="B85" s="5" t="s">
        <v>346</v>
      </c>
      <c r="C85" s="5" t="s">
        <v>382</v>
      </c>
      <c r="D85" s="5" t="s">
        <v>348</v>
      </c>
      <c r="E85" s="5" t="s">
        <v>7</v>
      </c>
      <c r="F85" s="5" t="s">
        <v>349</v>
      </c>
      <c r="G85" s="5" t="s">
        <v>350</v>
      </c>
      <c r="H85" s="5" t="s">
        <v>351</v>
      </c>
      <c r="I85" s="5" t="s">
        <v>383</v>
      </c>
      <c r="J85" s="5" t="s">
        <v>384</v>
      </c>
      <c r="K85" s="7" t="str">
        <f ca="1">IFERROR(__xludf.DUMMYFUNCTION("GOOGLETRANSLATE(H85,""EN"",""ES"")"),"ROPA INTERIOR, LENCERÍA, CORSÉS, BRASSIÈRES, ROPA DE NOCHE")</f>
        <v>ROPA INTERIOR, LENCERÍA, CORSÉS, BRASSIÈRES, ROPA DE NOCHE</v>
      </c>
      <c r="L85" s="5" t="str">
        <f ca="1">IFERROR(__xludf.DUMMYFUNCTION("GOOGLETRANSLATE(J85,""EN"",""ES"")"),"pantalones de goma para bebes")</f>
        <v>pantalones de goma para bebes</v>
      </c>
      <c r="M85" s="8" t="s">
        <v>9</v>
      </c>
      <c r="N85" s="8" t="s">
        <v>9</v>
      </c>
    </row>
    <row r="86" spans="1:14" ht="11.25" customHeight="1">
      <c r="A86" s="5" t="s">
        <v>345</v>
      </c>
      <c r="B86" s="5" t="s">
        <v>346</v>
      </c>
      <c r="C86" s="5" t="s">
        <v>385</v>
      </c>
      <c r="D86" s="5" t="s">
        <v>348</v>
      </c>
      <c r="E86" s="5" t="s">
        <v>7</v>
      </c>
      <c r="F86" s="5" t="s">
        <v>349</v>
      </c>
      <c r="G86" s="5" t="s">
        <v>350</v>
      </c>
      <c r="H86" s="5" t="s">
        <v>351</v>
      </c>
      <c r="I86" s="5" t="s">
        <v>386</v>
      </c>
      <c r="J86" s="5" t="s">
        <v>387</v>
      </c>
      <c r="K86" s="7" t="str">
        <f ca="1">IFERROR(__xludf.DUMMYFUNCTION("GOOGLETRANSLATE(H86,""EN"",""ES"")"),"ROPA INTERIOR, LENCERÍA, CORSÉS, BRASSIÈRES, ROPA DE NOCHE")</f>
        <v>ROPA INTERIOR, LENCERÍA, CORSÉS, BRASSIÈRES, ROPA DE NOCHE</v>
      </c>
      <c r="L86" s="5" t="str">
        <f ca="1">IFERROR(__xludf.DUMMYFUNCTION("GOOGLETRANSLATE(J86,""EN"",""ES"")"),"Collares desmontables")</f>
        <v>Collares desmontables</v>
      </c>
      <c r="M86" s="8" t="s">
        <v>9</v>
      </c>
      <c r="N86" s="8" t="s">
        <v>9</v>
      </c>
    </row>
    <row r="87" spans="1:14" ht="11.25" customHeight="1">
      <c r="A87" s="5" t="s">
        <v>345</v>
      </c>
      <c r="B87" s="5" t="s">
        <v>346</v>
      </c>
      <c r="C87" s="5" t="s">
        <v>388</v>
      </c>
      <c r="D87" s="5" t="s">
        <v>348</v>
      </c>
      <c r="E87" s="5" t="s">
        <v>7</v>
      </c>
      <c r="F87" s="5" t="s">
        <v>349</v>
      </c>
      <c r="G87" s="5" t="s">
        <v>350</v>
      </c>
      <c r="H87" s="5" t="s">
        <v>351</v>
      </c>
      <c r="I87" s="5" t="s">
        <v>389</v>
      </c>
      <c r="J87" s="5" t="s">
        <v>390</v>
      </c>
      <c r="K87" s="7" t="str">
        <f ca="1">IFERROR(__xludf.DUMMYFUNCTION("GOOGLETRANSLATE(H87,""EN"",""ES"")"),"ROPA INTERIOR, LENCERÍA, CORSÉS, BRASSIÈRES, ROPA DE NOCHE")</f>
        <v>ROPA INTERIOR, LENCERÍA, CORSÉS, BRASSIÈRES, ROPA DE NOCHE</v>
      </c>
      <c r="L87" s="5" t="str">
        <f ca="1">IFERROR(__xludf.DUMMYFUNCTION("GOOGLETRANSLATE(J87,""EN"",""ES"")"),"Camisetas sin mangas [ropa interior]")</f>
        <v>Camisetas sin mangas [ropa interior]</v>
      </c>
      <c r="M87" s="8" t="s">
        <v>9</v>
      </c>
      <c r="N87" s="8" t="s">
        <v>9</v>
      </c>
    </row>
    <row r="88" spans="1:14" ht="11.25" customHeight="1">
      <c r="A88" s="5" t="s">
        <v>345</v>
      </c>
      <c r="B88" s="5" t="s">
        <v>346</v>
      </c>
      <c r="C88" s="5" t="s">
        <v>391</v>
      </c>
      <c r="D88" s="5" t="s">
        <v>348</v>
      </c>
      <c r="E88" s="5" t="s">
        <v>7</v>
      </c>
      <c r="F88" s="5" t="s">
        <v>349</v>
      </c>
      <c r="G88" s="5" t="s">
        <v>350</v>
      </c>
      <c r="H88" s="5" t="s">
        <v>351</v>
      </c>
      <c r="I88" s="5" t="s">
        <v>392</v>
      </c>
      <c r="J88" s="5" t="s">
        <v>393</v>
      </c>
      <c r="K88" s="7" t="str">
        <f ca="1">IFERROR(__xludf.DUMMYFUNCTION("GOOGLETRANSLATE(H88,""EN"",""ES"")"),"ROPA INTERIOR, LENCERÍA, CORSÉS, BRASSIÈRES, ROPA DE NOCHE")</f>
        <v>ROPA INTERIOR, LENCERÍA, CORSÉS, BRASSIÈRES, ROPA DE NOCHE</v>
      </c>
      <c r="L88" s="5" t="str">
        <f ca="1">IFERROR(__xludf.DUMMYFUNCTION("GOOGLETRANSLATE(J88,""EN"",""ES"")"),"Enaguas [enaguas]")</f>
        <v>Enaguas [enaguas]</v>
      </c>
      <c r="M88" s="8" t="s">
        <v>9</v>
      </c>
      <c r="N88" s="8" t="s">
        <v>9</v>
      </c>
    </row>
    <row r="89" spans="1:14" ht="11.25" customHeight="1">
      <c r="A89" s="5" t="s">
        <v>345</v>
      </c>
      <c r="B89" s="5" t="s">
        <v>346</v>
      </c>
      <c r="C89" s="5" t="s">
        <v>394</v>
      </c>
      <c r="D89" s="5" t="s">
        <v>348</v>
      </c>
      <c r="E89" s="5" t="s">
        <v>7</v>
      </c>
      <c r="F89" s="5" t="s">
        <v>349</v>
      </c>
      <c r="G89" s="5" t="s">
        <v>350</v>
      </c>
      <c r="H89" s="5" t="s">
        <v>351</v>
      </c>
      <c r="I89" s="5" t="s">
        <v>395</v>
      </c>
      <c r="J89" s="5" t="s">
        <v>396</v>
      </c>
      <c r="K89" s="7" t="str">
        <f ca="1">IFERROR(__xludf.DUMMYFUNCTION("GOOGLETRANSLATE(H89,""EN"",""ES"")"),"ROPA INTERIOR, LENCERÍA, CORSÉS, BRASSIÈRES, ROPA DE NOCHE")</f>
        <v>ROPA INTERIOR, LENCERÍA, CORSÉS, BRASSIÈRES, ROPA DE NOCHE</v>
      </c>
      <c r="L89" s="5" t="str">
        <f ca="1">IFERROR(__xludf.DUMMYFUNCTION("GOOGLETRANSLATE(J89,""EN"",""ES"")"),"Ropa interior")</f>
        <v>Ropa interior</v>
      </c>
      <c r="M89" s="8" t="s">
        <v>9</v>
      </c>
      <c r="N89" s="8" t="s">
        <v>9</v>
      </c>
    </row>
    <row r="90" spans="1:14" ht="11.25" customHeight="1">
      <c r="A90" s="5" t="s">
        <v>345</v>
      </c>
      <c r="B90" s="5" t="s">
        <v>346</v>
      </c>
      <c r="C90" s="5" t="s">
        <v>394</v>
      </c>
      <c r="D90" s="5" t="s">
        <v>348</v>
      </c>
      <c r="E90" s="5" t="s">
        <v>7</v>
      </c>
      <c r="F90" s="5" t="s">
        <v>349</v>
      </c>
      <c r="G90" s="5" t="s">
        <v>350</v>
      </c>
      <c r="H90" s="5" t="s">
        <v>351</v>
      </c>
      <c r="I90" s="5" t="s">
        <v>397</v>
      </c>
      <c r="J90" s="5" t="s">
        <v>398</v>
      </c>
      <c r="K90" s="7" t="str">
        <f ca="1">IFERROR(__xludf.DUMMYFUNCTION("GOOGLETRANSLATE(H90,""EN"",""ES"")"),"ROPA INTERIOR, LENCERÍA, CORSÉS, BRASSIÈRES, ROPA DE NOCHE")</f>
        <v>ROPA INTERIOR, LENCERÍA, CORSÉS, BRASSIÈRES, ROPA DE NOCHE</v>
      </c>
      <c r="L90" s="5" t="str">
        <f ca="1">IFERROR(__xludf.DUMMYFUNCTION("GOOGLETRANSLATE(J90,""EN"",""ES"")"),"Lencería")</f>
        <v>Lencería</v>
      </c>
      <c r="M90" s="8" t="s">
        <v>9</v>
      </c>
      <c r="N90" s="8" t="s">
        <v>9</v>
      </c>
    </row>
    <row r="91" spans="1:14" ht="11.25" customHeight="1">
      <c r="A91" s="5" t="s">
        <v>345</v>
      </c>
      <c r="B91" s="5" t="s">
        <v>346</v>
      </c>
      <c r="C91" s="5" t="s">
        <v>399</v>
      </c>
      <c r="D91" s="5" t="s">
        <v>348</v>
      </c>
      <c r="E91" s="5" t="s">
        <v>7</v>
      </c>
      <c r="F91" s="5" t="s">
        <v>349</v>
      </c>
      <c r="G91" s="5" t="s">
        <v>350</v>
      </c>
      <c r="H91" s="5" t="s">
        <v>351</v>
      </c>
      <c r="I91" s="5" t="s">
        <v>400</v>
      </c>
      <c r="J91" s="5" t="s">
        <v>401</v>
      </c>
      <c r="K91" s="7" t="str">
        <f ca="1">IFERROR(__xludf.DUMMYFUNCTION("GOOGLETRANSLATE(H91,""EN"",""ES"")"),"ROPA INTERIOR, LENCERÍA, CORSÉS, BRASSIÈRES, ROPA DE NOCHE")</f>
        <v>ROPA INTERIOR, LENCERÍA, CORSÉS, BRASSIÈRES, ROPA DE NOCHE</v>
      </c>
      <c r="L91" s="5" t="str">
        <f ca="1">IFERROR(__xludf.DUMMYFUNCTION("GOOGLETRANSLATE(J91,""EN"",""ES"")"),"Cubrepañales para bebes")</f>
        <v>Cubrepañales para bebes</v>
      </c>
      <c r="M91" s="8" t="s">
        <v>9</v>
      </c>
      <c r="N91" s="8" t="s">
        <v>70</v>
      </c>
    </row>
    <row r="92" spans="1:14" ht="11.25" customHeight="1">
      <c r="A92" s="5" t="s">
        <v>345</v>
      </c>
      <c r="B92" s="5" t="s">
        <v>346</v>
      </c>
      <c r="C92" s="5" t="s">
        <v>399</v>
      </c>
      <c r="D92" s="5" t="s">
        <v>348</v>
      </c>
      <c r="E92" s="5" t="s">
        <v>7</v>
      </c>
      <c r="F92" s="5" t="s">
        <v>349</v>
      </c>
      <c r="G92" s="5" t="s">
        <v>350</v>
      </c>
      <c r="H92" s="5" t="s">
        <v>351</v>
      </c>
      <c r="I92" s="5" t="s">
        <v>402</v>
      </c>
      <c r="J92" s="5" t="s">
        <v>403</v>
      </c>
      <c r="K92" s="7" t="str">
        <f ca="1">IFERROR(__xludf.DUMMYFUNCTION("GOOGLETRANSLATE(H92,""EN"",""ES"")"),"ROPA INTERIOR, LENCERÍA, CORSÉS, BRASSIÈRES, ROPA DE NOCHE")</f>
        <v>ROPA INTERIOR, LENCERÍA, CORSÉS, BRASSIÈRES, ROPA DE NOCHE</v>
      </c>
      <c r="L92" s="5" t="str">
        <f ca="1">IFERROR(__xludf.DUMMYFUNCTION("GOOGLETRANSLATE(J92,""EN"",""ES"")"),"Fundas para pañales de bebé")</f>
        <v>Fundas para pañales de bebé</v>
      </c>
      <c r="M92" s="8" t="s">
        <v>9</v>
      </c>
      <c r="N92" s="8" t="s">
        <v>70</v>
      </c>
    </row>
    <row r="93" spans="1:14" ht="11.25" customHeight="1">
      <c r="A93" s="5" t="s">
        <v>345</v>
      </c>
      <c r="B93" s="5" t="s">
        <v>346</v>
      </c>
      <c r="C93" s="5" t="s">
        <v>404</v>
      </c>
      <c r="D93" s="5" t="s">
        <v>348</v>
      </c>
      <c r="E93" s="5" t="s">
        <v>7</v>
      </c>
      <c r="F93" s="5" t="s">
        <v>349</v>
      </c>
      <c r="G93" s="5" t="s">
        <v>350</v>
      </c>
      <c r="H93" s="5" t="s">
        <v>351</v>
      </c>
      <c r="I93" s="5" t="s">
        <v>405</v>
      </c>
      <c r="J93" s="5" t="s">
        <v>405</v>
      </c>
      <c r="K93" s="7" t="str">
        <f ca="1">IFERROR(__xludf.DUMMYFUNCTION("GOOGLETRANSLATE(H93,""EN"",""ES"")"),"ROPA INTERIOR, LENCERÍA, CORSÉS, BRASSIÈRES, ROPA DE NOCHE")</f>
        <v>ROPA INTERIOR, LENCERÍA, CORSÉS, BRASSIÈRES, ROPA DE NOCHE</v>
      </c>
      <c r="L93" s="5" t="str">
        <f ca="1">IFERROR(__xludf.DUMMYFUNCTION("GOOGLETRANSLATE(J93,""EN"",""ES"")"),"Pijama")</f>
        <v>Pijama</v>
      </c>
      <c r="M93" s="8" t="s">
        <v>9</v>
      </c>
      <c r="N93" s="8" t="s">
        <v>9</v>
      </c>
    </row>
    <row r="94" spans="1:14" ht="11.25" customHeight="1">
      <c r="A94" s="5" t="s">
        <v>345</v>
      </c>
      <c r="B94" s="5" t="s">
        <v>346</v>
      </c>
      <c r="C94" s="5" t="s">
        <v>404</v>
      </c>
      <c r="D94" s="5" t="s">
        <v>348</v>
      </c>
      <c r="E94" s="5" t="s">
        <v>7</v>
      </c>
      <c r="F94" s="5" t="s">
        <v>349</v>
      </c>
      <c r="G94" s="5" t="s">
        <v>350</v>
      </c>
      <c r="H94" s="5" t="s">
        <v>351</v>
      </c>
      <c r="I94" s="5" t="s">
        <v>406</v>
      </c>
      <c r="J94" s="5" t="s">
        <v>152</v>
      </c>
      <c r="K94" s="7" t="str">
        <f ca="1">IFERROR(__xludf.DUMMYFUNCTION("GOOGLETRANSLATE(H94,""EN"",""ES"")"),"ROPA INTERIOR, LENCERÍA, CORSÉS, BRASSIÈRES, ROPA DE NOCHE")</f>
        <v>ROPA INTERIOR, LENCERÍA, CORSÉS, BRASSIÈRES, ROPA DE NOCHE</v>
      </c>
      <c r="L94" s="5" t="str">
        <f ca="1">IFERROR(__xludf.DUMMYFUNCTION("GOOGLETRANSLATE(J94,""EN"",""ES"")"),"Pijama")</f>
        <v>Pijama</v>
      </c>
      <c r="M94" s="8" t="s">
        <v>9</v>
      </c>
      <c r="N94" s="8" t="s">
        <v>9</v>
      </c>
    </row>
    <row r="95" spans="1:14" ht="11.25" customHeight="1">
      <c r="A95" s="5" t="s">
        <v>345</v>
      </c>
      <c r="B95" s="5" t="s">
        <v>346</v>
      </c>
      <c r="C95" s="5" t="s">
        <v>407</v>
      </c>
      <c r="D95" s="5" t="s">
        <v>348</v>
      </c>
      <c r="E95" s="5" t="s">
        <v>7</v>
      </c>
      <c r="F95" s="5" t="s">
        <v>349</v>
      </c>
      <c r="G95" s="5" t="s">
        <v>350</v>
      </c>
      <c r="H95" s="5" t="s">
        <v>351</v>
      </c>
      <c r="I95" s="5" t="s">
        <v>408</v>
      </c>
      <c r="J95" s="5" t="s">
        <v>409</v>
      </c>
      <c r="K95" s="7" t="str">
        <f ca="1">IFERROR(__xludf.DUMMYFUNCTION("GOOGLETRANSLATE(H95,""EN"",""ES"")"),"ROPA INTERIOR, LENCERÍA, CORSÉS, BRASSIÈRES, ROPA DE NOCHE")</f>
        <v>ROPA INTERIOR, LENCERÍA, CORSÉS, BRASSIÈRES, ROPA DE NOCHE</v>
      </c>
      <c r="L95" s="5" t="str">
        <f ca="1">IFERROR(__xludf.DUMMYFUNCTION("GOOGLETRANSLATE(J95,""EN"",""ES"")"),"sostenes")</f>
        <v>sostenes</v>
      </c>
      <c r="M95" s="8" t="s">
        <v>9</v>
      </c>
      <c r="N95" s="8" t="s">
        <v>9</v>
      </c>
    </row>
    <row r="96" spans="1:14" ht="11.25" customHeight="1">
      <c r="A96" s="5" t="s">
        <v>345</v>
      </c>
      <c r="B96" s="5" t="s">
        <v>346</v>
      </c>
      <c r="C96" s="5" t="s">
        <v>410</v>
      </c>
      <c r="D96" s="5" t="s">
        <v>348</v>
      </c>
      <c r="E96" s="5" t="s">
        <v>7</v>
      </c>
      <c r="F96" s="5" t="s">
        <v>349</v>
      </c>
      <c r="G96" s="5" t="s">
        <v>350</v>
      </c>
      <c r="H96" s="5" t="s">
        <v>351</v>
      </c>
      <c r="I96" s="5" t="s">
        <v>411</v>
      </c>
      <c r="J96" s="5" t="s">
        <v>412</v>
      </c>
      <c r="K96" s="7" t="str">
        <f ca="1">IFERROR(__xludf.DUMMYFUNCTION("GOOGLETRANSLATE(H96,""EN"",""ES"")"),"ROPA INTERIOR, LENCERÍA, CORSÉS, BRASSIÈRES, ROPA DE NOCHE")</f>
        <v>ROPA INTERIOR, LENCERÍA, CORSÉS, BRASSIÈRES, ROPA DE NOCHE</v>
      </c>
      <c r="L96" s="5" t="str">
        <f ca="1">IFERROR(__xludf.DUMMYFUNCTION("GOOGLETRANSLATE(J96,""EN"",""ES"")"),"cinturones abdominales")</f>
        <v>cinturones abdominales</v>
      </c>
      <c r="M96" s="8" t="s">
        <v>9</v>
      </c>
      <c r="N96" s="8" t="s">
        <v>9</v>
      </c>
    </row>
    <row r="97" spans="1:14" ht="11.25" customHeight="1">
      <c r="A97" s="5" t="s">
        <v>345</v>
      </c>
      <c r="B97" s="5" t="s">
        <v>346</v>
      </c>
      <c r="C97" s="5" t="s">
        <v>413</v>
      </c>
      <c r="D97" s="5" t="s">
        <v>348</v>
      </c>
      <c r="E97" s="5" t="s">
        <v>7</v>
      </c>
      <c r="F97" s="5" t="s">
        <v>349</v>
      </c>
      <c r="G97" s="5" t="s">
        <v>350</v>
      </c>
      <c r="H97" s="5" t="s">
        <v>351</v>
      </c>
      <c r="I97" s="5" t="s">
        <v>414</v>
      </c>
      <c r="J97" s="5" t="s">
        <v>415</v>
      </c>
      <c r="K97" s="7" t="str">
        <f ca="1">IFERROR(__xludf.DUMMYFUNCTION("GOOGLETRANSLATE(H97,""EN"",""ES"")"),"ROPA INTERIOR, LENCERÍA, CORSÉS, BRASSIÈRES, ROPA DE NOCHE")</f>
        <v>ROPA INTERIOR, LENCERÍA, CORSÉS, BRASSIÈRES, ROPA DE NOCHE</v>
      </c>
      <c r="L97" s="5" t="str">
        <f ca="1">IFERROR(__xludf.DUMMYFUNCTION("GOOGLETRANSLATE(J97,""EN"",""ES"")"),"Ropa de dormir")</f>
        <v>Ropa de dormir</v>
      </c>
      <c r="M97" s="8" t="s">
        <v>9</v>
      </c>
      <c r="N97" s="8" t="s">
        <v>9</v>
      </c>
    </row>
    <row r="98" spans="1:14" ht="11.25" customHeight="1">
      <c r="A98" s="5" t="s">
        <v>345</v>
      </c>
      <c r="B98" s="5" t="s">
        <v>346</v>
      </c>
      <c r="C98" s="5" t="s">
        <v>416</v>
      </c>
      <c r="D98" s="5" t="s">
        <v>348</v>
      </c>
      <c r="E98" s="5" t="s">
        <v>7</v>
      </c>
      <c r="F98" s="5" t="s">
        <v>349</v>
      </c>
      <c r="G98" s="5" t="s">
        <v>350</v>
      </c>
      <c r="H98" s="5" t="s">
        <v>351</v>
      </c>
      <c r="I98" s="5" t="s">
        <v>417</v>
      </c>
      <c r="J98" s="5" t="s">
        <v>418</v>
      </c>
      <c r="K98" s="7" t="str">
        <f ca="1">IFERROR(__xludf.DUMMYFUNCTION("GOOGLETRANSLATE(H98,""EN"",""ES"")"),"ROPA INTERIOR, LENCERÍA, CORSÉS, BRASSIÈRES, ROPA DE NOCHE")</f>
        <v>ROPA INTERIOR, LENCERÍA, CORSÉS, BRASSIÈRES, ROPA DE NOCHE</v>
      </c>
      <c r="L98" s="5" t="str">
        <f ca="1">IFERROR(__xludf.DUMMYFUNCTION("GOOGLETRANSLATE(J98,""EN"",""ES"")"),"Chalecos con mangas para bebés")</f>
        <v>Chalecos con mangas para bebés</v>
      </c>
      <c r="M98" s="8" t="s">
        <v>9</v>
      </c>
      <c r="N98" s="8" t="s">
        <v>70</v>
      </c>
    </row>
    <row r="99" spans="1:14" ht="11.25" customHeight="1">
      <c r="A99" s="5" t="s">
        <v>345</v>
      </c>
      <c r="B99" s="5" t="s">
        <v>346</v>
      </c>
      <c r="C99" s="5" t="s">
        <v>419</v>
      </c>
      <c r="D99" s="5" t="s">
        <v>348</v>
      </c>
      <c r="E99" s="5" t="s">
        <v>7</v>
      </c>
      <c r="F99" s="5" t="s">
        <v>349</v>
      </c>
      <c r="G99" s="5" t="s">
        <v>350</v>
      </c>
      <c r="H99" s="5" t="s">
        <v>351</v>
      </c>
      <c r="I99" s="5" t="s">
        <v>420</v>
      </c>
      <c r="J99" s="5" t="s">
        <v>421</v>
      </c>
      <c r="K99" s="7" t="str">
        <f ca="1">IFERROR(__xludf.DUMMYFUNCTION("GOOGLETRANSLATE(H99,""EN"",""ES"")"),"ROPA INTERIOR, LENCERÍA, CORSÉS, BRASSIÈRES, ROPA DE NOCHE")</f>
        <v>ROPA INTERIOR, LENCERÍA, CORSÉS, BRASSIÈRES, ROPA DE NOCHE</v>
      </c>
      <c r="L99" s="5" t="str">
        <f ca="1">IFERROR(__xludf.DUMMYFUNCTION("GOOGLETRANSLATE(J99,""EN"",""ES"")"),"Protectores de cadera para deportes.")</f>
        <v>Protectores de cadera para deportes.</v>
      </c>
      <c r="M99" s="8" t="s">
        <v>9</v>
      </c>
      <c r="N99" s="8" t="s">
        <v>72</v>
      </c>
    </row>
    <row r="100" spans="1:14" ht="11.25" customHeight="1">
      <c r="A100" s="5" t="s">
        <v>345</v>
      </c>
      <c r="B100" s="5" t="s">
        <v>346</v>
      </c>
      <c r="C100" s="5" t="s">
        <v>422</v>
      </c>
      <c r="D100" s="5" t="s">
        <v>348</v>
      </c>
      <c r="E100" s="5" t="s">
        <v>7</v>
      </c>
      <c r="F100" s="5" t="s">
        <v>349</v>
      </c>
      <c r="G100" s="5" t="s">
        <v>350</v>
      </c>
      <c r="H100" s="5" t="s">
        <v>351</v>
      </c>
      <c r="I100" s="5" t="s">
        <v>423</v>
      </c>
      <c r="J100" s="5" t="s">
        <v>424</v>
      </c>
      <c r="K100" s="7" t="str">
        <f ca="1">IFERROR(__xludf.DUMMYFUNCTION("GOOGLETRANSLATE(H100,""EN"",""ES"")"),"ROPA INTERIOR, LENCERÍA, CORSÉS, BRASSIÈRES, ROPA DE NOCHE")</f>
        <v>ROPA INTERIOR, LENCERÍA, CORSÉS, BRASSIÈRES, ROPA DE NOCHE</v>
      </c>
      <c r="L100" s="5" t="str">
        <f ca="1">IFERROR(__xludf.DUMMYFUNCTION("GOOGLETRANSLATE(J100,""EN"",""ES"")"),"pantalones de pañales")</f>
        <v>pantalones de pañales</v>
      </c>
      <c r="M100" s="8" t="s">
        <v>9</v>
      </c>
      <c r="N100" s="8" t="s">
        <v>70</v>
      </c>
    </row>
    <row r="101" spans="1:14" ht="11.25" customHeight="1">
      <c r="A101" s="5" t="s">
        <v>345</v>
      </c>
      <c r="B101" s="5" t="s">
        <v>346</v>
      </c>
      <c r="C101" s="5" t="s">
        <v>422</v>
      </c>
      <c r="D101" s="5" t="s">
        <v>348</v>
      </c>
      <c r="E101" s="5" t="s">
        <v>7</v>
      </c>
      <c r="F101" s="5" t="s">
        <v>349</v>
      </c>
      <c r="G101" s="5" t="s">
        <v>350</v>
      </c>
      <c r="H101" s="5" t="s">
        <v>351</v>
      </c>
      <c r="I101" s="5" t="s">
        <v>425</v>
      </c>
      <c r="J101" s="5" t="s">
        <v>152</v>
      </c>
      <c r="K101" s="7" t="str">
        <f ca="1">IFERROR(__xludf.DUMMYFUNCTION("GOOGLETRANSLATE(H101,""EN"",""ES"")"),"ROPA INTERIOR, LENCERÍA, CORSÉS, BRASSIÈRES, ROPA DE NOCHE")</f>
        <v>ROPA INTERIOR, LENCERÍA, CORSÉS, BRASSIÈRES, ROPA DE NOCHE</v>
      </c>
      <c r="L101" s="5" t="str">
        <f ca="1">IFERROR(__xludf.DUMMYFUNCTION("GOOGLETRANSLATE(J101,""EN"",""ES"")"),"pantalones de pañales")</f>
        <v>pantalones de pañales</v>
      </c>
      <c r="M101" s="8" t="s">
        <v>9</v>
      </c>
      <c r="N101" s="8" t="s">
        <v>70</v>
      </c>
    </row>
    <row r="102" spans="1:14" ht="11.25" customHeight="1">
      <c r="A102" s="5" t="s">
        <v>345</v>
      </c>
      <c r="B102" s="5" t="s">
        <v>346</v>
      </c>
      <c r="C102" s="5" t="s">
        <v>426</v>
      </c>
      <c r="D102" s="5" t="s">
        <v>348</v>
      </c>
      <c r="E102" s="5" t="s">
        <v>7</v>
      </c>
      <c r="F102" s="5" t="s">
        <v>349</v>
      </c>
      <c r="G102" s="5" t="s">
        <v>350</v>
      </c>
      <c r="H102" s="5" t="s">
        <v>351</v>
      </c>
      <c r="I102" s="5" t="s">
        <v>427</v>
      </c>
      <c r="J102" s="5" t="s">
        <v>428</v>
      </c>
      <c r="K102" s="7" t="str">
        <f ca="1">IFERROR(__xludf.DUMMYFUNCTION("GOOGLETRANSLATE(H102,""EN"",""ES"")"),"ROPA INTERIOR, LENCERÍA, CORSÉS, BRASSIÈRES, ROPA DE NOCHE")</f>
        <v>ROPA INTERIOR, LENCERÍA, CORSÉS, BRASSIÈRES, ROPA DE NOCHE</v>
      </c>
      <c r="L102" s="5" t="str">
        <f ca="1">IFERROR(__xludf.DUMMYFUNCTION("GOOGLETRANSLATE(J102,""EN"",""ES"")"),"Calzoncillos")</f>
        <v>Calzoncillos</v>
      </c>
      <c r="M102" s="8" t="s">
        <v>9</v>
      </c>
      <c r="N102" s="8" t="s">
        <v>9</v>
      </c>
    </row>
    <row r="103" spans="1:14" ht="11.25" customHeight="1">
      <c r="A103" s="5" t="s">
        <v>345</v>
      </c>
      <c r="B103" s="5" t="s">
        <v>346</v>
      </c>
      <c r="C103" s="5" t="s">
        <v>429</v>
      </c>
      <c r="D103" s="5" t="s">
        <v>348</v>
      </c>
      <c r="E103" s="5" t="s">
        <v>7</v>
      </c>
      <c r="F103" s="5" t="s">
        <v>349</v>
      </c>
      <c r="G103" s="5" t="s">
        <v>350</v>
      </c>
      <c r="H103" s="5" t="s">
        <v>351</v>
      </c>
      <c r="I103" s="5" t="s">
        <v>430</v>
      </c>
      <c r="J103" s="5" t="s">
        <v>431</v>
      </c>
      <c r="K103" s="7" t="str">
        <f ca="1">IFERROR(__xludf.DUMMYFUNCTION("GOOGLETRANSLATE(H103,""EN"",""ES"")"),"ROPA INTERIOR, LENCERÍA, CORSÉS, BRASSIÈRES, ROPA DE NOCHE")</f>
        <v>ROPA INTERIOR, LENCERÍA, CORSÉS, BRASSIÈRES, ROPA DE NOCHE</v>
      </c>
      <c r="L103" s="5" t="str">
        <f ca="1">IFERROR(__xludf.DUMMYFUNCTION("GOOGLETRANSLATE(J103,""EN"",""ES"")"),"Artículos adhesivos para soporte mamario.")</f>
        <v>Artículos adhesivos para soporte mamario.</v>
      </c>
      <c r="M103" s="8" t="s">
        <v>9</v>
      </c>
      <c r="N103" s="8" t="s">
        <v>9</v>
      </c>
    </row>
    <row r="104" spans="1:14" ht="11.25" customHeight="1">
      <c r="A104" s="5" t="s">
        <v>345</v>
      </c>
      <c r="B104" s="5" t="s">
        <v>346</v>
      </c>
      <c r="C104" s="5" t="s">
        <v>432</v>
      </c>
      <c r="D104" s="5" t="s">
        <v>348</v>
      </c>
      <c r="E104" s="5" t="s">
        <v>7</v>
      </c>
      <c r="F104" s="5" t="s">
        <v>349</v>
      </c>
      <c r="G104" s="5" t="s">
        <v>350</v>
      </c>
      <c r="H104" s="5" t="s">
        <v>351</v>
      </c>
      <c r="I104" s="5" t="s">
        <v>433</v>
      </c>
      <c r="J104" s="5" t="s">
        <v>434</v>
      </c>
      <c r="K104" s="7" t="str">
        <f ca="1">IFERROR(__xludf.DUMMYFUNCTION("GOOGLETRANSLATE(H104,""EN"",""ES"")"),"ROPA INTERIOR, LENCERÍA, CORSÉS, BRASSIÈRES, ROPA DE NOCHE")</f>
        <v>ROPA INTERIOR, LENCERÍA, CORSÉS, BRASSIÈRES, ROPA DE NOCHE</v>
      </c>
      <c r="L104" s="5" t="str">
        <f ca="1">IFERROR(__xludf.DUMMYFUNCTION("GOOGLETRANSLATE(J104,""EN"",""ES"")"),"Ropa interior de maternidad")</f>
        <v>Ropa interior de maternidad</v>
      </c>
      <c r="M104" s="8" t="s">
        <v>9</v>
      </c>
      <c r="N104" s="8" t="s">
        <v>9</v>
      </c>
    </row>
    <row r="105" spans="1:14" ht="11.25" customHeight="1">
      <c r="A105" s="5" t="s">
        <v>345</v>
      </c>
      <c r="B105" s="5" t="s">
        <v>346</v>
      </c>
      <c r="C105" s="5" t="s">
        <v>432</v>
      </c>
      <c r="D105" s="5" t="s">
        <v>348</v>
      </c>
      <c r="E105" s="5" t="s">
        <v>7</v>
      </c>
      <c r="F105" s="5" t="s">
        <v>349</v>
      </c>
      <c r="G105" s="5" t="s">
        <v>350</v>
      </c>
      <c r="H105" s="5" t="s">
        <v>351</v>
      </c>
      <c r="I105" s="5" t="s">
        <v>435</v>
      </c>
      <c r="J105" s="5" t="s">
        <v>152</v>
      </c>
      <c r="K105" s="7" t="str">
        <f ca="1">IFERROR(__xludf.DUMMYFUNCTION("GOOGLETRANSLATE(H105,""EN"",""ES"")"),"ROPA INTERIOR, LENCERÍA, CORSÉS, BRASSIÈRES, ROPA DE NOCHE")</f>
        <v>ROPA INTERIOR, LENCERÍA, CORSÉS, BRASSIÈRES, ROPA DE NOCHE</v>
      </c>
      <c r="L105" s="5" t="str">
        <f ca="1">IFERROR(__xludf.DUMMYFUNCTION("GOOGLETRANSLATE(J105,""EN"",""ES"")"),"Lencería de maternidad")</f>
        <v>Lencería de maternidad</v>
      </c>
      <c r="M105" s="8" t="s">
        <v>9</v>
      </c>
      <c r="N105" s="8" t="s">
        <v>9</v>
      </c>
    </row>
    <row r="106" spans="1:14" ht="11.25" customHeight="1">
      <c r="A106" s="5" t="s">
        <v>345</v>
      </c>
      <c r="B106" s="5" t="s">
        <v>346</v>
      </c>
      <c r="C106" s="5" t="s">
        <v>436</v>
      </c>
      <c r="D106" s="5" t="s">
        <v>348</v>
      </c>
      <c r="E106" s="5" t="s">
        <v>7</v>
      </c>
      <c r="F106" s="5" t="s">
        <v>349</v>
      </c>
      <c r="G106" s="5" t="s">
        <v>350</v>
      </c>
      <c r="H106" s="5" t="s">
        <v>351</v>
      </c>
      <c r="I106" s="5" t="s">
        <v>437</v>
      </c>
      <c r="J106" s="5" t="s">
        <v>438</v>
      </c>
      <c r="K106" s="7" t="str">
        <f ca="1">IFERROR(__xludf.DUMMYFUNCTION("GOOGLETRANSLATE(H106,""EN"",""ES"")"),"ROPA INTERIOR, LENCERÍA, CORSÉS, BRASSIÈRES, ROPA DE NOCHE")</f>
        <v>ROPA INTERIOR, LENCERÍA, CORSÉS, BRASSIÈRES, ROPA DE NOCHE</v>
      </c>
      <c r="L106" s="5" t="str">
        <f ca="1">IFERROR(__xludf.DUMMYFUNCTION("GOOGLETRANSLATE(J106,""EN"",""ES"")"),"ropa interior de enfermería")</f>
        <v>ropa interior de enfermería</v>
      </c>
      <c r="M106" s="8" t="s">
        <v>9</v>
      </c>
      <c r="N106" s="8" t="s">
        <v>9</v>
      </c>
    </row>
    <row r="107" spans="1:14" ht="11.25" customHeight="1">
      <c r="A107" s="5" t="s">
        <v>345</v>
      </c>
      <c r="B107" s="5" t="s">
        <v>346</v>
      </c>
      <c r="C107" s="5" t="s">
        <v>436</v>
      </c>
      <c r="D107" s="5" t="s">
        <v>348</v>
      </c>
      <c r="E107" s="5" t="s">
        <v>7</v>
      </c>
      <c r="F107" s="5" t="s">
        <v>349</v>
      </c>
      <c r="G107" s="5" t="s">
        <v>350</v>
      </c>
      <c r="H107" s="5" t="s">
        <v>351</v>
      </c>
      <c r="I107" s="5" t="s">
        <v>439</v>
      </c>
      <c r="J107" s="5" t="s">
        <v>152</v>
      </c>
      <c r="K107" s="7" t="str">
        <f ca="1">IFERROR(__xludf.DUMMYFUNCTION("GOOGLETRANSLATE(H107,""EN"",""ES"")"),"ROPA INTERIOR, LENCERÍA, CORSÉS, BRASSIÈRES, ROPA DE NOCHE")</f>
        <v>ROPA INTERIOR, LENCERÍA, CORSÉS, BRASSIÈRES, ROPA DE NOCHE</v>
      </c>
      <c r="L107" s="5" t="str">
        <f ca="1">IFERROR(__xludf.DUMMYFUNCTION("GOOGLETRANSLATE(J107,""EN"",""ES"")"),"lencería de enfermería")</f>
        <v>lencería de enfermería</v>
      </c>
      <c r="M107" s="8" t="s">
        <v>9</v>
      </c>
      <c r="N107" s="8" t="s">
        <v>9</v>
      </c>
    </row>
    <row r="108" spans="1:14" ht="11.25" customHeight="1">
      <c r="A108" s="5" t="s">
        <v>345</v>
      </c>
      <c r="B108" s="5" t="s">
        <v>440</v>
      </c>
      <c r="C108" s="5" t="s">
        <v>441</v>
      </c>
      <c r="D108" s="5" t="s">
        <v>348</v>
      </c>
      <c r="E108" s="5" t="s">
        <v>7</v>
      </c>
      <c r="F108" s="5" t="s">
        <v>349</v>
      </c>
      <c r="G108" s="5" t="s">
        <v>350</v>
      </c>
      <c r="H108" s="5" t="s">
        <v>442</v>
      </c>
      <c r="I108" s="5" t="s">
        <v>443</v>
      </c>
      <c r="J108" s="5" t="s">
        <v>444</v>
      </c>
      <c r="K108" s="7" t="str">
        <f ca="1">IFERROR(__xludf.DUMMYFUNCTION("GOOGLETRANSLATE(H108,""EN"",""ES"")"),"VESTIDOS")</f>
        <v>VESTIDOS</v>
      </c>
      <c r="L108" s="5" t="str">
        <f ca="1">IFERROR(__xludf.DUMMYFUNCTION("GOOGLETRANSLATE(J108,""EN"",""ES"")"),"Camisas")</f>
        <v>Camisas</v>
      </c>
      <c r="M108" s="8" t="s">
        <v>9</v>
      </c>
      <c r="N108" s="8" t="s">
        <v>9</v>
      </c>
    </row>
    <row r="109" spans="1:14" ht="11.25" customHeight="1">
      <c r="A109" s="5" t="s">
        <v>345</v>
      </c>
      <c r="B109" s="5" t="s">
        <v>440</v>
      </c>
      <c r="C109" s="5" t="s">
        <v>445</v>
      </c>
      <c r="D109" s="5" t="s">
        <v>348</v>
      </c>
      <c r="E109" s="5" t="s">
        <v>7</v>
      </c>
      <c r="F109" s="5" t="s">
        <v>349</v>
      </c>
      <c r="G109" s="5" t="s">
        <v>350</v>
      </c>
      <c r="H109" s="5" t="s">
        <v>442</v>
      </c>
      <c r="I109" s="5" t="s">
        <v>446</v>
      </c>
      <c r="J109" s="5" t="s">
        <v>447</v>
      </c>
      <c r="K109" s="7" t="str">
        <f ca="1">IFERROR(__xludf.DUMMYFUNCTION("GOOGLETRANSLATE(H109,""EN"",""ES"")"),"VESTIDOS")</f>
        <v>VESTIDOS</v>
      </c>
      <c r="L109" s="5" t="str">
        <f ca="1">IFERROR(__xludf.DUMMYFUNCTION("GOOGLETRANSLATE(J109,""EN"",""ES"")"),"cuellos de camisa")</f>
        <v>cuellos de camisa</v>
      </c>
      <c r="M109" s="8" t="s">
        <v>9</v>
      </c>
      <c r="N109" s="8" t="s">
        <v>9</v>
      </c>
    </row>
    <row r="110" spans="1:14" ht="11.25" customHeight="1">
      <c r="A110" s="5" t="s">
        <v>345</v>
      </c>
      <c r="B110" s="5" t="s">
        <v>440</v>
      </c>
      <c r="C110" s="5" t="s">
        <v>448</v>
      </c>
      <c r="D110" s="5" t="s">
        <v>348</v>
      </c>
      <c r="E110" s="5" t="s">
        <v>7</v>
      </c>
      <c r="F110" s="5" t="s">
        <v>349</v>
      </c>
      <c r="G110" s="5" t="s">
        <v>350</v>
      </c>
      <c r="H110" s="5" t="s">
        <v>442</v>
      </c>
      <c r="I110" s="5" t="s">
        <v>449</v>
      </c>
      <c r="J110" s="5" t="s">
        <v>450</v>
      </c>
      <c r="K110" s="7" t="str">
        <f ca="1">IFERROR(__xludf.DUMMYFUNCTION("GOOGLETRANSLATE(H110,""EN"",""ES"")"),"VESTIDOS")</f>
        <v>VESTIDOS</v>
      </c>
      <c r="L110" s="5" t="str">
        <f ca="1">IFERROR(__xludf.DUMMYFUNCTION("GOOGLETRANSLATE(J110,""EN"",""ES"")"),"Dickies [falsas pecheras]")</f>
        <v>Dickies [falsas pecheras]</v>
      </c>
      <c r="M110" s="8" t="s">
        <v>9</v>
      </c>
      <c r="N110" s="8" t="s">
        <v>9</v>
      </c>
    </row>
    <row r="111" spans="1:14" ht="11.25" customHeight="1">
      <c r="A111" s="5" t="s">
        <v>345</v>
      </c>
      <c r="B111" s="5" t="s">
        <v>440</v>
      </c>
      <c r="C111" s="5" t="s">
        <v>448</v>
      </c>
      <c r="D111" s="5" t="s">
        <v>348</v>
      </c>
      <c r="E111" s="5" t="s">
        <v>7</v>
      </c>
      <c r="F111" s="5" t="s">
        <v>349</v>
      </c>
      <c r="G111" s="5" t="s">
        <v>350</v>
      </c>
      <c r="H111" s="5" t="s">
        <v>442</v>
      </c>
      <c r="I111" s="5" t="s">
        <v>451</v>
      </c>
      <c r="J111" s="5" t="s">
        <v>152</v>
      </c>
      <c r="K111" s="7" t="str">
        <f ca="1">IFERROR(__xludf.DUMMYFUNCTION("GOOGLETRANSLATE(H111,""EN"",""ES"")"),"VESTIDOS")</f>
        <v>VESTIDOS</v>
      </c>
      <c r="L111" s="5" t="str">
        <f ca="1">IFERROR(__xludf.DUMMYFUNCTION("GOOGLETRANSLATE(J111,""EN"",""ES"")"),"Falsas pecheras [dickies]")</f>
        <v>Falsas pecheras [dickies]</v>
      </c>
      <c r="M111" s="8" t="s">
        <v>9</v>
      </c>
      <c r="N111" s="8" t="s">
        <v>9</v>
      </c>
    </row>
    <row r="112" spans="1:14" ht="11.25" customHeight="1">
      <c r="A112" s="5" t="s">
        <v>345</v>
      </c>
      <c r="B112" s="5" t="s">
        <v>440</v>
      </c>
      <c r="C112" s="5" t="s">
        <v>452</v>
      </c>
      <c r="D112" s="5" t="s">
        <v>348</v>
      </c>
      <c r="E112" s="5" t="s">
        <v>7</v>
      </c>
      <c r="F112" s="5" t="s">
        <v>349</v>
      </c>
      <c r="G112" s="5" t="s">
        <v>350</v>
      </c>
      <c r="H112" s="5" t="s">
        <v>442</v>
      </c>
      <c r="I112" s="5" t="s">
        <v>453</v>
      </c>
      <c r="J112" s="5" t="s">
        <v>454</v>
      </c>
      <c r="K112" s="7" t="str">
        <f ca="1">IFERROR(__xludf.DUMMYFUNCTION("GOOGLETRANSLATE(H112,""EN"",""ES"")"),"VESTIDOS")</f>
        <v>VESTIDOS</v>
      </c>
      <c r="L112" s="5" t="str">
        <f ca="1">IFERROR(__xludf.DUMMYFUNCTION("GOOGLETRANSLATE(J112,""EN"",""ES"")"),"Mangas de camisa")</f>
        <v>Mangas de camisa</v>
      </c>
      <c r="M112" s="8" t="s">
        <v>9</v>
      </c>
      <c r="N112" s="8" t="s">
        <v>9</v>
      </c>
    </row>
    <row r="113" spans="1:14" ht="11.25" customHeight="1">
      <c r="A113" s="5" t="s">
        <v>345</v>
      </c>
      <c r="B113" s="5" t="s">
        <v>440</v>
      </c>
      <c r="C113" s="5" t="s">
        <v>455</v>
      </c>
      <c r="D113" s="5" t="s">
        <v>348</v>
      </c>
      <c r="E113" s="5" t="s">
        <v>7</v>
      </c>
      <c r="F113" s="5" t="s">
        <v>349</v>
      </c>
      <c r="G113" s="5" t="s">
        <v>350</v>
      </c>
      <c r="H113" s="5" t="s">
        <v>442</v>
      </c>
      <c r="I113" s="5" t="s">
        <v>456</v>
      </c>
      <c r="J113" s="5" t="s">
        <v>457</v>
      </c>
      <c r="K113" s="7" t="str">
        <f ca="1">IFERROR(__xludf.DUMMYFUNCTION("GOOGLETRANSLATE(H113,""EN"",""ES"")"),"VESTIDOS")</f>
        <v>VESTIDOS</v>
      </c>
      <c r="L113" s="5" t="str">
        <f ca="1">IFERROR(__xludf.DUMMYFUNCTION("GOOGLETRANSLATE(J113,""EN"",""ES"")"),"Puños de camisa")</f>
        <v>Puños de camisa</v>
      </c>
      <c r="M113" s="8" t="s">
        <v>9</v>
      </c>
      <c r="N113" s="8" t="s">
        <v>9</v>
      </c>
    </row>
    <row r="114" spans="1:14" ht="11.25" customHeight="1">
      <c r="A114" s="5" t="s">
        <v>345</v>
      </c>
      <c r="B114" s="5" t="s">
        <v>440</v>
      </c>
      <c r="C114" s="5" t="s">
        <v>458</v>
      </c>
      <c r="D114" s="5" t="s">
        <v>348</v>
      </c>
      <c r="E114" s="5" t="s">
        <v>7</v>
      </c>
      <c r="F114" s="5" t="s">
        <v>349</v>
      </c>
      <c r="G114" s="5" t="s">
        <v>350</v>
      </c>
      <c r="H114" s="5" t="s">
        <v>442</v>
      </c>
      <c r="I114" s="5" t="s">
        <v>459</v>
      </c>
      <c r="J114" s="5" t="s">
        <v>459</v>
      </c>
      <c r="K114" s="7" t="str">
        <f ca="1">IFERROR(__xludf.DUMMYFUNCTION("GOOGLETRANSLATE(H114,""EN"",""ES"")"),"VESTIDOS")</f>
        <v>VESTIDOS</v>
      </c>
      <c r="L114" s="5" t="str">
        <f ca="1">IFERROR(__xludf.DUMMYFUNCTION("GOOGLETRANSLATE(J114,""EN"",""ES"")"),"Anoraks")</f>
        <v>Anoraks</v>
      </c>
      <c r="M114" s="8" t="s">
        <v>9</v>
      </c>
      <c r="N114" s="8" t="s">
        <v>9</v>
      </c>
    </row>
    <row r="115" spans="1:14" ht="11.25" customHeight="1">
      <c r="A115" s="5" t="s">
        <v>345</v>
      </c>
      <c r="B115" s="5" t="s">
        <v>440</v>
      </c>
      <c r="C115" s="5" t="s">
        <v>460</v>
      </c>
      <c r="D115" s="5" t="s">
        <v>348</v>
      </c>
      <c r="E115" s="5" t="s">
        <v>7</v>
      </c>
      <c r="F115" s="5" t="s">
        <v>349</v>
      </c>
      <c r="G115" s="5" t="s">
        <v>350</v>
      </c>
      <c r="H115" s="5" t="s">
        <v>442</v>
      </c>
      <c r="I115" s="5" t="s">
        <v>461</v>
      </c>
      <c r="J115" s="5" t="s">
        <v>461</v>
      </c>
      <c r="K115" s="7" t="str">
        <f ca="1">IFERROR(__xludf.DUMMYFUNCTION("GOOGLETRANSLATE(H115,""EN"",""ES"")"),"VESTIDOS")</f>
        <v>VESTIDOS</v>
      </c>
      <c r="L115" s="5" t="str">
        <f ca="1">IFERROR(__xludf.DUMMYFUNCTION("GOOGLETRANSLATE(J115,""EN"",""ES"")"),"Americanas")</f>
        <v>Americanas</v>
      </c>
      <c r="M115" s="8" t="s">
        <v>9</v>
      </c>
      <c r="N115" s="8" t="s">
        <v>9</v>
      </c>
    </row>
    <row r="116" spans="1:14" ht="11.25" customHeight="1">
      <c r="A116" s="5" t="s">
        <v>345</v>
      </c>
      <c r="B116" s="5" t="s">
        <v>440</v>
      </c>
      <c r="C116" s="5" t="s">
        <v>462</v>
      </c>
      <c r="D116" s="5" t="s">
        <v>348</v>
      </c>
      <c r="E116" s="5" t="s">
        <v>7</v>
      </c>
      <c r="F116" s="5" t="s">
        <v>349</v>
      </c>
      <c r="G116" s="5" t="s">
        <v>350</v>
      </c>
      <c r="H116" s="5" t="s">
        <v>442</v>
      </c>
      <c r="I116" s="5" t="s">
        <v>463</v>
      </c>
      <c r="J116" s="5" t="s">
        <v>463</v>
      </c>
      <c r="K116" s="7" t="str">
        <f ca="1">IFERROR(__xludf.DUMMYFUNCTION("GOOGLETRANSLATE(H116,""EN"",""ES"")"),"VESTIDOS")</f>
        <v>VESTIDOS</v>
      </c>
      <c r="L116" s="5" t="str">
        <f ca="1">IFERROR(__xludf.DUMMYFUNCTION("GOOGLETRANSLATE(J116,""EN"",""ES"")"),"Blusas")</f>
        <v>Blusas</v>
      </c>
      <c r="M116" s="8" t="s">
        <v>9</v>
      </c>
      <c r="N116" s="8" t="s">
        <v>9</v>
      </c>
    </row>
    <row r="117" spans="1:14" ht="11.25" customHeight="1">
      <c r="A117" s="5" t="s">
        <v>345</v>
      </c>
      <c r="B117" s="5" t="s">
        <v>440</v>
      </c>
      <c r="C117" s="5" t="s">
        <v>464</v>
      </c>
      <c r="D117" s="5" t="s">
        <v>348</v>
      </c>
      <c r="E117" s="5" t="s">
        <v>7</v>
      </c>
      <c r="F117" s="5" t="s">
        <v>349</v>
      </c>
      <c r="G117" s="5" t="s">
        <v>350</v>
      </c>
      <c r="H117" s="5" t="s">
        <v>442</v>
      </c>
      <c r="I117" s="5" t="s">
        <v>465</v>
      </c>
      <c r="J117" s="5" t="s">
        <v>466</v>
      </c>
      <c r="K117" s="7" t="str">
        <f ca="1">IFERROR(__xludf.DUMMYFUNCTION("GOOGLETRANSLATE(H117,""EN"",""ES"")"),"VESTIDOS")</f>
        <v>VESTIDOS</v>
      </c>
      <c r="L117" s="5" t="str">
        <f ca="1">IFERROR(__xludf.DUMMYFUNCTION("GOOGLETRANSLATE(J117,""EN"",""ES"")"),"Mono")</f>
        <v>Mono</v>
      </c>
      <c r="M117" s="8" t="s">
        <v>9</v>
      </c>
      <c r="N117" s="8" t="s">
        <v>9</v>
      </c>
    </row>
    <row r="118" spans="1:14" ht="11.25" customHeight="1">
      <c r="A118" s="5" t="s">
        <v>345</v>
      </c>
      <c r="B118" s="5" t="s">
        <v>440</v>
      </c>
      <c r="C118" s="5" t="s">
        <v>467</v>
      </c>
      <c r="D118" s="5" t="s">
        <v>348</v>
      </c>
      <c r="E118" s="5" t="s">
        <v>7</v>
      </c>
      <c r="F118" s="5" t="s">
        <v>349</v>
      </c>
      <c r="G118" s="5" t="s">
        <v>350</v>
      </c>
      <c r="H118" s="5" t="s">
        <v>442</v>
      </c>
      <c r="I118" s="5" t="s">
        <v>468</v>
      </c>
      <c r="J118" s="5" t="s">
        <v>469</v>
      </c>
      <c r="K118" s="7" t="str">
        <f ca="1">IFERROR(__xludf.DUMMYFUNCTION("GOOGLETRANSLATE(H118,""EN"",""ES"")"),"VESTIDOS")</f>
        <v>VESTIDOS</v>
      </c>
      <c r="L118" s="5" t="str">
        <f ca="1">IFERROR(__xludf.DUMMYFUNCTION("GOOGLETRANSLATE(J118,""EN"",""ES"")"),"Chaquetas cortavientos")</f>
        <v>Chaquetas cortavientos</v>
      </c>
      <c r="M118" s="8" t="s">
        <v>9</v>
      </c>
      <c r="N118" s="8" t="s">
        <v>9</v>
      </c>
    </row>
    <row r="119" spans="1:14" ht="11.25" customHeight="1">
      <c r="A119" s="5" t="s">
        <v>345</v>
      </c>
      <c r="B119" s="5" t="s">
        <v>440</v>
      </c>
      <c r="C119" s="5" t="s">
        <v>470</v>
      </c>
      <c r="D119" s="5" t="s">
        <v>348</v>
      </c>
      <c r="E119" s="5" t="s">
        <v>7</v>
      </c>
      <c r="F119" s="5" t="s">
        <v>349</v>
      </c>
      <c r="G119" s="5" t="s">
        <v>350</v>
      </c>
      <c r="H119" s="5" t="s">
        <v>442</v>
      </c>
      <c r="I119" s="5" t="s">
        <v>471</v>
      </c>
      <c r="J119" s="5" t="s">
        <v>472</v>
      </c>
      <c r="K119" s="7" t="str">
        <f ca="1">IFERROR(__xludf.DUMMYFUNCTION("GOOGLETRANSLATE(H119,""EN"",""ES"")"),"VESTIDOS")</f>
        <v>VESTIDOS</v>
      </c>
      <c r="L119" s="5" t="str">
        <f ca="1">IFERROR(__xludf.DUMMYFUNCTION("GOOGLETRANSLATE(J119,""EN"",""ES"")"),"Boas [collares]")</f>
        <v>Boas [collares]</v>
      </c>
      <c r="M119" s="8" t="s">
        <v>9</v>
      </c>
      <c r="N119" s="8" t="s">
        <v>9</v>
      </c>
    </row>
    <row r="120" spans="1:14" ht="11.25" customHeight="1">
      <c r="A120" s="5" t="s">
        <v>345</v>
      </c>
      <c r="B120" s="5" t="s">
        <v>440</v>
      </c>
      <c r="C120" s="5" t="s">
        <v>473</v>
      </c>
      <c r="D120" s="5" t="s">
        <v>348</v>
      </c>
      <c r="E120" s="5" t="s">
        <v>7</v>
      </c>
      <c r="F120" s="5" t="s">
        <v>349</v>
      </c>
      <c r="G120" s="5" t="s">
        <v>350</v>
      </c>
      <c r="H120" s="5" t="s">
        <v>442</v>
      </c>
      <c r="I120" s="5" t="s">
        <v>474</v>
      </c>
      <c r="J120" s="5" t="s">
        <v>475</v>
      </c>
      <c r="K120" s="7" t="str">
        <f ca="1">IFERROR(__xludf.DUMMYFUNCTION("GOOGLETRANSLATE(H120,""EN"",""ES"")"),"VESTIDOS")</f>
        <v>VESTIDOS</v>
      </c>
      <c r="L120" s="5" t="str">
        <f ca="1">IFERROR(__xludf.DUMMYFUNCTION("GOOGLETRANSLATE(J120,""EN"",""ES"")"),"boleros")</f>
        <v>boleros</v>
      </c>
      <c r="M120" s="8" t="s">
        <v>9</v>
      </c>
      <c r="N120" s="8" t="s">
        <v>9</v>
      </c>
    </row>
    <row r="121" spans="1:14" ht="11.25" customHeight="1">
      <c r="A121" s="5" t="s">
        <v>345</v>
      </c>
      <c r="B121" s="5" t="s">
        <v>440</v>
      </c>
      <c r="C121" s="5" t="s">
        <v>476</v>
      </c>
      <c r="D121" s="5" t="s">
        <v>348</v>
      </c>
      <c r="E121" s="5" t="s">
        <v>7</v>
      </c>
      <c r="F121" s="5" t="s">
        <v>349</v>
      </c>
      <c r="G121" s="5" t="s">
        <v>350</v>
      </c>
      <c r="H121" s="5" t="s">
        <v>442</v>
      </c>
      <c r="I121" s="5" t="s">
        <v>477</v>
      </c>
      <c r="J121" s="5" t="s">
        <v>478</v>
      </c>
      <c r="K121" s="7" t="str">
        <f ca="1">IFERROR(__xludf.DUMMYFUNCTION("GOOGLETRANSLATE(H121,""EN"",""ES"")"),"VESTIDOS")</f>
        <v>VESTIDOS</v>
      </c>
      <c r="L121" s="5" t="str">
        <f ca="1">IFERROR(__xludf.DUMMYFUNCTION("GOOGLETRANSLATE(J121,""EN"",""ES"")"),"bañadores")</f>
        <v>bañadores</v>
      </c>
      <c r="M121" s="8" t="s">
        <v>9</v>
      </c>
      <c r="N121" s="8" t="s">
        <v>9</v>
      </c>
    </row>
    <row r="122" spans="1:14" ht="11.25" customHeight="1">
      <c r="A122" s="5" t="s">
        <v>345</v>
      </c>
      <c r="B122" s="5" t="s">
        <v>440</v>
      </c>
      <c r="C122" s="5" t="s">
        <v>479</v>
      </c>
      <c r="D122" s="5" t="s">
        <v>348</v>
      </c>
      <c r="E122" s="5" t="s">
        <v>7</v>
      </c>
      <c r="F122" s="5" t="s">
        <v>349</v>
      </c>
      <c r="G122" s="5" t="s">
        <v>350</v>
      </c>
      <c r="H122" s="5" t="s">
        <v>442</v>
      </c>
      <c r="I122" s="5" t="s">
        <v>480</v>
      </c>
      <c r="J122" s="5" t="s">
        <v>481</v>
      </c>
      <c r="K122" s="7" t="str">
        <f ca="1">IFERROR(__xludf.DUMMYFUNCTION("GOOGLETRANSLATE(H122,""EN"",""ES"")"),"VESTIDOS")</f>
        <v>VESTIDOS</v>
      </c>
      <c r="L122" s="5" t="str">
        <f ca="1">IFERROR(__xludf.DUMMYFUNCTION("GOOGLETRANSLATE(J122,""EN"",""ES"")"),"camisas de fuerza")</f>
        <v>camisas de fuerza</v>
      </c>
      <c r="M122" s="8" t="s">
        <v>9</v>
      </c>
      <c r="N122" s="8" t="s">
        <v>9</v>
      </c>
    </row>
    <row r="123" spans="1:14" ht="11.25" customHeight="1">
      <c r="A123" s="5" t="s">
        <v>345</v>
      </c>
      <c r="B123" s="5" t="s">
        <v>440</v>
      </c>
      <c r="C123" s="5" t="s">
        <v>482</v>
      </c>
      <c r="D123" s="5" t="s">
        <v>348</v>
      </c>
      <c r="E123" s="5" t="s">
        <v>7</v>
      </c>
      <c r="F123" s="5" t="s">
        <v>349</v>
      </c>
      <c r="G123" s="5" t="s">
        <v>350</v>
      </c>
      <c r="H123" s="5" t="s">
        <v>442</v>
      </c>
      <c r="I123" s="5" t="s">
        <v>483</v>
      </c>
      <c r="J123" s="5" t="s">
        <v>484</v>
      </c>
      <c r="K123" s="7" t="str">
        <f ca="1">IFERROR(__xludf.DUMMYFUNCTION("GOOGLETRANSLATE(H123,""EN"",""ES"")"),"VESTIDOS")</f>
        <v>VESTIDOS</v>
      </c>
      <c r="L123" s="5" t="str">
        <f ca="1">IFERROR(__xludf.DUMMYFUNCTION("GOOGLETRANSLATE(J123,""EN"",""ES"")"),"capas")</f>
        <v>capas</v>
      </c>
      <c r="M123" s="8" t="s">
        <v>9</v>
      </c>
      <c r="N123" s="8" t="s">
        <v>9</v>
      </c>
    </row>
    <row r="124" spans="1:14" ht="11.25" customHeight="1">
      <c r="A124" s="5" t="s">
        <v>345</v>
      </c>
      <c r="B124" s="5" t="s">
        <v>440</v>
      </c>
      <c r="C124" s="5" t="s">
        <v>485</v>
      </c>
      <c r="D124" s="5" t="s">
        <v>348</v>
      </c>
      <c r="E124" s="5" t="s">
        <v>7</v>
      </c>
      <c r="F124" s="5" t="s">
        <v>349</v>
      </c>
      <c r="G124" s="5" t="s">
        <v>350</v>
      </c>
      <c r="H124" s="5" t="s">
        <v>442</v>
      </c>
      <c r="I124" s="5" t="s">
        <v>486</v>
      </c>
      <c r="J124" s="5" t="s">
        <v>486</v>
      </c>
      <c r="K124" s="7" t="str">
        <f ca="1">IFERROR(__xludf.DUMMYFUNCTION("GOOGLETRANSLATE(H124,""EN"",""ES"")"),"VESTIDOS")</f>
        <v>VESTIDOS</v>
      </c>
      <c r="L124" s="5" t="str">
        <f ca="1">IFERROR(__xludf.DUMMYFUNCTION("GOOGLETRANSLATE(J124,""EN"",""ES"")"),"Cárdigans")</f>
        <v>Cárdigans</v>
      </c>
      <c r="M124" s="8" t="s">
        <v>9</v>
      </c>
      <c r="N124" s="8" t="s">
        <v>9</v>
      </c>
    </row>
    <row r="125" spans="1:14" ht="11.25" customHeight="1">
      <c r="A125" s="5" t="s">
        <v>345</v>
      </c>
      <c r="B125" s="5" t="s">
        <v>440</v>
      </c>
      <c r="C125" s="5" t="s">
        <v>487</v>
      </c>
      <c r="D125" s="5" t="s">
        <v>348</v>
      </c>
      <c r="E125" s="5" t="s">
        <v>7</v>
      </c>
      <c r="F125" s="5" t="s">
        <v>349</v>
      </c>
      <c r="G125" s="5" t="s">
        <v>350</v>
      </c>
      <c r="H125" s="5" t="s">
        <v>442</v>
      </c>
      <c r="I125" s="5" t="s">
        <v>488</v>
      </c>
      <c r="J125" s="5" t="s">
        <v>489</v>
      </c>
      <c r="K125" s="7" t="str">
        <f ca="1">IFERROR(__xludf.DUMMYFUNCTION("GOOGLETRANSLATE(H125,""EN"",""ES"")"),"VESTIDOS")</f>
        <v>VESTIDOS</v>
      </c>
      <c r="L125" s="5" t="str">
        <f ca="1">IFERROR(__xludf.DUMMYFUNCTION("GOOGLETRANSLATE(J125,""EN"",""ES"")"),"Blusas tipo jersey")</f>
        <v>Blusas tipo jersey</v>
      </c>
      <c r="M125" s="8" t="s">
        <v>9</v>
      </c>
      <c r="N125" s="8" t="s">
        <v>9</v>
      </c>
    </row>
    <row r="126" spans="1:14" ht="11.25" customHeight="1">
      <c r="A126" s="5" t="s">
        <v>345</v>
      </c>
      <c r="B126" s="5" t="s">
        <v>440</v>
      </c>
      <c r="C126" s="5" t="s">
        <v>490</v>
      </c>
      <c r="D126" s="5" t="s">
        <v>348</v>
      </c>
      <c r="E126" s="5" t="s">
        <v>7</v>
      </c>
      <c r="F126" s="5" t="s">
        <v>349</v>
      </c>
      <c r="G126" s="5" t="s">
        <v>350</v>
      </c>
      <c r="H126" s="5" t="s">
        <v>442</v>
      </c>
      <c r="I126" s="5" t="s">
        <v>491</v>
      </c>
      <c r="J126" s="5" t="s">
        <v>492</v>
      </c>
      <c r="K126" s="7" t="str">
        <f ca="1">IFERROR(__xludf.DUMMYFUNCTION("GOOGLETRANSLATE(H126,""EN"",""ES"")"),"VESTIDOS")</f>
        <v>VESTIDOS</v>
      </c>
      <c r="L126" s="5" t="str">
        <f ca="1">IFERROR(__xludf.DUMMYFUNCTION("GOOGLETRANSLATE(J126,""EN"",""ES"")"),"Suéteres")</f>
        <v>Suéteres</v>
      </c>
      <c r="M126" s="8" t="s">
        <v>9</v>
      </c>
      <c r="N126" s="8" t="s">
        <v>9</v>
      </c>
    </row>
    <row r="127" spans="1:14" ht="11.25" customHeight="1">
      <c r="A127" s="5" t="s">
        <v>345</v>
      </c>
      <c r="B127" s="5" t="s">
        <v>440</v>
      </c>
      <c r="C127" s="5" t="s">
        <v>490</v>
      </c>
      <c r="D127" s="5" t="s">
        <v>348</v>
      </c>
      <c r="E127" s="5" t="s">
        <v>7</v>
      </c>
      <c r="F127" s="5" t="s">
        <v>349</v>
      </c>
      <c r="G127" s="5" t="s">
        <v>350</v>
      </c>
      <c r="H127" s="5" t="s">
        <v>442</v>
      </c>
      <c r="I127" s="5" t="s">
        <v>493</v>
      </c>
      <c r="J127" s="5" t="s">
        <v>494</v>
      </c>
      <c r="K127" s="7" t="str">
        <f ca="1">IFERROR(__xludf.DUMMYFUNCTION("GOOGLETRANSLATE(H127,""EN"",""ES"")"),"VESTIDOS")</f>
        <v>VESTIDOS</v>
      </c>
      <c r="L127" s="5" t="str">
        <f ca="1">IFERROR(__xludf.DUMMYFUNCTION("GOOGLETRANSLATE(J127,""EN"",""ES"")"),"camisetas")</f>
        <v>camisetas</v>
      </c>
      <c r="M127" s="8" t="s">
        <v>9</v>
      </c>
      <c r="N127" s="8" t="s">
        <v>9</v>
      </c>
    </row>
    <row r="128" spans="1:14" ht="11.25" customHeight="1">
      <c r="A128" s="5" t="s">
        <v>345</v>
      </c>
      <c r="B128" s="5" t="s">
        <v>440</v>
      </c>
      <c r="C128" s="5" t="s">
        <v>495</v>
      </c>
      <c r="D128" s="5" t="s">
        <v>348</v>
      </c>
      <c r="E128" s="5" t="s">
        <v>7</v>
      </c>
      <c r="F128" s="5" t="s">
        <v>349</v>
      </c>
      <c r="G128" s="5" t="s">
        <v>350</v>
      </c>
      <c r="H128" s="5" t="s">
        <v>442</v>
      </c>
      <c r="I128" s="5" t="s">
        <v>496</v>
      </c>
      <c r="J128" s="5" t="s">
        <v>496</v>
      </c>
      <c r="K128" s="7" t="str">
        <f ca="1">IFERROR(__xludf.DUMMYFUNCTION("GOOGLETRANSLATE(H128,""EN"",""ES"")"),"VESTIDOS")</f>
        <v>VESTIDOS</v>
      </c>
      <c r="L128" s="5" t="str">
        <f ca="1">IFERROR(__xludf.DUMMYFUNCTION("GOOGLETRANSLATE(J128,""EN"",""ES"")"),"Casullas")</f>
        <v>Casullas</v>
      </c>
      <c r="M128" s="8" t="s">
        <v>9</v>
      </c>
      <c r="N128" s="8" t="s">
        <v>9</v>
      </c>
    </row>
    <row r="129" spans="1:14" ht="11.25" customHeight="1">
      <c r="A129" s="5" t="s">
        <v>345</v>
      </c>
      <c r="B129" s="5" t="s">
        <v>440</v>
      </c>
      <c r="C129" s="5" t="s">
        <v>497</v>
      </c>
      <c r="D129" s="5" t="s">
        <v>348</v>
      </c>
      <c r="E129" s="5" t="s">
        <v>7</v>
      </c>
      <c r="F129" s="5" t="s">
        <v>349</v>
      </c>
      <c r="G129" s="5" t="s">
        <v>350</v>
      </c>
      <c r="H129" s="5" t="s">
        <v>442</v>
      </c>
      <c r="I129" s="5" t="s">
        <v>498</v>
      </c>
      <c r="J129" s="5" t="s">
        <v>499</v>
      </c>
      <c r="K129" s="7" t="str">
        <f ca="1">IFERROR(__xludf.DUMMYFUNCTION("GOOGLETRANSLATE(H129,""EN"",""ES"")"),"VESTIDOS")</f>
        <v>VESTIDOS</v>
      </c>
      <c r="L129" s="5" t="str">
        <f ca="1">IFERROR(__xludf.DUMMYFUNCTION("GOOGLETRANSLATE(J129,""EN"",""ES"")"),"ropa de trabajo")</f>
        <v>ropa de trabajo</v>
      </c>
      <c r="M129" s="8" t="s">
        <v>9</v>
      </c>
      <c r="N129" s="8" t="s">
        <v>88</v>
      </c>
    </row>
    <row r="130" spans="1:14" ht="11.25" customHeight="1">
      <c r="A130" s="5" t="s">
        <v>345</v>
      </c>
      <c r="B130" s="5" t="s">
        <v>440</v>
      </c>
      <c r="C130" s="5" t="s">
        <v>497</v>
      </c>
      <c r="D130" s="5" t="s">
        <v>348</v>
      </c>
      <c r="E130" s="5" t="s">
        <v>7</v>
      </c>
      <c r="F130" s="5" t="s">
        <v>349</v>
      </c>
      <c r="G130" s="5" t="s">
        <v>350</v>
      </c>
      <c r="H130" s="5" t="s">
        <v>442</v>
      </c>
      <c r="I130" s="5" t="s">
        <v>500</v>
      </c>
      <c r="J130" s="5" t="s">
        <v>501</v>
      </c>
      <c r="K130" s="7" t="str">
        <f ca="1">IFERROR(__xludf.DUMMYFUNCTION("GOOGLETRANSLATE(H130,""EN"",""ES"")"),"VESTIDOS")</f>
        <v>VESTIDOS</v>
      </c>
      <c r="L130" s="5" t="str">
        <f ca="1">IFERROR(__xludf.DUMMYFUNCTION("GOOGLETRANSLATE(J130,""EN"",""ES"")"),"Monos de obrero")</f>
        <v>Monos de obrero</v>
      </c>
      <c r="M130" s="8" t="s">
        <v>9</v>
      </c>
      <c r="N130" s="8" t="s">
        <v>88</v>
      </c>
    </row>
    <row r="131" spans="1:14" ht="11.25" customHeight="1">
      <c r="A131" s="5" t="s">
        <v>345</v>
      </c>
      <c r="B131" s="5" t="s">
        <v>440</v>
      </c>
      <c r="C131" s="5" t="s">
        <v>497</v>
      </c>
      <c r="D131" s="5" t="s">
        <v>348</v>
      </c>
      <c r="E131" s="5" t="s">
        <v>7</v>
      </c>
      <c r="F131" s="5" t="s">
        <v>349</v>
      </c>
      <c r="G131" s="5" t="s">
        <v>350</v>
      </c>
      <c r="H131" s="5" t="s">
        <v>442</v>
      </c>
      <c r="I131" s="5" t="s">
        <v>152</v>
      </c>
      <c r="J131" s="5" t="s">
        <v>502</v>
      </c>
      <c r="K131" s="7" t="str">
        <f ca="1">IFERROR(__xludf.DUMMYFUNCTION("GOOGLETRANSLATE(H131,""EN"",""ES"")"),"VESTIDOS")</f>
        <v>VESTIDOS</v>
      </c>
      <c r="L131" s="5" t="str">
        <f ca="1">IFERROR(__xludf.DUMMYFUNCTION("GOOGLETRANSLATE(J131,""EN"",""ES"")"),"N / A")</f>
        <v>N / A</v>
      </c>
      <c r="M131" s="8" t="s">
        <v>9</v>
      </c>
      <c r="N131" s="8" t="s">
        <v>9</v>
      </c>
    </row>
    <row r="132" spans="1:14" ht="11.25" customHeight="1">
      <c r="A132" s="5" t="s">
        <v>345</v>
      </c>
      <c r="B132" s="5" t="s">
        <v>440</v>
      </c>
      <c r="C132" s="5" t="s">
        <v>503</v>
      </c>
      <c r="D132" s="5" t="s">
        <v>348</v>
      </c>
      <c r="E132" s="5" t="s">
        <v>7</v>
      </c>
      <c r="F132" s="5" t="s">
        <v>349</v>
      </c>
      <c r="G132" s="5" t="s">
        <v>350</v>
      </c>
      <c r="H132" s="5" t="s">
        <v>442</v>
      </c>
      <c r="I132" s="5" t="s">
        <v>504</v>
      </c>
      <c r="J132" s="5" t="s">
        <v>505</v>
      </c>
      <c r="K132" s="7" t="str">
        <f ca="1">IFERROR(__xludf.DUMMYFUNCTION("GOOGLETRANSLATE(H132,""EN"",""ES"")"),"VESTIDOS")</f>
        <v>VESTIDOS</v>
      </c>
      <c r="L132" s="5" t="str">
        <f ca="1">IFERROR(__xludf.DUMMYFUNCTION("GOOGLETRANSLATE(J132,""EN"",""ES"")"),"Trajes de ropa para hombres.")</f>
        <v>Trajes de ropa para hombres.</v>
      </c>
      <c r="M132" s="8" t="s">
        <v>9</v>
      </c>
      <c r="N132" s="8" t="s">
        <v>9</v>
      </c>
    </row>
    <row r="133" spans="1:14" ht="11.25" customHeight="1">
      <c r="A133" s="5" t="s">
        <v>345</v>
      </c>
      <c r="B133" s="5" t="s">
        <v>440</v>
      </c>
      <c r="C133" s="5" t="s">
        <v>506</v>
      </c>
      <c r="D133" s="5" t="s">
        <v>348</v>
      </c>
      <c r="E133" s="5" t="s">
        <v>7</v>
      </c>
      <c r="F133" s="5" t="s">
        <v>349</v>
      </c>
      <c r="G133" s="5" t="s">
        <v>350</v>
      </c>
      <c r="H133" s="5" t="s">
        <v>442</v>
      </c>
      <c r="I133" s="5" t="s">
        <v>507</v>
      </c>
      <c r="J133" s="5" t="s">
        <v>508</v>
      </c>
      <c r="K133" s="7" t="str">
        <f ca="1">IFERROR(__xludf.DUMMYFUNCTION("GOOGLETRANSLATE(H133,""EN"",""ES"")"),"VESTIDOS")</f>
        <v>VESTIDOS</v>
      </c>
      <c r="L133" s="5" t="str">
        <f ca="1">IFERROR(__xludf.DUMMYFUNCTION("GOOGLETRANSLATE(J133,""EN"",""ES"")"),"uniformes de enfermera")</f>
        <v>uniformes de enfermera</v>
      </c>
      <c r="M133" s="8" t="s">
        <v>9</v>
      </c>
      <c r="N133" s="8" t="s">
        <v>9</v>
      </c>
    </row>
    <row r="134" spans="1:14" ht="11.25" customHeight="1">
      <c r="A134" s="5" t="s">
        <v>345</v>
      </c>
      <c r="B134" s="5" t="s">
        <v>440</v>
      </c>
      <c r="C134" s="5" t="s">
        <v>509</v>
      </c>
      <c r="D134" s="5" t="s">
        <v>348</v>
      </c>
      <c r="E134" s="5" t="s">
        <v>7</v>
      </c>
      <c r="F134" s="5" t="s">
        <v>349</v>
      </c>
      <c r="G134" s="5" t="s">
        <v>350</v>
      </c>
      <c r="H134" s="5" t="s">
        <v>442</v>
      </c>
      <c r="I134" s="5" t="s">
        <v>510</v>
      </c>
      <c r="J134" s="5" t="s">
        <v>511</v>
      </c>
      <c r="K134" s="7" t="str">
        <f ca="1">IFERROR(__xludf.DUMMYFUNCTION("GOOGLETRANSLATE(H134,""EN"",""ES"")"),"VESTIDOS")</f>
        <v>VESTIDOS</v>
      </c>
      <c r="L134" s="5" t="str">
        <f ca="1">IFERROR(__xludf.DUMMYFUNCTION("GOOGLETRANSLATE(J134,""EN"",""ES"")"),"Pantalones")</f>
        <v>Pantalones</v>
      </c>
      <c r="M134" s="8" t="s">
        <v>9</v>
      </c>
      <c r="N134" s="8" t="s">
        <v>9</v>
      </c>
    </row>
    <row r="135" spans="1:14" ht="11.25" customHeight="1">
      <c r="A135" s="5" t="s">
        <v>345</v>
      </c>
      <c r="B135" s="5" t="s">
        <v>440</v>
      </c>
      <c r="C135" s="5" t="s">
        <v>512</v>
      </c>
      <c r="D135" s="5" t="s">
        <v>348</v>
      </c>
      <c r="E135" s="5" t="s">
        <v>7</v>
      </c>
      <c r="F135" s="5" t="s">
        <v>349</v>
      </c>
      <c r="G135" s="5" t="s">
        <v>350</v>
      </c>
      <c r="H135" s="5" t="s">
        <v>442</v>
      </c>
      <c r="I135" s="5" t="s">
        <v>513</v>
      </c>
      <c r="J135" s="5" t="s">
        <v>514</v>
      </c>
      <c r="K135" s="7" t="str">
        <f ca="1">IFERROR(__xludf.DUMMYFUNCTION("GOOGLETRANSLATE(H135,""EN"",""ES"")"),"VESTIDOS")</f>
        <v>VESTIDOS</v>
      </c>
      <c r="L135" s="5" t="str">
        <f ca="1">IFERROR(__xludf.DUMMYFUNCTION("GOOGLETRANSLATE(J135,""EN"",""ES"")"),"Batas de casa")</f>
        <v>Batas de casa</v>
      </c>
      <c r="M135" s="8" t="s">
        <v>9</v>
      </c>
      <c r="N135" s="8" t="s">
        <v>9</v>
      </c>
    </row>
    <row r="136" spans="1:14" ht="11.25" customHeight="1">
      <c r="A136" s="5" t="s">
        <v>345</v>
      </c>
      <c r="B136" s="5" t="s">
        <v>440</v>
      </c>
      <c r="C136" s="5" t="s">
        <v>512</v>
      </c>
      <c r="D136" s="5" t="s">
        <v>348</v>
      </c>
      <c r="E136" s="5" t="s">
        <v>7</v>
      </c>
      <c r="F136" s="5" t="s">
        <v>349</v>
      </c>
      <c r="G136" s="5" t="s">
        <v>350</v>
      </c>
      <c r="H136" s="5" t="s">
        <v>442</v>
      </c>
      <c r="I136" s="5" t="s">
        <v>515</v>
      </c>
      <c r="J136" s="5" t="s">
        <v>152</v>
      </c>
      <c r="K136" s="7" t="str">
        <f ca="1">IFERROR(__xludf.DUMMYFUNCTION("GOOGLETRANSLATE(H136,""EN"",""ES"")"),"VESTIDOS")</f>
        <v>VESTIDOS</v>
      </c>
      <c r="L136" s="5" t="str">
        <f ca="1">IFERROR(__xludf.DUMMYFUNCTION("GOOGLETRANSLATE(J136,""EN"",""ES"")"),"batas de baño")</f>
        <v>batas de baño</v>
      </c>
      <c r="M136" s="8" t="s">
        <v>9</v>
      </c>
      <c r="N136" s="8" t="s">
        <v>9</v>
      </c>
    </row>
    <row r="137" spans="1:14" ht="11.25" customHeight="1">
      <c r="A137" s="5" t="s">
        <v>345</v>
      </c>
      <c r="B137" s="5" t="s">
        <v>440</v>
      </c>
      <c r="C137" s="5" t="s">
        <v>516</v>
      </c>
      <c r="D137" s="5" t="s">
        <v>348</v>
      </c>
      <c r="E137" s="5" t="s">
        <v>7</v>
      </c>
      <c r="F137" s="5" t="s">
        <v>349</v>
      </c>
      <c r="G137" s="5" t="s">
        <v>350</v>
      </c>
      <c r="H137" s="5" t="s">
        <v>442</v>
      </c>
      <c r="I137" s="5" t="s">
        <v>517</v>
      </c>
      <c r="J137" s="5" t="s">
        <v>518</v>
      </c>
      <c r="K137" s="7" t="str">
        <f ca="1">IFERROR(__xludf.DUMMYFUNCTION("GOOGLETRANSLATE(H137,""EN"",""ES"")"),"VESTIDOS")</f>
        <v>VESTIDOS</v>
      </c>
      <c r="L137" s="5" t="str">
        <f ca="1">IFERROR(__xludf.DUMMYFUNCTION("GOOGLETRANSLATE(J137,""EN"",""ES"")"),"Chándales")</f>
        <v>Chándales</v>
      </c>
      <c r="M137" s="8" t="s">
        <v>9</v>
      </c>
      <c r="N137" s="8" t="s">
        <v>72</v>
      </c>
    </row>
    <row r="138" spans="1:14" ht="11.25" customHeight="1">
      <c r="A138" s="5" t="s">
        <v>345</v>
      </c>
      <c r="B138" s="5" t="s">
        <v>440</v>
      </c>
      <c r="C138" s="5" t="s">
        <v>516</v>
      </c>
      <c r="D138" s="5" t="s">
        <v>348</v>
      </c>
      <c r="E138" s="5" t="s">
        <v>7</v>
      </c>
      <c r="F138" s="5" t="s">
        <v>349</v>
      </c>
      <c r="G138" s="5" t="s">
        <v>350</v>
      </c>
      <c r="H138" s="5" t="s">
        <v>442</v>
      </c>
      <c r="I138" s="5" t="s">
        <v>519</v>
      </c>
      <c r="J138" s="5" t="s">
        <v>520</v>
      </c>
      <c r="K138" s="7" t="str">
        <f ca="1">IFERROR(__xludf.DUMMYFUNCTION("GOOGLETRANSLATE(H138,""EN"",""ES"")"),"VESTIDOS")</f>
        <v>VESTIDOS</v>
      </c>
      <c r="L138" s="5" t="str">
        <f ca="1">IFERROR(__xludf.DUMMYFUNCTION("GOOGLETRANSLATE(J138,""EN"",""ES"")"),"ropa de entrenamiento")</f>
        <v>ropa de entrenamiento</v>
      </c>
      <c r="M138" s="8" t="s">
        <v>9</v>
      </c>
      <c r="N138" s="8" t="s">
        <v>72</v>
      </c>
    </row>
    <row r="139" spans="1:14" ht="11.25" customHeight="1">
      <c r="A139" s="5" t="s">
        <v>345</v>
      </c>
      <c r="B139" s="5" t="s">
        <v>440</v>
      </c>
      <c r="C139" s="5" t="s">
        <v>521</v>
      </c>
      <c r="D139" s="5" t="s">
        <v>348</v>
      </c>
      <c r="E139" s="5" t="s">
        <v>7</v>
      </c>
      <c r="F139" s="5" t="s">
        <v>349</v>
      </c>
      <c r="G139" s="5" t="s">
        <v>350</v>
      </c>
      <c r="H139" s="5" t="s">
        <v>442</v>
      </c>
      <c r="I139" s="5" t="s">
        <v>522</v>
      </c>
      <c r="J139" s="5" t="s">
        <v>523</v>
      </c>
      <c r="K139" s="7" t="str">
        <f ca="1">IFERROR(__xludf.DUMMYFUNCTION("GOOGLETRANSLATE(H139,""EN"",""ES"")"),"VESTIDOS")</f>
        <v>VESTIDOS</v>
      </c>
      <c r="L139" s="5" t="str">
        <f ca="1">IFERROR(__xludf.DUMMYFUNCTION("GOOGLETRANSLATE(J139,""EN"",""ES"")"),"estolas")</f>
        <v>estolas</v>
      </c>
      <c r="M139" s="8" t="s">
        <v>9</v>
      </c>
      <c r="N139" s="8" t="s">
        <v>9</v>
      </c>
    </row>
    <row r="140" spans="1:14" ht="11.25" customHeight="1">
      <c r="A140" s="5" t="s">
        <v>345</v>
      </c>
      <c r="B140" s="5" t="s">
        <v>440</v>
      </c>
      <c r="C140" s="5" t="s">
        <v>524</v>
      </c>
      <c r="D140" s="5" t="s">
        <v>348</v>
      </c>
      <c r="E140" s="5" t="s">
        <v>7</v>
      </c>
      <c r="F140" s="5" t="s">
        <v>349</v>
      </c>
      <c r="G140" s="5" t="s">
        <v>350</v>
      </c>
      <c r="H140" s="5" t="s">
        <v>442</v>
      </c>
      <c r="I140" s="5" t="s">
        <v>525</v>
      </c>
      <c r="J140" s="5" t="s">
        <v>526</v>
      </c>
      <c r="K140" s="7" t="str">
        <f ca="1">IFERROR(__xludf.DUMMYFUNCTION("GOOGLETRANSLATE(H140,""EN"",""ES"")"),"VESTIDOS")</f>
        <v>VESTIDOS</v>
      </c>
      <c r="L140" s="5" t="str">
        <f ca="1">IFERROR(__xludf.DUMMYFUNCTION("GOOGLETRANSLATE(J140,""EN"",""ES"")"),"Pieles [prendas]")</f>
        <v>Pieles [prendas]</v>
      </c>
      <c r="M140" s="8" t="s">
        <v>9</v>
      </c>
      <c r="N140" s="8" t="s">
        <v>9</v>
      </c>
    </row>
    <row r="141" spans="1:14" ht="11.25" customHeight="1">
      <c r="A141" s="5" t="s">
        <v>345</v>
      </c>
      <c r="B141" s="5" t="s">
        <v>440</v>
      </c>
      <c r="C141" s="5" t="s">
        <v>527</v>
      </c>
      <c r="D141" s="5" t="s">
        <v>348</v>
      </c>
      <c r="E141" s="5" t="s">
        <v>7</v>
      </c>
      <c r="F141" s="5" t="s">
        <v>349</v>
      </c>
      <c r="G141" s="5" t="s">
        <v>350</v>
      </c>
      <c r="H141" s="5" t="s">
        <v>442</v>
      </c>
      <c r="I141" s="5" t="s">
        <v>528</v>
      </c>
      <c r="J141" s="5" t="s">
        <v>529</v>
      </c>
      <c r="K141" s="7" t="str">
        <f ca="1">IFERROR(__xludf.DUMMYFUNCTION("GOOGLETRANSLATE(H141,""EN"",""ES"")"),"VESTIDOS")</f>
        <v>VESTIDOS</v>
      </c>
      <c r="L141" s="5" t="str">
        <f ca="1">IFERROR(__xludf.DUMMYFUNCTION("GOOGLETRANSLATE(J141,""EN"",""ES"")"),"Chalecos")</f>
        <v>Chalecos</v>
      </c>
      <c r="M141" s="8" t="s">
        <v>9</v>
      </c>
      <c r="N141" s="8" t="s">
        <v>9</v>
      </c>
    </row>
    <row r="142" spans="1:14" ht="11.25" customHeight="1">
      <c r="A142" s="5" t="s">
        <v>345</v>
      </c>
      <c r="B142" s="5" t="s">
        <v>440</v>
      </c>
      <c r="C142" s="5" t="s">
        <v>527</v>
      </c>
      <c r="D142" s="5" t="s">
        <v>348</v>
      </c>
      <c r="E142" s="5" t="s">
        <v>7</v>
      </c>
      <c r="F142" s="5" t="s">
        <v>349</v>
      </c>
      <c r="G142" s="5" t="s">
        <v>350</v>
      </c>
      <c r="H142" s="5" t="s">
        <v>442</v>
      </c>
      <c r="I142" s="5" t="s">
        <v>530</v>
      </c>
      <c r="J142" s="5" t="s">
        <v>152</v>
      </c>
      <c r="K142" s="7" t="str">
        <f ca="1">IFERROR(__xludf.DUMMYFUNCTION("GOOGLETRANSLATE(H142,""EN"",""ES"")"),"VESTIDOS")</f>
        <v>VESTIDOS</v>
      </c>
      <c r="L142" s="5" t="str">
        <f ca="1">IFERROR(__xludf.DUMMYFUNCTION("GOOGLETRANSLATE(J142,""EN"",""ES"")"),"Chalecos")</f>
        <v>Chalecos</v>
      </c>
      <c r="M142" s="8" t="s">
        <v>9</v>
      </c>
      <c r="N142" s="8" t="s">
        <v>9</v>
      </c>
    </row>
    <row r="143" spans="1:14" ht="11.25" customHeight="1">
      <c r="A143" s="5" t="s">
        <v>345</v>
      </c>
      <c r="B143" s="5" t="s">
        <v>440</v>
      </c>
      <c r="C143" s="5" t="s">
        <v>531</v>
      </c>
      <c r="D143" s="5" t="s">
        <v>348</v>
      </c>
      <c r="E143" s="5" t="s">
        <v>7</v>
      </c>
      <c r="F143" s="5" t="s">
        <v>349</v>
      </c>
      <c r="G143" s="5" t="s">
        <v>350</v>
      </c>
      <c r="H143" s="5" t="s">
        <v>442</v>
      </c>
      <c r="I143" s="5" t="s">
        <v>532</v>
      </c>
      <c r="J143" s="5" t="s">
        <v>533</v>
      </c>
      <c r="K143" s="7" t="str">
        <f ca="1">IFERROR(__xludf.DUMMYFUNCTION("GOOGLETRANSLATE(H143,""EN"",""ES"")"),"VESTIDOS")</f>
        <v>VESTIDOS</v>
      </c>
      <c r="L143" s="5" t="str">
        <f ca="1">IFERROR(__xludf.DUMMYFUNCTION("GOOGLETRANSLATE(J143,""EN"",""ES"")"),"Abrigos impermeables")</f>
        <v>Abrigos impermeables</v>
      </c>
      <c r="M143" s="8" t="s">
        <v>9</v>
      </c>
      <c r="N143" s="8" t="s">
        <v>9</v>
      </c>
    </row>
    <row r="144" spans="1:14" ht="11.25" customHeight="1">
      <c r="A144" s="5" t="s">
        <v>345</v>
      </c>
      <c r="B144" s="5" t="s">
        <v>440</v>
      </c>
      <c r="C144" s="5" t="s">
        <v>534</v>
      </c>
      <c r="D144" s="5" t="s">
        <v>348</v>
      </c>
      <c r="E144" s="5" t="s">
        <v>7</v>
      </c>
      <c r="F144" s="5" t="s">
        <v>349</v>
      </c>
      <c r="G144" s="5" t="s">
        <v>350</v>
      </c>
      <c r="H144" s="5" t="s">
        <v>442</v>
      </c>
      <c r="I144" s="5" t="s">
        <v>535</v>
      </c>
      <c r="J144" s="5" t="s">
        <v>535</v>
      </c>
      <c r="K144" s="7" t="str">
        <f ca="1">IFERROR(__xludf.DUMMYFUNCTION("GOOGLETRANSLATE(H144,""EN"",""ES"")"),"VESTIDOS")</f>
        <v>VESTIDOS</v>
      </c>
      <c r="L144" s="5" t="str">
        <f ca="1">IFERROR(__xludf.DUMMYFUNCTION("GOOGLETRANSLATE(J144,""EN"",""ES"")"),"Vaqueros")</f>
        <v>Vaqueros</v>
      </c>
      <c r="M144" s="8" t="s">
        <v>9</v>
      </c>
      <c r="N144" s="8" t="s">
        <v>9</v>
      </c>
    </row>
    <row r="145" spans="1:14" ht="11.25" customHeight="1">
      <c r="A145" s="5" t="s">
        <v>345</v>
      </c>
      <c r="B145" s="5" t="s">
        <v>440</v>
      </c>
      <c r="C145" s="5" t="s">
        <v>536</v>
      </c>
      <c r="D145" s="5" t="s">
        <v>348</v>
      </c>
      <c r="E145" s="5" t="s">
        <v>7</v>
      </c>
      <c r="F145" s="5" t="s">
        <v>349</v>
      </c>
      <c r="G145" s="5" t="s">
        <v>350</v>
      </c>
      <c r="H145" s="5" t="s">
        <v>442</v>
      </c>
      <c r="I145" s="5" t="s">
        <v>537</v>
      </c>
      <c r="J145" s="5" t="s">
        <v>538</v>
      </c>
      <c r="K145" s="7" t="str">
        <f ca="1">IFERROR(__xludf.DUMMYFUNCTION("GOOGLETRANSLATE(H145,""EN"",""ES"")"),"VESTIDOS")</f>
        <v>VESTIDOS</v>
      </c>
      <c r="L145" s="5" t="str">
        <f ca="1">IFERROR(__xludf.DUMMYFUNCTION("GOOGLETRANSLATE(J145,""EN"",""ES"")"),"Afueras")</f>
        <v>Afueras</v>
      </c>
      <c r="M145" s="8" t="s">
        <v>9</v>
      </c>
      <c r="N145" s="8" t="s">
        <v>9</v>
      </c>
    </row>
    <row r="146" spans="1:14" ht="11.25" customHeight="1">
      <c r="A146" s="5" t="s">
        <v>345</v>
      </c>
      <c r="B146" s="5" t="s">
        <v>440</v>
      </c>
      <c r="C146" s="5" t="s">
        <v>539</v>
      </c>
      <c r="D146" s="5" t="s">
        <v>348</v>
      </c>
      <c r="E146" s="5" t="s">
        <v>7</v>
      </c>
      <c r="F146" s="5" t="s">
        <v>349</v>
      </c>
      <c r="G146" s="5" t="s">
        <v>350</v>
      </c>
      <c r="H146" s="5" t="s">
        <v>442</v>
      </c>
      <c r="I146" s="5" t="s">
        <v>540</v>
      </c>
      <c r="J146" s="5" t="s">
        <v>540</v>
      </c>
      <c r="K146" s="7" t="str">
        <f ca="1">IFERROR(__xludf.DUMMYFUNCTION("GOOGLETRANSLATE(H146,""EN"",""ES"")"),"VESTIDOS")</f>
        <v>VESTIDOS</v>
      </c>
      <c r="L146" s="5" t="str">
        <f ca="1">IFERROR(__xludf.DUMMYFUNCTION("GOOGLETRANSLATE(J146,""EN"",""ES"")"),"Quimonos")</f>
        <v>Quimonos</v>
      </c>
      <c r="M146" s="8" t="s">
        <v>9</v>
      </c>
      <c r="N146" s="8" t="s">
        <v>9</v>
      </c>
    </row>
    <row r="147" spans="1:14" ht="11.25" customHeight="1">
      <c r="A147" s="5" t="s">
        <v>345</v>
      </c>
      <c r="B147" s="5" t="s">
        <v>440</v>
      </c>
      <c r="C147" s="5" t="s">
        <v>541</v>
      </c>
      <c r="D147" s="5" t="s">
        <v>348</v>
      </c>
      <c r="E147" s="5" t="s">
        <v>7</v>
      </c>
      <c r="F147" s="5" t="s">
        <v>349</v>
      </c>
      <c r="G147" s="5" t="s">
        <v>350</v>
      </c>
      <c r="H147" s="5" t="s">
        <v>442</v>
      </c>
      <c r="I147" s="5" t="s">
        <v>542</v>
      </c>
      <c r="J147" s="5" t="s">
        <v>543</v>
      </c>
      <c r="K147" s="7" t="str">
        <f ca="1">IFERROR(__xludf.DUMMYFUNCTION("GOOGLETRANSLATE(H147,""EN"",""ES"")"),"VESTIDOS")</f>
        <v>VESTIDOS</v>
      </c>
      <c r="L147" s="5" t="str">
        <f ca="1">IFERROR(__xludf.DUMMYFUNCTION("GOOGLETRANSLATE(J147,""EN"",""ES"")"),"trajes de baño")</f>
        <v>trajes de baño</v>
      </c>
      <c r="M147" s="8" t="s">
        <v>9</v>
      </c>
      <c r="N147" s="8" t="s">
        <v>9</v>
      </c>
    </row>
    <row r="148" spans="1:14" ht="11.25" customHeight="1">
      <c r="A148" s="5" t="s">
        <v>345</v>
      </c>
      <c r="B148" s="5" t="s">
        <v>440</v>
      </c>
      <c r="C148" s="5" t="s">
        <v>544</v>
      </c>
      <c r="D148" s="5" t="s">
        <v>348</v>
      </c>
      <c r="E148" s="5" t="s">
        <v>7</v>
      </c>
      <c r="F148" s="5" t="s">
        <v>349</v>
      </c>
      <c r="G148" s="5" t="s">
        <v>350</v>
      </c>
      <c r="H148" s="5" t="s">
        <v>442</v>
      </c>
      <c r="I148" s="5" t="s">
        <v>545</v>
      </c>
      <c r="J148" s="5" t="s">
        <v>546</v>
      </c>
      <c r="K148" s="7" t="str">
        <f ca="1">IFERROR(__xludf.DUMMYFUNCTION("GOOGLETRANSLATE(H148,""EN"",""ES"")"),"VESTIDOS")</f>
        <v>VESTIDOS</v>
      </c>
      <c r="L148" s="5" t="str">
        <f ca="1">IFERROR(__xludf.DUMMYFUNCTION("GOOGLETRANSLATE(J148,""EN"",""ES"")"),"Camisetas para gimnasia")</f>
        <v>Camisetas para gimnasia</v>
      </c>
      <c r="M148" s="8" t="s">
        <v>9</v>
      </c>
      <c r="N148" s="8" t="s">
        <v>72</v>
      </c>
    </row>
    <row r="149" spans="1:14" ht="11.25" customHeight="1">
      <c r="A149" s="5" t="s">
        <v>345</v>
      </c>
      <c r="B149" s="5" t="s">
        <v>440</v>
      </c>
      <c r="C149" s="5" t="s">
        <v>547</v>
      </c>
      <c r="D149" s="5" t="s">
        <v>348</v>
      </c>
      <c r="E149" s="5" t="s">
        <v>7</v>
      </c>
      <c r="F149" s="5" t="s">
        <v>349</v>
      </c>
      <c r="G149" s="5" t="s">
        <v>350</v>
      </c>
      <c r="H149" s="5" t="s">
        <v>442</v>
      </c>
      <c r="I149" s="5" t="s">
        <v>548</v>
      </c>
      <c r="J149" s="5" t="s">
        <v>549</v>
      </c>
      <c r="K149" s="7" t="str">
        <f ca="1">IFERROR(__xludf.DUMMYFUNCTION("GOOGLETRANSLATE(H149,""EN"",""ES"")"),"VESTIDOS")</f>
        <v>VESTIDOS</v>
      </c>
      <c r="L149" s="5" t="str">
        <f ca="1">IFERROR(__xludf.DUMMYFUNCTION("GOOGLETRANSLATE(J149,""EN"",""ES"")"),"Abrigos")</f>
        <v>Abrigos</v>
      </c>
      <c r="M149" s="8" t="s">
        <v>9</v>
      </c>
      <c r="N149" s="8" t="s">
        <v>9</v>
      </c>
    </row>
    <row r="150" spans="1:14" ht="11.25" customHeight="1">
      <c r="A150" s="5" t="s">
        <v>345</v>
      </c>
      <c r="B150" s="5" t="s">
        <v>440</v>
      </c>
      <c r="C150" s="5" t="s">
        <v>550</v>
      </c>
      <c r="D150" s="5" t="s">
        <v>348</v>
      </c>
      <c r="E150" s="5" t="s">
        <v>7</v>
      </c>
      <c r="F150" s="5" t="s">
        <v>349</v>
      </c>
      <c r="G150" s="5" t="s">
        <v>350</v>
      </c>
      <c r="H150" s="5" t="s">
        <v>442</v>
      </c>
      <c r="I150" s="5" t="s">
        <v>551</v>
      </c>
      <c r="J150" s="5" t="s">
        <v>552</v>
      </c>
      <c r="K150" s="7" t="str">
        <f ca="1">IFERROR(__xludf.DUMMYFUNCTION("GOOGLETRANSLATE(H150,""EN"",""ES"")"),"VESTIDOS")</f>
        <v>VESTIDOS</v>
      </c>
      <c r="L150" s="5" t="str">
        <f ca="1">IFERROR(__xludf.DUMMYFUNCTION("GOOGLETRANSLATE(J150,""EN"",""ES"")"),"Blusas marineras [para mujer]")</f>
        <v>Blusas marineras [para mujer]</v>
      </c>
      <c r="M150" s="8" t="s">
        <v>9</v>
      </c>
      <c r="N150" s="8" t="s">
        <v>9</v>
      </c>
    </row>
    <row r="151" spans="1:14" ht="11.25" customHeight="1">
      <c r="A151" s="5" t="s">
        <v>345</v>
      </c>
      <c r="B151" s="5" t="s">
        <v>440</v>
      </c>
      <c r="C151" s="5" t="s">
        <v>550</v>
      </c>
      <c r="D151" s="5" t="s">
        <v>348</v>
      </c>
      <c r="E151" s="5" t="s">
        <v>7</v>
      </c>
      <c r="F151" s="5" t="s">
        <v>349</v>
      </c>
      <c r="G151" s="5" t="s">
        <v>350</v>
      </c>
      <c r="H151" s="5" t="s">
        <v>442</v>
      </c>
      <c r="I151" s="5" t="s">
        <v>553</v>
      </c>
      <c r="J151" s="5" t="s">
        <v>152</v>
      </c>
      <c r="K151" s="7" t="str">
        <f ca="1">IFERROR(__xludf.DUMMYFUNCTION("GOOGLETRANSLATE(H151,""EN"",""ES"")"),"VESTIDOS")</f>
        <v>VESTIDOS</v>
      </c>
      <c r="L151" s="5" t="str">
        <f ca="1">IFERROR(__xludf.DUMMYFUNCTION("GOOGLETRANSLATE(J151,""EN"",""ES"")"),"Blusas midi")</f>
        <v>Blusas midi</v>
      </c>
      <c r="M151" s="8" t="s">
        <v>9</v>
      </c>
      <c r="N151" s="8" t="s">
        <v>9</v>
      </c>
    </row>
    <row r="152" spans="1:14" ht="11.25" customHeight="1">
      <c r="A152" s="5" t="s">
        <v>345</v>
      </c>
      <c r="B152" s="5" t="s">
        <v>440</v>
      </c>
      <c r="C152" s="5" t="s">
        <v>554</v>
      </c>
      <c r="D152" s="5" t="s">
        <v>348</v>
      </c>
      <c r="E152" s="5" t="s">
        <v>7</v>
      </c>
      <c r="F152" s="5" t="s">
        <v>349</v>
      </c>
      <c r="G152" s="5" t="s">
        <v>350</v>
      </c>
      <c r="H152" s="5" t="s">
        <v>442</v>
      </c>
      <c r="I152" s="5" t="s">
        <v>555</v>
      </c>
      <c r="J152" s="5" t="s">
        <v>556</v>
      </c>
      <c r="K152" s="7" t="str">
        <f ca="1">IFERROR(__xludf.DUMMYFUNCTION("GOOGLETRANSLATE(H152,""EN"",""ES"")"),"VESTIDOS")</f>
        <v>VESTIDOS</v>
      </c>
      <c r="L152" s="5" t="str">
        <f ca="1">IFERROR(__xludf.DUMMYFUNCTION("GOOGLETRANSLATE(J152,""EN"",""ES"")"),"Pantalones")</f>
        <v>Pantalones</v>
      </c>
      <c r="M152" s="8" t="s">
        <v>9</v>
      </c>
      <c r="N152" s="8" t="s">
        <v>9</v>
      </c>
    </row>
    <row r="153" spans="1:14" ht="11.25" customHeight="1">
      <c r="A153" s="5" t="s">
        <v>345</v>
      </c>
      <c r="B153" s="5" t="s">
        <v>440</v>
      </c>
      <c r="C153" s="5" t="s">
        <v>554</v>
      </c>
      <c r="D153" s="5" t="s">
        <v>348</v>
      </c>
      <c r="E153" s="5" t="s">
        <v>7</v>
      </c>
      <c r="F153" s="5" t="s">
        <v>349</v>
      </c>
      <c r="G153" s="5" t="s">
        <v>350</v>
      </c>
      <c r="H153" s="5" t="s">
        <v>442</v>
      </c>
      <c r="I153" s="5" t="s">
        <v>557</v>
      </c>
      <c r="J153" s="5" t="s">
        <v>152</v>
      </c>
      <c r="K153" s="7" t="str">
        <f ca="1">IFERROR(__xludf.DUMMYFUNCTION("GOOGLETRANSLATE(H153,""EN"",""ES"")"),"VESTIDOS")</f>
        <v>VESTIDOS</v>
      </c>
      <c r="L153" s="5" t="str">
        <f ca="1">IFERROR(__xludf.DUMMYFUNCTION("GOOGLETRANSLATE(J153,""EN"",""ES"")"),"Pantalones")</f>
        <v>Pantalones</v>
      </c>
      <c r="M153" s="8" t="s">
        <v>9</v>
      </c>
      <c r="N153" s="8" t="s">
        <v>9</v>
      </c>
    </row>
    <row r="154" spans="1:14" ht="11.25" customHeight="1">
      <c r="A154" s="5" t="s">
        <v>345</v>
      </c>
      <c r="B154" s="5" t="s">
        <v>440</v>
      </c>
      <c r="C154" s="5" t="s">
        <v>558</v>
      </c>
      <c r="D154" s="5" t="s">
        <v>348</v>
      </c>
      <c r="E154" s="5" t="s">
        <v>7</v>
      </c>
      <c r="F154" s="5" t="s">
        <v>349</v>
      </c>
      <c r="G154" s="5" t="s">
        <v>350</v>
      </c>
      <c r="H154" s="5" t="s">
        <v>442</v>
      </c>
      <c r="I154" s="5" t="s">
        <v>559</v>
      </c>
      <c r="J154" s="5" t="s">
        <v>560</v>
      </c>
      <c r="K154" s="7" t="str">
        <f ca="1">IFERROR(__xludf.DUMMYFUNCTION("GOOGLETRANSLATE(H154,""EN"",""ES"")"),"VESTIDOS")</f>
        <v>VESTIDOS</v>
      </c>
      <c r="L154" s="5" t="str">
        <f ca="1">IFERROR(__xludf.DUMMYFUNCTION("GOOGLETRANSLATE(J154,""EN"",""ES"")"),"Abrigos")</f>
        <v>Abrigos</v>
      </c>
      <c r="M154" s="8" t="s">
        <v>9</v>
      </c>
      <c r="N154" s="8" t="s">
        <v>9</v>
      </c>
    </row>
    <row r="155" spans="1:14" ht="11.25" customHeight="1">
      <c r="A155" s="5" t="s">
        <v>345</v>
      </c>
      <c r="B155" s="5" t="s">
        <v>440</v>
      </c>
      <c r="C155" s="5" t="s">
        <v>561</v>
      </c>
      <c r="D155" s="5" t="s">
        <v>348</v>
      </c>
      <c r="E155" s="5" t="s">
        <v>7</v>
      </c>
      <c r="F155" s="5" t="s">
        <v>349</v>
      </c>
      <c r="G155" s="5" t="s">
        <v>350</v>
      </c>
      <c r="H155" s="5" t="s">
        <v>442</v>
      </c>
      <c r="I155" s="5" t="s">
        <v>562</v>
      </c>
      <c r="J155" s="5" t="s">
        <v>563</v>
      </c>
      <c r="K155" s="7" t="str">
        <f ca="1">IFERROR(__xludf.DUMMYFUNCTION("GOOGLETRANSLATE(H155,""EN"",""ES"")"),"VESTIDOS")</f>
        <v>VESTIDOS</v>
      </c>
      <c r="L155" s="5" t="str">
        <f ca="1">IFERROR(__xludf.DUMMYFUNCTION("GOOGLETRANSLATE(J155,""EN"",""ES"")"),"Batas")</f>
        <v>Batas</v>
      </c>
      <c r="M155" s="8" t="s">
        <v>9</v>
      </c>
      <c r="N155" s="8" t="s">
        <v>9</v>
      </c>
    </row>
    <row r="156" spans="1:14" ht="11.25" customHeight="1">
      <c r="A156" s="5" t="s">
        <v>345</v>
      </c>
      <c r="B156" s="5" t="s">
        <v>440</v>
      </c>
      <c r="C156" s="5" t="s">
        <v>561</v>
      </c>
      <c r="D156" s="5" t="s">
        <v>348</v>
      </c>
      <c r="E156" s="5" t="s">
        <v>7</v>
      </c>
      <c r="F156" s="5" t="s">
        <v>349</v>
      </c>
      <c r="G156" s="5" t="s">
        <v>350</v>
      </c>
      <c r="H156" s="5" t="s">
        <v>442</v>
      </c>
      <c r="I156" s="5" t="s">
        <v>152</v>
      </c>
      <c r="J156" s="5" t="s">
        <v>564</v>
      </c>
      <c r="K156" s="7" t="str">
        <f ca="1">IFERROR(__xludf.DUMMYFUNCTION("GOOGLETRANSLATE(H156,""EN"",""ES"")"),"VESTIDOS")</f>
        <v>VESTIDOS</v>
      </c>
      <c r="L156" s="5" t="str">
        <f ca="1">IFERROR(__xludf.DUMMYFUNCTION("GOOGLETRANSLATE(J156,""EN"",""ES"")"),"N / A")</f>
        <v>N / A</v>
      </c>
      <c r="M156" s="8" t="s">
        <v>9</v>
      </c>
      <c r="N156" s="8" t="s">
        <v>9</v>
      </c>
    </row>
    <row r="157" spans="1:14" ht="11.25" customHeight="1">
      <c r="A157" s="5" t="s">
        <v>345</v>
      </c>
      <c r="B157" s="5" t="s">
        <v>440</v>
      </c>
      <c r="C157" s="5" t="s">
        <v>565</v>
      </c>
      <c r="D157" s="5" t="s">
        <v>348</v>
      </c>
      <c r="E157" s="5" t="s">
        <v>7</v>
      </c>
      <c r="F157" s="5" t="s">
        <v>349</v>
      </c>
      <c r="G157" s="5" t="s">
        <v>350</v>
      </c>
      <c r="H157" s="5" t="s">
        <v>442</v>
      </c>
      <c r="I157" s="5" t="s">
        <v>566</v>
      </c>
      <c r="J157" s="5" t="s">
        <v>567</v>
      </c>
      <c r="K157" s="7" t="str">
        <f ca="1">IFERROR(__xludf.DUMMYFUNCTION("GOOGLETRANSLATE(H157,""EN"",""ES"")"),"VESTIDOS")</f>
        <v>VESTIDOS</v>
      </c>
      <c r="L157" s="5" t="str">
        <f ca="1">IFERROR(__xludf.DUMMYFUNCTION("GOOGLETRANSLATE(J157,""EN"",""ES"")"),"Pelerines [capas]")</f>
        <v>Pelerines [capas]</v>
      </c>
      <c r="M157" s="8" t="s">
        <v>9</v>
      </c>
      <c r="N157" s="8" t="s">
        <v>9</v>
      </c>
    </row>
    <row r="158" spans="1:14" ht="11.25" customHeight="1">
      <c r="A158" s="5" t="s">
        <v>345</v>
      </c>
      <c r="B158" s="5" t="s">
        <v>440</v>
      </c>
      <c r="C158" s="5" t="s">
        <v>565</v>
      </c>
      <c r="D158" s="5" t="s">
        <v>348</v>
      </c>
      <c r="E158" s="5" t="s">
        <v>7</v>
      </c>
      <c r="F158" s="5" t="s">
        <v>349</v>
      </c>
      <c r="G158" s="5" t="s">
        <v>350</v>
      </c>
      <c r="H158" s="5" t="s">
        <v>442</v>
      </c>
      <c r="I158" s="5" t="s">
        <v>568</v>
      </c>
      <c r="J158" s="5" t="s">
        <v>152</v>
      </c>
      <c r="K158" s="7" t="str">
        <f ca="1">IFERROR(__xludf.DUMMYFUNCTION("GOOGLETRANSLATE(H158,""EN"",""ES"")"),"VESTIDOS")</f>
        <v>VESTIDOS</v>
      </c>
      <c r="L158" s="5" t="str">
        <f ca="1">IFERROR(__xludf.DUMMYFUNCTION("GOOGLETRANSLATE(J158,""EN"",""ES"")"),"tippets")</f>
        <v>tippets</v>
      </c>
      <c r="M158" s="8" t="s">
        <v>9</v>
      </c>
      <c r="N158" s="8" t="s">
        <v>9</v>
      </c>
    </row>
    <row r="159" spans="1:14" ht="11.25" customHeight="1">
      <c r="A159" s="5" t="s">
        <v>345</v>
      </c>
      <c r="B159" s="5" t="s">
        <v>440</v>
      </c>
      <c r="C159" s="5" t="s">
        <v>569</v>
      </c>
      <c r="D159" s="5" t="s">
        <v>348</v>
      </c>
      <c r="E159" s="5" t="s">
        <v>7</v>
      </c>
      <c r="F159" s="5" t="s">
        <v>349</v>
      </c>
      <c r="G159" s="5" t="s">
        <v>350</v>
      </c>
      <c r="H159" s="5" t="s">
        <v>442</v>
      </c>
      <c r="I159" s="5" t="s">
        <v>570</v>
      </c>
      <c r="J159" s="5" t="s">
        <v>570</v>
      </c>
      <c r="K159" s="7" t="str">
        <f ca="1">IFERROR(__xludf.DUMMYFUNCTION("GOOGLETRANSLATE(H159,""EN"",""ES"")"),"VESTIDOS")</f>
        <v>VESTIDOS</v>
      </c>
      <c r="L159" s="5" t="str">
        <f ca="1">IFERROR(__xludf.DUMMYFUNCTION("GOOGLETRANSLATE(J159,""EN"",""ES"")"),"Pelisses")</f>
        <v>Pelisses</v>
      </c>
      <c r="M159" s="8" t="s">
        <v>9</v>
      </c>
      <c r="N159" s="8" t="s">
        <v>9</v>
      </c>
    </row>
    <row r="160" spans="1:14" ht="11.25" customHeight="1">
      <c r="A160" s="5" t="s">
        <v>345</v>
      </c>
      <c r="B160" s="5" t="s">
        <v>440</v>
      </c>
      <c r="C160" s="5" t="s">
        <v>571</v>
      </c>
      <c r="D160" s="5" t="s">
        <v>348</v>
      </c>
      <c r="E160" s="5" t="s">
        <v>7</v>
      </c>
      <c r="F160" s="5" t="s">
        <v>349</v>
      </c>
      <c r="G160" s="5" t="s">
        <v>350</v>
      </c>
      <c r="H160" s="5" t="s">
        <v>442</v>
      </c>
      <c r="I160" s="5" t="s">
        <v>572</v>
      </c>
      <c r="J160" s="5" t="s">
        <v>573</v>
      </c>
      <c r="K160" s="7" t="str">
        <f ca="1">IFERROR(__xludf.DUMMYFUNCTION("GOOGLETRANSLATE(H160,""EN"",""ES"")"),"VESTIDOS")</f>
        <v>VESTIDOS</v>
      </c>
      <c r="L160" s="5" t="str">
        <f ca="1">IFERROR(__xludf.DUMMYFUNCTION("GOOGLETRANSLATE(J160,""EN"",""ES"")"),"Bolsillos para ropa")</f>
        <v>Bolsillos para ropa</v>
      </c>
      <c r="M160" s="8" t="s">
        <v>9</v>
      </c>
      <c r="N160" s="8" t="s">
        <v>9</v>
      </c>
    </row>
    <row r="161" spans="1:14" ht="11.25" customHeight="1">
      <c r="A161" s="5" t="s">
        <v>345</v>
      </c>
      <c r="B161" s="5" t="s">
        <v>440</v>
      </c>
      <c r="C161" s="5" t="s">
        <v>574</v>
      </c>
      <c r="D161" s="5" t="s">
        <v>348</v>
      </c>
      <c r="E161" s="5" t="s">
        <v>7</v>
      </c>
      <c r="F161" s="5" t="s">
        <v>349</v>
      </c>
      <c r="G161" s="5" t="s">
        <v>350</v>
      </c>
      <c r="H161" s="5" t="s">
        <v>442</v>
      </c>
      <c r="I161" s="5" t="s">
        <v>575</v>
      </c>
      <c r="J161" s="5" t="s">
        <v>575</v>
      </c>
      <c r="K161" s="7" t="str">
        <f ca="1">IFERROR(__xludf.DUMMYFUNCTION("GOOGLETRANSLATE(H161,""EN"",""ES"")"),"VESTIDOS")</f>
        <v>VESTIDOS</v>
      </c>
      <c r="L161" s="5" t="str">
        <f ca="1">IFERROR(__xludf.DUMMYFUNCTION("GOOGLETRANSLATE(J161,""EN"",""ES"")"),"Poncho")</f>
        <v>Poncho</v>
      </c>
      <c r="M161" s="8" t="s">
        <v>9</v>
      </c>
      <c r="N161" s="8" t="s">
        <v>9</v>
      </c>
    </row>
    <row r="162" spans="1:14" ht="11.25" customHeight="1">
      <c r="A162" s="5" t="s">
        <v>345</v>
      </c>
      <c r="B162" s="5" t="s">
        <v>440</v>
      </c>
      <c r="C162" s="5" t="s">
        <v>576</v>
      </c>
      <c r="D162" s="5" t="s">
        <v>348</v>
      </c>
      <c r="E162" s="5" t="s">
        <v>7</v>
      </c>
      <c r="F162" s="5" t="s">
        <v>349</v>
      </c>
      <c r="G162" s="5" t="s">
        <v>350</v>
      </c>
      <c r="H162" s="5" t="s">
        <v>442</v>
      </c>
      <c r="I162" s="5" t="s">
        <v>577</v>
      </c>
      <c r="J162" s="5" t="s">
        <v>578</v>
      </c>
      <c r="K162" s="7" t="str">
        <f ca="1">IFERROR(__xludf.DUMMYFUNCTION("GOOGLETRANSLATE(H162,""EN"",""ES"")"),"VESTIDOS")</f>
        <v>VESTIDOS</v>
      </c>
      <c r="L162" s="5" t="str">
        <f ca="1">IFERROR(__xludf.DUMMYFUNCTION("GOOGLETRANSLATE(J162,""EN"",""ES"")"),"Jerséis")</f>
        <v>Jerséis</v>
      </c>
      <c r="M162" s="8" t="s">
        <v>9</v>
      </c>
      <c r="N162" s="8" t="s">
        <v>9</v>
      </c>
    </row>
    <row r="163" spans="1:14" ht="11.25" customHeight="1">
      <c r="A163" s="5" t="s">
        <v>345</v>
      </c>
      <c r="B163" s="5" t="s">
        <v>440</v>
      </c>
      <c r="C163" s="5" t="s">
        <v>579</v>
      </c>
      <c r="D163" s="5" t="s">
        <v>348</v>
      </c>
      <c r="E163" s="5" t="s">
        <v>7</v>
      </c>
      <c r="F163" s="5" t="s">
        <v>349</v>
      </c>
      <c r="G163" s="5" t="s">
        <v>350</v>
      </c>
      <c r="H163" s="5" t="s">
        <v>442</v>
      </c>
      <c r="I163" s="5" t="s">
        <v>580</v>
      </c>
      <c r="J163" s="5" t="s">
        <v>581</v>
      </c>
      <c r="K163" s="7" t="str">
        <f ca="1">IFERROR(__xludf.DUMMYFUNCTION("GOOGLETRANSLATE(H163,""EN"",""ES"")"),"VESTIDOS")</f>
        <v>VESTIDOS</v>
      </c>
      <c r="L163" s="5" t="str">
        <f ca="1">IFERROR(__xludf.DUMMYFUNCTION("GOOGLETRANSLATE(J163,""EN"",""ES"")"),"Vestidos")</f>
        <v>Vestidos</v>
      </c>
      <c r="M163" s="8" t="s">
        <v>9</v>
      </c>
      <c r="N163" s="8" t="s">
        <v>9</v>
      </c>
    </row>
    <row r="164" spans="1:14" ht="11.25" customHeight="1">
      <c r="A164" s="5" t="s">
        <v>345</v>
      </c>
      <c r="B164" s="5" t="s">
        <v>440</v>
      </c>
      <c r="C164" s="5" t="s">
        <v>582</v>
      </c>
      <c r="D164" s="5" t="s">
        <v>348</v>
      </c>
      <c r="E164" s="5" t="s">
        <v>7</v>
      </c>
      <c r="F164" s="5" t="s">
        <v>349</v>
      </c>
      <c r="G164" s="5" t="s">
        <v>350</v>
      </c>
      <c r="H164" s="5" t="s">
        <v>442</v>
      </c>
      <c r="I164" s="5" t="s">
        <v>583</v>
      </c>
      <c r="J164" s="5" t="s">
        <v>584</v>
      </c>
      <c r="K164" s="7" t="str">
        <f ca="1">IFERROR(__xludf.DUMMYFUNCTION("GOOGLETRANSLATE(H164,""EN"",""ES"")"),"VESTIDOS")</f>
        <v>VESTIDOS</v>
      </c>
      <c r="L164" s="5" t="str">
        <f ca="1">IFERROR(__xludf.DUMMYFUNCTION("GOOGLETRANSLATE(J164,""EN"",""ES"")"),"escapularios")</f>
        <v>escapularios</v>
      </c>
      <c r="M164" s="8" t="s">
        <v>9</v>
      </c>
      <c r="N164" s="8" t="s">
        <v>9</v>
      </c>
    </row>
    <row r="165" spans="1:14" ht="11.25" customHeight="1">
      <c r="A165" s="5" t="s">
        <v>345</v>
      </c>
      <c r="B165" s="5" t="s">
        <v>440</v>
      </c>
      <c r="C165" s="5" t="s">
        <v>585</v>
      </c>
      <c r="D165" s="5" t="s">
        <v>348</v>
      </c>
      <c r="E165" s="5" t="s">
        <v>7</v>
      </c>
      <c r="F165" s="5" t="s">
        <v>349</v>
      </c>
      <c r="G165" s="5" t="s">
        <v>350</v>
      </c>
      <c r="H165" s="5" t="s">
        <v>442</v>
      </c>
      <c r="I165" s="5" t="s">
        <v>586</v>
      </c>
      <c r="J165" s="5" t="s">
        <v>586</v>
      </c>
      <c r="K165" s="7" t="str">
        <f ca="1">IFERROR(__xludf.DUMMYFUNCTION("GOOGLETRANSLATE(H165,""EN"",""ES"")"),"VESTIDOS")</f>
        <v>VESTIDOS</v>
      </c>
      <c r="L165" s="5" t="str">
        <f ca="1">IFERROR(__xludf.DUMMYFUNCTION("GOOGLETRANSLATE(J165,""EN"",""ES"")"),"Bermudas")</f>
        <v>Bermudas</v>
      </c>
      <c r="M165" s="8" t="s">
        <v>9</v>
      </c>
      <c r="N165" s="8" t="s">
        <v>9</v>
      </c>
    </row>
    <row r="166" spans="1:14" ht="11.25" customHeight="1">
      <c r="A166" s="5" t="s">
        <v>345</v>
      </c>
      <c r="B166" s="5" t="s">
        <v>440</v>
      </c>
      <c r="C166" s="5" t="s">
        <v>587</v>
      </c>
      <c r="D166" s="5" t="s">
        <v>348</v>
      </c>
      <c r="E166" s="5" t="s">
        <v>7</v>
      </c>
      <c r="F166" s="5" t="s">
        <v>349</v>
      </c>
      <c r="G166" s="5" t="s">
        <v>350</v>
      </c>
      <c r="H166" s="5" t="s">
        <v>442</v>
      </c>
      <c r="I166" s="5" t="s">
        <v>588</v>
      </c>
      <c r="J166" s="5" t="s">
        <v>589</v>
      </c>
      <c r="K166" s="7" t="str">
        <f ca="1">IFERROR(__xludf.DUMMYFUNCTION("GOOGLETRANSLATE(H166,""EN"",""ES"")"),"VESTIDOS")</f>
        <v>VESTIDOS</v>
      </c>
      <c r="L166" s="5" t="str">
        <f ca="1">IFERROR(__xludf.DUMMYFUNCTION("GOOGLETRANSLATE(J166,""EN"",""ES"")"),"Delantales [ropa]")</f>
        <v>Delantales [ropa]</v>
      </c>
      <c r="M166" s="8" t="s">
        <v>9</v>
      </c>
      <c r="N166" s="8" t="s">
        <v>9</v>
      </c>
    </row>
    <row r="167" spans="1:14" ht="11.25" customHeight="1">
      <c r="A167" s="5" t="s">
        <v>345</v>
      </c>
      <c r="B167" s="5" t="s">
        <v>440</v>
      </c>
      <c r="C167" s="5" t="s">
        <v>590</v>
      </c>
      <c r="D167" s="5" t="s">
        <v>348</v>
      </c>
      <c r="E167" s="5" t="s">
        <v>7</v>
      </c>
      <c r="F167" s="5" t="s">
        <v>349</v>
      </c>
      <c r="G167" s="5" t="s">
        <v>350</v>
      </c>
      <c r="H167" s="5" t="s">
        <v>442</v>
      </c>
      <c r="I167" s="5" t="s">
        <v>591</v>
      </c>
      <c r="J167" s="5" t="s">
        <v>592</v>
      </c>
      <c r="K167" s="7" t="str">
        <f ca="1">IFERROR(__xludf.DUMMYFUNCTION("GOOGLETRANSLATE(H167,""EN"",""ES"")"),"VESTIDOS")</f>
        <v>VESTIDOS</v>
      </c>
      <c r="L167" s="5" t="str">
        <f ca="1">IFERROR(__xludf.DUMMYFUNCTION("GOOGLETRANSLATE(J167,""EN"",""ES"")"),"Ropa de cirugía")</f>
        <v>Ropa de cirugía</v>
      </c>
      <c r="M167" s="8" t="s">
        <v>9</v>
      </c>
      <c r="N167" s="8" t="s">
        <v>9</v>
      </c>
    </row>
    <row r="168" spans="1:14" ht="11.25" customHeight="1">
      <c r="A168" s="5" t="s">
        <v>345</v>
      </c>
      <c r="B168" s="5" t="s">
        <v>440</v>
      </c>
      <c r="C168" s="5" t="s">
        <v>593</v>
      </c>
      <c r="D168" s="5" t="s">
        <v>348</v>
      </c>
      <c r="E168" s="5" t="s">
        <v>7</v>
      </c>
      <c r="F168" s="5" t="s">
        <v>349</v>
      </c>
      <c r="G168" s="5" t="s">
        <v>350</v>
      </c>
      <c r="H168" s="5" t="s">
        <v>442</v>
      </c>
      <c r="I168" s="5" t="s">
        <v>594</v>
      </c>
      <c r="J168" s="5" t="s">
        <v>595</v>
      </c>
      <c r="K168" s="7" t="str">
        <f ca="1">IFERROR(__xludf.DUMMYFUNCTION("GOOGLETRANSLATE(H168,""EN"",""ES"")"),"VESTIDOS")</f>
        <v>VESTIDOS</v>
      </c>
      <c r="L168" s="5" t="str">
        <f ca="1">IFERROR(__xludf.DUMMYFUNCTION("GOOGLETRANSLATE(J168,""EN"",""ES"")"),"togas")</f>
        <v>togas</v>
      </c>
      <c r="M168" s="8" t="s">
        <v>9</v>
      </c>
      <c r="N168" s="8" t="s">
        <v>9</v>
      </c>
    </row>
    <row r="169" spans="1:14" ht="11.25" customHeight="1">
      <c r="A169" s="5" t="s">
        <v>345</v>
      </c>
      <c r="B169" s="5" t="s">
        <v>440</v>
      </c>
      <c r="C169" s="5" t="s">
        <v>593</v>
      </c>
      <c r="D169" s="5" t="s">
        <v>348</v>
      </c>
      <c r="E169" s="5" t="s">
        <v>7</v>
      </c>
      <c r="F169" s="5" t="s">
        <v>349</v>
      </c>
      <c r="G169" s="5" t="s">
        <v>350</v>
      </c>
      <c r="H169" s="5" t="s">
        <v>442</v>
      </c>
      <c r="I169" s="5" t="s">
        <v>581</v>
      </c>
      <c r="J169" s="5" t="s">
        <v>596</v>
      </c>
      <c r="K169" s="7" t="str">
        <f ca="1">IFERROR(__xludf.DUMMYFUNCTION("GOOGLETRANSLATE(H169,""EN"",""ES"")"),"VESTIDOS")</f>
        <v>VESTIDOS</v>
      </c>
      <c r="L169" s="5" t="str">
        <f ca="1">IFERROR(__xludf.DUMMYFUNCTION("GOOGLETRANSLATE(J169,""EN"",""ES"")"),"batas")</f>
        <v>batas</v>
      </c>
      <c r="M169" s="8" t="s">
        <v>9</v>
      </c>
      <c r="N169" s="8" t="s">
        <v>9</v>
      </c>
    </row>
    <row r="170" spans="1:14" ht="11.25" customHeight="1">
      <c r="A170" s="5" t="s">
        <v>345</v>
      </c>
      <c r="B170" s="5" t="s">
        <v>440</v>
      </c>
      <c r="C170" s="5" t="s">
        <v>597</v>
      </c>
      <c r="D170" s="5" t="s">
        <v>348</v>
      </c>
      <c r="E170" s="5" t="s">
        <v>7</v>
      </c>
      <c r="F170" s="5" t="s">
        <v>349</v>
      </c>
      <c r="G170" s="5" t="s">
        <v>350</v>
      </c>
      <c r="H170" s="5" t="s">
        <v>442</v>
      </c>
      <c r="I170" s="5" t="s">
        <v>598</v>
      </c>
      <c r="J170" s="5" t="s">
        <v>599</v>
      </c>
      <c r="K170" s="7" t="str">
        <f ca="1">IFERROR(__xludf.DUMMYFUNCTION("GOOGLETRANSLATE(H170,""EN"",""ES"")"),"VESTIDOS")</f>
        <v>VESTIDOS</v>
      </c>
      <c r="L170" s="5" t="str">
        <f ca="1">IFERROR(__xludf.DUMMYFUNCTION("GOOGLETRANSLATE(J170,""EN"",""ES"")"),"faldas de ballet")</f>
        <v>faldas de ballet</v>
      </c>
      <c r="M170" s="8" t="s">
        <v>9</v>
      </c>
      <c r="N170" s="8" t="s">
        <v>9</v>
      </c>
    </row>
    <row r="171" spans="1:14" ht="11.25" customHeight="1">
      <c r="A171" s="5" t="s">
        <v>345</v>
      </c>
      <c r="B171" s="5" t="s">
        <v>440</v>
      </c>
      <c r="C171" s="5" t="s">
        <v>597</v>
      </c>
      <c r="D171" s="5" t="s">
        <v>348</v>
      </c>
      <c r="E171" s="5" t="s">
        <v>7</v>
      </c>
      <c r="F171" s="5" t="s">
        <v>349</v>
      </c>
      <c r="G171" s="5" t="s">
        <v>350</v>
      </c>
      <c r="H171" s="5" t="s">
        <v>442</v>
      </c>
      <c r="I171" s="5" t="s">
        <v>599</v>
      </c>
      <c r="J171" s="5" t="s">
        <v>152</v>
      </c>
      <c r="K171" s="7" t="str">
        <f ca="1">IFERROR(__xludf.DUMMYFUNCTION("GOOGLETRANSLATE(H171,""EN"",""ES"")"),"VESTIDOS")</f>
        <v>VESTIDOS</v>
      </c>
      <c r="L171" s="5" t="str">
        <f ca="1">IFERROR(__xludf.DUMMYFUNCTION("GOOGLETRANSLATE(J171,""EN"",""ES"")"),"tutús")</f>
        <v>tutús</v>
      </c>
      <c r="M171" s="8" t="s">
        <v>9</v>
      </c>
      <c r="N171" s="8" t="s">
        <v>9</v>
      </c>
    </row>
    <row r="172" spans="1:14" ht="11.25" customHeight="1">
      <c r="A172" s="5" t="s">
        <v>345</v>
      </c>
      <c r="B172" s="5" t="s">
        <v>440</v>
      </c>
      <c r="C172" s="5" t="s">
        <v>600</v>
      </c>
      <c r="D172" s="5" t="s">
        <v>348</v>
      </c>
      <c r="E172" s="5" t="s">
        <v>7</v>
      </c>
      <c r="F172" s="5" t="s">
        <v>349</v>
      </c>
      <c r="G172" s="5" t="s">
        <v>350</v>
      </c>
      <c r="H172" s="5" t="s">
        <v>442</v>
      </c>
      <c r="I172" s="5" t="s">
        <v>601</v>
      </c>
      <c r="J172" s="5" t="s">
        <v>602</v>
      </c>
      <c r="K172" s="7" t="str">
        <f ca="1">IFERROR(__xludf.DUMMYFUNCTION("GOOGLETRANSLATE(H172,""EN"",""ES"")"),"VESTIDOS")</f>
        <v>VESTIDOS</v>
      </c>
      <c r="L172" s="5" t="str">
        <f ca="1">IFERROR(__xludf.DUMMYFUNCTION("GOOGLETRANSLATE(J172,""EN"",""ES"")"),"Uniformes")</f>
        <v>Uniformes</v>
      </c>
      <c r="M172" s="8" t="s">
        <v>9</v>
      </c>
      <c r="N172" s="8" t="s">
        <v>9</v>
      </c>
    </row>
    <row r="173" spans="1:14" ht="11.25" customHeight="1">
      <c r="A173" s="5" t="s">
        <v>345</v>
      </c>
      <c r="B173" s="5" t="s">
        <v>440</v>
      </c>
      <c r="C173" s="5" t="s">
        <v>603</v>
      </c>
      <c r="D173" s="5" t="s">
        <v>348</v>
      </c>
      <c r="E173" s="5" t="s">
        <v>7</v>
      </c>
      <c r="F173" s="5" t="s">
        <v>349</v>
      </c>
      <c r="G173" s="5" t="s">
        <v>350</v>
      </c>
      <c r="H173" s="5" t="s">
        <v>442</v>
      </c>
      <c r="I173" s="5" t="s">
        <v>604</v>
      </c>
      <c r="J173" s="5" t="s">
        <v>605</v>
      </c>
      <c r="K173" s="7" t="str">
        <f ca="1">IFERROR(__xludf.DUMMYFUNCTION("GOOGLETRANSLATE(H173,""EN"",""ES"")"),"VESTIDOS")</f>
        <v>VESTIDOS</v>
      </c>
      <c r="L173" s="5" t="str">
        <f ca="1">IFERROR(__xludf.DUMMYFUNCTION("GOOGLETRANSLATE(J173,""EN"",""ES"")"),"camisetas de pescadores")</f>
        <v>camisetas de pescadores</v>
      </c>
      <c r="M173" s="8" t="s">
        <v>9</v>
      </c>
      <c r="N173" s="8" t="s">
        <v>9</v>
      </c>
    </row>
    <row r="174" spans="1:14" ht="11.25" customHeight="1">
      <c r="A174" s="5" t="s">
        <v>345</v>
      </c>
      <c r="B174" s="5" t="s">
        <v>440</v>
      </c>
      <c r="C174" s="5" t="s">
        <v>606</v>
      </c>
      <c r="D174" s="5" t="s">
        <v>348</v>
      </c>
      <c r="E174" s="5" t="s">
        <v>7</v>
      </c>
      <c r="F174" s="5" t="s">
        <v>349</v>
      </c>
      <c r="G174" s="5" t="s">
        <v>350</v>
      </c>
      <c r="H174" s="5" t="s">
        <v>442</v>
      </c>
      <c r="I174" s="5" t="s">
        <v>607</v>
      </c>
      <c r="J174" s="5" t="s">
        <v>608</v>
      </c>
      <c r="K174" s="7" t="str">
        <f ca="1">IFERROR(__xludf.DUMMYFUNCTION("GOOGLETRANSLATE(H174,""EN"",""ES"")"),"VESTIDOS")</f>
        <v>VESTIDOS</v>
      </c>
      <c r="L174" s="5" t="str">
        <f ca="1">IFERROR(__xludf.DUMMYFUNCTION("GOOGLETRANSLATE(J174,""EN"",""ES"")"),"Chaquetas")</f>
        <v>Chaquetas</v>
      </c>
      <c r="M174" s="8" t="s">
        <v>9</v>
      </c>
      <c r="N174" s="8" t="s">
        <v>9</v>
      </c>
    </row>
    <row r="175" spans="1:14" ht="11.25" customHeight="1">
      <c r="A175" s="5" t="s">
        <v>345</v>
      </c>
      <c r="B175" s="5" t="s">
        <v>440</v>
      </c>
      <c r="C175" s="5" t="s">
        <v>609</v>
      </c>
      <c r="D175" s="5" t="s">
        <v>348</v>
      </c>
      <c r="E175" s="5" t="s">
        <v>7</v>
      </c>
      <c r="F175" s="5" t="s">
        <v>349</v>
      </c>
      <c r="G175" s="5" t="s">
        <v>350</v>
      </c>
      <c r="H175" s="5" t="s">
        <v>442</v>
      </c>
      <c r="I175" s="5" t="s">
        <v>610</v>
      </c>
      <c r="J175" s="5" t="s">
        <v>611</v>
      </c>
      <c r="K175" s="7" t="str">
        <f ca="1">IFERROR(__xludf.DUMMYFUNCTION("GOOGLETRANSLATE(H175,""EN"",""ES"")"),"VESTIDOS")</f>
        <v>VESTIDOS</v>
      </c>
      <c r="L175" s="5" t="str">
        <f ca="1">IFERROR(__xludf.DUMMYFUNCTION("GOOGLETRANSLATE(J175,""EN"",""ES"")"),"prendas de abrigo")</f>
        <v>prendas de abrigo</v>
      </c>
      <c r="M175" s="8" t="s">
        <v>9</v>
      </c>
      <c r="N175" s="8" t="s">
        <v>9</v>
      </c>
    </row>
    <row r="176" spans="1:14" ht="11.25" customHeight="1">
      <c r="A176" s="5" t="s">
        <v>345</v>
      </c>
      <c r="B176" s="5" t="s">
        <v>440</v>
      </c>
      <c r="C176" s="5" t="s">
        <v>612</v>
      </c>
      <c r="D176" s="5" t="s">
        <v>348</v>
      </c>
      <c r="E176" s="5" t="s">
        <v>7</v>
      </c>
      <c r="F176" s="5" t="s">
        <v>349</v>
      </c>
      <c r="G176" s="5" t="s">
        <v>350</v>
      </c>
      <c r="H176" s="5" t="s">
        <v>442</v>
      </c>
      <c r="I176" s="5" t="s">
        <v>613</v>
      </c>
      <c r="J176" s="5" t="s">
        <v>614</v>
      </c>
      <c r="K176" s="7" t="str">
        <f ca="1">IFERROR(__xludf.DUMMYFUNCTION("GOOGLETRANSLATE(H176,""EN"",""ES"")"),"VESTIDOS")</f>
        <v>VESTIDOS</v>
      </c>
      <c r="L176" s="5" t="str">
        <f ca="1">IFERROR(__xludf.DUMMYFUNCTION("GOOGLETRANSLATE(J176,""EN"",""ES"")"),"Prendas isotérmicas para pesca submarina")</f>
        <v>Prendas isotérmicas para pesca submarina</v>
      </c>
      <c r="M176" s="8" t="s">
        <v>9</v>
      </c>
      <c r="N176" s="8" t="s">
        <v>72</v>
      </c>
    </row>
    <row r="177" spans="1:14" ht="11.25" customHeight="1">
      <c r="A177" s="5" t="s">
        <v>345</v>
      </c>
      <c r="B177" s="5" t="s">
        <v>440</v>
      </c>
      <c r="C177" s="5" t="s">
        <v>615</v>
      </c>
      <c r="D177" s="5" t="s">
        <v>348</v>
      </c>
      <c r="E177" s="5" t="s">
        <v>7</v>
      </c>
      <c r="F177" s="5" t="s">
        <v>349</v>
      </c>
      <c r="G177" s="5" t="s">
        <v>350</v>
      </c>
      <c r="H177" s="5" t="s">
        <v>442</v>
      </c>
      <c r="I177" s="5" t="s">
        <v>616</v>
      </c>
      <c r="J177" s="5" t="s">
        <v>617</v>
      </c>
      <c r="K177" s="7" t="str">
        <f ca="1">IFERROR(__xludf.DUMMYFUNCTION("GOOGLETRANSLATE(H177,""EN"",""ES"")"),"VESTIDOS")</f>
        <v>VESTIDOS</v>
      </c>
      <c r="L177" s="5" t="str">
        <f ca="1">IFERROR(__xludf.DUMMYFUNCTION("GOOGLETRANSLATE(J177,""EN"",""ES"")"),"Ropa religiosa")</f>
        <v>Ropa religiosa</v>
      </c>
      <c r="M177" s="8" t="s">
        <v>9</v>
      </c>
      <c r="N177" s="8" t="s">
        <v>9</v>
      </c>
    </row>
    <row r="178" spans="1:14" ht="11.25" customHeight="1">
      <c r="A178" s="5" t="s">
        <v>345</v>
      </c>
      <c r="B178" s="5" t="s">
        <v>440</v>
      </c>
      <c r="C178" s="5" t="s">
        <v>618</v>
      </c>
      <c r="D178" s="5" t="s">
        <v>348</v>
      </c>
      <c r="E178" s="5" t="s">
        <v>7</v>
      </c>
      <c r="F178" s="5" t="s">
        <v>349</v>
      </c>
      <c r="G178" s="5" t="s">
        <v>350</v>
      </c>
      <c r="H178" s="5" t="s">
        <v>442</v>
      </c>
      <c r="I178" s="5" t="s">
        <v>619</v>
      </c>
      <c r="J178" s="5" t="s">
        <v>620</v>
      </c>
      <c r="K178" s="7" t="str">
        <f ca="1">IFERROR(__xludf.DUMMYFUNCTION("GOOGLETRANSLATE(H178,""EN"",""ES"")"),"VESTIDOS")</f>
        <v>VESTIDOS</v>
      </c>
      <c r="L178" s="5" t="str">
        <f ca="1">IFERROR(__xludf.DUMMYFUNCTION("GOOGLETRANSLATE(J178,""EN"",""ES"")"),"trajes de buceo")</f>
        <v>trajes de buceo</v>
      </c>
      <c r="M178" s="8" t="s">
        <v>9</v>
      </c>
      <c r="N178" s="8" t="s">
        <v>72</v>
      </c>
    </row>
    <row r="179" spans="1:14" ht="11.25" customHeight="1">
      <c r="A179" s="5" t="s">
        <v>345</v>
      </c>
      <c r="B179" s="5" t="s">
        <v>440</v>
      </c>
      <c r="C179" s="5" t="s">
        <v>618</v>
      </c>
      <c r="D179" s="5" t="s">
        <v>348</v>
      </c>
      <c r="E179" s="5" t="s">
        <v>7</v>
      </c>
      <c r="F179" s="5" t="s">
        <v>349</v>
      </c>
      <c r="G179" s="5" t="s">
        <v>350</v>
      </c>
      <c r="H179" s="5" t="s">
        <v>442</v>
      </c>
      <c r="I179" s="5" t="s">
        <v>152</v>
      </c>
      <c r="J179" s="5" t="s">
        <v>621</v>
      </c>
      <c r="K179" s="7" t="str">
        <f ca="1">IFERROR(__xludf.DUMMYFUNCTION("GOOGLETRANSLATE(H179,""EN"",""ES"")"),"VESTIDOS")</f>
        <v>VESTIDOS</v>
      </c>
      <c r="L179" s="5" t="str">
        <f ca="1">IFERROR(__xludf.DUMMYFUNCTION("GOOGLETRANSLATE(J179,""EN"",""ES"")"),"N / A")</f>
        <v>N / A</v>
      </c>
      <c r="M179" s="8" t="s">
        <v>9</v>
      </c>
      <c r="N179" s="8" t="s">
        <v>9</v>
      </c>
    </row>
    <row r="180" spans="1:14" ht="11.25" customHeight="1">
      <c r="A180" s="5" t="s">
        <v>345</v>
      </c>
      <c r="B180" s="5" t="s">
        <v>440</v>
      </c>
      <c r="C180" s="5" t="s">
        <v>622</v>
      </c>
      <c r="D180" s="5" t="s">
        <v>348</v>
      </c>
      <c r="E180" s="5" t="s">
        <v>7</v>
      </c>
      <c r="F180" s="5" t="s">
        <v>349</v>
      </c>
      <c r="G180" s="5" t="s">
        <v>350</v>
      </c>
      <c r="H180" s="5" t="s">
        <v>442</v>
      </c>
      <c r="I180" s="5" t="s">
        <v>623</v>
      </c>
      <c r="J180" s="5" t="s">
        <v>624</v>
      </c>
      <c r="K180" s="7" t="str">
        <f ca="1">IFERROR(__xludf.DUMMYFUNCTION("GOOGLETRANSLATE(H180,""EN"",""ES"")"),"VESTIDOS")</f>
        <v>VESTIDOS</v>
      </c>
      <c r="L180" s="5" t="str">
        <f ca="1">IFERROR(__xludf.DUMMYFUNCTION("GOOGLETRANSLATE(J180,""EN"",""ES"")"),"Abrigos de mañana")</f>
        <v>Abrigos de mañana</v>
      </c>
      <c r="M180" s="8" t="s">
        <v>9</v>
      </c>
      <c r="N180" s="8" t="s">
        <v>9</v>
      </c>
    </row>
    <row r="181" spans="1:14" ht="11.25" customHeight="1">
      <c r="A181" s="5" t="s">
        <v>345</v>
      </c>
      <c r="B181" s="5" t="s">
        <v>440</v>
      </c>
      <c r="C181" s="5" t="s">
        <v>625</v>
      </c>
      <c r="D181" s="5" t="s">
        <v>348</v>
      </c>
      <c r="E181" s="5" t="s">
        <v>7</v>
      </c>
      <c r="F181" s="5" t="s">
        <v>349</v>
      </c>
      <c r="G181" s="5" t="s">
        <v>350</v>
      </c>
      <c r="H181" s="5" t="s">
        <v>442</v>
      </c>
      <c r="I181" s="5" t="s">
        <v>626</v>
      </c>
      <c r="J181" s="5" t="s">
        <v>627</v>
      </c>
      <c r="K181" s="7" t="str">
        <f ca="1">IFERROR(__xludf.DUMMYFUNCTION("GOOGLETRANSLATE(H181,""EN"",""ES"")"),"VESTIDOS")</f>
        <v>VESTIDOS</v>
      </c>
      <c r="L181" s="5" t="str">
        <f ca="1">IFERROR(__xludf.DUMMYFUNCTION("GOOGLETRANSLATE(J181,""EN"",""ES"")"),"trajes de dama")</f>
        <v>trajes de dama</v>
      </c>
      <c r="M181" s="8" t="s">
        <v>9</v>
      </c>
      <c r="N181" s="8" t="s">
        <v>9</v>
      </c>
    </row>
    <row r="182" spans="1:14" ht="11.25" customHeight="1">
      <c r="A182" s="5" t="s">
        <v>345</v>
      </c>
      <c r="B182" s="5" t="s">
        <v>440</v>
      </c>
      <c r="C182" s="5" t="s">
        <v>628</v>
      </c>
      <c r="D182" s="5" t="s">
        <v>348</v>
      </c>
      <c r="E182" s="5" t="s">
        <v>7</v>
      </c>
      <c r="F182" s="5" t="s">
        <v>349</v>
      </c>
      <c r="G182" s="5" t="s">
        <v>350</v>
      </c>
      <c r="H182" s="5" t="s">
        <v>442</v>
      </c>
      <c r="I182" s="5" t="s">
        <v>629</v>
      </c>
      <c r="J182" s="5" t="s">
        <v>630</v>
      </c>
      <c r="K182" s="7" t="str">
        <f ca="1">IFERROR(__xludf.DUMMYFUNCTION("GOOGLETRANSLATE(H182,""EN"",""ES"")"),"VESTIDOS")</f>
        <v>VESTIDOS</v>
      </c>
      <c r="L182" s="5" t="str">
        <f ca="1">IFERROR(__xludf.DUMMYFUNCTION("GOOGLETRANSLATE(J182,""EN"",""ES"")"),"Prendas ignífugas")</f>
        <v>Prendas ignífugas</v>
      </c>
      <c r="M182" s="8" t="s">
        <v>9</v>
      </c>
      <c r="N182" s="8" t="s">
        <v>9</v>
      </c>
    </row>
    <row r="183" spans="1:14" ht="11.25" customHeight="1">
      <c r="A183" s="5" t="s">
        <v>345</v>
      </c>
      <c r="B183" s="5" t="s">
        <v>440</v>
      </c>
      <c r="C183" s="5" t="s">
        <v>631</v>
      </c>
      <c r="D183" s="5" t="s">
        <v>348</v>
      </c>
      <c r="E183" s="5" t="s">
        <v>7</v>
      </c>
      <c r="F183" s="5" t="s">
        <v>349</v>
      </c>
      <c r="G183" s="5" t="s">
        <v>350</v>
      </c>
      <c r="H183" s="5" t="s">
        <v>442</v>
      </c>
      <c r="I183" s="5" t="s">
        <v>632</v>
      </c>
      <c r="J183" s="5" t="s">
        <v>633</v>
      </c>
      <c r="K183" s="7" t="str">
        <f ca="1">IFERROR(__xludf.DUMMYFUNCTION("GOOGLETRANSLATE(H183,""EN"",""ES"")"),"VESTIDOS")</f>
        <v>VESTIDOS</v>
      </c>
      <c r="L183" s="5" t="str">
        <f ca="1">IFERROR(__xludf.DUMMYFUNCTION("GOOGLETRANSLATE(J183,""EN"",""ES"")"),"Ropa de salvamento [náutica]")</f>
        <v>Ropa de salvamento [náutica]</v>
      </c>
      <c r="M183" s="8" t="s">
        <v>9</v>
      </c>
      <c r="N183" s="8" t="s">
        <v>9</v>
      </c>
    </row>
    <row r="184" spans="1:14" ht="11.25" customHeight="1">
      <c r="A184" s="5" t="s">
        <v>345</v>
      </c>
      <c r="B184" s="5" t="s">
        <v>440</v>
      </c>
      <c r="C184" s="5" t="s">
        <v>634</v>
      </c>
      <c r="D184" s="5" t="s">
        <v>348</v>
      </c>
      <c r="E184" s="5" t="s">
        <v>7</v>
      </c>
      <c r="F184" s="5" t="s">
        <v>349</v>
      </c>
      <c r="G184" s="5" t="s">
        <v>350</v>
      </c>
      <c r="H184" s="5" t="s">
        <v>442</v>
      </c>
      <c r="I184" s="5" t="s">
        <v>635</v>
      </c>
      <c r="J184" s="5" t="s">
        <v>636</v>
      </c>
      <c r="K184" s="7" t="str">
        <f ca="1">IFERROR(__xludf.DUMMYFUNCTION("GOOGLETRANSLATE(H184,""EN"",""ES"")"),"VESTIDOS")</f>
        <v>VESTIDOS</v>
      </c>
      <c r="L184" s="5" t="str">
        <f ca="1">IFERROR(__xludf.DUMMYFUNCTION("GOOGLETRANSLATE(J184,""EN"",""ES"")"),"Ropa de descontaminación")</f>
        <v>Ropa de descontaminación</v>
      </c>
      <c r="M184" s="8" t="s">
        <v>9</v>
      </c>
      <c r="N184" s="8" t="s">
        <v>9</v>
      </c>
    </row>
    <row r="185" spans="1:14" ht="11.25" customHeight="1">
      <c r="A185" s="5" t="s">
        <v>345</v>
      </c>
      <c r="B185" s="5" t="s">
        <v>440</v>
      </c>
      <c r="C185" s="5" t="s">
        <v>637</v>
      </c>
      <c r="D185" s="5" t="s">
        <v>348</v>
      </c>
      <c r="E185" s="5" t="s">
        <v>7</v>
      </c>
      <c r="F185" s="5" t="s">
        <v>349</v>
      </c>
      <c r="G185" s="5" t="s">
        <v>350</v>
      </c>
      <c r="H185" s="5" t="s">
        <v>442</v>
      </c>
      <c r="I185" s="5" t="s">
        <v>638</v>
      </c>
      <c r="J185" s="5" t="s">
        <v>639</v>
      </c>
      <c r="K185" s="7" t="str">
        <f ca="1">IFERROR(__xludf.DUMMYFUNCTION("GOOGLETRANSLATE(H185,""EN"",""ES"")"),"VESTIDOS")</f>
        <v>VESTIDOS</v>
      </c>
      <c r="L185" s="5" t="str">
        <f ca="1">IFERROR(__xludf.DUMMYFUNCTION("GOOGLETRANSLATE(J185,""EN"",""ES"")"),"Trajes de esquí")</f>
        <v>Trajes de esquí</v>
      </c>
      <c r="M185" s="8" t="s">
        <v>9</v>
      </c>
      <c r="N185" s="8" t="s">
        <v>9</v>
      </c>
    </row>
    <row r="186" spans="1:14" ht="11.25" customHeight="1">
      <c r="A186" s="5" t="s">
        <v>345</v>
      </c>
      <c r="B186" s="5" t="s">
        <v>440</v>
      </c>
      <c r="C186" s="5" t="s">
        <v>640</v>
      </c>
      <c r="D186" s="5" t="s">
        <v>348</v>
      </c>
      <c r="E186" s="5" t="s">
        <v>7</v>
      </c>
      <c r="F186" s="5" t="s">
        <v>349</v>
      </c>
      <c r="G186" s="5" t="s">
        <v>350</v>
      </c>
      <c r="H186" s="5" t="s">
        <v>442</v>
      </c>
      <c r="I186" s="5" t="s">
        <v>641</v>
      </c>
      <c r="J186" s="5" t="s">
        <v>642</v>
      </c>
      <c r="K186" s="7" t="str">
        <f ca="1">IFERROR(__xludf.DUMMYFUNCTION("GOOGLETRANSLATE(H186,""EN"",""ES"")"),"VESTIDOS")</f>
        <v>VESTIDOS</v>
      </c>
      <c r="L186" s="5" t="str">
        <f ca="1">IFERROR(__xludf.DUMMYFUNCTION("GOOGLETRANSLATE(J186,""EN"",""ES"")"),"camisetas")</f>
        <v>camisetas</v>
      </c>
      <c r="M186" s="8" t="s">
        <v>9</v>
      </c>
      <c r="N186" s="8" t="s">
        <v>9</v>
      </c>
    </row>
    <row r="187" spans="1:14" ht="11.25" customHeight="1">
      <c r="A187" s="5" t="s">
        <v>345</v>
      </c>
      <c r="B187" s="5" t="s">
        <v>440</v>
      </c>
      <c r="C187" s="5" t="s">
        <v>643</v>
      </c>
      <c r="D187" s="5" t="s">
        <v>348</v>
      </c>
      <c r="E187" s="5" t="s">
        <v>7</v>
      </c>
      <c r="F187" s="5" t="s">
        <v>349</v>
      </c>
      <c r="G187" s="5" t="s">
        <v>350</v>
      </c>
      <c r="H187" s="5" t="s">
        <v>442</v>
      </c>
      <c r="I187" s="5" t="s">
        <v>644</v>
      </c>
      <c r="J187" s="5" t="s">
        <v>645</v>
      </c>
      <c r="K187" s="7" t="str">
        <f ca="1">IFERROR(__xludf.DUMMYFUNCTION("GOOGLETRANSLATE(H187,""EN"",""ES"")"),"VESTIDOS")</f>
        <v>VESTIDOS</v>
      </c>
      <c r="L187" s="5" t="str">
        <f ca="1">IFERROR(__xludf.DUMMYFUNCTION("GOOGLETRANSLATE(J187,""EN"",""ES"")"),"Albornoces")</f>
        <v>Albornoces</v>
      </c>
      <c r="M187" s="8" t="s">
        <v>9</v>
      </c>
      <c r="N187" s="8" t="s">
        <v>9</v>
      </c>
    </row>
    <row r="188" spans="1:14" ht="11.25" customHeight="1">
      <c r="A188" s="5" t="s">
        <v>345</v>
      </c>
      <c r="B188" s="5" t="s">
        <v>440</v>
      </c>
      <c r="C188" s="5" t="s">
        <v>646</v>
      </c>
      <c r="D188" s="5" t="s">
        <v>348</v>
      </c>
      <c r="E188" s="5" t="s">
        <v>7</v>
      </c>
      <c r="F188" s="5" t="s">
        <v>349</v>
      </c>
      <c r="G188" s="5" t="s">
        <v>350</v>
      </c>
      <c r="H188" s="5" t="s">
        <v>442</v>
      </c>
      <c r="I188" s="5" t="s">
        <v>647</v>
      </c>
      <c r="J188" s="5" t="s">
        <v>647</v>
      </c>
      <c r="K188" s="7" t="str">
        <f ca="1">IFERROR(__xludf.DUMMYFUNCTION("GOOGLETRANSLATE(H188,""EN"",""ES"")"),"VESTIDOS")</f>
        <v>VESTIDOS</v>
      </c>
      <c r="L188" s="5" t="str">
        <f ca="1">IFERROR(__xludf.DUMMYFUNCTION("GOOGLETRANSLATE(J188,""EN"",""ES"")"),"biquinis")</f>
        <v>biquinis</v>
      </c>
      <c r="M188" s="8" t="s">
        <v>9</v>
      </c>
      <c r="N188" s="8" t="s">
        <v>9</v>
      </c>
    </row>
    <row r="189" spans="1:14" ht="11.25" customHeight="1">
      <c r="A189" s="5" t="s">
        <v>345</v>
      </c>
      <c r="B189" s="5" t="s">
        <v>440</v>
      </c>
      <c r="C189" s="5" t="s">
        <v>648</v>
      </c>
      <c r="D189" s="5" t="s">
        <v>348</v>
      </c>
      <c r="E189" s="5" t="s">
        <v>7</v>
      </c>
      <c r="F189" s="5" t="s">
        <v>349</v>
      </c>
      <c r="G189" s="5" t="s">
        <v>350</v>
      </c>
      <c r="H189" s="5" t="s">
        <v>442</v>
      </c>
      <c r="I189" s="5" t="s">
        <v>649</v>
      </c>
      <c r="J189" s="5" t="s">
        <v>650</v>
      </c>
      <c r="K189" s="7" t="str">
        <f ca="1">IFERROR(__xludf.DUMMYFUNCTION("GOOGLETRANSLATE(H189,""EN"",""ES"")"),"VESTIDOS")</f>
        <v>VESTIDOS</v>
      </c>
      <c r="L189" s="5" t="str">
        <f ca="1">IFERROR(__xludf.DUMMYFUNCTION("GOOGLETRANSLATE(J189,""EN"",""ES"")"),"Chaquetas con capucha")</f>
        <v>Chaquetas con capucha</v>
      </c>
      <c r="M189" s="8" t="s">
        <v>9</v>
      </c>
      <c r="N189" s="8" t="s">
        <v>9</v>
      </c>
    </row>
    <row r="190" spans="1:14" ht="11.25" customHeight="1">
      <c r="A190" s="5" t="s">
        <v>345</v>
      </c>
      <c r="B190" s="5" t="s">
        <v>440</v>
      </c>
      <c r="C190" s="5" t="s">
        <v>651</v>
      </c>
      <c r="D190" s="5" t="s">
        <v>348</v>
      </c>
      <c r="E190" s="5" t="s">
        <v>7</v>
      </c>
      <c r="F190" s="5" t="s">
        <v>349</v>
      </c>
      <c r="G190" s="5" t="s">
        <v>350</v>
      </c>
      <c r="H190" s="5" t="s">
        <v>442</v>
      </c>
      <c r="I190" s="5" t="s">
        <v>652</v>
      </c>
      <c r="J190" s="5" t="s">
        <v>653</v>
      </c>
      <c r="K190" s="7" t="str">
        <f ca="1">IFERROR(__xludf.DUMMYFUNCTION("GOOGLETRANSLATE(H190,""EN"",""ES"")"),"VESTIDOS")</f>
        <v>VESTIDOS</v>
      </c>
      <c r="L190" s="5" t="str">
        <f ca="1">IFERROR(__xludf.DUMMYFUNCTION("GOOGLETRANSLATE(J190,""EN"",""ES"")"),"Ropa reflectante")</f>
        <v>Ropa reflectante</v>
      </c>
      <c r="M190" s="8" t="s">
        <v>9</v>
      </c>
      <c r="N190" s="8" t="s">
        <v>9</v>
      </c>
    </row>
    <row r="191" spans="1:14" ht="11.25" customHeight="1">
      <c r="A191" s="5" t="s">
        <v>345</v>
      </c>
      <c r="B191" s="5" t="s">
        <v>440</v>
      </c>
      <c r="C191" s="5" t="s">
        <v>654</v>
      </c>
      <c r="D191" s="5" t="s">
        <v>348</v>
      </c>
      <c r="E191" s="5" t="s">
        <v>7</v>
      </c>
      <c r="F191" s="5" t="s">
        <v>349</v>
      </c>
      <c r="G191" s="5" t="s">
        <v>350</v>
      </c>
      <c r="H191" s="5" t="s">
        <v>442</v>
      </c>
      <c r="I191" s="5" t="s">
        <v>655</v>
      </c>
      <c r="J191" s="5" t="s">
        <v>656</v>
      </c>
      <c r="K191" s="7" t="str">
        <f ca="1">IFERROR(__xludf.DUMMYFUNCTION("GOOGLETRANSLATE(H191,""EN"",""ES"")"),"VESTIDOS")</f>
        <v>VESTIDOS</v>
      </c>
      <c r="L191" s="5" t="str">
        <f ca="1">IFERROR(__xludf.DUMMYFUNCTION("GOOGLETRANSLATE(J191,""EN"",""ES"")"),"Tops [ropa]")</f>
        <v>Tops [ropa]</v>
      </c>
      <c r="M191" s="8" t="s">
        <v>9</v>
      </c>
      <c r="N191" s="8" t="s">
        <v>9</v>
      </c>
    </row>
    <row r="192" spans="1:14" ht="11.25" customHeight="1">
      <c r="A192" s="5" t="s">
        <v>345</v>
      </c>
      <c r="B192" s="5" t="s">
        <v>440</v>
      </c>
      <c r="C192" s="5" t="s">
        <v>654</v>
      </c>
      <c r="D192" s="5" t="s">
        <v>348</v>
      </c>
      <c r="E192" s="5" t="s">
        <v>7</v>
      </c>
      <c r="F192" s="5" t="s">
        <v>349</v>
      </c>
      <c r="G192" s="5" t="s">
        <v>350</v>
      </c>
      <c r="H192" s="5" t="s">
        <v>442</v>
      </c>
      <c r="I192" s="5" t="s">
        <v>152</v>
      </c>
      <c r="J192" s="5" t="s">
        <v>657</v>
      </c>
      <c r="K192" s="7" t="str">
        <f ca="1">IFERROR(__xludf.DUMMYFUNCTION("GOOGLETRANSLATE(H192,""EN"",""ES"")"),"VESTIDOS")</f>
        <v>VESTIDOS</v>
      </c>
      <c r="L192" s="5" t="str">
        <f ca="1">IFERROR(__xludf.DUMMYFUNCTION("GOOGLETRANSLATE(J192,""EN"",""ES"")"),"N / A")</f>
        <v>N / A</v>
      </c>
      <c r="M192" s="8" t="s">
        <v>9</v>
      </c>
      <c r="N192" s="8" t="s">
        <v>9</v>
      </c>
    </row>
    <row r="193" spans="1:14" ht="11.25" customHeight="1">
      <c r="A193" s="5" t="s">
        <v>345</v>
      </c>
      <c r="B193" s="5" t="s">
        <v>440</v>
      </c>
      <c r="C193" s="5" t="s">
        <v>658</v>
      </c>
      <c r="D193" s="5" t="s">
        <v>348</v>
      </c>
      <c r="E193" s="5" t="s">
        <v>7</v>
      </c>
      <c r="F193" s="5" t="s">
        <v>349</v>
      </c>
      <c r="G193" s="5" t="s">
        <v>350</v>
      </c>
      <c r="H193" s="5" t="s">
        <v>442</v>
      </c>
      <c r="I193" s="5" t="s">
        <v>659</v>
      </c>
      <c r="J193" s="5" t="s">
        <v>660</v>
      </c>
      <c r="K193" s="7" t="str">
        <f ca="1">IFERROR(__xludf.DUMMYFUNCTION("GOOGLETRANSLATE(H193,""EN"",""ES"")"),"VESTIDOS")</f>
        <v>VESTIDOS</v>
      </c>
      <c r="L193" s="5" t="str">
        <f ca="1">IFERROR(__xludf.DUMMYFUNCTION("GOOGLETRANSLATE(J193,""EN"",""ES"")"),"Monos")</f>
        <v>Monos</v>
      </c>
      <c r="M193" s="8" t="s">
        <v>9</v>
      </c>
      <c r="N193" s="8" t="s">
        <v>9</v>
      </c>
    </row>
    <row r="194" spans="1:14" ht="11.25" customHeight="1">
      <c r="A194" s="5" t="s">
        <v>345</v>
      </c>
      <c r="B194" s="5" t="s">
        <v>440</v>
      </c>
      <c r="C194" s="5" t="s">
        <v>661</v>
      </c>
      <c r="D194" s="5" t="s">
        <v>348</v>
      </c>
      <c r="E194" s="5" t="s">
        <v>7</v>
      </c>
      <c r="F194" s="5" t="s">
        <v>349</v>
      </c>
      <c r="G194" s="5" t="s">
        <v>350</v>
      </c>
      <c r="H194" s="5" t="s">
        <v>442</v>
      </c>
      <c r="I194" s="5" t="s">
        <v>662</v>
      </c>
      <c r="J194" s="5" t="s">
        <v>663</v>
      </c>
      <c r="K194" s="7" t="str">
        <f ca="1">IFERROR(__xludf.DUMMYFUNCTION("GOOGLETRANSLATE(H194,""EN"",""ES"")"),"VESTIDOS")</f>
        <v>VESTIDOS</v>
      </c>
      <c r="L194" s="5" t="str">
        <f ca="1">IFERROR(__xludf.DUMMYFUNCTION("GOOGLETRANSLATE(J194,""EN"",""ES"")"),"camisetas de futbol")</f>
        <v>camisetas de futbol</v>
      </c>
      <c r="M194" s="8" t="s">
        <v>9</v>
      </c>
      <c r="N194" s="8" t="s">
        <v>9</v>
      </c>
    </row>
    <row r="195" spans="1:14" ht="11.25" customHeight="1">
      <c r="A195" s="5" t="s">
        <v>345</v>
      </c>
      <c r="B195" s="5" t="s">
        <v>440</v>
      </c>
      <c r="C195" s="5" t="s">
        <v>664</v>
      </c>
      <c r="D195" s="5" t="s">
        <v>348</v>
      </c>
      <c r="E195" s="5" t="s">
        <v>7</v>
      </c>
      <c r="F195" s="5" t="s">
        <v>349</v>
      </c>
      <c r="G195" s="5" t="s">
        <v>350</v>
      </c>
      <c r="H195" s="5" t="s">
        <v>442</v>
      </c>
      <c r="I195" s="5" t="s">
        <v>665</v>
      </c>
      <c r="J195" s="5" t="s">
        <v>666</v>
      </c>
      <c r="K195" s="7" t="str">
        <f ca="1">IFERROR(__xludf.DUMMYFUNCTION("GOOGLETRANSLATE(H195,""EN"",""ES"")"),"VESTIDOS")</f>
        <v>VESTIDOS</v>
      </c>
      <c r="L195" s="5" t="str">
        <f ca="1">IFERROR(__xludf.DUMMYFUNCTION("GOOGLETRANSLATE(J195,""EN"",""ES"")"),"Suéteres sin mangas")</f>
        <v>Suéteres sin mangas</v>
      </c>
      <c r="M195" s="8" t="s">
        <v>9</v>
      </c>
      <c r="N195" s="8" t="s">
        <v>9</v>
      </c>
    </row>
    <row r="196" spans="1:14" ht="11.25" customHeight="1">
      <c r="A196" s="5" t="s">
        <v>345</v>
      </c>
      <c r="B196" s="5" t="s">
        <v>440</v>
      </c>
      <c r="C196" s="5" t="s">
        <v>667</v>
      </c>
      <c r="D196" s="5" t="s">
        <v>348</v>
      </c>
      <c r="E196" s="5" t="s">
        <v>7</v>
      </c>
      <c r="F196" s="5" t="s">
        <v>349</v>
      </c>
      <c r="G196" s="5" t="s">
        <v>350</v>
      </c>
      <c r="H196" s="5" t="s">
        <v>442</v>
      </c>
      <c r="I196" s="5" t="s">
        <v>668</v>
      </c>
      <c r="J196" s="5" t="s">
        <v>669</v>
      </c>
      <c r="K196" s="7" t="str">
        <f ca="1">IFERROR(__xludf.DUMMYFUNCTION("GOOGLETRANSLATE(H196,""EN"",""ES"")"),"VESTIDOS")</f>
        <v>VESTIDOS</v>
      </c>
      <c r="L196" s="5" t="str">
        <f ca="1">IFERROR(__xludf.DUMMYFUNCTION("GOOGLETRANSLATE(J196,""EN"",""ES"")"),"disfraces de disfraces")</f>
        <v>disfraces de disfraces</v>
      </c>
      <c r="M196" s="8" t="s">
        <v>9</v>
      </c>
      <c r="N196" s="8" t="s">
        <v>9</v>
      </c>
    </row>
    <row r="197" spans="1:14" ht="11.25" customHeight="1">
      <c r="A197" s="5" t="s">
        <v>345</v>
      </c>
      <c r="B197" s="5" t="s">
        <v>440</v>
      </c>
      <c r="C197" s="5" t="s">
        <v>670</v>
      </c>
      <c r="D197" s="5" t="s">
        <v>348</v>
      </c>
      <c r="E197" s="5" t="s">
        <v>7</v>
      </c>
      <c r="F197" s="5" t="s">
        <v>349</v>
      </c>
      <c r="G197" s="5" t="s">
        <v>350</v>
      </c>
      <c r="H197" s="5" t="s">
        <v>442</v>
      </c>
      <c r="I197" s="5" t="s">
        <v>671</v>
      </c>
      <c r="J197" s="5" t="s">
        <v>672</v>
      </c>
      <c r="K197" s="7" t="str">
        <f ca="1">IFERROR(__xludf.DUMMYFUNCTION("GOOGLETRANSLATE(H197,""EN"",""ES"")"),"VESTIDOS")</f>
        <v>VESTIDOS</v>
      </c>
      <c r="L197" s="5" t="str">
        <f ca="1">IFERROR(__xludf.DUMMYFUNCTION("GOOGLETRANSLATE(J197,""EN"",""ES"")"),"Vestidos o trajes tradicionales.")</f>
        <v>Vestidos o trajes tradicionales.</v>
      </c>
      <c r="M197" s="8" t="s">
        <v>9</v>
      </c>
      <c r="N197" s="8" t="s">
        <v>9</v>
      </c>
    </row>
    <row r="198" spans="1:14" ht="11.25" customHeight="1">
      <c r="A198" s="5" t="s">
        <v>345</v>
      </c>
      <c r="B198" s="5" t="s">
        <v>440</v>
      </c>
      <c r="C198" s="5" t="s">
        <v>673</v>
      </c>
      <c r="D198" s="5" t="s">
        <v>348</v>
      </c>
      <c r="E198" s="5" t="s">
        <v>7</v>
      </c>
      <c r="F198" s="5" t="s">
        <v>349</v>
      </c>
      <c r="G198" s="5" t="s">
        <v>350</v>
      </c>
      <c r="H198" s="5" t="s">
        <v>442</v>
      </c>
      <c r="I198" s="5" t="s">
        <v>674</v>
      </c>
      <c r="J198" s="5" t="s">
        <v>675</v>
      </c>
      <c r="K198" s="7" t="str">
        <f ca="1">IFERROR(__xludf.DUMMYFUNCTION("GOOGLETRANSLATE(H198,""EN"",""ES"")"),"VESTIDOS")</f>
        <v>VESTIDOS</v>
      </c>
      <c r="L198" s="5" t="str">
        <f ca="1">IFERROR(__xludf.DUMMYFUNCTION("GOOGLETRANSLATE(J198,""EN"",""ES"")"),"Sudaderas con capucha")</f>
        <v>Sudaderas con capucha</v>
      </c>
      <c r="M198" s="8" t="s">
        <v>9</v>
      </c>
      <c r="N198" s="8" t="s">
        <v>9</v>
      </c>
    </row>
    <row r="199" spans="1:14" ht="11.25" customHeight="1">
      <c r="A199" s="5" t="s">
        <v>345</v>
      </c>
      <c r="B199" s="5" t="s">
        <v>440</v>
      </c>
      <c r="C199" s="5" t="s">
        <v>676</v>
      </c>
      <c r="D199" s="5" t="s">
        <v>348</v>
      </c>
      <c r="E199" s="5" t="s">
        <v>7</v>
      </c>
      <c r="F199" s="5" t="s">
        <v>349</v>
      </c>
      <c r="G199" s="5" t="s">
        <v>350</v>
      </c>
      <c r="H199" s="5" t="s">
        <v>442</v>
      </c>
      <c r="I199" s="5" t="s">
        <v>677</v>
      </c>
      <c r="J199" s="5" t="s">
        <v>678</v>
      </c>
      <c r="K199" s="7" t="str">
        <f ca="1">IFERROR(__xludf.DUMMYFUNCTION("GOOGLETRANSLATE(H199,""EN"",""ES"")"),"VESTIDOS")</f>
        <v>VESTIDOS</v>
      </c>
      <c r="L199" s="5" t="str">
        <f ca="1">IFERROR(__xludf.DUMMYFUNCTION("GOOGLETRANSLATE(J199,""EN"",""ES"")"),"Polos")</f>
        <v>Polos</v>
      </c>
      <c r="M199" s="8" t="s">
        <v>9</v>
      </c>
      <c r="N199" s="8" t="s">
        <v>9</v>
      </c>
    </row>
    <row r="200" spans="1:14" ht="11.25" customHeight="1">
      <c r="A200" s="5" t="s">
        <v>345</v>
      </c>
      <c r="B200" s="5" t="s">
        <v>440</v>
      </c>
      <c r="C200" s="5" t="s">
        <v>679</v>
      </c>
      <c r="D200" s="5" t="s">
        <v>348</v>
      </c>
      <c r="E200" s="5" t="s">
        <v>7</v>
      </c>
      <c r="F200" s="5" t="s">
        <v>349</v>
      </c>
      <c r="G200" s="5" t="s">
        <v>350</v>
      </c>
      <c r="H200" s="5" t="s">
        <v>442</v>
      </c>
      <c r="I200" s="5" t="s">
        <v>680</v>
      </c>
      <c r="J200" s="5" t="s">
        <v>681</v>
      </c>
      <c r="K200" s="7" t="str">
        <f ca="1">IFERROR(__xludf.DUMMYFUNCTION("GOOGLETRANSLATE(H200,""EN"",""ES"")"),"VESTIDOS")</f>
        <v>VESTIDOS</v>
      </c>
      <c r="L200" s="5" t="str">
        <f ca="1">IFERROR(__xludf.DUMMYFUNCTION("GOOGLETRANSLATE(J200,""EN"",""ES"")"),"Ropa de maternidad")</f>
        <v>Ropa de maternidad</v>
      </c>
      <c r="M200" s="8" t="s">
        <v>9</v>
      </c>
      <c r="N200" s="8" t="s">
        <v>9</v>
      </c>
    </row>
    <row r="201" spans="1:14" ht="11.25" customHeight="1">
      <c r="A201" s="5" t="s">
        <v>345</v>
      </c>
      <c r="B201" s="5" t="s">
        <v>440</v>
      </c>
      <c r="C201" s="5" t="s">
        <v>682</v>
      </c>
      <c r="D201" s="5" t="s">
        <v>348</v>
      </c>
      <c r="E201" s="5" t="s">
        <v>7</v>
      </c>
      <c r="F201" s="5" t="s">
        <v>349</v>
      </c>
      <c r="G201" s="5" t="s">
        <v>350</v>
      </c>
      <c r="H201" s="5" t="s">
        <v>442</v>
      </c>
      <c r="I201" s="5" t="s">
        <v>683</v>
      </c>
      <c r="J201" s="5" t="s">
        <v>684</v>
      </c>
      <c r="K201" s="7" t="str">
        <f ca="1">IFERROR(__xludf.DUMMYFUNCTION("GOOGLETRANSLATE(H201,""EN"",""ES"")"),"VESTIDOS")</f>
        <v>VESTIDOS</v>
      </c>
      <c r="L201" s="5" t="str">
        <f ca="1">IFERROR(__xludf.DUMMYFUNCTION("GOOGLETRANSLATE(J201,""EN"",""ES"")"),"Ropa de enfermería")</f>
        <v>Ropa de enfermería</v>
      </c>
      <c r="M201" s="8" t="s">
        <v>9</v>
      </c>
      <c r="N201" s="8" t="s">
        <v>9</v>
      </c>
    </row>
    <row r="202" spans="1:14" ht="11.25" customHeight="1">
      <c r="A202" s="5" t="s">
        <v>345</v>
      </c>
      <c r="B202" s="5" t="s">
        <v>440</v>
      </c>
      <c r="C202" s="5" t="s">
        <v>685</v>
      </c>
      <c r="D202" s="5" t="s">
        <v>348</v>
      </c>
      <c r="E202" s="5" t="s">
        <v>7</v>
      </c>
      <c r="F202" s="5" t="s">
        <v>349</v>
      </c>
      <c r="G202" s="5" t="s">
        <v>350</v>
      </c>
      <c r="H202" s="5" t="s">
        <v>442</v>
      </c>
      <c r="I202" s="5" t="s">
        <v>686</v>
      </c>
      <c r="J202" s="5" t="s">
        <v>687</v>
      </c>
      <c r="K202" s="7" t="str">
        <f ca="1">IFERROR(__xludf.DUMMYFUNCTION("GOOGLETRANSLATE(H202,""EN"",""ES"")"),"VESTIDOS")</f>
        <v>VESTIDOS</v>
      </c>
      <c r="L202" s="5" t="str">
        <f ca="1">IFERROR(__xludf.DUMMYFUNCTION("GOOGLETRANSLATE(J202,""EN"",""ES"")"),"Ropa de protección para uso médico.")</f>
        <v>Ropa de protección para uso médico.</v>
      </c>
      <c r="M202" s="8" t="s">
        <v>9</v>
      </c>
      <c r="N202" s="8" t="s">
        <v>9</v>
      </c>
    </row>
    <row r="203" spans="1:14" ht="11.25" customHeight="1">
      <c r="A203" s="5" t="s">
        <v>345</v>
      </c>
      <c r="B203" s="5" t="s">
        <v>688</v>
      </c>
      <c r="C203" s="5" t="s">
        <v>689</v>
      </c>
      <c r="D203" s="5" t="s">
        <v>348</v>
      </c>
      <c r="E203" s="5" t="s">
        <v>7</v>
      </c>
      <c r="F203" s="5" t="s">
        <v>349</v>
      </c>
      <c r="G203" s="5" t="s">
        <v>350</v>
      </c>
      <c r="H203" s="5" t="s">
        <v>690</v>
      </c>
      <c r="I203" s="5" t="s">
        <v>691</v>
      </c>
      <c r="J203" s="5" t="s">
        <v>692</v>
      </c>
      <c r="K203" s="7" t="str">
        <f ca="1">IFERROR(__xludf.DUMMYFUNCTION("GOOGLETRANSLATE(H203,""EN"",""ES"")"),"SOMBREROS")</f>
        <v>SOMBREROS</v>
      </c>
      <c r="L203" s="5" t="str">
        <f ca="1">IFERROR(__xludf.DUMMYFUNCTION("GOOGLETRANSLATE(J203,""EN"",""ES"")"),"birretas")</f>
        <v>birretas</v>
      </c>
      <c r="M203" s="8" t="s">
        <v>9</v>
      </c>
      <c r="N203" s="8" t="s">
        <v>9</v>
      </c>
    </row>
    <row r="204" spans="1:14" ht="11.25" customHeight="1">
      <c r="A204" s="5" t="s">
        <v>345</v>
      </c>
      <c r="B204" s="5" t="s">
        <v>688</v>
      </c>
      <c r="C204" s="5" t="s">
        <v>693</v>
      </c>
      <c r="D204" s="5" t="s">
        <v>348</v>
      </c>
      <c r="E204" s="5" t="s">
        <v>7</v>
      </c>
      <c r="F204" s="5" t="s">
        <v>349</v>
      </c>
      <c r="G204" s="5" t="s">
        <v>350</v>
      </c>
      <c r="H204" s="5" t="s">
        <v>690</v>
      </c>
      <c r="I204" s="5" t="s">
        <v>694</v>
      </c>
      <c r="J204" s="5" t="s">
        <v>695</v>
      </c>
      <c r="K204" s="7" t="str">
        <f ca="1">IFERROR(__xludf.DUMMYFUNCTION("GOOGLETRANSLATE(H204,""EN"",""ES"")"),"SOMBREROS")</f>
        <v>SOMBREROS</v>
      </c>
      <c r="L204" s="5" t="str">
        <f ca="1">IFERROR(__xludf.DUMMYFUNCTION("GOOGLETRANSLATE(J204,""EN"",""ES"")"),"Boinas")</f>
        <v>Boinas</v>
      </c>
      <c r="M204" s="8" t="s">
        <v>9</v>
      </c>
      <c r="N204" s="8" t="s">
        <v>9</v>
      </c>
    </row>
    <row r="205" spans="1:14" ht="11.25" customHeight="1">
      <c r="A205" s="5" t="s">
        <v>345</v>
      </c>
      <c r="B205" s="5" t="s">
        <v>688</v>
      </c>
      <c r="C205" s="5" t="s">
        <v>696</v>
      </c>
      <c r="D205" s="5" t="s">
        <v>348</v>
      </c>
      <c r="E205" s="5" t="s">
        <v>7</v>
      </c>
      <c r="F205" s="5" t="s">
        <v>349</v>
      </c>
      <c r="G205" s="5" t="s">
        <v>350</v>
      </c>
      <c r="H205" s="5" t="s">
        <v>690</v>
      </c>
      <c r="I205" s="5" t="s">
        <v>697</v>
      </c>
      <c r="J205" s="5" t="s">
        <v>697</v>
      </c>
      <c r="K205" s="7" t="str">
        <f ca="1">IFERROR(__xludf.DUMMYFUNCTION("GOOGLETRANSLATE(H205,""EN"",""ES"")"),"SOMBREROS")</f>
        <v>SOMBREROS</v>
      </c>
      <c r="L205" s="5" t="str">
        <f ca="1">IFERROR(__xludf.DUMMYFUNCTION("GOOGLETRANSLATE(J205,""EN"",""ES"")"),"Gorros")</f>
        <v>Gorros</v>
      </c>
      <c r="M205" s="8" t="s">
        <v>9</v>
      </c>
      <c r="N205" s="8" t="s">
        <v>9</v>
      </c>
    </row>
    <row r="206" spans="1:14" ht="11.25" customHeight="1">
      <c r="A206" s="5" t="s">
        <v>345</v>
      </c>
      <c r="B206" s="5" t="s">
        <v>688</v>
      </c>
      <c r="C206" s="5" t="s">
        <v>698</v>
      </c>
      <c r="D206" s="5" t="s">
        <v>348</v>
      </c>
      <c r="E206" s="5" t="s">
        <v>7</v>
      </c>
      <c r="F206" s="5" t="s">
        <v>349</v>
      </c>
      <c r="G206" s="5" t="s">
        <v>350</v>
      </c>
      <c r="H206" s="5" t="s">
        <v>690</v>
      </c>
      <c r="I206" s="5" t="s">
        <v>699</v>
      </c>
      <c r="J206" s="5" t="s">
        <v>700</v>
      </c>
      <c r="K206" s="7" t="str">
        <f ca="1">IFERROR(__xludf.DUMMYFUNCTION("GOOGLETRANSLATE(H206,""EN"",""ES"")"),"SOMBREROS")</f>
        <v>SOMBREROS</v>
      </c>
      <c r="L206" s="5" t="str">
        <f ca="1">IFERROR(__xludf.DUMMYFUNCTION("GOOGLETRANSLATE(J206,""EN"",""ES"")"),"Gorros de baño")</f>
        <v>Gorros de baño</v>
      </c>
      <c r="M206" s="8" t="s">
        <v>9</v>
      </c>
      <c r="N206" s="8" t="s">
        <v>9</v>
      </c>
    </row>
    <row r="207" spans="1:14" ht="11.25" customHeight="1">
      <c r="A207" s="5" t="s">
        <v>345</v>
      </c>
      <c r="B207" s="5" t="s">
        <v>688</v>
      </c>
      <c r="C207" s="5" t="s">
        <v>701</v>
      </c>
      <c r="D207" s="5" t="s">
        <v>348</v>
      </c>
      <c r="E207" s="5" t="s">
        <v>7</v>
      </c>
      <c r="F207" s="5" t="s">
        <v>349</v>
      </c>
      <c r="G207" s="5" t="s">
        <v>350</v>
      </c>
      <c r="H207" s="5" t="s">
        <v>690</v>
      </c>
      <c r="I207" s="5" t="s">
        <v>702</v>
      </c>
      <c r="J207" s="5" t="s">
        <v>703</v>
      </c>
      <c r="K207" s="7" t="str">
        <f ca="1">IFERROR(__xludf.DUMMYFUNCTION("GOOGLETRANSLATE(H207,""EN"",""ES"")"),"SOMBREROS")</f>
        <v>SOMBREROS</v>
      </c>
      <c r="L207" s="5" t="str">
        <f ca="1">IFERROR(__xludf.DUMMYFUNCTION("GOOGLETRANSLATE(J207,""EN"",""ES"")"),"Cascos protectores")</f>
        <v>Cascos protectores</v>
      </c>
      <c r="M207" s="8" t="s">
        <v>9</v>
      </c>
      <c r="N207" s="8" t="s">
        <v>9</v>
      </c>
    </row>
    <row r="208" spans="1:14" ht="11.25" customHeight="1">
      <c r="A208" s="5" t="s">
        <v>345</v>
      </c>
      <c r="B208" s="5" t="s">
        <v>688</v>
      </c>
      <c r="C208" s="5" t="s">
        <v>704</v>
      </c>
      <c r="D208" s="5" t="s">
        <v>348</v>
      </c>
      <c r="E208" s="5" t="s">
        <v>7</v>
      </c>
      <c r="F208" s="5" t="s">
        <v>349</v>
      </c>
      <c r="G208" s="5" t="s">
        <v>350</v>
      </c>
      <c r="H208" s="5" t="s">
        <v>690</v>
      </c>
      <c r="I208" s="5" t="s">
        <v>705</v>
      </c>
      <c r="J208" s="5" t="s">
        <v>706</v>
      </c>
      <c r="K208" s="7" t="str">
        <f ca="1">IFERROR(__xludf.DUMMYFUNCTION("GOOGLETRANSLATE(H208,""EN"",""ES"")"),"SOMBREROS")</f>
        <v>SOMBREROS</v>
      </c>
      <c r="L208" s="5" t="str">
        <f ca="1">IFERROR(__xludf.DUMMYFUNCTION("GOOGLETRANSLATE(J208,""EN"",""ES"")"),"cascos de soldador")</f>
        <v>cascos de soldador</v>
      </c>
      <c r="M208" s="8" t="s">
        <v>9</v>
      </c>
      <c r="N208" s="8" t="s">
        <v>9</v>
      </c>
    </row>
    <row r="209" spans="1:14" ht="11.25" customHeight="1">
      <c r="A209" s="5" t="s">
        <v>345</v>
      </c>
      <c r="B209" s="5" t="s">
        <v>688</v>
      </c>
      <c r="C209" s="5" t="s">
        <v>707</v>
      </c>
      <c r="D209" s="5" t="s">
        <v>348</v>
      </c>
      <c r="E209" s="5" t="s">
        <v>7</v>
      </c>
      <c r="F209" s="5" t="s">
        <v>349</v>
      </c>
      <c r="G209" s="5" t="s">
        <v>350</v>
      </c>
      <c r="H209" s="5" t="s">
        <v>690</v>
      </c>
      <c r="I209" s="5" t="s">
        <v>708</v>
      </c>
      <c r="J209" s="5" t="s">
        <v>709</v>
      </c>
      <c r="K209" s="7" t="str">
        <f ca="1">IFERROR(__xludf.DUMMYFUNCTION("GOOGLETRANSLATE(H209,""EN"",""ES"")"),"SOMBREROS")</f>
        <v>SOMBREROS</v>
      </c>
      <c r="L209" s="5" t="str">
        <f ca="1">IFERROR(__xludf.DUMMYFUNCTION("GOOGLETRANSLATE(J209,""EN"",""ES"")"),"cascos militares")</f>
        <v>cascos militares</v>
      </c>
      <c r="M209" s="8" t="s">
        <v>9</v>
      </c>
      <c r="N209" s="8" t="s">
        <v>9</v>
      </c>
    </row>
    <row r="210" spans="1:14" ht="11.25" customHeight="1">
      <c r="A210" s="5" t="s">
        <v>345</v>
      </c>
      <c r="B210" s="5" t="s">
        <v>688</v>
      </c>
      <c r="C210" s="5" t="s">
        <v>710</v>
      </c>
      <c r="D210" s="5" t="s">
        <v>348</v>
      </c>
      <c r="E210" s="5" t="s">
        <v>7</v>
      </c>
      <c r="F210" s="5" t="s">
        <v>349</v>
      </c>
      <c r="G210" s="5" t="s">
        <v>350</v>
      </c>
      <c r="H210" s="5" t="s">
        <v>690</v>
      </c>
      <c r="I210" s="5" t="s">
        <v>711</v>
      </c>
      <c r="J210" s="5" t="s">
        <v>712</v>
      </c>
      <c r="K210" s="7" t="str">
        <f ca="1">IFERROR(__xludf.DUMMYFUNCTION("GOOGLETRANSLATE(H210,""EN"",""ES"")"),"SOMBREROS")</f>
        <v>SOMBREROS</v>
      </c>
      <c r="L210" s="5" t="str">
        <f ca="1">IFERROR(__xludf.DUMMYFUNCTION("GOOGLETRANSLATE(J210,""EN"",""ES"")"),"Gorras con visera")</f>
        <v>Gorras con visera</v>
      </c>
      <c r="M210" s="8" t="s">
        <v>9</v>
      </c>
      <c r="N210" s="8" t="s">
        <v>9</v>
      </c>
    </row>
    <row r="211" spans="1:14" ht="11.25" customHeight="1">
      <c r="A211" s="5" t="s">
        <v>345</v>
      </c>
      <c r="B211" s="5" t="s">
        <v>688</v>
      </c>
      <c r="C211" s="5" t="s">
        <v>713</v>
      </c>
      <c r="D211" s="5" t="s">
        <v>348</v>
      </c>
      <c r="E211" s="5" t="s">
        <v>7</v>
      </c>
      <c r="F211" s="5" t="s">
        <v>349</v>
      </c>
      <c r="G211" s="5" t="s">
        <v>350</v>
      </c>
      <c r="H211" s="5" t="s">
        <v>690</v>
      </c>
      <c r="I211" s="5" t="s">
        <v>714</v>
      </c>
      <c r="J211" s="5" t="s">
        <v>715</v>
      </c>
      <c r="K211" s="7" t="str">
        <f ca="1">IFERROR(__xludf.DUMMYFUNCTION("GOOGLETRANSLATE(H211,""EN"",""ES"")"),"SOMBREROS")</f>
        <v>SOMBREROS</v>
      </c>
      <c r="L211" s="5" t="str">
        <f ca="1">IFERROR(__xludf.DUMMYFUNCTION("GOOGLETRANSLATE(J211,""EN"",""ES"")"),"sombreros de carnaval")</f>
        <v>sombreros de carnaval</v>
      </c>
      <c r="M211" s="8" t="s">
        <v>9</v>
      </c>
      <c r="N211" s="8" t="s">
        <v>9</v>
      </c>
    </row>
    <row r="212" spans="1:14" ht="11.25" customHeight="1">
      <c r="A212" s="5" t="s">
        <v>345</v>
      </c>
      <c r="B212" s="5" t="s">
        <v>688</v>
      </c>
      <c r="C212" s="5" t="s">
        <v>716</v>
      </c>
      <c r="D212" s="5" t="s">
        <v>348</v>
      </c>
      <c r="E212" s="5" t="s">
        <v>7</v>
      </c>
      <c r="F212" s="5" t="s">
        <v>349</v>
      </c>
      <c r="G212" s="5" t="s">
        <v>350</v>
      </c>
      <c r="H212" s="5" t="s">
        <v>690</v>
      </c>
      <c r="I212" s="5" t="s">
        <v>717</v>
      </c>
      <c r="J212" s="5" t="s">
        <v>718</v>
      </c>
      <c r="K212" s="7" t="str">
        <f ca="1">IFERROR(__xludf.DUMMYFUNCTION("GOOGLETRANSLATE(H212,""EN"",""ES"")"),"SOMBREROS")</f>
        <v>SOMBREROS</v>
      </c>
      <c r="L212" s="5" t="str">
        <f ca="1">IFERROR(__xludf.DUMMYFUNCTION("GOOGLETRANSLATE(J212,""EN"",""ES"")"),"Sombreros")</f>
        <v>Sombreros</v>
      </c>
      <c r="M212" s="8" t="s">
        <v>9</v>
      </c>
      <c r="N212" s="8" t="s">
        <v>9</v>
      </c>
    </row>
    <row r="213" spans="1:14" ht="11.25" customHeight="1">
      <c r="A213" s="5" t="s">
        <v>345</v>
      </c>
      <c r="B213" s="5" t="s">
        <v>688</v>
      </c>
      <c r="C213" s="5" t="s">
        <v>716</v>
      </c>
      <c r="D213" s="5" t="s">
        <v>348</v>
      </c>
      <c r="E213" s="5" t="s">
        <v>7</v>
      </c>
      <c r="F213" s="5" t="s">
        <v>349</v>
      </c>
      <c r="G213" s="5" t="s">
        <v>350</v>
      </c>
      <c r="H213" s="5" t="s">
        <v>690</v>
      </c>
      <c r="I213" s="5" t="s">
        <v>152</v>
      </c>
      <c r="J213" s="5" t="s">
        <v>719</v>
      </c>
      <c r="K213" s="7" t="str">
        <f ca="1">IFERROR(__xludf.DUMMYFUNCTION("GOOGLETRANSLATE(H213,""EN"",""ES"")"),"SOMBREROS")</f>
        <v>SOMBREROS</v>
      </c>
      <c r="L213" s="5" t="str">
        <f ca="1">IFERROR(__xludf.DUMMYFUNCTION("GOOGLETRANSLATE(J213,""EN"",""ES"")"),"N / A")</f>
        <v>N / A</v>
      </c>
      <c r="M213" s="8" t="s">
        <v>9</v>
      </c>
      <c r="N213" s="8" t="s">
        <v>9</v>
      </c>
    </row>
    <row r="214" spans="1:14" ht="11.25" customHeight="1">
      <c r="A214" s="5" t="s">
        <v>345</v>
      </c>
      <c r="B214" s="5" t="s">
        <v>688</v>
      </c>
      <c r="C214" s="5" t="s">
        <v>716</v>
      </c>
      <c r="D214" s="5" t="s">
        <v>348</v>
      </c>
      <c r="E214" s="5" t="s">
        <v>7</v>
      </c>
      <c r="F214" s="5" t="s">
        <v>349</v>
      </c>
      <c r="G214" s="5" t="s">
        <v>350</v>
      </c>
      <c r="H214" s="5" t="s">
        <v>690</v>
      </c>
      <c r="I214" s="5" t="s">
        <v>152</v>
      </c>
      <c r="J214" s="5" t="s">
        <v>720</v>
      </c>
      <c r="K214" s="7" t="str">
        <f ca="1">IFERROR(__xludf.DUMMYFUNCTION("GOOGLETRANSLATE(H214,""EN"",""ES"")"),"SOMBREROS")</f>
        <v>SOMBREROS</v>
      </c>
      <c r="L214" s="5" t="str">
        <f ca="1">IFERROR(__xludf.DUMMYFUNCTION("GOOGLETRANSLATE(J214,""EN"",""ES"")"),"N / A")</f>
        <v>N / A</v>
      </c>
      <c r="M214" s="8" t="s">
        <v>9</v>
      </c>
      <c r="N214" s="8" t="s">
        <v>9</v>
      </c>
    </row>
    <row r="215" spans="1:14" ht="11.25" customHeight="1">
      <c r="A215" s="5" t="s">
        <v>345</v>
      </c>
      <c r="B215" s="5" t="s">
        <v>688</v>
      </c>
      <c r="C215" s="5" t="s">
        <v>721</v>
      </c>
      <c r="D215" s="5" t="s">
        <v>348</v>
      </c>
      <c r="E215" s="5" t="s">
        <v>7</v>
      </c>
      <c r="F215" s="5" t="s">
        <v>349</v>
      </c>
      <c r="G215" s="5" t="s">
        <v>350</v>
      </c>
      <c r="H215" s="5" t="s">
        <v>690</v>
      </c>
      <c r="I215" s="5" t="s">
        <v>722</v>
      </c>
      <c r="J215" s="5" t="s">
        <v>723</v>
      </c>
      <c r="K215" s="7" t="str">
        <f ca="1">IFERROR(__xludf.DUMMYFUNCTION("GOOGLETRANSLATE(H215,""EN"",""ES"")"),"SOMBREROS")</f>
        <v>SOMBREROS</v>
      </c>
      <c r="L215" s="5" t="str">
        <f ca="1">IFERROR(__xludf.DUMMYFUNCTION("GOOGLETRANSLATE(J215,""EN"",""ES"")"),"sombras de ojos")</f>
        <v>sombras de ojos</v>
      </c>
      <c r="M215" s="8" t="s">
        <v>9</v>
      </c>
      <c r="N215" s="8" t="s">
        <v>9</v>
      </c>
    </row>
    <row r="216" spans="1:14" ht="11.25" customHeight="1">
      <c r="A216" s="5" t="s">
        <v>345</v>
      </c>
      <c r="B216" s="5" t="s">
        <v>688</v>
      </c>
      <c r="C216" s="5" t="s">
        <v>724</v>
      </c>
      <c r="D216" s="5" t="s">
        <v>348</v>
      </c>
      <c r="E216" s="5" t="s">
        <v>7</v>
      </c>
      <c r="F216" s="5" t="s">
        <v>349</v>
      </c>
      <c r="G216" s="5" t="s">
        <v>350</v>
      </c>
      <c r="H216" s="5" t="s">
        <v>690</v>
      </c>
      <c r="I216" s="5" t="s">
        <v>725</v>
      </c>
      <c r="J216" s="5" t="s">
        <v>726</v>
      </c>
      <c r="K216" s="7" t="str">
        <f ca="1">IFERROR(__xludf.DUMMYFUNCTION("GOOGLETRANSLATE(H216,""EN"",""ES"")"),"SOMBREROS")</f>
        <v>SOMBREROS</v>
      </c>
      <c r="L216" s="5" t="str">
        <f ca="1">IFERROR(__xludf.DUMMYFUNCTION("GOOGLETRANSLATE(J216,""EN"",""ES"")"),"quepis")</f>
        <v>quepis</v>
      </c>
      <c r="M216" s="8" t="s">
        <v>9</v>
      </c>
      <c r="N216" s="8" t="s">
        <v>9</v>
      </c>
    </row>
    <row r="217" spans="1:14" ht="11.25" customHeight="1">
      <c r="A217" s="5" t="s">
        <v>345</v>
      </c>
      <c r="B217" s="5" t="s">
        <v>688</v>
      </c>
      <c r="C217" s="5" t="s">
        <v>727</v>
      </c>
      <c r="D217" s="5" t="s">
        <v>348</v>
      </c>
      <c r="E217" s="5" t="s">
        <v>7</v>
      </c>
      <c r="F217" s="5" t="s">
        <v>349</v>
      </c>
      <c r="G217" s="5" t="s">
        <v>350</v>
      </c>
      <c r="H217" s="5" t="s">
        <v>690</v>
      </c>
      <c r="I217" s="5" t="s">
        <v>728</v>
      </c>
      <c r="J217" s="5" t="s">
        <v>729</v>
      </c>
      <c r="K217" s="7" t="str">
        <f ca="1">IFERROR(__xludf.DUMMYFUNCTION("GOOGLETRANSLATE(H217,""EN"",""ES"")"),"SOMBREROS")</f>
        <v>SOMBREROS</v>
      </c>
      <c r="L217" s="5" t="str">
        <f ca="1">IFERROR(__xludf.DUMMYFUNCTION("GOOGLETRANSLATE(J217,""EN"",""ES"")"),"Orejeras")</f>
        <v>Orejeras</v>
      </c>
      <c r="M217" s="8" t="s">
        <v>9</v>
      </c>
      <c r="N217" s="8" t="s">
        <v>9</v>
      </c>
    </row>
    <row r="218" spans="1:14" ht="11.25" customHeight="1">
      <c r="A218" s="5" t="s">
        <v>345</v>
      </c>
      <c r="B218" s="5" t="s">
        <v>688</v>
      </c>
      <c r="C218" s="5" t="s">
        <v>730</v>
      </c>
      <c r="D218" s="5" t="s">
        <v>348</v>
      </c>
      <c r="E218" s="5" t="s">
        <v>7</v>
      </c>
      <c r="F218" s="5" t="s">
        <v>349</v>
      </c>
      <c r="G218" s="5" t="s">
        <v>350</v>
      </c>
      <c r="H218" s="5" t="s">
        <v>690</v>
      </c>
      <c r="I218" s="5" t="s">
        <v>731</v>
      </c>
      <c r="J218" s="5" t="s">
        <v>731</v>
      </c>
      <c r="K218" s="7" t="str">
        <f ca="1">IFERROR(__xludf.DUMMYFUNCTION("GOOGLETRANSLATE(H218,""EN"",""ES"")"),"SOMBREROS")</f>
        <v>SOMBREROS</v>
      </c>
      <c r="L218" s="5" t="str">
        <f ca="1">IFERROR(__xludf.DUMMYFUNCTION("GOOGLETRANSLATE(J218,""EN"",""ES"")"),"toques")</f>
        <v>toques</v>
      </c>
      <c r="M218" s="8" t="s">
        <v>9</v>
      </c>
      <c r="N218" s="8" t="s">
        <v>9</v>
      </c>
    </row>
    <row r="219" spans="1:14" ht="11.25" customHeight="1">
      <c r="A219" s="5" t="s">
        <v>345</v>
      </c>
      <c r="B219" s="5" t="s">
        <v>688</v>
      </c>
      <c r="C219" s="5" t="s">
        <v>732</v>
      </c>
      <c r="D219" s="5" t="s">
        <v>348</v>
      </c>
      <c r="E219" s="5" t="s">
        <v>7</v>
      </c>
      <c r="F219" s="5" t="s">
        <v>349</v>
      </c>
      <c r="G219" s="5" t="s">
        <v>350</v>
      </c>
      <c r="H219" s="5" t="s">
        <v>690</v>
      </c>
      <c r="I219" s="5" t="s">
        <v>733</v>
      </c>
      <c r="J219" s="5" t="s">
        <v>733</v>
      </c>
      <c r="K219" s="7" t="str">
        <f ca="1">IFERROR(__xludf.DUMMYFUNCTION("GOOGLETRANSLATE(H219,""EN"",""ES"")"),"SOMBREROS")</f>
        <v>SOMBREROS</v>
      </c>
      <c r="L219" s="5" t="str">
        <f ca="1">IFERROR(__xludf.DUMMYFUNCTION("GOOGLETRANSLATE(J219,""EN"",""ES"")"),"turbantes")</f>
        <v>turbantes</v>
      </c>
      <c r="M219" s="8" t="s">
        <v>9</v>
      </c>
      <c r="N219" s="8" t="s">
        <v>9</v>
      </c>
    </row>
    <row r="220" spans="1:14" ht="11.25" customHeight="1">
      <c r="A220" s="5" t="s">
        <v>345</v>
      </c>
      <c r="B220" s="5" t="s">
        <v>688</v>
      </c>
      <c r="C220" s="5" t="s">
        <v>734</v>
      </c>
      <c r="D220" s="5" t="s">
        <v>348</v>
      </c>
      <c r="E220" s="5" t="s">
        <v>7</v>
      </c>
      <c r="F220" s="5" t="s">
        <v>349</v>
      </c>
      <c r="G220" s="5" t="s">
        <v>350</v>
      </c>
      <c r="H220" s="5" t="s">
        <v>690</v>
      </c>
      <c r="I220" s="5" t="s">
        <v>735</v>
      </c>
      <c r="J220" s="5" t="s">
        <v>736</v>
      </c>
      <c r="K220" s="7" t="str">
        <f ca="1">IFERROR(__xludf.DUMMYFUNCTION("GOOGLETRANSLATE(H220,""EN"",""ES"")"),"SOMBREROS")</f>
        <v>SOMBREROS</v>
      </c>
      <c r="L220" s="5" t="str">
        <f ca="1">IFERROR(__xludf.DUMMYFUNCTION("GOOGLETRANSLATE(J220,""EN"",""ES"")"),"Pantallas antideslumbrantes para fijación al casco.")</f>
        <v>Pantallas antideslumbrantes para fijación al casco.</v>
      </c>
      <c r="M220" s="8" t="s">
        <v>9</v>
      </c>
      <c r="N220" s="8" t="s">
        <v>9</v>
      </c>
    </row>
    <row r="221" spans="1:14" ht="11.25" customHeight="1">
      <c r="A221" s="5" t="s">
        <v>345</v>
      </c>
      <c r="B221" s="5" t="s">
        <v>688</v>
      </c>
      <c r="C221" s="5" t="s">
        <v>737</v>
      </c>
      <c r="D221" s="5" t="s">
        <v>348</v>
      </c>
      <c r="E221" s="5" t="s">
        <v>7</v>
      </c>
      <c r="F221" s="5" t="s">
        <v>349</v>
      </c>
      <c r="G221" s="5" t="s">
        <v>350</v>
      </c>
      <c r="H221" s="5" t="s">
        <v>690</v>
      </c>
      <c r="I221" s="5" t="s">
        <v>738</v>
      </c>
      <c r="J221" s="5" t="s">
        <v>739</v>
      </c>
      <c r="K221" s="7" t="str">
        <f ca="1">IFERROR(__xludf.DUMMYFUNCTION("GOOGLETRANSLATE(H221,""EN"",""ES"")"),"SOMBREROS")</f>
        <v>SOMBREROS</v>
      </c>
      <c r="L221" s="5" t="str">
        <f ca="1">IFERROR(__xludf.DUMMYFUNCTION("GOOGLETRANSLATE(J221,""EN"",""ES"")"),"Picos para tocados")</f>
        <v>Picos para tocados</v>
      </c>
      <c r="M221" s="8" t="s">
        <v>9</v>
      </c>
      <c r="N221" s="8" t="s">
        <v>9</v>
      </c>
    </row>
    <row r="222" spans="1:14" ht="11.25" customHeight="1">
      <c r="A222" s="5" t="s">
        <v>345</v>
      </c>
      <c r="B222" s="5" t="s">
        <v>688</v>
      </c>
      <c r="C222" s="5" t="s">
        <v>740</v>
      </c>
      <c r="D222" s="5" t="s">
        <v>348</v>
      </c>
      <c r="E222" s="5" t="s">
        <v>7</v>
      </c>
      <c r="F222" s="5" t="s">
        <v>349</v>
      </c>
      <c r="G222" s="5" t="s">
        <v>350</v>
      </c>
      <c r="H222" s="5" t="s">
        <v>690</v>
      </c>
      <c r="I222" s="5" t="s">
        <v>741</v>
      </c>
      <c r="J222" s="5" t="s">
        <v>742</v>
      </c>
      <c r="K222" s="7" t="str">
        <f ca="1">IFERROR(__xludf.DUMMYFUNCTION("GOOGLETRANSLATE(H222,""EN"",""ES"")"),"SOMBREROS")</f>
        <v>SOMBREROS</v>
      </c>
      <c r="L222" s="5" t="str">
        <f ca="1">IFERROR(__xludf.DUMMYFUNCTION("GOOGLETRANSLATE(J222,""EN"",""ES"")"),"cascos de buzos")</f>
        <v>cascos de buzos</v>
      </c>
      <c r="M222" s="8" t="s">
        <v>9</v>
      </c>
      <c r="N222" s="8" t="s">
        <v>9</v>
      </c>
    </row>
    <row r="223" spans="1:14" ht="11.25" customHeight="1">
      <c r="A223" s="5" t="s">
        <v>345</v>
      </c>
      <c r="B223" s="5" t="s">
        <v>688</v>
      </c>
      <c r="C223" s="5" t="s">
        <v>743</v>
      </c>
      <c r="D223" s="5" t="s">
        <v>348</v>
      </c>
      <c r="E223" s="5" t="s">
        <v>7</v>
      </c>
      <c r="F223" s="5" t="s">
        <v>349</v>
      </c>
      <c r="G223" s="5" t="s">
        <v>350</v>
      </c>
      <c r="H223" s="5" t="s">
        <v>690</v>
      </c>
      <c r="I223" s="5" t="s">
        <v>744</v>
      </c>
      <c r="J223" s="5" t="s">
        <v>745</v>
      </c>
      <c r="K223" s="7" t="str">
        <f ca="1">IFERROR(__xludf.DUMMYFUNCTION("GOOGLETRANSLATE(H223,""EN"",""ES"")"),"SOMBREROS")</f>
        <v>SOMBREROS</v>
      </c>
      <c r="L223" s="5" t="str">
        <f ca="1">IFERROR(__xludf.DUMMYFUNCTION("GOOGLETRANSLATE(J223,""EN"",""ES"")"),"Capuchas [sombreros]")</f>
        <v>Capuchas [sombreros]</v>
      </c>
      <c r="M223" s="8" t="s">
        <v>9</v>
      </c>
      <c r="N223" s="8" t="s">
        <v>9</v>
      </c>
    </row>
    <row r="224" spans="1:14" ht="11.25" customHeight="1">
      <c r="A224" s="5" t="s">
        <v>345</v>
      </c>
      <c r="B224" s="5" t="s">
        <v>688</v>
      </c>
      <c r="C224" s="5" t="s">
        <v>746</v>
      </c>
      <c r="D224" s="5" t="s">
        <v>348</v>
      </c>
      <c r="E224" s="5" t="s">
        <v>7</v>
      </c>
      <c r="F224" s="5" t="s">
        <v>349</v>
      </c>
      <c r="G224" s="5" t="s">
        <v>350</v>
      </c>
      <c r="H224" s="5" t="s">
        <v>690</v>
      </c>
      <c r="I224" s="5" t="s">
        <v>747</v>
      </c>
      <c r="J224" s="5" t="s">
        <v>748</v>
      </c>
      <c r="K224" s="7" t="str">
        <f ca="1">IFERROR(__xludf.DUMMYFUNCTION("GOOGLETRANSLATE(H224,""EN"",""ES"")"),"SOMBREROS")</f>
        <v>SOMBREROS</v>
      </c>
      <c r="L224" s="5" t="str">
        <f ca="1">IFERROR(__xludf.DUMMYFUNCTION("GOOGLETRANSLATE(J224,""EN"",""ES"")"),"Casco para protegerse contra las picaduras de insectos.")</f>
        <v>Casco para protegerse contra las picaduras de insectos.</v>
      </c>
      <c r="M224" s="8" t="s">
        <v>9</v>
      </c>
      <c r="N224" s="8" t="s">
        <v>9</v>
      </c>
    </row>
    <row r="225" spans="1:14" ht="11.25" customHeight="1">
      <c r="A225" s="5" t="s">
        <v>345</v>
      </c>
      <c r="B225" s="5" t="s">
        <v>688</v>
      </c>
      <c r="C225" s="5" t="s">
        <v>749</v>
      </c>
      <c r="D225" s="5" t="s">
        <v>348</v>
      </c>
      <c r="E225" s="5" t="s">
        <v>7</v>
      </c>
      <c r="F225" s="5" t="s">
        <v>349</v>
      </c>
      <c r="G225" s="5" t="s">
        <v>350</v>
      </c>
      <c r="H225" s="5" t="s">
        <v>690</v>
      </c>
      <c r="I225" s="5" t="s">
        <v>750</v>
      </c>
      <c r="J225" s="5" t="s">
        <v>751</v>
      </c>
      <c r="K225" s="7" t="str">
        <f ca="1">IFERROR(__xludf.DUMMYFUNCTION("GOOGLETRANSLATE(H225,""EN"",""ES"")"),"SOMBREROS")</f>
        <v>SOMBREROS</v>
      </c>
      <c r="L225" s="5" t="str">
        <f ca="1">IFERROR(__xludf.DUMMYFUNCTION("GOOGLETRANSLATE(J225,""EN"",""ES"")"),"Diademas")</f>
        <v>Diademas</v>
      </c>
      <c r="M225" s="8" t="s">
        <v>9</v>
      </c>
      <c r="N225" s="8" t="s">
        <v>9</v>
      </c>
    </row>
    <row r="226" spans="1:14" ht="11.25" customHeight="1">
      <c r="A226" s="5" t="s">
        <v>345</v>
      </c>
      <c r="B226" s="5" t="s">
        <v>688</v>
      </c>
      <c r="C226" s="5" t="s">
        <v>752</v>
      </c>
      <c r="D226" s="5" t="s">
        <v>348</v>
      </c>
      <c r="E226" s="5" t="s">
        <v>7</v>
      </c>
      <c r="F226" s="5" t="s">
        <v>349</v>
      </c>
      <c r="G226" s="5" t="s">
        <v>350</v>
      </c>
      <c r="H226" s="5" t="s">
        <v>690</v>
      </c>
      <c r="I226" s="5" t="s">
        <v>753</v>
      </c>
      <c r="J226" s="5" t="s">
        <v>754</v>
      </c>
      <c r="K226" s="7" t="str">
        <f ca="1">IFERROR(__xludf.DUMMYFUNCTION("GOOGLETRANSLATE(H226,""EN"",""ES"")"),"SOMBREROS")</f>
        <v>SOMBREROS</v>
      </c>
      <c r="L226" s="5" t="str">
        <f ca="1">IFERROR(__xludf.DUMMYFUNCTION("GOOGLETRANSLATE(J226,""EN"",""ES"")"),"Sombreros")</f>
        <v>Sombreros</v>
      </c>
      <c r="M226" s="8" t="s">
        <v>9</v>
      </c>
      <c r="N226" s="8" t="s">
        <v>9</v>
      </c>
    </row>
    <row r="227" spans="1:14" ht="11.25" customHeight="1">
      <c r="A227" s="5" t="s">
        <v>345</v>
      </c>
      <c r="B227" s="5" t="s">
        <v>688</v>
      </c>
      <c r="C227" s="5" t="s">
        <v>755</v>
      </c>
      <c r="D227" s="5" t="s">
        <v>348</v>
      </c>
      <c r="E227" s="5" t="s">
        <v>7</v>
      </c>
      <c r="F227" s="5" t="s">
        <v>349</v>
      </c>
      <c r="G227" s="5" t="s">
        <v>350</v>
      </c>
      <c r="H227" s="5" t="s">
        <v>690</v>
      </c>
      <c r="I227" s="5" t="s">
        <v>756</v>
      </c>
      <c r="J227" s="5" t="s">
        <v>757</v>
      </c>
      <c r="K227" s="7" t="str">
        <f ca="1">IFERROR(__xludf.DUMMYFUNCTION("GOOGLETRANSLATE(H227,""EN"",""ES"")"),"SOMBREROS")</f>
        <v>SOMBREROS</v>
      </c>
      <c r="L227" s="5" t="str">
        <f ca="1">IFERROR(__xludf.DUMMYFUNCTION("GOOGLETRANSLATE(J227,""EN"",""ES"")"),"Spoilers para cascos de moto")</f>
        <v>Spoilers para cascos de moto</v>
      </c>
      <c r="M227" s="8" t="s">
        <v>9</v>
      </c>
      <c r="N227" s="8" t="s">
        <v>9</v>
      </c>
    </row>
    <row r="228" spans="1:14" ht="11.25" customHeight="1">
      <c r="A228" s="5" t="s">
        <v>345</v>
      </c>
      <c r="B228" s="5" t="s">
        <v>688</v>
      </c>
      <c r="C228" s="5" t="s">
        <v>758</v>
      </c>
      <c r="D228" s="5" t="s">
        <v>348</v>
      </c>
      <c r="E228" s="5" t="s">
        <v>7</v>
      </c>
      <c r="F228" s="5" t="s">
        <v>349</v>
      </c>
      <c r="G228" s="5" t="s">
        <v>350</v>
      </c>
      <c r="H228" s="5" t="s">
        <v>690</v>
      </c>
      <c r="I228" s="5" t="s">
        <v>759</v>
      </c>
      <c r="J228" s="5" t="s">
        <v>760</v>
      </c>
      <c r="K228" s="7" t="str">
        <f ca="1">IFERROR(__xludf.DUMMYFUNCTION("GOOGLETRANSLATE(H228,""EN"",""ES"")"),"SOMBREROS")</f>
        <v>SOMBREROS</v>
      </c>
      <c r="L228" s="5" t="str">
        <f ca="1">IFERROR(__xludf.DUMMYFUNCTION("GOOGLETRANSLATE(J228,""EN"",""ES"")"),"Gorros de punto")</f>
        <v>Gorros de punto</v>
      </c>
      <c r="M228" s="8" t="s">
        <v>9</v>
      </c>
      <c r="N228" s="8" t="s">
        <v>9</v>
      </c>
    </row>
    <row r="229" spans="1:14" ht="11.25" customHeight="1">
      <c r="A229" s="5" t="s">
        <v>345</v>
      </c>
      <c r="B229" s="5" t="s">
        <v>688</v>
      </c>
      <c r="C229" s="5" t="s">
        <v>761</v>
      </c>
      <c r="D229" s="5" t="s">
        <v>348</v>
      </c>
      <c r="E229" s="5" t="s">
        <v>7</v>
      </c>
      <c r="F229" s="5" t="s">
        <v>349</v>
      </c>
      <c r="G229" s="5" t="s">
        <v>350</v>
      </c>
      <c r="H229" s="5" t="s">
        <v>690</v>
      </c>
      <c r="I229" s="5" t="s">
        <v>762</v>
      </c>
      <c r="J229" s="5" t="s">
        <v>763</v>
      </c>
      <c r="K229" s="7" t="str">
        <f ca="1">IFERROR(__xludf.DUMMYFUNCTION("GOOGLETRANSLATE(H229,""EN"",""ES"")"),"SOMBREROS")</f>
        <v>SOMBREROS</v>
      </c>
      <c r="L229" s="5" t="str">
        <f ca="1">IFERROR(__xludf.DUMMYFUNCTION("GOOGLETRANSLATE(J229,""EN"",""ES"")"),"cascos de moto")</f>
        <v>cascos de moto</v>
      </c>
      <c r="M229" s="8" t="s">
        <v>9</v>
      </c>
      <c r="N229" s="8" t="s">
        <v>88</v>
      </c>
    </row>
    <row r="230" spans="1:14" ht="11.25" customHeight="1">
      <c r="A230" s="5" t="s">
        <v>345</v>
      </c>
      <c r="B230" s="5" t="s">
        <v>688</v>
      </c>
      <c r="C230" s="5" t="s">
        <v>764</v>
      </c>
      <c r="D230" s="5" t="s">
        <v>348</v>
      </c>
      <c r="E230" s="5" t="s">
        <v>7</v>
      </c>
      <c r="F230" s="5" t="s">
        <v>349</v>
      </c>
      <c r="G230" s="5" t="s">
        <v>350</v>
      </c>
      <c r="H230" s="5" t="s">
        <v>690</v>
      </c>
      <c r="I230" s="5" t="s">
        <v>765</v>
      </c>
      <c r="J230" s="5" t="s">
        <v>766</v>
      </c>
      <c r="K230" s="7" t="str">
        <f ca="1">IFERROR(__xludf.DUMMYFUNCTION("GOOGLETRANSLATE(H230,""EN"",""ES"")"),"SOMBREROS")</f>
        <v>SOMBREROS</v>
      </c>
      <c r="L230" s="5" t="str">
        <f ca="1">IFERROR(__xludf.DUMMYFUNCTION("GOOGLETRANSLATE(J230,""EN"",""ES"")"),"cascos de bicicleta")</f>
        <v>cascos de bicicleta</v>
      </c>
      <c r="M230" s="8" t="s">
        <v>9</v>
      </c>
      <c r="N230" s="8" t="s">
        <v>88</v>
      </c>
    </row>
    <row r="231" spans="1:14" ht="11.25" customHeight="1">
      <c r="A231" s="5" t="s">
        <v>345</v>
      </c>
      <c r="B231" s="5" t="s">
        <v>688</v>
      </c>
      <c r="C231" s="5" t="s">
        <v>767</v>
      </c>
      <c r="D231" s="5" t="s">
        <v>348</v>
      </c>
      <c r="E231" s="5" t="s">
        <v>7</v>
      </c>
      <c r="F231" s="5" t="s">
        <v>349</v>
      </c>
      <c r="G231" s="5" t="s">
        <v>350</v>
      </c>
      <c r="H231" s="5" t="s">
        <v>690</v>
      </c>
      <c r="I231" s="5" t="s">
        <v>768</v>
      </c>
      <c r="J231" s="5" t="s">
        <v>769</v>
      </c>
      <c r="K231" s="7" t="str">
        <f ca="1">IFERROR(__xludf.DUMMYFUNCTION("GOOGLETRANSLATE(H231,""EN"",""ES"")"),"SOMBREROS")</f>
        <v>SOMBREROS</v>
      </c>
      <c r="L231" s="5" t="str">
        <f ca="1">IFERROR(__xludf.DUMMYFUNCTION("GOOGLETRANSLATE(J231,""EN"",""ES"")"),"Pasamontañas")</f>
        <v>Pasamontañas</v>
      </c>
      <c r="M231" s="8" t="s">
        <v>9</v>
      </c>
      <c r="N231" s="8" t="s">
        <v>9</v>
      </c>
    </row>
    <row r="232" spans="1:14" ht="11.25" customHeight="1">
      <c r="A232" s="5" t="s">
        <v>345</v>
      </c>
      <c r="B232" s="5" t="s">
        <v>770</v>
      </c>
      <c r="C232" s="5" t="s">
        <v>771</v>
      </c>
      <c r="D232" s="5" t="s">
        <v>348</v>
      </c>
      <c r="E232" s="5" t="s">
        <v>7</v>
      </c>
      <c r="F232" s="5" t="s">
        <v>349</v>
      </c>
      <c r="G232" s="5" t="s">
        <v>350</v>
      </c>
      <c r="H232" s="5" t="s">
        <v>772</v>
      </c>
      <c r="I232" s="5" t="s">
        <v>773</v>
      </c>
      <c r="J232" s="5" t="s">
        <v>774</v>
      </c>
      <c r="K232" s="7" t="str">
        <f ca="1">IFERROR(__xludf.DUMMYFUNCTION("GOOGLETRANSLATE(H232,""EN"",""ES"")"),"CALZADO, CALCETINES Y MEDIAS")</f>
        <v>CALZADO, CALCETINES Y MEDIAS</v>
      </c>
      <c r="L232" s="5" t="str">
        <f ca="1">IFERROR(__xludf.DUMMYFUNCTION("GOOGLETRANSLATE(J232,""EN"",""ES"")"),"zapatillas de ballet")</f>
        <v>zapatillas de ballet</v>
      </c>
      <c r="M232" s="8" t="s">
        <v>8</v>
      </c>
      <c r="N232" s="8" t="s">
        <v>8</v>
      </c>
    </row>
    <row r="233" spans="1:14" ht="11.25" customHeight="1">
      <c r="A233" s="5" t="s">
        <v>345</v>
      </c>
      <c r="B233" s="5" t="s">
        <v>770</v>
      </c>
      <c r="C233" s="5" t="s">
        <v>775</v>
      </c>
      <c r="D233" s="5" t="s">
        <v>348</v>
      </c>
      <c r="E233" s="5" t="s">
        <v>7</v>
      </c>
      <c r="F233" s="5" t="s">
        <v>349</v>
      </c>
      <c r="G233" s="5" t="s">
        <v>350</v>
      </c>
      <c r="H233" s="5" t="s">
        <v>772</v>
      </c>
      <c r="I233" s="5" t="s">
        <v>776</v>
      </c>
      <c r="J233" s="5" t="s">
        <v>777</v>
      </c>
      <c r="K233" s="7" t="str">
        <f ca="1">IFERROR(__xludf.DUMMYFUNCTION("GOOGLETRANSLATE(H233,""EN"",""ES"")"),"CALZADO, CALCETINES Y MEDIAS")</f>
        <v>CALZADO, CALCETINES Y MEDIAS</v>
      </c>
      <c r="L233" s="5" t="str">
        <f ca="1">IFERROR(__xludf.DUMMYFUNCTION("GOOGLETRANSLATE(J233,""EN"",""ES"")"),"medias")</f>
        <v>medias</v>
      </c>
      <c r="M233" s="8" t="s">
        <v>8</v>
      </c>
      <c r="N233" s="8" t="s">
        <v>8</v>
      </c>
    </row>
    <row r="234" spans="1:14" ht="11.25" customHeight="1">
      <c r="A234" s="5" t="s">
        <v>345</v>
      </c>
      <c r="B234" s="5" t="s">
        <v>770</v>
      </c>
      <c r="C234" s="5" t="s">
        <v>778</v>
      </c>
      <c r="D234" s="5" t="s">
        <v>348</v>
      </c>
      <c r="E234" s="5" t="s">
        <v>7</v>
      </c>
      <c r="F234" s="5" t="s">
        <v>349</v>
      </c>
      <c r="G234" s="5" t="s">
        <v>350</v>
      </c>
      <c r="H234" s="5" t="s">
        <v>772</v>
      </c>
      <c r="I234" s="5" t="s">
        <v>779</v>
      </c>
      <c r="J234" s="5" t="s">
        <v>780</v>
      </c>
      <c r="K234" s="7" t="str">
        <f ca="1">IFERROR(__xludf.DUMMYFUNCTION("GOOGLETRANSLATE(H234,""EN"",""ES"")"),"CALZADO, CALCETINES Y MEDIAS")</f>
        <v>CALZADO, CALCETINES Y MEDIAS</v>
      </c>
      <c r="L234" s="5" t="str">
        <f ca="1">IFERROR(__xludf.DUMMYFUNCTION("GOOGLETRANSLATE(J234,""EN"",""ES"")"),"pantimedias")</f>
        <v>pantimedias</v>
      </c>
      <c r="M234" s="8" t="s">
        <v>8</v>
      </c>
      <c r="N234" s="8" t="s">
        <v>8</v>
      </c>
    </row>
    <row r="235" spans="1:14" ht="11.25" customHeight="1">
      <c r="A235" s="5" t="s">
        <v>345</v>
      </c>
      <c r="B235" s="5" t="s">
        <v>770</v>
      </c>
      <c r="C235" s="5" t="s">
        <v>778</v>
      </c>
      <c r="D235" s="5" t="s">
        <v>348</v>
      </c>
      <c r="E235" s="5" t="s">
        <v>7</v>
      </c>
      <c r="F235" s="5" t="s">
        <v>349</v>
      </c>
      <c r="G235" s="5" t="s">
        <v>350</v>
      </c>
      <c r="H235" s="5" t="s">
        <v>772</v>
      </c>
      <c r="I235" s="5" t="s">
        <v>781</v>
      </c>
      <c r="J235" s="5" t="s">
        <v>152</v>
      </c>
      <c r="K235" s="7" t="str">
        <f ca="1">IFERROR(__xludf.DUMMYFUNCTION("GOOGLETRANSLATE(H235,""EN"",""ES"")"),"CALZADO, CALCETINES Y MEDIAS")</f>
        <v>CALZADO, CALCETINES Y MEDIAS</v>
      </c>
      <c r="L235" s="5" t="str">
        <f ca="1">IFERROR(__xludf.DUMMYFUNCTION("GOOGLETRANSLATE(J235,""EN"",""ES"")"),"Medias")</f>
        <v>Medias</v>
      </c>
      <c r="M235" s="8" t="s">
        <v>8</v>
      </c>
      <c r="N235" s="8" t="s">
        <v>8</v>
      </c>
    </row>
    <row r="236" spans="1:14" ht="11.25" customHeight="1">
      <c r="A236" s="5" t="s">
        <v>345</v>
      </c>
      <c r="B236" s="5" t="s">
        <v>770</v>
      </c>
      <c r="C236" s="5" t="s">
        <v>782</v>
      </c>
      <c r="D236" s="5" t="s">
        <v>348</v>
      </c>
      <c r="E236" s="5" t="s">
        <v>7</v>
      </c>
      <c r="F236" s="5" t="s">
        <v>349</v>
      </c>
      <c r="G236" s="5" t="s">
        <v>350</v>
      </c>
      <c r="H236" s="5" t="s">
        <v>772</v>
      </c>
      <c r="I236" s="5" t="s">
        <v>783</v>
      </c>
      <c r="J236" s="5" t="s">
        <v>784</v>
      </c>
      <c r="K236" s="7" t="str">
        <f ca="1">IFERROR(__xludf.DUMMYFUNCTION("GOOGLETRANSLATE(H236,""EN"",""ES"")"),"CALZADO, CALCETINES Y MEDIAS")</f>
        <v>CALZADO, CALCETINES Y MEDIAS</v>
      </c>
      <c r="L236" s="5" t="str">
        <f ca="1">IFERROR(__xludf.DUMMYFUNCTION("GOOGLETRANSLATE(J236,""EN"",""ES"")"),"Botas")</f>
        <v>Botas</v>
      </c>
      <c r="M236" s="8" t="s">
        <v>8</v>
      </c>
      <c r="N236" s="8" t="s">
        <v>8</v>
      </c>
    </row>
    <row r="237" spans="1:14" ht="11.25" customHeight="1">
      <c r="A237" s="5" t="s">
        <v>345</v>
      </c>
      <c r="B237" s="5" t="s">
        <v>770</v>
      </c>
      <c r="C237" s="5" t="s">
        <v>785</v>
      </c>
      <c r="D237" s="5" t="s">
        <v>348</v>
      </c>
      <c r="E237" s="5" t="s">
        <v>7</v>
      </c>
      <c r="F237" s="5" t="s">
        <v>349</v>
      </c>
      <c r="G237" s="5" t="s">
        <v>350</v>
      </c>
      <c r="H237" s="5" t="s">
        <v>772</v>
      </c>
      <c r="I237" s="5" t="s">
        <v>786</v>
      </c>
      <c r="J237" s="5" t="s">
        <v>787</v>
      </c>
      <c r="K237" s="7" t="str">
        <f ca="1">IFERROR(__xludf.DUMMYFUNCTION("GOOGLETRANSLATE(H237,""EN"",""ES"")"),"CALZADO, CALCETINES Y MEDIAS")</f>
        <v>CALZADO, CALCETINES Y MEDIAS</v>
      </c>
      <c r="L237" s="5" t="str">
        <f ca="1">IFERROR(__xludf.DUMMYFUNCTION("GOOGLETRANSLATE(J237,""EN"",""ES"")"),"medias botas")</f>
        <v>medias botas</v>
      </c>
      <c r="M237" s="8" t="s">
        <v>8</v>
      </c>
      <c r="N237" s="8" t="s">
        <v>8</v>
      </c>
    </row>
    <row r="238" spans="1:14" ht="11.25" customHeight="1">
      <c r="A238" s="5" t="s">
        <v>345</v>
      </c>
      <c r="B238" s="5" t="s">
        <v>770</v>
      </c>
      <c r="C238" s="5" t="s">
        <v>788</v>
      </c>
      <c r="D238" s="5" t="s">
        <v>348</v>
      </c>
      <c r="E238" s="5" t="s">
        <v>7</v>
      </c>
      <c r="F238" s="5" t="s">
        <v>349</v>
      </c>
      <c r="G238" s="5" t="s">
        <v>350</v>
      </c>
      <c r="H238" s="5" t="s">
        <v>772</v>
      </c>
      <c r="I238" s="5" t="s">
        <v>789</v>
      </c>
      <c r="J238" s="5" t="s">
        <v>790</v>
      </c>
      <c r="K238" s="7" t="str">
        <f ca="1">IFERROR(__xludf.DUMMYFUNCTION("GOOGLETRANSLATE(H238,""EN"",""ES"")"),"CALZADO, CALCETINES Y MEDIAS")</f>
        <v>CALZADO, CALCETINES Y MEDIAS</v>
      </c>
      <c r="L238" s="5" t="str">
        <f ca="1">IFERROR(__xludf.DUMMYFUNCTION("GOOGLETRANSLATE(J238,""EN"",""ES"")"),"Zapatos")</f>
        <v>Zapatos</v>
      </c>
      <c r="M238" s="8" t="s">
        <v>8</v>
      </c>
      <c r="N238" s="8" t="s">
        <v>8</v>
      </c>
    </row>
    <row r="239" spans="1:14" ht="11.25" customHeight="1">
      <c r="A239" s="5" t="s">
        <v>345</v>
      </c>
      <c r="B239" s="5" t="s">
        <v>770</v>
      </c>
      <c r="C239" s="5" t="s">
        <v>788</v>
      </c>
      <c r="D239" s="5" t="s">
        <v>348</v>
      </c>
      <c r="E239" s="5" t="s">
        <v>7</v>
      </c>
      <c r="F239" s="5" t="s">
        <v>349</v>
      </c>
      <c r="G239" s="5" t="s">
        <v>350</v>
      </c>
      <c r="H239" s="5" t="s">
        <v>772</v>
      </c>
      <c r="I239" s="5" t="s">
        <v>152</v>
      </c>
      <c r="J239" s="5" t="s">
        <v>791</v>
      </c>
      <c r="K239" s="7" t="str">
        <f ca="1">IFERROR(__xludf.DUMMYFUNCTION("GOOGLETRANSLATE(H239,""EN"",""ES"")"),"CALZADO, CALCETINES Y MEDIAS")</f>
        <v>CALZADO, CALCETINES Y MEDIAS</v>
      </c>
      <c r="L239" s="5" t="str">
        <f ca="1">IFERROR(__xludf.DUMMYFUNCTION("GOOGLETRANSLATE(J239,""EN"",""ES"")"),"N / A")</f>
        <v>N / A</v>
      </c>
      <c r="M239" s="8" t="s">
        <v>8</v>
      </c>
      <c r="N239" s="8" t="s">
        <v>8</v>
      </c>
    </row>
    <row r="240" spans="1:14" ht="11.25" customHeight="1">
      <c r="A240" s="5" t="s">
        <v>345</v>
      </c>
      <c r="B240" s="5" t="s">
        <v>770</v>
      </c>
      <c r="C240" s="5" t="s">
        <v>792</v>
      </c>
      <c r="D240" s="5" t="s">
        <v>348</v>
      </c>
      <c r="E240" s="5" t="s">
        <v>7</v>
      </c>
      <c r="F240" s="5" t="s">
        <v>349</v>
      </c>
      <c r="G240" s="5" t="s">
        <v>350</v>
      </c>
      <c r="H240" s="5" t="s">
        <v>772</v>
      </c>
      <c r="I240" s="5" t="s">
        <v>793</v>
      </c>
      <c r="J240" s="5" t="s">
        <v>794</v>
      </c>
      <c r="K240" s="7" t="str">
        <f ca="1">IFERROR(__xludf.DUMMYFUNCTION("GOOGLETRANSLATE(H240,""EN"",""ES"")"),"CALZADO, CALCETINES Y MEDIAS")</f>
        <v>CALZADO, CALCETINES Y MEDIAS</v>
      </c>
      <c r="L240" s="5" t="str">
        <f ca="1">IFERROR(__xludf.DUMMYFUNCTION("GOOGLETRANSLATE(J240,""EN"",""ES"")"),"Medias")</f>
        <v>Medias</v>
      </c>
      <c r="M240" s="8" t="s">
        <v>8</v>
      </c>
      <c r="N240" s="8" t="s">
        <v>8</v>
      </c>
    </row>
    <row r="241" spans="1:14" ht="11.25" customHeight="1">
      <c r="A241" s="5" t="s">
        <v>345</v>
      </c>
      <c r="B241" s="5" t="s">
        <v>770</v>
      </c>
      <c r="C241" s="5" t="s">
        <v>795</v>
      </c>
      <c r="D241" s="5" t="s">
        <v>348</v>
      </c>
      <c r="E241" s="5" t="s">
        <v>7</v>
      </c>
      <c r="F241" s="5" t="s">
        <v>349</v>
      </c>
      <c r="G241" s="5" t="s">
        <v>350</v>
      </c>
      <c r="H241" s="5" t="s">
        <v>772</v>
      </c>
      <c r="I241" s="5" t="s">
        <v>796</v>
      </c>
      <c r="J241" s="5" t="s">
        <v>797</v>
      </c>
      <c r="K241" s="7" t="str">
        <f ca="1">IFERROR(__xludf.DUMMYFUNCTION("GOOGLETRANSLATE(H241,""EN"",""ES"")"),"CALZADO, CALCETINES Y MEDIAS")</f>
        <v>CALZADO, CALCETINES Y MEDIAS</v>
      </c>
      <c r="L241" s="5" t="str">
        <f ca="1">IFERROR(__xludf.DUMMYFUNCTION("GOOGLETRANSLATE(J241,""EN"",""ES"")"),"Zapatillas")</f>
        <v>Zapatillas</v>
      </c>
      <c r="M241" s="8" t="s">
        <v>8</v>
      </c>
      <c r="N241" s="8" t="s">
        <v>8</v>
      </c>
    </row>
    <row r="242" spans="1:14" ht="11.25" customHeight="1">
      <c r="A242" s="5" t="s">
        <v>345</v>
      </c>
      <c r="B242" s="5" t="s">
        <v>770</v>
      </c>
      <c r="C242" s="5" t="s">
        <v>795</v>
      </c>
      <c r="D242" s="5" t="s">
        <v>348</v>
      </c>
      <c r="E242" s="5" t="s">
        <v>7</v>
      </c>
      <c r="F242" s="5" t="s">
        <v>349</v>
      </c>
      <c r="G242" s="5" t="s">
        <v>350</v>
      </c>
      <c r="H242" s="5" t="s">
        <v>772</v>
      </c>
      <c r="I242" s="5" t="s">
        <v>152</v>
      </c>
      <c r="J242" s="5" t="s">
        <v>798</v>
      </c>
      <c r="K242" s="7" t="str">
        <f ca="1">IFERROR(__xludf.DUMMYFUNCTION("GOOGLETRANSLATE(H242,""EN"",""ES"")"),"CALZADO, CALCETINES Y MEDIAS")</f>
        <v>CALZADO, CALCETINES Y MEDIAS</v>
      </c>
      <c r="L242" s="5" t="str">
        <f ca="1">IFERROR(__xludf.DUMMYFUNCTION("GOOGLETRANSLATE(J242,""EN"",""ES"")"),"N / A")</f>
        <v>N / A</v>
      </c>
      <c r="M242" s="8" t="s">
        <v>8</v>
      </c>
      <c r="N242" s="8" t="s">
        <v>8</v>
      </c>
    </row>
    <row r="243" spans="1:14" ht="11.25" customHeight="1">
      <c r="A243" s="5" t="s">
        <v>345</v>
      </c>
      <c r="B243" s="5" t="s">
        <v>770</v>
      </c>
      <c r="C243" s="5" t="s">
        <v>799</v>
      </c>
      <c r="D243" s="5" t="s">
        <v>348</v>
      </c>
      <c r="E243" s="5" t="s">
        <v>7</v>
      </c>
      <c r="F243" s="5" t="s">
        <v>349</v>
      </c>
      <c r="G243" s="5" t="s">
        <v>350</v>
      </c>
      <c r="H243" s="5" t="s">
        <v>772</v>
      </c>
      <c r="I243" s="5" t="s">
        <v>800</v>
      </c>
      <c r="J243" s="5" t="s">
        <v>801</v>
      </c>
      <c r="K243" s="7" t="str">
        <f ca="1">IFERROR(__xludf.DUMMYFUNCTION("GOOGLETRANSLATE(H243,""EN"",""ES"")"),"CALZADO, CALCETINES Y MEDIAS")</f>
        <v>CALZADO, CALCETINES Y MEDIAS</v>
      </c>
      <c r="L243" s="5" t="str">
        <f ca="1">IFERROR(__xludf.DUMMYFUNCTION("GOOGLETRANSLATE(J243,""EN"",""ES"")"),"patucos para bebes")</f>
        <v>patucos para bebes</v>
      </c>
      <c r="M243" s="8" t="s">
        <v>8</v>
      </c>
      <c r="N243" s="8" t="s">
        <v>8</v>
      </c>
    </row>
    <row r="244" spans="1:14" ht="11.25" customHeight="1">
      <c r="A244" s="5" t="s">
        <v>345</v>
      </c>
      <c r="B244" s="5" t="s">
        <v>770</v>
      </c>
      <c r="C244" s="5" t="s">
        <v>802</v>
      </c>
      <c r="D244" s="5" t="s">
        <v>348</v>
      </c>
      <c r="E244" s="5" t="s">
        <v>7</v>
      </c>
      <c r="F244" s="5" t="s">
        <v>349</v>
      </c>
      <c r="G244" s="5" t="s">
        <v>350</v>
      </c>
      <c r="H244" s="5" t="s">
        <v>772</v>
      </c>
      <c r="I244" s="5" t="s">
        <v>803</v>
      </c>
      <c r="J244" s="5" t="s">
        <v>804</v>
      </c>
      <c r="K244" s="7" t="str">
        <f ca="1">IFERROR(__xludf.DUMMYFUNCTION("GOOGLETRANSLATE(H244,""EN"",""ES"")"),"CALZADO, CALCETINES Y MEDIAS")</f>
        <v>CALZADO, CALCETINES Y MEDIAS</v>
      </c>
      <c r="L244" s="5" t="str">
        <f ca="1">IFERROR(__xludf.DUMMYFUNCTION("GOOGLETRANSLATE(J244,""EN"",""ES"")"),"Calzado")</f>
        <v>Calzado</v>
      </c>
      <c r="M244" s="8" t="s">
        <v>8</v>
      </c>
      <c r="N244" s="8" t="s">
        <v>8</v>
      </c>
    </row>
    <row r="245" spans="1:14" ht="11.25" customHeight="1">
      <c r="A245" s="5" t="s">
        <v>345</v>
      </c>
      <c r="B245" s="5" t="s">
        <v>770</v>
      </c>
      <c r="C245" s="5" t="s">
        <v>805</v>
      </c>
      <c r="D245" s="5" t="s">
        <v>348</v>
      </c>
      <c r="E245" s="5" t="s">
        <v>7</v>
      </c>
      <c r="F245" s="5" t="s">
        <v>349</v>
      </c>
      <c r="G245" s="5" t="s">
        <v>350</v>
      </c>
      <c r="H245" s="5" t="s">
        <v>772</v>
      </c>
      <c r="I245" s="5" t="s">
        <v>806</v>
      </c>
      <c r="J245" s="5" t="s">
        <v>807</v>
      </c>
      <c r="K245" s="7" t="str">
        <f ca="1">IFERROR(__xludf.DUMMYFUNCTION("GOOGLETRANSLATE(H245,""EN"",""ES"")"),"CALZADO, CALCETINES Y MEDIAS")</f>
        <v>CALZADO, CALCETINES Y MEDIAS</v>
      </c>
      <c r="L245" s="5" t="str">
        <f ca="1">IFERROR(__xludf.DUMMYFUNCTION("GOOGLETRANSLATE(J245,""EN"",""ES"")"),"Botas para deportes [especial]")</f>
        <v>Botas para deportes [especial]</v>
      </c>
      <c r="M245" s="8" t="s">
        <v>8</v>
      </c>
      <c r="N245" s="8" t="s">
        <v>8</v>
      </c>
    </row>
    <row r="246" spans="1:14" ht="11.25" customHeight="1">
      <c r="A246" s="5" t="s">
        <v>345</v>
      </c>
      <c r="B246" s="5" t="s">
        <v>770</v>
      </c>
      <c r="C246" s="5" t="s">
        <v>805</v>
      </c>
      <c r="D246" s="5" t="s">
        <v>348</v>
      </c>
      <c r="E246" s="5" t="s">
        <v>7</v>
      </c>
      <c r="F246" s="5" t="s">
        <v>349</v>
      </c>
      <c r="G246" s="5" t="s">
        <v>350</v>
      </c>
      <c r="H246" s="5" t="s">
        <v>772</v>
      </c>
      <c r="I246" s="5" t="s">
        <v>808</v>
      </c>
      <c r="J246" s="5" t="s">
        <v>152</v>
      </c>
      <c r="K246" s="7" t="str">
        <f ca="1">IFERROR(__xludf.DUMMYFUNCTION("GOOGLETRANSLATE(H246,""EN"",""ES"")"),"CALZADO, CALCETINES Y MEDIAS")</f>
        <v>CALZADO, CALCETINES Y MEDIAS</v>
      </c>
      <c r="L246" s="5" t="str">
        <f ca="1">IFERROR(__xludf.DUMMYFUNCTION("GOOGLETRANSLATE(J246,""EN"",""ES"")"),"Botas especiales para deportes.")</f>
        <v>Botas especiales para deportes.</v>
      </c>
      <c r="M246" s="8" t="s">
        <v>8</v>
      </c>
      <c r="N246" s="8" t="s">
        <v>8</v>
      </c>
    </row>
    <row r="247" spans="1:14" ht="11.25" customHeight="1">
      <c r="A247" s="5" t="s">
        <v>345</v>
      </c>
      <c r="B247" s="5" t="s">
        <v>770</v>
      </c>
      <c r="C247" s="5" t="s">
        <v>809</v>
      </c>
      <c r="D247" s="5" t="s">
        <v>348</v>
      </c>
      <c r="E247" s="5" t="s">
        <v>7</v>
      </c>
      <c r="F247" s="5" t="s">
        <v>349</v>
      </c>
      <c r="G247" s="5" t="s">
        <v>350</v>
      </c>
      <c r="H247" s="5" t="s">
        <v>772</v>
      </c>
      <c r="I247" s="5" t="s">
        <v>810</v>
      </c>
      <c r="J247" s="5" t="s">
        <v>811</v>
      </c>
      <c r="K247" s="7" t="str">
        <f ca="1">IFERROR(__xludf.DUMMYFUNCTION("GOOGLETRANSLATE(H247,""EN"",""ES"")"),"CALZADO, CALCETINES Y MEDIAS")</f>
        <v>CALZADO, CALCETINES Y MEDIAS</v>
      </c>
      <c r="L247" s="5" t="str">
        <f ca="1">IFERROR(__xludf.DUMMYFUNCTION("GOOGLETRANSLATE(J247,""EN"",""ES"")"),"Calzado de seguridad")</f>
        <v>Calzado de seguridad</v>
      </c>
      <c r="M247" s="8" t="s">
        <v>8</v>
      </c>
      <c r="N247" s="8" t="s">
        <v>8</v>
      </c>
    </row>
    <row r="248" spans="1:14" ht="11.25" customHeight="1">
      <c r="A248" s="5" t="s">
        <v>345</v>
      </c>
      <c r="B248" s="5" t="s">
        <v>770</v>
      </c>
      <c r="C248" s="5" t="s">
        <v>812</v>
      </c>
      <c r="D248" s="5" t="s">
        <v>348</v>
      </c>
      <c r="E248" s="5" t="s">
        <v>7</v>
      </c>
      <c r="F248" s="5" t="s">
        <v>349</v>
      </c>
      <c r="G248" s="5" t="s">
        <v>350</v>
      </c>
      <c r="H248" s="5" t="s">
        <v>772</v>
      </c>
      <c r="I248" s="5" t="s">
        <v>813</v>
      </c>
      <c r="J248" s="5" t="s">
        <v>814</v>
      </c>
      <c r="K248" s="7" t="str">
        <f ca="1">IFERROR(__xludf.DUMMYFUNCTION("GOOGLETRANSLATE(H248,""EN"",""ES"")"),"CALZADO, CALCETINES Y MEDIAS")</f>
        <v>CALZADO, CALCETINES Y MEDIAS</v>
      </c>
      <c r="L248" s="5" t="str">
        <f ca="1">IFERROR(__xludf.DUMMYFUNCTION("GOOGLETRANSLATE(J248,""EN"",""ES"")"),"Leggings para bebés")</f>
        <v>Leggings para bebés</v>
      </c>
      <c r="M248" s="8" t="s">
        <v>8</v>
      </c>
      <c r="N248" s="8" t="s">
        <v>8</v>
      </c>
    </row>
    <row r="249" spans="1:14" ht="11.25" customHeight="1">
      <c r="A249" s="5" t="s">
        <v>345</v>
      </c>
      <c r="B249" s="5" t="s">
        <v>770</v>
      </c>
      <c r="C249" s="5" t="s">
        <v>815</v>
      </c>
      <c r="D249" s="5" t="s">
        <v>348</v>
      </c>
      <c r="E249" s="5" t="s">
        <v>7</v>
      </c>
      <c r="F249" s="5" t="s">
        <v>349</v>
      </c>
      <c r="G249" s="5" t="s">
        <v>350</v>
      </c>
      <c r="H249" s="5" t="s">
        <v>772</v>
      </c>
      <c r="I249" s="5" t="s">
        <v>816</v>
      </c>
      <c r="J249" s="5" t="s">
        <v>817</v>
      </c>
      <c r="K249" s="7" t="str">
        <f ca="1">IFERROR(__xludf.DUMMYFUNCTION("GOOGLETRANSLATE(H249,""EN"",""ES"")"),"CALZADO, CALCETINES Y MEDIAS")</f>
        <v>CALZADO, CALCETINES Y MEDIAS</v>
      </c>
      <c r="L249" s="5" t="str">
        <f ca="1">IFERROR(__xludf.DUMMYFUNCTION("GOOGLETRANSLATE(J249,""EN"",""ES"")"),"Cubrezapatos")</f>
        <v>Cubrezapatos</v>
      </c>
      <c r="M249" s="8" t="s">
        <v>8</v>
      </c>
      <c r="N249" s="8" t="s">
        <v>8</v>
      </c>
    </row>
    <row r="250" spans="1:14" ht="11.25" customHeight="1">
      <c r="A250" s="5" t="s">
        <v>345</v>
      </c>
      <c r="B250" s="5" t="s">
        <v>770</v>
      </c>
      <c r="C250" s="5" t="s">
        <v>815</v>
      </c>
      <c r="D250" s="5" t="s">
        <v>348</v>
      </c>
      <c r="E250" s="5" t="s">
        <v>7</v>
      </c>
      <c r="F250" s="5" t="s">
        <v>349</v>
      </c>
      <c r="G250" s="5" t="s">
        <v>350</v>
      </c>
      <c r="H250" s="5" t="s">
        <v>772</v>
      </c>
      <c r="I250" s="5" t="s">
        <v>152</v>
      </c>
      <c r="J250" s="5" t="s">
        <v>818</v>
      </c>
      <c r="K250" s="7" t="str">
        <f ca="1">IFERROR(__xludf.DUMMYFUNCTION("GOOGLETRANSLATE(H250,""EN"",""ES"")"),"CALZADO, CALCETINES Y MEDIAS")</f>
        <v>CALZADO, CALCETINES Y MEDIAS</v>
      </c>
      <c r="L250" s="5" t="str">
        <f ca="1">IFERROR(__xludf.DUMMYFUNCTION("GOOGLETRANSLATE(J250,""EN"",""ES"")"),"N / A")</f>
        <v>N / A</v>
      </c>
      <c r="M250" s="8" t="s">
        <v>8</v>
      </c>
      <c r="N250" s="8" t="s">
        <v>8</v>
      </c>
    </row>
    <row r="251" spans="1:14" ht="11.25" customHeight="1">
      <c r="A251" s="5" t="s">
        <v>345</v>
      </c>
      <c r="B251" s="5" t="s">
        <v>770</v>
      </c>
      <c r="C251" s="5" t="s">
        <v>819</v>
      </c>
      <c r="D251" s="5" t="s">
        <v>348</v>
      </c>
      <c r="E251" s="5" t="s">
        <v>7</v>
      </c>
      <c r="F251" s="5" t="s">
        <v>349</v>
      </c>
      <c r="G251" s="5" t="s">
        <v>350</v>
      </c>
      <c r="H251" s="5" t="s">
        <v>772</v>
      </c>
      <c r="I251" s="5" t="s">
        <v>820</v>
      </c>
      <c r="J251" s="5" t="s">
        <v>821</v>
      </c>
      <c r="K251" s="7" t="str">
        <f ca="1">IFERROR(__xludf.DUMMYFUNCTION("GOOGLETRANSLATE(H251,""EN"",""ES"")"),"CALZADO, CALCETINES Y MEDIAS")</f>
        <v>CALZADO, CALCETINES Y MEDIAS</v>
      </c>
      <c r="L251" s="5" t="str">
        <f ca="1">IFERROR(__xludf.DUMMYFUNCTION("GOOGLETRANSLATE(J251,""EN"",""ES"")"),"polainas")</f>
        <v>polainas</v>
      </c>
      <c r="M251" s="8" t="s">
        <v>8</v>
      </c>
      <c r="N251" s="8" t="s">
        <v>8</v>
      </c>
    </row>
    <row r="252" spans="1:14" ht="11.25" customHeight="1">
      <c r="A252" s="5" t="s">
        <v>345</v>
      </c>
      <c r="B252" s="5" t="s">
        <v>770</v>
      </c>
      <c r="C252" s="5" t="s">
        <v>822</v>
      </c>
      <c r="D252" s="5" t="s">
        <v>348</v>
      </c>
      <c r="E252" s="5" t="s">
        <v>7</v>
      </c>
      <c r="F252" s="5" t="s">
        <v>349</v>
      </c>
      <c r="G252" s="5" t="s">
        <v>350</v>
      </c>
      <c r="H252" s="5" t="s">
        <v>772</v>
      </c>
      <c r="I252" s="5" t="s">
        <v>823</v>
      </c>
      <c r="J252" s="5" t="s">
        <v>824</v>
      </c>
      <c r="K252" s="7" t="str">
        <f ca="1">IFERROR(__xludf.DUMMYFUNCTION("GOOGLETRANSLATE(H252,""EN"",""ES"")"),"CALZADO, CALCETINES Y MEDIAS")</f>
        <v>CALZADO, CALCETINES Y MEDIAS</v>
      </c>
      <c r="L252" s="5" t="str">
        <f ca="1">IFERROR(__xludf.DUMMYFUNCTION("GOOGLETRANSLATE(J252,""EN"",""ES"")"),"Parte superior de zapatos y botas")</f>
        <v>Parte superior de zapatos y botas</v>
      </c>
      <c r="M252" s="8" t="s">
        <v>8</v>
      </c>
      <c r="N252" s="8" t="s">
        <v>8</v>
      </c>
    </row>
    <row r="253" spans="1:14" ht="11.25" customHeight="1">
      <c r="A253" s="5" t="s">
        <v>345</v>
      </c>
      <c r="B253" s="5" t="s">
        <v>770</v>
      </c>
      <c r="C253" s="5" t="s">
        <v>825</v>
      </c>
      <c r="D253" s="5" t="s">
        <v>348</v>
      </c>
      <c r="E253" s="5" t="s">
        <v>7</v>
      </c>
      <c r="F253" s="5" t="s">
        <v>349</v>
      </c>
      <c r="G253" s="5" t="s">
        <v>350</v>
      </c>
      <c r="H253" s="5" t="s">
        <v>772</v>
      </c>
      <c r="I253" s="5" t="s">
        <v>826</v>
      </c>
      <c r="J253" s="5" t="s">
        <v>827</v>
      </c>
      <c r="K253" s="7" t="str">
        <f ca="1">IFERROR(__xludf.DUMMYFUNCTION("GOOGLETRANSLATE(H253,""EN"",""ES"")"),"CALZADO, CALCETINES Y MEDIAS")</f>
        <v>CALZADO, CALCETINES Y MEDIAS</v>
      </c>
      <c r="L253" s="5" t="str">
        <f ca="1">IFERROR(__xludf.DUMMYFUNCTION("GOOGLETRANSLATE(J253,""EN"",""ES"")"),"zapatos de baile")</f>
        <v>zapatos de baile</v>
      </c>
      <c r="M253" s="8" t="s">
        <v>8</v>
      </c>
      <c r="N253" s="8" t="s">
        <v>8</v>
      </c>
    </row>
    <row r="254" spans="1:14" ht="11.25" customHeight="1">
      <c r="A254" s="5" t="s">
        <v>345</v>
      </c>
      <c r="B254" s="5" t="s">
        <v>770</v>
      </c>
      <c r="C254" s="5" t="s">
        <v>825</v>
      </c>
      <c r="D254" s="5" t="s">
        <v>348</v>
      </c>
      <c r="E254" s="5" t="s">
        <v>7</v>
      </c>
      <c r="F254" s="5" t="s">
        <v>349</v>
      </c>
      <c r="G254" s="5" t="s">
        <v>350</v>
      </c>
      <c r="H254" s="5" t="s">
        <v>772</v>
      </c>
      <c r="I254" s="5" t="s">
        <v>828</v>
      </c>
      <c r="J254" s="5" t="s">
        <v>152</v>
      </c>
      <c r="K254" s="7" t="str">
        <f ca="1">IFERROR(__xludf.DUMMYFUNCTION("GOOGLETRANSLATE(H254,""EN"",""ES"")"),"CALZADO, CALCETINES Y MEDIAS")</f>
        <v>CALZADO, CALCETINES Y MEDIAS</v>
      </c>
      <c r="L254" s="5" t="str">
        <f ca="1">IFERROR(__xludf.DUMMYFUNCTION("GOOGLETRANSLATE(J254,""EN"",""ES"")"),"Zapatillas")</f>
        <v>Zapatillas</v>
      </c>
      <c r="M254" s="8" t="s">
        <v>8</v>
      </c>
      <c r="N254" s="8" t="s">
        <v>8</v>
      </c>
    </row>
    <row r="255" spans="1:14" ht="11.25" customHeight="1">
      <c r="A255" s="5" t="s">
        <v>345</v>
      </c>
      <c r="B255" s="5" t="s">
        <v>770</v>
      </c>
      <c r="C255" s="5" t="s">
        <v>829</v>
      </c>
      <c r="D255" s="5" t="s">
        <v>348</v>
      </c>
      <c r="E255" s="5" t="s">
        <v>7</v>
      </c>
      <c r="F255" s="5" t="s">
        <v>349</v>
      </c>
      <c r="G255" s="5" t="s">
        <v>350</v>
      </c>
      <c r="H255" s="5" t="s">
        <v>772</v>
      </c>
      <c r="I255" s="5" t="s">
        <v>830</v>
      </c>
      <c r="J255" s="5" t="s">
        <v>830</v>
      </c>
      <c r="K255" s="7" t="str">
        <f ca="1">IFERROR(__xludf.DUMMYFUNCTION("GOOGLETRANSLATE(H255,""EN"",""ES"")"),"CALZADO, CALCETINES Y MEDIAS")</f>
        <v>CALZADO, CALCETINES Y MEDIAS</v>
      </c>
      <c r="L255" s="5" t="str">
        <f ca="1">IFERROR(__xludf.DUMMYFUNCTION("GOOGLETRANSLATE(J255,""EN"",""ES"")"),"Alpargatas")</f>
        <v>Alpargatas</v>
      </c>
      <c r="M255" s="8" t="s">
        <v>8</v>
      </c>
      <c r="N255" s="8" t="s">
        <v>8</v>
      </c>
    </row>
    <row r="256" spans="1:14" ht="11.25" customHeight="1">
      <c r="A256" s="5" t="s">
        <v>345</v>
      </c>
      <c r="B256" s="5" t="s">
        <v>770</v>
      </c>
      <c r="C256" s="5" t="s">
        <v>831</v>
      </c>
      <c r="D256" s="5" t="s">
        <v>348</v>
      </c>
      <c r="E256" s="5" t="s">
        <v>7</v>
      </c>
      <c r="F256" s="5" t="s">
        <v>349</v>
      </c>
      <c r="G256" s="5" t="s">
        <v>350</v>
      </c>
      <c r="H256" s="5" t="s">
        <v>772</v>
      </c>
      <c r="I256" s="5" t="s">
        <v>832</v>
      </c>
      <c r="J256" s="5" t="s">
        <v>833</v>
      </c>
      <c r="K256" s="7" t="str">
        <f ca="1">IFERROR(__xludf.DUMMYFUNCTION("GOOGLETRANSLATE(H256,""EN"",""ES"")"),"CALZADO, CALCETINES Y MEDIAS")</f>
        <v>CALZADO, CALCETINES Y MEDIAS</v>
      </c>
      <c r="L256" s="5" t="str">
        <f ca="1">IFERROR(__xludf.DUMMYFUNCTION("GOOGLETRANSLATE(J256,""EN"",""ES"")"),"botas de futbol")</f>
        <v>botas de futbol</v>
      </c>
      <c r="M256" s="8" t="s">
        <v>8</v>
      </c>
      <c r="N256" s="8" t="s">
        <v>8</v>
      </c>
    </row>
    <row r="257" spans="1:14" ht="11.25" customHeight="1">
      <c r="A257" s="5" t="s">
        <v>345</v>
      </c>
      <c r="B257" s="5" t="s">
        <v>770</v>
      </c>
      <c r="C257" s="5" t="s">
        <v>834</v>
      </c>
      <c r="D257" s="5" t="s">
        <v>348</v>
      </c>
      <c r="E257" s="5" t="s">
        <v>7</v>
      </c>
      <c r="F257" s="5" t="s">
        <v>349</v>
      </c>
      <c r="G257" s="5" t="s">
        <v>350</v>
      </c>
      <c r="H257" s="5" t="s">
        <v>772</v>
      </c>
      <c r="I257" s="5" t="s">
        <v>835</v>
      </c>
      <c r="J257" s="5" t="s">
        <v>836</v>
      </c>
      <c r="K257" s="7" t="str">
        <f ca="1">IFERROR(__xludf.DUMMYFUNCTION("GOOGLETRANSLATE(H257,""EN"",""ES"")"),"CALZADO, CALCETINES Y MEDIAS")</f>
        <v>CALZADO, CALCETINES Y MEDIAS</v>
      </c>
      <c r="L257" s="5" t="str">
        <f ca="1">IFERROR(__xludf.DUMMYFUNCTION("GOOGLETRANSLATE(J257,""EN"",""ES"")"),"chanclos")</f>
        <v>chanclos</v>
      </c>
      <c r="M257" s="8" t="s">
        <v>8</v>
      </c>
      <c r="N257" s="8" t="s">
        <v>8</v>
      </c>
    </row>
    <row r="258" spans="1:14" ht="11.25" customHeight="1">
      <c r="A258" s="5" t="s">
        <v>345</v>
      </c>
      <c r="B258" s="5" t="s">
        <v>770</v>
      </c>
      <c r="C258" s="5" t="s">
        <v>837</v>
      </c>
      <c r="D258" s="5" t="s">
        <v>348</v>
      </c>
      <c r="E258" s="5" t="s">
        <v>7</v>
      </c>
      <c r="F258" s="5" t="s">
        <v>349</v>
      </c>
      <c r="G258" s="5" t="s">
        <v>350</v>
      </c>
      <c r="H258" s="5" t="s">
        <v>772</v>
      </c>
      <c r="I258" s="5" t="s">
        <v>838</v>
      </c>
      <c r="J258" s="5" t="s">
        <v>839</v>
      </c>
      <c r="K258" s="7" t="str">
        <f ca="1">IFERROR(__xludf.DUMMYFUNCTION("GOOGLETRANSLATE(H258,""EN"",""ES"")"),"CALZADO, CALCETINES Y MEDIAS")</f>
        <v>CALZADO, CALCETINES Y MEDIAS</v>
      </c>
      <c r="L258" s="5" t="str">
        <f ca="1">IFERROR(__xludf.DUMMYFUNCTION("GOOGLETRANSLATE(J258,""EN"",""ES"")"),"rodilleras")</f>
        <v>rodilleras</v>
      </c>
      <c r="M258" s="8" t="s">
        <v>8</v>
      </c>
      <c r="N258" s="8" t="s">
        <v>8</v>
      </c>
    </row>
    <row r="259" spans="1:14" ht="11.25" customHeight="1">
      <c r="A259" s="5" t="s">
        <v>345</v>
      </c>
      <c r="B259" s="5" t="s">
        <v>770</v>
      </c>
      <c r="C259" s="5" t="s">
        <v>840</v>
      </c>
      <c r="D259" s="5" t="s">
        <v>348</v>
      </c>
      <c r="E259" s="5" t="s">
        <v>7</v>
      </c>
      <c r="F259" s="5" t="s">
        <v>349</v>
      </c>
      <c r="G259" s="5" t="s">
        <v>350</v>
      </c>
      <c r="H259" s="5" t="s">
        <v>772</v>
      </c>
      <c r="I259" s="5" t="s">
        <v>841</v>
      </c>
      <c r="J259" s="5" t="s">
        <v>842</v>
      </c>
      <c r="K259" s="7" t="str">
        <f ca="1">IFERROR(__xludf.DUMMYFUNCTION("GOOGLETRANSLATE(H259,""EN"",""ES"")"),"CALZADO, CALCETINES Y MEDIAS")</f>
        <v>CALZADO, CALCETINES Y MEDIAS</v>
      </c>
      <c r="L259" s="5" t="str">
        <f ca="1">IFERROR(__xludf.DUMMYFUNCTION("GOOGLETRANSLATE(J259,""EN"",""ES"")"),"Polainas")</f>
        <v>Polainas</v>
      </c>
      <c r="M259" s="8" t="s">
        <v>8</v>
      </c>
      <c r="N259" s="8" t="s">
        <v>8</v>
      </c>
    </row>
    <row r="260" spans="1:14" ht="11.25" customHeight="1">
      <c r="A260" s="5" t="s">
        <v>345</v>
      </c>
      <c r="B260" s="5" t="s">
        <v>770</v>
      </c>
      <c r="C260" s="5" t="s">
        <v>843</v>
      </c>
      <c r="D260" s="5" t="s">
        <v>348</v>
      </c>
      <c r="E260" s="5" t="s">
        <v>7</v>
      </c>
      <c r="F260" s="5" t="s">
        <v>349</v>
      </c>
      <c r="G260" s="5" t="s">
        <v>350</v>
      </c>
      <c r="H260" s="5" t="s">
        <v>772</v>
      </c>
      <c r="I260" s="5" t="s">
        <v>844</v>
      </c>
      <c r="J260" s="5" t="s">
        <v>845</v>
      </c>
      <c r="K260" s="7" t="str">
        <f ca="1">IFERROR(__xludf.DUMMYFUNCTION("GOOGLETRANSLATE(H260,""EN"",""ES"")"),"CALZADO, CALCETINES Y MEDIAS")</f>
        <v>CALZADO, CALCETINES Y MEDIAS</v>
      </c>
      <c r="L260" s="5" t="str">
        <f ca="1">IFERROR(__xludf.DUMMYFUNCTION("GOOGLETRANSLATE(J260,""EN"",""ES"")"),"Polainas")</f>
        <v>Polainas</v>
      </c>
      <c r="M260" s="8" t="s">
        <v>8</v>
      </c>
      <c r="N260" s="8" t="s">
        <v>8</v>
      </c>
    </row>
    <row r="261" spans="1:14" ht="11.25" customHeight="1">
      <c r="A261" s="5" t="s">
        <v>345</v>
      </c>
      <c r="B261" s="5" t="s">
        <v>770</v>
      </c>
      <c r="C261" s="5" t="s">
        <v>846</v>
      </c>
      <c r="D261" s="5" t="s">
        <v>348</v>
      </c>
      <c r="E261" s="5" t="s">
        <v>7</v>
      </c>
      <c r="F261" s="5" t="s">
        <v>349</v>
      </c>
      <c r="G261" s="5" t="s">
        <v>350</v>
      </c>
      <c r="H261" s="5" t="s">
        <v>772</v>
      </c>
      <c r="I261" s="5" t="s">
        <v>847</v>
      </c>
      <c r="J261" s="5" t="s">
        <v>848</v>
      </c>
      <c r="K261" s="7" t="str">
        <f ca="1">IFERROR(__xludf.DUMMYFUNCTION("GOOGLETRANSLATE(H261,""EN"",""ES"")"),"CALZADO, CALCETINES Y MEDIAS")</f>
        <v>CALZADO, CALCETINES Y MEDIAS</v>
      </c>
      <c r="L261" s="5" t="str">
        <f ca="1">IFERROR(__xludf.DUMMYFUNCTION("GOOGLETRANSLATE(J261,""EN"",""ES"")"),"Plantillas")</f>
        <v>Plantillas</v>
      </c>
      <c r="M261" s="8" t="s">
        <v>8</v>
      </c>
      <c r="N261" s="8" t="s">
        <v>8</v>
      </c>
    </row>
    <row r="262" spans="1:14" ht="11.25" customHeight="1">
      <c r="A262" s="5" t="s">
        <v>345</v>
      </c>
      <c r="B262" s="5" t="s">
        <v>770</v>
      </c>
      <c r="C262" s="5" t="s">
        <v>846</v>
      </c>
      <c r="D262" s="5" t="s">
        <v>348</v>
      </c>
      <c r="E262" s="5" t="s">
        <v>7</v>
      </c>
      <c r="F262" s="5" t="s">
        <v>349</v>
      </c>
      <c r="G262" s="5" t="s">
        <v>350</v>
      </c>
      <c r="H262" s="5" t="s">
        <v>772</v>
      </c>
      <c r="I262" s="5" t="s">
        <v>849</v>
      </c>
      <c r="J262" s="5" t="s">
        <v>152</v>
      </c>
      <c r="K262" s="7" t="str">
        <f ca="1">IFERROR(__xludf.DUMMYFUNCTION("GOOGLETRANSLATE(H262,""EN"",""ES"")"),"CALZADO, CALCETINES Y MEDIAS")</f>
        <v>CALZADO, CALCETINES Y MEDIAS</v>
      </c>
      <c r="L262" s="5" t="str">
        <f ca="1">IFERROR(__xludf.DUMMYFUNCTION("GOOGLETRANSLATE(J262,""EN"",""ES"")"),"Suelas interiores")</f>
        <v>Suelas interiores</v>
      </c>
      <c r="M262" s="8" t="s">
        <v>8</v>
      </c>
      <c r="N262" s="8" t="s">
        <v>8</v>
      </c>
    </row>
    <row r="263" spans="1:14" ht="11.25" customHeight="1">
      <c r="A263" s="5" t="s">
        <v>345</v>
      </c>
      <c r="B263" s="5" t="s">
        <v>770</v>
      </c>
      <c r="C263" s="5" t="s">
        <v>850</v>
      </c>
      <c r="D263" s="5" t="s">
        <v>348</v>
      </c>
      <c r="E263" s="5" t="s">
        <v>7</v>
      </c>
      <c r="F263" s="5" t="s">
        <v>349</v>
      </c>
      <c r="G263" s="5" t="s">
        <v>350</v>
      </c>
      <c r="H263" s="5" t="s">
        <v>772</v>
      </c>
      <c r="I263" s="5" t="s">
        <v>851</v>
      </c>
      <c r="J263" s="5" t="s">
        <v>852</v>
      </c>
      <c r="K263" s="7" t="str">
        <f ca="1">IFERROR(__xludf.DUMMYFUNCTION("GOOGLETRANSLATE(H263,""EN"",""ES"")"),"CALZADO, CALCETINES Y MEDIAS")</f>
        <v>CALZADO, CALCETINES Y MEDIAS</v>
      </c>
      <c r="L263" s="5" t="str">
        <f ca="1">IFERROR(__xludf.DUMMYFUNCTION("GOOGLETRANSLATE(J263,""EN"",""ES"")"),"Mocasines")</f>
        <v>Mocasines</v>
      </c>
      <c r="M263" s="8" t="s">
        <v>8</v>
      </c>
      <c r="N263" s="8" t="s">
        <v>8</v>
      </c>
    </row>
    <row r="264" spans="1:14" ht="11.25" customHeight="1">
      <c r="A264" s="5" t="s">
        <v>345</v>
      </c>
      <c r="B264" s="5" t="s">
        <v>770</v>
      </c>
      <c r="C264" s="5" t="s">
        <v>853</v>
      </c>
      <c r="D264" s="5" t="s">
        <v>348</v>
      </c>
      <c r="E264" s="5" t="s">
        <v>7</v>
      </c>
      <c r="F264" s="5" t="s">
        <v>349</v>
      </c>
      <c r="G264" s="5" t="s">
        <v>350</v>
      </c>
      <c r="H264" s="5" t="s">
        <v>772</v>
      </c>
      <c r="I264" s="5" t="s">
        <v>854</v>
      </c>
      <c r="J264" s="5" t="s">
        <v>855</v>
      </c>
      <c r="K264" s="7" t="str">
        <f ca="1">IFERROR(__xludf.DUMMYFUNCTION("GOOGLETRANSLATE(H264,""EN"",""ES"")"),"CALZADO, CALCETINES Y MEDIAS")</f>
        <v>CALZADO, CALCETINES Y MEDIAS</v>
      </c>
      <c r="L264" s="5" t="str">
        <f ca="1">IFERROR(__xludf.DUMMYFUNCTION("GOOGLETRANSLATE(J264,""EN"",""ES"")"),"Putitas")</f>
        <v>Putitas</v>
      </c>
      <c r="M264" s="8" t="s">
        <v>8</v>
      </c>
      <c r="N264" s="8" t="s">
        <v>8</v>
      </c>
    </row>
    <row r="265" spans="1:14" ht="11.25" customHeight="1">
      <c r="A265" s="5" t="s">
        <v>345</v>
      </c>
      <c r="B265" s="5" t="s">
        <v>770</v>
      </c>
      <c r="C265" s="5" t="s">
        <v>856</v>
      </c>
      <c r="D265" s="5" t="s">
        <v>348</v>
      </c>
      <c r="E265" s="5" t="s">
        <v>7</v>
      </c>
      <c r="F265" s="5" t="s">
        <v>349</v>
      </c>
      <c r="G265" s="5" t="s">
        <v>350</v>
      </c>
      <c r="H265" s="5" t="s">
        <v>772</v>
      </c>
      <c r="I265" s="5" t="s">
        <v>857</v>
      </c>
      <c r="J265" s="5" t="s">
        <v>858</v>
      </c>
      <c r="K265" s="7" t="str">
        <f ca="1">IFERROR(__xludf.DUMMYFUNCTION("GOOGLETRANSLATE(H265,""EN"",""ES"")"),"CALZADO, CALCETINES Y MEDIAS")</f>
        <v>CALZADO, CALCETINES Y MEDIAS</v>
      </c>
      <c r="L265" s="5" t="str">
        <f ca="1">IFERROR(__xludf.DUMMYFUNCTION("GOOGLETRANSLATE(J265,""EN"",""ES"")"),"Sandalias")</f>
        <v>Sandalias</v>
      </c>
      <c r="M265" s="8" t="s">
        <v>8</v>
      </c>
      <c r="N265" s="8" t="s">
        <v>8</v>
      </c>
    </row>
    <row r="266" spans="1:14" ht="11.25" customHeight="1">
      <c r="A266" s="5" t="s">
        <v>345</v>
      </c>
      <c r="B266" s="5" t="s">
        <v>770</v>
      </c>
      <c r="C266" s="5" t="s">
        <v>859</v>
      </c>
      <c r="D266" s="5" t="s">
        <v>348</v>
      </c>
      <c r="E266" s="5" t="s">
        <v>7</v>
      </c>
      <c r="F266" s="5" t="s">
        <v>349</v>
      </c>
      <c r="G266" s="5" t="s">
        <v>350</v>
      </c>
      <c r="H266" s="5" t="s">
        <v>772</v>
      </c>
      <c r="I266" s="5" t="s">
        <v>860</v>
      </c>
      <c r="J266" s="5" t="s">
        <v>861</v>
      </c>
      <c r="K266" s="7" t="str">
        <f ca="1">IFERROR(__xludf.DUMMYFUNCTION("GOOGLETRANSLATE(H266,""EN"",""ES"")"),"CALZADO, CALCETINES Y MEDIAS")</f>
        <v>CALZADO, CALCETINES Y MEDIAS</v>
      </c>
      <c r="L266" s="5" t="str">
        <f ca="1">IFERROR(__xludf.DUMMYFUNCTION("GOOGLETRANSLATE(J266,""EN"",""ES"")"),"Suelas para calzado")</f>
        <v>Suelas para calzado</v>
      </c>
      <c r="M266" s="8" t="s">
        <v>8</v>
      </c>
      <c r="N266" s="8" t="s">
        <v>8</v>
      </c>
    </row>
    <row r="267" spans="1:14" ht="11.25" customHeight="1">
      <c r="A267" s="5" t="s">
        <v>345</v>
      </c>
      <c r="B267" s="5" t="s">
        <v>770</v>
      </c>
      <c r="C267" s="5" t="s">
        <v>862</v>
      </c>
      <c r="D267" s="5" t="s">
        <v>348</v>
      </c>
      <c r="E267" s="5" t="s">
        <v>7</v>
      </c>
      <c r="F267" s="5" t="s">
        <v>349</v>
      </c>
      <c r="G267" s="5" t="s">
        <v>350</v>
      </c>
      <c r="H267" s="5" t="s">
        <v>772</v>
      </c>
      <c r="I267" s="5" t="s">
        <v>863</v>
      </c>
      <c r="J267" s="5" t="s">
        <v>864</v>
      </c>
      <c r="K267" s="7" t="str">
        <f ca="1">IFERROR(__xludf.DUMMYFUNCTION("GOOGLETRANSLATE(H267,""EN"",""ES"")"),"CALZADO, CALCETINES Y MEDIAS")</f>
        <v>CALZADO, CALCETINES Y MEDIAS</v>
      </c>
      <c r="L267" s="5" t="str">
        <f ca="1">IFERROR(__xludf.DUMMYFUNCTION("GOOGLETRANSLATE(J267,""EN"",""ES"")"),"Zuecos")</f>
        <v>Zuecos</v>
      </c>
      <c r="M267" s="8" t="s">
        <v>8</v>
      </c>
      <c r="N267" s="8" t="s">
        <v>8</v>
      </c>
    </row>
    <row r="268" spans="1:14" ht="11.25" customHeight="1">
      <c r="A268" s="5" t="s">
        <v>345</v>
      </c>
      <c r="B268" s="5" t="s">
        <v>770</v>
      </c>
      <c r="C268" s="5" t="s">
        <v>862</v>
      </c>
      <c r="D268" s="5" t="s">
        <v>348</v>
      </c>
      <c r="E268" s="5" t="s">
        <v>7</v>
      </c>
      <c r="F268" s="5" t="s">
        <v>349</v>
      </c>
      <c r="G268" s="5" t="s">
        <v>350</v>
      </c>
      <c r="H268" s="5" t="s">
        <v>772</v>
      </c>
      <c r="I268" s="5" t="s">
        <v>152</v>
      </c>
      <c r="J268" s="5" t="s">
        <v>865</v>
      </c>
      <c r="K268" s="7" t="str">
        <f ca="1">IFERROR(__xludf.DUMMYFUNCTION("GOOGLETRANSLATE(H268,""EN"",""ES"")"),"CALZADO, CALCETINES Y MEDIAS")</f>
        <v>CALZADO, CALCETINES Y MEDIAS</v>
      </c>
      <c r="L268" s="5" t="str">
        <f ca="1">IFERROR(__xludf.DUMMYFUNCTION("GOOGLETRANSLATE(J268,""EN"",""ES"")"),"N / A")</f>
        <v>N / A</v>
      </c>
      <c r="M268" s="8" t="s">
        <v>8</v>
      </c>
      <c r="N268" s="8" t="s">
        <v>8</v>
      </c>
    </row>
    <row r="269" spans="1:14" ht="11.25" customHeight="1">
      <c r="A269" s="5" t="s">
        <v>345</v>
      </c>
      <c r="B269" s="5" t="s">
        <v>770</v>
      </c>
      <c r="C269" s="5" t="s">
        <v>866</v>
      </c>
      <c r="D269" s="5" t="s">
        <v>348</v>
      </c>
      <c r="E269" s="5" t="s">
        <v>7</v>
      </c>
      <c r="F269" s="5" t="s">
        <v>349</v>
      </c>
      <c r="G269" s="5" t="s">
        <v>350</v>
      </c>
      <c r="H269" s="5" t="s">
        <v>772</v>
      </c>
      <c r="I269" s="5" t="s">
        <v>867</v>
      </c>
      <c r="J269" s="5" t="s">
        <v>868</v>
      </c>
      <c r="K269" s="7" t="str">
        <f ca="1">IFERROR(__xludf.DUMMYFUNCTION("GOOGLETRANSLATE(H269,""EN"",""ES"")"),"CALZADO, CALCETINES Y MEDIAS")</f>
        <v>CALZADO, CALCETINES Y MEDIAS</v>
      </c>
      <c r="L269" s="5" t="str">
        <f ca="1">IFERROR(__xludf.DUMMYFUNCTION("GOOGLETRANSLATE(J269,""EN"",""ES"")"),"Tacones")</f>
        <v>Tacones</v>
      </c>
      <c r="M269" s="8" t="s">
        <v>8</v>
      </c>
      <c r="N269" s="8" t="s">
        <v>8</v>
      </c>
    </row>
    <row r="270" spans="1:14" ht="11.25" customHeight="1">
      <c r="A270" s="5" t="s">
        <v>345</v>
      </c>
      <c r="B270" s="5" t="s">
        <v>770</v>
      </c>
      <c r="C270" s="5" t="s">
        <v>869</v>
      </c>
      <c r="D270" s="5" t="s">
        <v>348</v>
      </c>
      <c r="E270" s="5" t="s">
        <v>7</v>
      </c>
      <c r="F270" s="5" t="s">
        <v>349</v>
      </c>
      <c r="G270" s="5" t="s">
        <v>350</v>
      </c>
      <c r="H270" s="5" t="s">
        <v>772</v>
      </c>
      <c r="I270" s="5" t="s">
        <v>870</v>
      </c>
      <c r="J270" s="5" t="s">
        <v>871</v>
      </c>
      <c r="K270" s="7" t="str">
        <f ca="1">IFERROR(__xludf.DUMMYFUNCTION("GOOGLETRANSLATE(H270,""EN"",""ES"")"),"CALZADO, CALCETINES Y MEDIAS")</f>
        <v>CALZADO, CALCETINES Y MEDIAS</v>
      </c>
      <c r="L270" s="5" t="str">
        <f ca="1">IFERROR(__xludf.DUMMYFUNCTION("GOOGLETRANSLATE(J270,""EN"",""ES"")"),"medias medicas")</f>
        <v>medias medicas</v>
      </c>
      <c r="M270" s="8" t="s">
        <v>8</v>
      </c>
      <c r="N270" s="8" t="s">
        <v>8</v>
      </c>
    </row>
    <row r="271" spans="1:14" ht="11.25" customHeight="1">
      <c r="A271" s="5" t="s">
        <v>345</v>
      </c>
      <c r="B271" s="5" t="s">
        <v>770</v>
      </c>
      <c r="C271" s="5" t="s">
        <v>872</v>
      </c>
      <c r="D271" s="5" t="s">
        <v>348</v>
      </c>
      <c r="E271" s="5" t="s">
        <v>7</v>
      </c>
      <c r="F271" s="5" t="s">
        <v>349</v>
      </c>
      <c r="G271" s="5" t="s">
        <v>350</v>
      </c>
      <c r="H271" s="5" t="s">
        <v>772</v>
      </c>
      <c r="I271" s="5" t="s">
        <v>873</v>
      </c>
      <c r="J271" s="5" t="s">
        <v>874</v>
      </c>
      <c r="K271" s="7" t="str">
        <f ca="1">IFERROR(__xludf.DUMMYFUNCTION("GOOGLETRANSLATE(H271,""EN"",""ES"")"),"CALZADO, CALCETINES Y MEDIAS")</f>
        <v>CALZADO, CALCETINES Y MEDIAS</v>
      </c>
      <c r="L271" s="5" t="str">
        <f ca="1">IFERROR(__xludf.DUMMYFUNCTION("GOOGLETRANSLATE(J271,""EN"",""ES"")"),"Protectores de talones para calzado")</f>
        <v>Protectores de talones para calzado</v>
      </c>
      <c r="M271" s="8" t="s">
        <v>8</v>
      </c>
      <c r="N271" s="8" t="s">
        <v>8</v>
      </c>
    </row>
    <row r="272" spans="1:14" ht="11.25" customHeight="1">
      <c r="A272" s="5" t="s">
        <v>345</v>
      </c>
      <c r="B272" s="5" t="s">
        <v>770</v>
      </c>
      <c r="C272" s="5" t="s">
        <v>875</v>
      </c>
      <c r="D272" s="5" t="s">
        <v>348</v>
      </c>
      <c r="E272" s="5" t="s">
        <v>7</v>
      </c>
      <c r="F272" s="5" t="s">
        <v>349</v>
      </c>
      <c r="G272" s="5" t="s">
        <v>350</v>
      </c>
      <c r="H272" s="5" t="s">
        <v>772</v>
      </c>
      <c r="I272" s="5" t="s">
        <v>876</v>
      </c>
      <c r="J272" s="5" t="s">
        <v>877</v>
      </c>
      <c r="K272" s="7" t="str">
        <f ca="1">IFERROR(__xludf.DUMMYFUNCTION("GOOGLETRANSLATE(H272,""EN"",""ES"")"),"CALZADO, CALCETINES Y MEDIAS")</f>
        <v>CALZADO, CALCETINES Y MEDIAS</v>
      </c>
      <c r="L272" s="5" t="str">
        <f ca="1">IFERROR(__xludf.DUMMYFUNCTION("GOOGLETRANSLATE(J272,""EN"",""ES"")"),"Protectores antideslizantes para calzado [excepto crampones]")</f>
        <v>Protectores antideslizantes para calzado [excepto crampones]</v>
      </c>
      <c r="M272" s="8" t="s">
        <v>8</v>
      </c>
      <c r="N272" s="8" t="s">
        <v>8</v>
      </c>
    </row>
    <row r="273" spans="1:14" ht="11.25" customHeight="1">
      <c r="A273" s="5" t="s">
        <v>345</v>
      </c>
      <c r="B273" s="5" t="s">
        <v>770</v>
      </c>
      <c r="C273" s="5" t="s">
        <v>878</v>
      </c>
      <c r="D273" s="5" t="s">
        <v>348</v>
      </c>
      <c r="E273" s="5" t="s">
        <v>7</v>
      </c>
      <c r="F273" s="5" t="s">
        <v>349</v>
      </c>
      <c r="G273" s="5" t="s">
        <v>350</v>
      </c>
      <c r="H273" s="5" t="s">
        <v>772</v>
      </c>
      <c r="I273" s="5" t="s">
        <v>879</v>
      </c>
      <c r="J273" s="5" t="s">
        <v>880</v>
      </c>
      <c r="K273" s="7" t="str">
        <f ca="1">IFERROR(__xludf.DUMMYFUNCTION("GOOGLETRANSLATE(H273,""EN"",""ES"")"),"CALZADO, CALCETINES Y MEDIAS")</f>
        <v>CALZADO, CALCETINES Y MEDIAS</v>
      </c>
      <c r="L273" s="5" t="str">
        <f ca="1">IFERROR(__xludf.DUMMYFUNCTION("GOOGLETRANSLATE(J273,""EN"",""ES"")"),"calzado ortopedico")</f>
        <v>calzado ortopedico</v>
      </c>
      <c r="M273" s="8" t="s">
        <v>8</v>
      </c>
      <c r="N273" s="8" t="s">
        <v>8</v>
      </c>
    </row>
    <row r="274" spans="1:14" ht="11.25" customHeight="1">
      <c r="A274" s="5" t="s">
        <v>345</v>
      </c>
      <c r="B274" s="5" t="s">
        <v>770</v>
      </c>
      <c r="C274" s="5" t="s">
        <v>878</v>
      </c>
      <c r="D274" s="5" t="s">
        <v>348</v>
      </c>
      <c r="E274" s="5" t="s">
        <v>7</v>
      </c>
      <c r="F274" s="5" t="s">
        <v>349</v>
      </c>
      <c r="G274" s="5" t="s">
        <v>350</v>
      </c>
      <c r="H274" s="5" t="s">
        <v>772</v>
      </c>
      <c r="I274" s="5" t="s">
        <v>881</v>
      </c>
      <c r="J274" s="5" t="s">
        <v>152</v>
      </c>
      <c r="K274" s="7" t="str">
        <f ca="1">IFERROR(__xludf.DUMMYFUNCTION("GOOGLETRANSLATE(H274,""EN"",""ES"")"),"CALZADO, CALCETINES Y MEDIAS")</f>
        <v>CALZADO, CALCETINES Y MEDIAS</v>
      </c>
      <c r="L274" s="5" t="str">
        <f ca="1">IFERROR(__xludf.DUMMYFUNCTION("GOOGLETRANSLATE(J274,""EN"",""ES"")"),"calzado ortopedico")</f>
        <v>calzado ortopedico</v>
      </c>
      <c r="M274" s="8" t="s">
        <v>8</v>
      </c>
      <c r="N274" s="8" t="s">
        <v>8</v>
      </c>
    </row>
    <row r="275" spans="1:14" ht="11.25" customHeight="1">
      <c r="A275" s="5" t="s">
        <v>345</v>
      </c>
      <c r="B275" s="5" t="s">
        <v>770</v>
      </c>
      <c r="C275" s="5" t="s">
        <v>882</v>
      </c>
      <c r="D275" s="5" t="s">
        <v>348</v>
      </c>
      <c r="E275" s="5" t="s">
        <v>7</v>
      </c>
      <c r="F275" s="5" t="s">
        <v>349</v>
      </c>
      <c r="G275" s="5" t="s">
        <v>350</v>
      </c>
      <c r="H275" s="5" t="s">
        <v>772</v>
      </c>
      <c r="I275" s="5" t="s">
        <v>883</v>
      </c>
      <c r="J275" s="5" t="s">
        <v>884</v>
      </c>
      <c r="K275" s="7" t="str">
        <f ca="1">IFERROR(__xludf.DUMMYFUNCTION("GOOGLETRANSLATE(H275,""EN"",""ES"")"),"CALZADO, CALCETINES Y MEDIAS")</f>
        <v>CALZADO, CALCETINES Y MEDIAS</v>
      </c>
      <c r="L275" s="5" t="str">
        <f ca="1">IFERROR(__xludf.DUMMYFUNCTION("GOOGLETRANSLATE(J275,""EN"",""ES"")"),"calcetines ortopedicos")</f>
        <v>calcetines ortopedicos</v>
      </c>
      <c r="M275" s="8" t="s">
        <v>8</v>
      </c>
      <c r="N275" s="8" t="s">
        <v>8</v>
      </c>
    </row>
    <row r="276" spans="1:14" ht="11.25" customHeight="1">
      <c r="A276" s="5" t="s">
        <v>345</v>
      </c>
      <c r="B276" s="5" t="s">
        <v>770</v>
      </c>
      <c r="C276" s="5" t="s">
        <v>882</v>
      </c>
      <c r="D276" s="5" t="s">
        <v>348</v>
      </c>
      <c r="E276" s="5" t="s">
        <v>7</v>
      </c>
      <c r="F276" s="5" t="s">
        <v>349</v>
      </c>
      <c r="G276" s="5" t="s">
        <v>350</v>
      </c>
      <c r="H276" s="5" t="s">
        <v>772</v>
      </c>
      <c r="I276" s="5" t="s">
        <v>885</v>
      </c>
      <c r="J276" s="5" t="s">
        <v>152</v>
      </c>
      <c r="K276" s="7" t="str">
        <f ca="1">IFERROR(__xludf.DUMMYFUNCTION("GOOGLETRANSLATE(H276,""EN"",""ES"")"),"CALZADO, CALCETINES Y MEDIAS")</f>
        <v>CALZADO, CALCETINES Y MEDIAS</v>
      </c>
      <c r="L276" s="5" t="str">
        <f ca="1">IFERROR(__xludf.DUMMYFUNCTION("GOOGLETRANSLATE(J276,""EN"",""ES"")"),"calcetines ortopedicos")</f>
        <v>calcetines ortopedicos</v>
      </c>
      <c r="M276" s="8" t="s">
        <v>8</v>
      </c>
      <c r="N276" s="8" t="s">
        <v>8</v>
      </c>
    </row>
    <row r="277" spans="1:14" ht="11.25" customHeight="1">
      <c r="A277" s="5" t="s">
        <v>345</v>
      </c>
      <c r="B277" s="5" t="s">
        <v>770</v>
      </c>
      <c r="C277" s="5" t="s">
        <v>886</v>
      </c>
      <c r="D277" s="5" t="s">
        <v>348</v>
      </c>
      <c r="E277" s="5" t="s">
        <v>7</v>
      </c>
      <c r="F277" s="5" t="s">
        <v>349</v>
      </c>
      <c r="G277" s="5" t="s">
        <v>350</v>
      </c>
      <c r="H277" s="5" t="s">
        <v>772</v>
      </c>
      <c r="I277" s="5" t="s">
        <v>887</v>
      </c>
      <c r="J277" s="5" t="s">
        <v>888</v>
      </c>
      <c r="K277" s="7" t="str">
        <f ca="1">IFERROR(__xludf.DUMMYFUNCTION("GOOGLETRANSLATE(H277,""EN"",""ES"")"),"CALZADO, CALCETINES Y MEDIAS")</f>
        <v>CALZADO, CALCETINES Y MEDIAS</v>
      </c>
      <c r="L277" s="5" t="str">
        <f ca="1">IFERROR(__xludf.DUMMYFUNCTION("GOOGLETRANSLATE(J277,""EN"",""ES"")"),"Suelas ortopédicas")</f>
        <v>Suelas ortopédicas</v>
      </c>
      <c r="M277" s="8" t="s">
        <v>8</v>
      </c>
      <c r="N277" s="8" t="s">
        <v>8</v>
      </c>
    </row>
    <row r="278" spans="1:14" ht="11.25" customHeight="1">
      <c r="A278" s="5" t="s">
        <v>345</v>
      </c>
      <c r="B278" s="5" t="s">
        <v>770</v>
      </c>
      <c r="C278" s="5" t="s">
        <v>886</v>
      </c>
      <c r="D278" s="5" t="s">
        <v>348</v>
      </c>
      <c r="E278" s="5" t="s">
        <v>7</v>
      </c>
      <c r="F278" s="5" t="s">
        <v>349</v>
      </c>
      <c r="G278" s="5" t="s">
        <v>350</v>
      </c>
      <c r="H278" s="5" t="s">
        <v>772</v>
      </c>
      <c r="I278" s="5" t="s">
        <v>889</v>
      </c>
      <c r="J278" s="5" t="s">
        <v>152</v>
      </c>
      <c r="K278" s="7" t="str">
        <f ca="1">IFERROR(__xludf.DUMMYFUNCTION("GOOGLETRANSLATE(H278,""EN"",""ES"")"),"CALZADO, CALCETINES Y MEDIAS")</f>
        <v>CALZADO, CALCETINES Y MEDIAS</v>
      </c>
      <c r="L278" s="5" t="str">
        <f ca="1">IFERROR(__xludf.DUMMYFUNCTION("GOOGLETRANSLATE(J278,""EN"",""ES"")"),"Suelas ortopédicas")</f>
        <v>Suelas ortopédicas</v>
      </c>
      <c r="M278" s="8" t="s">
        <v>8</v>
      </c>
      <c r="N278" s="8" t="s">
        <v>8</v>
      </c>
    </row>
    <row r="279" spans="1:14" ht="11.25" customHeight="1">
      <c r="A279" s="5" t="s">
        <v>345</v>
      </c>
      <c r="B279" s="5" t="s">
        <v>770</v>
      </c>
      <c r="C279" s="5" t="s">
        <v>890</v>
      </c>
      <c r="D279" s="5" t="s">
        <v>348</v>
      </c>
      <c r="E279" s="5" t="s">
        <v>7</v>
      </c>
      <c r="F279" s="5" t="s">
        <v>349</v>
      </c>
      <c r="G279" s="5" t="s">
        <v>350</v>
      </c>
      <c r="H279" s="5" t="s">
        <v>772</v>
      </c>
      <c r="I279" s="5" t="s">
        <v>891</v>
      </c>
      <c r="J279" s="5" t="s">
        <v>892</v>
      </c>
      <c r="K279" s="7" t="str">
        <f ca="1">IFERROR(__xludf.DUMMYFUNCTION("GOOGLETRANSLATE(H279,""EN"",""ES"")"),"CALZADO, CALCETINES Y MEDIAS")</f>
        <v>CALZADO, CALCETINES Y MEDIAS</v>
      </c>
      <c r="L279" s="5" t="str">
        <f ca="1">IFERROR(__xludf.DUMMYFUNCTION("GOOGLETRANSLATE(J279,""EN"",""ES"")"),"Zapatos para montañismo")</f>
        <v>Zapatos para montañismo</v>
      </c>
      <c r="M279" s="8" t="s">
        <v>8</v>
      </c>
      <c r="N279" s="8" t="s">
        <v>8</v>
      </c>
    </row>
    <row r="280" spans="1:14" ht="11.25" customHeight="1">
      <c r="A280" s="5" t="s">
        <v>345</v>
      </c>
      <c r="B280" s="5" t="s">
        <v>770</v>
      </c>
      <c r="C280" s="5" t="s">
        <v>893</v>
      </c>
      <c r="D280" s="5" t="s">
        <v>348</v>
      </c>
      <c r="E280" s="5" t="s">
        <v>7</v>
      </c>
      <c r="F280" s="5" t="s">
        <v>349</v>
      </c>
      <c r="G280" s="5" t="s">
        <v>350</v>
      </c>
      <c r="H280" s="5" t="s">
        <v>772</v>
      </c>
      <c r="I280" s="5" t="s">
        <v>894</v>
      </c>
      <c r="J280" s="5" t="s">
        <v>895</v>
      </c>
      <c r="K280" s="7" t="str">
        <f ca="1">IFERROR(__xludf.DUMMYFUNCTION("GOOGLETRANSLATE(H280,""EN"",""ES"")"),"CALZADO, CALCETINES Y MEDIAS")</f>
        <v>CALZADO, CALCETINES Y MEDIAS</v>
      </c>
      <c r="L280" s="5" t="str">
        <f ca="1">IFERROR(__xludf.DUMMYFUNCTION("GOOGLETRANSLATE(J280,""EN"",""ES"")"),"zapatos de golf")</f>
        <v>zapatos de golf</v>
      </c>
      <c r="M280" s="8" t="s">
        <v>8</v>
      </c>
      <c r="N280" s="8" t="s">
        <v>8</v>
      </c>
    </row>
    <row r="281" spans="1:14" ht="11.25" customHeight="1">
      <c r="A281" s="5" t="s">
        <v>345</v>
      </c>
      <c r="B281" s="5" t="s">
        <v>770</v>
      </c>
      <c r="C281" s="5" t="s">
        <v>896</v>
      </c>
      <c r="D281" s="5" t="s">
        <v>348</v>
      </c>
      <c r="E281" s="5" t="s">
        <v>7</v>
      </c>
      <c r="F281" s="5" t="s">
        <v>349</v>
      </c>
      <c r="G281" s="5" t="s">
        <v>350</v>
      </c>
      <c r="H281" s="5" t="s">
        <v>772</v>
      </c>
      <c r="I281" s="5" t="s">
        <v>897</v>
      </c>
      <c r="J281" s="5" t="s">
        <v>898</v>
      </c>
      <c r="K281" s="7" t="str">
        <f ca="1">IFERROR(__xludf.DUMMYFUNCTION("GOOGLETRANSLATE(H281,""EN"",""ES"")"),"CALZADO, CALCETINES Y MEDIAS")</f>
        <v>CALZADO, CALCETINES Y MEDIAS</v>
      </c>
      <c r="L281" s="5" t="str">
        <f ca="1">IFERROR(__xludf.DUMMYFUNCTION("GOOGLETRANSLATE(J281,""EN"",""ES"")"),"botas de escalada")</f>
        <v>botas de escalada</v>
      </c>
      <c r="M281" s="8" t="s">
        <v>8</v>
      </c>
      <c r="N281" s="8" t="s">
        <v>8</v>
      </c>
    </row>
    <row r="282" spans="1:14" ht="11.25" customHeight="1">
      <c r="A282" s="5" t="s">
        <v>345</v>
      </c>
      <c r="B282" s="5" t="s">
        <v>770</v>
      </c>
      <c r="C282" s="5" t="s">
        <v>899</v>
      </c>
      <c r="D282" s="5" t="s">
        <v>348</v>
      </c>
      <c r="E282" s="5" t="s">
        <v>7</v>
      </c>
      <c r="F282" s="5" t="s">
        <v>349</v>
      </c>
      <c r="G282" s="5" t="s">
        <v>350</v>
      </c>
      <c r="H282" s="5" t="s">
        <v>772</v>
      </c>
      <c r="I282" s="5" t="s">
        <v>900</v>
      </c>
      <c r="J282" s="5" t="s">
        <v>901</v>
      </c>
      <c r="K282" s="7" t="str">
        <f ca="1">IFERROR(__xludf.DUMMYFUNCTION("GOOGLETRANSLATE(H282,""EN"",""ES"")"),"CALZADO, CALCETINES Y MEDIAS")</f>
        <v>CALZADO, CALCETINES Y MEDIAS</v>
      </c>
      <c r="L282" s="5" t="str">
        <f ca="1">IFERROR(__xludf.DUMMYFUNCTION("GOOGLETRANSLATE(J282,""EN"",""ES"")"),"Botas de esquí alpino")</f>
        <v>Botas de esquí alpino</v>
      </c>
      <c r="M282" s="8" t="s">
        <v>8</v>
      </c>
      <c r="N282" s="8" t="s">
        <v>8</v>
      </c>
    </row>
    <row r="283" spans="1:14" ht="11.25" customHeight="1">
      <c r="A283" s="5" t="s">
        <v>345</v>
      </c>
      <c r="B283" s="5" t="s">
        <v>770</v>
      </c>
      <c r="C283" s="5" t="s">
        <v>902</v>
      </c>
      <c r="D283" s="5" t="s">
        <v>348</v>
      </c>
      <c r="E283" s="5" t="s">
        <v>7</v>
      </c>
      <c r="F283" s="5" t="s">
        <v>349</v>
      </c>
      <c r="G283" s="5" t="s">
        <v>350</v>
      </c>
      <c r="H283" s="5" t="s">
        <v>772</v>
      </c>
      <c r="I283" s="5" t="s">
        <v>903</v>
      </c>
      <c r="J283" s="5" t="s">
        <v>904</v>
      </c>
      <c r="K283" s="7" t="str">
        <f ca="1">IFERROR(__xludf.DUMMYFUNCTION("GOOGLETRANSLATE(H283,""EN"",""ES"")"),"CALZADO, CALCETINES Y MEDIAS")</f>
        <v>CALZADO, CALCETINES Y MEDIAS</v>
      </c>
      <c r="L283" s="5" t="str">
        <f ca="1">IFERROR(__xludf.DUMMYFUNCTION("GOOGLETRANSLATE(J283,""EN"",""ES"")"),"botas telemark")</f>
        <v>botas telemark</v>
      </c>
      <c r="M283" s="8" t="s">
        <v>8</v>
      </c>
      <c r="N283" s="8" t="s">
        <v>8</v>
      </c>
    </row>
    <row r="284" spans="1:14" ht="11.25" customHeight="1">
      <c r="A284" s="5" t="s">
        <v>345</v>
      </c>
      <c r="B284" s="5" t="s">
        <v>770</v>
      </c>
      <c r="C284" s="5" t="s">
        <v>905</v>
      </c>
      <c r="D284" s="5" t="s">
        <v>348</v>
      </c>
      <c r="E284" s="5" t="s">
        <v>7</v>
      </c>
      <c r="F284" s="5" t="s">
        <v>349</v>
      </c>
      <c r="G284" s="5" t="s">
        <v>350</v>
      </c>
      <c r="H284" s="5" t="s">
        <v>772</v>
      </c>
      <c r="I284" s="5" t="s">
        <v>906</v>
      </c>
      <c r="J284" s="5" t="s">
        <v>907</v>
      </c>
      <c r="K284" s="7" t="str">
        <f ca="1">IFERROR(__xludf.DUMMYFUNCTION("GOOGLETRANSLATE(H284,""EN"",""ES"")"),"CALZADO, CALCETINES Y MEDIAS")</f>
        <v>CALZADO, CALCETINES Y MEDIAS</v>
      </c>
      <c r="L284" s="5" t="str">
        <f ca="1">IFERROR(__xludf.DUMMYFUNCTION("GOOGLETRANSLATE(J284,""EN"",""ES"")"),"botas de snowboard")</f>
        <v>botas de snowboard</v>
      </c>
      <c r="M284" s="8" t="s">
        <v>8</v>
      </c>
      <c r="N284" s="8" t="s">
        <v>8</v>
      </c>
    </row>
    <row r="285" spans="1:14" ht="11.25" customHeight="1">
      <c r="A285" s="5" t="s">
        <v>345</v>
      </c>
      <c r="B285" s="5" t="s">
        <v>770</v>
      </c>
      <c r="C285" s="5" t="s">
        <v>908</v>
      </c>
      <c r="D285" s="5" t="s">
        <v>348</v>
      </c>
      <c r="E285" s="5" t="s">
        <v>7</v>
      </c>
      <c r="F285" s="5" t="s">
        <v>349</v>
      </c>
      <c r="G285" s="5" t="s">
        <v>350</v>
      </c>
      <c r="H285" s="5" t="s">
        <v>772</v>
      </c>
      <c r="I285" s="5" t="s">
        <v>909</v>
      </c>
      <c r="J285" s="5" t="s">
        <v>910</v>
      </c>
      <c r="K285" s="7" t="str">
        <f ca="1">IFERROR(__xludf.DUMMYFUNCTION("GOOGLETRANSLATE(H285,""EN"",""ES"")"),"CALZADO, CALCETINES Y MEDIAS")</f>
        <v>CALZADO, CALCETINES Y MEDIAS</v>
      </c>
      <c r="L285" s="5" t="str">
        <f ca="1">IFERROR(__xludf.DUMMYFUNCTION("GOOGLETRANSLATE(J285,""EN"",""ES"")"),"botas de montaña")</f>
        <v>botas de montaña</v>
      </c>
      <c r="M285" s="8" t="s">
        <v>8</v>
      </c>
      <c r="N285" s="8" t="s">
        <v>8</v>
      </c>
    </row>
    <row r="286" spans="1:14" ht="11.25" customHeight="1">
      <c r="A286" s="5" t="s">
        <v>345</v>
      </c>
      <c r="B286" s="5" t="s">
        <v>770</v>
      </c>
      <c r="C286" s="5" t="s">
        <v>911</v>
      </c>
      <c r="D286" s="5" t="s">
        <v>348</v>
      </c>
      <c r="E286" s="5" t="s">
        <v>7</v>
      </c>
      <c r="F286" s="5" t="s">
        <v>349</v>
      </c>
      <c r="G286" s="5" t="s">
        <v>350</v>
      </c>
      <c r="H286" s="5" t="s">
        <v>772</v>
      </c>
      <c r="I286" s="5" t="s">
        <v>912</v>
      </c>
      <c r="J286" s="5" t="s">
        <v>913</v>
      </c>
      <c r="K286" s="7" t="str">
        <f ca="1">IFERROR(__xludf.DUMMYFUNCTION("GOOGLETRANSLATE(H286,""EN"",""ES"")"),"CALZADO, CALCETINES Y MEDIAS")</f>
        <v>CALZADO, CALCETINES Y MEDIAS</v>
      </c>
      <c r="L286" s="5" t="str">
        <f ca="1">IFERROR(__xludf.DUMMYFUNCTION("GOOGLETRANSLATE(J286,""EN"",""ES"")"),"Botas de nieve [botas après-ski]")</f>
        <v>Botas de nieve [botas après-ski]</v>
      </c>
      <c r="M286" s="8" t="s">
        <v>8</v>
      </c>
      <c r="N286" s="8" t="s">
        <v>8</v>
      </c>
    </row>
    <row r="287" spans="1:14" ht="11.25" customHeight="1">
      <c r="A287" s="5" t="s">
        <v>345</v>
      </c>
      <c r="B287" s="5" t="s">
        <v>770</v>
      </c>
      <c r="C287" s="5" t="s">
        <v>914</v>
      </c>
      <c r="D287" s="5" t="s">
        <v>348</v>
      </c>
      <c r="E287" s="5" t="s">
        <v>7</v>
      </c>
      <c r="F287" s="5" t="s">
        <v>349</v>
      </c>
      <c r="G287" s="5" t="s">
        <v>350</v>
      </c>
      <c r="H287" s="5" t="s">
        <v>772</v>
      </c>
      <c r="I287" s="5" t="s">
        <v>915</v>
      </c>
      <c r="J287" s="5" t="s">
        <v>916</v>
      </c>
      <c r="K287" s="7" t="str">
        <f ca="1">IFERROR(__xludf.DUMMYFUNCTION("GOOGLETRANSLATE(H287,""EN"",""ES"")"),"CALZADO, CALCETINES Y MEDIAS")</f>
        <v>CALZADO, CALCETINES Y MEDIAS</v>
      </c>
      <c r="L287" s="5" t="str">
        <f ca="1">IFERROR(__xludf.DUMMYFUNCTION("GOOGLETRANSLATE(J287,""EN"",""ES"")"),"zapatos de agua")</f>
        <v>zapatos de agua</v>
      </c>
      <c r="M287" s="8" t="s">
        <v>8</v>
      </c>
      <c r="N287" s="8" t="s">
        <v>8</v>
      </c>
    </row>
    <row r="288" spans="1:14" ht="11.25" customHeight="1">
      <c r="A288" s="5" t="s">
        <v>345</v>
      </c>
      <c r="B288" s="5" t="s">
        <v>770</v>
      </c>
      <c r="C288" s="5" t="s">
        <v>917</v>
      </c>
      <c r="D288" s="5" t="s">
        <v>348</v>
      </c>
      <c r="E288" s="5" t="s">
        <v>7</v>
      </c>
      <c r="F288" s="5" t="s">
        <v>349</v>
      </c>
      <c r="G288" s="5" t="s">
        <v>350</v>
      </c>
      <c r="H288" s="5" t="s">
        <v>772</v>
      </c>
      <c r="I288" s="5" t="s">
        <v>918</v>
      </c>
      <c r="J288" s="5" t="s">
        <v>919</v>
      </c>
      <c r="K288" s="7" t="str">
        <f ca="1">IFERROR(__xludf.DUMMYFUNCTION("GOOGLETRANSLATE(H288,""EN"",""ES"")"),"CALZADO, CALCETINES Y MEDIAS")</f>
        <v>CALZADO, CALCETINES Y MEDIAS</v>
      </c>
      <c r="L288" s="5" t="str">
        <f ca="1">IFERROR(__xludf.DUMMYFUNCTION("GOOGLETRANSLATE(J288,""EN"",""ES"")"),"zapatos de surf")</f>
        <v>zapatos de surf</v>
      </c>
      <c r="M288" s="8" t="s">
        <v>8</v>
      </c>
      <c r="N288" s="8" t="s">
        <v>8</v>
      </c>
    </row>
    <row r="289" spans="1:14" ht="11.25" customHeight="1">
      <c r="A289" s="5" t="s">
        <v>345</v>
      </c>
      <c r="B289" s="5" t="s">
        <v>770</v>
      </c>
      <c r="C289" s="5" t="s">
        <v>920</v>
      </c>
      <c r="D289" s="5" t="s">
        <v>348</v>
      </c>
      <c r="E289" s="5" t="s">
        <v>7</v>
      </c>
      <c r="F289" s="5" t="s">
        <v>349</v>
      </c>
      <c r="G289" s="5" t="s">
        <v>350</v>
      </c>
      <c r="H289" s="5" t="s">
        <v>772</v>
      </c>
      <c r="I289" s="5" t="s">
        <v>921</v>
      </c>
      <c r="J289" s="5" t="s">
        <v>922</v>
      </c>
      <c r="K289" s="7" t="str">
        <f ca="1">IFERROR(__xludf.DUMMYFUNCTION("GOOGLETRANSLATE(H289,""EN"",""ES"")"),"CALZADO, CALCETINES Y MEDIAS")</f>
        <v>CALZADO, CALCETINES Y MEDIAS</v>
      </c>
      <c r="L289" s="5" t="str">
        <f ca="1">IFERROR(__xludf.DUMMYFUNCTION("GOOGLETRANSLATE(J289,""EN"",""ES"")"),"Medias de maternidad")</f>
        <v>Medias de maternidad</v>
      </c>
      <c r="M289" s="8" t="s">
        <v>8</v>
      </c>
      <c r="N289" s="8" t="s">
        <v>8</v>
      </c>
    </row>
    <row r="290" spans="1:14" ht="11.25" customHeight="1">
      <c r="A290" s="5" t="s">
        <v>345</v>
      </c>
      <c r="B290" s="5" t="s">
        <v>923</v>
      </c>
      <c r="C290" s="5" t="s">
        <v>924</v>
      </c>
      <c r="D290" s="5" t="s">
        <v>348</v>
      </c>
      <c r="E290" s="5" t="s">
        <v>7</v>
      </c>
      <c r="F290" s="5" t="s">
        <v>349</v>
      </c>
      <c r="G290" s="5" t="s">
        <v>350</v>
      </c>
      <c r="H290" s="5" t="s">
        <v>925</v>
      </c>
      <c r="I290" s="5" t="s">
        <v>926</v>
      </c>
      <c r="J290" s="5" t="s">
        <v>927</v>
      </c>
      <c r="K290" s="7" t="str">
        <f ca="1">IFERROR(__xludf.DUMMYFUNCTION("GOOGLETRANSLATE(H290,""EN"",""ES"")"),"CORBATAS, BUFANDAS, PAÑUELOS Y PAÑUELOS")</f>
        <v>CORBATAS, BUFANDAS, PAÑUELOS Y PAÑUELOS</v>
      </c>
      <c r="L290" s="5" t="str">
        <f ca="1">IFERROR(__xludf.DUMMYFUNCTION("GOOGLETRANSLATE(J290,""EN"",""ES"")"),"Baberos")</f>
        <v>Baberos</v>
      </c>
      <c r="M290" s="8" t="s">
        <v>9</v>
      </c>
      <c r="N290" s="8" t="s">
        <v>9</v>
      </c>
    </row>
    <row r="291" spans="1:14" ht="11.25" customHeight="1">
      <c r="A291" s="5" t="s">
        <v>345</v>
      </c>
      <c r="B291" s="5" t="s">
        <v>923</v>
      </c>
      <c r="C291" s="5" t="s">
        <v>924</v>
      </c>
      <c r="D291" s="5" t="s">
        <v>348</v>
      </c>
      <c r="E291" s="5" t="s">
        <v>7</v>
      </c>
      <c r="F291" s="5" t="s">
        <v>349</v>
      </c>
      <c r="G291" s="5" t="s">
        <v>350</v>
      </c>
      <c r="H291" s="5" t="s">
        <v>925</v>
      </c>
      <c r="I291" s="5" t="s">
        <v>152</v>
      </c>
      <c r="J291" s="5" t="s">
        <v>928</v>
      </c>
      <c r="K291" s="7" t="str">
        <f ca="1">IFERROR(__xludf.DUMMYFUNCTION("GOOGLETRANSLATE(H291,""EN"",""ES"")"),"CORBATAS, BUFANDAS, PAÑUELOS Y PAÑUELOS")</f>
        <v>CORBATAS, BUFANDAS, PAÑUELOS Y PAÑUELOS</v>
      </c>
      <c r="L291" s="5" t="str">
        <f ca="1">IFERROR(__xludf.DUMMYFUNCTION("GOOGLETRANSLATE(J291,""EN"",""ES"")"),"N / A")</f>
        <v>N / A</v>
      </c>
      <c r="M291" s="8" t="s">
        <v>9</v>
      </c>
      <c r="N291" s="8" t="s">
        <v>9</v>
      </c>
    </row>
    <row r="292" spans="1:14" ht="11.25" customHeight="1">
      <c r="A292" s="5" t="s">
        <v>345</v>
      </c>
      <c r="B292" s="5" t="s">
        <v>923</v>
      </c>
      <c r="C292" s="5" t="s">
        <v>929</v>
      </c>
      <c r="D292" s="5" t="s">
        <v>348</v>
      </c>
      <c r="E292" s="5" t="s">
        <v>7</v>
      </c>
      <c r="F292" s="5" t="s">
        <v>349</v>
      </c>
      <c r="G292" s="5" t="s">
        <v>350</v>
      </c>
      <c r="H292" s="5" t="s">
        <v>925</v>
      </c>
      <c r="I292" s="5" t="s">
        <v>930</v>
      </c>
      <c r="J292" s="5" t="s">
        <v>931</v>
      </c>
      <c r="K292" s="7" t="str">
        <f ca="1">IFERROR(__xludf.DUMMYFUNCTION("GOOGLETRANSLATE(H292,""EN"",""ES"")"),"CORBATAS, BUFANDAS, PAÑUELOS Y PAÑUELOS")</f>
        <v>CORBATAS, BUFANDAS, PAÑUELOS Y PAÑUELOS</v>
      </c>
      <c r="L292" s="5" t="str">
        <f ca="1">IFERROR(__xludf.DUMMYFUNCTION("GOOGLETRANSLATE(J292,""EN"",""ES"")"),"Cuadrados [bufandas]")</f>
        <v>Cuadrados [bufandas]</v>
      </c>
      <c r="M292" s="8" t="s">
        <v>9</v>
      </c>
      <c r="N292" s="8" t="s">
        <v>9</v>
      </c>
    </row>
    <row r="293" spans="1:14" ht="11.25" customHeight="1">
      <c r="A293" s="5" t="s">
        <v>345</v>
      </c>
      <c r="B293" s="5" t="s">
        <v>923</v>
      </c>
      <c r="C293" s="5" t="s">
        <v>932</v>
      </c>
      <c r="D293" s="5" t="s">
        <v>348</v>
      </c>
      <c r="E293" s="5" t="s">
        <v>7</v>
      </c>
      <c r="F293" s="5" t="s">
        <v>349</v>
      </c>
      <c r="G293" s="5" t="s">
        <v>350</v>
      </c>
      <c r="H293" s="5" t="s">
        <v>925</v>
      </c>
      <c r="I293" s="5" t="s">
        <v>933</v>
      </c>
      <c r="J293" s="5" t="s">
        <v>934</v>
      </c>
      <c r="K293" s="7" t="str">
        <f ca="1">IFERROR(__xludf.DUMMYFUNCTION("GOOGLETRANSLATE(H293,""EN"",""ES"")"),"CORBATAS, BUFANDAS, PAÑUELOS Y PAÑUELOS")</f>
        <v>CORBATAS, BUFANDAS, PAÑUELOS Y PAÑUELOS</v>
      </c>
      <c r="L293" s="5" t="str">
        <f ca="1">IFERROR(__xludf.DUMMYFUNCTION("GOOGLETRANSLATE(J293,""EN"",""ES"")"),"chales")</f>
        <v>chales</v>
      </c>
      <c r="M293" s="8" t="s">
        <v>9</v>
      </c>
      <c r="N293" s="8" t="s">
        <v>9</v>
      </c>
    </row>
    <row r="294" spans="1:14" ht="11.25" customHeight="1">
      <c r="A294" s="5" t="s">
        <v>345</v>
      </c>
      <c r="B294" s="5" t="s">
        <v>923</v>
      </c>
      <c r="C294" s="5" t="s">
        <v>935</v>
      </c>
      <c r="D294" s="5" t="s">
        <v>348</v>
      </c>
      <c r="E294" s="5" t="s">
        <v>7</v>
      </c>
      <c r="F294" s="5" t="s">
        <v>349</v>
      </c>
      <c r="G294" s="5" t="s">
        <v>350</v>
      </c>
      <c r="H294" s="5" t="s">
        <v>925</v>
      </c>
      <c r="I294" s="5" t="s">
        <v>936</v>
      </c>
      <c r="J294" s="5" t="s">
        <v>937</v>
      </c>
      <c r="K294" s="7" t="str">
        <f ca="1">IFERROR(__xludf.DUMMYFUNCTION("GOOGLETRANSLATE(H294,""EN"",""ES"")"),"CORBATAS, BUFANDAS, PAÑUELOS Y PAÑUELOS")</f>
        <v>CORBATAS, BUFANDAS, PAÑUELOS Y PAÑUELOS</v>
      </c>
      <c r="L294" s="5" t="str">
        <f ca="1">IFERROR(__xludf.DUMMYFUNCTION("GOOGLETRANSLATE(J294,""EN"",""ES"")"),"Corbatas")</f>
        <v>Corbatas</v>
      </c>
      <c r="M294" s="8" t="s">
        <v>9</v>
      </c>
      <c r="N294" s="8" t="s">
        <v>9</v>
      </c>
    </row>
    <row r="295" spans="1:14" ht="11.25" customHeight="1">
      <c r="A295" s="5" t="s">
        <v>345</v>
      </c>
      <c r="B295" s="5" t="s">
        <v>923</v>
      </c>
      <c r="C295" s="5" t="s">
        <v>938</v>
      </c>
      <c r="D295" s="5" t="s">
        <v>348</v>
      </c>
      <c r="E295" s="5" t="s">
        <v>7</v>
      </c>
      <c r="F295" s="5" t="s">
        <v>349</v>
      </c>
      <c r="G295" s="5" t="s">
        <v>350</v>
      </c>
      <c r="H295" s="5" t="s">
        <v>925</v>
      </c>
      <c r="I295" s="5" t="s">
        <v>939</v>
      </c>
      <c r="J295" s="5" t="s">
        <v>940</v>
      </c>
      <c r="K295" s="7" t="str">
        <f ca="1">IFERROR(__xludf.DUMMYFUNCTION("GOOGLETRANSLATE(H295,""EN"",""ES"")"),"CORBATAS, BUFANDAS, PAÑUELOS Y PAÑUELOS")</f>
        <v>CORBATAS, BUFANDAS, PAÑUELOS Y PAÑUELOS</v>
      </c>
      <c r="L295" s="5" t="str">
        <f ca="1">IFERROR(__xludf.DUMMYFUNCTION("GOOGLETRANSLATE(J295,""EN"",""ES"")"),"Bufandas [largas]")</f>
        <v>Bufandas [largas]</v>
      </c>
      <c r="M295" s="8" t="s">
        <v>9</v>
      </c>
      <c r="N295" s="8" t="s">
        <v>9</v>
      </c>
    </row>
    <row r="296" spans="1:14" ht="11.25" customHeight="1">
      <c r="A296" s="5" t="s">
        <v>345</v>
      </c>
      <c r="B296" s="5" t="s">
        <v>923</v>
      </c>
      <c r="C296" s="5" t="s">
        <v>941</v>
      </c>
      <c r="D296" s="5" t="s">
        <v>348</v>
      </c>
      <c r="E296" s="5" t="s">
        <v>7</v>
      </c>
      <c r="F296" s="5" t="s">
        <v>349</v>
      </c>
      <c r="G296" s="5" t="s">
        <v>350</v>
      </c>
      <c r="H296" s="5" t="s">
        <v>925</v>
      </c>
      <c r="I296" s="5" t="s">
        <v>942</v>
      </c>
      <c r="J296" s="5" t="s">
        <v>943</v>
      </c>
      <c r="K296" s="7" t="str">
        <f ca="1">IFERROR(__xludf.DUMMYFUNCTION("GOOGLETRANSLATE(H296,""EN"",""ES"")"),"CORBATAS, BUFANDAS, PAÑUELOS Y PAÑUELOS")</f>
        <v>CORBATAS, BUFANDAS, PAÑUELOS Y PAÑUELOS</v>
      </c>
      <c r="L296" s="5" t="str">
        <f ca="1">IFERROR(__xludf.DUMMYFUNCTION("GOOGLETRANSLATE(J296,""EN"",""ES"")"),"Fajas para usar")</f>
        <v>Fajas para usar</v>
      </c>
      <c r="M296" s="8" t="s">
        <v>9</v>
      </c>
      <c r="N296" s="8" t="s">
        <v>9</v>
      </c>
    </row>
    <row r="297" spans="1:14" ht="11.25" customHeight="1">
      <c r="A297" s="5" t="s">
        <v>345</v>
      </c>
      <c r="B297" s="5" t="s">
        <v>923</v>
      </c>
      <c r="C297" s="5" t="s">
        <v>944</v>
      </c>
      <c r="D297" s="5" t="s">
        <v>348</v>
      </c>
      <c r="E297" s="5" t="s">
        <v>7</v>
      </c>
      <c r="F297" s="5" t="s">
        <v>349</v>
      </c>
      <c r="G297" s="5" t="s">
        <v>350</v>
      </c>
      <c r="H297" s="5" t="s">
        <v>925</v>
      </c>
      <c r="I297" s="5" t="s">
        <v>945</v>
      </c>
      <c r="J297" s="5" t="s">
        <v>946</v>
      </c>
      <c r="K297" s="7" t="str">
        <f ca="1">IFERROR(__xludf.DUMMYFUNCTION("GOOGLETRANSLATE(H297,""EN"",""ES"")"),"CORBATAS, BUFANDAS, PAÑUELOS Y PAÑUELOS")</f>
        <v>CORBATAS, BUFANDAS, PAÑUELOS Y PAÑUELOS</v>
      </c>
      <c r="L297" s="5" t="str">
        <f ca="1">IFERROR(__xludf.DUMMYFUNCTION("GOOGLETRANSLATE(J297,""EN"",""ES"")"),"Pañuelos")</f>
        <v>Pañuelos</v>
      </c>
      <c r="M297" s="8" t="s">
        <v>9</v>
      </c>
      <c r="N297" s="8" t="s">
        <v>9</v>
      </c>
    </row>
    <row r="298" spans="1:14" ht="11.25" customHeight="1">
      <c r="A298" s="5" t="s">
        <v>345</v>
      </c>
      <c r="B298" s="5" t="s">
        <v>923</v>
      </c>
      <c r="C298" s="5" t="s">
        <v>947</v>
      </c>
      <c r="D298" s="5" t="s">
        <v>348</v>
      </c>
      <c r="E298" s="5" t="s">
        <v>7</v>
      </c>
      <c r="F298" s="5" t="s">
        <v>349</v>
      </c>
      <c r="G298" s="5" t="s">
        <v>350</v>
      </c>
      <c r="H298" s="5" t="s">
        <v>925</v>
      </c>
      <c r="I298" s="5" t="s">
        <v>948</v>
      </c>
      <c r="J298" s="5" t="s">
        <v>949</v>
      </c>
      <c r="K298" s="7" t="str">
        <f ca="1">IFERROR(__xludf.DUMMYFUNCTION("GOOGLETRANSLATE(H298,""EN"",""ES"")"),"CORBATAS, BUFANDAS, PAÑUELOS Y PAÑUELOS")</f>
        <v>CORBATAS, BUFANDAS, PAÑUELOS Y PAÑUELOS</v>
      </c>
      <c r="L298" s="5" t="str">
        <f ca="1">IFERROR(__xludf.DUMMYFUNCTION("GOOGLETRANSLATE(J298,""EN"",""ES"")"),"Bufandas")</f>
        <v>Bufandas</v>
      </c>
      <c r="M298" s="8" t="s">
        <v>9</v>
      </c>
      <c r="N298" s="8" t="s">
        <v>9</v>
      </c>
    </row>
    <row r="299" spans="1:14" ht="11.25" customHeight="1">
      <c r="A299" s="5" t="s">
        <v>345</v>
      </c>
      <c r="B299" s="5" t="s">
        <v>923</v>
      </c>
      <c r="C299" s="5" t="s">
        <v>950</v>
      </c>
      <c r="D299" s="5" t="s">
        <v>348</v>
      </c>
      <c r="E299" s="5" t="s">
        <v>7</v>
      </c>
      <c r="F299" s="5" t="s">
        <v>349</v>
      </c>
      <c r="G299" s="5" t="s">
        <v>350</v>
      </c>
      <c r="H299" s="5" t="s">
        <v>925</v>
      </c>
      <c r="I299" s="5" t="s">
        <v>951</v>
      </c>
      <c r="J299" s="5" t="s">
        <v>952</v>
      </c>
      <c r="K299" s="7" t="str">
        <f ca="1">IFERROR(__xludf.DUMMYFUNCTION("GOOGLETRANSLATE(H299,""EN"",""ES"")"),"CORBATAS, BUFANDAS, PAÑUELOS Y PAÑUELOS")</f>
        <v>CORBATAS, BUFANDAS, PAÑUELOS Y PAÑUELOS</v>
      </c>
      <c r="L299" s="5" t="str">
        <f ca="1">IFERROR(__xludf.DUMMYFUNCTION("GOOGLETRANSLATE(J299,""EN"",""ES"")"),"Pañuelos")</f>
        <v>Pañuelos</v>
      </c>
      <c r="M299" s="8" t="s">
        <v>9</v>
      </c>
      <c r="N299" s="8" t="s">
        <v>9</v>
      </c>
    </row>
    <row r="300" spans="1:14" ht="11.25" customHeight="1">
      <c r="A300" s="5" t="s">
        <v>345</v>
      </c>
      <c r="B300" s="5" t="s">
        <v>923</v>
      </c>
      <c r="C300" s="5" t="s">
        <v>953</v>
      </c>
      <c r="D300" s="5" t="s">
        <v>348</v>
      </c>
      <c r="E300" s="5" t="s">
        <v>7</v>
      </c>
      <c r="F300" s="5" t="s">
        <v>349</v>
      </c>
      <c r="G300" s="5" t="s">
        <v>350</v>
      </c>
      <c r="H300" s="5" t="s">
        <v>925</v>
      </c>
      <c r="I300" s="5" t="s">
        <v>954</v>
      </c>
      <c r="J300" s="5" t="s">
        <v>955</v>
      </c>
      <c r="K300" s="7" t="str">
        <f ca="1">IFERROR(__xludf.DUMMYFUNCTION("GOOGLETRANSLATE(H300,""EN"",""ES"")"),"CORBATAS, BUFANDAS, PAÑUELOS Y PAÑUELOS")</f>
        <v>CORBATAS, BUFANDAS, PAÑUELOS Y PAÑUELOS</v>
      </c>
      <c r="L300" s="5" t="str">
        <f ca="1">IFERROR(__xludf.DUMMYFUNCTION("GOOGLETRANSLATE(J300,""EN"",""ES"")"),"Pañuelos elegantes")</f>
        <v>Pañuelos elegantes</v>
      </c>
      <c r="M300" s="8" t="s">
        <v>9</v>
      </c>
      <c r="N300" s="8" t="s">
        <v>9</v>
      </c>
    </row>
    <row r="301" spans="1:14" ht="11.25" customHeight="1">
      <c r="A301" s="5" t="s">
        <v>345</v>
      </c>
      <c r="B301" s="5" t="s">
        <v>923</v>
      </c>
      <c r="C301" s="5" t="s">
        <v>956</v>
      </c>
      <c r="D301" s="5" t="s">
        <v>348</v>
      </c>
      <c r="E301" s="5" t="s">
        <v>7</v>
      </c>
      <c r="F301" s="5" t="s">
        <v>349</v>
      </c>
      <c r="G301" s="5" t="s">
        <v>350</v>
      </c>
      <c r="H301" s="5" t="s">
        <v>925</v>
      </c>
      <c r="I301" s="5" t="s">
        <v>957</v>
      </c>
      <c r="J301" s="5" t="s">
        <v>958</v>
      </c>
      <c r="K301" s="7" t="str">
        <f ca="1">IFERROR(__xludf.DUMMYFUNCTION("GOOGLETRANSLATE(H301,""EN"",""ES"")"),"CORBATAS, BUFANDAS, PAÑUELOS Y PAÑUELOS")</f>
        <v>CORBATAS, BUFANDAS, PAÑUELOS Y PAÑUELOS</v>
      </c>
      <c r="L301" s="5" t="str">
        <f ca="1">IFERROR(__xludf.DUMMYFUNCTION("GOOGLETRANSLATE(J301,""EN"",""ES"")"),"Corbatas")</f>
        <v>Corbatas</v>
      </c>
      <c r="M301" s="8" t="s">
        <v>9</v>
      </c>
      <c r="N301" s="8" t="s">
        <v>9</v>
      </c>
    </row>
    <row r="302" spans="1:14" ht="11.25" customHeight="1">
      <c r="A302" s="5" t="s">
        <v>345</v>
      </c>
      <c r="B302" s="5" t="s">
        <v>923</v>
      </c>
      <c r="C302" s="5" t="s">
        <v>959</v>
      </c>
      <c r="D302" s="5" t="s">
        <v>348</v>
      </c>
      <c r="E302" s="5" t="s">
        <v>7</v>
      </c>
      <c r="F302" s="5" t="s">
        <v>349</v>
      </c>
      <c r="G302" s="5" t="s">
        <v>350</v>
      </c>
      <c r="H302" s="5" t="s">
        <v>925</v>
      </c>
      <c r="I302" s="5" t="s">
        <v>960</v>
      </c>
      <c r="J302" s="5" t="s">
        <v>961</v>
      </c>
      <c r="K302" s="7" t="str">
        <f ca="1">IFERROR(__xludf.DUMMYFUNCTION("GOOGLETRANSLATE(H302,""EN"",""ES"")"),"CORBATAS, BUFANDAS, PAÑUELOS Y PAÑUELOS")</f>
        <v>CORBATAS, BUFANDAS, PAÑUELOS Y PAÑUELOS</v>
      </c>
      <c r="L302" s="5" t="str">
        <f ca="1">IFERROR(__xludf.DUMMYFUNCTION("GOOGLETRANSLATE(J302,""EN"",""ES"")"),"pajaritas")</f>
        <v>pajaritas</v>
      </c>
      <c r="M302" s="8" t="s">
        <v>9</v>
      </c>
      <c r="N302" s="8" t="s">
        <v>9</v>
      </c>
    </row>
    <row r="303" spans="1:14" ht="11.25" customHeight="1">
      <c r="A303" s="5" t="s">
        <v>345</v>
      </c>
      <c r="B303" s="5" t="s">
        <v>962</v>
      </c>
      <c r="C303" s="5" t="s">
        <v>963</v>
      </c>
      <c r="D303" s="5" t="s">
        <v>348</v>
      </c>
      <c r="E303" s="5" t="s">
        <v>7</v>
      </c>
      <c r="F303" s="5" t="s">
        <v>349</v>
      </c>
      <c r="G303" s="5" t="s">
        <v>350</v>
      </c>
      <c r="H303" s="5" t="s">
        <v>964</v>
      </c>
      <c r="I303" s="5" t="s">
        <v>965</v>
      </c>
      <c r="J303" s="5" t="s">
        <v>966</v>
      </c>
      <c r="K303" s="7" t="str">
        <f ca="1">IFERROR(__xludf.DUMMYFUNCTION("GOOGLETRANSLATE(H303,""EN"",""ES"")"),"GUANTES")</f>
        <v>GUANTES</v>
      </c>
      <c r="L303" s="5" t="str">
        <f ca="1">IFERROR(__xludf.DUMMYFUNCTION("GOOGLETRANSLATE(J303,""EN"",""ES"")"),"Puestos para dedos [para fines domésticos, médicos o de otro tipo]")</f>
        <v>Puestos para dedos [para fines domésticos, médicos o de otro tipo]</v>
      </c>
      <c r="M303" s="8" t="s">
        <v>9</v>
      </c>
      <c r="N303" s="8" t="s">
        <v>9</v>
      </c>
    </row>
    <row r="304" spans="1:14" ht="11.25" customHeight="1">
      <c r="A304" s="5" t="s">
        <v>345</v>
      </c>
      <c r="B304" s="5" t="s">
        <v>962</v>
      </c>
      <c r="C304" s="5" t="s">
        <v>967</v>
      </c>
      <c r="D304" s="5" t="s">
        <v>348</v>
      </c>
      <c r="E304" s="5" t="s">
        <v>7</v>
      </c>
      <c r="F304" s="5" t="s">
        <v>349</v>
      </c>
      <c r="G304" s="5" t="s">
        <v>350</v>
      </c>
      <c r="H304" s="5" t="s">
        <v>964</v>
      </c>
      <c r="I304" s="5" t="s">
        <v>968</v>
      </c>
      <c r="J304" s="5" t="s">
        <v>969</v>
      </c>
      <c r="K304" s="7" t="str">
        <f ca="1">IFERROR(__xludf.DUMMYFUNCTION("GOOGLETRANSLATE(H304,""EN"",""ES"")"),"GUANTES")</f>
        <v>GUANTES</v>
      </c>
      <c r="L304" s="5" t="str">
        <f ca="1">IFERROR(__xludf.DUMMYFUNCTION("GOOGLETRANSLATE(J304,""EN"",""ES"")"),"Guantes")</f>
        <v>Guantes</v>
      </c>
      <c r="M304" s="8" t="s">
        <v>9</v>
      </c>
      <c r="N304" s="8" t="s">
        <v>9</v>
      </c>
    </row>
    <row r="305" spans="1:14" ht="11.25" customHeight="1">
      <c r="A305" s="5" t="s">
        <v>345</v>
      </c>
      <c r="B305" s="5" t="s">
        <v>962</v>
      </c>
      <c r="C305" s="5" t="s">
        <v>970</v>
      </c>
      <c r="D305" s="5" t="s">
        <v>348</v>
      </c>
      <c r="E305" s="5" t="s">
        <v>7</v>
      </c>
      <c r="F305" s="5" t="s">
        <v>349</v>
      </c>
      <c r="G305" s="5" t="s">
        <v>350</v>
      </c>
      <c r="H305" s="5" t="s">
        <v>964</v>
      </c>
      <c r="I305" s="5" t="s">
        <v>971</v>
      </c>
      <c r="J305" s="5" t="s">
        <v>972</v>
      </c>
      <c r="K305" s="7" t="str">
        <f ca="1">IFERROR(__xludf.DUMMYFUNCTION("GOOGLETRANSLATE(H305,""EN"",""ES"")"),"GUANTES")</f>
        <v>GUANTES</v>
      </c>
      <c r="L305" s="5" t="str">
        <f ca="1">IFERROR(__xludf.DUMMYFUNCTION("GOOGLETRANSLATE(J305,""EN"",""ES"")"),"Guantes de boxeo")</f>
        <v>Guantes de boxeo</v>
      </c>
      <c r="M305" s="8" t="s">
        <v>9</v>
      </c>
      <c r="N305" s="8" t="s">
        <v>9</v>
      </c>
    </row>
    <row r="306" spans="1:14" ht="11.25" customHeight="1">
      <c r="A306" s="5" t="s">
        <v>345</v>
      </c>
      <c r="B306" s="5" t="s">
        <v>962</v>
      </c>
      <c r="C306" s="5" t="s">
        <v>973</v>
      </c>
      <c r="D306" s="5" t="s">
        <v>348</v>
      </c>
      <c r="E306" s="5" t="s">
        <v>7</v>
      </c>
      <c r="F306" s="5" t="s">
        <v>349</v>
      </c>
      <c r="G306" s="5" t="s">
        <v>350</v>
      </c>
      <c r="H306" s="5" t="s">
        <v>964</v>
      </c>
      <c r="I306" s="5" t="s">
        <v>974</v>
      </c>
      <c r="J306" s="5" t="s">
        <v>975</v>
      </c>
      <c r="K306" s="7" t="str">
        <f ca="1">IFERROR(__xludf.DUMMYFUNCTION("GOOGLETRANSLATE(H306,""EN"",""ES"")"),"GUANTES")</f>
        <v>GUANTES</v>
      </c>
      <c r="L306" s="5" t="str">
        <f ca="1">IFERROR(__xludf.DUMMYFUNCTION("GOOGLETRANSLATE(J306,""EN"",""ES"")"),"Guantes de protección [para uso doméstico, médico o de otro tipo]")</f>
        <v>Guantes de protección [para uso doméstico, médico o de otro tipo]</v>
      </c>
      <c r="M306" s="8" t="s">
        <v>9</v>
      </c>
      <c r="N306" s="8" t="s">
        <v>9</v>
      </c>
    </row>
    <row r="307" spans="1:14" ht="11.25" customHeight="1">
      <c r="A307" s="5" t="s">
        <v>345</v>
      </c>
      <c r="B307" s="5" t="s">
        <v>962</v>
      </c>
      <c r="C307" s="5" t="s">
        <v>976</v>
      </c>
      <c r="D307" s="5" t="s">
        <v>348</v>
      </c>
      <c r="E307" s="5" t="s">
        <v>7</v>
      </c>
      <c r="F307" s="5" t="s">
        <v>349</v>
      </c>
      <c r="G307" s="5" t="s">
        <v>350</v>
      </c>
      <c r="H307" s="5" t="s">
        <v>964</v>
      </c>
      <c r="I307" s="5" t="s">
        <v>977</v>
      </c>
      <c r="J307" s="5" t="s">
        <v>978</v>
      </c>
      <c r="K307" s="7" t="str">
        <f ca="1">IFERROR(__xludf.DUMMYFUNCTION("GOOGLETRANSLATE(H307,""EN"",""ES"")"),"GUANTES")</f>
        <v>GUANTES</v>
      </c>
      <c r="L307" s="5" t="str">
        <f ca="1">IFERROR(__xludf.DUMMYFUNCTION("GOOGLETRANSLATE(J307,""EN"",""ES"")"),"Guantes de señalización")</f>
        <v>Guantes de señalización</v>
      </c>
      <c r="M307" s="8" t="s">
        <v>9</v>
      </c>
      <c r="N307" s="8" t="s">
        <v>9</v>
      </c>
    </row>
    <row r="308" spans="1:14" ht="11.25" customHeight="1">
      <c r="A308" s="5" t="s">
        <v>345</v>
      </c>
      <c r="B308" s="5" t="s">
        <v>962</v>
      </c>
      <c r="C308" s="5" t="s">
        <v>979</v>
      </c>
      <c r="D308" s="5" t="s">
        <v>348</v>
      </c>
      <c r="E308" s="5" t="s">
        <v>7</v>
      </c>
      <c r="F308" s="5" t="s">
        <v>349</v>
      </c>
      <c r="G308" s="5" t="s">
        <v>350</v>
      </c>
      <c r="H308" s="5" t="s">
        <v>964</v>
      </c>
      <c r="I308" s="5" t="s">
        <v>980</v>
      </c>
      <c r="J308" s="5" t="s">
        <v>981</v>
      </c>
      <c r="K308" s="7" t="str">
        <f ca="1">IFERROR(__xludf.DUMMYFUNCTION("GOOGLETRANSLATE(H308,""EN"",""ES"")"),"GUANTES")</f>
        <v>GUANTES</v>
      </c>
      <c r="L308" s="5" t="str">
        <f ca="1">IFERROR(__xludf.DUMMYFUNCTION("GOOGLETRANSLATE(J308,""EN"",""ES"")"),"Guantes de boxeo")</f>
        <v>Guantes de boxeo</v>
      </c>
      <c r="M308" s="8" t="s">
        <v>9</v>
      </c>
      <c r="N308" s="8" t="s">
        <v>9</v>
      </c>
    </row>
    <row r="309" spans="1:14" ht="11.25" customHeight="1">
      <c r="A309" s="5" t="s">
        <v>345</v>
      </c>
      <c r="B309" s="5" t="s">
        <v>962</v>
      </c>
      <c r="C309" s="5" t="s">
        <v>979</v>
      </c>
      <c r="D309" s="5" t="s">
        <v>348</v>
      </c>
      <c r="E309" s="5" t="s">
        <v>7</v>
      </c>
      <c r="F309" s="5" t="s">
        <v>349</v>
      </c>
      <c r="G309" s="5" t="s">
        <v>350</v>
      </c>
      <c r="H309" s="5" t="s">
        <v>964</v>
      </c>
      <c r="I309" s="5" t="s">
        <v>152</v>
      </c>
      <c r="J309" s="5" t="s">
        <v>982</v>
      </c>
      <c r="K309" s="7" t="str">
        <f ca="1">IFERROR(__xludf.DUMMYFUNCTION("GOOGLETRANSLATE(H309,""EN"",""ES"")"),"GUANTES")</f>
        <v>GUANTES</v>
      </c>
      <c r="L309" s="5" t="str">
        <f ca="1">IFERROR(__xludf.DUMMYFUNCTION("GOOGLETRANSLATE(J309,""EN"",""ES"")"),"N / A")</f>
        <v>N / A</v>
      </c>
      <c r="M309" s="8" t="s">
        <v>9</v>
      </c>
      <c r="N309" s="8" t="s">
        <v>9</v>
      </c>
    </row>
    <row r="310" spans="1:14" ht="11.25" customHeight="1">
      <c r="A310" s="5" t="s">
        <v>345</v>
      </c>
      <c r="B310" s="5" t="s">
        <v>962</v>
      </c>
      <c r="C310" s="5" t="s">
        <v>983</v>
      </c>
      <c r="D310" s="5" t="s">
        <v>348</v>
      </c>
      <c r="E310" s="5" t="s">
        <v>7</v>
      </c>
      <c r="F310" s="5" t="s">
        <v>349</v>
      </c>
      <c r="G310" s="5" t="s">
        <v>350</v>
      </c>
      <c r="H310" s="5" t="s">
        <v>964</v>
      </c>
      <c r="I310" s="5" t="s">
        <v>984</v>
      </c>
      <c r="J310" s="5" t="s">
        <v>985</v>
      </c>
      <c r="K310" s="7" t="str">
        <f ca="1">IFERROR(__xludf.DUMMYFUNCTION("GOOGLETRANSLATE(H310,""EN"",""ES"")"),"GUANTES")</f>
        <v>GUANTES</v>
      </c>
      <c r="L310" s="5" t="str">
        <f ca="1">IFERROR(__xludf.DUMMYFUNCTION("GOOGLETRANSLATE(J310,""EN"",""ES"")"),"Guantes para operadores de rayos X")</f>
        <v>Guantes para operadores de rayos X</v>
      </c>
      <c r="M310" s="8" t="s">
        <v>9</v>
      </c>
      <c r="N310" s="8" t="s">
        <v>9</v>
      </c>
    </row>
    <row r="311" spans="1:14" ht="11.25" customHeight="1">
      <c r="A311" s="5" t="s">
        <v>345</v>
      </c>
      <c r="B311" s="5" t="s">
        <v>962</v>
      </c>
      <c r="C311" s="5" t="s">
        <v>986</v>
      </c>
      <c r="D311" s="5" t="s">
        <v>348</v>
      </c>
      <c r="E311" s="5" t="s">
        <v>7</v>
      </c>
      <c r="F311" s="5" t="s">
        <v>349</v>
      </c>
      <c r="G311" s="5" t="s">
        <v>350</v>
      </c>
      <c r="H311" s="5" t="s">
        <v>964</v>
      </c>
      <c r="I311" s="5" t="s">
        <v>987</v>
      </c>
      <c r="J311" s="5" t="s">
        <v>988</v>
      </c>
      <c r="K311" s="7" t="str">
        <f ca="1">IFERROR(__xludf.DUMMYFUNCTION("GOOGLETRANSLATE(H311,""EN"",""ES"")"),"GUANTES")</f>
        <v>GUANTES</v>
      </c>
      <c r="L311" s="5" t="str">
        <f ca="1">IFERROR(__xludf.DUMMYFUNCTION("GOOGLETRANSLATE(J311,""EN"",""ES"")"),"guantes de trabajo")</f>
        <v>guantes de trabajo</v>
      </c>
      <c r="M311" s="8" t="s">
        <v>9</v>
      </c>
      <c r="N311" s="8" t="s">
        <v>9</v>
      </c>
    </row>
    <row r="312" spans="1:14" ht="11.25" customHeight="1">
      <c r="A312" s="5" t="s">
        <v>345</v>
      </c>
      <c r="B312" s="5" t="s">
        <v>962</v>
      </c>
      <c r="C312" s="5" t="s">
        <v>989</v>
      </c>
      <c r="D312" s="5" t="s">
        <v>348</v>
      </c>
      <c r="E312" s="5" t="s">
        <v>7</v>
      </c>
      <c r="F312" s="5" t="s">
        <v>349</v>
      </c>
      <c r="G312" s="5" t="s">
        <v>350</v>
      </c>
      <c r="H312" s="5" t="s">
        <v>964</v>
      </c>
      <c r="I312" s="5" t="s">
        <v>990</v>
      </c>
      <c r="J312" s="5" t="s">
        <v>991</v>
      </c>
      <c r="K312" s="7" t="str">
        <f ca="1">IFERROR(__xludf.DUMMYFUNCTION("GOOGLETRANSLATE(H312,""EN"",""ES"")"),"GUANTES")</f>
        <v>GUANTES</v>
      </c>
      <c r="L312" s="5" t="str">
        <f ca="1">IFERROR(__xludf.DUMMYFUNCTION("GOOGLETRANSLATE(J312,""EN"",""ES"")"),"guantes de jardineria")</f>
        <v>guantes de jardineria</v>
      </c>
      <c r="M312" s="8" t="s">
        <v>9</v>
      </c>
      <c r="N312" s="8" t="s">
        <v>9</v>
      </c>
    </row>
    <row r="313" spans="1:14" ht="11.25" customHeight="1">
      <c r="A313" s="5" t="s">
        <v>345</v>
      </c>
      <c r="B313" s="5" t="s">
        <v>962</v>
      </c>
      <c r="C313" s="5" t="s">
        <v>992</v>
      </c>
      <c r="D313" s="5" t="s">
        <v>348</v>
      </c>
      <c r="E313" s="5" t="s">
        <v>7</v>
      </c>
      <c r="F313" s="5" t="s">
        <v>349</v>
      </c>
      <c r="G313" s="5" t="s">
        <v>350</v>
      </c>
      <c r="H313" s="5" t="s">
        <v>964</v>
      </c>
      <c r="I313" s="5" t="s">
        <v>993</v>
      </c>
      <c r="J313" s="5" t="s">
        <v>994</v>
      </c>
      <c r="K313" s="7" t="str">
        <f ca="1">IFERROR(__xludf.DUMMYFUNCTION("GOOGLETRANSLATE(H313,""EN"",""ES"")"),"GUANTES")</f>
        <v>GUANTES</v>
      </c>
      <c r="L313" s="5" t="str">
        <f ca="1">IFERROR(__xludf.DUMMYFUNCTION("GOOGLETRANSLATE(J313,""EN"",""ES"")"),"guantes de horno")</f>
        <v>guantes de horno</v>
      </c>
      <c r="M313" s="8" t="s">
        <v>9</v>
      </c>
      <c r="N313" s="8" t="s">
        <v>9</v>
      </c>
    </row>
    <row r="314" spans="1:14" ht="11.25" customHeight="1">
      <c r="A314" s="5" t="s">
        <v>345</v>
      </c>
      <c r="B314" s="5" t="s">
        <v>995</v>
      </c>
      <c r="C314" s="5" t="s">
        <v>996</v>
      </c>
      <c r="D314" s="5" t="s">
        <v>348</v>
      </c>
      <c r="E314" s="5" t="s">
        <v>7</v>
      </c>
      <c r="F314" s="5" t="s">
        <v>349</v>
      </c>
      <c r="G314" s="5" t="s">
        <v>350</v>
      </c>
      <c r="H314" s="5" t="s">
        <v>997</v>
      </c>
      <c r="I314" s="5" t="s">
        <v>998</v>
      </c>
      <c r="J314" s="5" t="s">
        <v>999</v>
      </c>
      <c r="K314" s="7" t="str">
        <f ca="1">IFERROR(__xludf.DUMMYFUNCTION("GOOGLETRANSLATE(H314,""EN"",""ES"")"),"MERCERIA Y COMPLEMENTOS DE VESTIMENTA")</f>
        <v>MERCERIA Y COMPLEMENTOS DE VESTIMENTA</v>
      </c>
      <c r="L314" s="5" t="str">
        <f ca="1">IFERROR(__xludf.DUMMYFUNCTION("GOOGLETRANSLATE(J314,""EN"",""ES"")"),"Ganchos [mercería]")</f>
        <v>Ganchos [mercería]</v>
      </c>
      <c r="M314" s="8" t="s">
        <v>9</v>
      </c>
      <c r="N314" s="8" t="s">
        <v>9</v>
      </c>
    </row>
    <row r="315" spans="1:14" ht="11.25" customHeight="1">
      <c r="A315" s="5" t="s">
        <v>345</v>
      </c>
      <c r="B315" s="5" t="s">
        <v>995</v>
      </c>
      <c r="C315" s="5" t="s">
        <v>996</v>
      </c>
      <c r="D315" s="5" t="s">
        <v>348</v>
      </c>
      <c r="E315" s="5" t="s">
        <v>7</v>
      </c>
      <c r="F315" s="5" t="s">
        <v>349</v>
      </c>
      <c r="G315" s="5" t="s">
        <v>350</v>
      </c>
      <c r="H315" s="5" t="s">
        <v>997</v>
      </c>
      <c r="I315" s="5" t="s">
        <v>1000</v>
      </c>
      <c r="J315" s="5" t="s">
        <v>1001</v>
      </c>
      <c r="K315" s="7" t="str">
        <f ca="1">IFERROR(__xludf.DUMMYFUNCTION("GOOGLETRANSLATE(H315,""EN"",""ES"")"),"MERCERIA Y COMPLEMENTOS DE VESTIMENTA")</f>
        <v>MERCERIA Y COMPLEMENTOS DE VESTIMENTA</v>
      </c>
      <c r="L315" s="5" t="str">
        <f ca="1">IFERROR(__xludf.DUMMYFUNCTION("GOOGLETRANSLATE(J315,""EN"",""ES"")"),"Sujetadores [mercería]")</f>
        <v>Sujetadores [mercería]</v>
      </c>
      <c r="M315" s="8" t="s">
        <v>9</v>
      </c>
      <c r="N315" s="8" t="s">
        <v>9</v>
      </c>
    </row>
    <row r="316" spans="1:14" ht="11.25" customHeight="1">
      <c r="A316" s="5" t="s">
        <v>345</v>
      </c>
      <c r="B316" s="5" t="s">
        <v>995</v>
      </c>
      <c r="C316" s="5" t="s">
        <v>996</v>
      </c>
      <c r="D316" s="5" t="s">
        <v>348</v>
      </c>
      <c r="E316" s="5" t="s">
        <v>7</v>
      </c>
      <c r="F316" s="5" t="s">
        <v>349</v>
      </c>
      <c r="G316" s="5" t="s">
        <v>350</v>
      </c>
      <c r="H316" s="5" t="s">
        <v>997</v>
      </c>
      <c r="I316" s="5" t="s">
        <v>152</v>
      </c>
      <c r="J316" s="5" t="s">
        <v>1002</v>
      </c>
      <c r="K316" s="7" t="str">
        <f ca="1">IFERROR(__xludf.DUMMYFUNCTION("GOOGLETRANSLATE(H316,""EN"",""ES"")"),"MERCERIA Y COMPLEMENTOS DE VESTIMENTA")</f>
        <v>MERCERIA Y COMPLEMENTOS DE VESTIMENTA</v>
      </c>
      <c r="L316" s="5" t="str">
        <f ca="1">IFERROR(__xludf.DUMMYFUNCTION("GOOGLETRANSLATE(J316,""EN"",""ES"")"),"N / A")</f>
        <v>N / A</v>
      </c>
      <c r="M316" s="8" t="s">
        <v>9</v>
      </c>
      <c r="N316" s="8" t="s">
        <v>9</v>
      </c>
    </row>
    <row r="317" spans="1:14" ht="11.25" customHeight="1">
      <c r="A317" s="5" t="s">
        <v>345</v>
      </c>
      <c r="B317" s="5" t="s">
        <v>995</v>
      </c>
      <c r="C317" s="5" t="s">
        <v>1003</v>
      </c>
      <c r="D317" s="5" t="s">
        <v>348</v>
      </c>
      <c r="E317" s="5" t="s">
        <v>7</v>
      </c>
      <c r="F317" s="5" t="s">
        <v>349</v>
      </c>
      <c r="G317" s="5" t="s">
        <v>350</v>
      </c>
      <c r="H317" s="5" t="s">
        <v>997</v>
      </c>
      <c r="I317" s="5" t="s">
        <v>1004</v>
      </c>
      <c r="J317" s="5" t="s">
        <v>1005</v>
      </c>
      <c r="K317" s="7" t="str">
        <f ca="1">IFERROR(__xludf.DUMMYFUNCTION("GOOGLETRANSLATE(H317,""EN"",""ES"")"),"MERCERIA Y COMPLEMENTOS DE VESTIMENTA")</f>
        <v>MERCERIA Y COMPLEMENTOS DE VESTIMENTA</v>
      </c>
      <c r="L317" s="5" t="str">
        <f ca="1">IFERROR(__xludf.DUMMYFUNCTION("GOOGLETRANSLATE(J317,""EN"",""ES"")"),"Agujas [mercería]")</f>
        <v>Agujas [mercería]</v>
      </c>
      <c r="M317" s="8" t="s">
        <v>9</v>
      </c>
      <c r="N317" s="8" t="s">
        <v>9</v>
      </c>
    </row>
    <row r="318" spans="1:14" ht="11.25" customHeight="1">
      <c r="A318" s="5" t="s">
        <v>345</v>
      </c>
      <c r="B318" s="5" t="s">
        <v>995</v>
      </c>
      <c r="C318" s="5" t="s">
        <v>1006</v>
      </c>
      <c r="D318" s="5" t="s">
        <v>348</v>
      </c>
      <c r="E318" s="5" t="s">
        <v>7</v>
      </c>
      <c r="F318" s="5" t="s">
        <v>349</v>
      </c>
      <c r="G318" s="5" t="s">
        <v>350</v>
      </c>
      <c r="H318" s="5" t="s">
        <v>997</v>
      </c>
      <c r="I318" s="5" t="s">
        <v>1007</v>
      </c>
      <c r="J318" s="5" t="s">
        <v>1008</v>
      </c>
      <c r="K318" s="7" t="str">
        <f ca="1">IFERROR(__xludf.DUMMYFUNCTION("GOOGLETRANSLATE(H318,""EN"",""ES"")"),"MERCERIA Y COMPLEMENTOS DE VESTIMENTA")</f>
        <v>MERCERIA Y COMPLEMENTOS DE VESTIMENTA</v>
      </c>
      <c r="L318" s="5" t="str">
        <f ca="1">IFERROR(__xludf.DUMMYFUNCTION("GOOGLETRANSLATE(J318,""EN"",""ES"")"),"agujas de coser")</f>
        <v>agujas de coser</v>
      </c>
      <c r="M318" s="8" t="s">
        <v>9</v>
      </c>
      <c r="N318" s="8" t="s">
        <v>9</v>
      </c>
    </row>
    <row r="319" spans="1:14" ht="11.25" customHeight="1">
      <c r="A319" s="5" t="s">
        <v>345</v>
      </c>
      <c r="B319" s="5" t="s">
        <v>995</v>
      </c>
      <c r="C319" s="5" t="s">
        <v>1009</v>
      </c>
      <c r="D319" s="5" t="s">
        <v>348</v>
      </c>
      <c r="E319" s="5" t="s">
        <v>7</v>
      </c>
      <c r="F319" s="5" t="s">
        <v>349</v>
      </c>
      <c r="G319" s="5" t="s">
        <v>350</v>
      </c>
      <c r="H319" s="5" t="s">
        <v>997</v>
      </c>
      <c r="I319" s="5" t="s">
        <v>1010</v>
      </c>
      <c r="J319" s="5" t="s">
        <v>1011</v>
      </c>
      <c r="K319" s="7" t="str">
        <f ca="1">IFERROR(__xludf.DUMMYFUNCTION("GOOGLETRANSLATE(H319,""EN"",""ES"")"),"MERCERIA Y COMPLEMENTOS DE VESTIMENTA")</f>
        <v>MERCERIA Y COMPLEMENTOS DE VESTIMENTA</v>
      </c>
      <c r="L319" s="5" t="str">
        <f ca="1">IFERROR(__xludf.DUMMYFUNCTION("GOOGLETRANSLATE(J319,""EN"",""ES"")"),"Agujas de crochet")</f>
        <v>Agujas de crochet</v>
      </c>
      <c r="M319" s="8" t="s">
        <v>9</v>
      </c>
      <c r="N319" s="8" t="s">
        <v>9</v>
      </c>
    </row>
    <row r="320" spans="1:14" ht="11.25" customHeight="1">
      <c r="A320" s="5" t="s">
        <v>345</v>
      </c>
      <c r="B320" s="5" t="s">
        <v>995</v>
      </c>
      <c r="C320" s="5" t="s">
        <v>1012</v>
      </c>
      <c r="D320" s="5" t="s">
        <v>348</v>
      </c>
      <c r="E320" s="5" t="s">
        <v>7</v>
      </c>
      <c r="F320" s="5" t="s">
        <v>349</v>
      </c>
      <c r="G320" s="5" t="s">
        <v>350</v>
      </c>
      <c r="H320" s="5" t="s">
        <v>997</v>
      </c>
      <c r="I320" s="5" t="s">
        <v>1013</v>
      </c>
      <c r="J320" s="5" t="s">
        <v>1014</v>
      </c>
      <c r="K320" s="7" t="str">
        <f ca="1">IFERROR(__xludf.DUMMYFUNCTION("GOOGLETRANSLATE(H320,""EN"",""ES"")"),"MERCERIA Y COMPLEMENTOS DE VESTIMENTA")</f>
        <v>MERCERIA Y COMPLEMENTOS DE VESTIMENTA</v>
      </c>
      <c r="L320" s="5" t="str">
        <f ca="1">IFERROR(__xludf.DUMMYFUNCTION("GOOGLETRANSLATE(J320,""EN"",""ES"")"),"Agujas para descoser")</f>
        <v>Agujas para descoser</v>
      </c>
      <c r="M320" s="8" t="s">
        <v>9</v>
      </c>
      <c r="N320" s="8" t="s">
        <v>9</v>
      </c>
    </row>
    <row r="321" spans="1:14" ht="11.25" customHeight="1">
      <c r="A321" s="5" t="s">
        <v>345</v>
      </c>
      <c r="B321" s="5" t="s">
        <v>995</v>
      </c>
      <c r="C321" s="5" t="s">
        <v>1015</v>
      </c>
      <c r="D321" s="5" t="s">
        <v>348</v>
      </c>
      <c r="E321" s="5" t="s">
        <v>7</v>
      </c>
      <c r="F321" s="5" t="s">
        <v>349</v>
      </c>
      <c r="G321" s="5" t="s">
        <v>350</v>
      </c>
      <c r="H321" s="5" t="s">
        <v>997</v>
      </c>
      <c r="I321" s="5" t="s">
        <v>1016</v>
      </c>
      <c r="J321" s="5" t="s">
        <v>1017</v>
      </c>
      <c r="K321" s="7" t="str">
        <f ca="1">IFERROR(__xludf.DUMMYFUNCTION("GOOGLETRANSLATE(H321,""EN"",""ES"")"),"MERCERIA Y COMPLEMENTOS DE VESTIMENTA")</f>
        <v>MERCERIA Y COMPLEMENTOS DE VESTIMENTA</v>
      </c>
      <c r="L321" s="5" t="str">
        <f ca="1">IFERROR(__xludf.DUMMYFUNCTION("GOOGLETRANSLATE(J321,""EN"",""ES"")"),"Agujas de tejer")</f>
        <v>Agujas de tejer</v>
      </c>
      <c r="M321" s="8" t="s">
        <v>9</v>
      </c>
      <c r="N321" s="8" t="s">
        <v>9</v>
      </c>
    </row>
    <row r="322" spans="1:14" ht="11.25" customHeight="1">
      <c r="A322" s="5" t="s">
        <v>345</v>
      </c>
      <c r="B322" s="5" t="s">
        <v>995</v>
      </c>
      <c r="C322" s="5" t="s">
        <v>1018</v>
      </c>
      <c r="D322" s="5" t="s">
        <v>348</v>
      </c>
      <c r="E322" s="5" t="s">
        <v>7</v>
      </c>
      <c r="F322" s="5" t="s">
        <v>349</v>
      </c>
      <c r="G322" s="5" t="s">
        <v>350</v>
      </c>
      <c r="H322" s="5" t="s">
        <v>997</v>
      </c>
      <c r="I322" s="5" t="s">
        <v>1019</v>
      </c>
      <c r="J322" s="5" t="s">
        <v>1020</v>
      </c>
      <c r="K322" s="7" t="str">
        <f ca="1">IFERROR(__xludf.DUMMYFUNCTION("GOOGLETRANSLATE(H322,""EN"",""ES"")"),"MERCERIA Y COMPLEMENTOS DE VESTIMENTA")</f>
        <v>MERCERIA Y COMPLEMENTOS DE VESTIMENTA</v>
      </c>
      <c r="L322" s="5" t="str">
        <f ca="1">IFERROR(__xludf.DUMMYFUNCTION("GOOGLETRANSLATE(J322,""EN"",""ES"")"),"Agujas de zapatero")</f>
        <v>Agujas de zapatero</v>
      </c>
      <c r="M322" s="8" t="s">
        <v>9</v>
      </c>
      <c r="N322" s="8" t="s">
        <v>9</v>
      </c>
    </row>
    <row r="323" spans="1:14" ht="11.25" customHeight="1">
      <c r="A323" s="5" t="s">
        <v>345</v>
      </c>
      <c r="B323" s="5" t="s">
        <v>995</v>
      </c>
      <c r="C323" s="5" t="s">
        <v>1021</v>
      </c>
      <c r="D323" s="5" t="s">
        <v>348</v>
      </c>
      <c r="E323" s="5" t="s">
        <v>7</v>
      </c>
      <c r="F323" s="5" t="s">
        <v>349</v>
      </c>
      <c r="G323" s="5" t="s">
        <v>350</v>
      </c>
      <c r="H323" s="5" t="s">
        <v>997</v>
      </c>
      <c r="I323" s="5" t="s">
        <v>1022</v>
      </c>
      <c r="J323" s="5" t="s">
        <v>1023</v>
      </c>
      <c r="K323" s="7" t="str">
        <f ca="1">IFERROR(__xludf.DUMMYFUNCTION("GOOGLETRANSLATE(H323,""EN"",""ES"")"),"MERCERIA Y COMPLEMENTOS DE VESTIMENTA")</f>
        <v>MERCERIA Y COMPLEMENTOS DE VESTIMENTA</v>
      </c>
      <c r="L323" s="5" t="str">
        <f ca="1">IFERROR(__xludf.DUMMYFUNCTION("GOOGLETRANSLATE(J323,""EN"",""ES"")"),"Alambres para sujetadores.")</f>
        <v>Alambres para sujetadores.</v>
      </c>
      <c r="M323" s="8" t="s">
        <v>9</v>
      </c>
      <c r="N323" s="8" t="s">
        <v>9</v>
      </c>
    </row>
    <row r="324" spans="1:14" ht="11.25" customHeight="1">
      <c r="A324" s="5" t="s">
        <v>345</v>
      </c>
      <c r="B324" s="5" t="s">
        <v>995</v>
      </c>
      <c r="C324" s="5" t="s">
        <v>1021</v>
      </c>
      <c r="D324" s="5" t="s">
        <v>348</v>
      </c>
      <c r="E324" s="5" t="s">
        <v>7</v>
      </c>
      <c r="F324" s="5" t="s">
        <v>349</v>
      </c>
      <c r="G324" s="5" t="s">
        <v>350</v>
      </c>
      <c r="H324" s="5" t="s">
        <v>997</v>
      </c>
      <c r="I324" s="5" t="s">
        <v>152</v>
      </c>
      <c r="J324" s="5" t="s">
        <v>1024</v>
      </c>
      <c r="K324" s="7" t="str">
        <f ca="1">IFERROR(__xludf.DUMMYFUNCTION("GOOGLETRANSLATE(H324,""EN"",""ES"")"),"MERCERIA Y COMPLEMENTOS DE VESTIMENTA")</f>
        <v>MERCERIA Y COMPLEMENTOS DE VESTIMENTA</v>
      </c>
      <c r="L324" s="5" t="str">
        <f ca="1">IFERROR(__xludf.DUMMYFUNCTION("GOOGLETRANSLATE(J324,""EN"",""ES"")"),"N / A")</f>
        <v>N / A</v>
      </c>
      <c r="M324" s="8" t="s">
        <v>9</v>
      </c>
      <c r="N324" s="8" t="s">
        <v>9</v>
      </c>
    </row>
    <row r="325" spans="1:14" ht="11.25" customHeight="1">
      <c r="A325" s="5" t="s">
        <v>345</v>
      </c>
      <c r="B325" s="5" t="s">
        <v>995</v>
      </c>
      <c r="C325" s="5" t="s">
        <v>1025</v>
      </c>
      <c r="D325" s="5" t="s">
        <v>348</v>
      </c>
      <c r="E325" s="5" t="s">
        <v>7</v>
      </c>
      <c r="F325" s="5" t="s">
        <v>349</v>
      </c>
      <c r="G325" s="5" t="s">
        <v>350</v>
      </c>
      <c r="H325" s="5" t="s">
        <v>997</v>
      </c>
      <c r="I325" s="5" t="s">
        <v>1026</v>
      </c>
      <c r="J325" s="5" t="s">
        <v>1027</v>
      </c>
      <c r="K325" s="7" t="str">
        <f ca="1">IFERROR(__xludf.DUMMYFUNCTION("GOOGLETRANSLATE(H325,""EN"",""ES"")"),"MERCERIA Y COMPLEMENTOS DE VESTIMENTA")</f>
        <v>MERCERIA Y COMPLEMENTOS DE VESTIMENTA</v>
      </c>
      <c r="L325" s="5" t="str">
        <f ca="1">IFERROR(__xludf.DUMMYFUNCTION("GOOGLETRANSLATE(J325,""EN"",""ES"")"),"Cierres de zapatos")</f>
        <v>Cierres de zapatos</v>
      </c>
      <c r="M325" s="8" t="s">
        <v>9</v>
      </c>
      <c r="N325" s="8" t="s">
        <v>9</v>
      </c>
    </row>
    <row r="326" spans="1:14" ht="11.25" customHeight="1">
      <c r="A326" s="5" t="s">
        <v>345</v>
      </c>
      <c r="B326" s="5" t="s">
        <v>995</v>
      </c>
      <c r="C326" s="5" t="s">
        <v>1025</v>
      </c>
      <c r="D326" s="5" t="s">
        <v>348</v>
      </c>
      <c r="E326" s="5" t="s">
        <v>7</v>
      </c>
      <c r="F326" s="5" t="s">
        <v>349</v>
      </c>
      <c r="G326" s="5" t="s">
        <v>350</v>
      </c>
      <c r="H326" s="5" t="s">
        <v>997</v>
      </c>
      <c r="I326" s="5" t="s">
        <v>1028</v>
      </c>
      <c r="J326" s="5" t="s">
        <v>1029</v>
      </c>
      <c r="K326" s="7" t="str">
        <f ca="1">IFERROR(__xludf.DUMMYFUNCTION("GOOGLETRANSLATE(H326,""EN"",""ES"")"),"MERCERIA Y COMPLEMENTOS DE VESTIMENTA")</f>
        <v>MERCERIA Y COMPLEMENTOS DE VESTIMENTA</v>
      </c>
      <c r="L326" s="5" t="str">
        <f ca="1">IFERROR(__xludf.DUMMYFUNCTION("GOOGLETRANSLATE(J326,""EN"",""ES"")"),"Cierres para calzado")</f>
        <v>Cierres para calzado</v>
      </c>
      <c r="M326" s="8" t="s">
        <v>9</v>
      </c>
      <c r="N326" s="8" t="s">
        <v>9</v>
      </c>
    </row>
    <row r="327" spans="1:14" ht="11.25" customHeight="1">
      <c r="A327" s="5" t="s">
        <v>345</v>
      </c>
      <c r="B327" s="5" t="s">
        <v>995</v>
      </c>
      <c r="C327" s="5" t="s">
        <v>1030</v>
      </c>
      <c r="D327" s="5" t="s">
        <v>348</v>
      </c>
      <c r="E327" s="5" t="s">
        <v>7</v>
      </c>
      <c r="F327" s="5" t="s">
        <v>349</v>
      </c>
      <c r="G327" s="5" t="s">
        <v>350</v>
      </c>
      <c r="H327" s="5" t="s">
        <v>997</v>
      </c>
      <c r="I327" s="5" t="s">
        <v>1031</v>
      </c>
      <c r="J327" s="5" t="s">
        <v>1032</v>
      </c>
      <c r="K327" s="7" t="str">
        <f ca="1">IFERROR(__xludf.DUMMYFUNCTION("GOOGLETRANSLATE(H327,""EN"",""ES"")"),"MERCERIA Y COMPLEMENTOS DE VESTIMENTA")</f>
        <v>MERCERIA Y COMPLEMENTOS DE VESTIMENTA</v>
      </c>
      <c r="L327" s="5" t="str">
        <f ca="1">IFERROR(__xludf.DUMMYFUNCTION("GOOGLETRANSLATE(J327,""EN"",""ES"")"),"Pinzas para bufanda")</f>
        <v>Pinzas para bufanda</v>
      </c>
      <c r="M327" s="8" t="s">
        <v>9</v>
      </c>
      <c r="N327" s="8" t="s">
        <v>9</v>
      </c>
    </row>
    <row r="328" spans="1:14" ht="11.25" customHeight="1">
      <c r="A328" s="5" t="s">
        <v>345</v>
      </c>
      <c r="B328" s="5" t="s">
        <v>995</v>
      </c>
      <c r="C328" s="5" t="s">
        <v>1033</v>
      </c>
      <c r="D328" s="5" t="s">
        <v>348</v>
      </c>
      <c r="E328" s="5" t="s">
        <v>7</v>
      </c>
      <c r="F328" s="5" t="s">
        <v>349</v>
      </c>
      <c r="G328" s="5" t="s">
        <v>350</v>
      </c>
      <c r="H328" s="5" t="s">
        <v>997</v>
      </c>
      <c r="I328" s="5" t="s">
        <v>1034</v>
      </c>
      <c r="J328" s="5" t="s">
        <v>1035</v>
      </c>
      <c r="K328" s="7" t="str">
        <f ca="1">IFERROR(__xludf.DUMMYFUNCTION("GOOGLETRANSLATE(H328,""EN"",""ES"")"),"MERCERIA Y COMPLEMENTOS DE VESTIMENTA")</f>
        <v>MERCERIA Y COMPLEMENTOS DE VESTIMENTA</v>
      </c>
      <c r="L328" s="5" t="str">
        <f ca="1">IFERROR(__xludf.DUMMYFUNCTION("GOOGLETRANSLATE(J328,""EN"",""ES"")"),"Cinturones de hombro")</f>
        <v>Cinturones de hombro</v>
      </c>
      <c r="M328" s="8" t="s">
        <v>9</v>
      </c>
      <c r="N328" s="8" t="s">
        <v>9</v>
      </c>
    </row>
    <row r="329" spans="1:14" ht="11.25" customHeight="1">
      <c r="A329" s="5" t="s">
        <v>345</v>
      </c>
      <c r="B329" s="5" t="s">
        <v>995</v>
      </c>
      <c r="C329" s="5" t="s">
        <v>1036</v>
      </c>
      <c r="D329" s="5" t="s">
        <v>348</v>
      </c>
      <c r="E329" s="5" t="s">
        <v>7</v>
      </c>
      <c r="F329" s="5" t="s">
        <v>349</v>
      </c>
      <c r="G329" s="5" t="s">
        <v>350</v>
      </c>
      <c r="H329" s="5" t="s">
        <v>997</v>
      </c>
      <c r="I329" s="5" t="s">
        <v>1037</v>
      </c>
      <c r="J329" s="5" t="s">
        <v>1038</v>
      </c>
      <c r="K329" s="7" t="str">
        <f ca="1">IFERROR(__xludf.DUMMYFUNCTION("GOOGLETRANSLATE(H329,""EN"",""ES"")"),"MERCERIA Y COMPLEMENTOS DE VESTIMENTA")</f>
        <v>MERCERIA Y COMPLEMENTOS DE VESTIMENTA</v>
      </c>
      <c r="L329" s="5" t="str">
        <f ca="1">IFERROR(__xludf.DUMMYFUNCTION("GOOGLETRANSLATE(J329,""EN"",""ES"")"),"Hebillas [mercería]")</f>
        <v>Hebillas [mercería]</v>
      </c>
      <c r="M329" s="8" t="s">
        <v>9</v>
      </c>
      <c r="N329" s="8" t="s">
        <v>9</v>
      </c>
    </row>
    <row r="330" spans="1:14" ht="11.25" customHeight="1">
      <c r="A330" s="5" t="s">
        <v>345</v>
      </c>
      <c r="B330" s="5" t="s">
        <v>995</v>
      </c>
      <c r="C330" s="5" t="s">
        <v>1039</v>
      </c>
      <c r="D330" s="5" t="s">
        <v>348</v>
      </c>
      <c r="E330" s="5" t="s">
        <v>7</v>
      </c>
      <c r="F330" s="5" t="s">
        <v>349</v>
      </c>
      <c r="G330" s="5" t="s">
        <v>350</v>
      </c>
      <c r="H330" s="5" t="s">
        <v>997</v>
      </c>
      <c r="I330" s="5" t="s">
        <v>1040</v>
      </c>
      <c r="J330" s="5" t="s">
        <v>1041</v>
      </c>
      <c r="K330" s="7" t="str">
        <f ca="1">IFERROR(__xludf.DUMMYFUNCTION("GOOGLETRANSLATE(H330,""EN"",""ES"")"),"MERCERIA Y COMPLEMENTOS DE VESTIMENTA")</f>
        <v>MERCERIA Y COMPLEMENTOS DE VESTIMENTA</v>
      </c>
      <c r="L330" s="5" t="str">
        <f ca="1">IFERROR(__xludf.DUMMYFUNCTION("GOOGLETRANSLATE(J330,""EN"",""ES"")"),"Botones [mercería]")</f>
        <v>Botones [mercería]</v>
      </c>
      <c r="M330" s="8" t="s">
        <v>9</v>
      </c>
      <c r="N330" s="8" t="s">
        <v>9</v>
      </c>
    </row>
    <row r="331" spans="1:14" ht="11.25" customHeight="1">
      <c r="A331" s="5" t="s">
        <v>345</v>
      </c>
      <c r="B331" s="5" t="s">
        <v>995</v>
      </c>
      <c r="C331" s="5" t="s">
        <v>1042</v>
      </c>
      <c r="D331" s="5" t="s">
        <v>348</v>
      </c>
      <c r="E331" s="5" t="s">
        <v>7</v>
      </c>
      <c r="F331" s="5" t="s">
        <v>349</v>
      </c>
      <c r="G331" s="5" t="s">
        <v>350</v>
      </c>
      <c r="H331" s="5" t="s">
        <v>997</v>
      </c>
      <c r="I331" s="5" t="s">
        <v>1043</v>
      </c>
      <c r="J331" s="5" t="s">
        <v>1044</v>
      </c>
      <c r="K331" s="7" t="str">
        <f ca="1">IFERROR(__xludf.DUMMYFUNCTION("GOOGLETRANSLATE(H331,""EN"",""ES"")"),"MERCERIA Y COMPLEMENTOS DE VESTIMENTA")</f>
        <v>MERCERIA Y COMPLEMENTOS DE VESTIMENTA</v>
      </c>
      <c r="L331" s="5" t="str">
        <f ca="1">IFERROR(__xludf.DUMMYFUNCTION("GOOGLETRANSLATE(J331,""EN"",""ES"")"),"Gemelos")</f>
        <v>Gemelos</v>
      </c>
      <c r="M331" s="8" t="s">
        <v>9</v>
      </c>
      <c r="N331" s="8" t="s">
        <v>9</v>
      </c>
    </row>
    <row r="332" spans="1:14" ht="11.25" customHeight="1">
      <c r="A332" s="5" t="s">
        <v>345</v>
      </c>
      <c r="B332" s="5" t="s">
        <v>995</v>
      </c>
      <c r="C332" s="5" t="s">
        <v>1042</v>
      </c>
      <c r="D332" s="5" t="s">
        <v>348</v>
      </c>
      <c r="E332" s="5" t="s">
        <v>7</v>
      </c>
      <c r="F332" s="5" t="s">
        <v>349</v>
      </c>
      <c r="G332" s="5" t="s">
        <v>350</v>
      </c>
      <c r="H332" s="5" t="s">
        <v>997</v>
      </c>
      <c r="I332" s="5" t="s">
        <v>1045</v>
      </c>
      <c r="J332" s="5" t="s">
        <v>152</v>
      </c>
      <c r="K332" s="7" t="str">
        <f ca="1">IFERROR(__xludf.DUMMYFUNCTION("GOOGLETRANSLATE(H332,""EN"",""ES"")"),"MERCERIA Y COMPLEMENTOS DE VESTIMENTA")</f>
        <v>MERCERIA Y COMPLEMENTOS DE VESTIMENTA</v>
      </c>
      <c r="L332" s="5" t="str">
        <f ca="1">IFERROR(__xludf.DUMMYFUNCTION("GOOGLETRANSLATE(J332,""EN"",""ES"")"),"Gemelos")</f>
        <v>Gemelos</v>
      </c>
      <c r="M332" s="8" t="s">
        <v>9</v>
      </c>
      <c r="N332" s="8" t="s">
        <v>9</v>
      </c>
    </row>
    <row r="333" spans="1:14" ht="11.25" customHeight="1">
      <c r="A333" s="5" t="s">
        <v>345</v>
      </c>
      <c r="B333" s="5" t="s">
        <v>995</v>
      </c>
      <c r="C333" s="5" t="s">
        <v>1046</v>
      </c>
      <c r="D333" s="5" t="s">
        <v>348</v>
      </c>
      <c r="E333" s="5" t="s">
        <v>7</v>
      </c>
      <c r="F333" s="5" t="s">
        <v>349</v>
      </c>
      <c r="G333" s="5" t="s">
        <v>350</v>
      </c>
      <c r="H333" s="5" t="s">
        <v>997</v>
      </c>
      <c r="I333" s="5" t="s">
        <v>1047</v>
      </c>
      <c r="J333" s="5" t="s">
        <v>1047</v>
      </c>
      <c r="K333" s="7" t="str">
        <f ca="1">IFERROR(__xludf.DUMMYFUNCTION("GOOGLETRANSLATE(H333,""EN"",""ES"")"),"MERCERIA Y COMPLEMENTOS DE VESTIMENTA")</f>
        <v>MERCERIA Y COMPLEMENTOS DE VESTIMENTA</v>
      </c>
      <c r="L333" s="5" t="str">
        <f ca="1">IFERROR(__xludf.DUMMYFUNCTION("GOOGLETRANSLATE(J333,""EN"",""ES"")"),"braseros")</f>
        <v>braseros</v>
      </c>
      <c r="M333" s="8" t="s">
        <v>9</v>
      </c>
      <c r="N333" s="8" t="s">
        <v>9</v>
      </c>
    </row>
    <row r="334" spans="1:14" ht="11.25" customHeight="1">
      <c r="A334" s="5" t="s">
        <v>345</v>
      </c>
      <c r="B334" s="5" t="s">
        <v>995</v>
      </c>
      <c r="C334" s="5" t="s">
        <v>1048</v>
      </c>
      <c r="D334" s="5" t="s">
        <v>348</v>
      </c>
      <c r="E334" s="5" t="s">
        <v>7</v>
      </c>
      <c r="F334" s="5" t="s">
        <v>349</v>
      </c>
      <c r="G334" s="5" t="s">
        <v>350</v>
      </c>
      <c r="H334" s="5" t="s">
        <v>997</v>
      </c>
      <c r="I334" s="5" t="s">
        <v>1049</v>
      </c>
      <c r="J334" s="5" t="s">
        <v>1050</v>
      </c>
      <c r="K334" s="7" t="str">
        <f ca="1">IFERROR(__xludf.DUMMYFUNCTION("GOOGLETRANSLATE(H334,""EN"",""ES"")"),"MERCERIA Y COMPLEMENTOS DE VESTIMENTA")</f>
        <v>MERCERIA Y COMPLEMENTOS DE VESTIMENTA</v>
      </c>
      <c r="L334" s="5" t="str">
        <f ca="1">IFERROR(__xludf.DUMMYFUNCTION("GOOGLETRANSLATE(J334,""EN"",""ES"")"),"Tirantes para pantalones")</f>
        <v>Tirantes para pantalones</v>
      </c>
      <c r="M334" s="8" t="s">
        <v>9</v>
      </c>
      <c r="N334" s="8" t="s">
        <v>9</v>
      </c>
    </row>
    <row r="335" spans="1:14" ht="11.25" customHeight="1">
      <c r="A335" s="5" t="s">
        <v>345</v>
      </c>
      <c r="B335" s="5" t="s">
        <v>995</v>
      </c>
      <c r="C335" s="5" t="s">
        <v>1048</v>
      </c>
      <c r="D335" s="5" t="s">
        <v>348</v>
      </c>
      <c r="E335" s="5" t="s">
        <v>7</v>
      </c>
      <c r="F335" s="5" t="s">
        <v>349</v>
      </c>
      <c r="G335" s="5" t="s">
        <v>350</v>
      </c>
      <c r="H335" s="5" t="s">
        <v>997</v>
      </c>
      <c r="I335" s="5" t="s">
        <v>1051</v>
      </c>
      <c r="J335" s="5" t="s">
        <v>152</v>
      </c>
      <c r="K335" s="7" t="str">
        <f ca="1">IFERROR(__xludf.DUMMYFUNCTION("GOOGLETRANSLATE(H335,""EN"",""ES"")"),"MERCERIA Y COMPLEMENTOS DE VESTIMENTA")</f>
        <v>MERCERIA Y COMPLEMENTOS DE VESTIMENTA</v>
      </c>
      <c r="L335" s="5" t="str">
        <f ca="1">IFERROR(__xludf.DUMMYFUNCTION("GOOGLETRANSLATE(J335,""EN"",""ES"")"),"Tirantes para pantalones")</f>
        <v>Tirantes para pantalones</v>
      </c>
      <c r="M335" s="8" t="s">
        <v>9</v>
      </c>
      <c r="N335" s="8" t="s">
        <v>9</v>
      </c>
    </row>
    <row r="336" spans="1:14" ht="11.25" customHeight="1">
      <c r="A336" s="5" t="s">
        <v>345</v>
      </c>
      <c r="B336" s="5" t="s">
        <v>995</v>
      </c>
      <c r="C336" s="5" t="s">
        <v>1052</v>
      </c>
      <c r="D336" s="5" t="s">
        <v>348</v>
      </c>
      <c r="E336" s="5" t="s">
        <v>7</v>
      </c>
      <c r="F336" s="5" t="s">
        <v>349</v>
      </c>
      <c r="G336" s="5" t="s">
        <v>350</v>
      </c>
      <c r="H336" s="5" t="s">
        <v>997</v>
      </c>
      <c r="I336" s="5" t="s">
        <v>1053</v>
      </c>
      <c r="J336" s="5" t="s">
        <v>1054</v>
      </c>
      <c r="K336" s="7" t="str">
        <f ca="1">IFERROR(__xludf.DUMMYFUNCTION("GOOGLETRANSLATE(H336,""EN"",""ES"")"),"MERCERIA Y COMPLEMENTOS DE VESTIMENTA")</f>
        <v>MERCERIA Y COMPLEMENTOS DE VESTIMENTA</v>
      </c>
      <c r="L336" s="5" t="str">
        <f ca="1">IFERROR(__xludf.DUMMYFUNCTION("GOOGLETRANSLATE(J336,""EN"",""ES"")"),"Cinturones [ropa]")</f>
        <v>Cinturones [ropa]</v>
      </c>
      <c r="M336" s="8" t="s">
        <v>9</v>
      </c>
      <c r="N336" s="8" t="s">
        <v>9</v>
      </c>
    </row>
    <row r="337" spans="1:14" ht="11.25" customHeight="1">
      <c r="A337" s="5" t="s">
        <v>345</v>
      </c>
      <c r="B337" s="5" t="s">
        <v>995</v>
      </c>
      <c r="C337" s="5" t="s">
        <v>1055</v>
      </c>
      <c r="D337" s="5" t="s">
        <v>348</v>
      </c>
      <c r="E337" s="5" t="s">
        <v>7</v>
      </c>
      <c r="F337" s="5" t="s">
        <v>349</v>
      </c>
      <c r="G337" s="5" t="s">
        <v>350</v>
      </c>
      <c r="H337" s="5" t="s">
        <v>997</v>
      </c>
      <c r="I337" s="5" t="s">
        <v>1056</v>
      </c>
      <c r="J337" s="5" t="s">
        <v>1057</v>
      </c>
      <c r="K337" s="7" t="str">
        <f ca="1">IFERROR(__xludf.DUMMYFUNCTION("GOOGLETRANSLATE(H337,""EN"",""ES"")"),"MERCERIA Y COMPLEMENTOS DE VESTIMENTA")</f>
        <v>MERCERIA Y COMPLEMENTOS DE VESTIMENTA</v>
      </c>
      <c r="L337" s="5" t="str">
        <f ca="1">IFERROR(__xludf.DUMMYFUNCTION("GOOGLETRANSLATE(J337,""EN"",""ES"")"),"Cinturones de tirantes")</f>
        <v>Cinturones de tirantes</v>
      </c>
      <c r="M337" s="8" t="s">
        <v>9</v>
      </c>
      <c r="N337" s="8" t="s">
        <v>9</v>
      </c>
    </row>
    <row r="338" spans="1:14" ht="11.25" customHeight="1">
      <c r="A338" s="5" t="s">
        <v>345</v>
      </c>
      <c r="B338" s="5" t="s">
        <v>995</v>
      </c>
      <c r="C338" s="5" t="s">
        <v>1058</v>
      </c>
      <c r="D338" s="5" t="s">
        <v>348</v>
      </c>
      <c r="E338" s="5" t="s">
        <v>7</v>
      </c>
      <c r="F338" s="5" t="s">
        <v>349</v>
      </c>
      <c r="G338" s="5" t="s">
        <v>350</v>
      </c>
      <c r="H338" s="5" t="s">
        <v>997</v>
      </c>
      <c r="I338" s="5" t="s">
        <v>1059</v>
      </c>
      <c r="J338" s="5" t="s">
        <v>1060</v>
      </c>
      <c r="K338" s="7" t="str">
        <f ca="1">IFERROR(__xludf.DUMMYFUNCTION("GOOGLETRANSLATE(H338,""EN"",""ES"")"),"MERCERIA Y COMPLEMENTOS DE VESTIMENTA")</f>
        <v>MERCERIA Y COMPLEMENTOS DE VESTIMENTA</v>
      </c>
      <c r="L338" s="5" t="str">
        <f ca="1">IFERROR(__xludf.DUMMYFUNCTION("GOOGLETRANSLATE(J338,""EN"",""ES"")"),"Adornos para zapatos")</f>
        <v>Adornos para zapatos</v>
      </c>
      <c r="M338" s="8" t="s">
        <v>9</v>
      </c>
      <c r="N338" s="8" t="s">
        <v>9</v>
      </c>
    </row>
    <row r="339" spans="1:14" ht="11.25" customHeight="1">
      <c r="A339" s="5" t="s">
        <v>345</v>
      </c>
      <c r="B339" s="5" t="s">
        <v>995</v>
      </c>
      <c r="C339" s="5" t="s">
        <v>1061</v>
      </c>
      <c r="D339" s="5" t="s">
        <v>348</v>
      </c>
      <c r="E339" s="5" t="s">
        <v>7</v>
      </c>
      <c r="F339" s="5" t="s">
        <v>349</v>
      </c>
      <c r="G339" s="5" t="s">
        <v>350</v>
      </c>
      <c r="H339" s="5" t="s">
        <v>997</v>
      </c>
      <c r="I339" s="5" t="s">
        <v>1062</v>
      </c>
      <c r="J339" s="5" t="s">
        <v>1063</v>
      </c>
      <c r="K339" s="7" t="str">
        <f ca="1">IFERROR(__xludf.DUMMYFUNCTION("GOOGLETRANSLATE(H339,""EN"",""ES"")"),"MERCERIA Y COMPLEMENTOS DE VESTIMENTA")</f>
        <v>MERCERIA Y COMPLEMENTOS DE VESTIMENTA</v>
      </c>
      <c r="L339" s="5" t="str">
        <f ca="1">IFERROR(__xludf.DUMMYFUNCTION("GOOGLETRANSLATE(J339,""EN"",""ES"")"),"Bordar con agujas de crochet")</f>
        <v>Bordar con agujas de crochet</v>
      </c>
      <c r="M339" s="8" t="s">
        <v>9</v>
      </c>
      <c r="N339" s="8" t="s">
        <v>9</v>
      </c>
    </row>
    <row r="340" spans="1:14" ht="11.25" customHeight="1">
      <c r="A340" s="5" t="s">
        <v>345</v>
      </c>
      <c r="B340" s="5" t="s">
        <v>995</v>
      </c>
      <c r="C340" s="5" t="s">
        <v>1064</v>
      </c>
      <c r="D340" s="5" t="s">
        <v>348</v>
      </c>
      <c r="E340" s="5" t="s">
        <v>7</v>
      </c>
      <c r="F340" s="5" t="s">
        <v>349</v>
      </c>
      <c r="G340" s="5" t="s">
        <v>350</v>
      </c>
      <c r="H340" s="5" t="s">
        <v>997</v>
      </c>
      <c r="I340" s="5" t="s">
        <v>1065</v>
      </c>
      <c r="J340" s="5" t="s">
        <v>1066</v>
      </c>
      <c r="K340" s="7" t="str">
        <f ca="1">IFERROR(__xludf.DUMMYFUNCTION("GOOGLETRANSLATE(H340,""EN"",""ES"")"),"MERCERIA Y COMPLEMENTOS DE VESTIMENTA")</f>
        <v>MERCERIA Y COMPLEMENTOS DE VESTIMENTA</v>
      </c>
      <c r="L340" s="5" t="str">
        <f ca="1">IFERROR(__xludf.DUMMYFUNCTION("GOOGLETRANSLATE(J340,""EN"",""ES"")"),"Agujas de crochet")</f>
        <v>Agujas de crochet</v>
      </c>
      <c r="M340" s="8" t="s">
        <v>9</v>
      </c>
      <c r="N340" s="8" t="s">
        <v>9</v>
      </c>
    </row>
    <row r="341" spans="1:14" ht="11.25" customHeight="1">
      <c r="A341" s="5" t="s">
        <v>345</v>
      </c>
      <c r="B341" s="5" t="s">
        <v>995</v>
      </c>
      <c r="C341" s="5" t="s">
        <v>1067</v>
      </c>
      <c r="D341" s="5" t="s">
        <v>348</v>
      </c>
      <c r="E341" s="5" t="s">
        <v>7</v>
      </c>
      <c r="F341" s="5" t="s">
        <v>349</v>
      </c>
      <c r="G341" s="5" t="s">
        <v>350</v>
      </c>
      <c r="H341" s="5" t="s">
        <v>997</v>
      </c>
      <c r="I341" s="5" t="s">
        <v>1068</v>
      </c>
      <c r="J341" s="5" t="s">
        <v>1069</v>
      </c>
      <c r="K341" s="7" t="str">
        <f ca="1">IFERROR(__xludf.DUMMYFUNCTION("GOOGLETRANSLATE(H341,""EN"",""ES"")"),"MERCERIA Y COMPLEMENTOS DE VESTIMENTA")</f>
        <v>MERCERIA Y COMPLEMENTOS DE VESTIMENTA</v>
      </c>
      <c r="L341" s="5" t="str">
        <f ca="1">IFERROR(__xludf.DUMMYFUNCTION("GOOGLETRANSLATE(J341,""EN"",""ES"")"),"Ganchos para zapatos")</f>
        <v>Ganchos para zapatos</v>
      </c>
      <c r="M341" s="8" t="s">
        <v>9</v>
      </c>
      <c r="N341" s="8" t="s">
        <v>9</v>
      </c>
    </row>
    <row r="342" spans="1:14" ht="11.25" customHeight="1">
      <c r="A342" s="5" t="s">
        <v>345</v>
      </c>
      <c r="B342" s="5" t="s">
        <v>995</v>
      </c>
      <c r="C342" s="5" t="s">
        <v>1070</v>
      </c>
      <c r="D342" s="5" t="s">
        <v>348</v>
      </c>
      <c r="E342" s="5" t="s">
        <v>7</v>
      </c>
      <c r="F342" s="5" t="s">
        <v>349</v>
      </c>
      <c r="G342" s="5" t="s">
        <v>350</v>
      </c>
      <c r="H342" s="5" t="s">
        <v>997</v>
      </c>
      <c r="I342" s="5" t="s">
        <v>1071</v>
      </c>
      <c r="J342" s="5" t="s">
        <v>1072</v>
      </c>
      <c r="K342" s="7" t="str">
        <f ca="1">IFERROR(__xludf.DUMMYFUNCTION("GOOGLETRANSLATE(H342,""EN"",""ES"")"),"MERCERIA Y COMPLEMENTOS DE VESTIMENTA")</f>
        <v>MERCERIA Y COMPLEMENTOS DE VESTIMENTA</v>
      </c>
      <c r="L342" s="5" t="str">
        <f ca="1">IFERROR(__xludf.DUMMYFUNCTION("GOOGLETRANSLATE(J342,""EN"",""ES"")"),"Correderas de cierres deslizantes [cremalleras]")</f>
        <v>Correderas de cierres deslizantes [cremalleras]</v>
      </c>
      <c r="M342" s="8" t="s">
        <v>9</v>
      </c>
      <c r="N342" s="8" t="s">
        <v>9</v>
      </c>
    </row>
    <row r="343" spans="1:14" ht="11.25" customHeight="1">
      <c r="A343" s="5" t="s">
        <v>345</v>
      </c>
      <c r="B343" s="5" t="s">
        <v>995</v>
      </c>
      <c r="C343" s="5" t="s">
        <v>1070</v>
      </c>
      <c r="D343" s="5" t="s">
        <v>348</v>
      </c>
      <c r="E343" s="5" t="s">
        <v>7</v>
      </c>
      <c r="F343" s="5" t="s">
        <v>349</v>
      </c>
      <c r="G343" s="5" t="s">
        <v>350</v>
      </c>
      <c r="H343" s="5" t="s">
        <v>997</v>
      </c>
      <c r="I343" s="5" t="s">
        <v>1073</v>
      </c>
      <c r="J343" s="5" t="s">
        <v>152</v>
      </c>
      <c r="K343" s="7" t="str">
        <f ca="1">IFERROR(__xludf.DUMMYFUNCTION("GOOGLETRANSLATE(H343,""EN"",""ES"")"),"MERCERIA Y COMPLEMENTOS DE VESTIMENTA")</f>
        <v>MERCERIA Y COMPLEMENTOS DE VESTIMENTA</v>
      </c>
      <c r="L343" s="5" t="str">
        <f ca="1">IFERROR(__xludf.DUMMYFUNCTION("GOOGLETRANSLATE(J343,""EN"",""ES"")"),"Deslizadores de cremalleras")</f>
        <v>Deslizadores de cremalleras</v>
      </c>
      <c r="M343" s="8" t="s">
        <v>9</v>
      </c>
      <c r="N343" s="8" t="s">
        <v>9</v>
      </c>
    </row>
    <row r="344" spans="1:14" ht="11.25" customHeight="1">
      <c r="A344" s="5" t="s">
        <v>345</v>
      </c>
      <c r="B344" s="5" t="s">
        <v>995</v>
      </c>
      <c r="C344" s="5" t="s">
        <v>1074</v>
      </c>
      <c r="D344" s="5" t="s">
        <v>348</v>
      </c>
      <c r="E344" s="5" t="s">
        <v>7</v>
      </c>
      <c r="F344" s="5" t="s">
        <v>349</v>
      </c>
      <c r="G344" s="5" t="s">
        <v>350</v>
      </c>
      <c r="H344" s="5" t="s">
        <v>997</v>
      </c>
      <c r="I344" s="5" t="s">
        <v>1075</v>
      </c>
      <c r="J344" s="5" t="s">
        <v>1076</v>
      </c>
      <c r="K344" s="7" t="str">
        <f ca="1">IFERROR(__xludf.DUMMYFUNCTION("GOOGLETRANSLATE(H344,""EN"",""ES"")"),"MERCERIA Y COMPLEMENTOS DE VESTIMENTA")</f>
        <v>MERCERIA Y COMPLEMENTOS DE VESTIMENTA</v>
      </c>
      <c r="L344" s="5" t="str">
        <f ca="1">IFERROR(__xludf.DUMMYFUNCTION("GOOGLETRANSLATE(J344,""EN"",""ES"")"),"Decoraciones de zapatos")</f>
        <v>Decoraciones de zapatos</v>
      </c>
      <c r="M344" s="8" t="s">
        <v>9</v>
      </c>
      <c r="N344" s="8" t="s">
        <v>9</v>
      </c>
    </row>
    <row r="345" spans="1:14" ht="11.25" customHeight="1">
      <c r="A345" s="5" t="s">
        <v>345</v>
      </c>
      <c r="B345" s="5" t="s">
        <v>995</v>
      </c>
      <c r="C345" s="5" t="s">
        <v>1077</v>
      </c>
      <c r="D345" s="5" t="s">
        <v>348</v>
      </c>
      <c r="E345" s="5" t="s">
        <v>7</v>
      </c>
      <c r="F345" s="5" t="s">
        <v>349</v>
      </c>
      <c r="G345" s="5" t="s">
        <v>350</v>
      </c>
      <c r="H345" s="5" t="s">
        <v>997</v>
      </c>
      <c r="I345" s="5" t="s">
        <v>1078</v>
      </c>
      <c r="J345" s="5" t="s">
        <v>1079</v>
      </c>
      <c r="K345" s="7" t="str">
        <f ca="1">IFERROR(__xludf.DUMMYFUNCTION("GOOGLETRANSLATE(H345,""EN"",""ES"")"),"MERCERIA Y COMPLEMENTOS DE VESTIMENTA")</f>
        <v>MERCERIA Y COMPLEMENTOS DE VESTIMENTA</v>
      </c>
      <c r="L345" s="5" t="str">
        <f ca="1">IFERROR(__xludf.DUMMYFUNCTION("GOOGLETRANSLATE(J345,""EN"",""ES"")"),"Dedales")</f>
        <v>Dedales</v>
      </c>
      <c r="M345" s="8" t="s">
        <v>9</v>
      </c>
      <c r="N345" s="8" t="s">
        <v>9</v>
      </c>
    </row>
    <row r="346" spans="1:14" ht="11.25" customHeight="1">
      <c r="A346" s="5" t="s">
        <v>345</v>
      </c>
      <c r="B346" s="5" t="s">
        <v>995</v>
      </c>
      <c r="C346" s="5" t="s">
        <v>1080</v>
      </c>
      <c r="D346" s="5" t="s">
        <v>348</v>
      </c>
      <c r="E346" s="5" t="s">
        <v>7</v>
      </c>
      <c r="F346" s="5" t="s">
        <v>349</v>
      </c>
      <c r="G346" s="5" t="s">
        <v>350</v>
      </c>
      <c r="H346" s="5" t="s">
        <v>997</v>
      </c>
      <c r="I346" s="5" t="s">
        <v>1081</v>
      </c>
      <c r="J346" s="5" t="s">
        <v>1082</v>
      </c>
      <c r="K346" s="7" t="str">
        <f ca="1">IFERROR(__xludf.DUMMYFUNCTION("GOOGLETRANSLATE(H346,""EN"",""ES"")"),"MERCERIA Y COMPLEMENTOS DE VESTIMENTA")</f>
        <v>MERCERIA Y COMPLEMENTOS DE VESTIMENTA</v>
      </c>
      <c r="L346" s="5" t="str">
        <f ca="1">IFERROR(__xludf.DUMMYFUNCTION("GOOGLETRANSLATE(J346,""EN"",""ES"")"),"Forros de sombrero")</f>
        <v>Forros de sombrero</v>
      </c>
      <c r="M346" s="8" t="s">
        <v>9</v>
      </c>
      <c r="N346" s="8" t="s">
        <v>9</v>
      </c>
    </row>
    <row r="347" spans="1:14" ht="11.25" customHeight="1">
      <c r="A347" s="5" t="s">
        <v>345</v>
      </c>
      <c r="B347" s="5" t="s">
        <v>995</v>
      </c>
      <c r="C347" s="5" t="s">
        <v>1083</v>
      </c>
      <c r="D347" s="5" t="s">
        <v>348</v>
      </c>
      <c r="E347" s="5" t="s">
        <v>7</v>
      </c>
      <c r="F347" s="5" t="s">
        <v>349</v>
      </c>
      <c r="G347" s="5" t="s">
        <v>350</v>
      </c>
      <c r="H347" s="5" t="s">
        <v>997</v>
      </c>
      <c r="I347" s="5" t="s">
        <v>1084</v>
      </c>
      <c r="J347" s="5" t="s">
        <v>1085</v>
      </c>
      <c r="K347" s="7" t="str">
        <f ca="1">IFERROR(__xludf.DUMMYFUNCTION("GOOGLETRANSLATE(H347,""EN"",""ES"")"),"MERCERIA Y COMPLEMENTOS DE VESTIMENTA")</f>
        <v>MERCERIA Y COMPLEMENTOS DE VESTIMENTA</v>
      </c>
      <c r="L347" s="5" t="str">
        <f ca="1">IFERROR(__xludf.DUMMYFUNCTION("GOOGLETRANSLATE(J347,""EN"",""ES"")"),"Enhebradores de agujas")</f>
        <v>Enhebradores de agujas</v>
      </c>
      <c r="M347" s="8" t="s">
        <v>9</v>
      </c>
      <c r="N347" s="8" t="s">
        <v>9</v>
      </c>
    </row>
    <row r="348" spans="1:14" ht="11.25" customHeight="1">
      <c r="A348" s="5" t="s">
        <v>345</v>
      </c>
      <c r="B348" s="5" t="s">
        <v>995</v>
      </c>
      <c r="C348" s="5" t="s">
        <v>1086</v>
      </c>
      <c r="D348" s="5" t="s">
        <v>348</v>
      </c>
      <c r="E348" s="5" t="s">
        <v>7</v>
      </c>
      <c r="F348" s="5" t="s">
        <v>349</v>
      </c>
      <c r="G348" s="5" t="s">
        <v>350</v>
      </c>
      <c r="H348" s="5" t="s">
        <v>997</v>
      </c>
      <c r="I348" s="5" t="s">
        <v>1087</v>
      </c>
      <c r="J348" s="5" t="s">
        <v>1088</v>
      </c>
      <c r="K348" s="7" t="str">
        <f ca="1">IFERROR(__xludf.DUMMYFUNCTION("GOOGLETRANSLATE(H348,""EN"",""ES"")"),"MERCERIA Y COMPLEMENTOS DE VESTIMENTA")</f>
        <v>MERCERIA Y COMPLEMENTOS DE VESTIMENTA</v>
      </c>
      <c r="L348" s="5" t="str">
        <f ca="1">IFERROR(__xludf.DUMMYFUNCTION("GOOGLETRANSLATE(J348,""EN"",""ES"")"),"Hombreras")</f>
        <v>Hombreras</v>
      </c>
      <c r="M348" s="8" t="s">
        <v>9</v>
      </c>
      <c r="N348" s="8" t="s">
        <v>9</v>
      </c>
    </row>
    <row r="349" spans="1:14" ht="11.25" customHeight="1">
      <c r="A349" s="5" t="s">
        <v>345</v>
      </c>
      <c r="B349" s="5" t="s">
        <v>995</v>
      </c>
      <c r="C349" s="5" t="s">
        <v>1086</v>
      </c>
      <c r="D349" s="5" t="s">
        <v>348</v>
      </c>
      <c r="E349" s="5" t="s">
        <v>7</v>
      </c>
      <c r="F349" s="5" t="s">
        <v>349</v>
      </c>
      <c r="G349" s="5" t="s">
        <v>350</v>
      </c>
      <c r="H349" s="5" t="s">
        <v>997</v>
      </c>
      <c r="I349" s="5" t="s">
        <v>1089</v>
      </c>
      <c r="J349" s="5" t="s">
        <v>152</v>
      </c>
      <c r="K349" s="7" t="str">
        <f ca="1">IFERROR(__xludf.DUMMYFUNCTION("GOOGLETRANSLATE(H349,""EN"",""ES"")"),"MERCERIA Y COMPLEMENTOS DE VESTIMENTA")</f>
        <v>MERCERIA Y COMPLEMENTOS DE VESTIMENTA</v>
      </c>
      <c r="L349" s="5" t="str">
        <f ca="1">IFERROR(__xludf.DUMMYFUNCTION("GOOGLETRANSLATE(J349,""EN"",""ES"")"),"Charreteras")</f>
        <v>Charreteras</v>
      </c>
      <c r="M349" s="8" t="s">
        <v>9</v>
      </c>
      <c r="N349" s="8" t="s">
        <v>9</v>
      </c>
    </row>
    <row r="350" spans="1:14" ht="11.25" customHeight="1">
      <c r="A350" s="5" t="s">
        <v>345</v>
      </c>
      <c r="B350" s="5" t="s">
        <v>995</v>
      </c>
      <c r="C350" s="5" t="s">
        <v>1090</v>
      </c>
      <c r="D350" s="5" t="s">
        <v>348</v>
      </c>
      <c r="E350" s="5" t="s">
        <v>7</v>
      </c>
      <c r="F350" s="5" t="s">
        <v>349</v>
      </c>
      <c r="G350" s="5" t="s">
        <v>350</v>
      </c>
      <c r="H350" s="5" t="s">
        <v>997</v>
      </c>
      <c r="I350" s="5" t="s">
        <v>1091</v>
      </c>
      <c r="J350" s="5" t="s">
        <v>1092</v>
      </c>
      <c r="K350" s="7" t="str">
        <f ca="1">IFERROR(__xludf.DUMMYFUNCTION("GOOGLETRANSLATE(H350,""EN"",""ES"")"),"MERCERIA Y COMPLEMENTOS DE VESTIMENTA")</f>
        <v>MERCERIA Y COMPLEMENTOS DE VESTIMENTA</v>
      </c>
      <c r="L350" s="5" t="str">
        <f ca="1">IFERROR(__xludf.DUMMYFUNCTION("GOOGLETRANSLATE(J350,""EN"",""ES"")"),"Alfileres [mercería]")</f>
        <v>Alfileres [mercería]</v>
      </c>
      <c r="M350" s="8" t="s">
        <v>9</v>
      </c>
      <c r="N350" s="8" t="s">
        <v>9</v>
      </c>
    </row>
    <row r="351" spans="1:14" ht="11.25" customHeight="1">
      <c r="A351" s="5" t="s">
        <v>345</v>
      </c>
      <c r="B351" s="5" t="s">
        <v>995</v>
      </c>
      <c r="C351" s="5" t="s">
        <v>1093</v>
      </c>
      <c r="D351" s="5" t="s">
        <v>348</v>
      </c>
      <c r="E351" s="5" t="s">
        <v>7</v>
      </c>
      <c r="F351" s="5" t="s">
        <v>349</v>
      </c>
      <c r="G351" s="5" t="s">
        <v>350</v>
      </c>
      <c r="H351" s="5" t="s">
        <v>997</v>
      </c>
      <c r="I351" s="5" t="s">
        <v>1094</v>
      </c>
      <c r="J351" s="5" t="s">
        <v>1095</v>
      </c>
      <c r="K351" s="7" t="str">
        <f ca="1">IFERROR(__xludf.DUMMYFUNCTION("GOOGLETRANSLATE(H351,""EN"",""ES"")"),"MERCERIA Y COMPLEMENTOS DE VESTIMENTA")</f>
        <v>MERCERIA Y COMPLEMENTOS DE VESTIMENTA</v>
      </c>
      <c r="L351" s="5" t="str">
        <f ca="1">IFERROR(__xludf.DUMMYFUNCTION("GOOGLETRANSLATE(J351,""EN"",""ES"")"),"Alfileres de corbata")</f>
        <v>Alfileres de corbata</v>
      </c>
      <c r="M351" s="8" t="s">
        <v>9</v>
      </c>
      <c r="N351" s="8" t="s">
        <v>9</v>
      </c>
    </row>
    <row r="352" spans="1:14" ht="11.25" customHeight="1">
      <c r="A352" s="5" t="s">
        <v>345</v>
      </c>
      <c r="B352" s="5" t="s">
        <v>995</v>
      </c>
      <c r="C352" s="5" t="s">
        <v>1096</v>
      </c>
      <c r="D352" s="5" t="s">
        <v>348</v>
      </c>
      <c r="E352" s="5" t="s">
        <v>7</v>
      </c>
      <c r="F352" s="5" t="s">
        <v>349</v>
      </c>
      <c r="G352" s="5" t="s">
        <v>350</v>
      </c>
      <c r="H352" s="5" t="s">
        <v>997</v>
      </c>
      <c r="I352" s="5" t="s">
        <v>1097</v>
      </c>
      <c r="J352" s="5" t="s">
        <v>1098</v>
      </c>
      <c r="K352" s="7" t="str">
        <f ca="1">IFERROR(__xludf.DUMMYFUNCTION("GOOGLETRANSLATE(H352,""EN"",""ES"")"),"MERCERIA Y COMPLEMENTOS DE VESTIMENTA")</f>
        <v>MERCERIA Y COMPLEMENTOS DE VESTIMENTA</v>
      </c>
      <c r="L352" s="5" t="str">
        <f ca="1">IFERROR(__xludf.DUMMYFUNCTION("GOOGLETRANSLATE(J352,""EN"",""ES"")"),"imperdibles")</f>
        <v>imperdibles</v>
      </c>
      <c r="M352" s="8" t="s">
        <v>9</v>
      </c>
      <c r="N352" s="8" t="s">
        <v>9</v>
      </c>
    </row>
    <row r="353" spans="1:14" ht="11.25" customHeight="1">
      <c r="A353" s="5" t="s">
        <v>345</v>
      </c>
      <c r="B353" s="5" t="s">
        <v>995</v>
      </c>
      <c r="C353" s="5" t="s">
        <v>1099</v>
      </c>
      <c r="D353" s="5" t="s">
        <v>348</v>
      </c>
      <c r="E353" s="5" t="s">
        <v>7</v>
      </c>
      <c r="F353" s="5" t="s">
        <v>349</v>
      </c>
      <c r="G353" s="5" t="s">
        <v>350</v>
      </c>
      <c r="H353" s="5" t="s">
        <v>997</v>
      </c>
      <c r="I353" s="5" t="s">
        <v>1100</v>
      </c>
      <c r="J353" s="5" t="s">
        <v>1101</v>
      </c>
      <c r="K353" s="7" t="str">
        <f ca="1">IFERROR(__xludf.DUMMYFUNCTION("GOOGLETRANSLATE(H353,""EN"",""ES"")"),"MERCERIA Y COMPLEMENTOS DE VESTIMENTA")</f>
        <v>MERCERIA Y COMPLEMENTOS DE VESTIMENTA</v>
      </c>
      <c r="L353" s="5" t="str">
        <f ca="1">IFERROR(__xludf.DUMMYFUNCTION("GOOGLETRANSLATE(J353,""EN"",""ES"")"),"Cierres de cremallera")</f>
        <v>Cierres de cremallera</v>
      </c>
      <c r="M353" s="8" t="s">
        <v>9</v>
      </c>
      <c r="N353" s="8" t="s">
        <v>9</v>
      </c>
    </row>
    <row r="354" spans="1:14" ht="11.25" customHeight="1">
      <c r="A354" s="5" t="s">
        <v>345</v>
      </c>
      <c r="B354" s="5" t="s">
        <v>995</v>
      </c>
      <c r="C354" s="5" t="s">
        <v>1099</v>
      </c>
      <c r="D354" s="5" t="s">
        <v>348</v>
      </c>
      <c r="E354" s="5" t="s">
        <v>7</v>
      </c>
      <c r="F354" s="5" t="s">
        <v>349</v>
      </c>
      <c r="G354" s="5" t="s">
        <v>350</v>
      </c>
      <c r="H354" s="5" t="s">
        <v>997</v>
      </c>
      <c r="I354" s="5" t="s">
        <v>1102</v>
      </c>
      <c r="J354" s="5" t="s">
        <v>152</v>
      </c>
      <c r="K354" s="7" t="str">
        <f ca="1">IFERROR(__xludf.DUMMYFUNCTION("GOOGLETRANSLATE(H354,""EN"",""ES"")"),"MERCERIA Y COMPLEMENTOS DE VESTIMENTA")</f>
        <v>MERCERIA Y COMPLEMENTOS DE VESTIMENTA</v>
      </c>
      <c r="L354" s="5" t="str">
        <f ca="1">IFERROR(__xludf.DUMMYFUNCTION("GOOGLETRANSLATE(J354,""EN"",""ES"")"),"Cierres deslizantes [cremalleras]")</f>
        <v>Cierres deslizantes [cremalleras]</v>
      </c>
      <c r="M354" s="8" t="s">
        <v>9</v>
      </c>
      <c r="N354" s="8" t="s">
        <v>9</v>
      </c>
    </row>
    <row r="355" spans="1:14" ht="11.25" customHeight="1">
      <c r="A355" s="5" t="s">
        <v>345</v>
      </c>
      <c r="B355" s="5" t="s">
        <v>995</v>
      </c>
      <c r="C355" s="5" t="s">
        <v>1103</v>
      </c>
      <c r="D355" s="5" t="s">
        <v>348</v>
      </c>
      <c r="E355" s="5" t="s">
        <v>7</v>
      </c>
      <c r="F355" s="5" t="s">
        <v>349</v>
      </c>
      <c r="G355" s="5" t="s">
        <v>350</v>
      </c>
      <c r="H355" s="5" t="s">
        <v>997</v>
      </c>
      <c r="I355" s="5" t="s">
        <v>1104</v>
      </c>
      <c r="J355" s="5" t="s">
        <v>1105</v>
      </c>
      <c r="K355" s="7" t="str">
        <f ca="1">IFERROR(__xludf.DUMMYFUNCTION("GOOGLETRANSLATE(H355,""EN"",""ES"")"),"MERCERIA Y COMPLEMENTOS DE VESTIMENTA")</f>
        <v>MERCERIA Y COMPLEMENTOS DE VESTIMENTA</v>
      </c>
      <c r="L355" s="5" t="str">
        <f ca="1">IFERROR(__xludf.DUMMYFUNCTION("GOOGLETRANSLATE(J355,""EN"",""ES"")"),"Pasadores de corbata")</f>
        <v>Pasadores de corbata</v>
      </c>
      <c r="M355" s="8" t="s">
        <v>9</v>
      </c>
      <c r="N355" s="8" t="s">
        <v>9</v>
      </c>
    </row>
    <row r="356" spans="1:14" ht="11.25" customHeight="1">
      <c r="A356" s="5" t="s">
        <v>345</v>
      </c>
      <c r="B356" s="5" t="s">
        <v>995</v>
      </c>
      <c r="C356" s="5" t="s">
        <v>1103</v>
      </c>
      <c r="D356" s="5" t="s">
        <v>348</v>
      </c>
      <c r="E356" s="5" t="s">
        <v>7</v>
      </c>
      <c r="F356" s="5" t="s">
        <v>349</v>
      </c>
      <c r="G356" s="5" t="s">
        <v>350</v>
      </c>
      <c r="H356" s="5" t="s">
        <v>997</v>
      </c>
      <c r="I356" s="5" t="s">
        <v>1106</v>
      </c>
      <c r="J356" s="5" t="s">
        <v>152</v>
      </c>
      <c r="K356" s="7" t="str">
        <f ca="1">IFERROR(__xludf.DUMMYFUNCTION("GOOGLETRANSLATE(H356,""EN"",""ES"")"),"MERCERIA Y COMPLEMENTOS DE VESTIMENTA")</f>
        <v>MERCERIA Y COMPLEMENTOS DE VESTIMENTA</v>
      </c>
      <c r="L356" s="5" t="str">
        <f ca="1">IFERROR(__xludf.DUMMYFUNCTION("GOOGLETRANSLATE(J356,""EN"",""ES"")"),"Porta corbatas")</f>
        <v>Porta corbatas</v>
      </c>
      <c r="M356" s="8" t="s">
        <v>9</v>
      </c>
      <c r="N356" s="8" t="s">
        <v>9</v>
      </c>
    </row>
    <row r="357" spans="1:14" ht="11.25" customHeight="1">
      <c r="A357" s="5" t="s">
        <v>345</v>
      </c>
      <c r="B357" s="5" t="s">
        <v>995</v>
      </c>
      <c r="C357" s="5" t="s">
        <v>1107</v>
      </c>
      <c r="D357" s="5" t="s">
        <v>348</v>
      </c>
      <c r="E357" s="5" t="s">
        <v>7</v>
      </c>
      <c r="F357" s="5" t="s">
        <v>349</v>
      </c>
      <c r="G357" s="5" t="s">
        <v>350</v>
      </c>
      <c r="H357" s="5" t="s">
        <v>997</v>
      </c>
      <c r="I357" s="5" t="s">
        <v>1108</v>
      </c>
      <c r="J357" s="5" t="s">
        <v>1109</v>
      </c>
      <c r="K357" s="7" t="str">
        <f ca="1">IFERROR(__xludf.DUMMYFUNCTION("GOOGLETRANSLATE(H357,""EN"",""ES"")"),"MERCERIA Y COMPLEMENTOS DE VESTIMENTA")</f>
        <v>MERCERIA Y COMPLEMENTOS DE VESTIMENTA</v>
      </c>
      <c r="L357" s="5" t="str">
        <f ca="1">IFERROR(__xludf.DUMMYFUNCTION("GOOGLETRANSLATE(J357,""EN"",""ES"")"),"bobinas para bordar")</f>
        <v>bobinas para bordar</v>
      </c>
      <c r="M357" s="8" t="s">
        <v>9</v>
      </c>
      <c r="N357" s="8" t="s">
        <v>9</v>
      </c>
    </row>
    <row r="358" spans="1:14" ht="11.25" customHeight="1">
      <c r="A358" s="5" t="s">
        <v>345</v>
      </c>
      <c r="B358" s="5" t="s">
        <v>995</v>
      </c>
      <c r="C358" s="5" t="s">
        <v>1110</v>
      </c>
      <c r="D358" s="5" t="s">
        <v>348</v>
      </c>
      <c r="E358" s="5" t="s">
        <v>7</v>
      </c>
      <c r="F358" s="5" t="s">
        <v>349</v>
      </c>
      <c r="G358" s="5" t="s">
        <v>350</v>
      </c>
      <c r="H358" s="5" t="s">
        <v>997</v>
      </c>
      <c r="I358" s="5" t="s">
        <v>1111</v>
      </c>
      <c r="J358" s="5" t="s">
        <v>1112</v>
      </c>
      <c r="K358" s="7" t="str">
        <f ca="1">IFERROR(__xludf.DUMMYFUNCTION("GOOGLETRANSLATE(H358,""EN"",""ES"")"),"MERCERIA Y COMPLEMENTOS DE VESTIMENTA")</f>
        <v>MERCERIA Y COMPLEMENTOS DE VESTIMENTA</v>
      </c>
      <c r="L358" s="5" t="str">
        <f ca="1">IFERROR(__xludf.DUMMYFUNCTION("GOOGLETRANSLATE(J358,""EN"",""ES"")"),"Volantes")</f>
        <v>Volantes</v>
      </c>
      <c r="M358" s="8" t="s">
        <v>9</v>
      </c>
      <c r="N358" s="8" t="s">
        <v>9</v>
      </c>
    </row>
    <row r="359" spans="1:14" ht="11.25" customHeight="1">
      <c r="A359" s="5" t="s">
        <v>345</v>
      </c>
      <c r="B359" s="5" t="s">
        <v>995</v>
      </c>
      <c r="C359" s="5" t="s">
        <v>1113</v>
      </c>
      <c r="D359" s="5" t="s">
        <v>348</v>
      </c>
      <c r="E359" s="5" t="s">
        <v>7</v>
      </c>
      <c r="F359" s="5" t="s">
        <v>349</v>
      </c>
      <c r="G359" s="5" t="s">
        <v>350</v>
      </c>
      <c r="H359" s="5" t="s">
        <v>997</v>
      </c>
      <c r="I359" s="5" t="s">
        <v>1114</v>
      </c>
      <c r="J359" s="5" t="s">
        <v>1115</v>
      </c>
      <c r="K359" s="7" t="str">
        <f ca="1">IFERROR(__xludf.DUMMYFUNCTION("GOOGLETRANSLATE(H359,""EN"",""ES"")"),"MERCERIA Y COMPLEMENTOS DE VESTIMENTA")</f>
        <v>MERCERIA Y COMPLEMENTOS DE VESTIMENTA</v>
      </c>
      <c r="L359" s="5" t="str">
        <f ca="1">IFERROR(__xludf.DUMMYFUNCTION("GOOGLETRANSLATE(J359,""EN"",""ES"")"),"Correas para ligueros")</f>
        <v>Correas para ligueros</v>
      </c>
      <c r="M359" s="8" t="s">
        <v>9</v>
      </c>
      <c r="N359" s="8" t="s">
        <v>9</v>
      </c>
    </row>
    <row r="360" spans="1:14" ht="11.25" customHeight="1">
      <c r="A360" s="5" t="s">
        <v>345</v>
      </c>
      <c r="B360" s="5" t="s">
        <v>995</v>
      </c>
      <c r="C360" s="5" t="s">
        <v>1116</v>
      </c>
      <c r="D360" s="5" t="s">
        <v>348</v>
      </c>
      <c r="E360" s="5" t="s">
        <v>7</v>
      </c>
      <c r="F360" s="5" t="s">
        <v>349</v>
      </c>
      <c r="G360" s="5" t="s">
        <v>350</v>
      </c>
      <c r="H360" s="5" t="s">
        <v>997</v>
      </c>
      <c r="I360" s="5" t="s">
        <v>1117</v>
      </c>
      <c r="J360" s="5" t="s">
        <v>1118</v>
      </c>
      <c r="K360" s="7" t="str">
        <f ca="1">IFERROR(__xludf.DUMMYFUNCTION("GOOGLETRANSLATE(H360,""EN"",""ES"")"),"MERCERIA Y COMPLEMENTOS DE VESTIMENTA")</f>
        <v>MERCERIA Y COMPLEMENTOS DE VESTIMENTA</v>
      </c>
      <c r="L360" s="5" t="str">
        <f ca="1">IFERROR(__xludf.DUMMYFUNCTION("GOOGLETRANSLATE(J360,""EN"",""ES"")"),"ligas")</f>
        <v>ligas</v>
      </c>
      <c r="M360" s="8" t="s">
        <v>9</v>
      </c>
      <c r="N360" s="8" t="s">
        <v>9</v>
      </c>
    </row>
    <row r="361" spans="1:14" ht="11.25" customHeight="1">
      <c r="A361" s="5" t="s">
        <v>345</v>
      </c>
      <c r="B361" s="5" t="s">
        <v>995</v>
      </c>
      <c r="C361" s="5" t="s">
        <v>1119</v>
      </c>
      <c r="D361" s="5" t="s">
        <v>348</v>
      </c>
      <c r="E361" s="5" t="s">
        <v>7</v>
      </c>
      <c r="F361" s="5" t="s">
        <v>349</v>
      </c>
      <c r="G361" s="5" t="s">
        <v>350</v>
      </c>
      <c r="H361" s="5" t="s">
        <v>997</v>
      </c>
      <c r="I361" s="5" t="s">
        <v>1120</v>
      </c>
      <c r="J361" s="5" t="s">
        <v>1121</v>
      </c>
      <c r="K361" s="7" t="str">
        <f ca="1">IFERROR(__xludf.DUMMYFUNCTION("GOOGLETRANSLATE(H361,""EN"",""ES"")"),"MERCERIA Y COMPLEMENTOS DE VESTIMENTA")</f>
        <v>MERCERIA Y COMPLEMENTOS DE VESTIMENTA</v>
      </c>
      <c r="L361" s="5" t="str">
        <f ca="1">IFERROR(__xludf.DUMMYFUNCTION("GOOGLETRANSLATE(J361,""EN"",""ES"")"),"Cordones")</f>
        <v>Cordones</v>
      </c>
      <c r="M361" s="8" t="s">
        <v>9</v>
      </c>
      <c r="N361" s="8" t="s">
        <v>9</v>
      </c>
    </row>
    <row r="362" spans="1:14" ht="11.25" customHeight="1">
      <c r="A362" s="5" t="s">
        <v>345</v>
      </c>
      <c r="B362" s="5" t="s">
        <v>995</v>
      </c>
      <c r="C362" s="5" t="s">
        <v>1122</v>
      </c>
      <c r="D362" s="5" t="s">
        <v>348</v>
      </c>
      <c r="E362" s="5" t="s">
        <v>7</v>
      </c>
      <c r="F362" s="5" t="s">
        <v>349</v>
      </c>
      <c r="G362" s="5" t="s">
        <v>350</v>
      </c>
      <c r="H362" s="5" t="s">
        <v>997</v>
      </c>
      <c r="I362" s="5" t="s">
        <v>1123</v>
      </c>
      <c r="J362" s="5" t="s">
        <v>1124</v>
      </c>
      <c r="K362" s="7" t="str">
        <f ca="1">IFERROR(__xludf.DUMMYFUNCTION("GOOGLETRANSLATE(H362,""EN"",""ES"")"),"MERCERIA Y COMPLEMENTOS DE VESTIMENTA")</f>
        <v>MERCERIA Y COMPLEMENTOS DE VESTIMENTA</v>
      </c>
      <c r="L362" s="5" t="str">
        <f ca="1">IFERROR(__xludf.DUMMYFUNCTION("GOOGLETRANSLATE(J362,""EN"",""ES"")"),"Lanzaderas para hacer redes de pesca.")</f>
        <v>Lanzaderas para hacer redes de pesca.</v>
      </c>
      <c r="M362" s="8" t="s">
        <v>9</v>
      </c>
      <c r="N362" s="8" t="s">
        <v>9</v>
      </c>
    </row>
    <row r="363" spans="1:14" ht="11.25" customHeight="1">
      <c r="A363" s="5" t="s">
        <v>345</v>
      </c>
      <c r="B363" s="5" t="s">
        <v>995</v>
      </c>
      <c r="C363" s="5" t="s">
        <v>1125</v>
      </c>
      <c r="D363" s="5" t="s">
        <v>348</v>
      </c>
      <c r="E363" s="5" t="s">
        <v>7</v>
      </c>
      <c r="F363" s="5" t="s">
        <v>349</v>
      </c>
      <c r="G363" s="5" t="s">
        <v>350</v>
      </c>
      <c r="H363" s="5" t="s">
        <v>997</v>
      </c>
      <c r="I363" s="5" t="s">
        <v>1126</v>
      </c>
      <c r="J363" s="5" t="s">
        <v>1127</v>
      </c>
      <c r="K363" s="7" t="str">
        <f ca="1">IFERROR(__xludf.DUMMYFUNCTION("GOOGLETRANSLATE(H363,""EN"",""ES"")"),"MERCERIA Y COMPLEMENTOS DE VESTIMENTA")</f>
        <v>MERCERIA Y COMPLEMENTOS DE VESTIMENTA</v>
      </c>
      <c r="L363" s="5" t="str">
        <f ca="1">IFERROR(__xludf.DUMMYFUNCTION("GOOGLETRANSLATE(J363,""EN"",""ES"")"),"Ojetes [mercería]")</f>
        <v>Ojetes [mercería]</v>
      </c>
      <c r="M363" s="8" t="s">
        <v>9</v>
      </c>
      <c r="N363" s="8" t="s">
        <v>9</v>
      </c>
    </row>
    <row r="364" spans="1:14" ht="11.25" customHeight="1">
      <c r="A364" s="5" t="s">
        <v>345</v>
      </c>
      <c r="B364" s="5" t="s">
        <v>995</v>
      </c>
      <c r="C364" s="5" t="s">
        <v>1128</v>
      </c>
      <c r="D364" s="5" t="s">
        <v>348</v>
      </c>
      <c r="E364" s="5" t="s">
        <v>7</v>
      </c>
      <c r="F364" s="5" t="s">
        <v>349</v>
      </c>
      <c r="G364" s="5" t="s">
        <v>350</v>
      </c>
      <c r="H364" s="5" t="s">
        <v>997</v>
      </c>
      <c r="I364" s="5" t="s">
        <v>1129</v>
      </c>
      <c r="J364" s="5" t="s">
        <v>1130</v>
      </c>
      <c r="K364" s="7" t="str">
        <f ca="1">IFERROR(__xludf.DUMMYFUNCTION("GOOGLETRANSLATE(H364,""EN"",""ES"")"),"MERCERIA Y COMPLEMENTOS DE VESTIMENTA")</f>
        <v>MERCERIA Y COMPLEMENTOS DE VESTIMENTA</v>
      </c>
      <c r="L364" s="5" t="str">
        <f ca="1">IFERROR(__xludf.DUMMYFUNCTION("GOOGLETRANSLATE(J364,""EN"",""ES"")"),"Ojales para zapatos")</f>
        <v>Ojales para zapatos</v>
      </c>
      <c r="M364" s="8" t="s">
        <v>9</v>
      </c>
      <c r="N364" s="8" t="s">
        <v>9</v>
      </c>
    </row>
    <row r="365" spans="1:14" ht="11.25" customHeight="1">
      <c r="A365" s="5" t="s">
        <v>345</v>
      </c>
      <c r="B365" s="5" t="s">
        <v>995</v>
      </c>
      <c r="C365" s="5" t="s">
        <v>1131</v>
      </c>
      <c r="D365" s="5" t="s">
        <v>348</v>
      </c>
      <c r="E365" s="5" t="s">
        <v>7</v>
      </c>
      <c r="F365" s="5" t="s">
        <v>349</v>
      </c>
      <c r="G365" s="5" t="s">
        <v>350</v>
      </c>
      <c r="H365" s="5" t="s">
        <v>997</v>
      </c>
      <c r="I365" s="5" t="s">
        <v>1132</v>
      </c>
      <c r="J365" s="5" t="s">
        <v>1133</v>
      </c>
      <c r="K365" s="7" t="str">
        <f ca="1">IFERROR(__xludf.DUMMYFUNCTION("GOOGLETRANSLATE(H365,""EN"",""ES"")"),"MERCERIA Y COMPLEMENTOS DE VESTIMENTA")</f>
        <v>MERCERIA Y COMPLEMENTOS DE VESTIMENTA</v>
      </c>
      <c r="L365" s="5" t="str">
        <f ca="1">IFERROR(__xludf.DUMMYFUNCTION("GOOGLETRANSLATE(J365,""EN"",""ES"")"),"Pasamanería de cinturón")</f>
        <v>Pasamanería de cinturón</v>
      </c>
      <c r="M365" s="8" t="s">
        <v>9</v>
      </c>
      <c r="N365" s="8" t="s">
        <v>9</v>
      </c>
    </row>
    <row r="366" spans="1:14" ht="11.25" customHeight="1">
      <c r="A366" s="5" t="s">
        <v>345</v>
      </c>
      <c r="B366" s="5" t="s">
        <v>995</v>
      </c>
      <c r="C366" s="5" t="s">
        <v>1134</v>
      </c>
      <c r="D366" s="5" t="s">
        <v>348</v>
      </c>
      <c r="E366" s="5" t="s">
        <v>7</v>
      </c>
      <c r="F366" s="5" t="s">
        <v>349</v>
      </c>
      <c r="G366" s="5" t="s">
        <v>350</v>
      </c>
      <c r="H366" s="5" t="s">
        <v>997</v>
      </c>
      <c r="I366" s="5" t="s">
        <v>1135</v>
      </c>
      <c r="J366" s="5" t="s">
        <v>1136</v>
      </c>
      <c r="K366" s="7" t="str">
        <f ca="1">IFERROR(__xludf.DUMMYFUNCTION("GOOGLETRANSLATE(H366,""EN"",""ES"")"),"MERCERIA Y COMPLEMENTOS DE VESTIMENTA")</f>
        <v>MERCERIA Y COMPLEMENTOS DE VESTIMENTA</v>
      </c>
      <c r="L366" s="5" t="str">
        <f ca="1">IFERROR(__xludf.DUMMYFUNCTION("GOOGLETRANSLATE(J366,""EN"",""ES"")"),"Lentejuelas, lentejuelas [mercería]")</f>
        <v>Lentejuelas, lentejuelas [mercería]</v>
      </c>
      <c r="M366" s="8" t="s">
        <v>9</v>
      </c>
      <c r="N366" s="8" t="s">
        <v>9</v>
      </c>
    </row>
    <row r="367" spans="1:14" ht="11.25" customHeight="1">
      <c r="A367" s="5" t="s">
        <v>345</v>
      </c>
      <c r="B367" s="5" t="s">
        <v>995</v>
      </c>
      <c r="C367" s="5" t="s">
        <v>1134</v>
      </c>
      <c r="D367" s="5" t="s">
        <v>348</v>
      </c>
      <c r="E367" s="5" t="s">
        <v>7</v>
      </c>
      <c r="F367" s="5" t="s">
        <v>349</v>
      </c>
      <c r="G367" s="5" t="s">
        <v>350</v>
      </c>
      <c r="H367" s="5" t="s">
        <v>997</v>
      </c>
      <c r="I367" s="5" t="s">
        <v>1137</v>
      </c>
      <c r="J367" s="5" t="s">
        <v>152</v>
      </c>
      <c r="K367" s="7" t="str">
        <f ca="1">IFERROR(__xludf.DUMMYFUNCTION("GOOGLETRANSLATE(H367,""EN"",""ES"")"),"MERCERIA Y COMPLEMENTOS DE VESTIMENTA")</f>
        <v>MERCERIA Y COMPLEMENTOS DE VESTIMENTA</v>
      </c>
      <c r="L367" s="5" t="str">
        <f ca="1">IFERROR(__xludf.DUMMYFUNCTION("GOOGLETRANSLATE(J367,""EN"",""ES"")"),"Lentejuelas, lentejuelas [mercería]")</f>
        <v>Lentejuelas, lentejuelas [mercería]</v>
      </c>
      <c r="M367" s="8" t="s">
        <v>9</v>
      </c>
      <c r="N367" s="8" t="s">
        <v>9</v>
      </c>
    </row>
    <row r="368" spans="1:14" ht="11.25" customHeight="1">
      <c r="A368" s="5" t="s">
        <v>345</v>
      </c>
      <c r="B368" s="5" t="s">
        <v>995</v>
      </c>
      <c r="C368" s="5" t="s">
        <v>1138</v>
      </c>
      <c r="D368" s="5" t="s">
        <v>348</v>
      </c>
      <c r="E368" s="5" t="s">
        <v>7</v>
      </c>
      <c r="F368" s="5" t="s">
        <v>349</v>
      </c>
      <c r="G368" s="5" t="s">
        <v>350</v>
      </c>
      <c r="H368" s="5" t="s">
        <v>997</v>
      </c>
      <c r="I368" s="5" t="s">
        <v>1139</v>
      </c>
      <c r="J368" s="5" t="s">
        <v>1140</v>
      </c>
      <c r="K368" s="7" t="str">
        <f ca="1">IFERROR(__xludf.DUMMYFUNCTION("GOOGLETRANSLATE(H368,""EN"",""ES"")"),"MERCERIA Y COMPLEMENTOS DE VESTIMENTA")</f>
        <v>MERCERIA Y COMPLEMENTOS DE VESTIMENTA</v>
      </c>
      <c r="L368" s="5" t="str">
        <f ca="1">IFERROR(__xludf.DUMMYFUNCTION("GOOGLETRANSLATE(J368,""EN"",""ES"")"),"Enhebradores")</f>
        <v>Enhebradores</v>
      </c>
      <c r="M368" s="8" t="s">
        <v>9</v>
      </c>
      <c r="N368" s="8" t="s">
        <v>9</v>
      </c>
    </row>
    <row r="369" spans="1:14" ht="11.25" customHeight="1">
      <c r="A369" s="5" t="s">
        <v>345</v>
      </c>
      <c r="B369" s="5" t="s">
        <v>995</v>
      </c>
      <c r="C369" s="5" t="s">
        <v>1141</v>
      </c>
      <c r="D369" s="5" t="s">
        <v>348</v>
      </c>
      <c r="E369" s="5" t="s">
        <v>7</v>
      </c>
      <c r="F369" s="5" t="s">
        <v>349</v>
      </c>
      <c r="G369" s="5" t="s">
        <v>350</v>
      </c>
      <c r="H369" s="5" t="s">
        <v>997</v>
      </c>
      <c r="I369" s="5" t="s">
        <v>1142</v>
      </c>
      <c r="J369" s="5" t="s">
        <v>1143</v>
      </c>
      <c r="K369" s="7" t="str">
        <f ca="1">IFERROR(__xludf.DUMMYFUNCTION("GOOGLETRANSLATE(H369,""EN"",""ES"")"),"MERCERIA Y COMPLEMENTOS DE VESTIMENTA")</f>
        <v>MERCERIA Y COMPLEMENTOS DE VESTIMENTA</v>
      </c>
      <c r="L369" s="5" t="str">
        <f ca="1">IFERROR(__xludf.DUMMYFUNCTION("GOOGLETRANSLATE(J369,""EN"",""ES"")"),"Alfileteros")</f>
        <v>Alfileteros</v>
      </c>
      <c r="M369" s="8" t="s">
        <v>9</v>
      </c>
      <c r="N369" s="8" t="s">
        <v>9</v>
      </c>
    </row>
    <row r="370" spans="1:14" ht="11.25" customHeight="1">
      <c r="A370" s="5" t="s">
        <v>345</v>
      </c>
      <c r="B370" s="5" t="s">
        <v>995</v>
      </c>
      <c r="C370" s="5" t="s">
        <v>1144</v>
      </c>
      <c r="D370" s="5" t="s">
        <v>348</v>
      </c>
      <c r="E370" s="5" t="s">
        <v>7</v>
      </c>
      <c r="F370" s="5" t="s">
        <v>349</v>
      </c>
      <c r="G370" s="5" t="s">
        <v>350</v>
      </c>
      <c r="H370" s="5" t="s">
        <v>997</v>
      </c>
      <c r="I370" s="5" t="s">
        <v>1145</v>
      </c>
      <c r="J370" s="5" t="s">
        <v>1146</v>
      </c>
      <c r="K370" s="7" t="str">
        <f ca="1">IFERROR(__xludf.DUMMYFUNCTION("GOOGLETRANSLATE(H370,""EN"",""ES"")"),"MERCERIA Y COMPLEMENTOS DE VESTIMENTA")</f>
        <v>MERCERIA Y COMPLEMENTOS DE VESTIMENTA</v>
      </c>
      <c r="L370" s="5" t="str">
        <f ca="1">IFERROR(__xludf.DUMMYFUNCTION("GOOGLETRANSLATE(J370,""EN"",""ES"")"),"Plumas para adorno")</f>
        <v>Plumas para adorno</v>
      </c>
      <c r="M370" s="8" t="s">
        <v>9</v>
      </c>
      <c r="N370" s="8" t="s">
        <v>9</v>
      </c>
    </row>
    <row r="371" spans="1:14" ht="11.25" customHeight="1">
      <c r="A371" s="5" t="s">
        <v>345</v>
      </c>
      <c r="B371" s="5" t="s">
        <v>995</v>
      </c>
      <c r="C371" s="5" t="s">
        <v>1147</v>
      </c>
      <c r="D371" s="5" t="s">
        <v>348</v>
      </c>
      <c r="E371" s="5" t="s">
        <v>7</v>
      </c>
      <c r="F371" s="5" t="s">
        <v>349</v>
      </c>
      <c r="G371" s="5" t="s">
        <v>350</v>
      </c>
      <c r="H371" s="5" t="s">
        <v>997</v>
      </c>
      <c r="I371" s="5" t="s">
        <v>1148</v>
      </c>
      <c r="J371" s="5" t="s">
        <v>1149</v>
      </c>
      <c r="K371" s="7" t="str">
        <f ca="1">IFERROR(__xludf.DUMMYFUNCTION("GOOGLETRANSLATE(H371,""EN"",""ES"")"),"MERCERIA Y COMPLEMENTOS DE VESTIMENTA")</f>
        <v>MERCERIA Y COMPLEMENTOS DE VESTIMENTA</v>
      </c>
      <c r="L371" s="5" t="str">
        <f ca="1">IFERROR(__xludf.DUMMYFUNCTION("GOOGLETRANSLATE(J371,""EN"",""ES"")"),"Soportes para ovillos de lana [para tejer]")</f>
        <v>Soportes para ovillos de lana [para tejer]</v>
      </c>
      <c r="M371" s="8" t="s">
        <v>9</v>
      </c>
      <c r="N371" s="8" t="s">
        <v>9</v>
      </c>
    </row>
    <row r="372" spans="1:14" ht="11.25" customHeight="1">
      <c r="A372" s="5" t="s">
        <v>345</v>
      </c>
      <c r="B372" s="5" t="s">
        <v>995</v>
      </c>
      <c r="C372" s="5" t="s">
        <v>1150</v>
      </c>
      <c r="D372" s="5" t="s">
        <v>348</v>
      </c>
      <c r="E372" s="5" t="s">
        <v>7</v>
      </c>
      <c r="F372" s="5" t="s">
        <v>349</v>
      </c>
      <c r="G372" s="5" t="s">
        <v>350</v>
      </c>
      <c r="H372" s="5" t="s">
        <v>997</v>
      </c>
      <c r="I372" s="5" t="s">
        <v>1151</v>
      </c>
      <c r="J372" s="5" t="s">
        <v>1152</v>
      </c>
      <c r="K372" s="7" t="str">
        <f ca="1">IFERROR(__xludf.DUMMYFUNCTION("GOOGLETRANSLATE(H372,""EN"",""ES"")"),"MERCERIA Y COMPLEMENTOS DE VESTIMENTA")</f>
        <v>MERCERIA Y COMPLEMENTOS DE VESTIMENTA</v>
      </c>
      <c r="L372" s="5" t="str">
        <f ca="1">IFERROR(__xludf.DUMMYFUNCTION("GOOGLETRANSLATE(J372,""EN"",""ES"")"),"Tela rígida para ropa.")</f>
        <v>Tela rígida para ropa.</v>
      </c>
      <c r="M372" s="8" t="s">
        <v>9</v>
      </c>
      <c r="N372" s="8" t="s">
        <v>9</v>
      </c>
    </row>
    <row r="373" spans="1:14" ht="11.25" customHeight="1">
      <c r="A373" s="5" t="s">
        <v>345</v>
      </c>
      <c r="B373" s="5" t="s">
        <v>995</v>
      </c>
      <c r="C373" s="5" t="s">
        <v>1153</v>
      </c>
      <c r="D373" s="5" t="s">
        <v>348</v>
      </c>
      <c r="E373" s="5" t="s">
        <v>7</v>
      </c>
      <c r="F373" s="5" t="s">
        <v>349</v>
      </c>
      <c r="G373" s="5" t="s">
        <v>350</v>
      </c>
      <c r="H373" s="5" t="s">
        <v>997</v>
      </c>
      <c r="I373" s="5" t="s">
        <v>1154</v>
      </c>
      <c r="J373" s="5" t="s">
        <v>1155</v>
      </c>
      <c r="K373" s="7" t="str">
        <f ca="1">IFERROR(__xludf.DUMMYFUNCTION("GOOGLETRANSLATE(H373,""EN"",""ES"")"),"MERCERIA Y COMPLEMENTOS DE VESTIMENTA")</f>
        <v>MERCERIA Y COMPLEMENTOS DE VESTIMENTA</v>
      </c>
      <c r="L373" s="5" t="str">
        <f ca="1">IFERROR(__xludf.DUMMYFUNCTION("GOOGLETRANSLATE(J373,""EN"",""ES"")"),"Bolitas o champiñones para zurcir")</f>
        <v>Bolitas o champiñones para zurcir</v>
      </c>
      <c r="M373" s="8" t="s">
        <v>9</v>
      </c>
      <c r="N373" s="8" t="s">
        <v>9</v>
      </c>
    </row>
    <row r="374" spans="1:14" ht="11.25" customHeight="1">
      <c r="A374" s="5" t="s">
        <v>345</v>
      </c>
      <c r="B374" s="5" t="s">
        <v>995</v>
      </c>
      <c r="C374" s="5" t="s">
        <v>1153</v>
      </c>
      <c r="D374" s="5" t="s">
        <v>348</v>
      </c>
      <c r="E374" s="5" t="s">
        <v>7</v>
      </c>
      <c r="F374" s="5" t="s">
        <v>349</v>
      </c>
      <c r="G374" s="5" t="s">
        <v>350</v>
      </c>
      <c r="H374" s="5" t="s">
        <v>997</v>
      </c>
      <c r="I374" s="5" t="s">
        <v>1156</v>
      </c>
      <c r="J374" s="5" t="s">
        <v>1157</v>
      </c>
      <c r="K374" s="7" t="str">
        <f ca="1">IFERROR(__xludf.DUMMYFUNCTION("GOOGLETRANSLATE(H374,""EN"",""ES"")"),"MERCERIA Y COMPLEMENTOS DE VESTIMENTA")</f>
        <v>MERCERIA Y COMPLEMENTOS DE VESTIMENTA</v>
      </c>
      <c r="L374" s="5" t="str">
        <f ca="1">IFERROR(__xludf.DUMMYFUNCTION("GOOGLETRANSLATE(J374,""EN"",""ES"")"),"bolas de zurcir")</f>
        <v>bolas de zurcir</v>
      </c>
      <c r="M374" s="8" t="s">
        <v>9</v>
      </c>
      <c r="N374" s="8" t="s">
        <v>9</v>
      </c>
    </row>
    <row r="375" spans="1:14" ht="11.25" customHeight="1">
      <c r="A375" s="5" t="s">
        <v>345</v>
      </c>
      <c r="B375" s="5" t="s">
        <v>995</v>
      </c>
      <c r="C375" s="5" t="s">
        <v>1158</v>
      </c>
      <c r="D375" s="5" t="s">
        <v>348</v>
      </c>
      <c r="E375" s="5" t="s">
        <v>7</v>
      </c>
      <c r="F375" s="5" t="s">
        <v>349</v>
      </c>
      <c r="G375" s="5" t="s">
        <v>350</v>
      </c>
      <c r="H375" s="5" t="s">
        <v>997</v>
      </c>
      <c r="I375" s="5" t="s">
        <v>1159</v>
      </c>
      <c r="J375" s="5" t="s">
        <v>1160</v>
      </c>
      <c r="K375" s="7" t="str">
        <f ca="1">IFERROR(__xludf.DUMMYFUNCTION("GOOGLETRANSLATE(H375,""EN"",""ES"")"),"MERCERIA Y COMPLEMENTOS DE VESTIMENTA")</f>
        <v>MERCERIA Y COMPLEMENTOS DE VESTIMENTA</v>
      </c>
      <c r="L375" s="5" t="str">
        <f ca="1">IFERROR(__xludf.DUMMYFUNCTION("GOOGLETRANSLATE(J375,""EN"",""ES"")"),"agujas de zurcir")</f>
        <v>agujas de zurcir</v>
      </c>
      <c r="M375" s="8" t="s">
        <v>9</v>
      </c>
      <c r="N375" s="8" t="s">
        <v>9</v>
      </c>
    </row>
    <row r="376" spans="1:14" ht="11.25" customHeight="1">
      <c r="A376" s="5" t="s">
        <v>345</v>
      </c>
      <c r="B376" s="5" t="s">
        <v>995</v>
      </c>
      <c r="C376" s="5" t="s">
        <v>1161</v>
      </c>
      <c r="D376" s="5" t="s">
        <v>348</v>
      </c>
      <c r="E376" s="5" t="s">
        <v>7</v>
      </c>
      <c r="F376" s="5" t="s">
        <v>349</v>
      </c>
      <c r="G376" s="5" t="s">
        <v>350</v>
      </c>
      <c r="H376" s="5" t="s">
        <v>997</v>
      </c>
      <c r="I376" s="5" t="s">
        <v>1162</v>
      </c>
      <c r="J376" s="5" t="s">
        <v>1163</v>
      </c>
      <c r="K376" s="7" t="str">
        <f ca="1">IFERROR(__xludf.DUMMYFUNCTION("GOOGLETRANSLATE(H376,""EN"",""ES"")"),"MERCERIA Y COMPLEMENTOS DE VESTIMENTA")</f>
        <v>MERCERIA Y COMPLEMENTOS DE VESTIMENTA</v>
      </c>
      <c r="L376" s="5" t="str">
        <f ca="1">IFERROR(__xludf.DUMMYFUNCTION("GOOGLETRANSLATE(J376,""EN"",""ES"")"),"Bandas de sombrero")</f>
        <v>Bandas de sombrero</v>
      </c>
      <c r="M376" s="8" t="s">
        <v>9</v>
      </c>
      <c r="N376" s="8" t="s">
        <v>9</v>
      </c>
    </row>
    <row r="377" spans="1:14" ht="11.25" customHeight="1">
      <c r="A377" s="5" t="s">
        <v>345</v>
      </c>
      <c r="B377" s="5" t="s">
        <v>995</v>
      </c>
      <c r="C377" s="5" t="s">
        <v>1164</v>
      </c>
      <c r="D377" s="5" t="s">
        <v>348</v>
      </c>
      <c r="E377" s="5" t="s">
        <v>7</v>
      </c>
      <c r="F377" s="5" t="s">
        <v>349</v>
      </c>
      <c r="G377" s="5" t="s">
        <v>350</v>
      </c>
      <c r="H377" s="5" t="s">
        <v>997</v>
      </c>
      <c r="I377" s="5" t="s">
        <v>1165</v>
      </c>
      <c r="J377" s="5" t="s">
        <v>1166</v>
      </c>
      <c r="K377" s="7" t="str">
        <f ca="1">IFERROR(__xludf.DUMMYFUNCTION("GOOGLETRANSLATE(H377,""EN"",""ES"")"),"MERCERIA Y COMPLEMENTOS DE VESTIMENTA")</f>
        <v>MERCERIA Y COMPLEMENTOS DE VESTIMENTA</v>
      </c>
      <c r="L377" s="5" t="str">
        <f ca="1">IFERROR(__xludf.DUMMYFUNCTION("GOOGLETRANSLATE(J377,""EN"",""ES"")"),"Marcos para costura")</f>
        <v>Marcos para costura</v>
      </c>
      <c r="M377" s="8" t="s">
        <v>9</v>
      </c>
      <c r="N377" s="8" t="s">
        <v>9</v>
      </c>
    </row>
    <row r="378" spans="1:14" ht="11.25" customHeight="1">
      <c r="A378" s="5" t="s">
        <v>345</v>
      </c>
      <c r="B378" s="5" t="s">
        <v>995</v>
      </c>
      <c r="C378" s="5" t="s">
        <v>1167</v>
      </c>
      <c r="D378" s="5" t="s">
        <v>348</v>
      </c>
      <c r="E378" s="5" t="s">
        <v>7</v>
      </c>
      <c r="F378" s="5" t="s">
        <v>349</v>
      </c>
      <c r="G378" s="5" t="s">
        <v>350</v>
      </c>
      <c r="H378" s="5" t="s">
        <v>997</v>
      </c>
      <c r="I378" s="5" t="s">
        <v>1168</v>
      </c>
      <c r="J378" s="5" t="s">
        <v>1169</v>
      </c>
      <c r="K378" s="7" t="str">
        <f ca="1">IFERROR(__xludf.DUMMYFUNCTION("GOOGLETRANSLATE(H378,""EN"",""ES"")"),"MERCERIA Y COMPLEMENTOS DE VESTIMENTA")</f>
        <v>MERCERIA Y COMPLEMENTOS DE VESTIMENTA</v>
      </c>
      <c r="L378" s="5" t="str">
        <f ca="1">IFERROR(__xludf.DUMMYFUNCTION("GOOGLETRANSLATE(J378,""EN"",""ES"")"),"Tiradores para cierres deslizantes [cremalleras]")</f>
        <v>Tiradores para cierres deslizantes [cremalleras]</v>
      </c>
      <c r="M378" s="8" t="s">
        <v>9</v>
      </c>
      <c r="N378" s="8" t="s">
        <v>9</v>
      </c>
    </row>
    <row r="379" spans="1:14" ht="11.25" customHeight="1">
      <c r="A379" s="5" t="s">
        <v>345</v>
      </c>
      <c r="B379" s="5" t="s">
        <v>995</v>
      </c>
      <c r="C379" s="5" t="s">
        <v>1170</v>
      </c>
      <c r="D379" s="5" t="s">
        <v>348</v>
      </c>
      <c r="E379" s="5" t="s">
        <v>7</v>
      </c>
      <c r="F379" s="5" t="s">
        <v>349</v>
      </c>
      <c r="G379" s="5" t="s">
        <v>350</v>
      </c>
      <c r="H379" s="5" t="s">
        <v>997</v>
      </c>
      <c r="I379" s="5" t="s">
        <v>1171</v>
      </c>
      <c r="J379" s="5" t="s">
        <v>1172</v>
      </c>
      <c r="K379" s="7" t="str">
        <f ca="1">IFERROR(__xludf.DUMMYFUNCTION("GOOGLETRANSLATE(H379,""EN"",""ES"")"),"MERCERIA Y COMPLEMENTOS DE VESTIMENTA")</f>
        <v>MERCERIA Y COMPLEMENTOS DE VESTIMENTA</v>
      </c>
      <c r="L379" s="5" t="str">
        <f ca="1">IFERROR(__xludf.DUMMYFUNCTION("GOOGLETRANSLATE(J379,""EN"",""ES"")"),"velos de sombrero")</f>
        <v>velos de sombrero</v>
      </c>
      <c r="M379" s="8" t="s">
        <v>9</v>
      </c>
      <c r="N379" s="8" t="s">
        <v>9</v>
      </c>
    </row>
    <row r="380" spans="1:14" ht="11.25" customHeight="1">
      <c r="A380" s="5" t="s">
        <v>345</v>
      </c>
      <c r="B380" s="5" t="s">
        <v>995</v>
      </c>
      <c r="C380" s="5" t="s">
        <v>1173</v>
      </c>
      <c r="D380" s="5" t="s">
        <v>348</v>
      </c>
      <c r="E380" s="5" t="s">
        <v>7</v>
      </c>
      <c r="F380" s="5" t="s">
        <v>349</v>
      </c>
      <c r="G380" s="5" t="s">
        <v>350</v>
      </c>
      <c r="H380" s="5" t="s">
        <v>997</v>
      </c>
      <c r="I380" s="5" t="s">
        <v>1174</v>
      </c>
      <c r="J380" s="5" t="s">
        <v>1175</v>
      </c>
      <c r="K380" s="7" t="str">
        <f ca="1">IFERROR(__xludf.DUMMYFUNCTION("GOOGLETRANSLATE(H380,""EN"",""ES"")"),"MERCERIA Y COMPLEMENTOS DE VESTIMENTA")</f>
        <v>MERCERIA Y COMPLEMENTOS DE VESTIMENTA</v>
      </c>
      <c r="L380" s="5" t="str">
        <f ca="1">IFERROR(__xludf.DUMMYFUNCTION("GOOGLETRANSLATE(J380,""EN"",""ES"")"),"Portavelos")</f>
        <v>Portavelos</v>
      </c>
      <c r="M380" s="8" t="s">
        <v>9</v>
      </c>
      <c r="N380" s="8" t="s">
        <v>9</v>
      </c>
    </row>
    <row r="381" spans="1:14" ht="11.25" customHeight="1">
      <c r="A381" s="5" t="s">
        <v>345</v>
      </c>
      <c r="B381" s="5" t="s">
        <v>995</v>
      </c>
      <c r="C381" s="5" t="s">
        <v>1176</v>
      </c>
      <c r="D381" s="5" t="s">
        <v>348</v>
      </c>
      <c r="E381" s="5" t="s">
        <v>7</v>
      </c>
      <c r="F381" s="5" t="s">
        <v>349</v>
      </c>
      <c r="G381" s="5" t="s">
        <v>350</v>
      </c>
      <c r="H381" s="5" t="s">
        <v>997</v>
      </c>
      <c r="I381" s="5" t="s">
        <v>1177</v>
      </c>
      <c r="J381" s="5" t="s">
        <v>1178</v>
      </c>
      <c r="K381" s="7" t="str">
        <f ca="1">IFERROR(__xludf.DUMMYFUNCTION("GOOGLETRANSLATE(H381,""EN"",""ES"")"),"MERCERIA Y COMPLEMENTOS DE VESTIMENTA")</f>
        <v>MERCERIA Y COMPLEMENTOS DE VESTIMENTA</v>
      </c>
      <c r="L381" s="5" t="str">
        <f ca="1">IFERROR(__xludf.DUMMYFUNCTION("GOOGLETRANSLATE(J381,""EN"",""ES"")"),"Cinturones fluorescentes [ropa]")</f>
        <v>Cinturones fluorescentes [ropa]</v>
      </c>
      <c r="M381" s="8" t="s">
        <v>9</v>
      </c>
      <c r="N381" s="8" t="s">
        <v>9</v>
      </c>
    </row>
    <row r="382" spans="1:14" ht="11.25" customHeight="1">
      <c r="A382" s="5" t="s">
        <v>345</v>
      </c>
      <c r="B382" s="5" t="s">
        <v>995</v>
      </c>
      <c r="C382" s="5" t="s">
        <v>1179</v>
      </c>
      <c r="D382" s="5" t="s">
        <v>348</v>
      </c>
      <c r="E382" s="5" t="s">
        <v>7</v>
      </c>
      <c r="F382" s="5" t="s">
        <v>349</v>
      </c>
      <c r="G382" s="5" t="s">
        <v>350</v>
      </c>
      <c r="H382" s="5" t="s">
        <v>997</v>
      </c>
      <c r="I382" s="5" t="s">
        <v>1180</v>
      </c>
      <c r="J382" s="5" t="s">
        <v>1181</v>
      </c>
      <c r="K382" s="7" t="str">
        <f ca="1">IFERROR(__xludf.DUMMYFUNCTION("GOOGLETRANSLATE(H382,""EN"",""ES"")"),"MERCERIA Y COMPLEMENTOS DE VESTIMENTA")</f>
        <v>MERCERIA Y COMPLEMENTOS DE VESTIMENTA</v>
      </c>
      <c r="L382" s="5" t="str">
        <f ca="1">IFERROR(__xludf.DUMMYFUNCTION("GOOGLETRANSLATE(J382,""EN"",""ES"")"),"velos")</f>
        <v>velos</v>
      </c>
      <c r="M382" s="8" t="s">
        <v>9</v>
      </c>
      <c r="N382" s="8" t="s">
        <v>9</v>
      </c>
    </row>
    <row r="383" spans="1:14" ht="11.25" customHeight="1">
      <c r="A383" s="5" t="s">
        <v>345</v>
      </c>
      <c r="B383" s="5" t="s">
        <v>995</v>
      </c>
      <c r="C383" s="5" t="s">
        <v>1182</v>
      </c>
      <c r="D383" s="5" t="s">
        <v>348</v>
      </c>
      <c r="E383" s="5" t="s">
        <v>7</v>
      </c>
      <c r="F383" s="5" t="s">
        <v>349</v>
      </c>
      <c r="G383" s="5" t="s">
        <v>350</v>
      </c>
      <c r="H383" s="5" t="s">
        <v>997</v>
      </c>
      <c r="I383" s="5" t="s">
        <v>1183</v>
      </c>
      <c r="J383" s="5" t="s">
        <v>1184</v>
      </c>
      <c r="K383" s="7" t="str">
        <f ca="1">IFERROR(__xludf.DUMMYFUNCTION("GOOGLETRANSLATE(H383,""EN"",""ES"")"),"MERCERIA Y COMPLEMENTOS DE VESTIMENTA")</f>
        <v>MERCERIA Y COMPLEMENTOS DE VESTIMENTA</v>
      </c>
      <c r="L383" s="5" t="str">
        <f ca="1">IFERROR(__xludf.DUMMYFUNCTION("GOOGLETRANSLATE(J383,""EN"",""ES"")"),"Alfileres de sombrero")</f>
        <v>Alfileres de sombrero</v>
      </c>
      <c r="M383" s="8" t="s">
        <v>9</v>
      </c>
      <c r="N383" s="8" t="s">
        <v>9</v>
      </c>
    </row>
    <row r="384" spans="1:14" ht="11.25" customHeight="1">
      <c r="A384" s="5" t="s">
        <v>345</v>
      </c>
      <c r="B384" s="5" t="s">
        <v>995</v>
      </c>
      <c r="C384" s="5" t="s">
        <v>1182</v>
      </c>
      <c r="D384" s="5" t="s">
        <v>348</v>
      </c>
      <c r="E384" s="5" t="s">
        <v>7</v>
      </c>
      <c r="F384" s="5" t="s">
        <v>349</v>
      </c>
      <c r="G384" s="5" t="s">
        <v>350</v>
      </c>
      <c r="H384" s="5" t="s">
        <v>997</v>
      </c>
      <c r="I384" s="5" t="s">
        <v>152</v>
      </c>
      <c r="J384" s="5" t="s">
        <v>1185</v>
      </c>
      <c r="K384" s="7" t="str">
        <f ca="1">IFERROR(__xludf.DUMMYFUNCTION("GOOGLETRANSLATE(H384,""EN"",""ES"")"),"MERCERIA Y COMPLEMENTOS DE VESTIMENTA")</f>
        <v>MERCERIA Y COMPLEMENTOS DE VESTIMENTA</v>
      </c>
      <c r="L384" s="5" t="str">
        <f ca="1">IFERROR(__xludf.DUMMYFUNCTION("GOOGLETRANSLATE(J384,""EN"",""ES"")"),"N / A")</f>
        <v>N / A</v>
      </c>
      <c r="M384" s="8" t="s">
        <v>9</v>
      </c>
      <c r="N384" s="8" t="s">
        <v>9</v>
      </c>
    </row>
    <row r="385" spans="1:14" ht="11.25" customHeight="1">
      <c r="A385" s="5" t="s">
        <v>345</v>
      </c>
      <c r="B385" s="5" t="s">
        <v>995</v>
      </c>
      <c r="C385" s="5" t="s">
        <v>1186</v>
      </c>
      <c r="D385" s="5" t="s">
        <v>348</v>
      </c>
      <c r="E385" s="5" t="s">
        <v>7</v>
      </c>
      <c r="F385" s="5" t="s">
        <v>349</v>
      </c>
      <c r="G385" s="5" t="s">
        <v>350</v>
      </c>
      <c r="H385" s="5" t="s">
        <v>997</v>
      </c>
      <c r="I385" s="5" t="s">
        <v>1187</v>
      </c>
      <c r="J385" s="5" t="s">
        <v>1188</v>
      </c>
      <c r="K385" s="7" t="str">
        <f ca="1">IFERROR(__xludf.DUMMYFUNCTION("GOOGLETRANSLATE(H385,""EN"",""ES"")"),"MERCERIA Y COMPLEMENTOS DE VESTIMENTA")</f>
        <v>MERCERIA Y COMPLEMENTOS DE VESTIMENTA</v>
      </c>
      <c r="L385" s="5" t="str">
        <f ca="1">IFERROR(__xludf.DUMMYFUNCTION("GOOGLETRANSLATE(J385,""EN"",""ES"")"),"Bobinas para hilo e hilo.")</f>
        <v>Bobinas para hilo e hilo.</v>
      </c>
      <c r="M385" s="8" t="s">
        <v>9</v>
      </c>
      <c r="N385" s="8" t="s">
        <v>9</v>
      </c>
    </row>
    <row r="386" spans="1:14" ht="11.25" customHeight="1">
      <c r="A386" s="5" t="s">
        <v>345</v>
      </c>
      <c r="B386" s="5" t="s">
        <v>995</v>
      </c>
      <c r="C386" s="5" t="s">
        <v>1186</v>
      </c>
      <c r="D386" s="5" t="s">
        <v>348</v>
      </c>
      <c r="E386" s="5" t="s">
        <v>7</v>
      </c>
      <c r="F386" s="5" t="s">
        <v>349</v>
      </c>
      <c r="G386" s="5" t="s">
        <v>350</v>
      </c>
      <c r="H386" s="5" t="s">
        <v>997</v>
      </c>
      <c r="I386" s="5" t="s">
        <v>1189</v>
      </c>
      <c r="J386" s="5" t="s">
        <v>152</v>
      </c>
      <c r="K386" s="7" t="str">
        <f ca="1">IFERROR(__xludf.DUMMYFUNCTION("GOOGLETRANSLATE(H386,""EN"",""ES"")"),"MERCERIA Y COMPLEMENTOS DE VESTIMENTA")</f>
        <v>MERCERIA Y COMPLEMENTOS DE VESTIMENTA</v>
      </c>
      <c r="L386" s="5" t="str">
        <f ca="1">IFERROR(__xludf.DUMMYFUNCTION("GOOGLETRANSLATE(J386,""EN"",""ES"")"),"carretes para hilo")</f>
        <v>carretes para hilo</v>
      </c>
      <c r="M386" s="8" t="s">
        <v>9</v>
      </c>
      <c r="N386" s="8" t="s">
        <v>9</v>
      </c>
    </row>
    <row r="387" spans="1:14" ht="11.25" customHeight="1">
      <c r="A387" s="5" t="s">
        <v>345</v>
      </c>
      <c r="B387" s="5" t="s">
        <v>995</v>
      </c>
      <c r="C387" s="5" t="s">
        <v>1186</v>
      </c>
      <c r="D387" s="5" t="s">
        <v>348</v>
      </c>
      <c r="E387" s="5" t="s">
        <v>7</v>
      </c>
      <c r="F387" s="5" t="s">
        <v>349</v>
      </c>
      <c r="G387" s="5" t="s">
        <v>350</v>
      </c>
      <c r="H387" s="5" t="s">
        <v>997</v>
      </c>
      <c r="I387" s="5" t="s">
        <v>1190</v>
      </c>
      <c r="J387" s="5" t="s">
        <v>152</v>
      </c>
      <c r="K387" s="7" t="str">
        <f ca="1">IFERROR(__xludf.DUMMYFUNCTION("GOOGLETRANSLATE(H387,""EN"",""ES"")"),"MERCERIA Y COMPLEMENTOS DE VESTIMENTA")</f>
        <v>MERCERIA Y COMPLEMENTOS DE VESTIMENTA</v>
      </c>
      <c r="L387" s="5" t="str">
        <f ca="1">IFERROR(__xludf.DUMMYFUNCTION("GOOGLETRANSLATE(J387,""EN"",""ES"")"),"carretes para hilo")</f>
        <v>carretes para hilo</v>
      </c>
      <c r="M387" s="8" t="s">
        <v>9</v>
      </c>
      <c r="N387" s="8" t="s">
        <v>9</v>
      </c>
    </row>
    <row r="388" spans="1:14" ht="11.25" customHeight="1">
      <c r="A388" s="5" t="s">
        <v>345</v>
      </c>
      <c r="B388" s="5" t="s">
        <v>995</v>
      </c>
      <c r="C388" s="5" t="s">
        <v>1191</v>
      </c>
      <c r="D388" s="5" t="s">
        <v>348</v>
      </c>
      <c r="E388" s="5" t="s">
        <v>7</v>
      </c>
      <c r="F388" s="5" t="s">
        <v>349</v>
      </c>
      <c r="G388" s="5" t="s">
        <v>350</v>
      </c>
      <c r="H388" s="5" t="s">
        <v>997</v>
      </c>
      <c r="I388" s="5" t="s">
        <v>1192</v>
      </c>
      <c r="J388" s="5" t="s">
        <v>1193</v>
      </c>
      <c r="K388" s="7" t="str">
        <f ca="1">IFERROR(__xludf.DUMMYFUNCTION("GOOGLETRANSLATE(H388,""EN"",""ES"")"),"MERCERIA Y COMPLEMENTOS DE VESTIMENTA")</f>
        <v>MERCERIA Y COMPLEMENTOS DE VESTIMENTA</v>
      </c>
      <c r="L388" s="5" t="str">
        <f ca="1">IFERROR(__xludf.DUMMYFUNCTION("GOOGLETRANSLATE(J388,""EN"",""ES"")"),"Cierres para pañales de bebé.")</f>
        <v>Cierres para pañales de bebé.</v>
      </c>
      <c r="M388" s="8" t="s">
        <v>9</v>
      </c>
      <c r="N388" s="8" t="s">
        <v>9</v>
      </c>
    </row>
    <row r="389" spans="1:14" ht="11.25" customHeight="1">
      <c r="A389" s="5" t="s">
        <v>345</v>
      </c>
      <c r="B389" s="5" t="s">
        <v>995</v>
      </c>
      <c r="C389" s="5" t="s">
        <v>1191</v>
      </c>
      <c r="D389" s="5" t="s">
        <v>348</v>
      </c>
      <c r="E389" s="5" t="s">
        <v>7</v>
      </c>
      <c r="F389" s="5" t="s">
        <v>349</v>
      </c>
      <c r="G389" s="5" t="s">
        <v>350</v>
      </c>
      <c r="H389" s="5" t="s">
        <v>997</v>
      </c>
      <c r="I389" s="5" t="s">
        <v>1194</v>
      </c>
      <c r="J389" s="5" t="s">
        <v>152</v>
      </c>
      <c r="K389" s="7" t="str">
        <f ca="1">IFERROR(__xludf.DUMMYFUNCTION("GOOGLETRANSLATE(H389,""EN"",""ES"")"),"MERCERIA Y COMPLEMENTOS DE VESTIMENTA")</f>
        <v>MERCERIA Y COMPLEMENTOS DE VESTIMENTA</v>
      </c>
      <c r="L389" s="5" t="str">
        <f ca="1">IFERROR(__xludf.DUMMYFUNCTION("GOOGLETRANSLATE(J389,""EN"",""ES"")"),"Fijaciones para pañales de bebé")</f>
        <v>Fijaciones para pañales de bebé</v>
      </c>
      <c r="M389" s="8" t="s">
        <v>9</v>
      </c>
      <c r="N389" s="8" t="s">
        <v>9</v>
      </c>
    </row>
    <row r="390" spans="1:14" ht="11.25" customHeight="1">
      <c r="A390" s="5" t="s">
        <v>345</v>
      </c>
      <c r="B390" s="5" t="s">
        <v>995</v>
      </c>
      <c r="C390" s="5" t="s">
        <v>1195</v>
      </c>
      <c r="D390" s="5" t="s">
        <v>348</v>
      </c>
      <c r="E390" s="5" t="s">
        <v>7</v>
      </c>
      <c r="F390" s="5" t="s">
        <v>349</v>
      </c>
      <c r="G390" s="5" t="s">
        <v>350</v>
      </c>
      <c r="H390" s="5" t="s">
        <v>997</v>
      </c>
      <c r="I390" s="5" t="s">
        <v>1196</v>
      </c>
      <c r="J390" s="5" t="s">
        <v>1197</v>
      </c>
      <c r="K390" s="7" t="str">
        <f ca="1">IFERROR(__xludf.DUMMYFUNCTION("GOOGLETRANSLATE(H390,""EN"",""ES"")"),"MERCERIA Y COMPLEMENTOS DE VESTIMENTA")</f>
        <v>MERCERIA Y COMPLEMENTOS DE VESTIMENTA</v>
      </c>
      <c r="L390" s="5" t="str">
        <f ca="1">IFERROR(__xludf.DUMMYFUNCTION("GOOGLETRANSLATE(J390,""EN"",""ES"")"),"Tirantes para calcetines")</f>
        <v>Tirantes para calcetines</v>
      </c>
      <c r="M390" s="8" t="s">
        <v>9</v>
      </c>
      <c r="N390" s="8" t="s">
        <v>9</v>
      </c>
    </row>
    <row r="391" spans="1:14" ht="11.25" customHeight="1">
      <c r="A391" s="5" t="s">
        <v>345</v>
      </c>
      <c r="B391" s="5" t="s">
        <v>995</v>
      </c>
      <c r="C391" s="5" t="s">
        <v>1198</v>
      </c>
      <c r="D391" s="5" t="s">
        <v>348</v>
      </c>
      <c r="E391" s="5" t="s">
        <v>7</v>
      </c>
      <c r="F391" s="5" t="s">
        <v>349</v>
      </c>
      <c r="G391" s="5" t="s">
        <v>350</v>
      </c>
      <c r="H391" s="5" t="s">
        <v>997</v>
      </c>
      <c r="I391" s="5" t="s">
        <v>1199</v>
      </c>
      <c r="J391" s="5" t="s">
        <v>1200</v>
      </c>
      <c r="K391" s="7" t="str">
        <f ca="1">IFERROR(__xludf.DUMMYFUNCTION("GOOGLETRANSLATE(H391,""EN"",""ES"")"),"MERCERIA Y COMPLEMENTOS DE VESTIMENTA")</f>
        <v>MERCERIA Y COMPLEMENTOS DE VESTIMENTA</v>
      </c>
      <c r="L391" s="5" t="str">
        <f ca="1">IFERROR(__xludf.DUMMYFUNCTION("GOOGLETRANSLATE(J391,""EN"",""ES"")"),"Pulseras [ropa]")</f>
        <v>Pulseras [ropa]</v>
      </c>
      <c r="M391" s="8" t="s">
        <v>9</v>
      </c>
      <c r="N391" s="8" t="s">
        <v>9</v>
      </c>
    </row>
    <row r="392" spans="1:14" ht="11.25" customHeight="1">
      <c r="A392" s="5" t="s">
        <v>345</v>
      </c>
      <c r="B392" s="5" t="s">
        <v>995</v>
      </c>
      <c r="C392" s="5" t="s">
        <v>1201</v>
      </c>
      <c r="D392" s="5" t="s">
        <v>348</v>
      </c>
      <c r="E392" s="5" t="s">
        <v>7</v>
      </c>
      <c r="F392" s="5" t="s">
        <v>349</v>
      </c>
      <c r="G392" s="5" t="s">
        <v>350</v>
      </c>
      <c r="H392" s="5" t="s">
        <v>997</v>
      </c>
      <c r="I392" s="5" t="s">
        <v>1202</v>
      </c>
      <c r="J392" s="5" t="s">
        <v>1203</v>
      </c>
      <c r="K392" s="7" t="str">
        <f ca="1">IFERROR(__xludf.DUMMYFUNCTION("GOOGLETRANSLATE(H392,""EN"",""ES"")"),"MERCERIA Y COMPLEMENTOS DE VESTIMENTA")</f>
        <v>MERCERIA Y COMPLEMENTOS DE VESTIMENTA</v>
      </c>
      <c r="L392" s="5" t="str">
        <f ca="1">IFERROR(__xludf.DUMMYFUNCTION("GOOGLETRANSLATE(J392,""EN"",""ES"")"),"Almohadillas absorbentes de transpiración para la ropa.")</f>
        <v>Almohadillas absorbentes de transpiración para la ropa.</v>
      </c>
      <c r="M392" s="8" t="s">
        <v>9</v>
      </c>
      <c r="N392" s="8" t="s">
        <v>9</v>
      </c>
    </row>
    <row r="393" spans="1:14" ht="11.25" customHeight="1">
      <c r="A393" s="5" t="s">
        <v>345</v>
      </c>
      <c r="B393" s="5" t="s">
        <v>995</v>
      </c>
      <c r="C393" s="5" t="s">
        <v>1204</v>
      </c>
      <c r="D393" s="5" t="s">
        <v>348</v>
      </c>
      <c r="E393" s="5" t="s">
        <v>7</v>
      </c>
      <c r="F393" s="5" t="s">
        <v>349</v>
      </c>
      <c r="G393" s="5" t="s">
        <v>350</v>
      </c>
      <c r="H393" s="5" t="s">
        <v>997</v>
      </c>
      <c r="I393" s="5" t="s">
        <v>1205</v>
      </c>
      <c r="J393" s="5" t="s">
        <v>1206</v>
      </c>
      <c r="K393" s="7" t="str">
        <f ca="1">IFERROR(__xludf.DUMMYFUNCTION("GOOGLETRANSLATE(H393,""EN"",""ES"")"),"MERCERIA Y COMPLEMENTOS DE VESTIMENTA")</f>
        <v>MERCERIA Y COMPLEMENTOS DE VESTIMENTA</v>
      </c>
      <c r="L393" s="5" t="str">
        <f ca="1">IFERROR(__xludf.DUMMYFUNCTION("GOOGLETRANSLATE(J393,""EN"",""ES"")"),"Sujetadores de gancho y bucle")</f>
        <v>Sujetadores de gancho y bucle</v>
      </c>
      <c r="M393" s="8" t="s">
        <v>9</v>
      </c>
      <c r="N393" s="8" t="s">
        <v>9</v>
      </c>
    </row>
    <row r="394" spans="1:14" ht="11.25" customHeight="1">
      <c r="A394" s="5" t="s">
        <v>345</v>
      </c>
      <c r="B394" s="5" t="s">
        <v>995</v>
      </c>
      <c r="C394" s="5" t="s">
        <v>1207</v>
      </c>
      <c r="D394" s="5" t="s">
        <v>348</v>
      </c>
      <c r="E394" s="5" t="s">
        <v>7</v>
      </c>
      <c r="F394" s="5" t="s">
        <v>349</v>
      </c>
      <c r="G394" s="5" t="s">
        <v>350</v>
      </c>
      <c r="H394" s="5" t="s">
        <v>997</v>
      </c>
      <c r="I394" s="5" t="s">
        <v>1208</v>
      </c>
      <c r="J394" s="5" t="s">
        <v>1209</v>
      </c>
      <c r="K394" s="7" t="str">
        <f ca="1">IFERROR(__xludf.DUMMYFUNCTION("GOOGLETRANSLATE(H394,""EN"",""ES"")"),"MERCERIA Y COMPLEMENTOS DE VESTIMENTA")</f>
        <v>MERCERIA Y COMPLEMENTOS DE VESTIMENTA</v>
      </c>
      <c r="L394" s="5" t="str">
        <f ca="1">IFERROR(__xludf.DUMMYFUNCTION("GOOGLETRANSLATE(J394,""EN"",""ES"")"),"Tirantes para sujetadores")</f>
        <v>Tirantes para sujetadores</v>
      </c>
      <c r="M394" s="8" t="s">
        <v>9</v>
      </c>
      <c r="N394" s="8" t="s">
        <v>9</v>
      </c>
    </row>
    <row r="395" spans="1:14" ht="11.25" customHeight="1">
      <c r="A395" s="5" t="s">
        <v>345</v>
      </c>
      <c r="B395" s="5" t="s">
        <v>995</v>
      </c>
      <c r="C395" s="5" t="s">
        <v>1210</v>
      </c>
      <c r="D395" s="5" t="s">
        <v>348</v>
      </c>
      <c r="E395" s="5" t="s">
        <v>7</v>
      </c>
      <c r="F395" s="5" t="s">
        <v>349</v>
      </c>
      <c r="G395" s="5" t="s">
        <v>350</v>
      </c>
      <c r="H395" s="5" t="s">
        <v>997</v>
      </c>
      <c r="I395" s="5" t="s">
        <v>1211</v>
      </c>
      <c r="J395" s="5" t="s">
        <v>1212</v>
      </c>
      <c r="K395" s="7" t="str">
        <f ca="1">IFERROR(__xludf.DUMMYFUNCTION("GOOGLETRANSLATE(H395,""EN"",""ES"")"),"MERCERIA Y COMPLEMENTOS DE VESTIMENTA")</f>
        <v>MERCERIA Y COMPLEMENTOS DE VESTIMENTA</v>
      </c>
      <c r="L395" s="5" t="str">
        <f ca="1">IFERROR(__xludf.DUMMYFUNCTION("GOOGLETRANSLATE(J395,""EN"",""ES"")"),"Tapones de cordón")</f>
        <v>Tapones de cordón</v>
      </c>
      <c r="M395" s="8" t="s">
        <v>9</v>
      </c>
      <c r="N395" s="8" t="s">
        <v>9</v>
      </c>
    </row>
    <row r="396" spans="1:14" ht="11.25" customHeight="1">
      <c r="A396" s="5" t="s">
        <v>345</v>
      </c>
      <c r="B396" s="5" t="s">
        <v>995</v>
      </c>
      <c r="C396" s="5" t="s">
        <v>1213</v>
      </c>
      <c r="D396" s="5" t="s">
        <v>348</v>
      </c>
      <c r="E396" s="5" t="s">
        <v>7</v>
      </c>
      <c r="F396" s="5" t="s">
        <v>349</v>
      </c>
      <c r="G396" s="5" t="s">
        <v>350</v>
      </c>
      <c r="H396" s="5" t="s">
        <v>997</v>
      </c>
      <c r="I396" s="5" t="s">
        <v>1214</v>
      </c>
      <c r="J396" s="5" t="s">
        <v>1215</v>
      </c>
      <c r="K396" s="7" t="str">
        <f ca="1">IFERROR(__xludf.DUMMYFUNCTION("GOOGLETRANSLATE(H396,""EN"",""ES"")"),"MERCERIA Y COMPLEMENTOS DE VESTIMENTA")</f>
        <v>MERCERIA Y COMPLEMENTOS DE VESTIMENTA</v>
      </c>
      <c r="L396" s="5" t="str">
        <f ca="1">IFERROR(__xludf.DUMMYFUNCTION("GOOGLETRANSLATE(J396,""EN"",""ES"")"),"Ruedas de rastreo")</f>
        <v>Ruedas de rastreo</v>
      </c>
      <c r="M396" s="8" t="s">
        <v>9</v>
      </c>
      <c r="N396" s="8" t="s">
        <v>9</v>
      </c>
    </row>
    <row r="397" spans="1:14" ht="11.25" customHeight="1">
      <c r="A397" s="5" t="s">
        <v>345</v>
      </c>
      <c r="B397" s="5" t="s">
        <v>995</v>
      </c>
      <c r="C397" s="5" t="s">
        <v>1216</v>
      </c>
      <c r="D397" s="5" t="s">
        <v>348</v>
      </c>
      <c r="E397" s="5" t="s">
        <v>7</v>
      </c>
      <c r="F397" s="5" t="s">
        <v>349</v>
      </c>
      <c r="G397" s="5" t="s">
        <v>350</v>
      </c>
      <c r="H397" s="5" t="s">
        <v>997</v>
      </c>
      <c r="I397" s="5" t="s">
        <v>1217</v>
      </c>
      <c r="J397" s="5" t="s">
        <v>1218</v>
      </c>
      <c r="K397" s="7" t="str">
        <f ca="1">IFERROR(__xludf.DUMMYFUNCTION("GOOGLETRANSLATE(H397,""EN"",""ES"")"),"MERCERIA Y COMPLEMENTOS DE VESTIMENTA")</f>
        <v>MERCERIA Y COMPLEMENTOS DE VESTIMENTA</v>
      </c>
      <c r="L397" s="5" t="str">
        <f ca="1">IFERROR(__xludf.DUMMYFUNCTION("GOOGLETRANSLATE(J397,""EN"",""ES"")"),"Cierres magnéticos [mercería]")</f>
        <v>Cierres magnéticos [mercería]</v>
      </c>
      <c r="M397" s="8" t="s">
        <v>9</v>
      </c>
      <c r="N397" s="8" t="s">
        <v>9</v>
      </c>
    </row>
    <row r="398" spans="1:14" ht="11.25" customHeight="1">
      <c r="A398" s="5" t="s">
        <v>345</v>
      </c>
      <c r="B398" s="5" t="s">
        <v>1219</v>
      </c>
      <c r="C398" s="5" t="s">
        <v>1220</v>
      </c>
      <c r="D398" s="5" t="s">
        <v>348</v>
      </c>
      <c r="E398" s="5" t="s">
        <v>7</v>
      </c>
      <c r="F398" s="5" t="s">
        <v>349</v>
      </c>
      <c r="G398" s="5" t="s">
        <v>350</v>
      </c>
      <c r="H398" s="5" t="s">
        <v>330</v>
      </c>
      <c r="I398" s="5" t="s">
        <v>1221</v>
      </c>
      <c r="J398" s="5" t="s">
        <v>1222</v>
      </c>
      <c r="K398" s="7" t="str">
        <f ca="1">IFERROR(__xludf.DUMMYFUNCTION("GOOGLETRANSLATE(H398,""EN"",""ES"")"),"MISCELÁNEAS")</f>
        <v>MISCELÁNEAS</v>
      </c>
      <c r="L398" s="5" t="str">
        <f ca="1">IFERROR(__xludf.DUMMYFUNCTION("GOOGLETRANSLATE(J398,""EN"",""ES"")"),"Yugos [ropa]")</f>
        <v>Yugos [ropa]</v>
      </c>
      <c r="M398" s="8" t="s">
        <v>9</v>
      </c>
      <c r="N398" s="8" t="s">
        <v>9</v>
      </c>
    </row>
    <row r="399" spans="1:14" ht="11.25" customHeight="1">
      <c r="A399" s="5" t="s">
        <v>345</v>
      </c>
      <c r="B399" s="5" t="s">
        <v>1219</v>
      </c>
      <c r="C399" s="5" t="s">
        <v>1223</v>
      </c>
      <c r="D399" s="5" t="s">
        <v>348</v>
      </c>
      <c r="E399" s="5" t="s">
        <v>7</v>
      </c>
      <c r="F399" s="5" t="s">
        <v>349</v>
      </c>
      <c r="G399" s="5" t="s">
        <v>350</v>
      </c>
      <c r="H399" s="5" t="s">
        <v>330</v>
      </c>
      <c r="I399" s="5" t="s">
        <v>1224</v>
      </c>
      <c r="J399" s="5" t="s">
        <v>1225</v>
      </c>
      <c r="K399" s="7" t="str">
        <f ca="1">IFERROR(__xludf.DUMMYFUNCTION("GOOGLETRANSLATE(H399,""EN"",""ES"")"),"MISCELÁNEAS")</f>
        <v>MISCELÁNEAS</v>
      </c>
      <c r="L399" s="5" t="str">
        <f ca="1">IFERROR(__xludf.DUMMYFUNCTION("GOOGLETRANSLATE(J399,""EN"",""ES"")"),"Manguitos [ropa]")</f>
        <v>Manguitos [ropa]</v>
      </c>
      <c r="M399" s="8" t="s">
        <v>9</v>
      </c>
      <c r="N399" s="8" t="s">
        <v>9</v>
      </c>
    </row>
    <row r="400" spans="1:14" ht="11.25" customHeight="1">
      <c r="A400" s="5" t="s">
        <v>345</v>
      </c>
      <c r="B400" s="5" t="s">
        <v>1219</v>
      </c>
      <c r="C400" s="5" t="s">
        <v>1226</v>
      </c>
      <c r="D400" s="5" t="s">
        <v>348</v>
      </c>
      <c r="E400" s="5" t="s">
        <v>7</v>
      </c>
      <c r="F400" s="5" t="s">
        <v>349</v>
      </c>
      <c r="G400" s="5" t="s">
        <v>350</v>
      </c>
      <c r="H400" s="5" t="s">
        <v>330</v>
      </c>
      <c r="I400" s="5" t="s">
        <v>1227</v>
      </c>
      <c r="J400" s="5" t="s">
        <v>1228</v>
      </c>
      <c r="K400" s="7" t="str">
        <f ca="1">IFERROR(__xludf.DUMMYFUNCTION("GOOGLETRANSLATE(H400,""EN"",""ES"")"),"MISCELÁNEAS")</f>
        <v>MISCELÁNEAS</v>
      </c>
      <c r="L400" s="5" t="str">
        <f ca="1">IFERROR(__xludf.DUMMYFUNCTION("GOOGLETRANSLATE(J400,""EN"",""ES"")"),"Protectores de codos para deportes.")</f>
        <v>Protectores de codos para deportes.</v>
      </c>
      <c r="M400" s="8" t="s">
        <v>9</v>
      </c>
      <c r="N400" s="8" t="s">
        <v>9</v>
      </c>
    </row>
    <row r="401" spans="1:14" ht="11.25" customHeight="1">
      <c r="A401" s="5" t="s">
        <v>345</v>
      </c>
      <c r="B401" s="5" t="s">
        <v>1219</v>
      </c>
      <c r="C401" s="5" t="s">
        <v>1229</v>
      </c>
      <c r="D401" s="5" t="s">
        <v>348</v>
      </c>
      <c r="E401" s="5" t="s">
        <v>7</v>
      </c>
      <c r="F401" s="5" t="s">
        <v>349</v>
      </c>
      <c r="G401" s="5" t="s">
        <v>350</v>
      </c>
      <c r="H401" s="5" t="s">
        <v>330</v>
      </c>
      <c r="I401" s="5" t="s">
        <v>1230</v>
      </c>
      <c r="J401" s="5" t="s">
        <v>1231</v>
      </c>
      <c r="K401" s="7" t="str">
        <f ca="1">IFERROR(__xludf.DUMMYFUNCTION("GOOGLETRANSLATE(H401,""EN"",""ES"")"),"MISCELÁNEAS")</f>
        <v>MISCELÁNEAS</v>
      </c>
      <c r="L401" s="5" t="str">
        <f ca="1">IFERROR(__xludf.DUMMYFUNCTION("GOOGLETRANSLATE(J401,""EN"",""ES"")"),"Ropa multifuncional")</f>
        <v>Ropa multifuncional</v>
      </c>
      <c r="M401" s="8" t="s">
        <v>9</v>
      </c>
      <c r="N401" s="8" t="s">
        <v>9</v>
      </c>
    </row>
    <row r="402" spans="1:14" ht="11.25" customHeight="1">
      <c r="A402" s="5" t="s">
        <v>1232</v>
      </c>
      <c r="B402" s="5" t="s">
        <v>1233</v>
      </c>
      <c r="C402" s="5" t="s">
        <v>1234</v>
      </c>
      <c r="D402" s="5" t="s">
        <v>1235</v>
      </c>
      <c r="E402" s="5" t="s">
        <v>10</v>
      </c>
      <c r="F402" s="5" t="s">
        <v>1236</v>
      </c>
      <c r="G402" s="5" t="s">
        <v>152</v>
      </c>
      <c r="H402" s="5" t="s">
        <v>1237</v>
      </c>
      <c r="I402" s="5" t="s">
        <v>1238</v>
      </c>
      <c r="J402" s="5" t="s">
        <v>1239</v>
      </c>
      <c r="K402" s="7" t="str">
        <f ca="1">IFERROR(__xludf.DUMMYFUNCTION("GOOGLETRANSLATE(H402,""EN"",""ES"")"),"BAÚLES,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2" s="5" t="str">
        <f ca="1">IFERROR(__xludf.DUMMYFUNCTION("GOOGLETRANSLATE(J402,""EN"",""ES"")"),"Estuches para pelotas [para juegos]")</f>
        <v>Estuches para pelotas [para juegos]</v>
      </c>
      <c r="M402" s="8" t="s">
        <v>6</v>
      </c>
      <c r="N402" s="8" t="s">
        <v>6</v>
      </c>
    </row>
    <row r="403" spans="1:14" ht="11.25" customHeight="1">
      <c r="A403" s="5" t="s">
        <v>1232</v>
      </c>
      <c r="B403" s="5" t="s">
        <v>1233</v>
      </c>
      <c r="C403" s="5" t="s">
        <v>1240</v>
      </c>
      <c r="D403" s="5" t="s">
        <v>1235</v>
      </c>
      <c r="E403" s="5" t="s">
        <v>10</v>
      </c>
      <c r="F403" s="5" t="s">
        <v>1236</v>
      </c>
      <c r="G403" s="5" t="s">
        <v>152</v>
      </c>
      <c r="H403" s="5" t="s">
        <v>1237</v>
      </c>
      <c r="I403" s="5" t="s">
        <v>1241</v>
      </c>
      <c r="J403" s="5" t="s">
        <v>1242</v>
      </c>
      <c r="K403" s="7" t="str">
        <f ca="1">IFERROR(__xludf.DUMMYFUNCTION("GOOGLETRANSLATE(H403,""EN"",""ES"")"),"BAÚLES,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3" s="5" t="str">
        <f ca="1">IFERROR(__xludf.DUMMYFUNCTION("GOOGLETRANSLATE(J403,""EN"",""ES"")"),"Cajas de herramientas")</f>
        <v>Cajas de herramientas</v>
      </c>
      <c r="M403" s="8" t="s">
        <v>6</v>
      </c>
      <c r="N403" s="8" t="s">
        <v>6</v>
      </c>
    </row>
    <row r="404" spans="1:14" ht="11.25" customHeight="1">
      <c r="A404" s="5" t="s">
        <v>1232</v>
      </c>
      <c r="B404" s="5" t="s">
        <v>1233</v>
      </c>
      <c r="C404" s="5" t="s">
        <v>1243</v>
      </c>
      <c r="D404" s="5" t="s">
        <v>1235</v>
      </c>
      <c r="E404" s="5" t="s">
        <v>10</v>
      </c>
      <c r="F404" s="5" t="s">
        <v>1236</v>
      </c>
      <c r="G404" s="5" t="s">
        <v>152</v>
      </c>
      <c r="H404" s="5" t="s">
        <v>1237</v>
      </c>
      <c r="I404" s="5" t="s">
        <v>1244</v>
      </c>
      <c r="J404" s="5" t="s">
        <v>1245</v>
      </c>
      <c r="K404" s="7" t="str">
        <f ca="1">IFERROR(__xludf.DUMMYFUNCTION("GOOGLETRANSLATE(H404,""EN"",""ES"")"),"BAÚLES,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4" s="5" t="str">
        <f ca="1">IFERROR(__xludf.DUMMYFUNCTION("GOOGLETRANSLATE(J404,""EN"",""ES"")"),"Cestas de trabajo")</f>
        <v>Cestas de trabajo</v>
      </c>
      <c r="M404" s="8" t="s">
        <v>6</v>
      </c>
      <c r="N404" s="8" t="s">
        <v>6</v>
      </c>
    </row>
    <row r="405" spans="1:14" ht="11.25" customHeight="1">
      <c r="A405" s="5" t="s">
        <v>1232</v>
      </c>
      <c r="B405" s="5" t="s">
        <v>1233</v>
      </c>
      <c r="C405" s="5" t="s">
        <v>1246</v>
      </c>
      <c r="D405" s="5" t="s">
        <v>1235</v>
      </c>
      <c r="E405" s="5" t="s">
        <v>10</v>
      </c>
      <c r="F405" s="5" t="s">
        <v>1236</v>
      </c>
      <c r="G405" s="5" t="s">
        <v>152</v>
      </c>
      <c r="H405" s="5" t="s">
        <v>1237</v>
      </c>
      <c r="I405" s="5" t="s">
        <v>1247</v>
      </c>
      <c r="J405" s="5" t="s">
        <v>1248</v>
      </c>
      <c r="K405" s="7" t="str">
        <f ca="1">IFERROR(__xludf.DUMMYFUNCTION("GOOGLETRANSLATE(H405,""EN"",""ES"")"),"BAÚLES,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5" s="5" t="str">
        <f ca="1">IFERROR(__xludf.DUMMYFUNCTION("GOOGLETRANSLATE(J405,""EN"",""ES"")"),"Bolsas de juego")</f>
        <v>Bolsas de juego</v>
      </c>
      <c r="M405" s="8" t="s">
        <v>6</v>
      </c>
      <c r="N405" s="8" t="s">
        <v>6</v>
      </c>
    </row>
    <row r="406" spans="1:14" ht="11.25" customHeight="1">
      <c r="A406" s="5" t="s">
        <v>1232</v>
      </c>
      <c r="B406" s="5" t="s">
        <v>1233</v>
      </c>
      <c r="C406" s="5" t="s">
        <v>1246</v>
      </c>
      <c r="D406" s="5" t="s">
        <v>1235</v>
      </c>
      <c r="E406" s="5" t="s">
        <v>10</v>
      </c>
      <c r="F406" s="5" t="s">
        <v>1236</v>
      </c>
      <c r="G406" s="5" t="s">
        <v>152</v>
      </c>
      <c r="H406" s="5" t="s">
        <v>1237</v>
      </c>
      <c r="I406" s="5" t="s">
        <v>152</v>
      </c>
      <c r="J406" s="5" t="s">
        <v>1249</v>
      </c>
      <c r="K406" s="7" t="str">
        <f ca="1">IFERROR(__xludf.DUMMYFUNCTION("GOOGLETRANSLATE(H406,""EN"",""ES"")"),"BAÚLES,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6" s="5" t="str">
        <f ca="1">IFERROR(__xludf.DUMMYFUNCTION("GOOGLETRANSLATE(J406,""EN"",""ES"")"),"N / A")</f>
        <v>N / A</v>
      </c>
      <c r="M406" s="8" t="s">
        <v>6</v>
      </c>
      <c r="N406" s="8" t="s">
        <v>6</v>
      </c>
    </row>
    <row r="407" spans="1:14" ht="11.25" customHeight="1">
      <c r="A407" s="5" t="s">
        <v>1232</v>
      </c>
      <c r="B407" s="5" t="s">
        <v>1233</v>
      </c>
      <c r="C407" s="5" t="s">
        <v>1250</v>
      </c>
      <c r="D407" s="5" t="s">
        <v>1235</v>
      </c>
      <c r="E407" s="5" t="s">
        <v>10</v>
      </c>
      <c r="F407" s="5" t="s">
        <v>1236</v>
      </c>
      <c r="G407" s="5" t="s">
        <v>152</v>
      </c>
      <c r="H407" s="5" t="s">
        <v>1237</v>
      </c>
      <c r="I407" s="5" t="s">
        <v>1251</v>
      </c>
      <c r="J407" s="5" t="s">
        <v>1252</v>
      </c>
      <c r="K407" s="7" t="str">
        <f ca="1">IFERROR(__xludf.DUMMYFUNCTION("GOOGLETRANSLATE(H407,""EN"",""ES"")"),"BAÚLES,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7" s="5" t="str">
        <f ca="1">IFERROR(__xludf.DUMMYFUNCTION("GOOGLETRANSLATE(J407,""EN"",""ES"")"),"carcaj")</f>
        <v>carcaj</v>
      </c>
      <c r="M407" s="8" t="s">
        <v>6</v>
      </c>
      <c r="N407" s="8" t="s">
        <v>6</v>
      </c>
    </row>
    <row r="408" spans="1:14" ht="11.25" customHeight="1">
      <c r="A408" s="5" t="s">
        <v>1232</v>
      </c>
      <c r="B408" s="5" t="s">
        <v>1233</v>
      </c>
      <c r="C408" s="5" t="s">
        <v>1253</v>
      </c>
      <c r="D408" s="5" t="s">
        <v>1235</v>
      </c>
      <c r="E408" s="5" t="s">
        <v>10</v>
      </c>
      <c r="F408" s="5" t="s">
        <v>1236</v>
      </c>
      <c r="G408" s="5" t="s">
        <v>152</v>
      </c>
      <c r="H408" s="5" t="s">
        <v>1237</v>
      </c>
      <c r="I408" s="5" t="s">
        <v>1254</v>
      </c>
      <c r="J408" s="5" t="s">
        <v>1255</v>
      </c>
      <c r="K408" s="7" t="str">
        <f ca="1">IFERROR(__xludf.DUMMYFUNCTION("GOOGLETRANSLATE(H408,""EN"",""ES"")"),"BAÚLES,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8" s="5" t="str">
        <f ca="1">IFERROR(__xludf.DUMMYFUNCTION("GOOGLETRANSLATE(J408,""EN"",""ES"")"),"Mochilas escolares")</f>
        <v>Mochilas escolares</v>
      </c>
      <c r="M408" s="8" t="s">
        <v>6</v>
      </c>
      <c r="N408" s="8" t="s">
        <v>6</v>
      </c>
    </row>
    <row r="409" spans="1:14" ht="11.25" customHeight="1">
      <c r="A409" s="5" t="s">
        <v>1232</v>
      </c>
      <c r="B409" s="5" t="s">
        <v>1233</v>
      </c>
      <c r="C409" s="5" t="s">
        <v>1253</v>
      </c>
      <c r="D409" s="5" t="s">
        <v>1235</v>
      </c>
      <c r="E409" s="5" t="s">
        <v>10</v>
      </c>
      <c r="F409" s="5" t="s">
        <v>1236</v>
      </c>
      <c r="G409" s="5" t="s">
        <v>152</v>
      </c>
      <c r="H409" s="5" t="s">
        <v>1237</v>
      </c>
      <c r="I409" s="5" t="s">
        <v>152</v>
      </c>
      <c r="J409" s="5" t="s">
        <v>1256</v>
      </c>
      <c r="K409" s="7" t="str">
        <f ca="1">IFERROR(__xludf.DUMMYFUNCTION("GOOGLETRANSLATE(H409,""EN"",""ES"")"),"BAÚLES,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09" s="5" t="str">
        <f ca="1">IFERROR(__xludf.DUMMYFUNCTION("GOOGLETRANSLATE(J409,""EN"",""ES"")"),"N / A")</f>
        <v>N / A</v>
      </c>
      <c r="M409" s="8" t="s">
        <v>6</v>
      </c>
      <c r="N409" s="8" t="s">
        <v>6</v>
      </c>
    </row>
    <row r="410" spans="1:14" ht="11.25" customHeight="1">
      <c r="A410" s="5" t="s">
        <v>1232</v>
      </c>
      <c r="B410" s="5" t="s">
        <v>1233</v>
      </c>
      <c r="C410" s="5" t="s">
        <v>1257</v>
      </c>
      <c r="D410" s="5" t="s">
        <v>1235</v>
      </c>
      <c r="E410" s="5" t="s">
        <v>10</v>
      </c>
      <c r="F410" s="5" t="s">
        <v>1236</v>
      </c>
      <c r="G410" s="5" t="s">
        <v>152</v>
      </c>
      <c r="H410" s="5" t="s">
        <v>1237</v>
      </c>
      <c r="I410" s="5" t="s">
        <v>1258</v>
      </c>
      <c r="J410" s="5" t="s">
        <v>1259</v>
      </c>
      <c r="K410" s="7" t="str">
        <f ca="1">IFERROR(__xludf.DUMMYFUNCTION("GOOGLETRANSLATE(H410,""EN"",""ES"")"),"BAÚLES,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0" s="5" t="str">
        <f ca="1">IFERROR(__xludf.DUMMYFUNCTION("GOOGLETRANSLATE(J410,""EN"",""ES"")"),"Cajas para sombreros [excepto embalaje]")</f>
        <v>Cajas para sombreros [excepto embalaje]</v>
      </c>
      <c r="M410" s="8" t="s">
        <v>6</v>
      </c>
      <c r="N410" s="8" t="s">
        <v>6</v>
      </c>
    </row>
    <row r="411" spans="1:14" ht="11.25" customHeight="1">
      <c r="A411" s="5" t="s">
        <v>1232</v>
      </c>
      <c r="B411" s="5" t="s">
        <v>1233</v>
      </c>
      <c r="C411" s="5" t="s">
        <v>1260</v>
      </c>
      <c r="D411" s="5" t="s">
        <v>1235</v>
      </c>
      <c r="E411" s="5" t="s">
        <v>10</v>
      </c>
      <c r="F411" s="5" t="s">
        <v>1236</v>
      </c>
      <c r="G411" s="5" t="s">
        <v>152</v>
      </c>
      <c r="H411" s="5" t="s">
        <v>1237</v>
      </c>
      <c r="I411" s="5" t="s">
        <v>1261</v>
      </c>
      <c r="J411" s="5" t="s">
        <v>1262</v>
      </c>
      <c r="K411" s="7" t="str">
        <f ca="1">IFERROR(__xludf.DUMMYFUNCTION("GOOGLETRANSLATE(H411,""EN"",""ES"")"),"BAÚLES,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1" s="5" t="str">
        <f ca="1">IFERROR(__xludf.DUMMYFUNCTION("GOOGLETRANSLATE(J411,""EN"",""ES"")"),"Ataúdes")</f>
        <v>Ataúdes</v>
      </c>
      <c r="M411" s="8" t="s">
        <v>6</v>
      </c>
      <c r="N411" s="8" t="s">
        <v>6</v>
      </c>
    </row>
    <row r="412" spans="1:14" ht="11.25" customHeight="1">
      <c r="A412" s="5" t="s">
        <v>1232</v>
      </c>
      <c r="B412" s="5" t="s">
        <v>1233</v>
      </c>
      <c r="C412" s="5" t="s">
        <v>1263</v>
      </c>
      <c r="D412" s="5" t="s">
        <v>1235</v>
      </c>
      <c r="E412" s="5" t="s">
        <v>10</v>
      </c>
      <c r="F412" s="5" t="s">
        <v>1236</v>
      </c>
      <c r="G412" s="5" t="s">
        <v>152</v>
      </c>
      <c r="H412" s="5" t="s">
        <v>1237</v>
      </c>
      <c r="I412" s="5" t="s">
        <v>1264</v>
      </c>
      <c r="J412" s="5" t="s">
        <v>1265</v>
      </c>
      <c r="K412" s="7" t="str">
        <f ca="1">IFERROR(__xludf.DUMMYFUNCTION("GOOGLETRANSLATE(H412,""EN"",""ES"")"),"BAÚLES,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2" s="5" t="str">
        <f ca="1">IFERROR(__xludf.DUMMYFUNCTION("GOOGLETRANSLATE(J412,""EN"",""ES"")"),"Estuches para máquinas de escribir")</f>
        <v>Estuches para máquinas de escribir</v>
      </c>
      <c r="M412" s="8" t="s">
        <v>6</v>
      </c>
      <c r="N412" s="8" t="s">
        <v>6</v>
      </c>
    </row>
    <row r="413" spans="1:14" ht="11.25" customHeight="1">
      <c r="A413" s="5" t="s">
        <v>1232</v>
      </c>
      <c r="B413" s="5" t="s">
        <v>1233</v>
      </c>
      <c r="C413" s="5" t="s">
        <v>1266</v>
      </c>
      <c r="D413" s="5" t="s">
        <v>1235</v>
      </c>
      <c r="E413" s="5" t="s">
        <v>10</v>
      </c>
      <c r="F413" s="5" t="s">
        <v>1236</v>
      </c>
      <c r="G413" s="5" t="s">
        <v>152</v>
      </c>
      <c r="H413" s="5" t="s">
        <v>1237</v>
      </c>
      <c r="I413" s="5" t="s">
        <v>1267</v>
      </c>
      <c r="J413" s="5" t="s">
        <v>1268</v>
      </c>
      <c r="K413" s="7" t="str">
        <f ca="1">IFERROR(__xludf.DUMMYFUNCTION("GOOGLETRANSLATE(H413,""EN"",""ES"")"),"BAÚLES,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3" s="5" t="str">
        <f ca="1">IFERROR(__xludf.DUMMYFUNCTION("GOOGLETRANSLATE(J413,""EN"",""ES"")"),"Kits de costura [contenedores]")</f>
        <v>Kits de costura [contenedores]</v>
      </c>
      <c r="M413" s="8" t="s">
        <v>6</v>
      </c>
      <c r="N413" s="8" t="s">
        <v>6</v>
      </c>
    </row>
    <row r="414" spans="1:14" ht="11.25" customHeight="1">
      <c r="A414" s="5" t="s">
        <v>1232</v>
      </c>
      <c r="B414" s="5" t="s">
        <v>1233</v>
      </c>
      <c r="C414" s="5" t="s">
        <v>1269</v>
      </c>
      <c r="D414" s="5" t="s">
        <v>1235</v>
      </c>
      <c r="E414" s="5" t="s">
        <v>10</v>
      </c>
      <c r="F414" s="5" t="s">
        <v>1236</v>
      </c>
      <c r="G414" s="5" t="s">
        <v>152</v>
      </c>
      <c r="H414" s="5" t="s">
        <v>1237</v>
      </c>
      <c r="I414" s="5" t="s">
        <v>1270</v>
      </c>
      <c r="J414" s="5" t="s">
        <v>1271</v>
      </c>
      <c r="K414" s="7" t="str">
        <f ca="1">IFERROR(__xludf.DUMMYFUNCTION("GOOGLETRANSLATE(H414,""EN"",""ES"")"),"BAÚLES,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4" s="5" t="str">
        <f ca="1">IFERROR(__xludf.DUMMYFUNCTION("GOOGLETRANSLATE(J414,""EN"",""ES"")"),"Estuches para joyas")</f>
        <v>Estuches para joyas</v>
      </c>
      <c r="M414" s="8" t="s">
        <v>6</v>
      </c>
      <c r="N414" s="8" t="s">
        <v>6</v>
      </c>
    </row>
    <row r="415" spans="1:14" ht="11.25" customHeight="1">
      <c r="A415" s="5" t="s">
        <v>1232</v>
      </c>
      <c r="B415" s="5" t="s">
        <v>1233</v>
      </c>
      <c r="C415" s="5" t="s">
        <v>1272</v>
      </c>
      <c r="D415" s="5" t="s">
        <v>1235</v>
      </c>
      <c r="E415" s="5" t="s">
        <v>10</v>
      </c>
      <c r="F415" s="5" t="s">
        <v>1236</v>
      </c>
      <c r="G415" s="5" t="s">
        <v>152</v>
      </c>
      <c r="H415" s="5" t="s">
        <v>1237</v>
      </c>
      <c r="I415" s="5" t="s">
        <v>1273</v>
      </c>
      <c r="J415" s="5" t="s">
        <v>1274</v>
      </c>
      <c r="K415" s="7" t="str">
        <f ca="1">IFERROR(__xludf.DUMMYFUNCTION("GOOGLETRANSLATE(H415,""EN"",""ES"")"),"BAÚLES,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5" s="5" t="str">
        <f ca="1">IFERROR(__xludf.DUMMYFUNCTION("GOOGLETRANSLATE(J415,""EN"",""ES"")"),"Estuches binoculares")</f>
        <v>Estuches binoculares</v>
      </c>
      <c r="M415" s="8" t="s">
        <v>6</v>
      </c>
      <c r="N415" s="8" t="s">
        <v>6</v>
      </c>
    </row>
    <row r="416" spans="1:14" ht="11.25" customHeight="1">
      <c r="A416" s="5" t="s">
        <v>1232</v>
      </c>
      <c r="B416" s="5" t="s">
        <v>1233</v>
      </c>
      <c r="C416" s="5" t="s">
        <v>1275</v>
      </c>
      <c r="D416" s="5" t="s">
        <v>1235</v>
      </c>
      <c r="E416" s="5" t="s">
        <v>10</v>
      </c>
      <c r="F416" s="5" t="s">
        <v>1236</v>
      </c>
      <c r="G416" s="5" t="s">
        <v>152</v>
      </c>
      <c r="H416" s="5" t="s">
        <v>1237</v>
      </c>
      <c r="I416" s="5" t="s">
        <v>1276</v>
      </c>
      <c r="J416" s="5" t="s">
        <v>1277</v>
      </c>
      <c r="K416" s="7" t="str">
        <f ca="1">IFERROR(__xludf.DUMMYFUNCTION("GOOGLETRANSLATE(H416,""EN"",""ES"")"),"BAÚLES,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6" s="5" t="str">
        <f ca="1">IFERROR(__xludf.DUMMYFUNCTION("GOOGLETRANSLATE(J416,""EN"",""ES"")"),"Estuches para gafas")</f>
        <v>Estuches para gafas</v>
      </c>
      <c r="M416" s="8" t="s">
        <v>6</v>
      </c>
      <c r="N416" s="8" t="s">
        <v>6</v>
      </c>
    </row>
    <row r="417" spans="1:14" ht="11.25" customHeight="1">
      <c r="A417" s="5" t="s">
        <v>1232</v>
      </c>
      <c r="B417" s="5" t="s">
        <v>1233</v>
      </c>
      <c r="C417" s="5" t="s">
        <v>1278</v>
      </c>
      <c r="D417" s="5" t="s">
        <v>1235</v>
      </c>
      <c r="E417" s="5" t="s">
        <v>10</v>
      </c>
      <c r="F417" s="5" t="s">
        <v>1236</v>
      </c>
      <c r="G417" s="5" t="s">
        <v>152</v>
      </c>
      <c r="H417" s="5" t="s">
        <v>1237</v>
      </c>
      <c r="I417" s="5" t="s">
        <v>1279</v>
      </c>
      <c r="J417" s="5" t="s">
        <v>1280</v>
      </c>
      <c r="K417" s="7" t="str">
        <f ca="1">IFERROR(__xludf.DUMMYFUNCTION("GOOGLETRANSLATE(H417,""EN"",""ES"")"),"BAÚLES,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7" s="5" t="str">
        <f ca="1">IFERROR(__xludf.DUMMYFUNCTION("GOOGLETRANSLATE(J417,""EN"",""ES"")"),"Estuches para jugar a las cartas")</f>
        <v>Estuches para jugar a las cartas</v>
      </c>
      <c r="M417" s="8" t="s">
        <v>6</v>
      </c>
      <c r="N417" s="8" t="s">
        <v>6</v>
      </c>
    </row>
    <row r="418" spans="1:14" ht="11.25" customHeight="1">
      <c r="A418" s="5" t="s">
        <v>1232</v>
      </c>
      <c r="B418" s="5" t="s">
        <v>1233</v>
      </c>
      <c r="C418" s="5" t="s">
        <v>1278</v>
      </c>
      <c r="D418" s="5" t="s">
        <v>1235</v>
      </c>
      <c r="E418" s="5" t="s">
        <v>10</v>
      </c>
      <c r="F418" s="5" t="s">
        <v>1236</v>
      </c>
      <c r="G418" s="5" t="s">
        <v>152</v>
      </c>
      <c r="H418" s="5" t="s">
        <v>1237</v>
      </c>
      <c r="I418" s="5" t="s">
        <v>1281</v>
      </c>
      <c r="J418" s="5" t="s">
        <v>152</v>
      </c>
      <c r="K418" s="7" t="str">
        <f ca="1">IFERROR(__xludf.DUMMYFUNCTION("GOOGLETRANSLATE(H418,""EN"",""ES"")"),"BAÚLES,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8" s="5" t="str">
        <f ca="1">IFERROR(__xludf.DUMMYFUNCTION("GOOGLETRANSLATE(J418,""EN"",""ES"")"),"Estuches para naipes")</f>
        <v>Estuches para naipes</v>
      </c>
      <c r="M418" s="8" t="s">
        <v>6</v>
      </c>
      <c r="N418" s="8" t="s">
        <v>6</v>
      </c>
    </row>
    <row r="419" spans="1:14" ht="11.25" customHeight="1">
      <c r="A419" s="5" t="s">
        <v>1232</v>
      </c>
      <c r="B419" s="5" t="s">
        <v>1233</v>
      </c>
      <c r="C419" s="5" t="s">
        <v>1282</v>
      </c>
      <c r="D419" s="5" t="s">
        <v>1235</v>
      </c>
      <c r="E419" s="5" t="s">
        <v>10</v>
      </c>
      <c r="F419" s="5" t="s">
        <v>1236</v>
      </c>
      <c r="G419" s="5" t="s">
        <v>152</v>
      </c>
      <c r="H419" s="5" t="s">
        <v>1237</v>
      </c>
      <c r="I419" s="5" t="s">
        <v>1283</v>
      </c>
      <c r="J419" s="5" t="s">
        <v>1284</v>
      </c>
      <c r="K419" s="7" t="str">
        <f ca="1">IFERROR(__xludf.DUMMYFUNCTION("GOOGLETRANSLATE(H419,""EN"",""ES"")"),"BAÚLES,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19" s="5" t="str">
        <f ca="1">IFERROR(__xludf.DUMMYFUNCTION("GOOGLETRANSLATE(J419,""EN"",""ES"")"),"Estuches para cámaras")</f>
        <v>Estuches para cámaras</v>
      </c>
      <c r="M419" s="8" t="s">
        <v>6</v>
      </c>
      <c r="N419" s="8" t="s">
        <v>6</v>
      </c>
    </row>
    <row r="420" spans="1:14" ht="11.25" customHeight="1">
      <c r="A420" s="5" t="s">
        <v>1232</v>
      </c>
      <c r="B420" s="5" t="s">
        <v>1233</v>
      </c>
      <c r="C420" s="5" t="s">
        <v>1285</v>
      </c>
      <c r="D420" s="5" t="s">
        <v>1235</v>
      </c>
      <c r="E420" s="5" t="s">
        <v>10</v>
      </c>
      <c r="F420" s="5" t="s">
        <v>1236</v>
      </c>
      <c r="G420" s="5" t="s">
        <v>152</v>
      </c>
      <c r="H420" s="5" t="s">
        <v>1237</v>
      </c>
      <c r="I420" s="5" t="s">
        <v>1286</v>
      </c>
      <c r="J420" s="5" t="s">
        <v>1287</v>
      </c>
      <c r="K420" s="7" t="str">
        <f ca="1">IFERROR(__xludf.DUMMYFUNCTION("GOOGLETRANSLATE(H420,""EN"",""ES"")"),"BAÚLES,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0" s="5" t="str">
        <f ca="1">IFERROR(__xludf.DUMMYFUNCTION("GOOGLETRANSLATE(J420,""EN"",""ES"")"),"Estuches para cámaras de cine")</f>
        <v>Estuches para cámaras de cine</v>
      </c>
      <c r="M420" s="8" t="s">
        <v>6</v>
      </c>
      <c r="N420" s="8" t="s">
        <v>6</v>
      </c>
    </row>
    <row r="421" spans="1:14" ht="11.25" customHeight="1">
      <c r="A421" s="5" t="s">
        <v>1232</v>
      </c>
      <c r="B421" s="5" t="s">
        <v>1233</v>
      </c>
      <c r="C421" s="5" t="s">
        <v>1288</v>
      </c>
      <c r="D421" s="5" t="s">
        <v>1235</v>
      </c>
      <c r="E421" s="5" t="s">
        <v>10</v>
      </c>
      <c r="F421" s="5" t="s">
        <v>1236</v>
      </c>
      <c r="G421" s="5" t="s">
        <v>152</v>
      </c>
      <c r="H421" s="5" t="s">
        <v>1237</v>
      </c>
      <c r="I421" s="5" t="s">
        <v>1289</v>
      </c>
      <c r="J421" s="5" t="s">
        <v>1290</v>
      </c>
      <c r="K421" s="7" t="str">
        <f ca="1">IFERROR(__xludf.DUMMYFUNCTION("GOOGLETRANSLATE(H421,""EN"",""ES"")"),"BAÚLES,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1" s="5" t="str">
        <f ca="1">IFERROR(__xludf.DUMMYFUNCTION("GOOGLETRANSLATE(J421,""EN"",""ES"")"),"Estuches para pantallas de proyección")</f>
        <v>Estuches para pantallas de proyección</v>
      </c>
      <c r="M421" s="8" t="s">
        <v>6</v>
      </c>
      <c r="N421" s="8" t="s">
        <v>6</v>
      </c>
    </row>
    <row r="422" spans="1:14" ht="11.25" customHeight="1">
      <c r="A422" s="5" t="s">
        <v>1232</v>
      </c>
      <c r="B422" s="5" t="s">
        <v>1233</v>
      </c>
      <c r="C422" s="5" t="s">
        <v>1291</v>
      </c>
      <c r="D422" s="5" t="s">
        <v>1235</v>
      </c>
      <c r="E422" s="5" t="s">
        <v>10</v>
      </c>
      <c r="F422" s="5" t="s">
        <v>1236</v>
      </c>
      <c r="G422" s="5" t="s">
        <v>152</v>
      </c>
      <c r="H422" s="5" t="s">
        <v>1237</v>
      </c>
      <c r="I422" s="5" t="s">
        <v>1292</v>
      </c>
      <c r="J422" s="5" t="s">
        <v>1293</v>
      </c>
      <c r="K422" s="7" t="str">
        <f ca="1">IFERROR(__xludf.DUMMYFUNCTION("GOOGLETRANSLATE(H422,""EN"",""ES"")"),"BAÚLES,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2" s="5" t="str">
        <f ca="1">IFERROR(__xludf.DUMMYFUNCTION("GOOGLETRANSLATE(J422,""EN"",""ES"")"),"Estuches para instrumentos musicales")</f>
        <v>Estuches para instrumentos musicales</v>
      </c>
      <c r="M422" s="8" t="s">
        <v>6</v>
      </c>
      <c r="N422" s="8" t="s">
        <v>6</v>
      </c>
    </row>
    <row r="423" spans="1:14" ht="11.25" customHeight="1">
      <c r="A423" s="5" t="s">
        <v>1232</v>
      </c>
      <c r="B423" s="5" t="s">
        <v>1233</v>
      </c>
      <c r="C423" s="5" t="s">
        <v>1291</v>
      </c>
      <c r="D423" s="5" t="s">
        <v>1235</v>
      </c>
      <c r="E423" s="5" t="s">
        <v>10</v>
      </c>
      <c r="F423" s="5" t="s">
        <v>1236</v>
      </c>
      <c r="G423" s="5" t="s">
        <v>152</v>
      </c>
      <c r="H423" s="5" t="s">
        <v>1237</v>
      </c>
      <c r="I423" s="5" t="s">
        <v>152</v>
      </c>
      <c r="J423" s="5" t="s">
        <v>1294</v>
      </c>
      <c r="K423" s="7" t="str">
        <f ca="1">IFERROR(__xludf.DUMMYFUNCTION("GOOGLETRANSLATE(H423,""EN"",""ES"")"),"BAÚLES,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3" s="5" t="str">
        <f ca="1">IFERROR(__xludf.DUMMYFUNCTION("GOOGLETRANSLATE(J423,""EN"",""ES"")"),"N / A")</f>
        <v>N / A</v>
      </c>
      <c r="M423" s="8" t="s">
        <v>6</v>
      </c>
      <c r="N423" s="8" t="s">
        <v>6</v>
      </c>
    </row>
    <row r="424" spans="1:14" ht="11.25" customHeight="1">
      <c r="A424" s="5" t="s">
        <v>1232</v>
      </c>
      <c r="B424" s="5" t="s">
        <v>1233</v>
      </c>
      <c r="C424" s="5" t="s">
        <v>1295</v>
      </c>
      <c r="D424" s="5" t="s">
        <v>1235</v>
      </c>
      <c r="E424" s="5" t="s">
        <v>10</v>
      </c>
      <c r="F424" s="5" t="s">
        <v>1236</v>
      </c>
      <c r="G424" s="5" t="s">
        <v>152</v>
      </c>
      <c r="H424" s="5" t="s">
        <v>1237</v>
      </c>
      <c r="I424" s="5" t="s">
        <v>1296</v>
      </c>
      <c r="J424" s="5" t="s">
        <v>1297</v>
      </c>
      <c r="K424" s="7" t="str">
        <f ca="1">IFERROR(__xludf.DUMMYFUNCTION("GOOGLETRANSLATE(H424,""EN"",""ES"")"),"BAÚLES,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4" s="5" t="str">
        <f ca="1">IFERROR(__xludf.DUMMYFUNCTION("GOOGLETRANSLATE(J424,""EN"",""ES"")"),"Maletines para instrumentos de medida")</f>
        <v>Maletines para instrumentos de medida</v>
      </c>
      <c r="M424" s="8" t="s">
        <v>6</v>
      </c>
      <c r="N424" s="8" t="s">
        <v>6</v>
      </c>
    </row>
    <row r="425" spans="1:14" ht="11.25" customHeight="1">
      <c r="A425" s="5" t="s">
        <v>1232</v>
      </c>
      <c r="B425" s="5" t="s">
        <v>1233</v>
      </c>
      <c r="C425" s="5" t="s">
        <v>1298</v>
      </c>
      <c r="D425" s="5" t="s">
        <v>1235</v>
      </c>
      <c r="E425" s="5" t="s">
        <v>10</v>
      </c>
      <c r="F425" s="5" t="s">
        <v>1236</v>
      </c>
      <c r="G425" s="5" t="s">
        <v>152</v>
      </c>
      <c r="H425" s="5" t="s">
        <v>1237</v>
      </c>
      <c r="I425" s="5" t="s">
        <v>1299</v>
      </c>
      <c r="J425" s="5" t="s">
        <v>1300</v>
      </c>
      <c r="K425" s="7" t="str">
        <f ca="1">IFERROR(__xludf.DUMMYFUNCTION("GOOGLETRANSLATE(H425,""EN"",""ES"")"),"BAÚLES,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5" s="5" t="str">
        <f ca="1">IFERROR(__xludf.DUMMYFUNCTION("GOOGLETRANSLATE(J425,""EN"",""ES"")"),"Estuches para peines de bolsillo")</f>
        <v>Estuches para peines de bolsillo</v>
      </c>
      <c r="M425" s="8" t="s">
        <v>6</v>
      </c>
      <c r="N425" s="8" t="s">
        <v>6</v>
      </c>
    </row>
    <row r="426" spans="1:14" ht="11.25" customHeight="1">
      <c r="A426" s="5" t="s">
        <v>1232</v>
      </c>
      <c r="B426" s="5" t="s">
        <v>1233</v>
      </c>
      <c r="C426" s="5" t="s">
        <v>1301</v>
      </c>
      <c r="D426" s="5" t="s">
        <v>1235</v>
      </c>
      <c r="E426" s="5" t="s">
        <v>10</v>
      </c>
      <c r="F426" s="5" t="s">
        <v>1236</v>
      </c>
      <c r="G426" s="5" t="s">
        <v>152</v>
      </c>
      <c r="H426" s="5" t="s">
        <v>1237</v>
      </c>
      <c r="I426" s="5" t="s">
        <v>1302</v>
      </c>
      <c r="J426" s="5" t="s">
        <v>1303</v>
      </c>
      <c r="K426" s="7" t="str">
        <f ca="1">IFERROR(__xludf.DUMMYFUNCTION("GOOGLETRANSLATE(H426,""EN"",""ES"")"),"BAÚLES,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6" s="5" t="str">
        <f ca="1">IFERROR(__xludf.DUMMYFUNCTION("GOOGLETRANSLATE(J426,""EN"",""ES"")"),"Fundas de armas")</f>
        <v>Fundas de armas</v>
      </c>
      <c r="M426" s="8" t="s">
        <v>6</v>
      </c>
      <c r="N426" s="8" t="s">
        <v>6</v>
      </c>
    </row>
    <row r="427" spans="1:14" ht="11.25" customHeight="1">
      <c r="A427" s="5" t="s">
        <v>1232</v>
      </c>
      <c r="B427" s="5" t="s">
        <v>1233</v>
      </c>
      <c r="C427" s="5" t="s">
        <v>1304</v>
      </c>
      <c r="D427" s="5" t="s">
        <v>1235</v>
      </c>
      <c r="E427" s="5" t="s">
        <v>10</v>
      </c>
      <c r="F427" s="5" t="s">
        <v>1236</v>
      </c>
      <c r="G427" s="5" t="s">
        <v>152</v>
      </c>
      <c r="H427" s="5" t="s">
        <v>1237</v>
      </c>
      <c r="I427" s="5" t="s">
        <v>1305</v>
      </c>
      <c r="J427" s="5" t="s">
        <v>1306</v>
      </c>
      <c r="K427" s="7" t="str">
        <f ca="1">IFERROR(__xludf.DUMMYFUNCTION("GOOGLETRANSLATE(H427,""EN"",""ES"")"),"BAÚLES,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7" s="5" t="str">
        <f ca="1">IFERROR(__xludf.DUMMYFUNCTION("GOOGLETRANSLATE(J427,""EN"",""ES"")"),"Estuches para bolígrafos")</f>
        <v>Estuches para bolígrafos</v>
      </c>
      <c r="M427" s="8" t="s">
        <v>6</v>
      </c>
      <c r="N427" s="8" t="s">
        <v>6</v>
      </c>
    </row>
    <row r="428" spans="1:14" ht="11.25" customHeight="1">
      <c r="A428" s="5" t="s">
        <v>1232</v>
      </c>
      <c r="B428" s="5" t="s">
        <v>1233</v>
      </c>
      <c r="C428" s="5" t="s">
        <v>1307</v>
      </c>
      <c r="D428" s="5" t="s">
        <v>1235</v>
      </c>
      <c r="E428" s="5" t="s">
        <v>10</v>
      </c>
      <c r="F428" s="5" t="s">
        <v>1236</v>
      </c>
      <c r="G428" s="5" t="s">
        <v>152</v>
      </c>
      <c r="H428" s="5" t="s">
        <v>1237</v>
      </c>
      <c r="I428" s="5" t="s">
        <v>1308</v>
      </c>
      <c r="J428" s="5" t="s">
        <v>1309</v>
      </c>
      <c r="K428" s="7" t="str">
        <f ca="1">IFERROR(__xludf.DUMMYFUNCTION("GOOGLETRANSLATE(H428,""EN"",""ES"")"),"BAÚLES,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8" s="5" t="str">
        <f ca="1">IFERROR(__xludf.DUMMYFUNCTION("GOOGLETRANSLATE(J428,""EN"",""ES"")"),"Bolsas de red para la compra.")</f>
        <v>Bolsas de red para la compra.</v>
      </c>
      <c r="M428" s="8" t="s">
        <v>6</v>
      </c>
      <c r="N428" s="8" t="s">
        <v>6</v>
      </c>
    </row>
    <row r="429" spans="1:14" ht="11.25" customHeight="1">
      <c r="A429" s="5" t="s">
        <v>1232</v>
      </c>
      <c r="B429" s="5" t="s">
        <v>1233</v>
      </c>
      <c r="C429" s="5" t="s">
        <v>1307</v>
      </c>
      <c r="D429" s="5" t="s">
        <v>1235</v>
      </c>
      <c r="E429" s="5" t="s">
        <v>10</v>
      </c>
      <c r="F429" s="5" t="s">
        <v>1236</v>
      </c>
      <c r="G429" s="5" t="s">
        <v>152</v>
      </c>
      <c r="H429" s="5" t="s">
        <v>1237</v>
      </c>
      <c r="I429" s="5" t="s">
        <v>1310</v>
      </c>
      <c r="J429" s="5" t="s">
        <v>152</v>
      </c>
      <c r="K429" s="7" t="str">
        <f ca="1">IFERROR(__xludf.DUMMYFUNCTION("GOOGLETRANSLATE(H429,""EN"",""ES"")"),"BAÚLES,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29" s="5" t="str">
        <f ca="1">IFERROR(__xludf.DUMMYFUNCTION("GOOGLETRANSLATE(J429,""EN"",""ES"")"),"Bolsas de hilo para ir de compras")</f>
        <v>Bolsas de hilo para ir de compras</v>
      </c>
      <c r="M429" s="8" t="s">
        <v>6</v>
      </c>
      <c r="N429" s="8" t="s">
        <v>6</v>
      </c>
    </row>
    <row r="430" spans="1:14" ht="11.25" customHeight="1">
      <c r="A430" s="5" t="s">
        <v>1232</v>
      </c>
      <c r="B430" s="5" t="s">
        <v>1233</v>
      </c>
      <c r="C430" s="5" t="s">
        <v>1311</v>
      </c>
      <c r="D430" s="5" t="s">
        <v>1235</v>
      </c>
      <c r="E430" s="5" t="s">
        <v>10</v>
      </c>
      <c r="F430" s="5" t="s">
        <v>1236</v>
      </c>
      <c r="G430" s="5" t="s">
        <v>152</v>
      </c>
      <c r="H430" s="5" t="s">
        <v>1237</v>
      </c>
      <c r="I430" s="5" t="s">
        <v>1312</v>
      </c>
      <c r="J430" s="5" t="s">
        <v>1313</v>
      </c>
      <c r="K430" s="7" t="str">
        <f ca="1">IFERROR(__xludf.DUMMYFUNCTION("GOOGLETRANSLATE(H430,""EN"",""ES"")"),"BAÚLES,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0" s="5" t="str">
        <f ca="1">IFERROR(__xludf.DUMMYFUNCTION("GOOGLETRANSLATE(J430,""EN"",""ES"")"),"Fundas para brazos")</f>
        <v>Fundas para brazos</v>
      </c>
      <c r="M430" s="8" t="s">
        <v>6</v>
      </c>
      <c r="N430" s="8" t="s">
        <v>6</v>
      </c>
    </row>
    <row r="431" spans="1:14" ht="11.25" customHeight="1">
      <c r="A431" s="5" t="s">
        <v>1232</v>
      </c>
      <c r="B431" s="5" t="s">
        <v>1233</v>
      </c>
      <c r="C431" s="5" t="s">
        <v>1311</v>
      </c>
      <c r="D431" s="5" t="s">
        <v>1235</v>
      </c>
      <c r="E431" s="5" t="s">
        <v>10</v>
      </c>
      <c r="F431" s="5" t="s">
        <v>1236</v>
      </c>
      <c r="G431" s="5" t="s">
        <v>152</v>
      </c>
      <c r="H431" s="5" t="s">
        <v>1237</v>
      </c>
      <c r="I431" s="5" t="s">
        <v>1314</v>
      </c>
      <c r="J431" s="5" t="s">
        <v>1315</v>
      </c>
      <c r="K431" s="7" t="str">
        <f ca="1">IFERROR(__xludf.DUMMYFUNCTION("GOOGLETRANSLATE(H431,""EN"",""ES"")"),"BAÚLES,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1" s="5" t="str">
        <f ca="1">IFERROR(__xludf.DUMMYFUNCTION("GOOGLETRANSLATE(J431,""EN"",""ES"")"),"Vainas para armas")</f>
        <v>Vainas para armas</v>
      </c>
      <c r="M431" s="8" t="s">
        <v>6</v>
      </c>
      <c r="N431" s="8" t="s">
        <v>6</v>
      </c>
    </row>
    <row r="432" spans="1:14" ht="11.25" customHeight="1">
      <c r="A432" s="5" t="s">
        <v>1232</v>
      </c>
      <c r="B432" s="5" t="s">
        <v>1233</v>
      </c>
      <c r="C432" s="5" t="s">
        <v>1316</v>
      </c>
      <c r="D432" s="5" t="s">
        <v>1235</v>
      </c>
      <c r="E432" s="5" t="s">
        <v>10</v>
      </c>
      <c r="F432" s="5" t="s">
        <v>1236</v>
      </c>
      <c r="G432" s="5" t="s">
        <v>152</v>
      </c>
      <c r="H432" s="5" t="s">
        <v>1237</v>
      </c>
      <c r="I432" s="5" t="s">
        <v>1317</v>
      </c>
      <c r="J432" s="5" t="s">
        <v>1318</v>
      </c>
      <c r="K432" s="7" t="str">
        <f ca="1">IFERROR(__xludf.DUMMYFUNCTION("GOOGLETRANSLATE(H432,""EN"",""ES"")"),"BAÚLES,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2" s="5" t="str">
        <f ca="1">IFERROR(__xludf.DUMMYFUNCTION("GOOGLETRANSLATE(J432,""EN"",""ES"")"),"Fundas para cañas de pescar")</f>
        <v>Fundas para cañas de pescar</v>
      </c>
      <c r="M432" s="8" t="s">
        <v>6</v>
      </c>
      <c r="N432" s="8" t="s">
        <v>6</v>
      </c>
    </row>
    <row r="433" spans="1:14" ht="11.25" customHeight="1">
      <c r="A433" s="5" t="s">
        <v>1232</v>
      </c>
      <c r="B433" s="5" t="s">
        <v>1233</v>
      </c>
      <c r="C433" s="5" t="s">
        <v>1319</v>
      </c>
      <c r="D433" s="5" t="s">
        <v>1235</v>
      </c>
      <c r="E433" s="5" t="s">
        <v>10</v>
      </c>
      <c r="F433" s="5" t="s">
        <v>1236</v>
      </c>
      <c r="G433" s="5" t="s">
        <v>152</v>
      </c>
      <c r="H433" s="5" t="s">
        <v>1237</v>
      </c>
      <c r="I433" s="5" t="s">
        <v>1320</v>
      </c>
      <c r="J433" s="5" t="s">
        <v>1321</v>
      </c>
      <c r="K433" s="7" t="str">
        <f ca="1">IFERROR(__xludf.DUMMYFUNCTION("GOOGLETRANSLATE(H433,""EN"",""ES"")"),"BAÚLES,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3" s="5" t="str">
        <f ca="1">IFERROR(__xludf.DUMMYFUNCTION("GOOGLETRANSLATE(J433,""EN"",""ES"")"),"Fundas para cuchillos")</f>
        <v>Fundas para cuchillos</v>
      </c>
      <c r="M433" s="8" t="s">
        <v>6</v>
      </c>
      <c r="N433" s="8" t="s">
        <v>6</v>
      </c>
    </row>
    <row r="434" spans="1:14" ht="11.25" customHeight="1">
      <c r="A434" s="5" t="s">
        <v>1232</v>
      </c>
      <c r="B434" s="5" t="s">
        <v>1233</v>
      </c>
      <c r="C434" s="5" t="s">
        <v>1322</v>
      </c>
      <c r="D434" s="5" t="s">
        <v>1235</v>
      </c>
      <c r="E434" s="5" t="s">
        <v>10</v>
      </c>
      <c r="F434" s="5" t="s">
        <v>1236</v>
      </c>
      <c r="G434" s="5" t="s">
        <v>152</v>
      </c>
      <c r="H434" s="5" t="s">
        <v>1237</v>
      </c>
      <c r="I434" s="5" t="s">
        <v>1323</v>
      </c>
      <c r="J434" s="5" t="s">
        <v>1324</v>
      </c>
      <c r="K434" s="7" t="str">
        <f ca="1">IFERROR(__xludf.DUMMYFUNCTION("GOOGLETRANSLATE(H434,""EN"",""ES"")"),"BAÚLES,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4" s="5" t="str">
        <f ca="1">IFERROR(__xludf.DUMMYFUNCTION("GOOGLETRANSLATE(J434,""EN"",""ES"")"),"Mochilas")</f>
        <v>Mochilas</v>
      </c>
      <c r="M434" s="8" t="s">
        <v>6</v>
      </c>
      <c r="N434" s="8" t="s">
        <v>6</v>
      </c>
    </row>
    <row r="435" spans="1:14" ht="11.25" customHeight="1">
      <c r="A435" s="5" t="s">
        <v>1232</v>
      </c>
      <c r="B435" s="5" t="s">
        <v>1233</v>
      </c>
      <c r="C435" s="5" t="s">
        <v>1322</v>
      </c>
      <c r="D435" s="5" t="s">
        <v>1235</v>
      </c>
      <c r="E435" s="5" t="s">
        <v>10</v>
      </c>
      <c r="F435" s="5" t="s">
        <v>1236</v>
      </c>
      <c r="G435" s="5" t="s">
        <v>152</v>
      </c>
      <c r="H435" s="5" t="s">
        <v>1237</v>
      </c>
      <c r="I435" s="5" t="s">
        <v>1325</v>
      </c>
      <c r="J435" s="5" t="s">
        <v>152</v>
      </c>
      <c r="K435" s="7" t="str">
        <f ca="1">IFERROR(__xludf.DUMMYFUNCTION("GOOGLETRANSLATE(H435,""EN"",""ES"")"),"BAÚLES,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5" s="5" t="str">
        <f ca="1">IFERROR(__xludf.DUMMYFUNCTION("GOOGLETRANSLATE(J435,""EN"",""ES"")"),"Mochilas")</f>
        <v>Mochilas</v>
      </c>
      <c r="M435" s="8" t="s">
        <v>6</v>
      </c>
      <c r="N435" s="8" t="s">
        <v>6</v>
      </c>
    </row>
    <row r="436" spans="1:14" ht="11.25" customHeight="1">
      <c r="A436" s="5" t="s">
        <v>1232</v>
      </c>
      <c r="B436" s="5" t="s">
        <v>1233</v>
      </c>
      <c r="C436" s="5" t="s">
        <v>1326</v>
      </c>
      <c r="D436" s="5" t="s">
        <v>1235</v>
      </c>
      <c r="E436" s="5" t="s">
        <v>10</v>
      </c>
      <c r="F436" s="5" t="s">
        <v>1236</v>
      </c>
      <c r="G436" s="5" t="s">
        <v>152</v>
      </c>
      <c r="H436" s="5" t="s">
        <v>1237</v>
      </c>
      <c r="I436" s="5" t="s">
        <v>1327</v>
      </c>
      <c r="J436" s="5" t="s">
        <v>1328</v>
      </c>
      <c r="K436" s="7" t="str">
        <f ca="1">IFERROR(__xludf.DUMMYFUNCTION("GOOGLETRANSLATE(H436,""EN"",""ES"")"),"BAÚLES,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6" s="5" t="str">
        <f ca="1">IFERROR(__xludf.DUMMYFUNCTION("GOOGLETRANSLATE(J436,""EN"",""ES"")"),"Bolsas de zapatos")</f>
        <v>Bolsas de zapatos</v>
      </c>
      <c r="M436" s="8" t="s">
        <v>6</v>
      </c>
      <c r="N436" s="8" t="s">
        <v>6</v>
      </c>
    </row>
    <row r="437" spans="1:14" ht="11.25" customHeight="1">
      <c r="A437" s="5" t="s">
        <v>1232</v>
      </c>
      <c r="B437" s="5" t="s">
        <v>1233</v>
      </c>
      <c r="C437" s="5" t="s">
        <v>1329</v>
      </c>
      <c r="D437" s="5" t="s">
        <v>1235</v>
      </c>
      <c r="E437" s="5" t="s">
        <v>10</v>
      </c>
      <c r="F437" s="5" t="s">
        <v>1236</v>
      </c>
      <c r="G437" s="5" t="s">
        <v>152</v>
      </c>
      <c r="H437" s="5" t="s">
        <v>1237</v>
      </c>
      <c r="I437" s="5" t="s">
        <v>1330</v>
      </c>
      <c r="J437" s="5" t="s">
        <v>1331</v>
      </c>
      <c r="K437" s="7" t="str">
        <f ca="1">IFERROR(__xludf.DUMMYFUNCTION("GOOGLETRANSLATE(H437,""EN"",""ES"")"),"BAÚLES,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7" s="5" t="str">
        <f ca="1">IFERROR(__xludf.DUMMYFUNCTION("GOOGLETRANSLATE(J437,""EN"",""ES"")"),"Fundas para raquetas de tenis")</f>
        <v>Fundas para raquetas de tenis</v>
      </c>
      <c r="M437" s="8" t="s">
        <v>6</v>
      </c>
      <c r="N437" s="8" t="s">
        <v>6</v>
      </c>
    </row>
    <row r="438" spans="1:14" ht="11.25" customHeight="1">
      <c r="A438" s="5" t="s">
        <v>1232</v>
      </c>
      <c r="B438" s="5" t="s">
        <v>1233</v>
      </c>
      <c r="C438" s="5" t="s">
        <v>1332</v>
      </c>
      <c r="D438" s="5" t="s">
        <v>1235</v>
      </c>
      <c r="E438" s="5" t="s">
        <v>10</v>
      </c>
      <c r="F438" s="5" t="s">
        <v>1236</v>
      </c>
      <c r="G438" s="5" t="s">
        <v>152</v>
      </c>
      <c r="H438" s="5" t="s">
        <v>1237</v>
      </c>
      <c r="I438" s="5" t="s">
        <v>1333</v>
      </c>
      <c r="J438" s="5" t="s">
        <v>1334</v>
      </c>
      <c r="K438" s="7" t="str">
        <f ca="1">IFERROR(__xludf.DUMMYFUNCTION("GOOGLETRANSLATE(H438,""EN"",""ES"")"),"BAÚLES,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8" s="5" t="str">
        <f ca="1">IFERROR(__xludf.DUMMYFUNCTION("GOOGLETRANSLATE(J438,""EN"",""ES"")"),"Estuches para máquinas de coser")</f>
        <v>Estuches para máquinas de coser</v>
      </c>
      <c r="M438" s="8" t="s">
        <v>6</v>
      </c>
      <c r="N438" s="8" t="s">
        <v>6</v>
      </c>
    </row>
    <row r="439" spans="1:14" ht="11.25" customHeight="1">
      <c r="A439" s="5" t="s">
        <v>1232</v>
      </c>
      <c r="B439" s="5" t="s">
        <v>1233</v>
      </c>
      <c r="C439" s="5" t="s">
        <v>1335</v>
      </c>
      <c r="D439" s="5" t="s">
        <v>1235</v>
      </c>
      <c r="E439" s="5" t="s">
        <v>10</v>
      </c>
      <c r="F439" s="5" t="s">
        <v>1236</v>
      </c>
      <c r="G439" s="5" t="s">
        <v>152</v>
      </c>
      <c r="H439" s="5" t="s">
        <v>1237</v>
      </c>
      <c r="I439" s="5" t="s">
        <v>1336</v>
      </c>
      <c r="J439" s="5" t="s">
        <v>1337</v>
      </c>
      <c r="K439" s="7" t="str">
        <f ca="1">IFERROR(__xludf.DUMMYFUNCTION("GOOGLETRANSLATE(H439,""EN"",""ES"")"),"BAÚLES,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39" s="5" t="str">
        <f ca="1">IFERROR(__xludf.DUMMYFUNCTION("GOOGLETRANSLATE(J439,""EN"",""ES"")"),"Baúles [equipaje]")</f>
        <v>Baúles [equipaje]</v>
      </c>
      <c r="M439" s="8" t="s">
        <v>6</v>
      </c>
      <c r="N439" s="8" t="s">
        <v>6</v>
      </c>
    </row>
    <row r="440" spans="1:14" ht="11.25" customHeight="1">
      <c r="A440" s="5" t="s">
        <v>1232</v>
      </c>
      <c r="B440" s="5" t="s">
        <v>1233</v>
      </c>
      <c r="C440" s="5" t="s">
        <v>1338</v>
      </c>
      <c r="D440" s="5" t="s">
        <v>1235</v>
      </c>
      <c r="E440" s="5" t="s">
        <v>10</v>
      </c>
      <c r="F440" s="5" t="s">
        <v>1236</v>
      </c>
      <c r="G440" s="5" t="s">
        <v>152</v>
      </c>
      <c r="H440" s="5" t="s">
        <v>1237</v>
      </c>
      <c r="I440" s="5" t="s">
        <v>1339</v>
      </c>
      <c r="J440" s="5" t="s">
        <v>1340</v>
      </c>
      <c r="K440" s="7" t="str">
        <f ca="1">IFERROR(__xludf.DUMMYFUNCTION("GOOGLETRANSLATE(H440,""EN"",""ES"")"),"BAÚLES,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0" s="5" t="str">
        <f ca="1">IFERROR(__xludf.DUMMYFUNCTION("GOOGLETRANSLATE(J440,""EN"",""ES"")"),"Maletines agregados")</f>
        <v>Maletines agregados</v>
      </c>
      <c r="M440" s="8" t="s">
        <v>6</v>
      </c>
      <c r="N440" s="8" t="s">
        <v>6</v>
      </c>
    </row>
    <row r="441" spans="1:14" ht="11.25" customHeight="1">
      <c r="A441" s="5" t="s">
        <v>1232</v>
      </c>
      <c r="B441" s="5" t="s">
        <v>1233</v>
      </c>
      <c r="C441" s="5" t="s">
        <v>1341</v>
      </c>
      <c r="D441" s="5" t="s">
        <v>1235</v>
      </c>
      <c r="E441" s="5" t="s">
        <v>10</v>
      </c>
      <c r="F441" s="5" t="s">
        <v>1236</v>
      </c>
      <c r="G441" s="5" t="s">
        <v>152</v>
      </c>
      <c r="H441" s="5" t="s">
        <v>1237</v>
      </c>
      <c r="I441" s="5" t="s">
        <v>1342</v>
      </c>
      <c r="J441" s="5" t="s">
        <v>1343</v>
      </c>
      <c r="K441" s="7" t="str">
        <f ca="1">IFERROR(__xludf.DUMMYFUNCTION("GOOGLETRANSLATE(H441,""EN"",""ES"")"),"BAÚLES,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1" s="5" t="str">
        <f ca="1">IFERROR(__xludf.DUMMYFUNCTION("GOOGLETRANSLATE(J441,""EN"",""ES"")"),"Estuches para discos fonográficos")</f>
        <v>Estuches para discos fonográficos</v>
      </c>
      <c r="M441" s="8" t="s">
        <v>6</v>
      </c>
      <c r="N441" s="8" t="s">
        <v>6</v>
      </c>
    </row>
    <row r="442" spans="1:14" ht="11.25" customHeight="1">
      <c r="A442" s="5" t="s">
        <v>1232</v>
      </c>
      <c r="B442" s="5" t="s">
        <v>1233</v>
      </c>
      <c r="C442" s="5" t="s">
        <v>1344</v>
      </c>
      <c r="D442" s="5" t="s">
        <v>1235</v>
      </c>
      <c r="E442" s="5" t="s">
        <v>10</v>
      </c>
      <c r="F442" s="5" t="s">
        <v>1236</v>
      </c>
      <c r="G442" s="5" t="s">
        <v>152</v>
      </c>
      <c r="H442" s="5" t="s">
        <v>1237</v>
      </c>
      <c r="I442" s="5" t="s">
        <v>1345</v>
      </c>
      <c r="J442" s="5" t="s">
        <v>1346</v>
      </c>
      <c r="K442" s="7" t="str">
        <f ca="1">IFERROR(__xludf.DUMMYFUNCTION("GOOGLETRANSLATE(H442,""EN"",""ES"")"),"BAÚLES,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2" s="5" t="str">
        <f ca="1">IFERROR(__xludf.DUMMYFUNCTION("GOOGLETRANSLATE(J442,""EN"",""ES"")"),"Estuches de manicura [contenedores]")</f>
        <v>Estuches de manicura [contenedores]</v>
      </c>
      <c r="M442" s="8" t="s">
        <v>6</v>
      </c>
      <c r="N442" s="8" t="s">
        <v>6</v>
      </c>
    </row>
    <row r="443" spans="1:14" ht="11.25" customHeight="1">
      <c r="A443" s="5" t="s">
        <v>1232</v>
      </c>
      <c r="B443" s="5" t="s">
        <v>1233</v>
      </c>
      <c r="C443" s="5" t="s">
        <v>1347</v>
      </c>
      <c r="D443" s="5" t="s">
        <v>1235</v>
      </c>
      <c r="E443" s="5" t="s">
        <v>10</v>
      </c>
      <c r="F443" s="5" t="s">
        <v>1236</v>
      </c>
      <c r="G443" s="5" t="s">
        <v>152</v>
      </c>
      <c r="H443" s="5" t="s">
        <v>1237</v>
      </c>
      <c r="I443" s="5" t="s">
        <v>1348</v>
      </c>
      <c r="J443" s="5" t="s">
        <v>1349</v>
      </c>
      <c r="K443" s="7" t="str">
        <f ca="1">IFERROR(__xludf.DUMMYFUNCTION("GOOGLETRANSLATE(H443,""EN"",""ES"")"),"BAÚLES,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3" s="5" t="str">
        <f ca="1">IFERROR(__xludf.DUMMYFUNCTION("GOOGLETRANSLATE(J443,""EN"",""ES"")"),"carteras")</f>
        <v>carteras</v>
      </c>
      <c r="M443" s="8" t="s">
        <v>6</v>
      </c>
      <c r="N443" s="8" t="s">
        <v>6</v>
      </c>
    </row>
    <row r="444" spans="1:14" ht="11.25" customHeight="1">
      <c r="A444" s="5" t="s">
        <v>1232</v>
      </c>
      <c r="B444" s="5" t="s">
        <v>1233</v>
      </c>
      <c r="C444" s="5" t="s">
        <v>1350</v>
      </c>
      <c r="D444" s="5" t="s">
        <v>1235</v>
      </c>
      <c r="E444" s="5" t="s">
        <v>10</v>
      </c>
      <c r="F444" s="5" t="s">
        <v>1236</v>
      </c>
      <c r="G444" s="5" t="s">
        <v>152</v>
      </c>
      <c r="H444" s="5" t="s">
        <v>1237</v>
      </c>
      <c r="I444" s="5" t="s">
        <v>1351</v>
      </c>
      <c r="J444" s="5" t="s">
        <v>1352</v>
      </c>
      <c r="K444" s="7" t="str">
        <f ca="1">IFERROR(__xludf.DUMMYFUNCTION("GOOGLETRANSLATE(H444,""EN"",""ES"")"),"BAÚLES,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4" s="5" t="str">
        <f ca="1">IFERROR(__xludf.DUMMYFUNCTION("GOOGLETRANSLATE(J444,""EN"",""ES"")"),"Bolsas de música")</f>
        <v>Bolsas de música</v>
      </c>
      <c r="M444" s="8" t="s">
        <v>6</v>
      </c>
      <c r="N444" s="8" t="s">
        <v>6</v>
      </c>
    </row>
    <row r="445" spans="1:14" ht="11.25" customHeight="1">
      <c r="A445" s="5" t="s">
        <v>1232</v>
      </c>
      <c r="B445" s="5" t="s">
        <v>1233</v>
      </c>
      <c r="C445" s="5" t="s">
        <v>1353</v>
      </c>
      <c r="D445" s="5" t="s">
        <v>1235</v>
      </c>
      <c r="E445" s="5" t="s">
        <v>10</v>
      </c>
      <c r="F445" s="5" t="s">
        <v>1236</v>
      </c>
      <c r="G445" s="5" t="s">
        <v>152</v>
      </c>
      <c r="H445" s="5" t="s">
        <v>1237</v>
      </c>
      <c r="I445" s="5" t="s">
        <v>1354</v>
      </c>
      <c r="J445" s="5" t="s">
        <v>1355</v>
      </c>
      <c r="K445" s="7" t="str">
        <f ca="1">IFERROR(__xludf.DUMMYFUNCTION("GOOGLETRANSLATE(H445,""EN"",""ES"")"),"BAÚLES,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5" s="5" t="str">
        <f ca="1">IFERROR(__xludf.DUMMYFUNCTION("GOOGLETRANSLATE(J445,""EN"",""ES"")"),"Casos de escritura")</f>
        <v>Casos de escritura</v>
      </c>
      <c r="M445" s="8" t="s">
        <v>6</v>
      </c>
      <c r="N445" s="8" t="s">
        <v>6</v>
      </c>
    </row>
    <row r="446" spans="1:14" ht="11.25" customHeight="1">
      <c r="A446" s="5" t="s">
        <v>1232</v>
      </c>
      <c r="B446" s="5" t="s">
        <v>1233</v>
      </c>
      <c r="C446" s="5" t="s">
        <v>1356</v>
      </c>
      <c r="D446" s="5" t="s">
        <v>1235</v>
      </c>
      <c r="E446" s="5" t="s">
        <v>10</v>
      </c>
      <c r="F446" s="5" t="s">
        <v>1236</v>
      </c>
      <c r="G446" s="5" t="s">
        <v>152</v>
      </c>
      <c r="H446" s="5" t="s">
        <v>1237</v>
      </c>
      <c r="I446" s="5" t="s">
        <v>1357</v>
      </c>
      <c r="J446" s="5" t="s">
        <v>1358</v>
      </c>
      <c r="K446" s="7" t="str">
        <f ca="1">IFERROR(__xludf.DUMMYFUNCTION("GOOGLETRANSLATE(H446,""EN"",""ES"")"),"BAÚLES,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6" s="5" t="str">
        <f ca="1">IFERROR(__xludf.DUMMYFUNCTION("GOOGLETRANSLATE(J446,""EN"",""ES"")"),"Kits de limpieza de calzado [contenedores]")</f>
        <v>Kits de limpieza de calzado [contenedores]</v>
      </c>
      <c r="M446" s="8" t="s">
        <v>6</v>
      </c>
      <c r="N446" s="8" t="s">
        <v>6</v>
      </c>
    </row>
    <row r="447" spans="1:14" ht="11.25" customHeight="1">
      <c r="A447" s="5" t="s">
        <v>1232</v>
      </c>
      <c r="B447" s="5" t="s">
        <v>1233</v>
      </c>
      <c r="C447" s="5" t="s">
        <v>1359</v>
      </c>
      <c r="D447" s="5" t="s">
        <v>1235</v>
      </c>
      <c r="E447" s="5" t="s">
        <v>10</v>
      </c>
      <c r="F447" s="5" t="s">
        <v>1236</v>
      </c>
      <c r="G447" s="5" t="s">
        <v>152</v>
      </c>
      <c r="H447" s="5" t="s">
        <v>1237</v>
      </c>
      <c r="I447" s="5" t="s">
        <v>1360</v>
      </c>
      <c r="J447" s="5" t="s">
        <v>1361</v>
      </c>
      <c r="K447" s="7" t="str">
        <f ca="1">IFERROR(__xludf.DUMMYFUNCTION("GOOGLETRANSLATE(H447,""EN"",""ES"")"),"BAÚLES,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7" s="5" t="str">
        <f ca="1">IFERROR(__xludf.DUMMYFUNCTION("GOOGLETRANSLATE(J447,""EN"",""ES"")"),"Estuches para picnic")</f>
        <v>Estuches para picnic</v>
      </c>
      <c r="M447" s="8" t="s">
        <v>6</v>
      </c>
      <c r="N447" s="8" t="s">
        <v>6</v>
      </c>
    </row>
    <row r="448" spans="1:14" ht="11.25" customHeight="1">
      <c r="A448" s="5" t="s">
        <v>1232</v>
      </c>
      <c r="B448" s="5" t="s">
        <v>1233</v>
      </c>
      <c r="C448" s="5" t="s">
        <v>1362</v>
      </c>
      <c r="D448" s="5" t="s">
        <v>1235</v>
      </c>
      <c r="E448" s="5" t="s">
        <v>10</v>
      </c>
      <c r="F448" s="5" t="s">
        <v>1236</v>
      </c>
      <c r="G448" s="5" t="s">
        <v>152</v>
      </c>
      <c r="H448" s="5" t="s">
        <v>1237</v>
      </c>
      <c r="I448" s="5" t="s">
        <v>1363</v>
      </c>
      <c r="J448" s="5" t="s">
        <v>1364</v>
      </c>
      <c r="K448" s="7" t="str">
        <f ca="1">IFERROR(__xludf.DUMMYFUNCTION("GOOGLETRANSLATE(H448,""EN"",""ES"")"),"BAÚLES,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8" s="5" t="str">
        <f ca="1">IFERROR(__xludf.DUMMYFUNCTION("GOOGLETRANSLATE(J448,""EN"",""ES"")"),"Botiquines de primeros auxilios [contenedores]")</f>
        <v>Botiquines de primeros auxilios [contenedores]</v>
      </c>
      <c r="M448" s="8" t="s">
        <v>6</v>
      </c>
      <c r="N448" s="8" t="s">
        <v>6</v>
      </c>
    </row>
    <row r="449" spans="1:14" ht="11.25" customHeight="1">
      <c r="A449" s="5" t="s">
        <v>1232</v>
      </c>
      <c r="B449" s="5" t="s">
        <v>1233</v>
      </c>
      <c r="C449" s="5" t="s">
        <v>1362</v>
      </c>
      <c r="D449" s="5" t="s">
        <v>1235</v>
      </c>
      <c r="E449" s="5" t="s">
        <v>10</v>
      </c>
      <c r="F449" s="5" t="s">
        <v>1236</v>
      </c>
      <c r="G449" s="5" t="s">
        <v>152</v>
      </c>
      <c r="H449" s="5" t="s">
        <v>1237</v>
      </c>
      <c r="I449" s="5" t="s">
        <v>152</v>
      </c>
      <c r="J449" s="5" t="s">
        <v>1365</v>
      </c>
      <c r="K449" s="7" t="str">
        <f ca="1">IFERROR(__xludf.DUMMYFUNCTION("GOOGLETRANSLATE(H449,""EN"",""ES"")"),"BAÚLES,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49" s="5" t="str">
        <f ca="1">IFERROR(__xludf.DUMMYFUNCTION("GOOGLETRANSLATE(J449,""EN"",""ES"")"),"N / A")</f>
        <v>N / A</v>
      </c>
      <c r="M449" s="8" t="s">
        <v>6</v>
      </c>
      <c r="N449" s="8" t="s">
        <v>6</v>
      </c>
    </row>
    <row r="450" spans="1:14" ht="11.25" customHeight="1">
      <c r="A450" s="5" t="s">
        <v>1232</v>
      </c>
      <c r="B450" s="5" t="s">
        <v>1233</v>
      </c>
      <c r="C450" s="5" t="s">
        <v>1366</v>
      </c>
      <c r="D450" s="5" t="s">
        <v>1235</v>
      </c>
      <c r="E450" s="5" t="s">
        <v>10</v>
      </c>
      <c r="F450" s="5" t="s">
        <v>1236</v>
      </c>
      <c r="G450" s="5" t="s">
        <v>152</v>
      </c>
      <c r="H450" s="5" t="s">
        <v>1237</v>
      </c>
      <c r="I450" s="5" t="s">
        <v>1367</v>
      </c>
      <c r="J450" s="5" t="s">
        <v>1368</v>
      </c>
      <c r="K450" s="7" t="str">
        <f ca="1">IFERROR(__xludf.DUMMYFUNCTION("GOOGLETRANSLATE(H450,""EN"",""ES"")"),"BAÚLES,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0" s="5" t="str">
        <f ca="1">IFERROR(__xludf.DUMMYFUNCTION("GOOGLETRANSLATE(J450,""EN"",""ES"")"),"Estuches de vanidad")</f>
        <v>Estuches de vanidad</v>
      </c>
      <c r="M450" s="8" t="s">
        <v>6</v>
      </c>
      <c r="N450" s="8" t="s">
        <v>6</v>
      </c>
    </row>
    <row r="451" spans="1:14" ht="11.25" customHeight="1">
      <c r="A451" s="5" t="s">
        <v>1232</v>
      </c>
      <c r="B451" s="5" t="s">
        <v>1233</v>
      </c>
      <c r="C451" s="5" t="s">
        <v>1366</v>
      </c>
      <c r="D451" s="5" t="s">
        <v>1235</v>
      </c>
      <c r="E451" s="5" t="s">
        <v>10</v>
      </c>
      <c r="F451" s="5" t="s">
        <v>1236</v>
      </c>
      <c r="G451" s="5" t="s">
        <v>152</v>
      </c>
      <c r="H451" s="5" t="s">
        <v>1237</v>
      </c>
      <c r="I451" s="5" t="s">
        <v>1369</v>
      </c>
      <c r="J451" s="5" t="s">
        <v>1370</v>
      </c>
      <c r="K451" s="7" t="str">
        <f ca="1">IFERROR(__xludf.DUMMYFUNCTION("GOOGLETRANSLATE(H451,""EN"",""ES"")"),"BAÚLES,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1" s="5" t="str">
        <f ca="1">IFERROR(__xludf.DUMMYFUNCTION("GOOGLETRANSLATE(J451,""EN"",""ES"")"),"Estuches de baño")</f>
        <v>Estuches de baño</v>
      </c>
      <c r="M451" s="8" t="s">
        <v>6</v>
      </c>
      <c r="N451" s="8" t="s">
        <v>6</v>
      </c>
    </row>
    <row r="452" spans="1:14" ht="11.25" customHeight="1">
      <c r="A452" s="5" t="s">
        <v>1232</v>
      </c>
      <c r="B452" s="5" t="s">
        <v>1233</v>
      </c>
      <c r="C452" s="5" t="s">
        <v>1371</v>
      </c>
      <c r="D452" s="5" t="s">
        <v>1235</v>
      </c>
      <c r="E452" s="5" t="s">
        <v>10</v>
      </c>
      <c r="F452" s="5" t="s">
        <v>1236</v>
      </c>
      <c r="G452" s="5" t="s">
        <v>152</v>
      </c>
      <c r="H452" s="5" t="s">
        <v>1237</v>
      </c>
      <c r="I452" s="5" t="s">
        <v>1372</v>
      </c>
      <c r="J452" s="5" t="s">
        <v>1373</v>
      </c>
      <c r="K452" s="7" t="str">
        <f ca="1">IFERROR(__xludf.DUMMYFUNCTION("GOOGLETRANSLATE(H452,""EN"",""ES"")"),"BAÚLES,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2" s="5" t="str">
        <f ca="1">IFERROR(__xludf.DUMMYFUNCTION("GOOGLETRANSLATE(J452,""EN"",""ES"")"),"Kits de viaje [contenedores]")</f>
        <v>Kits de viaje [contenedores]</v>
      </c>
      <c r="M452" s="8" t="s">
        <v>6</v>
      </c>
      <c r="N452" s="8" t="s">
        <v>6</v>
      </c>
    </row>
    <row r="453" spans="1:14" ht="11.25" customHeight="1">
      <c r="A453" s="5" t="s">
        <v>1232</v>
      </c>
      <c r="B453" s="5" t="s">
        <v>1233</v>
      </c>
      <c r="C453" s="5" t="s">
        <v>1374</v>
      </c>
      <c r="D453" s="5" t="s">
        <v>1235</v>
      </c>
      <c r="E453" s="5" t="s">
        <v>10</v>
      </c>
      <c r="F453" s="5" t="s">
        <v>1236</v>
      </c>
      <c r="G453" s="5" t="s">
        <v>152</v>
      </c>
      <c r="H453" s="5" t="s">
        <v>1237</v>
      </c>
      <c r="I453" s="5" t="s">
        <v>1375</v>
      </c>
      <c r="J453" s="5" t="s">
        <v>1376</v>
      </c>
      <c r="K453" s="7" t="str">
        <f ca="1">IFERROR(__xludf.DUMMYFUNCTION("GOOGLETRANSLATE(H453,""EN"",""ES"")"),"BAÚLES,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3" s="5" t="str">
        <f ca="1">IFERROR(__xludf.DUMMYFUNCTION("GOOGLETRANSLATE(J453,""EN"",""ES"")"),"Maletines")</f>
        <v>Maletines</v>
      </c>
      <c r="M453" s="8" t="s">
        <v>6</v>
      </c>
      <c r="N453" s="8" t="s">
        <v>6</v>
      </c>
    </row>
    <row r="454" spans="1:14" ht="11.25" customHeight="1">
      <c r="A454" s="5" t="s">
        <v>1232</v>
      </c>
      <c r="B454" s="5" t="s">
        <v>1233</v>
      </c>
      <c r="C454" s="5" t="s">
        <v>1374</v>
      </c>
      <c r="D454" s="5" t="s">
        <v>1235</v>
      </c>
      <c r="E454" s="5" t="s">
        <v>10</v>
      </c>
      <c r="F454" s="5" t="s">
        <v>1236</v>
      </c>
      <c r="G454" s="5" t="s">
        <v>152</v>
      </c>
      <c r="H454" s="5" t="s">
        <v>1237</v>
      </c>
      <c r="I454" s="5" t="s">
        <v>152</v>
      </c>
      <c r="J454" s="5" t="s">
        <v>1377</v>
      </c>
      <c r="K454" s="7" t="str">
        <f ca="1">IFERROR(__xludf.DUMMYFUNCTION("GOOGLETRANSLATE(H454,""EN"",""ES"")"),"BAÚLES,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4" s="5" t="str">
        <f ca="1">IFERROR(__xludf.DUMMYFUNCTION("GOOGLETRANSLATE(J454,""EN"",""ES"")"),"N / A")</f>
        <v>N / A</v>
      </c>
      <c r="M454" s="8" t="s">
        <v>6</v>
      </c>
      <c r="N454" s="8" t="s">
        <v>6</v>
      </c>
    </row>
    <row r="455" spans="1:14" ht="11.25" customHeight="1">
      <c r="A455" s="5" t="s">
        <v>1232</v>
      </c>
      <c r="B455" s="5" t="s">
        <v>1233</v>
      </c>
      <c r="C455" s="5" t="s">
        <v>1378</v>
      </c>
      <c r="D455" s="5" t="s">
        <v>1235</v>
      </c>
      <c r="E455" s="5" t="s">
        <v>10</v>
      </c>
      <c r="F455" s="5" t="s">
        <v>1236</v>
      </c>
      <c r="G455" s="5" t="s">
        <v>152</v>
      </c>
      <c r="H455" s="5" t="s">
        <v>1237</v>
      </c>
      <c r="I455" s="5" t="s">
        <v>1379</v>
      </c>
      <c r="J455" s="5" t="s">
        <v>1380</v>
      </c>
      <c r="K455" s="7" t="str">
        <f ca="1">IFERROR(__xludf.DUMMYFUNCTION("GOOGLETRANSLATE(H455,""EN"",""ES"")"),"BAÚLES,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5" s="5" t="str">
        <f ca="1">IFERROR(__xludf.DUMMYFUNCTION("GOOGLETRANSLATE(J455,""EN"",""ES"")"),"Bolsas de viaje")</f>
        <v>Bolsas de viaje</v>
      </c>
      <c r="M455" s="8" t="s">
        <v>6</v>
      </c>
      <c r="N455" s="8" t="s">
        <v>6</v>
      </c>
    </row>
    <row r="456" spans="1:14" ht="11.25" customHeight="1">
      <c r="A456" s="5" t="s">
        <v>1232</v>
      </c>
      <c r="B456" s="5" t="s">
        <v>1233</v>
      </c>
      <c r="C456" s="5" t="s">
        <v>1381</v>
      </c>
      <c r="D456" s="5" t="s">
        <v>1235</v>
      </c>
      <c r="E456" s="5" t="s">
        <v>10</v>
      </c>
      <c r="F456" s="5" t="s">
        <v>1236</v>
      </c>
      <c r="G456" s="5" t="s">
        <v>152</v>
      </c>
      <c r="H456" s="5" t="s">
        <v>1237</v>
      </c>
      <c r="I456" s="5" t="s">
        <v>1382</v>
      </c>
      <c r="J456" s="5" t="s">
        <v>1383</v>
      </c>
      <c r="K456" s="7" t="str">
        <f ca="1">IFERROR(__xludf.DUMMYFUNCTION("GOOGLETRANSLATE(H456,""EN"",""ES"")"),"BAÚLES,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6" s="5" t="str">
        <f ca="1">IFERROR(__xludf.DUMMYFUNCTION("GOOGLETRANSLATE(J456,""EN"",""ES"")"),"Bolsas para palos de golf")</f>
        <v>Bolsas para palos de golf</v>
      </c>
      <c r="M456" s="8" t="s">
        <v>6</v>
      </c>
      <c r="N456" s="8" t="s">
        <v>6</v>
      </c>
    </row>
    <row r="457" spans="1:14" ht="11.25" customHeight="1">
      <c r="A457" s="5" t="s">
        <v>1232</v>
      </c>
      <c r="B457" s="5" t="s">
        <v>1233</v>
      </c>
      <c r="C457" s="5" t="s">
        <v>1384</v>
      </c>
      <c r="D457" s="5" t="s">
        <v>1235</v>
      </c>
      <c r="E457" s="5" t="s">
        <v>10</v>
      </c>
      <c r="F457" s="5" t="s">
        <v>1236</v>
      </c>
      <c r="G457" s="5" t="s">
        <v>152</v>
      </c>
      <c r="H457" s="5" t="s">
        <v>1237</v>
      </c>
      <c r="I457" s="5" t="s">
        <v>1385</v>
      </c>
      <c r="J457" s="5" t="s">
        <v>1386</v>
      </c>
      <c r="K457" s="7" t="str">
        <f ca="1">IFERROR(__xludf.DUMMYFUNCTION("GOOGLETRANSLATE(H457,""EN"",""ES"")"),"BAÚLES,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7" s="5" t="str">
        <f ca="1">IFERROR(__xludf.DUMMYFUNCTION("GOOGLETRANSLATE(J457,""EN"",""ES"")"),"Estuches escolares")</f>
        <v>Estuches escolares</v>
      </c>
      <c r="M457" s="8" t="s">
        <v>6</v>
      </c>
      <c r="N457" s="8" t="s">
        <v>6</v>
      </c>
    </row>
    <row r="458" spans="1:14" ht="11.25" customHeight="1">
      <c r="A458" s="5" t="s">
        <v>1232</v>
      </c>
      <c r="B458" s="5" t="s">
        <v>1233</v>
      </c>
      <c r="C458" s="5" t="s">
        <v>1387</v>
      </c>
      <c r="D458" s="5" t="s">
        <v>1235</v>
      </c>
      <c r="E458" s="5" t="s">
        <v>10</v>
      </c>
      <c r="F458" s="5" t="s">
        <v>1236</v>
      </c>
      <c r="G458" s="5" t="s">
        <v>152</v>
      </c>
      <c r="H458" s="5" t="s">
        <v>1237</v>
      </c>
      <c r="I458" s="5" t="s">
        <v>1388</v>
      </c>
      <c r="J458" s="5" t="s">
        <v>1389</v>
      </c>
      <c r="K458" s="7" t="str">
        <f ca="1">IFERROR(__xludf.DUMMYFUNCTION("GOOGLETRANSLATE(H458,""EN"",""ES"")"),"BAÚLES,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8" s="5" t="str">
        <f ca="1">IFERROR(__xludf.DUMMYFUNCTION("GOOGLETRANSLATE(J458,""EN"",""ES"")"),"Cajas de herramientas")</f>
        <v>Cajas de herramientas</v>
      </c>
      <c r="M458" s="8" t="s">
        <v>6</v>
      </c>
      <c r="N458" s="8" t="s">
        <v>6</v>
      </c>
    </row>
    <row r="459" spans="1:14" ht="11.25" customHeight="1">
      <c r="A459" s="5" t="s">
        <v>1232</v>
      </c>
      <c r="B459" s="5" t="s">
        <v>1233</v>
      </c>
      <c r="C459" s="5" t="s">
        <v>1390</v>
      </c>
      <c r="D459" s="5" t="s">
        <v>1235</v>
      </c>
      <c r="E459" s="5" t="s">
        <v>10</v>
      </c>
      <c r="F459" s="5" t="s">
        <v>1236</v>
      </c>
      <c r="G459" s="5" t="s">
        <v>152</v>
      </c>
      <c r="H459" s="5" t="s">
        <v>1237</v>
      </c>
      <c r="I459" s="5" t="s">
        <v>1391</v>
      </c>
      <c r="J459" s="5" t="s">
        <v>1392</v>
      </c>
      <c r="K459" s="7" t="str">
        <f ca="1">IFERROR(__xludf.DUMMYFUNCTION("GOOGLETRANSLATE(H459,""EN"",""ES"")"),"BAÚLES,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59" s="5" t="str">
        <f ca="1">IFERROR(__xludf.DUMMYFUNCTION("GOOGLETRANSLATE(J459,""EN"",""ES"")"),"Estuches para instrumentos médicos [contenedores]")</f>
        <v>Estuches para instrumentos médicos [contenedores]</v>
      </c>
      <c r="M459" s="8" t="s">
        <v>6</v>
      </c>
      <c r="N459" s="8" t="s">
        <v>6</v>
      </c>
    </row>
    <row r="460" spans="1:14" ht="11.25" customHeight="1">
      <c r="A460" s="5" t="s">
        <v>1232</v>
      </c>
      <c r="B460" s="5" t="s">
        <v>1233</v>
      </c>
      <c r="C460" s="5" t="s">
        <v>1393</v>
      </c>
      <c r="D460" s="5" t="s">
        <v>1235</v>
      </c>
      <c r="E460" s="5" t="s">
        <v>10</v>
      </c>
      <c r="F460" s="5" t="s">
        <v>1236</v>
      </c>
      <c r="G460" s="5" t="s">
        <v>152</v>
      </c>
      <c r="H460" s="5" t="s">
        <v>1237</v>
      </c>
      <c r="I460" s="5" t="s">
        <v>1394</v>
      </c>
      <c r="J460" s="5" t="s">
        <v>1395</v>
      </c>
      <c r="K460" s="7" t="str">
        <f ca="1">IFERROR(__xludf.DUMMYFUNCTION("GOOGLETRANSLATE(H460,""EN"",""ES"")"),"BAÚLES,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0" s="5" t="str">
        <f ca="1">IFERROR(__xludf.DUMMYFUNCTION("GOOGLETRANSLATE(J460,""EN"",""ES"")"),"Monederos")</f>
        <v>Monederos</v>
      </c>
      <c r="M460" s="8" t="s">
        <v>6</v>
      </c>
      <c r="N460" s="8" t="s">
        <v>6</v>
      </c>
    </row>
    <row r="461" spans="1:14" ht="11.25" customHeight="1">
      <c r="A461" s="5" t="s">
        <v>1232</v>
      </c>
      <c r="B461" s="5" t="s">
        <v>1233</v>
      </c>
      <c r="C461" s="5" t="s">
        <v>1393</v>
      </c>
      <c r="D461" s="5" t="s">
        <v>1235</v>
      </c>
      <c r="E461" s="5" t="s">
        <v>10</v>
      </c>
      <c r="F461" s="5" t="s">
        <v>1236</v>
      </c>
      <c r="G461" s="5" t="s">
        <v>152</v>
      </c>
      <c r="H461" s="5" t="s">
        <v>1237</v>
      </c>
      <c r="I461" s="5" t="s">
        <v>152</v>
      </c>
      <c r="J461" s="5" t="s">
        <v>1396</v>
      </c>
      <c r="K461" s="7" t="str">
        <f ca="1">IFERROR(__xludf.DUMMYFUNCTION("GOOGLETRANSLATE(H461,""EN"",""ES"")"),"BAÚLES,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1" s="5" t="str">
        <f ca="1">IFERROR(__xludf.DUMMYFUNCTION("GOOGLETRANSLATE(J461,""EN"",""ES"")"),"N / A")</f>
        <v>N / A</v>
      </c>
      <c r="M461" s="8" t="s">
        <v>6</v>
      </c>
      <c r="N461" s="8" t="s">
        <v>6</v>
      </c>
    </row>
    <row r="462" spans="1:14" ht="11.25" customHeight="1">
      <c r="A462" s="5" t="s">
        <v>1232</v>
      </c>
      <c r="B462" s="5" t="s">
        <v>1233</v>
      </c>
      <c r="C462" s="5" t="s">
        <v>1397</v>
      </c>
      <c r="D462" s="5" t="s">
        <v>1235</v>
      </c>
      <c r="E462" s="5" t="s">
        <v>10</v>
      </c>
      <c r="F462" s="5" t="s">
        <v>1236</v>
      </c>
      <c r="G462" s="5" t="s">
        <v>152</v>
      </c>
      <c r="H462" s="5" t="s">
        <v>1237</v>
      </c>
      <c r="I462" s="5" t="s">
        <v>1398</v>
      </c>
      <c r="J462" s="5" t="s">
        <v>1399</v>
      </c>
      <c r="K462" s="7" t="str">
        <f ca="1">IFERROR(__xludf.DUMMYFUNCTION("GOOGLETRANSLATE(H462,""EN"",""ES"")"),"BAÚLES,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2" s="5" t="str">
        <f ca="1">IFERROR(__xludf.DUMMYFUNCTION("GOOGLETRANSLATE(J462,""EN"",""ES"")"),"Bolsas de compras")</f>
        <v>Bolsas de compras</v>
      </c>
      <c r="M462" s="8" t="s">
        <v>6</v>
      </c>
      <c r="N462" s="8" t="s">
        <v>6</v>
      </c>
    </row>
    <row r="463" spans="1:14" ht="11.25" customHeight="1">
      <c r="A463" s="5" t="s">
        <v>1232</v>
      </c>
      <c r="B463" s="5" t="s">
        <v>1233</v>
      </c>
      <c r="C463" s="5" t="s">
        <v>1397</v>
      </c>
      <c r="D463" s="5" t="s">
        <v>1235</v>
      </c>
      <c r="E463" s="5" t="s">
        <v>10</v>
      </c>
      <c r="F463" s="5" t="s">
        <v>1236</v>
      </c>
      <c r="G463" s="5" t="s">
        <v>152</v>
      </c>
      <c r="H463" s="5" t="s">
        <v>1237</v>
      </c>
      <c r="I463" s="5" t="s">
        <v>152</v>
      </c>
      <c r="J463" s="5" t="s">
        <v>1400</v>
      </c>
      <c r="K463" s="7" t="str">
        <f ca="1">IFERROR(__xludf.DUMMYFUNCTION("GOOGLETRANSLATE(H463,""EN"",""ES"")"),"BAÚLES,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3" s="5" t="str">
        <f ca="1">IFERROR(__xludf.DUMMYFUNCTION("GOOGLETRANSLATE(J463,""EN"",""ES"")"),"N / A")</f>
        <v>N / A</v>
      </c>
      <c r="M463" s="8" t="s">
        <v>6</v>
      </c>
      <c r="N463" s="8" t="s">
        <v>6</v>
      </c>
    </row>
    <row r="464" spans="1:14" ht="11.25" customHeight="1">
      <c r="A464" s="5" t="s">
        <v>1232</v>
      </c>
      <c r="B464" s="5" t="s">
        <v>1233</v>
      </c>
      <c r="C464" s="5" t="s">
        <v>1401</v>
      </c>
      <c r="D464" s="5" t="s">
        <v>1235</v>
      </c>
      <c r="E464" s="5" t="s">
        <v>10</v>
      </c>
      <c r="F464" s="5" t="s">
        <v>1236</v>
      </c>
      <c r="G464" s="5" t="s">
        <v>152</v>
      </c>
      <c r="H464" s="5" t="s">
        <v>1237</v>
      </c>
      <c r="I464" s="5" t="s">
        <v>1402</v>
      </c>
      <c r="J464" s="5" t="s">
        <v>1403</v>
      </c>
      <c r="K464" s="7" t="str">
        <f ca="1">IFERROR(__xludf.DUMMYFUNCTION("GOOGLETRANSLATE(H464,""EN"",""ES"")"),"BAÚLES,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4" s="5" t="str">
        <f ca="1">IFERROR(__xludf.DUMMYFUNCTION("GOOGLETRANSLATE(J464,""EN"",""ES"")"),"Portafolios para dibujos.")</f>
        <v>Portafolios para dibujos.</v>
      </c>
      <c r="M464" s="8" t="s">
        <v>6</v>
      </c>
      <c r="N464" s="8" t="s">
        <v>6</v>
      </c>
    </row>
    <row r="465" spans="1:14" ht="11.25" customHeight="1">
      <c r="A465" s="5" t="s">
        <v>1232</v>
      </c>
      <c r="B465" s="5" t="s">
        <v>1233</v>
      </c>
      <c r="C465" s="5" t="s">
        <v>1404</v>
      </c>
      <c r="D465" s="5" t="s">
        <v>1235</v>
      </c>
      <c r="E465" s="5" t="s">
        <v>10</v>
      </c>
      <c r="F465" s="5" t="s">
        <v>1236</v>
      </c>
      <c r="G465" s="5" t="s">
        <v>152</v>
      </c>
      <c r="H465" s="5" t="s">
        <v>1237</v>
      </c>
      <c r="I465" s="5" t="s">
        <v>1405</v>
      </c>
      <c r="J465" s="5" t="s">
        <v>1406</v>
      </c>
      <c r="K465" s="7" t="str">
        <f ca="1">IFERROR(__xludf.DUMMYFUNCTION("GOOGLETRANSLATE(H465,""EN"",""ES"")"),"BAÚLES,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5" s="5" t="str">
        <f ca="1">IFERROR(__xludf.DUMMYFUNCTION("GOOGLETRANSLATE(J465,""EN"",""ES"")"),"Bolsas de cartuchos")</f>
        <v>Bolsas de cartuchos</v>
      </c>
      <c r="M465" s="8" t="s">
        <v>6</v>
      </c>
      <c r="N465" s="8" t="s">
        <v>6</v>
      </c>
    </row>
    <row r="466" spans="1:14" ht="11.25" customHeight="1">
      <c r="A466" s="5" t="s">
        <v>1232</v>
      </c>
      <c r="B466" s="5" t="s">
        <v>1233</v>
      </c>
      <c r="C466" s="5" t="s">
        <v>1407</v>
      </c>
      <c r="D466" s="5" t="s">
        <v>1235</v>
      </c>
      <c r="E466" s="5" t="s">
        <v>10</v>
      </c>
      <c r="F466" s="5" t="s">
        <v>1236</v>
      </c>
      <c r="G466" s="5" t="s">
        <v>152</v>
      </c>
      <c r="H466" s="5" t="s">
        <v>1237</v>
      </c>
      <c r="I466" s="5" t="s">
        <v>1408</v>
      </c>
      <c r="J466" s="5" t="s">
        <v>1409</v>
      </c>
      <c r="K466" s="7" t="str">
        <f ca="1">IFERROR(__xludf.DUMMYFUNCTION("GOOGLETRANSLATE(H466,""EN"",""ES"")"),"BAÚLES,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6" s="5" t="str">
        <f ca="1">IFERROR(__xludf.DUMMYFUNCTION("GOOGLETRANSLATE(J466,""EN"",""ES"")"),"Cinturones de dinero")</f>
        <v>Cinturones de dinero</v>
      </c>
      <c r="M466" s="8" t="s">
        <v>6</v>
      </c>
      <c r="N466" s="8" t="s">
        <v>6</v>
      </c>
    </row>
    <row r="467" spans="1:14" ht="11.25" customHeight="1">
      <c r="A467" s="5" t="s">
        <v>1232</v>
      </c>
      <c r="B467" s="5" t="s">
        <v>1233</v>
      </c>
      <c r="C467" s="5" t="s">
        <v>1410</v>
      </c>
      <c r="D467" s="5" t="s">
        <v>1235</v>
      </c>
      <c r="E467" s="5" t="s">
        <v>10</v>
      </c>
      <c r="F467" s="5" t="s">
        <v>1236</v>
      </c>
      <c r="G467" s="5" t="s">
        <v>152</v>
      </c>
      <c r="H467" s="5" t="s">
        <v>1237</v>
      </c>
      <c r="I467" s="5" t="s">
        <v>1411</v>
      </c>
      <c r="J467" s="5" t="s">
        <v>1412</v>
      </c>
      <c r="K467" s="7" t="str">
        <f ca="1">IFERROR(__xludf.DUMMYFUNCTION("GOOGLETRANSLATE(H467,""EN"",""ES"")"),"BAÚLES,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7" s="5" t="str">
        <f ca="1">IFERROR(__xludf.DUMMYFUNCTION("GOOGLETRANSLATE(J467,""EN"",""ES"")"),"Cadenas para llaveros")</f>
        <v>Cadenas para llaveros</v>
      </c>
      <c r="M467" s="8" t="s">
        <v>6</v>
      </c>
      <c r="N467" s="8" t="s">
        <v>6</v>
      </c>
    </row>
    <row r="468" spans="1:14" ht="11.25" customHeight="1">
      <c r="A468" s="5" t="s">
        <v>1232</v>
      </c>
      <c r="B468" s="5" t="s">
        <v>1233</v>
      </c>
      <c r="C468" s="5" t="s">
        <v>1413</v>
      </c>
      <c r="D468" s="5" t="s">
        <v>1235</v>
      </c>
      <c r="E468" s="5" t="s">
        <v>10</v>
      </c>
      <c r="F468" s="5" t="s">
        <v>1236</v>
      </c>
      <c r="G468" s="5" t="s">
        <v>152</v>
      </c>
      <c r="H468" s="5" t="s">
        <v>1237</v>
      </c>
      <c r="I468" s="5" t="s">
        <v>1414</v>
      </c>
      <c r="J468" s="5" t="s">
        <v>1415</v>
      </c>
      <c r="K468" s="7" t="str">
        <f ca="1">IFERROR(__xludf.DUMMYFUNCTION("GOOGLETRANSLATE(H468,""EN"",""ES"")"),"BAÚLES,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8" s="5" t="str">
        <f ca="1">IFERROR(__xludf.DUMMYFUNCTION("GOOGLETRANSLATE(J468,""EN"",""ES"")"),"Casos clave")</f>
        <v>Casos clave</v>
      </c>
      <c r="M468" s="8" t="s">
        <v>6</v>
      </c>
      <c r="N468" s="8" t="s">
        <v>6</v>
      </c>
    </row>
    <row r="469" spans="1:14" ht="11.25" customHeight="1">
      <c r="A469" s="5" t="s">
        <v>1232</v>
      </c>
      <c r="B469" s="5" t="s">
        <v>1233</v>
      </c>
      <c r="C469" s="5" t="s">
        <v>1416</v>
      </c>
      <c r="D469" s="5" t="s">
        <v>1235</v>
      </c>
      <c r="E469" s="5" t="s">
        <v>10</v>
      </c>
      <c r="F469" s="5" t="s">
        <v>1236</v>
      </c>
      <c r="G469" s="5" t="s">
        <v>152</v>
      </c>
      <c r="H469" s="5" t="s">
        <v>1237</v>
      </c>
      <c r="I469" s="5" t="s">
        <v>1417</v>
      </c>
      <c r="J469" s="5" t="s">
        <v>1418</v>
      </c>
      <c r="K469" s="7" t="str">
        <f ca="1">IFERROR(__xludf.DUMMYFUNCTION("GOOGLETRANSLATE(H469,""EN"",""ES"")"),"BAÚLES,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69" s="5" t="str">
        <f ca="1">IFERROR(__xludf.DUMMYFUNCTION("GOOGLETRANSLATE(J469,""EN"",""ES"")"),"Cajas de joyas")</f>
        <v>Cajas de joyas</v>
      </c>
      <c r="M469" s="8" t="s">
        <v>6</v>
      </c>
      <c r="N469" s="8" t="s">
        <v>6</v>
      </c>
    </row>
    <row r="470" spans="1:14" ht="11.25" customHeight="1">
      <c r="A470" s="5" t="s">
        <v>1232</v>
      </c>
      <c r="B470" s="5" t="s">
        <v>1233</v>
      </c>
      <c r="C470" s="5" t="s">
        <v>1419</v>
      </c>
      <c r="D470" s="5" t="s">
        <v>1235</v>
      </c>
      <c r="E470" s="5" t="s">
        <v>10</v>
      </c>
      <c r="F470" s="5" t="s">
        <v>1236</v>
      </c>
      <c r="G470" s="5" t="s">
        <v>152</v>
      </c>
      <c r="H470" s="5" t="s">
        <v>1237</v>
      </c>
      <c r="I470" s="5" t="s">
        <v>1420</v>
      </c>
      <c r="J470" s="5" t="s">
        <v>1421</v>
      </c>
      <c r="K470" s="7" t="str">
        <f ca="1">IFERROR(__xludf.DUMMYFUNCTION("GOOGLETRANSLATE(H470,""EN"",""ES"")"),"BAÚLES,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0" s="5" t="str">
        <f ca="1">IFERROR(__xludf.DUMMYFUNCTION("GOOGLETRANSLATE(J470,""EN"",""ES"")"),"Fundas para pasaporte o documento de identidad")</f>
        <v>Fundas para pasaporte o documento de identidad</v>
      </c>
      <c r="M470" s="8" t="s">
        <v>6</v>
      </c>
      <c r="N470" s="8" t="s">
        <v>6</v>
      </c>
    </row>
    <row r="471" spans="1:14" ht="11.25" customHeight="1">
      <c r="A471" s="5" t="s">
        <v>1232</v>
      </c>
      <c r="B471" s="5" t="s">
        <v>1233</v>
      </c>
      <c r="C471" s="5" t="s">
        <v>1419</v>
      </c>
      <c r="D471" s="5" t="s">
        <v>1235</v>
      </c>
      <c r="E471" s="5" t="s">
        <v>10</v>
      </c>
      <c r="F471" s="5" t="s">
        <v>1236</v>
      </c>
      <c r="G471" s="5" t="s">
        <v>152</v>
      </c>
      <c r="H471" s="5" t="s">
        <v>1237</v>
      </c>
      <c r="I471" s="5" t="s">
        <v>1422</v>
      </c>
      <c r="J471" s="5" t="s">
        <v>1423</v>
      </c>
      <c r="K471" s="7" t="str">
        <f ca="1">IFERROR(__xludf.DUMMYFUNCTION("GOOGLETRANSLATE(H471,""EN"",""ES"")"),"BAÚLES,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1" s="5" t="str">
        <f ca="1">IFERROR(__xludf.DUMMYFUNCTION("GOOGLETRANSLATE(J471,""EN"",""ES"")"),"Estuches para tarjetas de identidad")</f>
        <v>Estuches para tarjetas de identidad</v>
      </c>
      <c r="M471" s="8" t="s">
        <v>6</v>
      </c>
      <c r="N471" s="8" t="s">
        <v>6</v>
      </c>
    </row>
    <row r="472" spans="1:14" ht="11.25" customHeight="1">
      <c r="A472" s="5" t="s">
        <v>1232</v>
      </c>
      <c r="B472" s="5" t="s">
        <v>1233</v>
      </c>
      <c r="C472" s="5" t="s">
        <v>1424</v>
      </c>
      <c r="D472" s="5" t="s">
        <v>1235</v>
      </c>
      <c r="E472" s="5" t="s">
        <v>10</v>
      </c>
      <c r="F472" s="5" t="s">
        <v>1236</v>
      </c>
      <c r="G472" s="5" t="s">
        <v>152</v>
      </c>
      <c r="H472" s="5" t="s">
        <v>1237</v>
      </c>
      <c r="I472" s="5" t="s">
        <v>1425</v>
      </c>
      <c r="J472" s="5" t="s">
        <v>1426</v>
      </c>
      <c r="K472" s="7" t="str">
        <f ca="1">IFERROR(__xludf.DUMMYFUNCTION("GOOGLETRANSLATE(H472,""EN"",""ES"")"),"BAÚLES,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2" s="5" t="str">
        <f ca="1">IFERROR(__xludf.DUMMYFUNCTION("GOOGLETRANSLATE(J472,""EN"",""ES"")"),"comprobar las portadas de los libros")</f>
        <v>comprobar las portadas de los libros</v>
      </c>
      <c r="M472" s="8" t="s">
        <v>6</v>
      </c>
      <c r="N472" s="8" t="s">
        <v>6</v>
      </c>
    </row>
    <row r="473" spans="1:14" ht="11.25" customHeight="1">
      <c r="A473" s="5" t="s">
        <v>1232</v>
      </c>
      <c r="B473" s="5" t="s">
        <v>1233</v>
      </c>
      <c r="C473" s="5" t="s">
        <v>1424</v>
      </c>
      <c r="D473" s="5" t="s">
        <v>1235</v>
      </c>
      <c r="E473" s="5" t="s">
        <v>10</v>
      </c>
      <c r="F473" s="5" t="s">
        <v>1236</v>
      </c>
      <c r="G473" s="5" t="s">
        <v>152</v>
      </c>
      <c r="H473" s="5" t="s">
        <v>1237</v>
      </c>
      <c r="I473" s="5" t="s">
        <v>1427</v>
      </c>
      <c r="J473" s="5" t="s">
        <v>152</v>
      </c>
      <c r="K473" s="7" t="str">
        <f ca="1">IFERROR(__xludf.DUMMYFUNCTION("GOOGLETRANSLATE(H473,""EN"",""ES"")"),"BAÚLES,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3" s="5" t="str">
        <f ca="1">IFERROR(__xludf.DUMMYFUNCTION("GOOGLETRANSLATE(J473,""EN"",""ES"")"),"comprobar las portadas de los libros")</f>
        <v>comprobar las portadas de los libros</v>
      </c>
      <c r="M473" s="8" t="s">
        <v>6</v>
      </c>
      <c r="N473" s="8" t="s">
        <v>6</v>
      </c>
    </row>
    <row r="474" spans="1:14" ht="11.25" customHeight="1">
      <c r="A474" s="5" t="s">
        <v>1232</v>
      </c>
      <c r="B474" s="5" t="s">
        <v>1233</v>
      </c>
      <c r="C474" s="5" t="s">
        <v>1428</v>
      </c>
      <c r="D474" s="5" t="s">
        <v>1235</v>
      </c>
      <c r="E474" s="5" t="s">
        <v>10</v>
      </c>
      <c r="F474" s="5" t="s">
        <v>1236</v>
      </c>
      <c r="G474" s="5" t="s">
        <v>152</v>
      </c>
      <c r="H474" s="5" t="s">
        <v>1237</v>
      </c>
      <c r="I474" s="5" t="s">
        <v>1429</v>
      </c>
      <c r="J474" s="5" t="s">
        <v>1430</v>
      </c>
      <c r="K474" s="7" t="str">
        <f ca="1">IFERROR(__xludf.DUMMYFUNCTION("GOOGLETRANSLATE(H474,""EN"",""ES"")"),"BAÚLES,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4" s="5" t="str">
        <f ca="1">IFERROR(__xludf.DUMMYFUNCTION("GOOGLETRANSLATE(J474,""EN"",""ES"")"),"Carteras")</f>
        <v>Carteras</v>
      </c>
      <c r="M474" s="8" t="s">
        <v>6</v>
      </c>
      <c r="N474" s="8" t="s">
        <v>6</v>
      </c>
    </row>
    <row r="475" spans="1:14" ht="11.25" customHeight="1">
      <c r="A475" s="5" t="s">
        <v>1232</v>
      </c>
      <c r="B475" s="5" t="s">
        <v>1233</v>
      </c>
      <c r="C475" s="5" t="s">
        <v>1428</v>
      </c>
      <c r="D475" s="5" t="s">
        <v>1235</v>
      </c>
      <c r="E475" s="5" t="s">
        <v>10</v>
      </c>
      <c r="F475" s="5" t="s">
        <v>1236</v>
      </c>
      <c r="G475" s="5" t="s">
        <v>152</v>
      </c>
      <c r="H475" s="5" t="s">
        <v>1237</v>
      </c>
      <c r="I475" s="5" t="s">
        <v>1431</v>
      </c>
      <c r="J475" s="5" t="s">
        <v>1432</v>
      </c>
      <c r="K475" s="7" t="str">
        <f ca="1">IFERROR(__xludf.DUMMYFUNCTION("GOOGLETRANSLATE(H475,""EN"",""ES"")"),"BAÚLES,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5" s="5" t="str">
        <f ca="1">IFERROR(__xludf.DUMMYFUNCTION("GOOGLETRANSLATE(J475,""EN"",""ES"")"),"Billeteras")</f>
        <v>Billeteras</v>
      </c>
      <c r="M475" s="8" t="s">
        <v>6</v>
      </c>
      <c r="N475" s="8" t="s">
        <v>6</v>
      </c>
    </row>
    <row r="476" spans="1:14" ht="11.25" customHeight="1">
      <c r="A476" s="5" t="s">
        <v>1232</v>
      </c>
      <c r="B476" s="5" t="s">
        <v>1233</v>
      </c>
      <c r="C476" s="5" t="s">
        <v>1428</v>
      </c>
      <c r="D476" s="5" t="s">
        <v>1235</v>
      </c>
      <c r="E476" s="5" t="s">
        <v>10</v>
      </c>
      <c r="F476" s="5" t="s">
        <v>1236</v>
      </c>
      <c r="G476" s="5" t="s">
        <v>152</v>
      </c>
      <c r="H476" s="5" t="s">
        <v>1237</v>
      </c>
      <c r="I476" s="5" t="s">
        <v>1433</v>
      </c>
      <c r="J476" s="5" t="s">
        <v>152</v>
      </c>
      <c r="K476" s="7" t="str">
        <f ca="1">IFERROR(__xludf.DUMMYFUNCTION("GOOGLETRANSLATE(H476,""EN"",""ES"")"),"BAÚLES,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6" s="5" t="str">
        <f ca="1">IFERROR(__xludf.DUMMYFUNCTION("GOOGLETRANSLATE(J476,""EN"",""ES"")"),"Cuadernos")</f>
        <v>Cuadernos</v>
      </c>
      <c r="M476" s="8" t="s">
        <v>6</v>
      </c>
      <c r="N476" s="8" t="s">
        <v>6</v>
      </c>
    </row>
    <row r="477" spans="1:14" ht="11.25" customHeight="1">
      <c r="A477" s="5" t="s">
        <v>1232</v>
      </c>
      <c r="B477" s="5" t="s">
        <v>1233</v>
      </c>
      <c r="C477" s="5" t="s">
        <v>1434</v>
      </c>
      <c r="D477" s="5" t="s">
        <v>1235</v>
      </c>
      <c r="E477" s="5" t="s">
        <v>10</v>
      </c>
      <c r="F477" s="5" t="s">
        <v>1236</v>
      </c>
      <c r="G477" s="5" t="s">
        <v>152</v>
      </c>
      <c r="H477" s="5" t="s">
        <v>1237</v>
      </c>
      <c r="I477" s="5" t="s">
        <v>1435</v>
      </c>
      <c r="J477" s="5" t="s">
        <v>1436</v>
      </c>
      <c r="K477" s="7" t="str">
        <f ca="1">IFERROR(__xludf.DUMMYFUNCTION("GOOGLETRANSLATE(H477,""EN"",""ES"")"),"BAÚLES,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7" s="5" t="str">
        <f ca="1">IFERROR(__xludf.DUMMYFUNCTION("GOOGLETRANSLATE(J477,""EN"",""ES"")"),"Llaveros")</f>
        <v>Llaveros</v>
      </c>
      <c r="M477" s="8" t="s">
        <v>6</v>
      </c>
      <c r="N477" s="8" t="s">
        <v>6</v>
      </c>
    </row>
    <row r="478" spans="1:14" ht="11.25" customHeight="1">
      <c r="A478" s="5" t="s">
        <v>1232</v>
      </c>
      <c r="B478" s="5" t="s">
        <v>1233</v>
      </c>
      <c r="C478" s="5" t="s">
        <v>1434</v>
      </c>
      <c r="D478" s="5" t="s">
        <v>1235</v>
      </c>
      <c r="E478" s="5" t="s">
        <v>10</v>
      </c>
      <c r="F478" s="5" t="s">
        <v>1236</v>
      </c>
      <c r="G478" s="5" t="s">
        <v>152</v>
      </c>
      <c r="H478" s="5" t="s">
        <v>1237</v>
      </c>
      <c r="I478" s="5" t="s">
        <v>1437</v>
      </c>
      <c r="J478" s="5" t="s">
        <v>152</v>
      </c>
      <c r="K478" s="7" t="str">
        <f ca="1">IFERROR(__xludf.DUMMYFUNCTION("GOOGLETRANSLATE(H478,""EN"",""ES"")"),"BAÚLES,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8" s="5" t="str">
        <f ca="1">IFERROR(__xludf.DUMMYFUNCTION("GOOGLETRANSLATE(J478,""EN"",""ES"")"),"llaveros")</f>
        <v>llaveros</v>
      </c>
      <c r="M478" s="8" t="s">
        <v>6</v>
      </c>
      <c r="N478" s="8" t="s">
        <v>6</v>
      </c>
    </row>
    <row r="479" spans="1:14" ht="11.25" customHeight="1">
      <c r="A479" s="5" t="s">
        <v>1232</v>
      </c>
      <c r="B479" s="5" t="s">
        <v>1233</v>
      </c>
      <c r="C479" s="5" t="s">
        <v>1438</v>
      </c>
      <c r="D479" s="5" t="s">
        <v>1235</v>
      </c>
      <c r="E479" s="5" t="s">
        <v>10</v>
      </c>
      <c r="F479" s="5" t="s">
        <v>1236</v>
      </c>
      <c r="G479" s="5" t="s">
        <v>152</v>
      </c>
      <c r="H479" s="5" t="s">
        <v>1237</v>
      </c>
      <c r="I479" s="5" t="s">
        <v>1439</v>
      </c>
      <c r="J479" s="5" t="s">
        <v>1440</v>
      </c>
      <c r="K479" s="7" t="str">
        <f ca="1">IFERROR(__xludf.DUMMYFUNCTION("GOOGLETRANSLATE(H479,""EN"",""ES"")"),"BAÚLES,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79" s="5" t="str">
        <f ca="1">IFERROR(__xludf.DUMMYFUNCTION("GOOGLETRANSLATE(J479,""EN"",""ES"")"),"Retículas [bolsos]")</f>
        <v>Retículas [bolsos]</v>
      </c>
      <c r="M479" s="8" t="s">
        <v>6</v>
      </c>
      <c r="N479" s="8" t="s">
        <v>6</v>
      </c>
    </row>
    <row r="480" spans="1:14" ht="11.25" customHeight="1">
      <c r="A480" s="5" t="s">
        <v>1232</v>
      </c>
      <c r="B480" s="5" t="s">
        <v>1233</v>
      </c>
      <c r="C480" s="5" t="s">
        <v>1441</v>
      </c>
      <c r="D480" s="5" t="s">
        <v>1235</v>
      </c>
      <c r="E480" s="5" t="s">
        <v>10</v>
      </c>
      <c r="F480" s="5" t="s">
        <v>1236</v>
      </c>
      <c r="G480" s="5" t="s">
        <v>152</v>
      </c>
      <c r="H480" s="5" t="s">
        <v>1237</v>
      </c>
      <c r="I480" s="5" t="s">
        <v>1442</v>
      </c>
      <c r="J480" s="5" t="s">
        <v>1443</v>
      </c>
      <c r="K480" s="7" t="str">
        <f ca="1">IFERROR(__xludf.DUMMYFUNCTION("GOOGLETRANSLATE(H480,""EN"",""ES"")"),"BAÚLES,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0" s="5" t="str">
        <f ca="1">IFERROR(__xludf.DUMMYFUNCTION("GOOGLETRANSLATE(J480,""EN"",""ES"")"),"Bolsos de hombro")</f>
        <v>Bolsos de hombro</v>
      </c>
      <c r="M480" s="8" t="s">
        <v>6</v>
      </c>
      <c r="N480" s="8" t="s">
        <v>6</v>
      </c>
    </row>
    <row r="481" spans="1:14" ht="11.25" customHeight="1">
      <c r="A481" s="5" t="s">
        <v>1232</v>
      </c>
      <c r="B481" s="5" t="s">
        <v>1233</v>
      </c>
      <c r="C481" s="5" t="s">
        <v>1444</v>
      </c>
      <c r="D481" s="5" t="s">
        <v>1235</v>
      </c>
      <c r="E481" s="5" t="s">
        <v>10</v>
      </c>
      <c r="F481" s="5" t="s">
        <v>1236</v>
      </c>
      <c r="G481" s="5" t="s">
        <v>152</v>
      </c>
      <c r="H481" s="5" t="s">
        <v>1237</v>
      </c>
      <c r="I481" s="5" t="s">
        <v>1445</v>
      </c>
      <c r="J481" s="5" t="s">
        <v>1446</v>
      </c>
      <c r="K481" s="7" t="str">
        <f ca="1">IFERROR(__xludf.DUMMYFUNCTION("GOOGLETRANSLATE(H481,""EN"",""ES"")"),"BAÚLES,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1" s="5" t="str">
        <f ca="1">IFERROR(__xludf.DUMMYFUNCTION("GOOGLETRANSLATE(J481,""EN"",""ES"")"),"Bolsos")</f>
        <v>Bolsos</v>
      </c>
      <c r="M481" s="8" t="s">
        <v>6</v>
      </c>
      <c r="N481" s="8" t="s">
        <v>6</v>
      </c>
    </row>
    <row r="482" spans="1:14" ht="11.25" customHeight="1">
      <c r="A482" s="5" t="s">
        <v>1232</v>
      </c>
      <c r="B482" s="5" t="s">
        <v>1233</v>
      </c>
      <c r="C482" s="5" t="s">
        <v>1447</v>
      </c>
      <c r="D482" s="5" t="s">
        <v>1235</v>
      </c>
      <c r="E482" s="5" t="s">
        <v>10</v>
      </c>
      <c r="F482" s="5" t="s">
        <v>1236</v>
      </c>
      <c r="G482" s="5" t="s">
        <v>152</v>
      </c>
      <c r="H482" s="5" t="s">
        <v>1237</v>
      </c>
      <c r="I482" s="5" t="s">
        <v>1448</v>
      </c>
      <c r="J482" s="5" t="s">
        <v>1449</v>
      </c>
      <c r="K482" s="7" t="str">
        <f ca="1">IFERROR(__xludf.DUMMYFUNCTION("GOOGLETRANSLATE(H482,""EN"",""ES"")"),"BAÚLES,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2" s="5" t="str">
        <f ca="1">IFERROR(__xludf.DUMMYFUNCTION("GOOGLETRANSLATE(J482,""EN"",""ES"")"),"Fundas para paraguas")</f>
        <v>Fundas para paraguas</v>
      </c>
      <c r="M482" s="8" t="s">
        <v>6</v>
      </c>
      <c r="N482" s="8" t="s">
        <v>6</v>
      </c>
    </row>
    <row r="483" spans="1:14" ht="11.25" customHeight="1">
      <c r="A483" s="5" t="s">
        <v>1232</v>
      </c>
      <c r="B483" s="5" t="s">
        <v>1233</v>
      </c>
      <c r="C483" s="5" t="s">
        <v>1450</v>
      </c>
      <c r="D483" s="5" t="s">
        <v>1235</v>
      </c>
      <c r="E483" s="5" t="s">
        <v>10</v>
      </c>
      <c r="F483" s="5" t="s">
        <v>1236</v>
      </c>
      <c r="G483" s="5" t="s">
        <v>152</v>
      </c>
      <c r="H483" s="5" t="s">
        <v>1237</v>
      </c>
      <c r="I483" s="5" t="s">
        <v>1451</v>
      </c>
      <c r="J483" s="5" t="s">
        <v>1452</v>
      </c>
      <c r="K483" s="7" t="str">
        <f ca="1">IFERROR(__xludf.DUMMYFUNCTION("GOOGLETRANSLATE(H483,""EN"",""ES"")"),"BAÚLES,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3" s="5" t="str">
        <f ca="1">IFERROR(__xludf.DUMMYFUNCTION("GOOGLETRANSLATE(J483,""EN"",""ES"")"),"Estuches para transportar bolas de bolos")</f>
        <v>Estuches para transportar bolas de bolos</v>
      </c>
      <c r="M483" s="8" t="s">
        <v>6</v>
      </c>
      <c r="N483" s="8" t="s">
        <v>6</v>
      </c>
    </row>
    <row r="484" spans="1:14" ht="11.25" customHeight="1">
      <c r="A484" s="5" t="s">
        <v>1232</v>
      </c>
      <c r="B484" s="5" t="s">
        <v>1233</v>
      </c>
      <c r="C484" s="5" t="s">
        <v>1453</v>
      </c>
      <c r="D484" s="5" t="s">
        <v>1235</v>
      </c>
      <c r="E484" s="5" t="s">
        <v>10</v>
      </c>
      <c r="F484" s="5" t="s">
        <v>1236</v>
      </c>
      <c r="G484" s="5" t="s">
        <v>152</v>
      </c>
      <c r="H484" s="5" t="s">
        <v>1237</v>
      </c>
      <c r="I484" s="5" t="s">
        <v>1454</v>
      </c>
      <c r="J484" s="5" t="s">
        <v>1455</v>
      </c>
      <c r="K484" s="7" t="str">
        <f ca="1">IFERROR(__xludf.DUMMYFUNCTION("GOOGLETRANSLATE(H484,""EN"",""ES"")"),"BAÚLES,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4" s="5" t="str">
        <f ca="1">IFERROR(__xludf.DUMMYFUNCTION("GOOGLETRANSLATE(J484,""EN"",""ES"")"),"Fundas para telefonos")</f>
        <v>Fundas para telefonos</v>
      </c>
      <c r="M484" s="8" t="s">
        <v>6</v>
      </c>
      <c r="N484" s="8" t="s">
        <v>6</v>
      </c>
    </row>
    <row r="485" spans="1:14" ht="11.25" customHeight="1">
      <c r="A485" s="5" t="s">
        <v>1232</v>
      </c>
      <c r="B485" s="5" t="s">
        <v>1233</v>
      </c>
      <c r="C485" s="5" t="s">
        <v>1456</v>
      </c>
      <c r="D485" s="5" t="s">
        <v>1235</v>
      </c>
      <c r="E485" s="5" t="s">
        <v>10</v>
      </c>
      <c r="F485" s="5" t="s">
        <v>1236</v>
      </c>
      <c r="G485" s="5" t="s">
        <v>152</v>
      </c>
      <c r="H485" s="5" t="s">
        <v>1237</v>
      </c>
      <c r="I485" s="5" t="s">
        <v>1457</v>
      </c>
      <c r="J485" s="5" t="s">
        <v>1458</v>
      </c>
      <c r="K485" s="7" t="str">
        <f ca="1">IFERROR(__xludf.DUMMYFUNCTION("GOOGLETRANSLATE(H485,""EN"",""ES"")"),"BAÚLES,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5" s="5" t="str">
        <f ca="1">IFERROR(__xludf.DUMMYFUNCTION("GOOGLETRANSLATE(J485,""EN"",""ES"")"),"Monederos")</f>
        <v>Monederos</v>
      </c>
      <c r="M485" s="8" t="s">
        <v>6</v>
      </c>
      <c r="N485" s="8" t="s">
        <v>6</v>
      </c>
    </row>
    <row r="486" spans="1:14" ht="11.25" customHeight="1">
      <c r="A486" s="5" t="s">
        <v>1232</v>
      </c>
      <c r="B486" s="5" t="s">
        <v>1233</v>
      </c>
      <c r="C486" s="5" t="s">
        <v>1459</v>
      </c>
      <c r="D486" s="5" t="s">
        <v>1235</v>
      </c>
      <c r="E486" s="5" t="s">
        <v>10</v>
      </c>
      <c r="F486" s="5" t="s">
        <v>1236</v>
      </c>
      <c r="G486" s="5" t="s">
        <v>152</v>
      </c>
      <c r="H486" s="5" t="s">
        <v>1237</v>
      </c>
      <c r="I486" s="5" t="s">
        <v>1460</v>
      </c>
      <c r="J486" s="5" t="s">
        <v>1461</v>
      </c>
      <c r="K486" s="7" t="str">
        <f ca="1">IFERROR(__xludf.DUMMYFUNCTION("GOOGLETRANSLATE(H486,""EN"",""ES"")"),"BAÚLES,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6" s="5" t="str">
        <f ca="1">IFERROR(__xludf.DUMMYFUNCTION("GOOGLETRANSLATE(J486,""EN"",""ES"")"),"Cajas de seguridad para accesorios de bicicletas.")</f>
        <v>Cajas de seguridad para accesorios de bicicletas.</v>
      </c>
      <c r="M486" s="8" t="s">
        <v>6</v>
      </c>
      <c r="N486" s="8" t="s">
        <v>6</v>
      </c>
    </row>
    <row r="487" spans="1:14" ht="11.25" customHeight="1">
      <c r="A487" s="5" t="s">
        <v>1232</v>
      </c>
      <c r="B487" s="5" t="s">
        <v>1233</v>
      </c>
      <c r="C487" s="5" t="s">
        <v>1462</v>
      </c>
      <c r="D487" s="5" t="s">
        <v>1235</v>
      </c>
      <c r="E487" s="5" t="s">
        <v>10</v>
      </c>
      <c r="F487" s="5" t="s">
        <v>1236</v>
      </c>
      <c r="G487" s="5" t="s">
        <v>152</v>
      </c>
      <c r="H487" s="5" t="s">
        <v>1237</v>
      </c>
      <c r="I487" s="5" t="s">
        <v>1463</v>
      </c>
      <c r="J487" s="5" t="s">
        <v>1464</v>
      </c>
      <c r="K487" s="7" t="str">
        <f ca="1">IFERROR(__xludf.DUMMYFUNCTION("GOOGLETRANSLATE(H487,""EN"",""ES"")"),"BAÚLES,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7" s="5" t="str">
        <f ca="1">IFERROR(__xludf.DUMMYFUNCTION("GOOGLETRANSLATE(J487,""EN"",""ES"")"),"Estuches para discos de computadora")</f>
        <v>Estuches para discos de computadora</v>
      </c>
      <c r="M487" s="8" t="s">
        <v>6</v>
      </c>
      <c r="N487" s="8" t="s">
        <v>6</v>
      </c>
    </row>
    <row r="488" spans="1:14" ht="11.25" customHeight="1">
      <c r="A488" s="5" t="s">
        <v>1232</v>
      </c>
      <c r="B488" s="5" t="s">
        <v>1233</v>
      </c>
      <c r="C488" s="5" t="s">
        <v>1465</v>
      </c>
      <c r="D488" s="5" t="s">
        <v>1235</v>
      </c>
      <c r="E488" s="5" t="s">
        <v>10</v>
      </c>
      <c r="F488" s="5" t="s">
        <v>1236</v>
      </c>
      <c r="G488" s="5" t="s">
        <v>152</v>
      </c>
      <c r="H488" s="5" t="s">
        <v>1237</v>
      </c>
      <c r="I488" s="5" t="s">
        <v>1466</v>
      </c>
      <c r="J488" s="5" t="s">
        <v>1467</v>
      </c>
      <c r="K488" s="7" t="str">
        <f ca="1">IFERROR(__xludf.DUMMYFUNCTION("GOOGLETRANSLATE(H488,""EN"",""ES"")"),"BAÚLES,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8" s="5" t="str">
        <f ca="1">IFERROR(__xludf.DUMMYFUNCTION("GOOGLETRANSLATE(J488,""EN"",""ES"")"),"Estuches para lentes de contacto")</f>
        <v>Estuches para lentes de contacto</v>
      </c>
      <c r="M488" s="8" t="s">
        <v>6</v>
      </c>
      <c r="N488" s="8" t="s">
        <v>6</v>
      </c>
    </row>
    <row r="489" spans="1:14" ht="11.25" customHeight="1">
      <c r="A489" s="5" t="s">
        <v>1232</v>
      </c>
      <c r="B489" s="5" t="s">
        <v>1233</v>
      </c>
      <c r="C489" s="5" t="s">
        <v>1468</v>
      </c>
      <c r="D489" s="5" t="s">
        <v>1235</v>
      </c>
      <c r="E489" s="5" t="s">
        <v>10</v>
      </c>
      <c r="F489" s="5" t="s">
        <v>1236</v>
      </c>
      <c r="G489" s="5" t="s">
        <v>152</v>
      </c>
      <c r="H489" s="5" t="s">
        <v>1237</v>
      </c>
      <c r="I489" s="5" t="s">
        <v>1469</v>
      </c>
      <c r="J489" s="5" t="s">
        <v>1470</v>
      </c>
      <c r="K489" s="7" t="str">
        <f ca="1">IFERROR(__xludf.DUMMYFUNCTION("GOOGLETRANSLATE(H489,""EN"",""ES"")"),"BAÚLES,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89" s="5" t="str">
        <f ca="1">IFERROR(__xludf.DUMMYFUNCTION("GOOGLETRANSLATE(J489,""EN"",""ES"")"),"Estuches para radios")</f>
        <v>Estuches para radios</v>
      </c>
      <c r="M489" s="8" t="s">
        <v>6</v>
      </c>
      <c r="N489" s="8" t="s">
        <v>6</v>
      </c>
    </row>
    <row r="490" spans="1:14" ht="11.25" customHeight="1">
      <c r="A490" s="5" t="s">
        <v>1232</v>
      </c>
      <c r="B490" s="5" t="s">
        <v>1233</v>
      </c>
      <c r="C490" s="5" t="s">
        <v>1471</v>
      </c>
      <c r="D490" s="5" t="s">
        <v>1235</v>
      </c>
      <c r="E490" s="5" t="s">
        <v>10</v>
      </c>
      <c r="F490" s="5" t="s">
        <v>1236</v>
      </c>
      <c r="G490" s="5" t="s">
        <v>152</v>
      </c>
      <c r="H490" s="5" t="s">
        <v>1237</v>
      </c>
      <c r="I490" s="5" t="s">
        <v>1472</v>
      </c>
      <c r="J490" s="5" t="s">
        <v>1473</v>
      </c>
      <c r="K490" s="7" t="str">
        <f ca="1">IFERROR(__xludf.DUMMYFUNCTION("GOOGLETRANSLATE(H490,""EN"",""ES"")"),"BAÚLES,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0" s="5" t="str">
        <f ca="1">IFERROR(__xludf.DUMMYFUNCTION("GOOGLETRANSLATE(J490,""EN"",""ES"")"),"Estuches para esquís [bolsas]")</f>
        <v>Estuches para esquís [bolsas]</v>
      </c>
      <c r="M490" s="8" t="s">
        <v>6</v>
      </c>
      <c r="N490" s="8" t="s">
        <v>6</v>
      </c>
    </row>
    <row r="491" spans="1:14" ht="11.25" customHeight="1">
      <c r="A491" s="5" t="s">
        <v>1232</v>
      </c>
      <c r="B491" s="5" t="s">
        <v>1233</v>
      </c>
      <c r="C491" s="5" t="s">
        <v>1474</v>
      </c>
      <c r="D491" s="5" t="s">
        <v>1235</v>
      </c>
      <c r="E491" s="5" t="s">
        <v>10</v>
      </c>
      <c r="F491" s="5" t="s">
        <v>1236</v>
      </c>
      <c r="G491" s="5" t="s">
        <v>152</v>
      </c>
      <c r="H491" s="5" t="s">
        <v>1237</v>
      </c>
      <c r="I491" s="5" t="s">
        <v>1475</v>
      </c>
      <c r="J491" s="5" t="s">
        <v>1476</v>
      </c>
      <c r="K491" s="7" t="str">
        <f ca="1">IFERROR(__xludf.DUMMYFUNCTION("GOOGLETRANSLATE(H491,""EN"",""ES"")"),"BAÚLES,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1" s="5" t="str">
        <f ca="1">IFERROR(__xludf.DUMMYFUNCTION("GOOGLETRANSLATE(J491,""EN"",""ES"")"),"Estuches para maquinillas de afeitar o afeitadoras")</f>
        <v>Estuches para maquinillas de afeitar o afeitadoras</v>
      </c>
      <c r="M491" s="8" t="s">
        <v>6</v>
      </c>
      <c r="N491" s="8" t="s">
        <v>6</v>
      </c>
    </row>
    <row r="492" spans="1:14" ht="11.25" customHeight="1">
      <c r="A492" s="5" t="s">
        <v>1232</v>
      </c>
      <c r="B492" s="5" t="s">
        <v>1233</v>
      </c>
      <c r="C492" s="5" t="s">
        <v>1474</v>
      </c>
      <c r="D492" s="5" t="s">
        <v>1235</v>
      </c>
      <c r="E492" s="5" t="s">
        <v>10</v>
      </c>
      <c r="F492" s="5" t="s">
        <v>1236</v>
      </c>
      <c r="G492" s="5" t="s">
        <v>152</v>
      </c>
      <c r="H492" s="5" t="s">
        <v>1237</v>
      </c>
      <c r="I492" s="5" t="s">
        <v>1477</v>
      </c>
      <c r="J492" s="5" t="s">
        <v>152</v>
      </c>
      <c r="K492" s="7" t="str">
        <f ca="1">IFERROR(__xludf.DUMMYFUNCTION("GOOGLETRANSLATE(H492,""EN"",""ES"")"),"BAÚLES,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2" s="5" t="str">
        <f ca="1">IFERROR(__xludf.DUMMYFUNCTION("GOOGLETRANSLATE(J492,""EN"",""ES"")"),"Estuches de afeitar")</f>
        <v>Estuches de afeitar</v>
      </c>
      <c r="M492" s="8" t="s">
        <v>6</v>
      </c>
      <c r="N492" s="8" t="s">
        <v>6</v>
      </c>
    </row>
    <row r="493" spans="1:14" ht="11.25" customHeight="1">
      <c r="A493" s="5" t="s">
        <v>1232</v>
      </c>
      <c r="B493" s="5" t="s">
        <v>1233</v>
      </c>
      <c r="C493" s="5" t="s">
        <v>1474</v>
      </c>
      <c r="D493" s="5" t="s">
        <v>1235</v>
      </c>
      <c r="E493" s="5" t="s">
        <v>10</v>
      </c>
      <c r="F493" s="5" t="s">
        <v>1236</v>
      </c>
      <c r="G493" s="5" t="s">
        <v>152</v>
      </c>
      <c r="H493" s="5" t="s">
        <v>1237</v>
      </c>
      <c r="I493" s="5" t="s">
        <v>1478</v>
      </c>
      <c r="J493" s="5" t="s">
        <v>152</v>
      </c>
      <c r="K493" s="7" t="str">
        <f ca="1">IFERROR(__xludf.DUMMYFUNCTION("GOOGLETRANSLATE(H493,""EN"",""ES"")"),"BAÚLES,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3" s="5" t="str">
        <f ca="1">IFERROR(__xludf.DUMMYFUNCTION("GOOGLETRANSLATE(J493,""EN"",""ES"")"),"Estuches para afeitadoras")</f>
        <v>Estuches para afeitadoras</v>
      </c>
      <c r="M493" s="8" t="s">
        <v>6</v>
      </c>
      <c r="N493" s="8" t="s">
        <v>6</v>
      </c>
    </row>
    <row r="494" spans="1:14" ht="11.25" customHeight="1">
      <c r="A494" s="5" t="s">
        <v>1232</v>
      </c>
      <c r="B494" s="5" t="s">
        <v>1233</v>
      </c>
      <c r="C494" s="5" t="s">
        <v>1479</v>
      </c>
      <c r="D494" s="5" t="s">
        <v>1235</v>
      </c>
      <c r="E494" s="5" t="s">
        <v>10</v>
      </c>
      <c r="F494" s="5" t="s">
        <v>1236</v>
      </c>
      <c r="G494" s="5" t="s">
        <v>152</v>
      </c>
      <c r="H494" s="5" t="s">
        <v>1237</v>
      </c>
      <c r="I494" s="5" t="s">
        <v>1480</v>
      </c>
      <c r="J494" s="5" t="s">
        <v>1481</v>
      </c>
      <c r="K494" s="7" t="str">
        <f ca="1">IFERROR(__xludf.DUMMYFUNCTION("GOOGLETRANSLATE(H494,""EN"",""ES"")"),"BAÚLES,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4" s="5" t="str">
        <f ca="1">IFERROR(__xludf.DUMMYFUNCTION("GOOGLETRANSLATE(J494,""EN"",""ES"")"),"Cinturones de herramientas")</f>
        <v>Cinturones de herramientas</v>
      </c>
      <c r="M494" s="8" t="s">
        <v>6</v>
      </c>
      <c r="N494" s="8" t="s">
        <v>6</v>
      </c>
    </row>
    <row r="495" spans="1:14" ht="11.25" customHeight="1">
      <c r="A495" s="5" t="s">
        <v>1232</v>
      </c>
      <c r="B495" s="5" t="s">
        <v>1233</v>
      </c>
      <c r="C495" s="5" t="s">
        <v>1482</v>
      </c>
      <c r="D495" s="5" t="s">
        <v>1235</v>
      </c>
      <c r="E495" s="5" t="s">
        <v>10</v>
      </c>
      <c r="F495" s="5" t="s">
        <v>1236</v>
      </c>
      <c r="G495" s="5" t="s">
        <v>152</v>
      </c>
      <c r="H495" s="5" t="s">
        <v>1237</v>
      </c>
      <c r="I495" s="5" t="s">
        <v>1483</v>
      </c>
      <c r="J495" s="5" t="s">
        <v>1484</v>
      </c>
      <c r="K495" s="7" t="str">
        <f ca="1">IFERROR(__xludf.DUMMYFUNCTION("GOOGLETRANSLATE(H495,""EN"",""ES"")"),"BAÚLES,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5" s="5" t="str">
        <f ca="1">IFERROR(__xludf.DUMMYFUNCTION("GOOGLETRANSLATE(J495,""EN"",""ES"")"),"Estuches para material de vendaje [excepto embalaje]")</f>
        <v>Estuches para material de vendaje [excepto embalaje]</v>
      </c>
      <c r="M495" s="8" t="s">
        <v>6</v>
      </c>
      <c r="N495" s="8" t="s">
        <v>6</v>
      </c>
    </row>
    <row r="496" spans="1:14" ht="11.25" customHeight="1">
      <c r="A496" s="5" t="s">
        <v>1232</v>
      </c>
      <c r="B496" s="5" t="s">
        <v>1233</v>
      </c>
      <c r="C496" s="5" t="s">
        <v>1485</v>
      </c>
      <c r="D496" s="5" t="s">
        <v>1235</v>
      </c>
      <c r="E496" s="5" t="s">
        <v>10</v>
      </c>
      <c r="F496" s="5" t="s">
        <v>1236</v>
      </c>
      <c r="G496" s="5" t="s">
        <v>152</v>
      </c>
      <c r="H496" s="5" t="s">
        <v>1237</v>
      </c>
      <c r="I496" s="5" t="s">
        <v>1486</v>
      </c>
      <c r="J496" s="5" t="s">
        <v>1487</v>
      </c>
      <c r="K496" s="7" t="str">
        <f ca="1">IFERROR(__xludf.DUMMYFUNCTION("GOOGLETRANSLATE(H496,""EN"",""ES"")"),"BAÚLES,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6" s="5" t="str">
        <f ca="1">IFERROR(__xludf.DUMMYFUNCTION("GOOGLETRANSLATE(J496,""EN"",""ES"")"),"Estuches para pinceles")</f>
        <v>Estuches para pinceles</v>
      </c>
      <c r="M496" s="8" t="s">
        <v>6</v>
      </c>
      <c r="N496" s="8" t="s">
        <v>6</v>
      </c>
    </row>
    <row r="497" spans="1:14" ht="11.25" customHeight="1">
      <c r="A497" s="5" t="s">
        <v>1232</v>
      </c>
      <c r="B497" s="5" t="s">
        <v>1233</v>
      </c>
      <c r="C497" s="5" t="s">
        <v>1488</v>
      </c>
      <c r="D497" s="5" t="s">
        <v>1235</v>
      </c>
      <c r="E497" s="5" t="s">
        <v>10</v>
      </c>
      <c r="F497" s="5" t="s">
        <v>1236</v>
      </c>
      <c r="G497" s="5" t="s">
        <v>152</v>
      </c>
      <c r="H497" s="5" t="s">
        <v>1237</v>
      </c>
      <c r="I497" s="5" t="s">
        <v>1489</v>
      </c>
      <c r="J497" s="5" t="s">
        <v>1490</v>
      </c>
      <c r="K497" s="7" t="str">
        <f ca="1">IFERROR(__xludf.DUMMYFUNCTION("GOOGLETRANSLATE(H497,""EN"",""ES"")"),"BAÚLES,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7" s="5" t="str">
        <f ca="1">IFERROR(__xludf.DUMMYFUNCTION("GOOGLETRANSLATE(J497,""EN"",""ES"")"),"Pastilleros")</f>
        <v>Pastilleros</v>
      </c>
      <c r="M497" s="8" t="s">
        <v>6</v>
      </c>
      <c r="N497" s="8" t="s">
        <v>6</v>
      </c>
    </row>
    <row r="498" spans="1:14" ht="11.25" customHeight="1">
      <c r="A498" s="5" t="s">
        <v>1232</v>
      </c>
      <c r="B498" s="5" t="s">
        <v>1233</v>
      </c>
      <c r="C498" s="5" t="s">
        <v>1491</v>
      </c>
      <c r="D498" s="5" t="s">
        <v>1235</v>
      </c>
      <c r="E498" s="5" t="s">
        <v>10</v>
      </c>
      <c r="F498" s="5" t="s">
        <v>1236</v>
      </c>
      <c r="G498" s="5" t="s">
        <v>152</v>
      </c>
      <c r="H498" s="5" t="s">
        <v>1237</v>
      </c>
      <c r="I498" s="5" t="s">
        <v>1492</v>
      </c>
      <c r="J498" s="5" t="s">
        <v>1493</v>
      </c>
      <c r="K498" s="7" t="str">
        <f ca="1">IFERROR(__xludf.DUMMYFUNCTION("GOOGLETRANSLATE(H498,""EN"",""ES"")"),"BAÚLES,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8" s="5" t="str">
        <f ca="1">IFERROR(__xludf.DUMMYFUNCTION("GOOGLETRANSLATE(J498,""EN"",""ES"")"),"Correas para bolsos")</f>
        <v>Correas para bolsos</v>
      </c>
      <c r="M498" s="8" t="s">
        <v>6</v>
      </c>
      <c r="N498" s="8" t="s">
        <v>6</v>
      </c>
    </row>
    <row r="499" spans="1:14" ht="11.25" customHeight="1">
      <c r="A499" s="5" t="s">
        <v>1232</v>
      </c>
      <c r="B499" s="5" t="s">
        <v>1233</v>
      </c>
      <c r="C499" s="5" t="s">
        <v>1494</v>
      </c>
      <c r="D499" s="5" t="s">
        <v>1235</v>
      </c>
      <c r="E499" s="5" t="s">
        <v>10</v>
      </c>
      <c r="F499" s="5" t="s">
        <v>1236</v>
      </c>
      <c r="G499" s="5" t="s">
        <v>152</v>
      </c>
      <c r="H499" s="5" t="s">
        <v>1237</v>
      </c>
      <c r="I499" s="5" t="s">
        <v>1495</v>
      </c>
      <c r="J499" s="5" t="s">
        <v>1496</v>
      </c>
      <c r="K499" s="7" t="str">
        <f ca="1">IFERROR(__xludf.DUMMYFUNCTION("GOOGLETRANSLATE(H499,""EN"",""ES"")"),"BAÚLES,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499" s="5" t="str">
        <f ca="1">IFERROR(__xludf.DUMMYFUNCTION("GOOGLETRANSLATE(J499,""EN"",""ES"")"),"Correas de hombro para mochilas")</f>
        <v>Correas de hombro para mochilas</v>
      </c>
      <c r="M499" s="8" t="s">
        <v>6</v>
      </c>
      <c r="N499" s="8" t="s">
        <v>6</v>
      </c>
    </row>
    <row r="500" spans="1:14" ht="11.25" customHeight="1">
      <c r="A500" s="5" t="s">
        <v>1232</v>
      </c>
      <c r="B500" s="5" t="s">
        <v>1233</v>
      </c>
      <c r="C500" s="5" t="s">
        <v>1494</v>
      </c>
      <c r="D500" s="5" t="s">
        <v>1235</v>
      </c>
      <c r="E500" s="5" t="s">
        <v>10</v>
      </c>
      <c r="F500" s="5" t="s">
        <v>1236</v>
      </c>
      <c r="G500" s="5" t="s">
        <v>152</v>
      </c>
      <c r="H500" s="5" t="s">
        <v>1237</v>
      </c>
      <c r="I500" s="5" t="s">
        <v>1497</v>
      </c>
      <c r="J500" s="5" t="s">
        <v>1498</v>
      </c>
      <c r="K500" s="7" t="str">
        <f ca="1">IFERROR(__xludf.DUMMYFUNCTION("GOOGLETRANSLATE(H500,""EN"",""ES"")"),"BAÚLES,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0" s="5" t="str">
        <f ca="1">IFERROR(__xludf.DUMMYFUNCTION("GOOGLETRANSLATE(J500,""EN"",""ES"")"),"Correas para hombros para mochilas")</f>
        <v>Correas para hombros para mochilas</v>
      </c>
      <c r="M500" s="8" t="s">
        <v>6</v>
      </c>
      <c r="N500" s="8" t="s">
        <v>6</v>
      </c>
    </row>
    <row r="501" spans="1:14" ht="11.25" customHeight="1">
      <c r="A501" s="5" t="s">
        <v>1232</v>
      </c>
      <c r="B501" s="5" t="s">
        <v>1233</v>
      </c>
      <c r="C501" s="5" t="s">
        <v>1499</v>
      </c>
      <c r="D501" s="5" t="s">
        <v>1235</v>
      </c>
      <c r="E501" s="5" t="s">
        <v>10</v>
      </c>
      <c r="F501" s="5" t="s">
        <v>1236</v>
      </c>
      <c r="G501" s="5" t="s">
        <v>152</v>
      </c>
      <c r="H501" s="5" t="s">
        <v>1237</v>
      </c>
      <c r="I501" s="5" t="s">
        <v>1500</v>
      </c>
      <c r="J501" s="5" t="s">
        <v>1501</v>
      </c>
      <c r="K501" s="7" t="str">
        <f ca="1">IFERROR(__xludf.DUMMYFUNCTION("GOOGLETRANSLATE(H501,""EN"",""ES"")"),"BAÚLES,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1" s="5" t="str">
        <f ca="1">IFERROR(__xludf.DUMMYFUNCTION("GOOGLETRANSLATE(J501,""EN"",""ES"")"),"Marcos de mochila")</f>
        <v>Marcos de mochila</v>
      </c>
      <c r="M501" s="8" t="s">
        <v>6</v>
      </c>
      <c r="N501" s="8" t="s">
        <v>6</v>
      </c>
    </row>
    <row r="502" spans="1:14" ht="11.25" customHeight="1">
      <c r="A502" s="5" t="s">
        <v>1232</v>
      </c>
      <c r="B502" s="5" t="s">
        <v>1233</v>
      </c>
      <c r="C502" s="5" t="s">
        <v>1499</v>
      </c>
      <c r="D502" s="5" t="s">
        <v>1235</v>
      </c>
      <c r="E502" s="5" t="s">
        <v>10</v>
      </c>
      <c r="F502" s="5" t="s">
        <v>1236</v>
      </c>
      <c r="G502" s="5" t="s">
        <v>152</v>
      </c>
      <c r="H502" s="5" t="s">
        <v>1237</v>
      </c>
      <c r="I502" s="5" t="s">
        <v>1502</v>
      </c>
      <c r="J502" s="5" t="s">
        <v>152</v>
      </c>
      <c r="K502" s="7" t="str">
        <f ca="1">IFERROR(__xludf.DUMMYFUNCTION("GOOGLETRANSLATE(H502,""EN"",""ES"")"),"BAÚLES,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2" s="5" t="str">
        <f ca="1">IFERROR(__xludf.DUMMYFUNCTION("GOOGLETRANSLATE(J502,""EN"",""ES"")"),"Marcos de mochila")</f>
        <v>Marcos de mochila</v>
      </c>
      <c r="M502" s="8" t="s">
        <v>6</v>
      </c>
      <c r="N502" s="8" t="s">
        <v>6</v>
      </c>
    </row>
    <row r="503" spans="1:14" ht="11.25" customHeight="1">
      <c r="A503" s="5" t="s">
        <v>1232</v>
      </c>
      <c r="B503" s="5" t="s">
        <v>1233</v>
      </c>
      <c r="C503" s="5" t="s">
        <v>1503</v>
      </c>
      <c r="D503" s="5" t="s">
        <v>1235</v>
      </c>
      <c r="E503" s="5" t="s">
        <v>10</v>
      </c>
      <c r="F503" s="5" t="s">
        <v>1236</v>
      </c>
      <c r="G503" s="5" t="s">
        <v>152</v>
      </c>
      <c r="H503" s="5" t="s">
        <v>1237</v>
      </c>
      <c r="I503" s="5" t="s">
        <v>1504</v>
      </c>
      <c r="J503" s="5" t="s">
        <v>1505</v>
      </c>
      <c r="K503" s="7" t="str">
        <f ca="1">IFERROR(__xludf.DUMMYFUNCTION("GOOGLETRANSLATE(H503,""EN"",""ES"")"),"BAÚLES,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3" s="5" t="str">
        <f ca="1">IFERROR(__xludf.DUMMYFUNCTION("GOOGLETRANSLATE(J503,""EN"",""ES"")"),"Estuches para tarjetas")</f>
        <v>Estuches para tarjetas</v>
      </c>
      <c r="M503" s="8" t="s">
        <v>6</v>
      </c>
      <c r="N503" s="8" t="s">
        <v>6</v>
      </c>
    </row>
    <row r="504" spans="1:14" ht="11.25" customHeight="1">
      <c r="A504" s="5" t="s">
        <v>1232</v>
      </c>
      <c r="B504" s="5" t="s">
        <v>1233</v>
      </c>
      <c r="C504" s="5" t="s">
        <v>1506</v>
      </c>
      <c r="D504" s="5" t="s">
        <v>1235</v>
      </c>
      <c r="E504" s="5" t="s">
        <v>10</v>
      </c>
      <c r="F504" s="5" t="s">
        <v>1236</v>
      </c>
      <c r="G504" s="5" t="s">
        <v>152</v>
      </c>
      <c r="H504" s="5" t="s">
        <v>1237</v>
      </c>
      <c r="I504" s="5" t="s">
        <v>1507</v>
      </c>
      <c r="J504" s="5" t="s">
        <v>1508</v>
      </c>
      <c r="K504" s="7" t="str">
        <f ca="1">IFERROR(__xludf.DUMMYFUNCTION("GOOGLETRANSLATE(H504,""EN"",""ES"")"),"BAÚLES,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4" s="5" t="str">
        <f ca="1">IFERROR(__xludf.DUMMYFUNCTION("GOOGLETRANSLATE(J504,""EN"",""ES"")"),"Bolsas de cinturón")</f>
        <v>Bolsas de cinturón</v>
      </c>
      <c r="M504" s="8" t="s">
        <v>6</v>
      </c>
      <c r="N504" s="8" t="s">
        <v>6</v>
      </c>
    </row>
    <row r="505" spans="1:14" ht="11.25" customHeight="1">
      <c r="A505" s="5" t="s">
        <v>1232</v>
      </c>
      <c r="B505" s="5" t="s">
        <v>1233</v>
      </c>
      <c r="C505" s="5" t="s">
        <v>1509</v>
      </c>
      <c r="D505" s="5" t="s">
        <v>1235</v>
      </c>
      <c r="E505" s="5" t="s">
        <v>10</v>
      </c>
      <c r="F505" s="5" t="s">
        <v>1236</v>
      </c>
      <c r="G505" s="5" t="s">
        <v>152</v>
      </c>
      <c r="H505" s="5" t="s">
        <v>1237</v>
      </c>
      <c r="I505" s="5" t="s">
        <v>1510</v>
      </c>
      <c r="J505" s="5" t="s">
        <v>1511</v>
      </c>
      <c r="K505" s="7" t="str">
        <f ca="1">IFERROR(__xludf.DUMMYFUNCTION("GOOGLETRANSLATE(H505,""EN"",""ES"")"),"BAÚLES,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5" s="5" t="str">
        <f ca="1">IFERROR(__xludf.DUMMYFUNCTION("GOOGLETRANSLATE(J505,""EN"",""ES"")"),"Bolsas de deporte")</f>
        <v>Bolsas de deporte</v>
      </c>
      <c r="M505" s="8" t="s">
        <v>6</v>
      </c>
      <c r="N505" s="8" t="s">
        <v>6</v>
      </c>
    </row>
    <row r="506" spans="1:14" ht="11.25" customHeight="1">
      <c r="A506" s="5" t="s">
        <v>1232</v>
      </c>
      <c r="B506" s="5" t="s">
        <v>1233</v>
      </c>
      <c r="C506" s="5" t="s">
        <v>1512</v>
      </c>
      <c r="D506" s="5" t="s">
        <v>1235</v>
      </c>
      <c r="E506" s="5" t="s">
        <v>10</v>
      </c>
      <c r="F506" s="5" t="s">
        <v>1236</v>
      </c>
      <c r="G506" s="5" t="s">
        <v>152</v>
      </c>
      <c r="H506" s="5" t="s">
        <v>1237</v>
      </c>
      <c r="I506" s="5" t="s">
        <v>1513</v>
      </c>
      <c r="J506" s="5" t="s">
        <v>1514</v>
      </c>
      <c r="K506" s="7" t="str">
        <f ca="1">IFERROR(__xludf.DUMMYFUNCTION("GOOGLETRANSLATE(H506,""EN"",""ES"")"),"BAÚLES,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6" s="5" t="str">
        <f ca="1">IFERROR(__xludf.DUMMYFUNCTION("GOOGLETRANSLATE(J506,""EN"",""ES"")"),"Alforjas para bicicletas y motos [bolsas]")</f>
        <v>Alforjas para bicicletas y motos [bolsas]</v>
      </c>
      <c r="M506" s="8" t="s">
        <v>6</v>
      </c>
      <c r="N506" s="8" t="s">
        <v>6</v>
      </c>
    </row>
    <row r="507" spans="1:14" ht="11.25" customHeight="1">
      <c r="A507" s="5" t="s">
        <v>1232</v>
      </c>
      <c r="B507" s="5" t="s">
        <v>1233</v>
      </c>
      <c r="C507" s="5" t="s">
        <v>1515</v>
      </c>
      <c r="D507" s="5" t="s">
        <v>1235</v>
      </c>
      <c r="E507" s="5" t="s">
        <v>10</v>
      </c>
      <c r="F507" s="5" t="s">
        <v>1236</v>
      </c>
      <c r="G507" s="5" t="s">
        <v>152</v>
      </c>
      <c r="H507" s="5" t="s">
        <v>1237</v>
      </c>
      <c r="I507" s="5" t="s">
        <v>1516</v>
      </c>
      <c r="J507" s="5" t="s">
        <v>1517</v>
      </c>
      <c r="K507" s="7" t="str">
        <f ca="1">IFERROR(__xludf.DUMMYFUNCTION("GOOGLETRANSLATE(H507,""EN"",""ES"")"),"BAÚLES,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7" s="5" t="str">
        <f ca="1">IFERROR(__xludf.DUMMYFUNCTION("GOOGLETRANSLATE(J507,""EN"",""ES"")"),"Estuches para computadoras portátiles")</f>
        <v>Estuches para computadoras portátiles</v>
      </c>
      <c r="M507" s="8" t="s">
        <v>6</v>
      </c>
      <c r="N507" s="8" t="s">
        <v>6</v>
      </c>
    </row>
    <row r="508" spans="1:14" ht="11.25" customHeight="1">
      <c r="A508" s="5" t="s">
        <v>1232</v>
      </c>
      <c r="B508" s="5" t="s">
        <v>1233</v>
      </c>
      <c r="C508" s="5" t="s">
        <v>1518</v>
      </c>
      <c r="D508" s="5" t="s">
        <v>1235</v>
      </c>
      <c r="E508" s="5" t="s">
        <v>10</v>
      </c>
      <c r="F508" s="5" t="s">
        <v>1236</v>
      </c>
      <c r="G508" s="5" t="s">
        <v>152</v>
      </c>
      <c r="H508" s="5" t="s">
        <v>1237</v>
      </c>
      <c r="I508" s="5" t="s">
        <v>1519</v>
      </c>
      <c r="J508" s="5" t="s">
        <v>1520</v>
      </c>
      <c r="K508" s="7" t="str">
        <f ca="1">IFERROR(__xludf.DUMMYFUNCTION("GOOGLETRANSLATE(H508,""EN"",""ES"")"),"BAÚLES,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8" s="5" t="str">
        <f ca="1">IFERROR(__xludf.DUMMYFUNCTION("GOOGLETRANSLATE(J508,""EN"",""ES"")"),"Maletas para motos")</f>
        <v>Maletas para motos</v>
      </c>
      <c r="M508" s="8" t="s">
        <v>6</v>
      </c>
      <c r="N508" s="8" t="s">
        <v>6</v>
      </c>
    </row>
    <row r="509" spans="1:14" ht="11.25" customHeight="1">
      <c r="A509" s="5" t="s">
        <v>1232</v>
      </c>
      <c r="B509" s="5" t="s">
        <v>1233</v>
      </c>
      <c r="C509" s="5" t="s">
        <v>1521</v>
      </c>
      <c r="D509" s="5" t="s">
        <v>1235</v>
      </c>
      <c r="E509" s="5" t="s">
        <v>10</v>
      </c>
      <c r="F509" s="5" t="s">
        <v>1236</v>
      </c>
      <c r="G509" s="5" t="s">
        <v>152</v>
      </c>
      <c r="H509" s="5" t="s">
        <v>1237</v>
      </c>
      <c r="I509" s="5" t="s">
        <v>1522</v>
      </c>
      <c r="J509" s="5" t="s">
        <v>1523</v>
      </c>
      <c r="K509" s="7" t="str">
        <f ca="1">IFERROR(__xludf.DUMMYFUNCTION("GOOGLETRANSLATE(H509,""EN"",""ES"")"),"BAÚLES,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09" s="5" t="str">
        <f ca="1">IFERROR(__xludf.DUMMYFUNCTION("GOOGLETRANSLATE(J509,""EN"",""ES"")"),"Fundas para herramientas de jardinería.")</f>
        <v>Fundas para herramientas de jardinería.</v>
      </c>
      <c r="M509" s="8" t="s">
        <v>6</v>
      </c>
      <c r="N509" s="8" t="s">
        <v>6</v>
      </c>
    </row>
    <row r="510" spans="1:14" ht="11.25" customHeight="1">
      <c r="A510" s="5" t="s">
        <v>1232</v>
      </c>
      <c r="B510" s="5" t="s">
        <v>1233</v>
      </c>
      <c r="C510" s="5" t="s">
        <v>1524</v>
      </c>
      <c r="D510" s="5" t="s">
        <v>1235</v>
      </c>
      <c r="E510" s="5" t="s">
        <v>10</v>
      </c>
      <c r="F510" s="5" t="s">
        <v>1236</v>
      </c>
      <c r="G510" s="5" t="s">
        <v>152</v>
      </c>
      <c r="H510" s="5" t="s">
        <v>1237</v>
      </c>
      <c r="I510" s="5" t="s">
        <v>1525</v>
      </c>
      <c r="J510" s="5" t="s">
        <v>1526</v>
      </c>
      <c r="K510" s="7" t="str">
        <f ca="1">IFERROR(__xludf.DUMMYFUNCTION("GOOGLETRANSLATE(H510,""EN"",""ES"")"),"BAÚLES,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0" s="5" t="str">
        <f ca="1">IFERROR(__xludf.DUMMYFUNCTION("GOOGLETRANSLATE(J510,""EN"",""ES"")"),"Bolsas para almacenamiento de abetos.")</f>
        <v>Bolsas para almacenamiento de abetos.</v>
      </c>
      <c r="M510" s="8" t="s">
        <v>6</v>
      </c>
      <c r="N510" s="8" t="s">
        <v>6</v>
      </c>
    </row>
    <row r="511" spans="1:14" ht="11.25" customHeight="1">
      <c r="A511" s="5" t="s">
        <v>1232</v>
      </c>
      <c r="B511" s="5" t="s">
        <v>1233</v>
      </c>
      <c r="C511" s="5" t="s">
        <v>1527</v>
      </c>
      <c r="D511" s="5" t="s">
        <v>1235</v>
      </c>
      <c r="E511" s="5" t="s">
        <v>10</v>
      </c>
      <c r="F511" s="5" t="s">
        <v>1236</v>
      </c>
      <c r="G511" s="5" t="s">
        <v>152</v>
      </c>
      <c r="H511" s="5" t="s">
        <v>1237</v>
      </c>
      <c r="I511" s="5" t="s">
        <v>1528</v>
      </c>
      <c r="J511" s="5" t="s">
        <v>1529</v>
      </c>
      <c r="K511" s="7" t="str">
        <f ca="1">IFERROR(__xludf.DUMMYFUNCTION("GOOGLETRANSLATE(H511,""EN"",""ES"")"),"BAÚLES,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1" s="5" t="str">
        <f ca="1">IFERROR(__xludf.DUMMYFUNCTION("GOOGLETRANSLATE(J511,""EN"",""ES"")"),"Bolsas protectoras para radios de coche.")</f>
        <v>Bolsas protectoras para radios de coche.</v>
      </c>
      <c r="M511" s="8" t="s">
        <v>6</v>
      </c>
      <c r="N511" s="8" t="s">
        <v>6</v>
      </c>
    </row>
    <row r="512" spans="1:14" ht="11.25" customHeight="1">
      <c r="A512" s="5" t="s">
        <v>1232</v>
      </c>
      <c r="B512" s="5" t="s">
        <v>1233</v>
      </c>
      <c r="C512" s="5" t="s">
        <v>1530</v>
      </c>
      <c r="D512" s="5" t="s">
        <v>1235</v>
      </c>
      <c r="E512" s="5" t="s">
        <v>10</v>
      </c>
      <c r="F512" s="5" t="s">
        <v>1236</v>
      </c>
      <c r="G512" s="5" t="s">
        <v>152</v>
      </c>
      <c r="H512" s="5" t="s">
        <v>1237</v>
      </c>
      <c r="I512" s="5" t="s">
        <v>1531</v>
      </c>
      <c r="J512" s="5" t="s">
        <v>1532</v>
      </c>
      <c r="K512" s="7" t="str">
        <f ca="1">IFERROR(__xludf.DUMMYFUNCTION("GOOGLETRANSLATE(H512,""EN"",""ES"")"),"BAÚLES,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2" s="5" t="str">
        <f ca="1">IFERROR(__xludf.DUMMYFUNCTION("GOOGLETRANSLATE(J512,""EN"",""ES"")"),"Estuches para organizadores electrónicos")</f>
        <v>Estuches para organizadores electrónicos</v>
      </c>
      <c r="M512" s="8" t="s">
        <v>6</v>
      </c>
      <c r="N512" s="8" t="s">
        <v>6</v>
      </c>
    </row>
    <row r="513" spans="1:14" ht="11.25" customHeight="1">
      <c r="A513" s="5" t="s">
        <v>1232</v>
      </c>
      <c r="B513" s="5" t="s">
        <v>1233</v>
      </c>
      <c r="C513" s="5" t="s">
        <v>1533</v>
      </c>
      <c r="D513" s="5" t="s">
        <v>1235</v>
      </c>
      <c r="E513" s="5" t="s">
        <v>10</v>
      </c>
      <c r="F513" s="5" t="s">
        <v>1236</v>
      </c>
      <c r="G513" s="5" t="s">
        <v>152</v>
      </c>
      <c r="H513" s="5" t="s">
        <v>1237</v>
      </c>
      <c r="I513" s="5" t="s">
        <v>1534</v>
      </c>
      <c r="J513" s="5" t="s">
        <v>1535</v>
      </c>
      <c r="K513" s="7" t="str">
        <f ca="1">IFERROR(__xludf.DUMMYFUNCTION("GOOGLETRANSLATE(H513,""EN"",""ES"")"),"BAÚLES,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3" s="5" t="str">
        <f ca="1">IFERROR(__xludf.DUMMYFUNCTION("GOOGLETRANSLATE(J513,""EN"",""ES"")"),"Fundas para teléfonos móviles")</f>
        <v>Fundas para teléfonos móviles</v>
      </c>
      <c r="M513" s="8" t="s">
        <v>6</v>
      </c>
      <c r="N513" s="8" t="s">
        <v>6</v>
      </c>
    </row>
    <row r="514" spans="1:14" ht="11.25" customHeight="1">
      <c r="A514" s="5" t="s">
        <v>1232</v>
      </c>
      <c r="B514" s="5" t="s">
        <v>1233</v>
      </c>
      <c r="C514" s="5" t="s">
        <v>1536</v>
      </c>
      <c r="D514" s="5" t="s">
        <v>1235</v>
      </c>
      <c r="E514" s="5" t="s">
        <v>10</v>
      </c>
      <c r="F514" s="5" t="s">
        <v>1236</v>
      </c>
      <c r="G514" s="5" t="s">
        <v>152</v>
      </c>
      <c r="H514" s="5" t="s">
        <v>1237</v>
      </c>
      <c r="I514" s="5" t="s">
        <v>1537</v>
      </c>
      <c r="J514" s="5" t="s">
        <v>1538</v>
      </c>
      <c r="K514" s="7" t="str">
        <f ca="1">IFERROR(__xludf.DUMMYFUNCTION("GOOGLETRANSLATE(H514,""EN"",""ES"")"),"BAÚLES,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4" s="5" t="str">
        <f ca="1">IFERROR(__xludf.DUMMYFUNCTION("GOOGLETRANSLATE(J514,""EN"",""ES"")"),"alcancías")</f>
        <v>alcancías</v>
      </c>
      <c r="M514" s="8" t="s">
        <v>6</v>
      </c>
      <c r="N514" s="8" t="s">
        <v>6</v>
      </c>
    </row>
    <row r="515" spans="1:14" ht="11.25" customHeight="1">
      <c r="A515" s="5" t="s">
        <v>1232</v>
      </c>
      <c r="B515" s="5" t="s">
        <v>1233</v>
      </c>
      <c r="C515" s="5" t="s">
        <v>1536</v>
      </c>
      <c r="D515" s="5" t="s">
        <v>1235</v>
      </c>
      <c r="E515" s="5" t="s">
        <v>10</v>
      </c>
      <c r="F515" s="5" t="s">
        <v>1236</v>
      </c>
      <c r="G515" s="5" t="s">
        <v>152</v>
      </c>
      <c r="H515" s="5" t="s">
        <v>1237</v>
      </c>
      <c r="I515" s="5" t="s">
        <v>1539</v>
      </c>
      <c r="J515" s="5" t="s">
        <v>152</v>
      </c>
      <c r="K515" s="7" t="str">
        <f ca="1">IFERROR(__xludf.DUMMYFUNCTION("GOOGLETRANSLATE(H515,""EN"",""ES"")"),"BAÚLES,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5" s="5" t="str">
        <f ca="1">IFERROR(__xludf.DUMMYFUNCTION("GOOGLETRANSLATE(J515,""EN"",""ES"")"),"Huchas [alcancías]")</f>
        <v>Huchas [alcancías]</v>
      </c>
      <c r="M515" s="8" t="s">
        <v>6</v>
      </c>
      <c r="N515" s="8" t="s">
        <v>6</v>
      </c>
    </row>
    <row r="516" spans="1:14" ht="11.25" customHeight="1">
      <c r="A516" s="5" t="s">
        <v>1232</v>
      </c>
      <c r="B516" s="5" t="s">
        <v>1233</v>
      </c>
      <c r="C516" s="5" t="s">
        <v>1540</v>
      </c>
      <c r="D516" s="5" t="s">
        <v>1235</v>
      </c>
      <c r="E516" s="5" t="s">
        <v>10</v>
      </c>
      <c r="F516" s="5" t="s">
        <v>1236</v>
      </c>
      <c r="G516" s="5" t="s">
        <v>152</v>
      </c>
      <c r="H516" s="5" t="s">
        <v>1237</v>
      </c>
      <c r="I516" s="5" t="s">
        <v>1541</v>
      </c>
      <c r="J516" s="5" t="s">
        <v>1542</v>
      </c>
      <c r="K516" s="7" t="str">
        <f ca="1">IFERROR(__xludf.DUMMYFUNCTION("GOOGLETRANSLATE(H516,""EN"",""ES"")"),"BAÚLES,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6" s="5" t="str">
        <f ca="1">IFERROR(__xludf.DUMMYFUNCTION("GOOGLETRANSLATE(J516,""EN"",""ES"")"),"Brazaletes para teléfonos móviles")</f>
        <v>Brazaletes para teléfonos móviles</v>
      </c>
      <c r="M516" s="8" t="s">
        <v>6</v>
      </c>
      <c r="N516" s="8" t="s">
        <v>6</v>
      </c>
    </row>
    <row r="517" spans="1:14" ht="11.25" customHeight="1">
      <c r="A517" s="5" t="s">
        <v>1232</v>
      </c>
      <c r="B517" s="5" t="s">
        <v>1233</v>
      </c>
      <c r="C517" s="5" t="s">
        <v>1543</v>
      </c>
      <c r="D517" s="5" t="s">
        <v>1235</v>
      </c>
      <c r="E517" s="5" t="s">
        <v>10</v>
      </c>
      <c r="F517" s="5" t="s">
        <v>1236</v>
      </c>
      <c r="G517" s="5" t="s">
        <v>152</v>
      </c>
      <c r="H517" s="5" t="s">
        <v>1237</v>
      </c>
      <c r="I517" s="5" t="s">
        <v>1544</v>
      </c>
      <c r="J517" s="5" t="s">
        <v>1545</v>
      </c>
      <c r="K517" s="7" t="str">
        <f ca="1">IFERROR(__xludf.DUMMYFUNCTION("GOOGLETRANSLATE(H517,""EN"",""ES"")"),"BAÚLES,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7" s="5" t="str">
        <f ca="1">IFERROR(__xludf.DUMMYFUNCTION("GOOGLETRANSLATE(J517,""EN"",""ES"")"),"Fundas de muñeca para teléfonos móviles")</f>
        <v>Fundas de muñeca para teléfonos móviles</v>
      </c>
      <c r="M517" s="8" t="s">
        <v>6</v>
      </c>
      <c r="N517" s="8" t="s">
        <v>6</v>
      </c>
    </row>
    <row r="518" spans="1:14" ht="11.25" customHeight="1">
      <c r="A518" s="5" t="s">
        <v>1232</v>
      </c>
      <c r="B518" s="5" t="s">
        <v>1233</v>
      </c>
      <c r="C518" s="5" t="s">
        <v>1546</v>
      </c>
      <c r="D518" s="5" t="s">
        <v>1235</v>
      </c>
      <c r="E518" s="5" t="s">
        <v>10</v>
      </c>
      <c r="F518" s="5" t="s">
        <v>1236</v>
      </c>
      <c r="G518" s="5" t="s">
        <v>152</v>
      </c>
      <c r="H518" s="5" t="s">
        <v>1237</v>
      </c>
      <c r="I518" s="5" t="s">
        <v>1547</v>
      </c>
      <c r="J518" s="5" t="s">
        <v>1548</v>
      </c>
      <c r="K518" s="7" t="str">
        <f ca="1">IFERROR(__xludf.DUMMYFUNCTION("GOOGLETRANSLATE(H518,""EN"",""ES"")"),"BAÚLES,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8" s="5" t="str">
        <f ca="1">IFERROR(__xludf.DUMMYFUNCTION("GOOGLETRANSLATE(J518,""EN"",""ES"")"),"Estuches para piedras de afilar")</f>
        <v>Estuches para piedras de afilar</v>
      </c>
      <c r="M518" s="8" t="s">
        <v>6</v>
      </c>
      <c r="N518" s="8" t="s">
        <v>6</v>
      </c>
    </row>
    <row r="519" spans="1:14" ht="11.25" customHeight="1">
      <c r="A519" s="5" t="s">
        <v>1232</v>
      </c>
      <c r="B519" s="5" t="s">
        <v>1233</v>
      </c>
      <c r="C519" s="5" t="s">
        <v>1549</v>
      </c>
      <c r="D519" s="5" t="s">
        <v>1235</v>
      </c>
      <c r="E519" s="5" t="s">
        <v>10</v>
      </c>
      <c r="F519" s="5" t="s">
        <v>1236</v>
      </c>
      <c r="G519" s="5" t="s">
        <v>152</v>
      </c>
      <c r="H519" s="5" t="s">
        <v>1237</v>
      </c>
      <c r="I519" s="5" t="s">
        <v>1550</v>
      </c>
      <c r="J519" s="5" t="s">
        <v>1551</v>
      </c>
      <c r="K519" s="7" t="str">
        <f ca="1">IFERROR(__xludf.DUMMYFUNCTION("GOOGLETRANSLATE(H519,""EN"",""ES"")"),"BAÚLES,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19" s="5" t="str">
        <f ca="1">IFERROR(__xludf.DUMMYFUNCTION("GOOGLETRANSLATE(J519,""EN"",""ES"")"),"Cordones para gafas")</f>
        <v>Cordones para gafas</v>
      </c>
      <c r="M519" s="8" t="s">
        <v>6</v>
      </c>
      <c r="N519" s="8" t="s">
        <v>6</v>
      </c>
    </row>
    <row r="520" spans="1:14" ht="11.25" customHeight="1">
      <c r="A520" s="5" t="s">
        <v>1232</v>
      </c>
      <c r="B520" s="5" t="s">
        <v>1233</v>
      </c>
      <c r="C520" s="5" t="s">
        <v>1552</v>
      </c>
      <c r="D520" s="5" t="s">
        <v>1235</v>
      </c>
      <c r="E520" s="5" t="s">
        <v>10</v>
      </c>
      <c r="F520" s="5" t="s">
        <v>1236</v>
      </c>
      <c r="G520" s="5" t="s">
        <v>152</v>
      </c>
      <c r="H520" s="5" t="s">
        <v>1237</v>
      </c>
      <c r="I520" s="5" t="s">
        <v>1553</v>
      </c>
      <c r="J520" s="5" t="s">
        <v>1554</v>
      </c>
      <c r="K520" s="7" t="str">
        <f ca="1">IFERROR(__xludf.DUMMYFUNCTION("GOOGLETRANSLATE(H520,""EN"",""ES"")"),"BAÚLES,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0" s="5" t="str">
        <f ca="1">IFERROR(__xludf.DUMMYFUNCTION("GOOGLETRANSLATE(J520,""EN"",""ES"")"),"Cubiertas para cajas de pañuelos")</f>
        <v>Cubiertas para cajas de pañuelos</v>
      </c>
      <c r="M520" s="8" t="s">
        <v>6</v>
      </c>
      <c r="N520" s="8" t="s">
        <v>6</v>
      </c>
    </row>
    <row r="521" spans="1:14" ht="11.25" customHeight="1">
      <c r="A521" s="5" t="s">
        <v>1232</v>
      </c>
      <c r="B521" s="5" t="s">
        <v>1233</v>
      </c>
      <c r="C521" s="5" t="s">
        <v>1555</v>
      </c>
      <c r="D521" s="5" t="s">
        <v>1235</v>
      </c>
      <c r="E521" s="5" t="s">
        <v>10</v>
      </c>
      <c r="F521" s="5" t="s">
        <v>1236</v>
      </c>
      <c r="G521" s="5" t="s">
        <v>152</v>
      </c>
      <c r="H521" s="5" t="s">
        <v>1237</v>
      </c>
      <c r="I521" s="5" t="s">
        <v>1556</v>
      </c>
      <c r="J521" s="5" t="s">
        <v>1557</v>
      </c>
      <c r="K521" s="7" t="str">
        <f ca="1">IFERROR(__xludf.DUMMYFUNCTION("GOOGLETRANSLATE(H521,""EN"",""ES"")"),"BAÚLES,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1" s="5" t="str">
        <f ca="1">IFERROR(__xludf.DUMMYFUNCTION("GOOGLETRANSLATE(J521,""EN"",""ES"")"),"Cestas de compras")</f>
        <v>Cestas de compras</v>
      </c>
      <c r="M521" s="8" t="s">
        <v>6</v>
      </c>
      <c r="N521" s="8" t="s">
        <v>6</v>
      </c>
    </row>
    <row r="522" spans="1:14" ht="11.25" customHeight="1">
      <c r="A522" s="5" t="s">
        <v>1232</v>
      </c>
      <c r="B522" s="5" t="s">
        <v>1233</v>
      </c>
      <c r="C522" s="5" t="s">
        <v>1558</v>
      </c>
      <c r="D522" s="5" t="s">
        <v>1235</v>
      </c>
      <c r="E522" s="5" t="s">
        <v>10</v>
      </c>
      <c r="F522" s="5" t="s">
        <v>1236</v>
      </c>
      <c r="G522" s="5" t="s">
        <v>152</v>
      </c>
      <c r="H522" s="5" t="s">
        <v>1237</v>
      </c>
      <c r="I522" s="5" t="s">
        <v>1559</v>
      </c>
      <c r="J522" s="5" t="s">
        <v>1560</v>
      </c>
      <c r="K522" s="7" t="str">
        <f ca="1">IFERROR(__xludf.DUMMYFUNCTION("GOOGLETRANSLATE(H522,""EN"",""ES"")"),"BAÚLES,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2" s="5" t="str">
        <f ca="1">IFERROR(__xludf.DUMMYFUNCTION("GOOGLETRANSLATE(J522,""EN"",""ES"")"),"maletas")</f>
        <v>maletas</v>
      </c>
      <c r="M522" s="8" t="s">
        <v>6</v>
      </c>
      <c r="N522" s="8" t="s">
        <v>6</v>
      </c>
    </row>
    <row r="523" spans="1:14" ht="11.25" customHeight="1">
      <c r="A523" s="5" t="s">
        <v>1232</v>
      </c>
      <c r="B523" s="5" t="s">
        <v>1233</v>
      </c>
      <c r="C523" s="5" t="s">
        <v>1561</v>
      </c>
      <c r="D523" s="5" t="s">
        <v>1235</v>
      </c>
      <c r="E523" s="5" t="s">
        <v>10</v>
      </c>
      <c r="F523" s="5" t="s">
        <v>1236</v>
      </c>
      <c r="G523" s="5" t="s">
        <v>152</v>
      </c>
      <c r="H523" s="5" t="s">
        <v>1237</v>
      </c>
      <c r="I523" s="5" t="s">
        <v>1562</v>
      </c>
      <c r="J523" s="5" t="s">
        <v>1563</v>
      </c>
      <c r="K523" s="7" t="str">
        <f ca="1">IFERROR(__xludf.DUMMYFUNCTION("GOOGLETRANSLATE(H523,""EN"",""ES"")"),"BAÚLES,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3" s="5" t="str">
        <f ca="1">IFERROR(__xludf.DUMMYFUNCTION("GOOGLETRANSLATE(J523,""EN"",""ES"")"),"Fundas protectoras para bolsos y equipaje.")</f>
        <v>Fundas protectoras para bolsos y equipaje.</v>
      </c>
      <c r="M523" s="8" t="s">
        <v>6</v>
      </c>
      <c r="N523" s="8" t="s">
        <v>6</v>
      </c>
    </row>
    <row r="524" spans="1:14" ht="11.25" customHeight="1">
      <c r="A524" s="5" t="s">
        <v>1232</v>
      </c>
      <c r="B524" s="5" t="s">
        <v>1233</v>
      </c>
      <c r="C524" s="5" t="s">
        <v>1564</v>
      </c>
      <c r="D524" s="5" t="s">
        <v>1235</v>
      </c>
      <c r="E524" s="5" t="s">
        <v>10</v>
      </c>
      <c r="F524" s="5" t="s">
        <v>1236</v>
      </c>
      <c r="G524" s="5" t="s">
        <v>152</v>
      </c>
      <c r="H524" s="5" t="s">
        <v>1237</v>
      </c>
      <c r="I524" s="5" t="s">
        <v>1565</v>
      </c>
      <c r="J524" s="5" t="s">
        <v>1566</v>
      </c>
      <c r="K524" s="7" t="str">
        <f ca="1">IFERROR(__xludf.DUMMYFUNCTION("GOOGLETRANSLATE(H524,""EN"",""ES"")"),"BAÚLES,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4" s="5" t="str">
        <f ca="1">IFERROR(__xludf.DUMMYFUNCTION("GOOGLETRANSLATE(J524,""EN"",""ES"")"),"Cordones para el cuello")</f>
        <v>Cordones para el cuello</v>
      </c>
      <c r="M524" s="8" t="s">
        <v>6</v>
      </c>
      <c r="N524" s="8" t="s">
        <v>6</v>
      </c>
    </row>
    <row r="525" spans="1:14" ht="11.25" customHeight="1">
      <c r="A525" s="5" t="s">
        <v>1232</v>
      </c>
      <c r="B525" s="5" t="s">
        <v>1233</v>
      </c>
      <c r="C525" s="5" t="s">
        <v>1567</v>
      </c>
      <c r="D525" s="5" t="s">
        <v>1235</v>
      </c>
      <c r="E525" s="5" t="s">
        <v>10</v>
      </c>
      <c r="F525" s="5" t="s">
        <v>1236</v>
      </c>
      <c r="G525" s="5" t="s">
        <v>152</v>
      </c>
      <c r="H525" s="5" t="s">
        <v>1237</v>
      </c>
      <c r="I525" s="5" t="s">
        <v>1568</v>
      </c>
      <c r="J525" s="5" t="s">
        <v>1569</v>
      </c>
      <c r="K525" s="7" t="str">
        <f ca="1">IFERROR(__xludf.DUMMYFUNCTION("GOOGLETRANSLATE(H525,""EN"",""ES"")"),"BAÚLES,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5" s="5" t="str">
        <f ca="1">IFERROR(__xludf.DUMMYFUNCTION("GOOGLETRANSLATE(J525,""EN"",""ES"")"),"Estuches para pintalabios")</f>
        <v>Estuches para pintalabios</v>
      </c>
      <c r="M525" s="8" t="s">
        <v>6</v>
      </c>
      <c r="N525" s="8" t="s">
        <v>6</v>
      </c>
    </row>
    <row r="526" spans="1:14" ht="11.25" customHeight="1">
      <c r="A526" s="5" t="s">
        <v>1232</v>
      </c>
      <c r="B526" s="5" t="s">
        <v>1233</v>
      </c>
      <c r="C526" s="5" t="s">
        <v>1570</v>
      </c>
      <c r="D526" s="5" t="s">
        <v>1235</v>
      </c>
      <c r="E526" s="5" t="s">
        <v>10</v>
      </c>
      <c r="F526" s="5" t="s">
        <v>1236</v>
      </c>
      <c r="G526" s="5" t="s">
        <v>152</v>
      </c>
      <c r="H526" s="5" t="s">
        <v>1237</v>
      </c>
      <c r="I526" s="5" t="s">
        <v>1571</v>
      </c>
      <c r="J526" s="5" t="s">
        <v>1572</v>
      </c>
      <c r="K526" s="7" t="str">
        <f ca="1">IFERROR(__xludf.DUMMYFUNCTION("GOOGLETRANSLATE(H526,""EN"",""ES"")"),"BAÚLES,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6" s="5" t="str">
        <f ca="1">IFERROR(__xludf.DUMMYFUNCTION("GOOGLETRANSLATE(J526,""EN"",""ES"")"),"cajas organizadoras de pastillas")</f>
        <v>cajas organizadoras de pastillas</v>
      </c>
      <c r="M526" s="8" t="s">
        <v>6</v>
      </c>
      <c r="N526" s="8" t="s">
        <v>6</v>
      </c>
    </row>
    <row r="527" spans="1:14" ht="11.25" customHeight="1">
      <c r="A527" s="5" t="s">
        <v>1232</v>
      </c>
      <c r="B527" s="5" t="s">
        <v>1233</v>
      </c>
      <c r="C527" s="5" t="s">
        <v>1573</v>
      </c>
      <c r="D527" s="5" t="s">
        <v>1235</v>
      </c>
      <c r="E527" s="5" t="s">
        <v>10</v>
      </c>
      <c r="F527" s="5" t="s">
        <v>1236</v>
      </c>
      <c r="G527" s="5" t="s">
        <v>152</v>
      </c>
      <c r="H527" s="5" t="s">
        <v>1237</v>
      </c>
      <c r="I527" s="5" t="s">
        <v>1574</v>
      </c>
      <c r="J527" s="5" t="s">
        <v>1575</v>
      </c>
      <c r="K527" s="7" t="str">
        <f ca="1">IFERROR(__xludf.DUMMYFUNCTION("GOOGLETRANSLATE(H527,""EN"",""ES"")"),"BAÚLES,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7" s="5" t="str">
        <f ca="1">IFERROR(__xludf.DUMMYFUNCTION("GOOGLETRANSLATE(J527,""EN"",""ES"")"),"Titulares de direcciones para equipaje")</f>
        <v>Titulares de direcciones para equipaje</v>
      </c>
      <c r="M527" s="8" t="s">
        <v>6</v>
      </c>
      <c r="N527" s="8" t="s">
        <v>6</v>
      </c>
    </row>
    <row r="528" spans="1:14" ht="11.25" customHeight="1">
      <c r="A528" s="5" t="s">
        <v>1232</v>
      </c>
      <c r="B528" s="5" t="s">
        <v>1233</v>
      </c>
      <c r="C528" s="5" t="s">
        <v>1576</v>
      </c>
      <c r="D528" s="5" t="s">
        <v>1235</v>
      </c>
      <c r="E528" s="5" t="s">
        <v>10</v>
      </c>
      <c r="F528" s="5" t="s">
        <v>1236</v>
      </c>
      <c r="G528" s="5" t="s">
        <v>152</v>
      </c>
      <c r="H528" s="5" t="s">
        <v>1237</v>
      </c>
      <c r="I528" s="5" t="s">
        <v>1577</v>
      </c>
      <c r="J528" s="5" t="s">
        <v>1578</v>
      </c>
      <c r="K528" s="7" t="str">
        <f ca="1">IFERROR(__xludf.DUMMYFUNCTION("GOOGLETRANSLATE(H528,""EN"",""ES"")"),"BAÚLES,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8" s="5" t="str">
        <f ca="1">IFERROR(__xludf.DUMMYFUNCTION("GOOGLETRANSLATE(J528,""EN"",""ES"")"),"ruedas de equipaje")</f>
        <v>ruedas de equipaje</v>
      </c>
      <c r="M528" s="8" t="s">
        <v>6</v>
      </c>
      <c r="N528" s="8" t="s">
        <v>6</v>
      </c>
    </row>
    <row r="529" spans="1:14" ht="11.25" customHeight="1">
      <c r="A529" s="5" t="s">
        <v>1232</v>
      </c>
      <c r="B529" s="5" t="s">
        <v>1233</v>
      </c>
      <c r="C529" s="5" t="s">
        <v>1579</v>
      </c>
      <c r="D529" s="5" t="s">
        <v>1235</v>
      </c>
      <c r="E529" s="5" t="s">
        <v>10</v>
      </c>
      <c r="F529" s="5" t="s">
        <v>1236</v>
      </c>
      <c r="G529" s="5" t="s">
        <v>152</v>
      </c>
      <c r="H529" s="5" t="s">
        <v>1237</v>
      </c>
      <c r="I529" s="5" t="s">
        <v>1580</v>
      </c>
      <c r="J529" s="5" t="s">
        <v>1581</v>
      </c>
      <c r="K529" s="7" t="str">
        <f ca="1">IFERROR(__xludf.DUMMYFUNCTION("GOOGLETRANSLATE(H529,""EN"",""ES"")"),"BAÚLES,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29" s="5" t="str">
        <f ca="1">IFERROR(__xludf.DUMMYFUNCTION("GOOGLETRANSLATE(J529,""EN"",""ES"")"),"Asas para maletines")</f>
        <v>Asas para maletines</v>
      </c>
      <c r="M529" s="8" t="s">
        <v>6</v>
      </c>
      <c r="N529" s="8" t="s">
        <v>6</v>
      </c>
    </row>
    <row r="530" spans="1:14" ht="11.25" customHeight="1">
      <c r="A530" s="5" t="s">
        <v>1232</v>
      </c>
      <c r="B530" s="5" t="s">
        <v>1233</v>
      </c>
      <c r="C530" s="5" t="s">
        <v>1579</v>
      </c>
      <c r="D530" s="5" t="s">
        <v>1235</v>
      </c>
      <c r="E530" s="5" t="s">
        <v>10</v>
      </c>
      <c r="F530" s="5" t="s">
        <v>1236</v>
      </c>
      <c r="G530" s="5" t="s">
        <v>152</v>
      </c>
      <c r="H530" s="5" t="s">
        <v>1237</v>
      </c>
      <c r="I530" s="5" t="s">
        <v>152</v>
      </c>
      <c r="J530" s="5" t="s">
        <v>1582</v>
      </c>
      <c r="K530" s="7" t="str">
        <f ca="1">IFERROR(__xludf.DUMMYFUNCTION("GOOGLETRANSLATE(H530,""EN"",""ES"")"),"BAÚLES,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30" s="5" t="str">
        <f ca="1">IFERROR(__xludf.DUMMYFUNCTION("GOOGLETRANSLATE(J530,""EN"",""ES"")"),"N / A")</f>
        <v>N / A</v>
      </c>
      <c r="M530" s="8" t="s">
        <v>6</v>
      </c>
      <c r="N530" s="8" t="s">
        <v>6</v>
      </c>
    </row>
    <row r="531" spans="1:14" ht="11.25" customHeight="1">
      <c r="A531" s="5" t="s">
        <v>1232</v>
      </c>
      <c r="B531" s="5" t="s">
        <v>1233</v>
      </c>
      <c r="C531" s="5" t="s">
        <v>1583</v>
      </c>
      <c r="D531" s="5" t="s">
        <v>1235</v>
      </c>
      <c r="E531" s="5" t="s">
        <v>10</v>
      </c>
      <c r="F531" s="5" t="s">
        <v>1236</v>
      </c>
      <c r="G531" s="5" t="s">
        <v>152</v>
      </c>
      <c r="H531" s="5" t="s">
        <v>1237</v>
      </c>
      <c r="I531" s="5" t="s">
        <v>1584</v>
      </c>
      <c r="J531" s="5" t="s">
        <v>1585</v>
      </c>
      <c r="K531" s="7" t="str">
        <f ca="1">IFERROR(__xludf.DUMMYFUNCTION("GOOGLETRANSLATE(H531,""EN"",""ES"")"),"BAÚLES,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31" s="5" t="str">
        <f ca="1">IFERROR(__xludf.DUMMYFUNCTION("GOOGLETRANSLATE(J531,""EN"",""ES"")"),"Estuches para mascarillas")</f>
        <v>Estuches para mascarillas</v>
      </c>
      <c r="M531" s="8" t="s">
        <v>6</v>
      </c>
      <c r="N531" s="8" t="s">
        <v>6</v>
      </c>
    </row>
    <row r="532" spans="1:14" ht="11.25" customHeight="1">
      <c r="A532" s="5" t="s">
        <v>1232</v>
      </c>
      <c r="B532" s="5" t="s">
        <v>1233</v>
      </c>
      <c r="C532" s="5" t="s">
        <v>1586</v>
      </c>
      <c r="D532" s="5" t="s">
        <v>1235</v>
      </c>
      <c r="E532" s="5" t="s">
        <v>10</v>
      </c>
      <c r="F532" s="5" t="s">
        <v>1236</v>
      </c>
      <c r="G532" s="5" t="s">
        <v>152</v>
      </c>
      <c r="H532" s="5" t="s">
        <v>1237</v>
      </c>
      <c r="I532" s="5" t="s">
        <v>1587</v>
      </c>
      <c r="J532" s="5" t="s">
        <v>1588</v>
      </c>
      <c r="K532" s="7" t="str">
        <f ca="1">IFERROR(__xludf.DUMMYFUNCTION("GOOGLETRANSLATE(H532,""EN"",""ES"")"),"BAÚLES,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32" s="5" t="str">
        <f ca="1">IFERROR(__xludf.DUMMYFUNCTION("GOOGLETRANSLATE(J532,""EN"",""ES"")"),"Fundas protectoras para sombrillas")</f>
        <v>Fundas protectoras para sombrillas</v>
      </c>
      <c r="M532" s="8" t="s">
        <v>6</v>
      </c>
      <c r="N532" s="8" t="s">
        <v>6</v>
      </c>
    </row>
    <row r="533" spans="1:14" ht="11.25" customHeight="1">
      <c r="A533" s="5" t="s">
        <v>1232</v>
      </c>
      <c r="B533" s="5" t="s">
        <v>1233</v>
      </c>
      <c r="C533" s="5" t="s">
        <v>1589</v>
      </c>
      <c r="D533" s="5" t="s">
        <v>1235</v>
      </c>
      <c r="E533" s="5" t="s">
        <v>10</v>
      </c>
      <c r="F533" s="5" t="s">
        <v>1236</v>
      </c>
      <c r="G533" s="5" t="s">
        <v>152</v>
      </c>
      <c r="H533" s="5" t="s">
        <v>1237</v>
      </c>
      <c r="I533" s="5" t="s">
        <v>1590</v>
      </c>
      <c r="J533" s="5" t="s">
        <v>1591</v>
      </c>
      <c r="K533" s="7" t="str">
        <f ca="1">IFERROR(__xludf.DUMMYFUNCTION("GOOGLETRANSLATE(H533,""EN"",""ES"")"),"BAÚLES,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33" s="5" t="str">
        <f ca="1">IFERROR(__xludf.DUMMYFUNCTION("GOOGLETRANSLATE(J533,""EN"",""ES"")"),"Bolsas para llevar snacks para animales.")</f>
        <v>Bolsas para llevar snacks para animales.</v>
      </c>
      <c r="M533" s="8" t="s">
        <v>6</v>
      </c>
      <c r="N533" s="8" t="s">
        <v>6</v>
      </c>
    </row>
    <row r="534" spans="1:14" ht="11.25" customHeight="1">
      <c r="A534" s="5" t="s">
        <v>1232</v>
      </c>
      <c r="B534" s="5" t="s">
        <v>1233</v>
      </c>
      <c r="C534" s="5" t="s">
        <v>1592</v>
      </c>
      <c r="D534" s="5" t="s">
        <v>1235</v>
      </c>
      <c r="E534" s="5" t="s">
        <v>10</v>
      </c>
      <c r="F534" s="5" t="s">
        <v>1236</v>
      </c>
      <c r="G534" s="5" t="s">
        <v>152</v>
      </c>
      <c r="H534" s="5" t="s">
        <v>1237</v>
      </c>
      <c r="I534" s="5" t="s">
        <v>1593</v>
      </c>
      <c r="J534" s="5" t="s">
        <v>1594</v>
      </c>
      <c r="K534" s="7" t="str">
        <f ca="1">IFERROR(__xludf.DUMMYFUNCTION("GOOGLETRANSLATE(H534,""EN"",""ES"")"),"BAÚLES,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34" s="5" t="str">
        <f ca="1">IFERROR(__xludf.DUMMYFUNCTION("GOOGLETRANSLATE(J534,""EN"",""ES"")"),"Bolsos de mano")</f>
        <v>Bolsos de mano</v>
      </c>
      <c r="M534" s="8" t="s">
        <v>6</v>
      </c>
      <c r="N534" s="8" t="s">
        <v>6</v>
      </c>
    </row>
    <row r="535" spans="1:14" ht="11.25" customHeight="1">
      <c r="A535" s="5" t="s">
        <v>1232</v>
      </c>
      <c r="B535" s="5" t="s">
        <v>1233</v>
      </c>
      <c r="C535" s="5" t="s">
        <v>1595</v>
      </c>
      <c r="D535" s="5" t="s">
        <v>1235</v>
      </c>
      <c r="E535" s="5" t="s">
        <v>10</v>
      </c>
      <c r="F535" s="5" t="s">
        <v>1236</v>
      </c>
      <c r="G535" s="5" t="s">
        <v>152</v>
      </c>
      <c r="H535" s="5" t="s">
        <v>1237</v>
      </c>
      <c r="I535" s="5" t="s">
        <v>1596</v>
      </c>
      <c r="J535" s="5" t="s">
        <v>1597</v>
      </c>
      <c r="K535" s="7" t="str">
        <f ca="1">IFERROR(__xludf.DUMMYFUNCTION("GOOGLETRANSLATE(H535,""EN"",""ES"")"),"BAÚLES, MALETAS, MALETINES, BOLSOS DE MANO, LLAVEROS, ESTUCHES ESPECIALMENTE DISEÑADOS PARA SU CONTENIDO, CARTERAS Y ARTÍCULOS SIMILARES")</f>
        <v>BAÚLES, MALETAS, MALETINES, BOLSOS DE MANO, LLAVEROS, ESTUCHES ESPECIALMENTE DISEÑADOS PARA SU CONTENIDO, CARTERAS Y ARTÍCULOS SIMILARES</v>
      </c>
      <c r="L535" s="5" t="str">
        <f ca="1">IFERROR(__xludf.DUMMYFUNCTION("GOOGLETRANSLATE(J535,""EN"",""ES"")"),"Fundas para fundas de auriculares")</f>
        <v>Fundas para fundas de auriculares</v>
      </c>
      <c r="M535" s="8" t="s">
        <v>6</v>
      </c>
      <c r="N535" s="8" t="s">
        <v>6</v>
      </c>
    </row>
    <row r="536" spans="1:14" ht="11.25" customHeight="1">
      <c r="A536" s="5" t="s">
        <v>1232</v>
      </c>
      <c r="B536" s="5" t="s">
        <v>1598</v>
      </c>
      <c r="C536" s="5" t="s">
        <v>152</v>
      </c>
      <c r="D536" s="5" t="s">
        <v>1235</v>
      </c>
      <c r="E536" s="5" t="s">
        <v>10</v>
      </c>
      <c r="F536" s="5" t="s">
        <v>1236</v>
      </c>
      <c r="G536" s="5" t="s">
        <v>152</v>
      </c>
      <c r="H536" s="5" t="s">
        <v>1599</v>
      </c>
      <c r="I536" s="5" t="s">
        <v>152</v>
      </c>
      <c r="J536" s="5" t="s">
        <v>152</v>
      </c>
      <c r="K536" s="7" t="str">
        <f ca="1">IFERROR(__xludf.DUMMYFUNCTION("GOOGLETRANSLATE(H536,""EN"",""ES"")"),"[vacante]")</f>
        <v>[vacante]</v>
      </c>
      <c r="L536" s="5" t="str">
        <f ca="1">IFERROR(__xludf.DUMMYFUNCTION("GOOGLETRANSLATE(J536,""EN"",""ES"")"),"N / A")</f>
        <v>N / A</v>
      </c>
      <c r="M536" s="8" t="s">
        <v>6</v>
      </c>
      <c r="N536" s="8" t="s">
        <v>6</v>
      </c>
    </row>
    <row r="537" spans="1:14" ht="11.25" customHeight="1">
      <c r="A537" s="5" t="s">
        <v>1232</v>
      </c>
      <c r="B537" s="5" t="s">
        <v>1600</v>
      </c>
      <c r="C537" s="5" t="s">
        <v>1601</v>
      </c>
      <c r="D537" s="5" t="s">
        <v>1235</v>
      </c>
      <c r="E537" s="5" t="s">
        <v>10</v>
      </c>
      <c r="F537" s="5" t="s">
        <v>1236</v>
      </c>
      <c r="G537" s="5" t="s">
        <v>152</v>
      </c>
      <c r="H537" s="5" t="s">
        <v>1602</v>
      </c>
      <c r="I537" s="5" t="s">
        <v>1603</v>
      </c>
      <c r="J537" s="5" t="s">
        <v>1604</v>
      </c>
      <c r="K537" s="7" t="str">
        <f ca="1">IFERROR(__xludf.DUMMYFUNCTION("GOOGLETRANSLATE(H537,""EN"",""ES"")"),"PARAGUAS, SOMBRILLAS, SOMBRILLAS Y BASTONES")</f>
        <v>PARAGUAS, SOMBRILLAS, SOMBRILLAS Y BASTONES</v>
      </c>
      <c r="L537" s="5" t="str">
        <f ca="1">IFERROR(__xludf.DUMMYFUNCTION("GOOGLETRANSLATE(J537,""EN"",""ES"")"),"Casquillos para bastones")</f>
        <v>Casquillos para bastones</v>
      </c>
      <c r="M537" s="8" t="s">
        <v>6</v>
      </c>
      <c r="N537" s="8" t="s">
        <v>6</v>
      </c>
    </row>
    <row r="538" spans="1:14" ht="11.25" customHeight="1">
      <c r="A538" s="5" t="s">
        <v>1232</v>
      </c>
      <c r="B538" s="5" t="s">
        <v>1600</v>
      </c>
      <c r="C538" s="5" t="s">
        <v>1605</v>
      </c>
      <c r="D538" s="5" t="s">
        <v>1235</v>
      </c>
      <c r="E538" s="5" t="s">
        <v>10</v>
      </c>
      <c r="F538" s="5" t="s">
        <v>1236</v>
      </c>
      <c r="G538" s="5" t="s">
        <v>152</v>
      </c>
      <c r="H538" s="5" t="s">
        <v>1602</v>
      </c>
      <c r="I538" s="5" t="s">
        <v>1606</v>
      </c>
      <c r="J538" s="5" t="s">
        <v>1607</v>
      </c>
      <c r="K538" s="7" t="str">
        <f ca="1">IFERROR(__xludf.DUMMYFUNCTION("GOOGLETRANSLATE(H538,""EN"",""ES"")"),"PARAGUAS, SOMBRILLAS, SOMBRILLAS Y BASTONES")</f>
        <v>PARAGUAS, SOMBRILLAS, SOMBRILLAS Y BASTONES</v>
      </c>
      <c r="L538" s="5" t="str">
        <f ca="1">IFERROR(__xludf.DUMMYFUNCTION("GOOGLETRANSLATE(J538,""EN"",""ES"")"),"bastones")</f>
        <v>bastones</v>
      </c>
      <c r="M538" s="8" t="s">
        <v>6</v>
      </c>
      <c r="N538" s="8" t="s">
        <v>6</v>
      </c>
    </row>
    <row r="539" spans="1:14" ht="11.25" customHeight="1">
      <c r="A539" s="5" t="s">
        <v>1232</v>
      </c>
      <c r="B539" s="5" t="s">
        <v>1600</v>
      </c>
      <c r="C539" s="5" t="s">
        <v>1605</v>
      </c>
      <c r="D539" s="5" t="s">
        <v>1235</v>
      </c>
      <c r="E539" s="5" t="s">
        <v>10</v>
      </c>
      <c r="F539" s="5" t="s">
        <v>1236</v>
      </c>
      <c r="G539" s="5" t="s">
        <v>152</v>
      </c>
      <c r="H539" s="5" t="s">
        <v>1602</v>
      </c>
      <c r="I539" s="5" t="s">
        <v>1608</v>
      </c>
      <c r="J539" s="5" t="s">
        <v>152</v>
      </c>
      <c r="K539" s="7" t="str">
        <f ca="1">IFERROR(__xludf.DUMMYFUNCTION("GOOGLETRANSLATE(H539,""EN"",""ES"")"),"PARAGUAS, SOMBRILLAS, SOMBRILLAS Y BASTONES")</f>
        <v>PARAGUAS, SOMBRILLAS, SOMBRILLAS Y BASTONES</v>
      </c>
      <c r="L539" s="5" t="str">
        <f ca="1">IFERROR(__xludf.DUMMYFUNCTION("GOOGLETRANSLATE(J539,""EN"",""ES"")"),"Bastones")</f>
        <v>Bastones</v>
      </c>
      <c r="M539" s="8" t="s">
        <v>6</v>
      </c>
      <c r="N539" s="8" t="s">
        <v>6</v>
      </c>
    </row>
    <row r="540" spans="1:14" ht="11.25" customHeight="1">
      <c r="A540" s="5" t="s">
        <v>1232</v>
      </c>
      <c r="B540" s="5" t="s">
        <v>1600</v>
      </c>
      <c r="C540" s="5" t="s">
        <v>1609</v>
      </c>
      <c r="D540" s="5" t="s">
        <v>1235</v>
      </c>
      <c r="E540" s="5" t="s">
        <v>10</v>
      </c>
      <c r="F540" s="5" t="s">
        <v>1236</v>
      </c>
      <c r="G540" s="5" t="s">
        <v>152</v>
      </c>
      <c r="H540" s="5" t="s">
        <v>1602</v>
      </c>
      <c r="I540" s="5" t="s">
        <v>1610</v>
      </c>
      <c r="J540" s="5" t="s">
        <v>1611</v>
      </c>
      <c r="K540" s="7" t="str">
        <f ca="1">IFERROR(__xludf.DUMMYFUNCTION("GOOGLETRANSLATE(H540,""EN"",""ES"")"),"PARAGUAS, SOMBRILLAS, SOMBRILLAS Y BASTONES")</f>
        <v>PARAGUAS, SOMBRILLAS, SOMBRILLAS Y BASTONES</v>
      </c>
      <c r="L540" s="5" t="str">
        <f ca="1">IFERROR(__xludf.DUMMYFUNCTION("GOOGLETRANSLATE(J540,""EN"",""ES"")"),"Palos de tiro")</f>
        <v>Palos de tiro</v>
      </c>
      <c r="M540" s="8" t="s">
        <v>6</v>
      </c>
      <c r="N540" s="8" t="s">
        <v>6</v>
      </c>
    </row>
    <row r="541" spans="1:14" ht="11.25" customHeight="1">
      <c r="A541" s="5" t="s">
        <v>1232</v>
      </c>
      <c r="B541" s="5" t="s">
        <v>1600</v>
      </c>
      <c r="C541" s="5" t="s">
        <v>1612</v>
      </c>
      <c r="D541" s="5" t="s">
        <v>1235</v>
      </c>
      <c r="E541" s="5" t="s">
        <v>10</v>
      </c>
      <c r="F541" s="5" t="s">
        <v>1236</v>
      </c>
      <c r="G541" s="5" t="s">
        <v>152</v>
      </c>
      <c r="H541" s="5" t="s">
        <v>1602</v>
      </c>
      <c r="I541" s="5" t="s">
        <v>1613</v>
      </c>
      <c r="J541" s="5" t="s">
        <v>1614</v>
      </c>
      <c r="K541" s="7" t="str">
        <f ca="1">IFERROR(__xludf.DUMMYFUNCTION("GOOGLETRANSLATE(H541,""EN"",""ES"")"),"PARAGUAS, SOMBRILLAS, SOMBRILLAS Y BASTONES")</f>
        <v>PARAGUAS, SOMBRILLAS, SOMBRILLAS Y BASTONES</v>
      </c>
      <c r="L541" s="5" t="str">
        <f ca="1">IFERROR(__xludf.DUMMYFUNCTION("GOOGLETRANSLATE(J541,""EN"",""ES"")"),"Corredores de paraguas")</f>
        <v>Corredores de paraguas</v>
      </c>
      <c r="M541" s="8" t="s">
        <v>6</v>
      </c>
      <c r="N541" s="8" t="s">
        <v>6</v>
      </c>
    </row>
    <row r="542" spans="1:14" ht="11.25" customHeight="1">
      <c r="A542" s="5" t="s">
        <v>1232</v>
      </c>
      <c r="B542" s="5" t="s">
        <v>1600</v>
      </c>
      <c r="C542" s="5" t="s">
        <v>1615</v>
      </c>
      <c r="D542" s="5" t="s">
        <v>1235</v>
      </c>
      <c r="E542" s="5" t="s">
        <v>10</v>
      </c>
      <c r="F542" s="5" t="s">
        <v>1236</v>
      </c>
      <c r="G542" s="5" t="s">
        <v>152</v>
      </c>
      <c r="H542" s="5" t="s">
        <v>1602</v>
      </c>
      <c r="I542" s="5" t="s">
        <v>1616</v>
      </c>
      <c r="J542" s="5" t="s">
        <v>1617</v>
      </c>
      <c r="K542" s="7" t="str">
        <f ca="1">IFERROR(__xludf.DUMMYFUNCTION("GOOGLETRANSLATE(H542,""EN"",""ES"")"),"PARAGUAS, SOMBRILLAS, SOMBRILLAS Y BASTONES")</f>
        <v>PARAGUAS, SOMBRILLAS, SOMBRILLAS Y BASTONES</v>
      </c>
      <c r="L542" s="5" t="str">
        <f ca="1">IFERROR(__xludf.DUMMYFUNCTION("GOOGLETRANSLATE(J542,""EN"",""ES"")"),"Casquillos para paraguas")</f>
        <v>Casquillos para paraguas</v>
      </c>
      <c r="M542" s="8" t="s">
        <v>6</v>
      </c>
      <c r="N542" s="8" t="s">
        <v>6</v>
      </c>
    </row>
    <row r="543" spans="1:14" ht="11.25" customHeight="1">
      <c r="A543" s="5" t="s">
        <v>1232</v>
      </c>
      <c r="B543" s="5" t="s">
        <v>1600</v>
      </c>
      <c r="C543" s="5" t="s">
        <v>1618</v>
      </c>
      <c r="D543" s="5" t="s">
        <v>1235</v>
      </c>
      <c r="E543" s="5" t="s">
        <v>10</v>
      </c>
      <c r="F543" s="5" t="s">
        <v>1236</v>
      </c>
      <c r="G543" s="5" t="s">
        <v>152</v>
      </c>
      <c r="H543" s="5" t="s">
        <v>1602</v>
      </c>
      <c r="I543" s="5" t="s">
        <v>1619</v>
      </c>
      <c r="J543" s="5" t="s">
        <v>1620</v>
      </c>
      <c r="K543" s="7" t="str">
        <f ca="1">IFERROR(__xludf.DUMMYFUNCTION("GOOGLETRANSLATE(H543,""EN"",""ES"")"),"PARAGUAS, SOMBRILLAS, SOMBRILLAS Y BASTONES")</f>
        <v>PARAGUAS, SOMBRILLAS, SOMBRILLAS Y BASTONES</v>
      </c>
      <c r="L543" s="5" t="str">
        <f ca="1">IFERROR(__xludf.DUMMYFUNCTION("GOOGLETRANSLATE(J543,""EN"",""ES"")"),"Paraguas")</f>
        <v>Paraguas</v>
      </c>
      <c r="M543" s="8" t="s">
        <v>6</v>
      </c>
      <c r="N543" s="8" t="s">
        <v>6</v>
      </c>
    </row>
    <row r="544" spans="1:14" ht="11.25" customHeight="1">
      <c r="A544" s="5" t="s">
        <v>1232</v>
      </c>
      <c r="B544" s="5" t="s">
        <v>1600</v>
      </c>
      <c r="C544" s="5" t="s">
        <v>1621</v>
      </c>
      <c r="D544" s="5" t="s">
        <v>1235</v>
      </c>
      <c r="E544" s="5" t="s">
        <v>10</v>
      </c>
      <c r="F544" s="5" t="s">
        <v>1236</v>
      </c>
      <c r="G544" s="5" t="s">
        <v>152</v>
      </c>
      <c r="H544" s="5" t="s">
        <v>1602</v>
      </c>
      <c r="I544" s="5" t="s">
        <v>1622</v>
      </c>
      <c r="J544" s="5" t="s">
        <v>1622</v>
      </c>
      <c r="K544" s="7" t="str">
        <f ca="1">IFERROR(__xludf.DUMMYFUNCTION("GOOGLETRANSLATE(H544,""EN"",""ES"")"),"PARAGUAS, SOMBRILLAS, SOMBRILLAS Y BASTONES")</f>
        <v>PARAGUAS, SOMBRILLAS, SOMBRILLAS Y BASTONES</v>
      </c>
      <c r="L544" s="5" t="str">
        <f ca="1">IFERROR(__xludf.DUMMYFUNCTION("GOOGLETRANSLATE(J544,""EN"",""ES"")"),"Sombrillas")</f>
        <v>Sombrillas</v>
      </c>
      <c r="M544" s="8" t="s">
        <v>6</v>
      </c>
      <c r="N544" s="8" t="s">
        <v>6</v>
      </c>
    </row>
    <row r="545" spans="1:14" ht="11.25" customHeight="1">
      <c r="A545" s="5" t="s">
        <v>1232</v>
      </c>
      <c r="B545" s="5" t="s">
        <v>1600</v>
      </c>
      <c r="C545" s="5" t="s">
        <v>1621</v>
      </c>
      <c r="D545" s="5" t="s">
        <v>1235</v>
      </c>
      <c r="E545" s="5" t="s">
        <v>10</v>
      </c>
      <c r="F545" s="5" t="s">
        <v>1236</v>
      </c>
      <c r="G545" s="5" t="s">
        <v>152</v>
      </c>
      <c r="H545" s="5" t="s">
        <v>1602</v>
      </c>
      <c r="I545" s="5" t="s">
        <v>1623</v>
      </c>
      <c r="J545" s="5" t="s">
        <v>1624</v>
      </c>
      <c r="K545" s="7" t="str">
        <f ca="1">IFERROR(__xludf.DUMMYFUNCTION("GOOGLETRANSLATE(H545,""EN"",""ES"")"),"PARAGUAS, SOMBRILLAS, SOMBRILLAS Y BASTONES")</f>
        <v>PARAGUAS, SOMBRILLAS, SOMBRILLAS Y BASTONES</v>
      </c>
      <c r="L545" s="5" t="str">
        <f ca="1">IFERROR(__xludf.DUMMYFUNCTION("GOOGLETRANSLATE(J545,""EN"",""ES"")"),"Paraguas-sombrillas")</f>
        <v>Paraguas-sombrillas</v>
      </c>
      <c r="M545" s="8" t="s">
        <v>6</v>
      </c>
      <c r="N545" s="8" t="s">
        <v>6</v>
      </c>
    </row>
    <row r="546" spans="1:14" ht="11.25" customHeight="1">
      <c r="A546" s="5" t="s">
        <v>1232</v>
      </c>
      <c r="B546" s="5" t="s">
        <v>1600</v>
      </c>
      <c r="C546" s="5" t="s">
        <v>1625</v>
      </c>
      <c r="D546" s="5" t="s">
        <v>1235</v>
      </c>
      <c r="E546" s="5" t="s">
        <v>10</v>
      </c>
      <c r="F546" s="5" t="s">
        <v>1236</v>
      </c>
      <c r="G546" s="5" t="s">
        <v>152</v>
      </c>
      <c r="H546" s="5" t="s">
        <v>1602</v>
      </c>
      <c r="I546" s="5" t="s">
        <v>1626</v>
      </c>
      <c r="J546" s="5" t="s">
        <v>1627</v>
      </c>
      <c r="K546" s="7" t="str">
        <f ca="1">IFERROR(__xludf.DUMMYFUNCTION("GOOGLETRANSLATE(H546,""EN"",""ES"")"),"PARAGUAS, SOMBRILLAS, SOMBRILLAS Y BASTONES")</f>
        <v>PARAGUAS, SOMBRILLAS, SOMBRILLAS Y BASTONES</v>
      </c>
      <c r="L546" s="5" t="str">
        <f ca="1">IFERROR(__xludf.DUMMYFUNCTION("GOOGLETRANSLATE(J546,""EN"",""ES"")"),"Sombrillas de jardín o playa")</f>
        <v>Sombrillas de jardín o playa</v>
      </c>
      <c r="M546" s="8" t="s">
        <v>6</v>
      </c>
      <c r="N546" s="8" t="s">
        <v>6</v>
      </c>
    </row>
    <row r="547" spans="1:14" ht="11.25" customHeight="1">
      <c r="A547" s="5" t="s">
        <v>1232</v>
      </c>
      <c r="B547" s="5" t="s">
        <v>1600</v>
      </c>
      <c r="C547" s="5" t="s">
        <v>1628</v>
      </c>
      <c r="D547" s="5" t="s">
        <v>1235</v>
      </c>
      <c r="E547" s="5" t="s">
        <v>10</v>
      </c>
      <c r="F547" s="5" t="s">
        <v>1236</v>
      </c>
      <c r="G547" s="5" t="s">
        <v>152</v>
      </c>
      <c r="H547" s="5" t="s">
        <v>1602</v>
      </c>
      <c r="I547" s="5" t="s">
        <v>1629</v>
      </c>
      <c r="J547" s="5" t="s">
        <v>1630</v>
      </c>
      <c r="K547" s="7" t="str">
        <f ca="1">IFERROR(__xludf.DUMMYFUNCTION("GOOGLETRANSLATE(H547,""EN"",""ES"")"),"PARAGUAS, SOMBRILLAS, SOMBRILLAS Y BASTONES")</f>
        <v>PARAGUAS, SOMBRILLAS, SOMBRILLAS Y BASTONES</v>
      </c>
      <c r="L547" s="5" t="str">
        <f ca="1">IFERROR(__xludf.DUMMYFUNCTION("GOOGLETRANSLATE(J547,""EN"",""ES"")"),"Mangos de paraguas")</f>
        <v>Mangos de paraguas</v>
      </c>
      <c r="M547" s="8" t="s">
        <v>6</v>
      </c>
      <c r="N547" s="8" t="s">
        <v>6</v>
      </c>
    </row>
    <row r="548" spans="1:14" ht="11.25" customHeight="1">
      <c r="A548" s="5" t="s">
        <v>1232</v>
      </c>
      <c r="B548" s="5" t="s">
        <v>1600</v>
      </c>
      <c r="C548" s="5" t="s">
        <v>1631</v>
      </c>
      <c r="D548" s="5" t="s">
        <v>1235</v>
      </c>
      <c r="E548" s="5" t="s">
        <v>10</v>
      </c>
      <c r="F548" s="5" t="s">
        <v>1236</v>
      </c>
      <c r="G548" s="5" t="s">
        <v>152</v>
      </c>
      <c r="H548" s="5" t="s">
        <v>1602</v>
      </c>
      <c r="I548" s="5" t="s">
        <v>1632</v>
      </c>
      <c r="J548" s="5" t="s">
        <v>1633</v>
      </c>
      <c r="K548" s="7" t="str">
        <f ca="1">IFERROR(__xludf.DUMMYFUNCTION("GOOGLETRANSLATE(H548,""EN"",""ES"")"),"PARAGUAS, SOMBRILLAS, SOMBRILLAS Y BASTONES")</f>
        <v>PARAGUAS, SOMBRILLAS, SOMBRILLAS Y BASTONES</v>
      </c>
      <c r="L548" s="5" t="str">
        <f ca="1">IFERROR(__xludf.DUMMYFUNCTION("GOOGLETRANSLATE(J548,""EN"",""ES"")"),"Casquillos para mangos de paraguas.")</f>
        <v>Casquillos para mangos de paraguas.</v>
      </c>
      <c r="M548" s="8" t="s">
        <v>6</v>
      </c>
      <c r="N548" s="8" t="s">
        <v>6</v>
      </c>
    </row>
    <row r="549" spans="1:14" ht="11.25" customHeight="1">
      <c r="A549" s="5" t="s">
        <v>1232</v>
      </c>
      <c r="B549" s="5" t="s">
        <v>1600</v>
      </c>
      <c r="C549" s="5" t="s">
        <v>1634</v>
      </c>
      <c r="D549" s="5" t="s">
        <v>1235</v>
      </c>
      <c r="E549" s="5" t="s">
        <v>10</v>
      </c>
      <c r="F549" s="5" t="s">
        <v>1236</v>
      </c>
      <c r="G549" s="5" t="s">
        <v>152</v>
      </c>
      <c r="H549" s="5" t="s">
        <v>1602</v>
      </c>
      <c r="I549" s="5" t="s">
        <v>1635</v>
      </c>
      <c r="J549" s="5" t="s">
        <v>1636</v>
      </c>
      <c r="K549" s="7" t="str">
        <f ca="1">IFERROR(__xludf.DUMMYFUNCTION("GOOGLETRANSLATE(H549,""EN"",""ES"")"),"PARAGUAS, SOMBRILLAS, SOMBRILLAS Y BASTONES")</f>
        <v>PARAGUAS, SOMBRILLAS, SOMBRILLAS Y BASTONES</v>
      </c>
      <c r="L549" s="5" t="str">
        <f ca="1">IFERROR(__xludf.DUMMYFUNCTION("GOOGLETRANSLATE(J549,""EN"",""ES"")"),"Parabrisas de jardín")</f>
        <v>Parabrisas de jardín</v>
      </c>
      <c r="M549" s="8" t="s">
        <v>6</v>
      </c>
      <c r="N549" s="8" t="s">
        <v>6</v>
      </c>
    </row>
    <row r="550" spans="1:14" ht="11.25" customHeight="1">
      <c r="A550" s="5" t="s">
        <v>1232</v>
      </c>
      <c r="B550" s="5" t="s">
        <v>1600</v>
      </c>
      <c r="C550" s="5" t="s">
        <v>1637</v>
      </c>
      <c r="D550" s="5" t="s">
        <v>1235</v>
      </c>
      <c r="E550" s="5" t="s">
        <v>10</v>
      </c>
      <c r="F550" s="5" t="s">
        <v>1236</v>
      </c>
      <c r="G550" s="5" t="s">
        <v>152</v>
      </c>
      <c r="H550" s="5" t="s">
        <v>1602</v>
      </c>
      <c r="I550" s="5" t="s">
        <v>1638</v>
      </c>
      <c r="J550" s="5" t="s">
        <v>1639</v>
      </c>
      <c r="K550" s="7" t="str">
        <f ca="1">IFERROR(__xludf.DUMMYFUNCTION("GOOGLETRANSLATE(H550,""EN"",""ES"")"),"PARAGUAS, SOMBRILLAS, SOMBRILLAS Y BASTONES")</f>
        <v>PARAGUAS, SOMBRILLAS, SOMBRILLAS Y BASTONES</v>
      </c>
      <c r="L550" s="5" t="str">
        <f ca="1">IFERROR(__xludf.DUMMYFUNCTION("GOOGLETRANSLATE(J550,""EN"",""ES"")"),"Parabrisas de playa")</f>
        <v>Parabrisas de playa</v>
      </c>
      <c r="M550" s="8" t="s">
        <v>6</v>
      </c>
      <c r="N550" s="8" t="s">
        <v>6</v>
      </c>
    </row>
    <row r="551" spans="1:14" ht="11.25" customHeight="1">
      <c r="A551" s="5" t="s">
        <v>1232</v>
      </c>
      <c r="B551" s="5" t="s">
        <v>1600</v>
      </c>
      <c r="C551" s="5" t="s">
        <v>1640</v>
      </c>
      <c r="D551" s="5" t="s">
        <v>1235</v>
      </c>
      <c r="E551" s="5" t="s">
        <v>10</v>
      </c>
      <c r="F551" s="5" t="s">
        <v>1236</v>
      </c>
      <c r="G551" s="5" t="s">
        <v>152</v>
      </c>
      <c r="H551" s="5" t="s">
        <v>1602</v>
      </c>
      <c r="I551" s="5" t="s">
        <v>1641</v>
      </c>
      <c r="J551" s="5" t="s">
        <v>1642</v>
      </c>
      <c r="K551" s="7" t="str">
        <f ca="1">IFERROR(__xludf.DUMMYFUNCTION("GOOGLETRANSLATE(H551,""EN"",""ES"")"),"PARAGUAS, SOMBRILLAS, SOMBRILLAS Y BASTONES")</f>
        <v>PARAGUAS, SOMBRILLAS, SOMBRILLAS Y BASTONES</v>
      </c>
      <c r="L551" s="5" t="str">
        <f ca="1">IFERROR(__xludf.DUMMYFUNCTION("GOOGLETRANSLATE(J551,""EN"",""ES"")"),"Ejes de paraguas")</f>
        <v>Ejes de paraguas</v>
      </c>
      <c r="M551" s="8" t="s">
        <v>6</v>
      </c>
      <c r="N551" s="8" t="s">
        <v>6</v>
      </c>
    </row>
    <row r="552" spans="1:14" ht="11.25" customHeight="1">
      <c r="A552" s="5" t="s">
        <v>1232</v>
      </c>
      <c r="B552" s="5" t="s">
        <v>1600</v>
      </c>
      <c r="C552" s="5" t="s">
        <v>1643</v>
      </c>
      <c r="D552" s="5" t="s">
        <v>1235</v>
      </c>
      <c r="E552" s="5" t="s">
        <v>10</v>
      </c>
      <c r="F552" s="5" t="s">
        <v>1236</v>
      </c>
      <c r="G552" s="5" t="s">
        <v>152</v>
      </c>
      <c r="H552" s="5" t="s">
        <v>1602</v>
      </c>
      <c r="I552" s="5" t="s">
        <v>1644</v>
      </c>
      <c r="J552" s="5" t="s">
        <v>1645</v>
      </c>
      <c r="K552" s="7" t="str">
        <f ca="1">IFERROR(__xludf.DUMMYFUNCTION("GOOGLETRANSLATE(H552,""EN"",""ES"")"),"PARAGUAS, SOMBRILLAS, SOMBRILLAS Y BASTONES")</f>
        <v>PARAGUAS, SOMBRILLAS, SOMBRILLAS Y BASTONES</v>
      </c>
      <c r="L552" s="5" t="str">
        <f ca="1">IFERROR(__xludf.DUMMYFUNCTION("GOOGLETRANSLATE(J552,""EN"",""ES"")"),"Soportes para sombrillas")</f>
        <v>Soportes para sombrillas</v>
      </c>
      <c r="M552" s="8" t="s">
        <v>6</v>
      </c>
      <c r="N552" s="8" t="s">
        <v>6</v>
      </c>
    </row>
    <row r="553" spans="1:14" ht="11.25" customHeight="1">
      <c r="A553" s="5" t="s">
        <v>1232</v>
      </c>
      <c r="B553" s="5" t="s">
        <v>1600</v>
      </c>
      <c r="C553" s="5" t="s">
        <v>1646</v>
      </c>
      <c r="D553" s="5" t="s">
        <v>1235</v>
      </c>
      <c r="E553" s="5" t="s">
        <v>10</v>
      </c>
      <c r="F553" s="5" t="s">
        <v>1236</v>
      </c>
      <c r="G553" s="5" t="s">
        <v>152</v>
      </c>
      <c r="H553" s="5" t="s">
        <v>1602</v>
      </c>
      <c r="I553" s="5" t="s">
        <v>1647</v>
      </c>
      <c r="J553" s="5" t="s">
        <v>1648</v>
      </c>
      <c r="K553" s="7" t="str">
        <f ca="1">IFERROR(__xludf.DUMMYFUNCTION("GOOGLETRANSLATE(H553,""EN"",""ES"")"),"PARAGUAS, SOMBRILLAS, SOMBRILLAS Y BASTONES")</f>
        <v>PARAGUAS, SOMBRILLAS, SOMBRILLAS Y BASTONES</v>
      </c>
      <c r="L553" s="5" t="str">
        <f ca="1">IFERROR(__xludf.DUMMYFUNCTION("GOOGLETRANSLATE(J553,""EN"",""ES"")"),"Soportes para bastones")</f>
        <v>Soportes para bastones</v>
      </c>
      <c r="M553" s="8" t="s">
        <v>6</v>
      </c>
      <c r="N553" s="8" t="s">
        <v>6</v>
      </c>
    </row>
    <row r="554" spans="1:14" ht="11.25" customHeight="1">
      <c r="A554" s="5" t="s">
        <v>1232</v>
      </c>
      <c r="B554" s="5" t="s">
        <v>1600</v>
      </c>
      <c r="C554" s="5" t="s">
        <v>1649</v>
      </c>
      <c r="D554" s="5" t="s">
        <v>1235</v>
      </c>
      <c r="E554" s="5" t="s">
        <v>10</v>
      </c>
      <c r="F554" s="5" t="s">
        <v>1236</v>
      </c>
      <c r="G554" s="5" t="s">
        <v>152</v>
      </c>
      <c r="H554" s="5" t="s">
        <v>1602</v>
      </c>
      <c r="I554" s="5" t="s">
        <v>1650</v>
      </c>
      <c r="J554" s="5" t="s">
        <v>1651</v>
      </c>
      <c r="K554" s="7" t="str">
        <f ca="1">IFERROR(__xludf.DUMMYFUNCTION("GOOGLETRANSLATE(H554,""EN"",""ES"")"),"PARAGUAS, SOMBRILLAS, SOMBRILLAS Y BASTONES")</f>
        <v>PARAGUAS, SOMBRILLAS, SOMBRILLAS Y BASTONES</v>
      </c>
      <c r="L554" s="5" t="str">
        <f ca="1">IFERROR(__xludf.DUMMYFUNCTION("GOOGLETRANSLATE(J554,""EN"",""ES"")"),"Bases para parasoles")</f>
        <v>Bases para parasoles</v>
      </c>
      <c r="M554" s="8" t="s">
        <v>6</v>
      </c>
      <c r="N554" s="8" t="s">
        <v>6</v>
      </c>
    </row>
    <row r="555" spans="1:14" ht="11.25" customHeight="1">
      <c r="A555" s="5" t="s">
        <v>1232</v>
      </c>
      <c r="B555" s="5" t="s">
        <v>1600</v>
      </c>
      <c r="C555" s="5" t="s">
        <v>1652</v>
      </c>
      <c r="D555" s="5" t="s">
        <v>1235</v>
      </c>
      <c r="E555" s="5" t="s">
        <v>10</v>
      </c>
      <c r="F555" s="5" t="s">
        <v>1236</v>
      </c>
      <c r="G555" s="5" t="s">
        <v>152</v>
      </c>
      <c r="H555" s="5" t="s">
        <v>1602</v>
      </c>
      <c r="I555" s="5" t="s">
        <v>1653</v>
      </c>
      <c r="J555" s="5" t="s">
        <v>1654</v>
      </c>
      <c r="K555" s="7" t="str">
        <f ca="1">IFERROR(__xludf.DUMMYFUNCTION("GOOGLETRANSLATE(H555,""EN"",""ES"")"),"PARAGUAS, SOMBRILLAS, SOMBRILLAS Y BASTONES")</f>
        <v>PARAGUAS, SOMBRILLAS, SOMBRILLAS Y BASTONES</v>
      </c>
      <c r="L555" s="5" t="str">
        <f ca="1">IFERROR(__xludf.DUMMYFUNCTION("GOOGLETRANSLATE(J555,""EN"",""ES"")"),"Bastones guía para personas con discapacidad visual")</f>
        <v>Bastones guía para personas con discapacidad visual</v>
      </c>
      <c r="M555" s="8" t="s">
        <v>6</v>
      </c>
      <c r="N555" s="8" t="s">
        <v>6</v>
      </c>
    </row>
    <row r="556" spans="1:14" ht="11.25" customHeight="1">
      <c r="A556" s="5" t="s">
        <v>1232</v>
      </c>
      <c r="B556" s="5" t="s">
        <v>1655</v>
      </c>
      <c r="C556" s="5" t="s">
        <v>1656</v>
      </c>
      <c r="D556" s="5" t="s">
        <v>1235</v>
      </c>
      <c r="E556" s="5" t="s">
        <v>10</v>
      </c>
      <c r="F556" s="5" t="s">
        <v>1236</v>
      </c>
      <c r="G556" s="5" t="s">
        <v>152</v>
      </c>
      <c r="H556" s="5" t="s">
        <v>1657</v>
      </c>
      <c r="I556" s="5" t="s">
        <v>1658</v>
      </c>
      <c r="J556" s="5" t="s">
        <v>1659</v>
      </c>
      <c r="K556" s="7" t="str">
        <f ca="1">IFERROR(__xludf.DUMMYFUNCTION("GOOGLETRANSLATE(H556,""EN"",""ES"")"),"VENTILADORES")</f>
        <v>VENTILADORES</v>
      </c>
      <c r="L556" s="5" t="str">
        <f ca="1">IFERROR(__xludf.DUMMYFUNCTION("GOOGLETRANSLATE(J556,""EN"",""ES"")"),"Ventiladores para uso personal")</f>
        <v>Ventiladores para uso personal</v>
      </c>
      <c r="M556" s="8" t="s">
        <v>6</v>
      </c>
      <c r="N556" s="8" t="s">
        <v>6</v>
      </c>
    </row>
    <row r="557" spans="1:14" ht="11.25" customHeight="1">
      <c r="A557" s="5" t="s">
        <v>1232</v>
      </c>
      <c r="B557" s="5" t="s">
        <v>1660</v>
      </c>
      <c r="C557" s="5" t="s">
        <v>1661</v>
      </c>
      <c r="D557" s="5" t="s">
        <v>1235</v>
      </c>
      <c r="E557" s="5" t="s">
        <v>10</v>
      </c>
      <c r="F557" s="5" t="s">
        <v>1236</v>
      </c>
      <c r="G557" s="5" t="s">
        <v>152</v>
      </c>
      <c r="H557" s="5" t="s">
        <v>1662</v>
      </c>
      <c r="I557" s="5" t="s">
        <v>1663</v>
      </c>
      <c r="J557" s="5" t="s">
        <v>1664</v>
      </c>
      <c r="K557" s="7" t="str">
        <f ca="1">IFERROR(__xludf.DUMMYFUNCTION("GOOGLETRANSLATE(H557,""EN"",""ES"")"),"Dispositivos para llevar y caminar con bebés y niños")</f>
        <v>Dispositivos para llevar y caminar con bebés y niños</v>
      </c>
      <c r="L557" s="5" t="str">
        <f ca="1">IFERROR(__xludf.DUMMYFUNCTION("GOOGLETRANSLATE(J557,""EN"",""ES"")"),"Mochilas para llevar bebes")</f>
        <v>Mochilas para llevar bebes</v>
      </c>
      <c r="M557" s="8" t="s">
        <v>6</v>
      </c>
      <c r="N557" s="8" t="s">
        <v>6</v>
      </c>
    </row>
    <row r="558" spans="1:14" ht="11.25" customHeight="1">
      <c r="A558" s="5" t="s">
        <v>1232</v>
      </c>
      <c r="B558" s="5" t="s">
        <v>1660</v>
      </c>
      <c r="C558" s="5" t="s">
        <v>1665</v>
      </c>
      <c r="D558" s="5" t="s">
        <v>1235</v>
      </c>
      <c r="E558" s="5" t="s">
        <v>10</v>
      </c>
      <c r="F558" s="5" t="s">
        <v>1236</v>
      </c>
      <c r="G558" s="5" t="s">
        <v>152</v>
      </c>
      <c r="H558" s="5" t="s">
        <v>1662</v>
      </c>
      <c r="I558" s="5" t="s">
        <v>1666</v>
      </c>
      <c r="J558" s="5" t="s">
        <v>1667</v>
      </c>
      <c r="K558" s="7" t="str">
        <f ca="1">IFERROR(__xludf.DUMMYFUNCTION("GOOGLETRANSLATE(H558,""EN"",""ES"")"),"Dispositivos para llevar y caminar con bebés y niños")</f>
        <v>Dispositivos para llevar y caminar con bebés y niños</v>
      </c>
      <c r="L558" s="5" t="str">
        <f ca="1">IFERROR(__xludf.DUMMYFUNCTION("GOOGLETRANSLATE(J558,""EN"",""ES"")"),"Portabebés que se llevan en el cuerpo.")</f>
        <v>Portabebés que se llevan en el cuerpo.</v>
      </c>
      <c r="M558" s="8" t="s">
        <v>6</v>
      </c>
      <c r="N558" s="8" t="s">
        <v>6</v>
      </c>
    </row>
    <row r="559" spans="1:14" ht="11.25" customHeight="1">
      <c r="A559" s="5" t="s">
        <v>1232</v>
      </c>
      <c r="B559" s="5" t="s">
        <v>1660</v>
      </c>
      <c r="C559" s="5" t="s">
        <v>1668</v>
      </c>
      <c r="D559" s="5" t="s">
        <v>1235</v>
      </c>
      <c r="E559" s="5" t="s">
        <v>10</v>
      </c>
      <c r="F559" s="5" t="s">
        <v>1236</v>
      </c>
      <c r="G559" s="5" t="s">
        <v>152</v>
      </c>
      <c r="H559" s="5" t="s">
        <v>1662</v>
      </c>
      <c r="I559" s="5" t="s">
        <v>1669</v>
      </c>
      <c r="J559" s="5" t="s">
        <v>1670</v>
      </c>
      <c r="K559" s="7" t="str">
        <f ca="1">IFERROR(__xludf.DUMMYFUNCTION("GOOGLETRANSLATE(H559,""EN"",""ES"")"),"Dispositivos para llevar y caminar con bebés y niños")</f>
        <v>Dispositivos para llevar y caminar con bebés y niños</v>
      </c>
      <c r="L559" s="5" t="str">
        <f ca="1">IFERROR(__xludf.DUMMYFUNCTION("GOOGLETRANSLATE(J559,""EN"",""ES"")"),"Riendas para niños pequeños")</f>
        <v>Riendas para niños pequeños</v>
      </c>
      <c r="M559" s="8" t="s">
        <v>6</v>
      </c>
      <c r="N559" s="8" t="s">
        <v>6</v>
      </c>
    </row>
    <row r="560" spans="1:14" ht="11.25" customHeight="1">
      <c r="A560" s="5" t="s">
        <v>1232</v>
      </c>
      <c r="B560" s="5" t="s">
        <v>1660</v>
      </c>
      <c r="C560" s="5" t="s">
        <v>1671</v>
      </c>
      <c r="D560" s="5" t="s">
        <v>1235</v>
      </c>
      <c r="E560" s="5" t="s">
        <v>10</v>
      </c>
      <c r="F560" s="5" t="s">
        <v>1236</v>
      </c>
      <c r="G560" s="5" t="s">
        <v>152</v>
      </c>
      <c r="H560" s="5" t="s">
        <v>1662</v>
      </c>
      <c r="I560" s="5" t="s">
        <v>1672</v>
      </c>
      <c r="J560" s="5" t="s">
        <v>1673</v>
      </c>
      <c r="K560" s="7" t="str">
        <f ca="1">IFERROR(__xludf.DUMMYFUNCTION("GOOGLETRANSLATE(H560,""EN"",""ES"")"),"Dispositivos para llevar y caminar con bebés y niños")</f>
        <v>Dispositivos para llevar y caminar con bebés y niños</v>
      </c>
      <c r="L560" s="5" t="str">
        <f ca="1">IFERROR(__xludf.DUMMYFUNCTION("GOOGLETRANSLATE(J560,""EN"",""ES"")"),"Muñequeras de seguridad para niños.")</f>
        <v>Muñequeras de seguridad para niños.</v>
      </c>
      <c r="M560" s="8" t="s">
        <v>6</v>
      </c>
      <c r="N560" s="8" t="s">
        <v>6</v>
      </c>
    </row>
    <row r="561" spans="1:14" ht="11.25" customHeight="1">
      <c r="A561" s="5" t="s">
        <v>1232</v>
      </c>
      <c r="B561" s="5" t="s">
        <v>1660</v>
      </c>
      <c r="C561" s="5" t="s">
        <v>1674</v>
      </c>
      <c r="D561" s="5" t="s">
        <v>1235</v>
      </c>
      <c r="E561" s="5" t="s">
        <v>10</v>
      </c>
      <c r="F561" s="5" t="s">
        <v>1236</v>
      </c>
      <c r="G561" s="5" t="s">
        <v>152</v>
      </c>
      <c r="H561" s="5" t="s">
        <v>1662</v>
      </c>
      <c r="I561" s="5" t="s">
        <v>1675</v>
      </c>
      <c r="J561" s="5" t="s">
        <v>1676</v>
      </c>
      <c r="K561" s="7" t="str">
        <f ca="1">IFERROR(__xludf.DUMMYFUNCTION("GOOGLETRANSLATE(H561,""EN"",""ES"")"),"Dispositivos para llevar y caminar con bebés y niños")</f>
        <v>Dispositivos para llevar y caminar con bebés y niños</v>
      </c>
      <c r="L561" s="5" t="str">
        <f ca="1">IFERROR(__xludf.DUMMYFUNCTION("GOOGLETRANSLATE(J561,""EN"",""ES"")"),"Portabebés para llevar bebés")</f>
        <v>Portabebés para llevar bebés</v>
      </c>
      <c r="M561" s="8" t="s">
        <v>6</v>
      </c>
      <c r="N561" s="8" t="s">
        <v>6</v>
      </c>
    </row>
    <row r="562" spans="1:14" ht="11.25" customHeight="1">
      <c r="A562" s="5" t="s">
        <v>1232</v>
      </c>
      <c r="B562" s="5" t="s">
        <v>1677</v>
      </c>
      <c r="C562" s="5" t="s">
        <v>152</v>
      </c>
      <c r="D562" s="5" t="s">
        <v>1235</v>
      </c>
      <c r="E562" s="5" t="s">
        <v>10</v>
      </c>
      <c r="F562" s="5" t="s">
        <v>1236</v>
      </c>
      <c r="G562" s="5" t="s">
        <v>152</v>
      </c>
      <c r="H562" s="5" t="s">
        <v>330</v>
      </c>
      <c r="I562" s="5" t="s">
        <v>152</v>
      </c>
      <c r="J562" s="5" t="s">
        <v>152</v>
      </c>
      <c r="K562" s="7" t="str">
        <f ca="1">IFERROR(__xludf.DUMMYFUNCTION("GOOGLETRANSLATE(H562,""EN"",""ES"")"),"MISCELÁNEAS")</f>
        <v>MISCELÁNEAS</v>
      </c>
      <c r="L562" s="5" t="str">
        <f ca="1">IFERROR(__xludf.DUMMYFUNCTION("GOOGLETRANSLATE(J562,""EN"",""ES"")"),"N / A")</f>
        <v>N / A</v>
      </c>
      <c r="M562" s="8" t="s">
        <v>6</v>
      </c>
      <c r="N562" s="8" t="s">
        <v>6</v>
      </c>
    </row>
    <row r="563" spans="1:14" ht="11.25" customHeight="1">
      <c r="A563" s="5" t="s">
        <v>1678</v>
      </c>
      <c r="B563" s="5" t="s">
        <v>1679</v>
      </c>
      <c r="C563" s="5" t="s">
        <v>1680</v>
      </c>
      <c r="D563" s="5" t="s">
        <v>1681</v>
      </c>
      <c r="E563" s="5" t="s">
        <v>1682</v>
      </c>
      <c r="F563" s="5" t="s">
        <v>1683</v>
      </c>
      <c r="G563" s="5" t="s">
        <v>152</v>
      </c>
      <c r="H563" s="5" t="s">
        <v>1684</v>
      </c>
      <c r="I563" s="5" t="s">
        <v>1685</v>
      </c>
      <c r="J563" s="5" t="s">
        <v>1686</v>
      </c>
      <c r="K563" s="7" t="str">
        <f ca="1">IFERROR(__xludf.DUMMYFUNCTION("GOOGLETRANSLATE(H563,""EN"",""ES"")"),"CEPILLOS Y ESCOBAS PARA LIMPIEZA")</f>
        <v>CEPILLOS Y ESCOBAS PARA LIMPIEZA</v>
      </c>
      <c r="L563" s="5" t="str">
        <f ca="1">IFERROR(__xludf.DUMMYFUNCTION("GOOGLETRANSLATE(J563,""EN"",""ES"")"),"Cepillos de fregar de mango largo")</f>
        <v>Cepillos de fregar de mango largo</v>
      </c>
      <c r="M563" s="8" t="s">
        <v>74</v>
      </c>
      <c r="N563" s="8" t="s">
        <v>6</v>
      </c>
    </row>
    <row r="564" spans="1:14" ht="11.25" customHeight="1">
      <c r="A564" s="5" t="s">
        <v>1678</v>
      </c>
      <c r="B564" s="5" t="s">
        <v>1679</v>
      </c>
      <c r="C564" s="5" t="s">
        <v>1687</v>
      </c>
      <c r="D564" s="5" t="s">
        <v>1681</v>
      </c>
      <c r="E564" s="5" t="s">
        <v>1682</v>
      </c>
      <c r="F564" s="5" t="s">
        <v>1683</v>
      </c>
      <c r="G564" s="5" t="s">
        <v>152</v>
      </c>
      <c r="H564" s="5" t="s">
        <v>1684</v>
      </c>
      <c r="I564" s="5" t="s">
        <v>1688</v>
      </c>
      <c r="J564" s="5" t="s">
        <v>1689</v>
      </c>
      <c r="K564" s="7" t="str">
        <f ca="1">IFERROR(__xludf.DUMMYFUNCTION("GOOGLETRANSLATE(H564,""EN"",""ES"")"),"CEPILLOS Y ESCOBAS PARA LIMPIEZA")</f>
        <v>CEPILLOS Y ESCOBAS PARA LIMPIEZA</v>
      </c>
      <c r="L564" s="5" t="str">
        <f ca="1">IFERROR(__xludf.DUMMYFUNCTION("GOOGLETRANSLATE(J564,""EN"",""ES"")"),"Escobas")</f>
        <v>Escobas</v>
      </c>
      <c r="M564" s="8" t="s">
        <v>74</v>
      </c>
      <c r="N564" s="8" t="s">
        <v>74</v>
      </c>
    </row>
    <row r="565" spans="1:14" ht="11.25" customHeight="1">
      <c r="A565" s="5" t="s">
        <v>1678</v>
      </c>
      <c r="B565" s="5" t="s">
        <v>1679</v>
      </c>
      <c r="C565" s="5" t="s">
        <v>1690</v>
      </c>
      <c r="D565" s="5" t="s">
        <v>1681</v>
      </c>
      <c r="E565" s="5" t="s">
        <v>1682</v>
      </c>
      <c r="F565" s="5" t="s">
        <v>1683</v>
      </c>
      <c r="G565" s="5" t="s">
        <v>152</v>
      </c>
      <c r="H565" s="5" t="s">
        <v>1684</v>
      </c>
      <c r="I565" s="5" t="s">
        <v>1691</v>
      </c>
      <c r="J565" s="5" t="s">
        <v>1692</v>
      </c>
      <c r="K565" s="7" t="str">
        <f ca="1">IFERROR(__xludf.DUMMYFUNCTION("GOOGLETRANSLATE(H565,""EN"",""ES"")"),"CEPILLOS Y ESCOBAS PARA LIMPIEZA")</f>
        <v>CEPILLOS Y ESCOBAS PARA LIMPIEZA</v>
      </c>
      <c r="L565" s="5" t="str">
        <f ca="1">IFERROR(__xludf.DUMMYFUNCTION("GOOGLETRANSLATE(J565,""EN"",""ES"")"),"trapeadores")</f>
        <v>trapeadores</v>
      </c>
      <c r="M565" s="8" t="s">
        <v>74</v>
      </c>
      <c r="N565" s="8" t="s">
        <v>74</v>
      </c>
    </row>
    <row r="566" spans="1:14" ht="11.25" customHeight="1">
      <c r="A566" s="5" t="s">
        <v>1678</v>
      </c>
      <c r="B566" s="5" t="s">
        <v>1679</v>
      </c>
      <c r="C566" s="5" t="s">
        <v>1693</v>
      </c>
      <c r="D566" s="5" t="s">
        <v>1681</v>
      </c>
      <c r="E566" s="5" t="s">
        <v>1682</v>
      </c>
      <c r="F566" s="5" t="s">
        <v>1683</v>
      </c>
      <c r="G566" s="5" t="s">
        <v>152</v>
      </c>
      <c r="H566" s="5" t="s">
        <v>1684</v>
      </c>
      <c r="I566" s="5" t="s">
        <v>1694</v>
      </c>
      <c r="J566" s="5" t="s">
        <v>1695</v>
      </c>
      <c r="K566" s="7" t="str">
        <f ca="1">IFERROR(__xludf.DUMMYFUNCTION("GOOGLETRANSLATE(H566,""EN"",""ES"")"),"CEPILLOS Y ESCOBAS PARA LIMPIEZA")</f>
        <v>CEPILLOS Y ESCOBAS PARA LIMPIEZA</v>
      </c>
      <c r="L566" s="5" t="str">
        <f ca="1">IFERROR(__xludf.DUMMYFUNCTION("GOOGLETRANSLATE(J566,""EN"",""ES"")"),"batidores")</f>
        <v>batidores</v>
      </c>
      <c r="M566" s="8" t="s">
        <v>74</v>
      </c>
      <c r="N566" s="8" t="s">
        <v>74</v>
      </c>
    </row>
    <row r="567" spans="1:14" ht="11.25" customHeight="1">
      <c r="A567" s="5" t="s">
        <v>1678</v>
      </c>
      <c r="B567" s="5" t="s">
        <v>1679</v>
      </c>
      <c r="C567" s="5" t="s">
        <v>1696</v>
      </c>
      <c r="D567" s="5" t="s">
        <v>1681</v>
      </c>
      <c r="E567" s="5" t="s">
        <v>1682</v>
      </c>
      <c r="F567" s="5" t="s">
        <v>1683</v>
      </c>
      <c r="G567" s="5" t="s">
        <v>152</v>
      </c>
      <c r="H567" s="5" t="s">
        <v>1684</v>
      </c>
      <c r="I567" s="5" t="s">
        <v>1697</v>
      </c>
      <c r="J567" s="5" t="s">
        <v>1698</v>
      </c>
      <c r="K567" s="7" t="str">
        <f ca="1">IFERROR(__xludf.DUMMYFUNCTION("GOOGLETRANSLATE(H567,""EN"",""ES"")"),"CEPILLOS Y ESCOBAS PARA LIMPIEZA")</f>
        <v>CEPILLOS Y ESCOBAS PARA LIMPIEZA</v>
      </c>
      <c r="L567" s="5" t="str">
        <f ca="1">IFERROR(__xludf.DUMMYFUNCTION("GOOGLETRANSLATE(J567,""EN"",""ES"")"),"Accesorios para fijar los cepillos a sus mangos.")</f>
        <v>Accesorios para fijar los cepillos a sus mangos.</v>
      </c>
      <c r="M567" s="8" t="s">
        <v>74</v>
      </c>
      <c r="N567" s="8" t="s">
        <v>74</v>
      </c>
    </row>
    <row r="568" spans="1:14" ht="11.25" customHeight="1">
      <c r="A568" s="5" t="s">
        <v>1678</v>
      </c>
      <c r="B568" s="5" t="s">
        <v>1679</v>
      </c>
      <c r="C568" s="5" t="s">
        <v>1699</v>
      </c>
      <c r="D568" s="5" t="s">
        <v>1681</v>
      </c>
      <c r="E568" s="5" t="s">
        <v>1682</v>
      </c>
      <c r="F568" s="5" t="s">
        <v>1683</v>
      </c>
      <c r="G568" s="5" t="s">
        <v>152</v>
      </c>
      <c r="H568" s="5" t="s">
        <v>1684</v>
      </c>
      <c r="I568" s="5" t="s">
        <v>1700</v>
      </c>
      <c r="J568" s="5" t="s">
        <v>1701</v>
      </c>
      <c r="K568" s="7" t="str">
        <f ca="1">IFERROR(__xludf.DUMMYFUNCTION("GOOGLETRANSLATE(H568,""EN"",""ES"")"),"CEPILLOS Y ESCOBAS PARA LIMPIEZA")</f>
        <v>CEPILLOS Y ESCOBAS PARA LIMPIEZA</v>
      </c>
      <c r="L568" s="5" t="str">
        <f ca="1">IFERROR(__xludf.DUMMYFUNCTION("GOOGLETRANSLATE(J568,""EN"",""ES"")"),"Cepillos absorbentes")</f>
        <v>Cepillos absorbentes</v>
      </c>
      <c r="M568" s="8" t="s">
        <v>74</v>
      </c>
      <c r="N568" s="8" t="s">
        <v>74</v>
      </c>
    </row>
    <row r="569" spans="1:14" ht="11.25" customHeight="1">
      <c r="A569" s="5" t="s">
        <v>1678</v>
      </c>
      <c r="B569" s="5" t="s">
        <v>1679</v>
      </c>
      <c r="C569" s="5" t="s">
        <v>1702</v>
      </c>
      <c r="D569" s="5" t="s">
        <v>1681</v>
      </c>
      <c r="E569" s="5" t="s">
        <v>1682</v>
      </c>
      <c r="F569" s="5" t="s">
        <v>1683</v>
      </c>
      <c r="G569" s="5" t="s">
        <v>152</v>
      </c>
      <c r="H569" s="5" t="s">
        <v>1684</v>
      </c>
      <c r="I569" s="5" t="s">
        <v>1703</v>
      </c>
      <c r="J569" s="5" t="s">
        <v>1704</v>
      </c>
      <c r="K569" s="7" t="str">
        <f ca="1">IFERROR(__xludf.DUMMYFUNCTION("GOOGLETRANSLATE(H569,""EN"",""ES"")"),"CEPILLOS Y ESCOBAS PARA LIMPIEZA")</f>
        <v>CEPILLOS Y ESCOBAS PARA LIMPIEZA</v>
      </c>
      <c r="L569" s="5" t="str">
        <f ca="1">IFERROR(__xludf.DUMMYFUNCTION("GOOGLETRANSLATE(J569,""EN"",""ES"")"),"cepillos de limpieza")</f>
        <v>cepillos de limpieza</v>
      </c>
      <c r="M569" s="8" t="s">
        <v>74</v>
      </c>
      <c r="N569" s="8" t="s">
        <v>74</v>
      </c>
    </row>
    <row r="570" spans="1:14" ht="11.25" customHeight="1">
      <c r="A570" s="5" t="s">
        <v>1678</v>
      </c>
      <c r="B570" s="5" t="s">
        <v>1679</v>
      </c>
      <c r="C570" s="5" t="s">
        <v>1705</v>
      </c>
      <c r="D570" s="5" t="s">
        <v>1681</v>
      </c>
      <c r="E570" s="5" t="s">
        <v>1682</v>
      </c>
      <c r="F570" s="5" t="s">
        <v>1683</v>
      </c>
      <c r="G570" s="5" t="s">
        <v>152</v>
      </c>
      <c r="H570" s="5" t="s">
        <v>1684</v>
      </c>
      <c r="I570" s="5" t="s">
        <v>1706</v>
      </c>
      <c r="J570" s="5" t="s">
        <v>1707</v>
      </c>
      <c r="K570" s="7" t="str">
        <f ca="1">IFERROR(__xludf.DUMMYFUNCTION("GOOGLETRANSLATE(H570,""EN"",""ES"")"),"CEPILLOS Y ESCOBAS PARA LIMPIEZA")</f>
        <v>CEPILLOS Y ESCOBAS PARA LIMPIEZA</v>
      </c>
      <c r="L570" s="5" t="str">
        <f ca="1">IFERROR(__xludf.DUMMYFUNCTION("GOOGLETRANSLATE(J570,""EN"",""ES"")"),"Cepillos para limpiar botellas.")</f>
        <v>Cepillos para limpiar botellas.</v>
      </c>
      <c r="M570" s="8" t="s">
        <v>74</v>
      </c>
      <c r="N570" s="8" t="s">
        <v>74</v>
      </c>
    </row>
    <row r="571" spans="1:14" ht="11.25" customHeight="1">
      <c r="A571" s="5" t="s">
        <v>1678</v>
      </c>
      <c r="B571" s="5" t="s">
        <v>1679</v>
      </c>
      <c r="C571" s="5" t="s">
        <v>1708</v>
      </c>
      <c r="D571" s="5" t="s">
        <v>1681</v>
      </c>
      <c r="E571" s="5" t="s">
        <v>1682</v>
      </c>
      <c r="F571" s="5" t="s">
        <v>1683</v>
      </c>
      <c r="G571" s="5" t="s">
        <v>152</v>
      </c>
      <c r="H571" s="5" t="s">
        <v>1684</v>
      </c>
      <c r="I571" s="5" t="s">
        <v>1709</v>
      </c>
      <c r="J571" s="5" t="s">
        <v>1710</v>
      </c>
      <c r="K571" s="7" t="str">
        <f ca="1">IFERROR(__xludf.DUMMYFUNCTION("GOOGLETRANSLATE(H571,""EN"",""ES"")"),"CEPILLOS Y ESCOBAS PARA LIMPIEZA")</f>
        <v>CEPILLOS Y ESCOBAS PARA LIMPIEZA</v>
      </c>
      <c r="L571" s="5" t="str">
        <f ca="1">IFERROR(__xludf.DUMMYFUNCTION("GOOGLETRANSLATE(J571,""EN"",""ES"")"),"cepillos para polvo")</f>
        <v>cepillos para polvo</v>
      </c>
      <c r="M571" s="8" t="s">
        <v>74</v>
      </c>
      <c r="N571" s="8" t="s">
        <v>74</v>
      </c>
    </row>
    <row r="572" spans="1:14" ht="11.25" customHeight="1">
      <c r="A572" s="5" t="s">
        <v>1678</v>
      </c>
      <c r="B572" s="5" t="s">
        <v>1679</v>
      </c>
      <c r="C572" s="5" t="s">
        <v>1711</v>
      </c>
      <c r="D572" s="5" t="s">
        <v>1681</v>
      </c>
      <c r="E572" s="5" t="s">
        <v>1682</v>
      </c>
      <c r="F572" s="5" t="s">
        <v>1683</v>
      </c>
      <c r="G572" s="5" t="s">
        <v>152</v>
      </c>
      <c r="H572" s="5" t="s">
        <v>1684</v>
      </c>
      <c r="I572" s="5" t="s">
        <v>1712</v>
      </c>
      <c r="J572" s="5" t="s">
        <v>1713</v>
      </c>
      <c r="K572" s="7" t="str">
        <f ca="1">IFERROR(__xludf.DUMMYFUNCTION("GOOGLETRANSLATE(H572,""EN"",""ES"")"),"CEPILLOS Y ESCOBAS PARA LIMPIEZA")</f>
        <v>CEPILLOS Y ESCOBAS PARA LIMPIEZA</v>
      </c>
      <c r="L572" s="5" t="str">
        <f ca="1">IFERROR(__xludf.DUMMYFUNCTION("GOOGLETRANSLATE(J572,""EN"",""ES"")"),"Plumeros para muebles con mango")</f>
        <v>Plumeros para muebles con mango</v>
      </c>
      <c r="M572" s="8" t="s">
        <v>74</v>
      </c>
      <c r="N572" s="8" t="s">
        <v>74</v>
      </c>
    </row>
    <row r="573" spans="1:14" ht="11.25" customHeight="1">
      <c r="A573" s="5" t="s">
        <v>1678</v>
      </c>
      <c r="B573" s="5" t="s">
        <v>1679</v>
      </c>
      <c r="C573" s="5" t="s">
        <v>1714</v>
      </c>
      <c r="D573" s="5" t="s">
        <v>1681</v>
      </c>
      <c r="E573" s="5" t="s">
        <v>1682</v>
      </c>
      <c r="F573" s="5" t="s">
        <v>1683</v>
      </c>
      <c r="G573" s="5" t="s">
        <v>152</v>
      </c>
      <c r="H573" s="5" t="s">
        <v>1684</v>
      </c>
      <c r="I573" s="5" t="s">
        <v>1715</v>
      </c>
      <c r="J573" s="5" t="s">
        <v>1716</v>
      </c>
      <c r="K573" s="7" t="str">
        <f ca="1">IFERROR(__xludf.DUMMYFUNCTION("GOOGLETRANSLATE(H573,""EN"",""ES"")"),"CEPILLOS Y ESCOBAS PARA LIMPIEZA")</f>
        <v>CEPILLOS Y ESCOBAS PARA LIMPIEZA</v>
      </c>
      <c r="L573" s="5" t="str">
        <f ca="1">IFERROR(__xludf.DUMMYFUNCTION("GOOGLETRANSLATE(J573,""EN"",""ES"")"),"cepillos para fregar")</f>
        <v>cepillos para fregar</v>
      </c>
      <c r="M573" s="8" t="s">
        <v>74</v>
      </c>
      <c r="N573" s="8" t="s">
        <v>74</v>
      </c>
    </row>
    <row r="574" spans="1:14" ht="11.25" customHeight="1">
      <c r="A574" s="5" t="s">
        <v>1678</v>
      </c>
      <c r="B574" s="5" t="s">
        <v>1679</v>
      </c>
      <c r="C574" s="5" t="s">
        <v>1717</v>
      </c>
      <c r="D574" s="5" t="s">
        <v>1681</v>
      </c>
      <c r="E574" s="5" t="s">
        <v>1682</v>
      </c>
      <c r="F574" s="5" t="s">
        <v>1683</v>
      </c>
      <c r="G574" s="5" t="s">
        <v>152</v>
      </c>
      <c r="H574" s="5" t="s">
        <v>1684</v>
      </c>
      <c r="I574" s="5" t="s">
        <v>1718</v>
      </c>
      <c r="J574" s="5" t="s">
        <v>1719</v>
      </c>
      <c r="K574" s="7" t="str">
        <f ca="1">IFERROR(__xludf.DUMMYFUNCTION("GOOGLETRANSLATE(H574,""EN"",""ES"")"),"CEPILLOS Y ESCOBAS PARA LIMPIEZA")</f>
        <v>CEPILLOS Y ESCOBAS PARA LIMPIEZA</v>
      </c>
      <c r="L574" s="5" t="str">
        <f ca="1">IFERROR(__xludf.DUMMYFUNCTION("GOOGLETRANSLATE(J574,""EN"",""ES"")"),"mangos de escoba")</f>
        <v>mangos de escoba</v>
      </c>
      <c r="M574" s="8" t="s">
        <v>74</v>
      </c>
      <c r="N574" s="8" t="s">
        <v>74</v>
      </c>
    </row>
    <row r="575" spans="1:14" ht="11.25" customHeight="1">
      <c r="A575" s="5" t="s">
        <v>1678</v>
      </c>
      <c r="B575" s="5" t="s">
        <v>1679</v>
      </c>
      <c r="C575" s="5" t="s">
        <v>1720</v>
      </c>
      <c r="D575" s="5" t="s">
        <v>1681</v>
      </c>
      <c r="E575" s="5" t="s">
        <v>1682</v>
      </c>
      <c r="F575" s="5" t="s">
        <v>1683</v>
      </c>
      <c r="G575" s="5" t="s">
        <v>152</v>
      </c>
      <c r="H575" s="5" t="s">
        <v>1684</v>
      </c>
      <c r="I575" s="5" t="s">
        <v>1721</v>
      </c>
      <c r="J575" s="5" t="s">
        <v>1722</v>
      </c>
      <c r="K575" s="7" t="str">
        <f ca="1">IFERROR(__xludf.DUMMYFUNCTION("GOOGLETRANSLATE(H575,""EN"",""ES"")"),"CEPILLOS Y ESCOBAS PARA LIMPIEZA")</f>
        <v>CEPILLOS Y ESCOBAS PARA LIMPIEZA</v>
      </c>
      <c r="L575" s="5" t="str">
        <f ca="1">IFERROR(__xludf.DUMMYFUNCTION("GOOGLETRANSLATE(J575,""EN"",""ES"")"),"Mangos para cepillos de limpieza.")</f>
        <v>Mangos para cepillos de limpieza.</v>
      </c>
      <c r="M575" s="8" t="s">
        <v>74</v>
      </c>
      <c r="N575" s="8" t="s">
        <v>74</v>
      </c>
    </row>
    <row r="576" spans="1:14" ht="11.25" customHeight="1">
      <c r="A576" s="5" t="s">
        <v>1678</v>
      </c>
      <c r="B576" s="5" t="s">
        <v>1679</v>
      </c>
      <c r="C576" s="5" t="s">
        <v>1723</v>
      </c>
      <c r="D576" s="5" t="s">
        <v>1681</v>
      </c>
      <c r="E576" s="5" t="s">
        <v>1682</v>
      </c>
      <c r="F576" s="5" t="s">
        <v>1683</v>
      </c>
      <c r="G576" s="5" t="s">
        <v>152</v>
      </c>
      <c r="H576" s="5" t="s">
        <v>1684</v>
      </c>
      <c r="I576" s="5" t="s">
        <v>1724</v>
      </c>
      <c r="J576" s="5" t="s">
        <v>1725</v>
      </c>
      <c r="K576" s="7" t="str">
        <f ca="1">IFERROR(__xludf.DUMMYFUNCTION("GOOGLETRANSLATE(H576,""EN"",""ES"")"),"CEPILLOS Y ESCOBAS PARA LIMPIEZA")</f>
        <v>CEPILLOS Y ESCOBAS PARA LIMPIEZA</v>
      </c>
      <c r="L576" s="5" t="str">
        <f ca="1">IFERROR(__xludf.DUMMYFUNCTION("GOOGLETRANSLATE(J576,""EN"",""ES"")"),"Cepillos para migas")</f>
        <v>Cepillos para migas</v>
      </c>
      <c r="M576" s="8" t="s">
        <v>74</v>
      </c>
      <c r="N576" s="8" t="s">
        <v>74</v>
      </c>
    </row>
    <row r="577" spans="1:14" ht="11.25" customHeight="1">
      <c r="A577" s="5" t="s">
        <v>1678</v>
      </c>
      <c r="B577" s="5" t="s">
        <v>1679</v>
      </c>
      <c r="C577" s="5" t="s">
        <v>1726</v>
      </c>
      <c r="D577" s="5" t="s">
        <v>1681</v>
      </c>
      <c r="E577" s="5" t="s">
        <v>1682</v>
      </c>
      <c r="F577" s="5" t="s">
        <v>1683</v>
      </c>
      <c r="G577" s="5" t="s">
        <v>152</v>
      </c>
      <c r="H577" s="5" t="s">
        <v>1684</v>
      </c>
      <c r="I577" s="5" t="s">
        <v>1727</v>
      </c>
      <c r="J577" s="5" t="s">
        <v>1728</v>
      </c>
      <c r="K577" s="7" t="str">
        <f ca="1">IFERROR(__xludf.DUMMYFUNCTION("GOOGLETRANSLATE(H577,""EN"",""ES"")"),"CEPILLOS Y ESCOBAS PARA LIMPIEZA")</f>
        <v>CEPILLOS Y ESCOBAS PARA LIMPIEZA</v>
      </c>
      <c r="L577" s="5" t="str">
        <f ca="1">IFERROR(__xludf.DUMMYFUNCTION("GOOGLETRANSLATE(J577,""EN"",""ES"")"),"Plumeros")</f>
        <v>Plumeros</v>
      </c>
      <c r="M577" s="8" t="s">
        <v>74</v>
      </c>
      <c r="N577" s="8" t="s">
        <v>74</v>
      </c>
    </row>
    <row r="578" spans="1:14" ht="11.25" customHeight="1">
      <c r="A578" s="5" t="s">
        <v>1678</v>
      </c>
      <c r="B578" s="5" t="s">
        <v>1679</v>
      </c>
      <c r="C578" s="5" t="s">
        <v>1729</v>
      </c>
      <c r="D578" s="5" t="s">
        <v>1681</v>
      </c>
      <c r="E578" s="5" t="s">
        <v>1682</v>
      </c>
      <c r="F578" s="5" t="s">
        <v>1683</v>
      </c>
      <c r="G578" s="5" t="s">
        <v>152</v>
      </c>
      <c r="H578" s="5" t="s">
        <v>1684</v>
      </c>
      <c r="I578" s="5" t="s">
        <v>1730</v>
      </c>
      <c r="J578" s="5" t="s">
        <v>1731</v>
      </c>
      <c r="K578" s="7" t="str">
        <f ca="1">IFERROR(__xludf.DUMMYFUNCTION("GOOGLETRANSLATE(H578,""EN"",""ES"")"),"CEPILLOS Y ESCOBAS PARA LIMPIEZA")</f>
        <v>CEPILLOS Y ESCOBAS PARA LIMPIEZA</v>
      </c>
      <c r="L578" s="5" t="str">
        <f ca="1">IFERROR(__xludf.DUMMYFUNCTION("GOOGLETRANSLATE(J578,""EN"",""ES"")"),"Cepillos de baño")</f>
        <v>Cepillos de baño</v>
      </c>
      <c r="M578" s="8" t="s">
        <v>74</v>
      </c>
      <c r="N578" s="8" t="s">
        <v>74</v>
      </c>
    </row>
    <row r="579" spans="1:14" ht="11.25" customHeight="1">
      <c r="A579" s="5" t="s">
        <v>1678</v>
      </c>
      <c r="B579" s="5" t="s">
        <v>1679</v>
      </c>
      <c r="C579" s="5" t="s">
        <v>1732</v>
      </c>
      <c r="D579" s="5" t="s">
        <v>1681</v>
      </c>
      <c r="E579" s="5" t="s">
        <v>1682</v>
      </c>
      <c r="F579" s="5" t="s">
        <v>1683</v>
      </c>
      <c r="G579" s="5" t="s">
        <v>152</v>
      </c>
      <c r="H579" s="5" t="s">
        <v>1684</v>
      </c>
      <c r="I579" s="5" t="s">
        <v>1733</v>
      </c>
      <c r="J579" s="5" t="s">
        <v>1734</v>
      </c>
      <c r="K579" s="7" t="str">
        <f ca="1">IFERROR(__xludf.DUMMYFUNCTION("GOOGLETRANSLATE(H579,""EN"",""ES"")"),"CEPILLOS Y ESCOBAS PARA LIMPIEZA")</f>
        <v>CEPILLOS Y ESCOBAS PARA LIMPIEZA</v>
      </c>
      <c r="L579" s="5" t="str">
        <f ca="1">IFERROR(__xludf.DUMMYFUNCTION("GOOGLETRANSLATE(J579,""EN"",""ES"")"),"Cepillos para lavavajillas")</f>
        <v>Cepillos para lavavajillas</v>
      </c>
      <c r="M579" s="8" t="s">
        <v>74</v>
      </c>
      <c r="N579" s="8" t="s">
        <v>74</v>
      </c>
    </row>
    <row r="580" spans="1:14" ht="11.25" customHeight="1">
      <c r="A580" s="5" t="s">
        <v>1678</v>
      </c>
      <c r="B580" s="5" t="s">
        <v>1679</v>
      </c>
      <c r="C580" s="5" t="s">
        <v>1735</v>
      </c>
      <c r="D580" s="5" t="s">
        <v>1681</v>
      </c>
      <c r="E580" s="5" t="s">
        <v>1682</v>
      </c>
      <c r="F580" s="5" t="s">
        <v>1683</v>
      </c>
      <c r="G580" s="5" t="s">
        <v>152</v>
      </c>
      <c r="H580" s="5" t="s">
        <v>1684</v>
      </c>
      <c r="I580" s="5" t="s">
        <v>1736</v>
      </c>
      <c r="J580" s="5" t="s">
        <v>1737</v>
      </c>
      <c r="K580" s="7" t="str">
        <f ca="1">IFERROR(__xludf.DUMMYFUNCTION("GOOGLETRANSLATE(H580,""EN"",""ES"")"),"CEPILLOS Y ESCOBAS PARA LIMPIEZA")</f>
        <v>CEPILLOS Y ESCOBAS PARA LIMPIEZA</v>
      </c>
      <c r="L580" s="5" t="str">
        <f ca="1">IFERROR(__xludf.DUMMYFUNCTION("GOOGLETRANSLATE(J580,""EN"",""ES"")"),"Dispositivos con cepillos para limpieza de gafas.")</f>
        <v>Dispositivos con cepillos para limpieza de gafas.</v>
      </c>
      <c r="M580" s="8" t="s">
        <v>74</v>
      </c>
      <c r="N580" s="8" t="s">
        <v>74</v>
      </c>
    </row>
    <row r="581" spans="1:14" ht="11.25" customHeight="1">
      <c r="A581" s="5" t="s">
        <v>1678</v>
      </c>
      <c r="B581" s="5" t="s">
        <v>1738</v>
      </c>
      <c r="C581" s="5" t="s">
        <v>1739</v>
      </c>
      <c r="D581" s="5" t="s">
        <v>1681</v>
      </c>
      <c r="E581" s="5" t="s">
        <v>1682</v>
      </c>
      <c r="F581" s="5" t="s">
        <v>1683</v>
      </c>
      <c r="G581" s="5" t="s">
        <v>152</v>
      </c>
      <c r="H581" s="5" t="s">
        <v>1740</v>
      </c>
      <c r="I581" s="5" t="s">
        <v>1741</v>
      </c>
      <c r="J581" s="5" t="s">
        <v>1742</v>
      </c>
      <c r="K581" s="7" t="str">
        <f ca="1">IFERROR(__xludf.DUMMYFUNCTION("GOOGLETRANSLATE(H581,""EN"",""ES"")"),"CEPILLOS DE WC, CEPILLOS PARA ROPA Y CEPILLOS PARA ZAPATOS")</f>
        <v>CEPILLOS DE WC, CEPILLOS PARA ROPA Y CEPILLOS PARA ZAPATOS</v>
      </c>
      <c r="L581" s="5" t="str">
        <f ca="1">IFERROR(__xludf.DUMMYFUNCTION("GOOGLETRANSLATE(J581,""EN"",""ES"")"),"Brochas de afeitar")</f>
        <v>Brochas de afeitar</v>
      </c>
      <c r="M581" s="8" t="s">
        <v>74</v>
      </c>
      <c r="N581" s="8" t="s">
        <v>74</v>
      </c>
    </row>
    <row r="582" spans="1:14" ht="11.25" customHeight="1">
      <c r="A582" s="5" t="s">
        <v>1678</v>
      </c>
      <c r="B582" s="5" t="s">
        <v>1738</v>
      </c>
      <c r="C582" s="5" t="s">
        <v>1743</v>
      </c>
      <c r="D582" s="5" t="s">
        <v>1681</v>
      </c>
      <c r="E582" s="5" t="s">
        <v>1682</v>
      </c>
      <c r="F582" s="5" t="s">
        <v>1683</v>
      </c>
      <c r="G582" s="5" t="s">
        <v>152</v>
      </c>
      <c r="H582" s="5" t="s">
        <v>1740</v>
      </c>
      <c r="I582" s="5" t="s">
        <v>1744</v>
      </c>
      <c r="J582" s="5" t="s">
        <v>1745</v>
      </c>
      <c r="K582" s="7" t="str">
        <f ca="1">IFERROR(__xludf.DUMMYFUNCTION("GOOGLETRANSLATE(H582,""EN"",""ES"")"),"CEPILLOS DE WC, CEPILLOS PARA ROPA Y CEPILLOS PARA ZAPATOS")</f>
        <v>CEPILLOS DE WC, CEPILLOS PARA ROPA Y CEPILLOS PARA ZAPATOS</v>
      </c>
      <c r="L582" s="5" t="str">
        <f ca="1">IFERROR(__xludf.DUMMYFUNCTION("GOOGLETRANSLATE(J582,""EN"",""ES"")"),"cepillos para el cabello")</f>
        <v>cepillos para el cabello</v>
      </c>
      <c r="M582" s="8" t="s">
        <v>74</v>
      </c>
      <c r="N582" s="8" t="s">
        <v>74</v>
      </c>
    </row>
    <row r="583" spans="1:14" ht="11.25" customHeight="1">
      <c r="A583" s="5" t="s">
        <v>1678</v>
      </c>
      <c r="B583" s="5" t="s">
        <v>1738</v>
      </c>
      <c r="C583" s="5" t="s">
        <v>1746</v>
      </c>
      <c r="D583" s="5" t="s">
        <v>1681</v>
      </c>
      <c r="E583" s="5" t="s">
        <v>1682</v>
      </c>
      <c r="F583" s="5" t="s">
        <v>1683</v>
      </c>
      <c r="G583" s="5" t="s">
        <v>152</v>
      </c>
      <c r="H583" s="5" t="s">
        <v>1740</v>
      </c>
      <c r="I583" s="5" t="s">
        <v>1747</v>
      </c>
      <c r="J583" s="5" t="s">
        <v>1748</v>
      </c>
      <c r="K583" s="7" t="str">
        <f ca="1">IFERROR(__xludf.DUMMYFUNCTION("GOOGLETRANSLATE(H583,""EN"",""ES"")"),"CEPILLOS DE WC, CEPILLOS PARA ROPA Y CEPILLOS PARA ZAPATOS")</f>
        <v>CEPILLOS DE WC, CEPILLOS PARA ROPA Y CEPILLOS PARA ZAPATOS</v>
      </c>
      <c r="L583" s="5" t="str">
        <f ca="1">IFERROR(__xludf.DUMMYFUNCTION("GOOGLETRANSLATE(J583,""EN"",""ES"")"),"cepillos de dientes")</f>
        <v>cepillos de dientes</v>
      </c>
      <c r="M583" s="8" t="s">
        <v>74</v>
      </c>
      <c r="N583" s="8" t="s">
        <v>74</v>
      </c>
    </row>
    <row r="584" spans="1:14" ht="11.25" customHeight="1">
      <c r="A584" s="5" t="s">
        <v>1678</v>
      </c>
      <c r="B584" s="5" t="s">
        <v>1738</v>
      </c>
      <c r="C584" s="5" t="s">
        <v>1749</v>
      </c>
      <c r="D584" s="5" t="s">
        <v>1681</v>
      </c>
      <c r="E584" s="5" t="s">
        <v>1682</v>
      </c>
      <c r="F584" s="5" t="s">
        <v>1683</v>
      </c>
      <c r="G584" s="5" t="s">
        <v>152</v>
      </c>
      <c r="H584" s="5" t="s">
        <v>1740</v>
      </c>
      <c r="I584" s="5" t="s">
        <v>1750</v>
      </c>
      <c r="J584" s="5" t="s">
        <v>1751</v>
      </c>
      <c r="K584" s="7" t="str">
        <f ca="1">IFERROR(__xludf.DUMMYFUNCTION("GOOGLETRANSLATE(H584,""EN"",""ES"")"),"CEPILLOS DE WC, CEPILLOS PARA ROPA Y CEPILLOS PARA ZAPATOS")</f>
        <v>CEPILLOS DE WC, CEPILLOS PARA ROPA Y CEPILLOS PARA ZAPATOS</v>
      </c>
      <c r="L584" s="5" t="str">
        <f ca="1">IFERROR(__xludf.DUMMYFUNCTION("GOOGLETRANSLATE(J584,""EN"",""ES"")"),"Escobillas de baño")</f>
        <v>Escobillas de baño</v>
      </c>
      <c r="M584" s="8" t="s">
        <v>74</v>
      </c>
      <c r="N584" s="8" t="s">
        <v>74</v>
      </c>
    </row>
    <row r="585" spans="1:14" ht="11.25" customHeight="1">
      <c r="A585" s="5" t="s">
        <v>1678</v>
      </c>
      <c r="B585" s="5" t="s">
        <v>1738</v>
      </c>
      <c r="C585" s="5" t="s">
        <v>1752</v>
      </c>
      <c r="D585" s="5" t="s">
        <v>1681</v>
      </c>
      <c r="E585" s="5" t="s">
        <v>1682</v>
      </c>
      <c r="F585" s="5" t="s">
        <v>1683</v>
      </c>
      <c r="G585" s="5" t="s">
        <v>152</v>
      </c>
      <c r="H585" s="5" t="s">
        <v>1740</v>
      </c>
      <c r="I585" s="5" t="s">
        <v>1753</v>
      </c>
      <c r="J585" s="5" t="s">
        <v>1754</v>
      </c>
      <c r="K585" s="7" t="str">
        <f ca="1">IFERROR(__xludf.DUMMYFUNCTION("GOOGLETRANSLATE(H585,""EN"",""ES"")"),"CEPILLOS DE WC, CEPILLOS PARA ROPA Y CEPILLOS PARA ZAPATOS")</f>
        <v>CEPILLOS DE WC, CEPILLOS PARA ROPA Y CEPILLOS PARA ZAPATOS</v>
      </c>
      <c r="L585" s="5" t="str">
        <f ca="1">IFERROR(__xludf.DUMMYFUNCTION("GOOGLETRANSLATE(J585,""EN"",""ES"")"),"cepillos para zapatos")</f>
        <v>cepillos para zapatos</v>
      </c>
      <c r="M585" s="8" t="s">
        <v>74</v>
      </c>
      <c r="N585" s="8" t="s">
        <v>74</v>
      </c>
    </row>
    <row r="586" spans="1:14" ht="11.25" customHeight="1">
      <c r="A586" s="5" t="s">
        <v>1678</v>
      </c>
      <c r="B586" s="5" t="s">
        <v>1738</v>
      </c>
      <c r="C586" s="5" t="s">
        <v>1755</v>
      </c>
      <c r="D586" s="5" t="s">
        <v>1681</v>
      </c>
      <c r="E586" s="5" t="s">
        <v>1682</v>
      </c>
      <c r="F586" s="5" t="s">
        <v>1683</v>
      </c>
      <c r="G586" s="5" t="s">
        <v>152</v>
      </c>
      <c r="H586" s="5" t="s">
        <v>1740</v>
      </c>
      <c r="I586" s="5" t="s">
        <v>1756</v>
      </c>
      <c r="J586" s="5" t="s">
        <v>1757</v>
      </c>
      <c r="K586" s="7" t="str">
        <f ca="1">IFERROR(__xludf.DUMMYFUNCTION("GOOGLETRANSLATE(H586,""EN"",""ES"")"),"CEPILLOS DE WC, CEPILLOS PARA ROPA Y CEPILLOS PARA ZAPATOS")</f>
        <v>CEPILLOS DE WC, CEPILLOS PARA ROPA Y CEPILLOS PARA ZAPATOS</v>
      </c>
      <c r="L586" s="5" t="str">
        <f ca="1">IFERROR(__xludf.DUMMYFUNCTION("GOOGLETRANSLATE(J586,""EN"",""ES"")"),"cepillos de ropa")</f>
        <v>cepillos de ropa</v>
      </c>
      <c r="M586" s="8" t="s">
        <v>74</v>
      </c>
      <c r="N586" s="8" t="s">
        <v>74</v>
      </c>
    </row>
    <row r="587" spans="1:14" ht="11.25" customHeight="1">
      <c r="A587" s="5" t="s">
        <v>1678</v>
      </c>
      <c r="B587" s="5" t="s">
        <v>1738</v>
      </c>
      <c r="C587" s="5" t="s">
        <v>1758</v>
      </c>
      <c r="D587" s="5" t="s">
        <v>1681</v>
      </c>
      <c r="E587" s="5" t="s">
        <v>1682</v>
      </c>
      <c r="F587" s="5" t="s">
        <v>1683</v>
      </c>
      <c r="G587" s="5" t="s">
        <v>152</v>
      </c>
      <c r="H587" s="5" t="s">
        <v>1740</v>
      </c>
      <c r="I587" s="5" t="s">
        <v>1759</v>
      </c>
      <c r="J587" s="5" t="s">
        <v>1760</v>
      </c>
      <c r="K587" s="7" t="str">
        <f ca="1">IFERROR(__xludf.DUMMYFUNCTION("GOOGLETRANSLATE(H587,""EN"",""ES"")"),"CEPILLOS DE WC, CEPILLOS PARA ROPA Y CEPILLOS PARA ZAPATOS")</f>
        <v>CEPILLOS DE WC, CEPILLOS PARA ROPA Y CEPILLOS PARA ZAPATOS</v>
      </c>
      <c r="L587" s="5" t="str">
        <f ca="1">IFERROR(__xludf.DUMMYFUNCTION("GOOGLETRANSLATE(J587,""EN"",""ES"")"),"cepillos de uñas")</f>
        <v>cepillos de uñas</v>
      </c>
      <c r="M587" s="8" t="s">
        <v>74</v>
      </c>
      <c r="N587" s="8" t="s">
        <v>74</v>
      </c>
    </row>
    <row r="588" spans="1:14" ht="11.25" customHeight="1">
      <c r="A588" s="5" t="s">
        <v>1678</v>
      </c>
      <c r="B588" s="5" t="s">
        <v>1738</v>
      </c>
      <c r="C588" s="5" t="s">
        <v>1761</v>
      </c>
      <c r="D588" s="5" t="s">
        <v>1681</v>
      </c>
      <c r="E588" s="5" t="s">
        <v>1682</v>
      </c>
      <c r="F588" s="5" t="s">
        <v>1683</v>
      </c>
      <c r="G588" s="5" t="s">
        <v>152</v>
      </c>
      <c r="H588" s="5" t="s">
        <v>1740</v>
      </c>
      <c r="I588" s="5" t="s">
        <v>1762</v>
      </c>
      <c r="J588" s="5" t="s">
        <v>1763</v>
      </c>
      <c r="K588" s="7" t="str">
        <f ca="1">IFERROR(__xludf.DUMMYFUNCTION("GOOGLETRANSLATE(H588,""EN"",""ES"")"),"CEPILLOS DE WC, CEPILLOS PARA ROPA Y CEPILLOS PARA ZAPATOS")</f>
        <v>CEPILLOS DE WC, CEPILLOS PARA ROPA Y CEPILLOS PARA ZAPATOS</v>
      </c>
      <c r="L588" s="5" t="str">
        <f ca="1">IFERROR(__xludf.DUMMYFUNCTION("GOOGLETRANSLATE(J588,""EN"",""ES"")"),"Pinceles cosméticos")</f>
        <v>Pinceles cosméticos</v>
      </c>
      <c r="M588" s="8" t="s">
        <v>74</v>
      </c>
      <c r="N588" s="8" t="s">
        <v>74</v>
      </c>
    </row>
    <row r="589" spans="1:14" ht="11.25" customHeight="1">
      <c r="A589" s="5" t="s">
        <v>1678</v>
      </c>
      <c r="B589" s="5" t="s">
        <v>1738</v>
      </c>
      <c r="C589" s="5" t="s">
        <v>1764</v>
      </c>
      <c r="D589" s="5" t="s">
        <v>1681</v>
      </c>
      <c r="E589" s="5" t="s">
        <v>1682</v>
      </c>
      <c r="F589" s="5" t="s">
        <v>1683</v>
      </c>
      <c r="G589" s="5" t="s">
        <v>152</v>
      </c>
      <c r="H589" s="5" t="s">
        <v>1740</v>
      </c>
      <c r="I589" s="5" t="s">
        <v>1765</v>
      </c>
      <c r="J589" s="5" t="s">
        <v>1766</v>
      </c>
      <c r="K589" s="7" t="str">
        <f ca="1">IFERROR(__xludf.DUMMYFUNCTION("GOOGLETRANSLATE(H589,""EN"",""ES"")"),"CEPILLOS DE WC, CEPILLOS PARA ROPA Y CEPILLOS PARA ZAPATOS")</f>
        <v>CEPILLOS DE WC, CEPILLOS PARA ROPA Y CEPILLOS PARA ZAPATOS</v>
      </c>
      <c r="L589" s="5" t="str">
        <f ca="1">IFERROR(__xludf.DUMMYFUNCTION("GOOGLETRANSLATE(J589,""EN"",""ES"")"),"Mangos para escobilla de baño")</f>
        <v>Mangos para escobilla de baño</v>
      </c>
      <c r="M589" s="8" t="s">
        <v>74</v>
      </c>
      <c r="N589" s="8" t="s">
        <v>74</v>
      </c>
    </row>
    <row r="590" spans="1:14" ht="11.25" customHeight="1">
      <c r="A590" s="5" t="s">
        <v>1678</v>
      </c>
      <c r="B590" s="5" t="s">
        <v>1738</v>
      </c>
      <c r="C590" s="5" t="s">
        <v>1767</v>
      </c>
      <c r="D590" s="5" t="s">
        <v>1681</v>
      </c>
      <c r="E590" s="5" t="s">
        <v>1682</v>
      </c>
      <c r="F590" s="5" t="s">
        <v>1683</v>
      </c>
      <c r="G590" s="5" t="s">
        <v>152</v>
      </c>
      <c r="H590" s="5" t="s">
        <v>1740</v>
      </c>
      <c r="I590" s="5" t="s">
        <v>1768</v>
      </c>
      <c r="J590" s="5" t="s">
        <v>1769</v>
      </c>
      <c r="K590" s="7" t="str">
        <f ca="1">IFERROR(__xludf.DUMMYFUNCTION("GOOGLETRANSLATE(H590,""EN"",""ES"")"),"CEPILLOS DE WC, CEPILLOS PARA ROPA Y CEPILLOS PARA ZAPATOS")</f>
        <v>CEPILLOS DE WC, CEPILLOS PARA ROPA Y CEPILLOS PARA ZAPATOS</v>
      </c>
      <c r="L590" s="5" t="str">
        <f ca="1">IFERROR(__xludf.DUMMYFUNCTION("GOOGLETRANSLATE(J590,""EN"",""ES"")"),"Mangos para cepillos de ropa.")</f>
        <v>Mangos para cepillos de ropa.</v>
      </c>
      <c r="M590" s="8" t="s">
        <v>74</v>
      </c>
      <c r="N590" s="8" t="s">
        <v>74</v>
      </c>
    </row>
    <row r="591" spans="1:14" ht="11.25" customHeight="1">
      <c r="A591" s="5" t="s">
        <v>1678</v>
      </c>
      <c r="B591" s="5" t="s">
        <v>1738</v>
      </c>
      <c r="C591" s="5" t="s">
        <v>1770</v>
      </c>
      <c r="D591" s="5" t="s">
        <v>1681</v>
      </c>
      <c r="E591" s="5" t="s">
        <v>1682</v>
      </c>
      <c r="F591" s="5" t="s">
        <v>1683</v>
      </c>
      <c r="G591" s="5" t="s">
        <v>152</v>
      </c>
      <c r="H591" s="5" t="s">
        <v>1740</v>
      </c>
      <c r="I591" s="5" t="s">
        <v>1771</v>
      </c>
      <c r="J591" s="5" t="s">
        <v>1772</v>
      </c>
      <c r="K591" s="7" t="str">
        <f ca="1">IFERROR(__xludf.DUMMYFUNCTION("GOOGLETRANSLATE(H591,""EN"",""ES"")"),"CEPILLOS DE WC, CEPILLOS PARA ROPA Y CEPILLOS PARA ZAPATOS")</f>
        <v>CEPILLOS DE WC, CEPILLOS PARA ROPA Y CEPILLOS PARA ZAPATOS</v>
      </c>
      <c r="L591" s="5" t="str">
        <f ca="1">IFERROR(__xludf.DUMMYFUNCTION("GOOGLETRANSLATE(J591,""EN"",""ES"")"),"Cepillos para cepillos de dientes eléctricos.")</f>
        <v>Cepillos para cepillos de dientes eléctricos.</v>
      </c>
      <c r="M591" s="8" t="s">
        <v>74</v>
      </c>
      <c r="N591" s="8" t="s">
        <v>74</v>
      </c>
    </row>
    <row r="592" spans="1:14" ht="11.25" customHeight="1">
      <c r="A592" s="5" t="s">
        <v>1678</v>
      </c>
      <c r="B592" s="5" t="s">
        <v>1738</v>
      </c>
      <c r="C592" s="5" t="s">
        <v>1773</v>
      </c>
      <c r="D592" s="5" t="s">
        <v>1681</v>
      </c>
      <c r="E592" s="5" t="s">
        <v>1682</v>
      </c>
      <c r="F592" s="5" t="s">
        <v>1683</v>
      </c>
      <c r="G592" s="5" t="s">
        <v>152</v>
      </c>
      <c r="H592" s="5" t="s">
        <v>1740</v>
      </c>
      <c r="I592" s="5" t="s">
        <v>1774</v>
      </c>
      <c r="J592" s="5" t="s">
        <v>1775</v>
      </c>
      <c r="K592" s="7" t="str">
        <f ca="1">IFERROR(__xludf.DUMMYFUNCTION("GOOGLETRANSLATE(H592,""EN"",""ES"")"),"CEPILLOS DE WC, CEPILLOS PARA ROPA Y CEPILLOS PARA ZAPATOS")</f>
        <v>CEPILLOS DE WC, CEPILLOS PARA ROPA Y CEPILLOS PARA ZAPATOS</v>
      </c>
      <c r="L592" s="5" t="str">
        <f ca="1">IFERROR(__xludf.DUMMYFUNCTION("GOOGLETRANSLATE(J592,""EN"",""ES"")"),"cepillos interdentales")</f>
        <v>cepillos interdentales</v>
      </c>
      <c r="M592" s="8" t="s">
        <v>74</v>
      </c>
      <c r="N592" s="8" t="s">
        <v>74</v>
      </c>
    </row>
    <row r="593" spans="1:14" ht="11.25" customHeight="1">
      <c r="A593" s="5" t="s">
        <v>1678</v>
      </c>
      <c r="B593" s="5" t="s">
        <v>1738</v>
      </c>
      <c r="C593" s="5" t="s">
        <v>1776</v>
      </c>
      <c r="D593" s="5" t="s">
        <v>1681</v>
      </c>
      <c r="E593" s="5" t="s">
        <v>1682</v>
      </c>
      <c r="F593" s="5" t="s">
        <v>1683</v>
      </c>
      <c r="G593" s="5" t="s">
        <v>152</v>
      </c>
      <c r="H593" s="5" t="s">
        <v>1740</v>
      </c>
      <c r="I593" s="5" t="s">
        <v>1777</v>
      </c>
      <c r="J593" s="5" t="s">
        <v>1778</v>
      </c>
      <c r="K593" s="7" t="str">
        <f ca="1">IFERROR(__xludf.DUMMYFUNCTION("GOOGLETRANSLATE(H593,""EN"",""ES"")"),"CEPILLOS DE WC, CEPILLOS PARA ROPA Y CEPILLOS PARA ZAPATOS")</f>
        <v>CEPILLOS DE WC, CEPILLOS PARA ROPA Y CEPILLOS PARA ZAPATOS</v>
      </c>
      <c r="L593" s="5" t="str">
        <f ca="1">IFERROR(__xludf.DUMMYFUNCTION("GOOGLETRANSLATE(J593,""EN"",""ES"")"),"Cabezales de cepillo de dientes")</f>
        <v>Cabezales de cepillo de dientes</v>
      </c>
      <c r="M593" s="8" t="s">
        <v>74</v>
      </c>
      <c r="N593" s="8" t="s">
        <v>74</v>
      </c>
    </row>
    <row r="594" spans="1:14" ht="11.25" customHeight="1">
      <c r="A594" s="5" t="s">
        <v>1678</v>
      </c>
      <c r="B594" s="5" t="s">
        <v>1738</v>
      </c>
      <c r="C594" s="5" t="s">
        <v>1779</v>
      </c>
      <c r="D594" s="5" t="s">
        <v>1681</v>
      </c>
      <c r="E594" s="5" t="s">
        <v>1682</v>
      </c>
      <c r="F594" s="5" t="s">
        <v>1683</v>
      </c>
      <c r="G594" s="5" t="s">
        <v>152</v>
      </c>
      <c r="H594" s="5" t="s">
        <v>1740</v>
      </c>
      <c r="I594" s="5" t="s">
        <v>1780</v>
      </c>
      <c r="J594" s="5" t="s">
        <v>1781</v>
      </c>
      <c r="K594" s="7" t="str">
        <f ca="1">IFERROR(__xludf.DUMMYFUNCTION("GOOGLETRANSLATE(H594,""EN"",""ES"")"),"CEPILLOS DE WC, CEPILLOS PARA ROPA Y CEPILLOS PARA ZAPATOS")</f>
        <v>CEPILLOS DE WC, CEPILLOS PARA ROPA Y CEPILLOS PARA ZAPATOS</v>
      </c>
      <c r="L594" s="5" t="str">
        <f ca="1">IFERROR(__xludf.DUMMYFUNCTION("GOOGLETRANSLATE(J594,""EN"",""ES"")"),"cepillos de rímel")</f>
        <v>cepillos de rímel</v>
      </c>
      <c r="M594" s="8" t="s">
        <v>74</v>
      </c>
      <c r="N594" s="8" t="s">
        <v>74</v>
      </c>
    </row>
    <row r="595" spans="1:14" ht="11.25" customHeight="1">
      <c r="A595" s="5" t="s">
        <v>1678</v>
      </c>
      <c r="B595" s="5" t="s">
        <v>1738</v>
      </c>
      <c r="C595" s="5" t="s">
        <v>1782</v>
      </c>
      <c r="D595" s="5" t="s">
        <v>1681</v>
      </c>
      <c r="E595" s="5" t="s">
        <v>1682</v>
      </c>
      <c r="F595" s="5" t="s">
        <v>1683</v>
      </c>
      <c r="G595" s="5" t="s">
        <v>152</v>
      </c>
      <c r="H595" s="5" t="s">
        <v>1740</v>
      </c>
      <c r="I595" s="5" t="s">
        <v>1783</v>
      </c>
      <c r="J595" s="5" t="s">
        <v>1784</v>
      </c>
      <c r="K595" s="7" t="str">
        <f ca="1">IFERROR(__xludf.DUMMYFUNCTION("GOOGLETRANSLATE(H595,""EN"",""ES"")"),"CEPILLOS DE WC, CEPILLOS PARA ROPA Y CEPILLOS PARA ZAPATOS")</f>
        <v>CEPILLOS DE WC, CEPILLOS PARA ROPA Y CEPILLOS PARA ZAPATOS</v>
      </c>
      <c r="L595" s="5" t="str">
        <f ca="1">IFERROR(__xludf.DUMMYFUNCTION("GOOGLETRANSLATE(J595,""EN"",""ES"")"),"Cerdas para cepillos de dientes")</f>
        <v>Cerdas para cepillos de dientes</v>
      </c>
      <c r="M595" s="8" t="s">
        <v>74</v>
      </c>
      <c r="N595" s="8" t="s">
        <v>74</v>
      </c>
    </row>
    <row r="596" spans="1:14" ht="11.25" customHeight="1">
      <c r="A596" s="5" t="s">
        <v>1678</v>
      </c>
      <c r="B596" s="5" t="s">
        <v>1738</v>
      </c>
      <c r="C596" s="5" t="s">
        <v>1785</v>
      </c>
      <c r="D596" s="5" t="s">
        <v>1681</v>
      </c>
      <c r="E596" s="5" t="s">
        <v>1682</v>
      </c>
      <c r="F596" s="5" t="s">
        <v>1683</v>
      </c>
      <c r="G596" s="5" t="s">
        <v>152</v>
      </c>
      <c r="H596" s="5" t="s">
        <v>1740</v>
      </c>
      <c r="I596" s="5" t="s">
        <v>1786</v>
      </c>
      <c r="J596" s="5" t="s">
        <v>1787</v>
      </c>
      <c r="K596" s="7" t="str">
        <f ca="1">IFERROR(__xludf.DUMMYFUNCTION("GOOGLETRANSLATE(H596,""EN"",""ES"")"),"CEPILLOS DE WC, CEPILLOS PARA ROPA Y CEPILLOS PARA ZAPATOS")</f>
        <v>CEPILLOS DE WC, CEPILLOS PARA ROPA Y CEPILLOS PARA ZAPATOS</v>
      </c>
      <c r="L596" s="5" t="str">
        <f ca="1">IFERROR(__xludf.DUMMYFUNCTION("GOOGLETRANSLATE(J596,""EN"",""ES"")"),"Pinceles para decoración de uñas")</f>
        <v>Pinceles para decoración de uñas</v>
      </c>
      <c r="M596" s="8" t="s">
        <v>74</v>
      </c>
      <c r="N596" s="8" t="s">
        <v>74</v>
      </c>
    </row>
    <row r="597" spans="1:14" ht="11.25" customHeight="1">
      <c r="A597" s="5" t="s">
        <v>1678</v>
      </c>
      <c r="B597" s="5" t="s">
        <v>1788</v>
      </c>
      <c r="C597" s="5" t="s">
        <v>1789</v>
      </c>
      <c r="D597" s="5" t="s">
        <v>1681</v>
      </c>
      <c r="E597" s="5" t="s">
        <v>1682</v>
      </c>
      <c r="F597" s="5" t="s">
        <v>1683</v>
      </c>
      <c r="G597" s="5" t="s">
        <v>152</v>
      </c>
      <c r="H597" s="5" t="s">
        <v>1790</v>
      </c>
      <c r="I597" s="5" t="s">
        <v>1791</v>
      </c>
      <c r="J597" s="5" t="s">
        <v>1792</v>
      </c>
      <c r="K597" s="7" t="str">
        <f ca="1">IFERROR(__xludf.DUMMYFUNCTION("GOOGLETRANSLATE(H597,""EN"",""ES"")"),"CEPILLOS PARA MAQUINAS")</f>
        <v>CEPILLOS PARA MAQUINAS</v>
      </c>
      <c r="L597" s="5" t="str">
        <f ca="1">IFERROR(__xludf.DUMMYFUNCTION("GOOGLETRANSLATE(J597,""EN"",""ES"")"),"Cepillos para maquinas")</f>
        <v>Cepillos para maquinas</v>
      </c>
      <c r="M597" s="8" t="s">
        <v>53</v>
      </c>
      <c r="N597" s="8" t="s">
        <v>74</v>
      </c>
    </row>
    <row r="598" spans="1:14" ht="11.25" customHeight="1">
      <c r="A598" s="5" t="s">
        <v>1678</v>
      </c>
      <c r="B598" s="5" t="s">
        <v>1793</v>
      </c>
      <c r="C598" s="5" t="s">
        <v>1794</v>
      </c>
      <c r="D598" s="5" t="s">
        <v>1681</v>
      </c>
      <c r="E598" s="5" t="s">
        <v>1682</v>
      </c>
      <c r="F598" s="5" t="s">
        <v>1683</v>
      </c>
      <c r="G598" s="5" t="s">
        <v>152</v>
      </c>
      <c r="H598" s="5" t="s">
        <v>1795</v>
      </c>
      <c r="I598" s="5" t="s">
        <v>1796</v>
      </c>
      <c r="J598" s="5" t="s">
        <v>1797</v>
      </c>
      <c r="K598" s="7" t="str">
        <f ca="1">IFERROR(__xludf.DUMMYFUNCTION("GOOGLETRANSLATE(H598,""EN"",""ES"")"),"PINCELES, PINCELES PARA USO EN COCINA")</f>
        <v>PINCELES, PINCELES PARA USO EN COCINA</v>
      </c>
      <c r="L598" s="5" t="str">
        <f ca="1">IFERROR(__xludf.DUMMYFUNCTION("GOOGLETRANSLATE(J598,""EN"",""ES"")"),"Pinceles")</f>
        <v>Pinceles</v>
      </c>
      <c r="M598" s="8" t="s">
        <v>22</v>
      </c>
      <c r="N598" s="8" t="s">
        <v>65</v>
      </c>
    </row>
    <row r="599" spans="1:14" ht="11.25" customHeight="1">
      <c r="A599" s="5" t="s">
        <v>1678</v>
      </c>
      <c r="B599" s="5" t="s">
        <v>1793</v>
      </c>
      <c r="C599" s="5" t="s">
        <v>1798</v>
      </c>
      <c r="D599" s="5" t="s">
        <v>1681</v>
      </c>
      <c r="E599" s="5" t="s">
        <v>1682</v>
      </c>
      <c r="F599" s="5" t="s">
        <v>1683</v>
      </c>
      <c r="G599" s="5" t="s">
        <v>152</v>
      </c>
      <c r="H599" s="5" t="s">
        <v>1795</v>
      </c>
      <c r="I599" s="5" t="s">
        <v>1799</v>
      </c>
      <c r="J599" s="5" t="s">
        <v>1800</v>
      </c>
      <c r="K599" s="7" t="str">
        <f ca="1">IFERROR(__xludf.DUMMYFUNCTION("GOOGLETRANSLATE(H599,""EN"",""ES"")"),"PINCELES, PINCELES PARA USO EN COCINA")</f>
        <v>PINCELES, PINCELES PARA USO EN COCINA</v>
      </c>
      <c r="L599" s="5" t="str">
        <f ca="1">IFERROR(__xludf.DUMMYFUNCTION("GOOGLETRANSLATE(J599,""EN"",""ES"")"),"Pinceles utilizados en la cocina.")</f>
        <v>Pinceles utilizados en la cocina.</v>
      </c>
      <c r="M599" s="8" t="s">
        <v>22</v>
      </c>
      <c r="N599" s="8" t="s">
        <v>22</v>
      </c>
    </row>
    <row r="600" spans="1:14" ht="11.25" customHeight="1">
      <c r="A600" s="5" t="s">
        <v>1678</v>
      </c>
      <c r="B600" s="5" t="s">
        <v>1793</v>
      </c>
      <c r="C600" s="5" t="s">
        <v>1801</v>
      </c>
      <c r="D600" s="5" t="s">
        <v>1681</v>
      </c>
      <c r="E600" s="5" t="s">
        <v>1682</v>
      </c>
      <c r="F600" s="5" t="s">
        <v>1683</v>
      </c>
      <c r="G600" s="5" t="s">
        <v>152</v>
      </c>
      <c r="H600" s="5" t="s">
        <v>1795</v>
      </c>
      <c r="I600" s="5" t="s">
        <v>1802</v>
      </c>
      <c r="J600" s="5" t="s">
        <v>1803</v>
      </c>
      <c r="K600" s="7" t="str">
        <f ca="1">IFERROR(__xludf.DUMMYFUNCTION("GOOGLETRANSLATE(H600,""EN"",""ES"")"),"PINCELES, PINCELES PARA USO EN COCINA")</f>
        <v>PINCELES, PINCELES PARA USO EN COCINA</v>
      </c>
      <c r="L600" s="5" t="str">
        <f ca="1">IFERROR(__xludf.DUMMYFUNCTION("GOOGLETRANSLATE(J600,""EN"",""ES"")"),"Mangos de pincel")</f>
        <v>Mangos de pincel</v>
      </c>
      <c r="M600" s="8" t="s">
        <v>22</v>
      </c>
      <c r="N600" s="8" t="s">
        <v>65</v>
      </c>
    </row>
    <row r="601" spans="1:14" ht="11.25" customHeight="1">
      <c r="A601" s="5" t="s">
        <v>1678</v>
      </c>
      <c r="B601" s="5" t="s">
        <v>1793</v>
      </c>
      <c r="C601" s="5" t="s">
        <v>1804</v>
      </c>
      <c r="D601" s="5" t="s">
        <v>1681</v>
      </c>
      <c r="E601" s="5" t="s">
        <v>1682</v>
      </c>
      <c r="F601" s="5" t="s">
        <v>1683</v>
      </c>
      <c r="G601" s="5" t="s">
        <v>152</v>
      </c>
      <c r="H601" s="5" t="s">
        <v>1795</v>
      </c>
      <c r="I601" s="5" t="s">
        <v>1805</v>
      </c>
      <c r="J601" s="5" t="s">
        <v>1806</v>
      </c>
      <c r="K601" s="7" t="str">
        <f ca="1">IFERROR(__xludf.DUMMYFUNCTION("GOOGLETRANSLATE(H601,""EN"",""ES"")"),"PINCELES, PINCELES PARA USO EN COCINA")</f>
        <v>PINCELES, PINCELES PARA USO EN COCINA</v>
      </c>
      <c r="L601" s="5" t="str">
        <f ca="1">IFERROR(__xludf.DUMMYFUNCTION("GOOGLETRANSLATE(J601,""EN"",""ES"")"),"Mangos para cepillos utilizados en la cocina.")</f>
        <v>Mangos para cepillos utilizados en la cocina.</v>
      </c>
      <c r="M601" s="8" t="s">
        <v>22</v>
      </c>
      <c r="N601" s="8" t="s">
        <v>22</v>
      </c>
    </row>
    <row r="602" spans="1:14" ht="11.25" customHeight="1">
      <c r="A602" s="5" t="s">
        <v>1678</v>
      </c>
      <c r="B602" s="5" t="s">
        <v>1807</v>
      </c>
      <c r="C602" s="5" t="s">
        <v>152</v>
      </c>
      <c r="D602" s="5" t="s">
        <v>1681</v>
      </c>
      <c r="E602" s="5" t="s">
        <v>1682</v>
      </c>
      <c r="F602" s="5" t="s">
        <v>1683</v>
      </c>
      <c r="G602" s="5" t="s">
        <v>152</v>
      </c>
      <c r="H602" s="5" t="s">
        <v>330</v>
      </c>
      <c r="I602" s="5" t="s">
        <v>152</v>
      </c>
      <c r="J602" s="5" t="s">
        <v>152</v>
      </c>
      <c r="K602" s="7" t="str">
        <f ca="1">IFERROR(__xludf.DUMMYFUNCTION("GOOGLETRANSLATE(H602,""EN"",""ES"")"),"MISCELÁNEAS")</f>
        <v>MISCELÁNEAS</v>
      </c>
      <c r="L602" s="5" t="str">
        <f ca="1">IFERROR(__xludf.DUMMYFUNCTION("GOOGLETRANSLATE(J602,""EN"",""ES"")"),"N / A")</f>
        <v>N / A</v>
      </c>
      <c r="M602" s="8" t="s">
        <v>22</v>
      </c>
      <c r="N602" s="8" t="s">
        <v>22</v>
      </c>
    </row>
    <row r="603" spans="1:14" ht="11.25" customHeight="1">
      <c r="A603" s="5" t="s">
        <v>1808</v>
      </c>
      <c r="B603" s="5" t="s">
        <v>1809</v>
      </c>
      <c r="C603" s="5" t="s">
        <v>1810</v>
      </c>
      <c r="D603" s="5" t="s">
        <v>1811</v>
      </c>
      <c r="E603" s="5" t="s">
        <v>12</v>
      </c>
      <c r="F603" s="5" t="s">
        <v>1812</v>
      </c>
      <c r="G603" s="5" t="s">
        <v>1813</v>
      </c>
      <c r="H603" s="5" t="s">
        <v>1814</v>
      </c>
      <c r="I603" s="5" t="s">
        <v>1815</v>
      </c>
      <c r="J603" s="5" t="s">
        <v>1816</v>
      </c>
      <c r="K603" s="7" t="str">
        <f ca="1">IFERROR(__xludf.DUMMYFUNCTION("GOOGLETRANSLATE(H603,""EN"",""ES"")"),"ARTÍCULOS HILADOS")</f>
        <v>ARTÍCULOS HILADOS</v>
      </c>
      <c r="L603" s="5" t="str">
        <f ca="1">IFERROR(__xludf.DUMMYFUNCTION("GOOGLETRANSLATE(J603,""EN"",""ES"")"),"Puntos del revés para bordar")</f>
        <v>Puntos del revés para bordar</v>
      </c>
      <c r="M603" s="8" t="s">
        <v>11</v>
      </c>
      <c r="N603" s="8" t="s">
        <v>11</v>
      </c>
    </row>
    <row r="604" spans="1:14" ht="11.25" customHeight="1">
      <c r="A604" s="5" t="s">
        <v>1808</v>
      </c>
      <c r="B604" s="5" t="s">
        <v>1809</v>
      </c>
      <c r="C604" s="5" t="s">
        <v>1817</v>
      </c>
      <c r="D604" s="5" t="s">
        <v>1811</v>
      </c>
      <c r="E604" s="5" t="s">
        <v>12</v>
      </c>
      <c r="F604" s="5" t="s">
        <v>1812</v>
      </c>
      <c r="G604" s="5" t="s">
        <v>1813</v>
      </c>
      <c r="H604" s="5" t="s">
        <v>1814</v>
      </c>
      <c r="I604" s="5" t="s">
        <v>1818</v>
      </c>
      <c r="J604" s="5" t="s">
        <v>1819</v>
      </c>
      <c r="K604" s="7" t="str">
        <f ca="1">IFERROR(__xludf.DUMMYFUNCTION("GOOGLETRANSLATE(H604,""EN"",""ES"")"),"ARTÍCULOS HILADOS")</f>
        <v>ARTÍCULOS HILADOS</v>
      </c>
      <c r="L604" s="5" t="str">
        <f ca="1">IFERROR(__xludf.DUMMYFUNCTION("GOOGLETRANSLATE(J604,""EN"",""ES"")"),"Hilos")</f>
        <v>Hilos</v>
      </c>
      <c r="M604" s="8" t="s">
        <v>11</v>
      </c>
      <c r="N604" s="8" t="s">
        <v>11</v>
      </c>
    </row>
    <row r="605" spans="1:14" ht="11.25" customHeight="1">
      <c r="A605" s="5" t="s">
        <v>1808</v>
      </c>
      <c r="B605" s="5" t="s">
        <v>1809</v>
      </c>
      <c r="C605" s="5" t="s">
        <v>1817</v>
      </c>
      <c r="D605" s="5" t="s">
        <v>1811</v>
      </c>
      <c r="E605" s="5" t="s">
        <v>12</v>
      </c>
      <c r="F605" s="5" t="s">
        <v>1812</v>
      </c>
      <c r="G605" s="5" t="s">
        <v>1813</v>
      </c>
      <c r="H605" s="5" t="s">
        <v>1814</v>
      </c>
      <c r="I605" s="5" t="s">
        <v>1820</v>
      </c>
      <c r="J605" s="5" t="s">
        <v>1821</v>
      </c>
      <c r="K605" s="7" t="str">
        <f ca="1">IFERROR(__xludf.DUMMYFUNCTION("GOOGLETRANSLATE(H605,""EN"",""ES"")"),"ARTÍCULOS HILADOS")</f>
        <v>ARTÍCULOS HILADOS</v>
      </c>
      <c r="L605" s="5" t="str">
        <f ca="1">IFERROR(__xludf.DUMMYFUNCTION("GOOGLETRANSLATE(J605,""EN"",""ES"")"),"Hilos textiles")</f>
        <v>Hilos textiles</v>
      </c>
      <c r="M605" s="8" t="s">
        <v>11</v>
      </c>
      <c r="N605" s="8" t="s">
        <v>11</v>
      </c>
    </row>
    <row r="606" spans="1:14" ht="11.25" customHeight="1">
      <c r="A606" s="5" t="s">
        <v>1808</v>
      </c>
      <c r="B606" s="5" t="s">
        <v>1822</v>
      </c>
      <c r="C606" s="5" t="s">
        <v>1823</v>
      </c>
      <c r="D606" s="5" t="s">
        <v>1811</v>
      </c>
      <c r="E606" s="5" t="s">
        <v>12</v>
      </c>
      <c r="F606" s="5" t="s">
        <v>1812</v>
      </c>
      <c r="G606" s="5" t="s">
        <v>1813</v>
      </c>
      <c r="H606" s="5" t="s">
        <v>1824</v>
      </c>
      <c r="I606" s="5" t="s">
        <v>1825</v>
      </c>
      <c r="J606" s="5" t="s">
        <v>1826</v>
      </c>
      <c r="K606" s="7" t="str">
        <f ca="1">IFERROR(__xludf.DUMMYFUNCTION("GOOGLETRANSLATE(H606,""EN"",""ES"")"),"CORDÓN")</f>
        <v>CORDÓN</v>
      </c>
      <c r="L606" s="5" t="str">
        <f ca="1">IFERROR(__xludf.DUMMYFUNCTION("GOOGLETRANSLATE(J606,""EN"",""ES"")"),"Cordón")</f>
        <v>Cordón</v>
      </c>
      <c r="M606" s="8" t="s">
        <v>11</v>
      </c>
      <c r="N606" s="8" t="s">
        <v>11</v>
      </c>
    </row>
    <row r="607" spans="1:14" ht="11.25" customHeight="1">
      <c r="A607" s="5" t="s">
        <v>1808</v>
      </c>
      <c r="B607" s="5" t="s">
        <v>1822</v>
      </c>
      <c r="C607" s="5" t="s">
        <v>1827</v>
      </c>
      <c r="D607" s="5" t="s">
        <v>1811</v>
      </c>
      <c r="E607" s="5" t="s">
        <v>12</v>
      </c>
      <c r="F607" s="5" t="s">
        <v>1812</v>
      </c>
      <c r="G607" s="5" t="s">
        <v>1813</v>
      </c>
      <c r="H607" s="5" t="s">
        <v>1824</v>
      </c>
      <c r="I607" s="5" t="s">
        <v>1828</v>
      </c>
      <c r="J607" s="5" t="s">
        <v>1829</v>
      </c>
      <c r="K607" s="7" t="str">
        <f ca="1">IFERROR(__xludf.DUMMYFUNCTION("GOOGLETRANSLATE(H607,""EN"",""ES"")"),"CORDÓN")</f>
        <v>CORDÓN</v>
      </c>
      <c r="L607" s="5" t="str">
        <f ca="1">IFERROR(__xludf.DUMMYFUNCTION("GOOGLETRANSLATE(J607,""EN"",""ES"")"),"Inserciones [tul, encaje]")</f>
        <v>Inserciones [tul, encaje]</v>
      </c>
      <c r="M607" s="8" t="s">
        <v>11</v>
      </c>
      <c r="N607" s="8" t="s">
        <v>11</v>
      </c>
    </row>
    <row r="608" spans="1:14" ht="11.25" customHeight="1">
      <c r="A608" s="5" t="s">
        <v>1808</v>
      </c>
      <c r="B608" s="5" t="s">
        <v>1830</v>
      </c>
      <c r="C608" s="5" t="s">
        <v>1831</v>
      </c>
      <c r="D608" s="5" t="s">
        <v>1811</v>
      </c>
      <c r="E608" s="5" t="s">
        <v>12</v>
      </c>
      <c r="F608" s="5" t="s">
        <v>1812</v>
      </c>
      <c r="G608" s="5" t="s">
        <v>1813</v>
      </c>
      <c r="H608" s="5" t="s">
        <v>1832</v>
      </c>
      <c r="I608" s="5" t="s">
        <v>1833</v>
      </c>
      <c r="J608" s="5" t="s">
        <v>1834</v>
      </c>
      <c r="K608" s="7" t="str">
        <f ca="1">IFERROR(__xludf.DUMMYFUNCTION("GOOGLETRANSLATE(H608,""EN"",""ES"")"),"BORDADO")</f>
        <v>BORDADO</v>
      </c>
      <c r="L608" s="5" t="str">
        <f ca="1">IFERROR(__xludf.DUMMYFUNCTION("GOOGLETRANSLATE(J608,""EN"",""ES"")"),"Bordado")</f>
        <v>Bordado</v>
      </c>
      <c r="M608" s="8" t="s">
        <v>11</v>
      </c>
      <c r="N608" s="8" t="s">
        <v>11</v>
      </c>
    </row>
    <row r="609" spans="1:14" ht="11.25" customHeight="1">
      <c r="A609" s="5" t="s">
        <v>1808</v>
      </c>
      <c r="B609" s="5" t="s">
        <v>1835</v>
      </c>
      <c r="C609" s="5" t="s">
        <v>1836</v>
      </c>
      <c r="D609" s="5" t="s">
        <v>1811</v>
      </c>
      <c r="E609" s="5" t="s">
        <v>12</v>
      </c>
      <c r="F609" s="5" t="s">
        <v>1812</v>
      </c>
      <c r="G609" s="5" t="s">
        <v>1813</v>
      </c>
      <c r="H609" s="5" t="s">
        <v>1837</v>
      </c>
      <c r="I609" s="5" t="s">
        <v>1838</v>
      </c>
      <c r="J609" s="5" t="s">
        <v>1839</v>
      </c>
      <c r="K609" s="7" t="str">
        <f ca="1">IFERROR(__xludf.DUMMYFUNCTION("GOOGLETRANSLATE(H609,""EN"",""ES"")"),"CINTAS, TRENZAS Y OTRAS PASAMANERÍAS DECORATIVAS")</f>
        <v>CINTAS, TRENZAS Y OTRAS PASAMANERÍAS DECORATIVAS</v>
      </c>
      <c r="L609" s="5" t="str">
        <f ca="1">IFERROR(__xludf.DUMMYFUNCTION("GOOGLETRANSLATE(J609,""EN"",""ES"")"),"Ribetes de prendas")</f>
        <v>Ribetes de prendas</v>
      </c>
      <c r="M609" s="8" t="s">
        <v>11</v>
      </c>
      <c r="N609" s="8" t="s">
        <v>11</v>
      </c>
    </row>
    <row r="610" spans="1:14" ht="11.25" customHeight="1">
      <c r="A610" s="5" t="s">
        <v>1808</v>
      </c>
      <c r="B610" s="5" t="s">
        <v>1835</v>
      </c>
      <c r="C610" s="5" t="s">
        <v>1840</v>
      </c>
      <c r="D610" s="5" t="s">
        <v>1811</v>
      </c>
      <c r="E610" s="5" t="s">
        <v>12</v>
      </c>
      <c r="F610" s="5" t="s">
        <v>1812</v>
      </c>
      <c r="G610" s="5" t="s">
        <v>1813</v>
      </c>
      <c r="H610" s="5" t="s">
        <v>1837</v>
      </c>
      <c r="I610" s="5" t="s">
        <v>1841</v>
      </c>
      <c r="J610" s="5" t="s">
        <v>1842</v>
      </c>
      <c r="K610" s="7" t="str">
        <f ca="1">IFERROR(__xludf.DUMMYFUNCTION("GOOGLETRANSLATE(H610,""EN"",""ES"")"),"CINTAS, TRENZAS Y OTRAS PASAMANERÍAS DECORATIVAS")</f>
        <v>CINTAS, TRENZAS Y OTRAS PASAMANERÍAS DECORATIVAS</v>
      </c>
      <c r="L610" s="5" t="str">
        <f ca="1">IFERROR(__xludf.DUMMYFUNCTION("GOOGLETRANSLATE(J610,""EN"",""ES"")"),"Cintas aislantes para cables")</f>
        <v>Cintas aislantes para cables</v>
      </c>
      <c r="M610" s="8" t="s">
        <v>11</v>
      </c>
      <c r="N610" s="8" t="s">
        <v>11</v>
      </c>
    </row>
    <row r="611" spans="1:14" ht="11.25" customHeight="1">
      <c r="A611" s="5" t="s">
        <v>1808</v>
      </c>
      <c r="B611" s="5" t="s">
        <v>1835</v>
      </c>
      <c r="C611" s="5" t="s">
        <v>1843</v>
      </c>
      <c r="D611" s="5" t="s">
        <v>1811</v>
      </c>
      <c r="E611" s="5" t="s">
        <v>12</v>
      </c>
      <c r="F611" s="5" t="s">
        <v>1812</v>
      </c>
      <c r="G611" s="5" t="s">
        <v>1813</v>
      </c>
      <c r="H611" s="5" t="s">
        <v>1837</v>
      </c>
      <c r="I611" s="5" t="s">
        <v>1844</v>
      </c>
      <c r="J611" s="5" t="s">
        <v>1845</v>
      </c>
      <c r="K611" s="7" t="str">
        <f ca="1">IFERROR(__xludf.DUMMYFUNCTION("GOOGLETRANSLATE(H611,""EN"",""ES"")"),"CINTAS, TRENZAS Y OTRAS PASAMANERÍAS DECORATIVAS")</f>
        <v>CINTAS, TRENZAS Y OTRAS PASAMANERÍAS DECORATIVAS</v>
      </c>
      <c r="L611" s="5" t="str">
        <f ca="1">IFERROR(__xludf.DUMMYFUNCTION("GOOGLETRANSLATE(J611,""EN"",""ES"")"),"Trenzas [pasamanería decorativa]")</f>
        <v>Trenzas [pasamanería decorativa]</v>
      </c>
      <c r="M611" s="8" t="s">
        <v>11</v>
      </c>
      <c r="N611" s="8" t="s">
        <v>11</v>
      </c>
    </row>
    <row r="612" spans="1:14" ht="11.25" customHeight="1">
      <c r="A612" s="5" t="s">
        <v>1808</v>
      </c>
      <c r="B612" s="5" t="s">
        <v>1835</v>
      </c>
      <c r="C612" s="5" t="s">
        <v>1843</v>
      </c>
      <c r="D612" s="5" t="s">
        <v>1811</v>
      </c>
      <c r="E612" s="5" t="s">
        <v>12</v>
      </c>
      <c r="F612" s="5" t="s">
        <v>1812</v>
      </c>
      <c r="G612" s="5" t="s">
        <v>1813</v>
      </c>
      <c r="H612" s="5" t="s">
        <v>1837</v>
      </c>
      <c r="I612" s="5" t="s">
        <v>152</v>
      </c>
      <c r="J612" s="5" t="s">
        <v>1846</v>
      </c>
      <c r="K612" s="7" t="str">
        <f ca="1">IFERROR(__xludf.DUMMYFUNCTION("GOOGLETRANSLATE(H612,""EN"",""ES"")"),"CINTAS, TRENZAS Y OTRAS PASAMANERÍAS DECORATIVAS")</f>
        <v>CINTAS, TRENZAS Y OTRAS PASAMANERÍAS DECORATIVAS</v>
      </c>
      <c r="L612" s="5" t="str">
        <f ca="1">IFERROR(__xludf.DUMMYFUNCTION("GOOGLETRANSLATE(J612,""EN"",""ES"")"),"N / A")</f>
        <v>N / A</v>
      </c>
      <c r="M612" s="8" t="s">
        <v>11</v>
      </c>
      <c r="N612" s="8" t="s">
        <v>11</v>
      </c>
    </row>
    <row r="613" spans="1:14" ht="11.25" customHeight="1">
      <c r="A613" s="5" t="s">
        <v>1808</v>
      </c>
      <c r="B613" s="5" t="s">
        <v>1835</v>
      </c>
      <c r="C613" s="5" t="s">
        <v>1847</v>
      </c>
      <c r="D613" s="5" t="s">
        <v>1811</v>
      </c>
      <c r="E613" s="5" t="s">
        <v>12</v>
      </c>
      <c r="F613" s="5" t="s">
        <v>1812</v>
      </c>
      <c r="G613" s="5" t="s">
        <v>1813</v>
      </c>
      <c r="H613" s="5" t="s">
        <v>1837</v>
      </c>
      <c r="I613" s="5" t="s">
        <v>1848</v>
      </c>
      <c r="J613" s="5" t="s">
        <v>1849</v>
      </c>
      <c r="K613" s="7" t="str">
        <f ca="1">IFERROR(__xludf.DUMMYFUNCTION("GOOGLETRANSLATE(H613,""EN"",""ES"")"),"CINTAS, TRENZAS Y OTRAS PASAMANERÍAS DECORATIVAS")</f>
        <v>CINTAS, TRENZAS Y OTRAS PASAMANERÍAS DECORATIVAS</v>
      </c>
      <c r="L613" s="5" t="str">
        <f ca="1">IFERROR(__xludf.DUMMYFUNCTION("GOOGLETRANSLATE(J613,""EN"",""ES"")"),"Bordes elásticos")</f>
        <v>Bordes elásticos</v>
      </c>
      <c r="M613" s="8" t="s">
        <v>11</v>
      </c>
      <c r="N613" s="8" t="s">
        <v>11</v>
      </c>
    </row>
    <row r="614" spans="1:14" ht="11.25" customHeight="1">
      <c r="A614" s="5" t="s">
        <v>1808</v>
      </c>
      <c r="B614" s="5" t="s">
        <v>1835</v>
      </c>
      <c r="C614" s="5" t="s">
        <v>1850</v>
      </c>
      <c r="D614" s="5" t="s">
        <v>1811</v>
      </c>
      <c r="E614" s="5" t="s">
        <v>12</v>
      </c>
      <c r="F614" s="5" t="s">
        <v>1812</v>
      </c>
      <c r="G614" s="5" t="s">
        <v>1813</v>
      </c>
      <c r="H614" s="5" t="s">
        <v>1837</v>
      </c>
      <c r="I614" s="5" t="s">
        <v>1851</v>
      </c>
      <c r="J614" s="5" t="s">
        <v>1852</v>
      </c>
      <c r="K614" s="7" t="str">
        <f ca="1">IFERROR(__xludf.DUMMYFUNCTION("GOOGLETRANSLATE(H614,""EN"",""ES"")"),"CINTAS, TRENZAS Y OTRAS PASAMANERÍAS DECORATIVAS")</f>
        <v>CINTAS, TRENZAS Y OTRAS PASAMANERÍAS DECORATIVAS</v>
      </c>
      <c r="L614" s="5" t="str">
        <f ca="1">IFERROR(__xludf.DUMMYFUNCTION("GOOGLETRANSLATE(J614,""EN"",""ES"")"),"Cintas elásticas")</f>
        <v>Cintas elásticas</v>
      </c>
      <c r="M614" s="8" t="s">
        <v>11</v>
      </c>
      <c r="N614" s="8" t="s">
        <v>11</v>
      </c>
    </row>
    <row r="615" spans="1:14" ht="11.25" customHeight="1">
      <c r="A615" s="5" t="s">
        <v>1808</v>
      </c>
      <c r="B615" s="5" t="s">
        <v>1835</v>
      </c>
      <c r="C615" s="5" t="s">
        <v>1853</v>
      </c>
      <c r="D615" s="5" t="s">
        <v>1811</v>
      </c>
      <c r="E615" s="5" t="s">
        <v>12</v>
      </c>
      <c r="F615" s="5" t="s">
        <v>1812</v>
      </c>
      <c r="G615" s="5" t="s">
        <v>1813</v>
      </c>
      <c r="H615" s="5" t="s">
        <v>1837</v>
      </c>
      <c r="I615" s="5" t="s">
        <v>1854</v>
      </c>
      <c r="J615" s="5" t="s">
        <v>1855</v>
      </c>
      <c r="K615" s="7" t="str">
        <f ca="1">IFERROR(__xludf.DUMMYFUNCTION("GOOGLETRANSLATE(H615,""EN"",""ES"")"),"CINTAS, TRENZAS Y OTRAS PASAMANERÍAS DECORATIVAS")</f>
        <v>CINTAS, TRENZAS Y OTRAS PASAMANERÍAS DECORATIVAS</v>
      </c>
      <c r="L615" s="5" t="str">
        <f ca="1">IFERROR(__xludf.DUMMYFUNCTION("GOOGLETRANSLATE(J615,""EN"",""ES"")"),"Trenzas")</f>
        <v>Trenzas</v>
      </c>
      <c r="M615" s="8" t="s">
        <v>11</v>
      </c>
      <c r="N615" s="8" t="s">
        <v>11</v>
      </c>
    </row>
    <row r="616" spans="1:14" ht="11.25" customHeight="1">
      <c r="A616" s="5" t="s">
        <v>1808</v>
      </c>
      <c r="B616" s="5" t="s">
        <v>1835</v>
      </c>
      <c r="C616" s="5" t="s">
        <v>1856</v>
      </c>
      <c r="D616" s="5" t="s">
        <v>1811</v>
      </c>
      <c r="E616" s="5" t="s">
        <v>12</v>
      </c>
      <c r="F616" s="5" t="s">
        <v>1812</v>
      </c>
      <c r="G616" s="5" t="s">
        <v>1813</v>
      </c>
      <c r="H616" s="5" t="s">
        <v>1837</v>
      </c>
      <c r="I616" s="5" t="s">
        <v>1857</v>
      </c>
      <c r="J616" s="5" t="s">
        <v>1858</v>
      </c>
      <c r="K616" s="7" t="str">
        <f ca="1">IFERROR(__xludf.DUMMYFUNCTION("GOOGLETRANSLATE(H616,""EN"",""ES"")"),"CINTAS, TRENZAS Y OTRAS PASAMANERÍAS DECORATIVAS")</f>
        <v>CINTAS, TRENZAS Y OTRAS PASAMANERÍAS DECORATIVAS</v>
      </c>
      <c r="L616" s="5" t="str">
        <f ca="1">IFERROR(__xludf.DUMMYFUNCTION("GOOGLETRANSLATE(J616,""EN"",""ES"")"),"Borlas [mercería]")</f>
        <v>Borlas [mercería]</v>
      </c>
      <c r="M616" s="8" t="s">
        <v>11</v>
      </c>
      <c r="N616" s="8" t="s">
        <v>11</v>
      </c>
    </row>
    <row r="617" spans="1:14" ht="11.25" customHeight="1">
      <c r="A617" s="5" t="s">
        <v>1808</v>
      </c>
      <c r="B617" s="5" t="s">
        <v>1835</v>
      </c>
      <c r="C617" s="5" t="s">
        <v>1859</v>
      </c>
      <c r="D617" s="5" t="s">
        <v>1811</v>
      </c>
      <c r="E617" s="5" t="s">
        <v>12</v>
      </c>
      <c r="F617" s="5" t="s">
        <v>1812</v>
      </c>
      <c r="G617" s="5" t="s">
        <v>1813</v>
      </c>
      <c r="H617" s="5" t="s">
        <v>1837</v>
      </c>
      <c r="I617" s="5" t="s">
        <v>1860</v>
      </c>
      <c r="J617" s="5" t="s">
        <v>1860</v>
      </c>
      <c r="K617" s="7" t="str">
        <f ca="1">IFERROR(__xludf.DUMMYFUNCTION("GOOGLETRANSLATE(H617,""EN"",""ES"")"),"CINTAS, TRENZAS Y OTRAS PASAMANERÍAS DECORATIVAS")</f>
        <v>CINTAS, TRENZAS Y OTRAS PASAMANERÍAS DECORATIVAS</v>
      </c>
      <c r="L617" s="5" t="str">
        <f ca="1">IFERROR(__xludf.DUMMYFUNCTION("GOOGLETRANSLATE(J617,""EN"",""ES"")"),"Pasamanería")</f>
        <v>Pasamanería</v>
      </c>
      <c r="M617" s="8" t="s">
        <v>11</v>
      </c>
      <c r="N617" s="8" t="s">
        <v>11</v>
      </c>
    </row>
    <row r="618" spans="1:14" ht="11.25" customHeight="1">
      <c r="A618" s="5" t="s">
        <v>1808</v>
      </c>
      <c r="B618" s="5" t="s">
        <v>1835</v>
      </c>
      <c r="C618" s="5" t="s">
        <v>1859</v>
      </c>
      <c r="D618" s="5" t="s">
        <v>1811</v>
      </c>
      <c r="E618" s="5" t="s">
        <v>12</v>
      </c>
      <c r="F618" s="5" t="s">
        <v>1812</v>
      </c>
      <c r="G618" s="5" t="s">
        <v>1813</v>
      </c>
      <c r="H618" s="5" t="s">
        <v>1837</v>
      </c>
      <c r="I618" s="5" t="s">
        <v>1861</v>
      </c>
      <c r="J618" s="5" t="s">
        <v>152</v>
      </c>
      <c r="K618" s="7" t="str">
        <f ca="1">IFERROR(__xludf.DUMMYFUNCTION("GOOGLETRANSLATE(H618,""EN"",""ES"")"),"CINTAS, TRENZAS Y OTRAS PASAMANERÍAS DECORATIVAS")</f>
        <v>CINTAS, TRENZAS Y OTRAS PASAMANERÍAS DECORATIVAS</v>
      </c>
      <c r="L618" s="5" t="str">
        <f ca="1">IFERROR(__xludf.DUMMYFUNCTION("GOOGLETRANSLATE(J618,""EN"",""ES"")"),"Pasamanería decorativa")</f>
        <v>Pasamanería decorativa</v>
      </c>
      <c r="M618" s="8" t="s">
        <v>11</v>
      </c>
      <c r="N618" s="8" t="s">
        <v>11</v>
      </c>
    </row>
    <row r="619" spans="1:14" ht="11.25" customHeight="1">
      <c r="A619" s="5" t="s">
        <v>1808</v>
      </c>
      <c r="B619" s="5" t="s">
        <v>1835</v>
      </c>
      <c r="C619" s="5" t="s">
        <v>1862</v>
      </c>
      <c r="D619" s="5" t="s">
        <v>1811</v>
      </c>
      <c r="E619" s="5" t="s">
        <v>12</v>
      </c>
      <c r="F619" s="5" t="s">
        <v>1812</v>
      </c>
      <c r="G619" s="5" t="s">
        <v>1813</v>
      </c>
      <c r="H619" s="5" t="s">
        <v>1837</v>
      </c>
      <c r="I619" s="5" t="s">
        <v>1863</v>
      </c>
      <c r="J619" s="5" t="s">
        <v>1863</v>
      </c>
      <c r="K619" s="7" t="str">
        <f ca="1">IFERROR(__xludf.DUMMYFUNCTION("GOOGLETRANSLATE(H619,""EN"",""ES"")"),"CINTAS, TRENZAS Y OTRAS PASAMANERÍAS DECORATIVAS")</f>
        <v>CINTAS, TRENZAS Y OTRAS PASAMANERÍAS DECORATIVAS</v>
      </c>
      <c r="L619" s="5" t="str">
        <f ca="1">IFERROR(__xludf.DUMMYFUNCTION("GOOGLETRANSLATE(J619,""EN"",""ES"")"),"Pompones")</f>
        <v>Pompones</v>
      </c>
      <c r="M619" s="8" t="s">
        <v>11</v>
      </c>
      <c r="N619" s="8" t="s">
        <v>11</v>
      </c>
    </row>
    <row r="620" spans="1:14" ht="11.25" customHeight="1">
      <c r="A620" s="5" t="s">
        <v>1808</v>
      </c>
      <c r="B620" s="5" t="s">
        <v>1835</v>
      </c>
      <c r="C620" s="5" t="s">
        <v>1864</v>
      </c>
      <c r="D620" s="5" t="s">
        <v>1811</v>
      </c>
      <c r="E620" s="5" t="s">
        <v>12</v>
      </c>
      <c r="F620" s="5" t="s">
        <v>1812</v>
      </c>
      <c r="G620" s="5" t="s">
        <v>1813</v>
      </c>
      <c r="H620" s="5" t="s">
        <v>1837</v>
      </c>
      <c r="I620" s="5" t="s">
        <v>1865</v>
      </c>
      <c r="J620" s="5" t="s">
        <v>1866</v>
      </c>
      <c r="K620" s="7" t="str">
        <f ca="1">IFERROR(__xludf.DUMMYFUNCTION("GOOGLETRANSLATE(H620,""EN"",""ES"")"),"CINTAS, TRENZAS Y OTRAS PASAMANERÍAS DECORATIVAS")</f>
        <v>CINTAS, TRENZAS Y OTRAS PASAMANERÍAS DECORATIVAS</v>
      </c>
      <c r="L620" s="5" t="str">
        <f ca="1">IFERROR(__xludf.DUMMYFUNCTION("GOOGLETRANSLATE(J620,""EN"",""ES"")"),"Cintas adhesivas")</f>
        <v>Cintas adhesivas</v>
      </c>
      <c r="M620" s="8" t="s">
        <v>11</v>
      </c>
      <c r="N620" s="8" t="s">
        <v>11</v>
      </c>
    </row>
    <row r="621" spans="1:14" ht="11.25" customHeight="1">
      <c r="A621" s="5" t="s">
        <v>1808</v>
      </c>
      <c r="B621" s="5" t="s">
        <v>1835</v>
      </c>
      <c r="C621" s="5" t="s">
        <v>1867</v>
      </c>
      <c r="D621" s="5" t="s">
        <v>1811</v>
      </c>
      <c r="E621" s="5" t="s">
        <v>12</v>
      </c>
      <c r="F621" s="5" t="s">
        <v>1812</v>
      </c>
      <c r="G621" s="5" t="s">
        <v>1813</v>
      </c>
      <c r="H621" s="5" t="s">
        <v>1837</v>
      </c>
      <c r="I621" s="5" t="s">
        <v>1868</v>
      </c>
      <c r="J621" s="5" t="s">
        <v>1869</v>
      </c>
      <c r="K621" s="7" t="str">
        <f ca="1">IFERROR(__xludf.DUMMYFUNCTION("GOOGLETRANSLATE(H621,""EN"",""ES"")"),"CINTAS, TRENZAS Y OTRAS PASAMANERÍAS DECORATIVAS")</f>
        <v>CINTAS, TRENZAS Y OTRAS PASAMANERÍAS DECORATIVAS</v>
      </c>
      <c r="L621" s="5" t="str">
        <f ca="1">IFERROR(__xludf.DUMMYFUNCTION("GOOGLETRANSLATE(J621,""EN"",""ES"")"),"Cintas engomadas")</f>
        <v>Cintas engomadas</v>
      </c>
      <c r="M621" s="8" t="s">
        <v>11</v>
      </c>
      <c r="N621" s="8" t="s">
        <v>11</v>
      </c>
    </row>
    <row r="622" spans="1:14" ht="11.25" customHeight="1">
      <c r="A622" s="5" t="s">
        <v>1808</v>
      </c>
      <c r="B622" s="5" t="s">
        <v>1835</v>
      </c>
      <c r="C622" s="5" t="s">
        <v>1870</v>
      </c>
      <c r="D622" s="5" t="s">
        <v>1811</v>
      </c>
      <c r="E622" s="5" t="s">
        <v>12</v>
      </c>
      <c r="F622" s="5" t="s">
        <v>1812</v>
      </c>
      <c r="G622" s="5" t="s">
        <v>1813</v>
      </c>
      <c r="H622" s="5" t="s">
        <v>1837</v>
      </c>
      <c r="I622" s="5" t="s">
        <v>1871</v>
      </c>
      <c r="J622" s="5" t="s">
        <v>1872</v>
      </c>
      <c r="K622" s="7" t="str">
        <f ca="1">IFERROR(__xludf.DUMMYFUNCTION("GOOGLETRANSLATE(H622,""EN"",""ES"")"),"CINTAS, TRENZAS Y OTRAS PASAMANERÍAS DECORATIVAS")</f>
        <v>CINTAS, TRENZAS Y OTRAS PASAMANERÍAS DECORATIVAS</v>
      </c>
      <c r="L622" s="5" t="str">
        <f ca="1">IFERROR(__xludf.DUMMYFUNCTION("GOOGLETRANSLATE(J622,""EN"",""ES"")"),"Etiquetas textiles para ropa.")</f>
        <v>Etiquetas textiles para ropa.</v>
      </c>
      <c r="M622" s="8" t="s">
        <v>11</v>
      </c>
      <c r="N622" s="8" t="s">
        <v>11</v>
      </c>
    </row>
    <row r="623" spans="1:14" ht="11.25" customHeight="1">
      <c r="A623" s="5" t="s">
        <v>1808</v>
      </c>
      <c r="B623" s="5" t="s">
        <v>1835</v>
      </c>
      <c r="C623" s="5" t="s">
        <v>1873</v>
      </c>
      <c r="D623" s="5" t="s">
        <v>1811</v>
      </c>
      <c r="E623" s="5" t="s">
        <v>12</v>
      </c>
      <c r="F623" s="5" t="s">
        <v>1812</v>
      </c>
      <c r="G623" s="5" t="s">
        <v>1813</v>
      </c>
      <c r="H623" s="5" t="s">
        <v>1837</v>
      </c>
      <c r="I623" s="5" t="s">
        <v>1874</v>
      </c>
      <c r="J623" s="5" t="s">
        <v>1875</v>
      </c>
      <c r="K623" s="7" t="str">
        <f ca="1">IFERROR(__xludf.DUMMYFUNCTION("GOOGLETRANSLATE(H623,""EN"",""ES"")"),"CINTAS, TRENZAS Y OTRAS PASAMANERÍAS DECORATIVAS")</f>
        <v>CINTAS, TRENZAS Y OTRAS PASAMANERÍAS DECORATIVAS</v>
      </c>
      <c r="L623" s="5" t="str">
        <f ca="1">IFERROR(__xludf.DUMMYFUNCTION("GOOGLETRANSLATE(J623,""EN"",""ES"")"),"Pasamanería desmontable para ropa.")</f>
        <v>Pasamanería desmontable para ropa.</v>
      </c>
      <c r="M623" s="8" t="s">
        <v>11</v>
      </c>
      <c r="N623" s="8" t="s">
        <v>11</v>
      </c>
    </row>
    <row r="624" spans="1:14" ht="11.25" customHeight="1">
      <c r="A624" s="5" t="s">
        <v>1808</v>
      </c>
      <c r="B624" s="5" t="s">
        <v>1835</v>
      </c>
      <c r="C624" s="5" t="s">
        <v>1876</v>
      </c>
      <c r="D624" s="5" t="s">
        <v>1811</v>
      </c>
      <c r="E624" s="5" t="s">
        <v>12</v>
      </c>
      <c r="F624" s="5" t="s">
        <v>1812</v>
      </c>
      <c r="G624" s="5" t="s">
        <v>1813</v>
      </c>
      <c r="H624" s="5" t="s">
        <v>1837</v>
      </c>
      <c r="I624" s="5" t="s">
        <v>1877</v>
      </c>
      <c r="J624" s="5" t="s">
        <v>1878</v>
      </c>
      <c r="K624" s="7" t="str">
        <f ca="1">IFERROR(__xludf.DUMMYFUNCTION("GOOGLETRANSLATE(H624,""EN"",""ES"")"),"CINTAS, TRENZAS Y OTRAS PASAMANERÍAS DECORATIVAS")</f>
        <v>CINTAS, TRENZAS Y OTRAS PASAMANERÍAS DECORATIVAS</v>
      </c>
      <c r="L624" s="5" t="str">
        <f ca="1">IFERROR(__xludf.DUMMYFUNCTION("GOOGLETRANSLATE(J624,""EN"",""ES"")"),"Cintas [pasamanería decorativa]")</f>
        <v>Cintas [pasamanería decorativa]</v>
      </c>
      <c r="M624" s="8" t="s">
        <v>11</v>
      </c>
      <c r="N624" s="8" t="s">
        <v>11</v>
      </c>
    </row>
    <row r="625" spans="1:14" ht="11.25" customHeight="1">
      <c r="A625" s="5" t="s">
        <v>1808</v>
      </c>
      <c r="B625" s="5" t="s">
        <v>1879</v>
      </c>
      <c r="C625" s="5" t="s">
        <v>1880</v>
      </c>
      <c r="D625" s="5" t="s">
        <v>1811</v>
      </c>
      <c r="E625" s="5" t="s">
        <v>12</v>
      </c>
      <c r="F625" s="5" t="s">
        <v>1812</v>
      </c>
      <c r="G625" s="5" t="s">
        <v>1813</v>
      </c>
      <c r="H625" s="5" t="s">
        <v>1881</v>
      </c>
      <c r="I625" s="5" t="s">
        <v>1882</v>
      </c>
      <c r="J625" s="5" t="s">
        <v>1883</v>
      </c>
      <c r="K625" s="7" t="str">
        <f ca="1">IFERROR(__xludf.DUMMYFUNCTION("GOOGLETRANSLATE(H625,""EN"",""ES"")"),"TEJIDOS TEXTILES")</f>
        <v>TEJIDOS TEXTILES</v>
      </c>
      <c r="L625" s="5" t="str">
        <f ca="1">IFERROR(__xludf.DUMMYFUNCTION("GOOGLETRANSLATE(J625,""EN"",""ES"")"),"Lonas")</f>
        <v>Lonas</v>
      </c>
      <c r="M625" s="8" t="s">
        <v>11</v>
      </c>
      <c r="N625" s="8" t="s">
        <v>11</v>
      </c>
    </row>
    <row r="626" spans="1:14" ht="11.25" customHeight="1">
      <c r="A626" s="5" t="s">
        <v>1808</v>
      </c>
      <c r="B626" s="5" t="s">
        <v>1879</v>
      </c>
      <c r="C626" s="5" t="s">
        <v>1884</v>
      </c>
      <c r="D626" s="5" t="s">
        <v>1811</v>
      </c>
      <c r="E626" s="5" t="s">
        <v>12</v>
      </c>
      <c r="F626" s="5" t="s">
        <v>1812</v>
      </c>
      <c r="G626" s="5" t="s">
        <v>1813</v>
      </c>
      <c r="H626" s="5" t="s">
        <v>1881</v>
      </c>
      <c r="I626" s="5" t="s">
        <v>1885</v>
      </c>
      <c r="J626" s="5" t="s">
        <v>1886</v>
      </c>
      <c r="K626" s="7" t="str">
        <f ca="1">IFERROR(__xludf.DUMMYFUNCTION("GOOGLETRANSLATE(H626,""EN"",""ES"")"),"TEJIDOS TEXTILES")</f>
        <v>TEJIDOS TEXTILES</v>
      </c>
      <c r="L626" s="5" t="str">
        <f ca="1">IFERROR(__xludf.DUMMYFUNCTION("GOOGLETRANSLATE(J626,""EN"",""ES"")"),"Bombasí")</f>
        <v>Bombasí</v>
      </c>
      <c r="M626" s="8" t="s">
        <v>11</v>
      </c>
      <c r="N626" s="8" t="s">
        <v>11</v>
      </c>
    </row>
    <row r="627" spans="1:14" ht="11.25" customHeight="1">
      <c r="A627" s="5" t="s">
        <v>1808</v>
      </c>
      <c r="B627" s="5" t="s">
        <v>1879</v>
      </c>
      <c r="C627" s="5" t="s">
        <v>1887</v>
      </c>
      <c r="D627" s="5" t="s">
        <v>1811</v>
      </c>
      <c r="E627" s="5" t="s">
        <v>12</v>
      </c>
      <c r="F627" s="5" t="s">
        <v>1812</v>
      </c>
      <c r="G627" s="5" t="s">
        <v>1813</v>
      </c>
      <c r="H627" s="5" t="s">
        <v>1881</v>
      </c>
      <c r="I627" s="5" t="s">
        <v>1888</v>
      </c>
      <c r="J627" s="5" t="s">
        <v>1889</v>
      </c>
      <c r="K627" s="7" t="str">
        <f ca="1">IFERROR(__xludf.DUMMYFUNCTION("GOOGLETRANSLATE(H627,""EN"",""ES"")"),"TEJIDOS TEXTILES")</f>
        <v>TEJIDOS TEXTILES</v>
      </c>
      <c r="L627" s="5" t="str">
        <f ca="1">IFERROR(__xludf.DUMMYFUNCTION("GOOGLETRANSLATE(J627,""EN"",""ES"")"),"Brocados")</f>
        <v>Brocados</v>
      </c>
      <c r="M627" s="8" t="s">
        <v>11</v>
      </c>
      <c r="N627" s="8" t="s">
        <v>11</v>
      </c>
    </row>
    <row r="628" spans="1:14" ht="11.25" customHeight="1">
      <c r="A628" s="5" t="s">
        <v>1808</v>
      </c>
      <c r="B628" s="5" t="s">
        <v>1879</v>
      </c>
      <c r="C628" s="5" t="s">
        <v>1890</v>
      </c>
      <c r="D628" s="5" t="s">
        <v>1811</v>
      </c>
      <c r="E628" s="5" t="s">
        <v>12</v>
      </c>
      <c r="F628" s="5" t="s">
        <v>1812</v>
      </c>
      <c r="G628" s="5" t="s">
        <v>1813</v>
      </c>
      <c r="H628" s="5" t="s">
        <v>1881</v>
      </c>
      <c r="I628" s="5" t="s">
        <v>1891</v>
      </c>
      <c r="J628" s="5" t="s">
        <v>1892</v>
      </c>
      <c r="K628" s="7" t="str">
        <f ca="1">IFERROR(__xludf.DUMMYFUNCTION("GOOGLETRANSLATE(H628,""EN"",""ES"")"),"TEJIDOS TEXTILES")</f>
        <v>TEJIDOS TEXTILES</v>
      </c>
      <c r="L628" s="5" t="str">
        <f ca="1">IFERROR(__xludf.DUMMYFUNCTION("GOOGLETRANSLATE(J628,""EN"",""ES"")"),"Calicó")</f>
        <v>Calicó</v>
      </c>
      <c r="M628" s="8" t="s">
        <v>11</v>
      </c>
      <c r="N628" s="8" t="s">
        <v>11</v>
      </c>
    </row>
    <row r="629" spans="1:14" ht="11.25" customHeight="1">
      <c r="A629" s="5" t="s">
        <v>1808</v>
      </c>
      <c r="B629" s="5" t="s">
        <v>1879</v>
      </c>
      <c r="C629" s="5" t="s">
        <v>1893</v>
      </c>
      <c r="D629" s="5" t="s">
        <v>1811</v>
      </c>
      <c r="E629" s="5" t="s">
        <v>12</v>
      </c>
      <c r="F629" s="5" t="s">
        <v>1812</v>
      </c>
      <c r="G629" s="5" t="s">
        <v>1813</v>
      </c>
      <c r="H629" s="5" t="s">
        <v>1881</v>
      </c>
      <c r="I629" s="5" t="s">
        <v>1894</v>
      </c>
      <c r="J629" s="5" t="s">
        <v>1895</v>
      </c>
      <c r="K629" s="7" t="str">
        <f ca="1">IFERROR(__xludf.DUMMYFUNCTION("GOOGLETRANSLATE(H629,""EN"",""ES"")"),"TEJIDOS TEXTILES")</f>
        <v>TEJIDOS TEXTILES</v>
      </c>
      <c r="L629" s="5" t="str">
        <f ca="1">IFERROR(__xludf.DUMMYFUNCTION("GOOGLETRANSLATE(J629,""EN"",""ES"")"),"Tela asargada")</f>
        <v>Tela asargada</v>
      </c>
      <c r="M629" s="8" t="s">
        <v>11</v>
      </c>
      <c r="N629" s="8" t="s">
        <v>11</v>
      </c>
    </row>
    <row r="630" spans="1:14" ht="11.25" customHeight="1">
      <c r="A630" s="5" t="s">
        <v>1808</v>
      </c>
      <c r="B630" s="5" t="s">
        <v>1879</v>
      </c>
      <c r="C630" s="5" t="s">
        <v>1896</v>
      </c>
      <c r="D630" s="5" t="s">
        <v>1811</v>
      </c>
      <c r="E630" s="5" t="s">
        <v>12</v>
      </c>
      <c r="F630" s="5" t="s">
        <v>1812</v>
      </c>
      <c r="G630" s="5" t="s">
        <v>1813</v>
      </c>
      <c r="H630" s="5" t="s">
        <v>1881</v>
      </c>
      <c r="I630" s="5" t="s">
        <v>1897</v>
      </c>
      <c r="J630" s="5" t="s">
        <v>1898</v>
      </c>
      <c r="K630" s="7" t="str">
        <f ca="1">IFERROR(__xludf.DUMMYFUNCTION("GOOGLETRANSLATE(H630,""EN"",""ES"")"),"TEJIDOS TEXTILES")</f>
        <v>TEJIDOS TEXTILES</v>
      </c>
      <c r="L630" s="5" t="str">
        <f ca="1">IFERROR(__xludf.DUMMYFUNCTION("GOOGLETRANSLATE(J630,""EN"",""ES"")"),"crepé [tela]")</f>
        <v>crepé [tela]</v>
      </c>
      <c r="M630" s="8" t="s">
        <v>11</v>
      </c>
      <c r="N630" s="8" t="s">
        <v>11</v>
      </c>
    </row>
    <row r="631" spans="1:14" ht="11.25" customHeight="1">
      <c r="A631" s="5" t="s">
        <v>1808</v>
      </c>
      <c r="B631" s="5" t="s">
        <v>1879</v>
      </c>
      <c r="C631" s="5" t="s">
        <v>1899</v>
      </c>
      <c r="D631" s="5" t="s">
        <v>1811</v>
      </c>
      <c r="E631" s="5" t="s">
        <v>12</v>
      </c>
      <c r="F631" s="5" t="s">
        <v>1812</v>
      </c>
      <c r="G631" s="5" t="s">
        <v>1813</v>
      </c>
      <c r="H631" s="5" t="s">
        <v>1881</v>
      </c>
      <c r="I631" s="5" t="s">
        <v>1900</v>
      </c>
      <c r="J631" s="5" t="s">
        <v>1901</v>
      </c>
      <c r="K631" s="7" t="str">
        <f ca="1">IFERROR(__xludf.DUMMYFUNCTION("GOOGLETRANSLATE(H631,""EN"",""ES"")"),"TEJIDOS TEXTILES")</f>
        <v>TEJIDOS TEXTILES</v>
      </c>
      <c r="L631" s="5" t="str">
        <f ca="1">IFERROR(__xludf.DUMMYFUNCTION("GOOGLETRANSLATE(J631,""EN"",""ES"")"),"Damasco")</f>
        <v>Damasco</v>
      </c>
      <c r="M631" s="8" t="s">
        <v>11</v>
      </c>
      <c r="N631" s="8" t="s">
        <v>11</v>
      </c>
    </row>
    <row r="632" spans="1:14" ht="11.25" customHeight="1">
      <c r="A632" s="5" t="s">
        <v>1808</v>
      </c>
      <c r="B632" s="5" t="s">
        <v>1879</v>
      </c>
      <c r="C632" s="5" t="s">
        <v>1902</v>
      </c>
      <c r="D632" s="5" t="s">
        <v>1811</v>
      </c>
      <c r="E632" s="5" t="s">
        <v>12</v>
      </c>
      <c r="F632" s="5" t="s">
        <v>1812</v>
      </c>
      <c r="G632" s="5" t="s">
        <v>1813</v>
      </c>
      <c r="H632" s="5" t="s">
        <v>1881</v>
      </c>
      <c r="I632" s="5" t="s">
        <v>1903</v>
      </c>
      <c r="J632" s="5" t="s">
        <v>1904</v>
      </c>
      <c r="K632" s="7" t="str">
        <f ca="1">IFERROR(__xludf.DUMMYFUNCTION("GOOGLETRANSLATE(H632,""EN"",""ES"")"),"TEJIDOS TEXTILES")</f>
        <v>TEJIDOS TEXTILES</v>
      </c>
      <c r="L632" s="5" t="str">
        <f ca="1">IFERROR(__xludf.DUMMYFUNCTION("GOOGLETRANSLATE(J632,""EN"",""ES"")"),"Paño")</f>
        <v>Paño</v>
      </c>
      <c r="M632" s="8" t="s">
        <v>11</v>
      </c>
      <c r="N632" s="8" t="s">
        <v>11</v>
      </c>
    </row>
    <row r="633" spans="1:14" ht="11.25" customHeight="1">
      <c r="A633" s="5" t="s">
        <v>1808</v>
      </c>
      <c r="B633" s="5" t="s">
        <v>1879</v>
      </c>
      <c r="C633" s="5" t="s">
        <v>1905</v>
      </c>
      <c r="D633" s="5" t="s">
        <v>1811</v>
      </c>
      <c r="E633" s="5" t="s">
        <v>12</v>
      </c>
      <c r="F633" s="5" t="s">
        <v>1812</v>
      </c>
      <c r="G633" s="5" t="s">
        <v>1813</v>
      </c>
      <c r="H633" s="5" t="s">
        <v>1881</v>
      </c>
      <c r="I633" s="5" t="s">
        <v>1906</v>
      </c>
      <c r="J633" s="5" t="s">
        <v>1907</v>
      </c>
      <c r="K633" s="7" t="str">
        <f ca="1">IFERROR(__xludf.DUMMYFUNCTION("GOOGLETRANSLATE(H633,""EN"",""ES"")"),"TEJIDOS TEXTILES")</f>
        <v>TEJIDOS TEXTILES</v>
      </c>
      <c r="L633" s="5" t="str">
        <f ca="1">IFERROR(__xludf.DUMMYFUNCTION("GOOGLETRANSLATE(J633,""EN"",""ES"")"),"Telas")</f>
        <v>Telas</v>
      </c>
      <c r="M633" s="8" t="s">
        <v>11</v>
      </c>
      <c r="N633" s="8" t="s">
        <v>11</v>
      </c>
    </row>
    <row r="634" spans="1:14" ht="11.25" customHeight="1">
      <c r="A634" s="5" t="s">
        <v>1808</v>
      </c>
      <c r="B634" s="5" t="s">
        <v>1879</v>
      </c>
      <c r="C634" s="5" t="s">
        <v>1908</v>
      </c>
      <c r="D634" s="5" t="s">
        <v>1811</v>
      </c>
      <c r="E634" s="5" t="s">
        <v>12</v>
      </c>
      <c r="F634" s="5" t="s">
        <v>1812</v>
      </c>
      <c r="G634" s="5" t="s">
        <v>1813</v>
      </c>
      <c r="H634" s="5" t="s">
        <v>1881</v>
      </c>
      <c r="I634" s="5" t="s">
        <v>1909</v>
      </c>
      <c r="J634" s="5" t="s">
        <v>1910</v>
      </c>
      <c r="K634" s="7" t="str">
        <f ca="1">IFERROR(__xludf.DUMMYFUNCTION("GOOGLETRANSLATE(H634,""EN"",""ES"")"),"TEJIDOS TEXTILES")</f>
        <v>TEJIDOS TEXTILES</v>
      </c>
      <c r="L634" s="5" t="str">
        <f ca="1">IFERROR(__xludf.DUMMYFUNCTION("GOOGLETRANSLATE(J634,""EN"",""ES"")"),"Sintió")</f>
        <v>Sintió</v>
      </c>
      <c r="M634" s="8" t="s">
        <v>11</v>
      </c>
      <c r="N634" s="8" t="s">
        <v>11</v>
      </c>
    </row>
    <row r="635" spans="1:14" ht="11.25" customHeight="1">
      <c r="A635" s="5" t="s">
        <v>1808</v>
      </c>
      <c r="B635" s="5" t="s">
        <v>1879</v>
      </c>
      <c r="C635" s="5" t="s">
        <v>1911</v>
      </c>
      <c r="D635" s="5" t="s">
        <v>1811</v>
      </c>
      <c r="E635" s="5" t="s">
        <v>12</v>
      </c>
      <c r="F635" s="5" t="s">
        <v>1812</v>
      </c>
      <c r="G635" s="5" t="s">
        <v>1813</v>
      </c>
      <c r="H635" s="5" t="s">
        <v>1881</v>
      </c>
      <c r="I635" s="5" t="s">
        <v>1912</v>
      </c>
      <c r="J635" s="5" t="s">
        <v>1913</v>
      </c>
      <c r="K635" s="7" t="str">
        <f ca="1">IFERROR(__xludf.DUMMYFUNCTION("GOOGLETRANSLATE(H635,""EN"",""ES"")"),"TEJIDOS TEXTILES")</f>
        <v>TEJIDOS TEXTILES</v>
      </c>
      <c r="L635" s="5" t="str">
        <f ca="1">IFERROR(__xludf.DUMMYFUNCTION("GOOGLETRANSLATE(J635,""EN"",""ES"")"),"Franela")</f>
        <v>Franela</v>
      </c>
      <c r="M635" s="8" t="s">
        <v>11</v>
      </c>
      <c r="N635" s="8" t="s">
        <v>11</v>
      </c>
    </row>
    <row r="636" spans="1:14" ht="11.25" customHeight="1">
      <c r="A636" s="5" t="s">
        <v>1808</v>
      </c>
      <c r="B636" s="5" t="s">
        <v>1879</v>
      </c>
      <c r="C636" s="5" t="s">
        <v>1914</v>
      </c>
      <c r="D636" s="5" t="s">
        <v>1811</v>
      </c>
      <c r="E636" s="5" t="s">
        <v>12</v>
      </c>
      <c r="F636" s="5" t="s">
        <v>1812</v>
      </c>
      <c r="G636" s="5" t="s">
        <v>1813</v>
      </c>
      <c r="H636" s="5" t="s">
        <v>1881</v>
      </c>
      <c r="I636" s="5" t="s">
        <v>1915</v>
      </c>
      <c r="J636" s="5" t="s">
        <v>1916</v>
      </c>
      <c r="K636" s="7" t="str">
        <f ca="1">IFERROR(__xludf.DUMMYFUNCTION("GOOGLETRANSLATE(H636,""EN"",""ES"")"),"TEJIDOS TEXTILES")</f>
        <v>TEJIDOS TEXTILES</v>
      </c>
      <c r="L636" s="5" t="str">
        <f ca="1">IFERROR(__xludf.DUMMYFUNCTION("GOOGLETRANSLATE(J636,""EN"",""ES"")"),"Piel de imitación")</f>
        <v>Piel de imitación</v>
      </c>
      <c r="M636" s="8" t="s">
        <v>11</v>
      </c>
      <c r="N636" s="8" t="s">
        <v>11</v>
      </c>
    </row>
    <row r="637" spans="1:14" ht="11.25" customHeight="1">
      <c r="A637" s="5" t="s">
        <v>1808</v>
      </c>
      <c r="B637" s="5" t="s">
        <v>1879</v>
      </c>
      <c r="C637" s="5" t="s">
        <v>1917</v>
      </c>
      <c r="D637" s="5" t="s">
        <v>1811</v>
      </c>
      <c r="E637" s="5" t="s">
        <v>12</v>
      </c>
      <c r="F637" s="5" t="s">
        <v>1812</v>
      </c>
      <c r="G637" s="5" t="s">
        <v>1813</v>
      </c>
      <c r="H637" s="5" t="s">
        <v>1881</v>
      </c>
      <c r="I637" s="5" t="s">
        <v>1918</v>
      </c>
      <c r="J637" s="5" t="s">
        <v>1919</v>
      </c>
      <c r="K637" s="7" t="str">
        <f ca="1">IFERROR(__xludf.DUMMYFUNCTION("GOOGLETRANSLATE(H637,""EN"",""ES"")"),"TEJIDOS TEXTILES")</f>
        <v>TEJIDOS TEXTILES</v>
      </c>
      <c r="L637" s="5" t="str">
        <f ca="1">IFERROR(__xludf.DUMMYFUNCTION("GOOGLETRANSLATE(J637,""EN"",""ES"")"),"Tejido jacquard")</f>
        <v>Tejido jacquard</v>
      </c>
      <c r="M637" s="8" t="s">
        <v>11</v>
      </c>
      <c r="N637" s="8" t="s">
        <v>11</v>
      </c>
    </row>
    <row r="638" spans="1:14" ht="11.25" customHeight="1">
      <c r="A638" s="5" t="s">
        <v>1808</v>
      </c>
      <c r="B638" s="5" t="s">
        <v>1879</v>
      </c>
      <c r="C638" s="5" t="s">
        <v>1920</v>
      </c>
      <c r="D638" s="5" t="s">
        <v>1811</v>
      </c>
      <c r="E638" s="5" t="s">
        <v>12</v>
      </c>
      <c r="F638" s="5" t="s">
        <v>1812</v>
      </c>
      <c r="G638" s="5" t="s">
        <v>1813</v>
      </c>
      <c r="H638" s="5" t="s">
        <v>1881</v>
      </c>
      <c r="I638" s="5" t="s">
        <v>1921</v>
      </c>
      <c r="J638" s="5" t="s">
        <v>1922</v>
      </c>
      <c r="K638" s="7" t="str">
        <f ca="1">IFERROR(__xludf.DUMMYFUNCTION("GOOGLETRANSLATE(H638,""EN"",""ES"")"),"TEJIDOS TEXTILES")</f>
        <v>TEJIDOS TEXTILES</v>
      </c>
      <c r="L638" s="5" t="str">
        <f ca="1">IFERROR(__xludf.DUMMYFUNCTION("GOOGLETRANSLATE(J638,""EN"",""ES"")"),"Muaré [tela]")</f>
        <v>Muaré [tela]</v>
      </c>
      <c r="M638" s="8" t="s">
        <v>11</v>
      </c>
      <c r="N638" s="8" t="s">
        <v>11</v>
      </c>
    </row>
    <row r="639" spans="1:14" ht="11.25" customHeight="1">
      <c r="A639" s="5" t="s">
        <v>1808</v>
      </c>
      <c r="B639" s="5" t="s">
        <v>1879</v>
      </c>
      <c r="C639" s="5" t="s">
        <v>1923</v>
      </c>
      <c r="D639" s="5" t="s">
        <v>1811</v>
      </c>
      <c r="E639" s="5" t="s">
        <v>12</v>
      </c>
      <c r="F639" s="5" t="s">
        <v>1812</v>
      </c>
      <c r="G639" s="5" t="s">
        <v>1813</v>
      </c>
      <c r="H639" s="5" t="s">
        <v>1881</v>
      </c>
      <c r="I639" s="5" t="s">
        <v>1924</v>
      </c>
      <c r="J639" s="5" t="s">
        <v>1925</v>
      </c>
      <c r="K639" s="7" t="str">
        <f ca="1">IFERROR(__xludf.DUMMYFUNCTION("GOOGLETRANSLATE(H639,""EN"",""ES"")"),"TEJIDOS TEXTILES")</f>
        <v>TEJIDOS TEXTILES</v>
      </c>
      <c r="L639" s="5" t="str">
        <f ca="1">IFERROR(__xludf.DUMMYFUNCTION("GOOGLETRANSLATE(J639,""EN"",""ES"")"),"Moquetas [tela]")</f>
        <v>Moquetas [tela]</v>
      </c>
      <c r="M639" s="8" t="s">
        <v>11</v>
      </c>
      <c r="N639" s="8" t="s">
        <v>11</v>
      </c>
    </row>
    <row r="640" spans="1:14" ht="11.25" customHeight="1">
      <c r="A640" s="5" t="s">
        <v>1808</v>
      </c>
      <c r="B640" s="5" t="s">
        <v>1879</v>
      </c>
      <c r="C640" s="5" t="s">
        <v>1926</v>
      </c>
      <c r="D640" s="5" t="s">
        <v>1811</v>
      </c>
      <c r="E640" s="5" t="s">
        <v>12</v>
      </c>
      <c r="F640" s="5" t="s">
        <v>1812</v>
      </c>
      <c r="G640" s="5" t="s">
        <v>1813</v>
      </c>
      <c r="H640" s="5" t="s">
        <v>1881</v>
      </c>
      <c r="I640" s="5" t="s">
        <v>1927</v>
      </c>
      <c r="J640" s="5" t="s">
        <v>1928</v>
      </c>
      <c r="K640" s="7" t="str">
        <f ca="1">IFERROR(__xludf.DUMMYFUNCTION("GOOGLETRANSLATE(H640,""EN"",""ES"")"),"TEJIDOS TEXTILES")</f>
        <v>TEJIDOS TEXTILES</v>
      </c>
      <c r="L640" s="5" t="str">
        <f ca="1">IFERROR(__xludf.DUMMYFUNCTION("GOOGLETRANSLATE(J640,""EN"",""ES"")"),"Tela de popelina")</f>
        <v>Tela de popelina</v>
      </c>
      <c r="M640" s="8" t="s">
        <v>11</v>
      </c>
      <c r="N640" s="8" t="s">
        <v>11</v>
      </c>
    </row>
    <row r="641" spans="1:14" ht="11.25" customHeight="1">
      <c r="A641" s="5" t="s">
        <v>1808</v>
      </c>
      <c r="B641" s="5" t="s">
        <v>1879</v>
      </c>
      <c r="C641" s="5" t="s">
        <v>1929</v>
      </c>
      <c r="D641" s="5" t="s">
        <v>1811</v>
      </c>
      <c r="E641" s="5" t="s">
        <v>12</v>
      </c>
      <c r="F641" s="5" t="s">
        <v>1812</v>
      </c>
      <c r="G641" s="5" t="s">
        <v>1813</v>
      </c>
      <c r="H641" s="5" t="s">
        <v>1881</v>
      </c>
      <c r="I641" s="5" t="s">
        <v>1930</v>
      </c>
      <c r="J641" s="5" t="s">
        <v>1931</v>
      </c>
      <c r="K641" s="7" t="str">
        <f ca="1">IFERROR(__xludf.DUMMYFUNCTION("GOOGLETRANSLATE(H641,""EN"",""ES"")"),"TEJIDOS TEXTILES")</f>
        <v>TEJIDOS TEXTILES</v>
      </c>
      <c r="L641" s="5" t="str">
        <f ca="1">IFERROR(__xludf.DUMMYFUNCTION("GOOGLETRANSLATE(J641,""EN"",""ES"")"),"Tejidos de seda")</f>
        <v>Tejidos de seda</v>
      </c>
      <c r="M641" s="8" t="s">
        <v>11</v>
      </c>
      <c r="N641" s="8" t="s">
        <v>11</v>
      </c>
    </row>
    <row r="642" spans="1:14" ht="11.25" customHeight="1">
      <c r="A642" s="5" t="s">
        <v>1808</v>
      </c>
      <c r="B642" s="5" t="s">
        <v>1879</v>
      </c>
      <c r="C642" s="5" t="s">
        <v>1932</v>
      </c>
      <c r="D642" s="5" t="s">
        <v>1811</v>
      </c>
      <c r="E642" s="5" t="s">
        <v>12</v>
      </c>
      <c r="F642" s="5" t="s">
        <v>1812</v>
      </c>
      <c r="G642" s="5" t="s">
        <v>1813</v>
      </c>
      <c r="H642" s="5" t="s">
        <v>1881</v>
      </c>
      <c r="I642" s="5" t="s">
        <v>1933</v>
      </c>
      <c r="J642" s="5" t="s">
        <v>1934</v>
      </c>
      <c r="K642" s="7" t="str">
        <f ca="1">IFERROR(__xludf.DUMMYFUNCTION("GOOGLETRANSLATE(H642,""EN"",""ES"")"),"TEJIDOS TEXTILES")</f>
        <v>TEJIDOS TEXTILES</v>
      </c>
      <c r="L642" s="5" t="str">
        <f ca="1">IFERROR(__xludf.DUMMYFUNCTION("GOOGLETRANSLATE(J642,""EN"",""ES"")"),"Tejidos")</f>
        <v>Tejidos</v>
      </c>
      <c r="M642" s="8" t="s">
        <v>11</v>
      </c>
      <c r="N642" s="8" t="s">
        <v>11</v>
      </c>
    </row>
    <row r="643" spans="1:14" ht="11.25" customHeight="1">
      <c r="A643" s="5" t="s">
        <v>1808</v>
      </c>
      <c r="B643" s="5" t="s">
        <v>1879</v>
      </c>
      <c r="C643" s="5" t="s">
        <v>1935</v>
      </c>
      <c r="D643" s="5" t="s">
        <v>1811</v>
      </c>
      <c r="E643" s="5" t="s">
        <v>12</v>
      </c>
      <c r="F643" s="5" t="s">
        <v>1812</v>
      </c>
      <c r="G643" s="5" t="s">
        <v>1813</v>
      </c>
      <c r="H643" s="5" t="s">
        <v>1881</v>
      </c>
      <c r="I643" s="5" t="s">
        <v>1936</v>
      </c>
      <c r="J643" s="5" t="s">
        <v>1937</v>
      </c>
      <c r="K643" s="7" t="str">
        <f ca="1">IFERROR(__xludf.DUMMYFUNCTION("GOOGLETRANSLATE(H643,""EN"",""ES"")"),"TEJIDOS TEXTILES")</f>
        <v>TEJIDOS TEXTILES</v>
      </c>
      <c r="L643" s="5" t="str">
        <f ca="1">IFERROR(__xludf.DUMMYFUNCTION("GOOGLETRANSLATE(J643,""EN"",""ES"")"),"Tejidos de malla")</f>
        <v>Tejidos de malla</v>
      </c>
      <c r="M643" s="8" t="s">
        <v>11</v>
      </c>
      <c r="N643" s="8" t="s">
        <v>11</v>
      </c>
    </row>
    <row r="644" spans="1:14" ht="11.25" customHeight="1">
      <c r="A644" s="5" t="s">
        <v>1808</v>
      </c>
      <c r="B644" s="5" t="s">
        <v>1879</v>
      </c>
      <c r="C644" s="5" t="s">
        <v>1935</v>
      </c>
      <c r="D644" s="5" t="s">
        <v>1811</v>
      </c>
      <c r="E644" s="5" t="s">
        <v>12</v>
      </c>
      <c r="F644" s="5" t="s">
        <v>1812</v>
      </c>
      <c r="G644" s="5" t="s">
        <v>1813</v>
      </c>
      <c r="H644" s="5" t="s">
        <v>1881</v>
      </c>
      <c r="I644" s="5" t="s">
        <v>1938</v>
      </c>
      <c r="J644" s="5" t="s">
        <v>1939</v>
      </c>
      <c r="K644" s="7" t="str">
        <f ca="1">IFERROR(__xludf.DUMMYFUNCTION("GOOGLETRANSLATE(H644,""EN"",""ES"")"),"TEJIDOS TEXTILES")</f>
        <v>TEJIDOS TEXTILES</v>
      </c>
      <c r="L644" s="5" t="str">
        <f ca="1">IFERROR(__xludf.DUMMYFUNCTION("GOOGLETRANSLATE(J644,""EN"",""ES"")"),"Red [tejido de malla]")</f>
        <v>Red [tejido de malla]</v>
      </c>
      <c r="M644" s="8" t="s">
        <v>11</v>
      </c>
      <c r="N644" s="8" t="s">
        <v>11</v>
      </c>
    </row>
    <row r="645" spans="1:14" ht="11.25" customHeight="1">
      <c r="A645" s="5" t="s">
        <v>1808</v>
      </c>
      <c r="B645" s="5" t="s">
        <v>1879</v>
      </c>
      <c r="C645" s="5" t="s">
        <v>1940</v>
      </c>
      <c r="D645" s="5" t="s">
        <v>1811</v>
      </c>
      <c r="E645" s="5" t="s">
        <v>12</v>
      </c>
      <c r="F645" s="5" t="s">
        <v>1812</v>
      </c>
      <c r="G645" s="5" t="s">
        <v>1813</v>
      </c>
      <c r="H645" s="5" t="s">
        <v>1881</v>
      </c>
      <c r="I645" s="5" t="s">
        <v>1941</v>
      </c>
      <c r="J645" s="5" t="s">
        <v>1942</v>
      </c>
      <c r="K645" s="7" t="str">
        <f ca="1">IFERROR(__xludf.DUMMYFUNCTION("GOOGLETRANSLATE(H645,""EN"",""ES"")"),"TEJIDOS TEXTILES")</f>
        <v>TEJIDOS TEXTILES</v>
      </c>
      <c r="L645" s="5" t="str">
        <f ca="1">IFERROR(__xludf.DUMMYFUNCTION("GOOGLETRANSLATE(J645,""EN"",""ES"")"),"Tejidos de ganchillo")</f>
        <v>Tejidos de ganchillo</v>
      </c>
      <c r="M645" s="8" t="s">
        <v>11</v>
      </c>
      <c r="N645" s="8" t="s">
        <v>11</v>
      </c>
    </row>
    <row r="646" spans="1:14" ht="11.25" customHeight="1">
      <c r="A646" s="5" t="s">
        <v>1808</v>
      </c>
      <c r="B646" s="5" t="s">
        <v>1879</v>
      </c>
      <c r="C646" s="5" t="s">
        <v>1943</v>
      </c>
      <c r="D646" s="5" t="s">
        <v>1811</v>
      </c>
      <c r="E646" s="5" t="s">
        <v>12</v>
      </c>
      <c r="F646" s="5" t="s">
        <v>1812</v>
      </c>
      <c r="G646" s="5" t="s">
        <v>1813</v>
      </c>
      <c r="H646" s="5" t="s">
        <v>1881</v>
      </c>
      <c r="I646" s="5" t="s">
        <v>1944</v>
      </c>
      <c r="J646" s="5" t="s">
        <v>1945</v>
      </c>
      <c r="K646" s="7" t="str">
        <f ca="1">IFERROR(__xludf.DUMMYFUNCTION("GOOGLETRANSLATE(H646,""EN"",""ES"")"),"TEJIDOS TEXTILES")</f>
        <v>TEJIDOS TEXTILES</v>
      </c>
      <c r="L646" s="5" t="str">
        <f ca="1">IFERROR(__xludf.DUMMYFUNCTION("GOOGLETRANSLATE(J646,""EN"",""ES"")"),"Tejidos elásticos")</f>
        <v>Tejidos elásticos</v>
      </c>
      <c r="M646" s="8" t="s">
        <v>11</v>
      </c>
      <c r="N646" s="8" t="s">
        <v>11</v>
      </c>
    </row>
    <row r="647" spans="1:14" ht="11.25" customHeight="1">
      <c r="A647" s="5" t="s">
        <v>1808</v>
      </c>
      <c r="B647" s="5" t="s">
        <v>1879</v>
      </c>
      <c r="C647" s="5" t="s">
        <v>1946</v>
      </c>
      <c r="D647" s="5" t="s">
        <v>1811</v>
      </c>
      <c r="E647" s="5" t="s">
        <v>12</v>
      </c>
      <c r="F647" s="5" t="s">
        <v>1812</v>
      </c>
      <c r="G647" s="5" t="s">
        <v>1813</v>
      </c>
      <c r="H647" s="5" t="s">
        <v>1881</v>
      </c>
      <c r="I647" s="5" t="s">
        <v>1947</v>
      </c>
      <c r="J647" s="5" t="s">
        <v>1948</v>
      </c>
      <c r="K647" s="7" t="str">
        <f ca="1">IFERROR(__xludf.DUMMYFUNCTION("GOOGLETRANSLATE(H647,""EN"",""ES"")"),"TEJIDOS TEXTILES")</f>
        <v>TEJIDOS TEXTILES</v>
      </c>
      <c r="L647" s="5" t="str">
        <f ca="1">IFERROR(__xludf.DUMMYFUNCTION("GOOGLETRANSLATE(J647,""EN"",""ES"")"),"Tejidos aislantes")</f>
        <v>Tejidos aislantes</v>
      </c>
      <c r="M647" s="8" t="s">
        <v>11</v>
      </c>
      <c r="N647" s="8" t="s">
        <v>11</v>
      </c>
    </row>
    <row r="648" spans="1:14" ht="11.25" customHeight="1">
      <c r="A648" s="5" t="s">
        <v>1808</v>
      </c>
      <c r="B648" s="5" t="s">
        <v>1879</v>
      </c>
      <c r="C648" s="5" t="s">
        <v>1949</v>
      </c>
      <c r="D648" s="5" t="s">
        <v>1811</v>
      </c>
      <c r="E648" s="5" t="s">
        <v>12</v>
      </c>
      <c r="F648" s="5" t="s">
        <v>1812</v>
      </c>
      <c r="G648" s="5" t="s">
        <v>1813</v>
      </c>
      <c r="H648" s="5" t="s">
        <v>1881</v>
      </c>
      <c r="I648" s="5" t="s">
        <v>1950</v>
      </c>
      <c r="J648" s="5" t="s">
        <v>1951</v>
      </c>
      <c r="K648" s="7" t="str">
        <f ca="1">IFERROR(__xludf.DUMMYFUNCTION("GOOGLETRANSLATE(H648,""EN"",""ES"")"),"TEJIDOS TEXTILES")</f>
        <v>TEJIDOS TEXTILES</v>
      </c>
      <c r="L648" s="5" t="str">
        <f ca="1">IFERROR(__xludf.DUMMYFUNCTION("GOOGLETRANSLATE(J648,""EN"",""ES"")"),"Lona para embalaje")</f>
        <v>Lona para embalaje</v>
      </c>
      <c r="M648" s="8" t="s">
        <v>11</v>
      </c>
      <c r="N648" s="8" t="s">
        <v>11</v>
      </c>
    </row>
    <row r="649" spans="1:14" ht="11.25" customHeight="1">
      <c r="A649" s="5" t="s">
        <v>1808</v>
      </c>
      <c r="B649" s="5" t="s">
        <v>1879</v>
      </c>
      <c r="C649" s="5" t="s">
        <v>1952</v>
      </c>
      <c r="D649" s="5" t="s">
        <v>1811</v>
      </c>
      <c r="E649" s="5" t="s">
        <v>12</v>
      </c>
      <c r="F649" s="5" t="s">
        <v>1812</v>
      </c>
      <c r="G649" s="5" t="s">
        <v>1813</v>
      </c>
      <c r="H649" s="5" t="s">
        <v>1881</v>
      </c>
      <c r="I649" s="5" t="s">
        <v>1953</v>
      </c>
      <c r="J649" s="5" t="s">
        <v>1954</v>
      </c>
      <c r="K649" s="7" t="str">
        <f ca="1">IFERROR(__xludf.DUMMYFUNCTION("GOOGLETRANSLATE(H649,""EN"",""ES"")"),"TEJIDOS TEXTILES")</f>
        <v>TEJIDOS TEXTILES</v>
      </c>
      <c r="L649" s="5" t="str">
        <f ca="1">IFERROR(__xludf.DUMMYFUNCTION("GOOGLETRANSLATE(J649,""EN"",""ES"")"),"Tictac")</f>
        <v>Tictac</v>
      </c>
      <c r="M649" s="8" t="s">
        <v>11</v>
      </c>
      <c r="N649" s="8" t="s">
        <v>11</v>
      </c>
    </row>
    <row r="650" spans="1:14" ht="11.25" customHeight="1">
      <c r="A650" s="5" t="s">
        <v>1808</v>
      </c>
      <c r="B650" s="5" t="s">
        <v>1879</v>
      </c>
      <c r="C650" s="5" t="s">
        <v>1955</v>
      </c>
      <c r="D650" s="5" t="s">
        <v>1811</v>
      </c>
      <c r="E650" s="5" t="s">
        <v>12</v>
      </c>
      <c r="F650" s="5" t="s">
        <v>1812</v>
      </c>
      <c r="G650" s="5" t="s">
        <v>1813</v>
      </c>
      <c r="H650" s="5" t="s">
        <v>1881</v>
      </c>
      <c r="I650" s="5" t="s">
        <v>1956</v>
      </c>
      <c r="J650" s="5" t="s">
        <v>1957</v>
      </c>
      <c r="K650" s="7" t="str">
        <f ca="1">IFERROR(__xludf.DUMMYFUNCTION("GOOGLETRANSLATE(H650,""EN"",""ES"")"),"TEJIDOS TEXTILES")</f>
        <v>TEJIDOS TEXTILES</v>
      </c>
      <c r="L650" s="5" t="str">
        <f ca="1">IFERROR(__xludf.DUMMYFUNCTION("GOOGLETRANSLATE(J650,""EN"",""ES"")"),"hules")</f>
        <v>hules</v>
      </c>
      <c r="M650" s="8" t="s">
        <v>11</v>
      </c>
      <c r="N650" s="8" t="s">
        <v>11</v>
      </c>
    </row>
    <row r="651" spans="1:14" ht="11.25" customHeight="1">
      <c r="A651" s="5" t="s">
        <v>1808</v>
      </c>
      <c r="B651" s="5" t="s">
        <v>1879</v>
      </c>
      <c r="C651" s="5" t="s">
        <v>1958</v>
      </c>
      <c r="D651" s="5" t="s">
        <v>1811</v>
      </c>
      <c r="E651" s="5" t="s">
        <v>12</v>
      </c>
      <c r="F651" s="5" t="s">
        <v>1812</v>
      </c>
      <c r="G651" s="5" t="s">
        <v>1813</v>
      </c>
      <c r="H651" s="5" t="s">
        <v>1881</v>
      </c>
      <c r="I651" s="5" t="s">
        <v>1959</v>
      </c>
      <c r="J651" s="5" t="s">
        <v>1960</v>
      </c>
      <c r="K651" s="7" t="str">
        <f ca="1">IFERROR(__xludf.DUMMYFUNCTION("GOOGLETRANSLATE(H651,""EN"",""ES"")"),"TEJIDOS TEXTILES")</f>
        <v>TEJIDOS TEXTILES</v>
      </c>
      <c r="L651" s="5" t="str">
        <f ca="1">IFERROR(__xludf.DUMMYFUNCTION("GOOGLETRANSLATE(J651,""EN"",""ES"")"),"Tul")</f>
        <v>Tul</v>
      </c>
      <c r="M651" s="8" t="s">
        <v>11</v>
      </c>
      <c r="N651" s="8" t="s">
        <v>11</v>
      </c>
    </row>
    <row r="652" spans="1:14" ht="11.25" customHeight="1">
      <c r="A652" s="5" t="s">
        <v>1808</v>
      </c>
      <c r="B652" s="5" t="s">
        <v>1879</v>
      </c>
      <c r="C652" s="5" t="s">
        <v>1961</v>
      </c>
      <c r="D652" s="5" t="s">
        <v>1811</v>
      </c>
      <c r="E652" s="5" t="s">
        <v>12</v>
      </c>
      <c r="F652" s="5" t="s">
        <v>1812</v>
      </c>
      <c r="G652" s="5" t="s">
        <v>1813</v>
      </c>
      <c r="H652" s="5" t="s">
        <v>1881</v>
      </c>
      <c r="I652" s="5" t="s">
        <v>1962</v>
      </c>
      <c r="J652" s="5" t="s">
        <v>1963</v>
      </c>
      <c r="K652" s="7" t="str">
        <f ca="1">IFERROR(__xludf.DUMMYFUNCTION("GOOGLETRANSLATE(H652,""EN"",""ES"")"),"TEJIDOS TEXTILES")</f>
        <v>TEJIDOS TEXTILES</v>
      </c>
      <c r="L652" s="5" t="str">
        <f ca="1">IFERROR(__xludf.DUMMYFUNCTION("GOOGLETRANSLATE(J652,""EN"",""ES"")"),"Terciopelo")</f>
        <v>Terciopelo</v>
      </c>
      <c r="M652" s="8" t="s">
        <v>11</v>
      </c>
      <c r="N652" s="8" t="s">
        <v>11</v>
      </c>
    </row>
    <row r="653" spans="1:14" ht="11.25" customHeight="1">
      <c r="A653" s="5" t="s">
        <v>1808</v>
      </c>
      <c r="B653" s="5" t="s">
        <v>1879</v>
      </c>
      <c r="C653" s="5" t="s">
        <v>1964</v>
      </c>
      <c r="D653" s="5" t="s">
        <v>1811</v>
      </c>
      <c r="E653" s="5" t="s">
        <v>12</v>
      </c>
      <c r="F653" s="5" t="s">
        <v>1812</v>
      </c>
      <c r="G653" s="5" t="s">
        <v>1813</v>
      </c>
      <c r="H653" s="5" t="s">
        <v>1881</v>
      </c>
      <c r="I653" s="5" t="s">
        <v>1965</v>
      </c>
      <c r="J653" s="5" t="s">
        <v>1966</v>
      </c>
      <c r="K653" s="7" t="str">
        <f ca="1">IFERROR(__xludf.DUMMYFUNCTION("GOOGLETRANSLATE(H653,""EN"",""ES"")"),"TEJIDOS TEXTILES")</f>
        <v>TEJIDOS TEXTILES</v>
      </c>
      <c r="L653" s="5" t="str">
        <f ca="1">IFERROR(__xludf.DUMMYFUNCTION("GOOGLETRANSLATE(J653,""EN"",""ES"")"),"Pana")</f>
        <v>Pana</v>
      </c>
      <c r="M653" s="8" t="s">
        <v>11</v>
      </c>
      <c r="N653" s="8" t="s">
        <v>11</v>
      </c>
    </row>
    <row r="654" spans="1:14" ht="11.25" customHeight="1">
      <c r="A654" s="5" t="s">
        <v>1808</v>
      </c>
      <c r="B654" s="5" t="s">
        <v>1879</v>
      </c>
      <c r="C654" s="5" t="s">
        <v>1967</v>
      </c>
      <c r="D654" s="5" t="s">
        <v>1811</v>
      </c>
      <c r="E654" s="5" t="s">
        <v>12</v>
      </c>
      <c r="F654" s="5" t="s">
        <v>1812</v>
      </c>
      <c r="G654" s="5" t="s">
        <v>1813</v>
      </c>
      <c r="H654" s="5" t="s">
        <v>1881</v>
      </c>
      <c r="I654" s="5" t="s">
        <v>1968</v>
      </c>
      <c r="J654" s="5" t="s">
        <v>1969</v>
      </c>
      <c r="K654" s="7" t="str">
        <f ca="1">IFERROR(__xludf.DUMMYFUNCTION("GOOGLETRANSLATE(H654,""EN"",""ES"")"),"TEJIDOS TEXTILES")</f>
        <v>TEJIDOS TEXTILES</v>
      </c>
      <c r="L654" s="5" t="str">
        <f ca="1">IFERROR(__xludf.DUMMYFUNCTION("GOOGLETRANSLATE(J654,""EN"",""ES"")"),"Céfiro [tela]")</f>
        <v>Céfiro [tela]</v>
      </c>
      <c r="M654" s="8" t="s">
        <v>11</v>
      </c>
      <c r="N654" s="8" t="s">
        <v>11</v>
      </c>
    </row>
    <row r="655" spans="1:14" ht="11.25" customHeight="1">
      <c r="A655" s="5" t="s">
        <v>1808</v>
      </c>
      <c r="B655" s="5" t="s">
        <v>1879</v>
      </c>
      <c r="C655" s="5" t="s">
        <v>1970</v>
      </c>
      <c r="D655" s="5" t="s">
        <v>1811</v>
      </c>
      <c r="E655" s="5" t="s">
        <v>12</v>
      </c>
      <c r="F655" s="5" t="s">
        <v>1812</v>
      </c>
      <c r="G655" s="5" t="s">
        <v>1813</v>
      </c>
      <c r="H655" s="5" t="s">
        <v>1881</v>
      </c>
      <c r="I655" s="5" t="s">
        <v>1971</v>
      </c>
      <c r="J655" s="5" t="s">
        <v>1972</v>
      </c>
      <c r="K655" s="7" t="str">
        <f ca="1">IFERROR(__xludf.DUMMYFUNCTION("GOOGLETRANSLATE(H655,""EN"",""ES"")"),"TEJIDOS TEXTILES")</f>
        <v>TEJIDOS TEXTILES</v>
      </c>
      <c r="L655" s="5" t="str">
        <f ca="1">IFERROR(__xludf.DUMMYFUNCTION("GOOGLETRANSLATE(J655,""EN"",""ES"")"),"Felpa")</f>
        <v>Felpa</v>
      </c>
      <c r="M655" s="8" t="s">
        <v>11</v>
      </c>
      <c r="N655" s="8" t="s">
        <v>11</v>
      </c>
    </row>
    <row r="656" spans="1:14" ht="11.25" customHeight="1">
      <c r="A656" s="5" t="s">
        <v>1808</v>
      </c>
      <c r="B656" s="5" t="s">
        <v>1879</v>
      </c>
      <c r="C656" s="5" t="s">
        <v>1973</v>
      </c>
      <c r="D656" s="5" t="s">
        <v>1811</v>
      </c>
      <c r="E656" s="5" t="s">
        <v>12</v>
      </c>
      <c r="F656" s="5" t="s">
        <v>1812</v>
      </c>
      <c r="G656" s="5" t="s">
        <v>1813</v>
      </c>
      <c r="H656" s="5" t="s">
        <v>1881</v>
      </c>
      <c r="I656" s="5" t="s">
        <v>1974</v>
      </c>
      <c r="J656" s="5" t="s">
        <v>1975</v>
      </c>
      <c r="K656" s="7" t="str">
        <f ca="1">IFERROR(__xludf.DUMMYFUNCTION("GOOGLETRANSLATE(H656,""EN"",""ES"")"),"TEJIDOS TEXTILES")</f>
        <v>TEJIDOS TEXTILES</v>
      </c>
      <c r="L656" s="5" t="str">
        <f ca="1">IFERROR(__xludf.DUMMYFUNCTION("GOOGLETRANSLATE(J656,""EN"",""ES"")"),"Hojas textiles para recortar.")</f>
        <v>Hojas textiles para recortar.</v>
      </c>
      <c r="M656" s="8" t="s">
        <v>11</v>
      </c>
      <c r="N656" s="8" t="s">
        <v>11</v>
      </c>
    </row>
    <row r="657" spans="1:14" ht="11.25" customHeight="1">
      <c r="A657" s="5" t="s">
        <v>1808</v>
      </c>
      <c r="B657" s="5" t="s">
        <v>1879</v>
      </c>
      <c r="C657" s="5" t="s">
        <v>1976</v>
      </c>
      <c r="D657" s="5" t="s">
        <v>1811</v>
      </c>
      <c r="E657" s="5" t="s">
        <v>12</v>
      </c>
      <c r="F657" s="5" t="s">
        <v>1812</v>
      </c>
      <c r="G657" s="5" t="s">
        <v>1813</v>
      </c>
      <c r="H657" s="5" t="s">
        <v>1881</v>
      </c>
      <c r="I657" s="5" t="s">
        <v>1977</v>
      </c>
      <c r="J657" s="5" t="s">
        <v>1978</v>
      </c>
      <c r="K657" s="7" t="str">
        <f ca="1">IFERROR(__xludf.DUMMYFUNCTION("GOOGLETRANSLATE(H657,""EN"",""ES"")"),"TEJIDOS TEXTILES")</f>
        <v>TEJIDOS TEXTILES</v>
      </c>
      <c r="L657" s="5" t="str">
        <f ca="1">IFERROR(__xludf.DUMMYFUNCTION("GOOGLETRANSLATE(J657,""EN"",""ES"")"),"Telas para tapizar")</f>
        <v>Telas para tapizar</v>
      </c>
      <c r="M657" s="8" t="s">
        <v>11</v>
      </c>
      <c r="N657" s="8" t="s">
        <v>11</v>
      </c>
    </row>
    <row r="658" spans="1:14" ht="11.25" customHeight="1">
      <c r="A658" s="5" t="s">
        <v>1808</v>
      </c>
      <c r="B658" s="5" t="s">
        <v>1979</v>
      </c>
      <c r="C658" s="5" t="s">
        <v>1980</v>
      </c>
      <c r="D658" s="5" t="s">
        <v>1811</v>
      </c>
      <c r="E658" s="5" t="s">
        <v>12</v>
      </c>
      <c r="F658" s="5" t="s">
        <v>1812</v>
      </c>
      <c r="G658" s="5" t="s">
        <v>1813</v>
      </c>
      <c r="H658" s="5" t="s">
        <v>1981</v>
      </c>
      <c r="I658" s="5" t="s">
        <v>1982</v>
      </c>
      <c r="J658" s="5" t="s">
        <v>1983</v>
      </c>
      <c r="K658" s="7" t="str">
        <f ca="1">IFERROR(__xludf.DUMMYFUNCTION("GOOGLETRANSLATE(H658,""EN"",""ES"")"),"MATERIAL EN LÁMINA ARTIFICIAL O NATURAL")</f>
        <v>MATERIAL EN LÁMINA ARTIFICIAL O NATURAL</v>
      </c>
      <c r="L658" s="5" t="str">
        <f ca="1">IFERROR(__xludf.DUMMYFUNCTION("GOOGLETRANSLATE(J658,""EN"",""ES"")"),"papel de corcho")</f>
        <v>papel de corcho</v>
      </c>
      <c r="M658" s="8" t="s">
        <v>11</v>
      </c>
      <c r="N658" s="8" t="s">
        <v>11</v>
      </c>
    </row>
    <row r="659" spans="1:14" ht="11.25" customHeight="1">
      <c r="A659" s="5" t="s">
        <v>1808</v>
      </c>
      <c r="B659" s="5" t="s">
        <v>1979</v>
      </c>
      <c r="C659" s="5" t="s">
        <v>1984</v>
      </c>
      <c r="D659" s="5" t="s">
        <v>1811</v>
      </c>
      <c r="E659" s="5" t="s">
        <v>12</v>
      </c>
      <c r="F659" s="5" t="s">
        <v>1812</v>
      </c>
      <c r="G659" s="5" t="s">
        <v>1813</v>
      </c>
      <c r="H659" s="5" t="s">
        <v>1981</v>
      </c>
      <c r="I659" s="5" t="s">
        <v>1985</v>
      </c>
      <c r="J659" s="5" t="s">
        <v>1986</v>
      </c>
      <c r="K659" s="7" t="str">
        <f ca="1">IFERROR(__xludf.DUMMYFUNCTION("GOOGLETRANSLATE(H659,""EN"",""ES"")"),"MATERIAL EN LÁMINA ARTIFICIAL O NATURAL")</f>
        <v>MATERIAL EN LÁMINA ARTIFICIAL O NATURAL</v>
      </c>
      <c r="L659" s="5" t="str">
        <f ca="1">IFERROR(__xludf.DUMMYFUNCTION("GOOGLETRANSLATE(J659,""EN"",""ES"")"),"Cinta de madera")</f>
        <v>Cinta de madera</v>
      </c>
      <c r="M659" s="8" t="s">
        <v>11</v>
      </c>
      <c r="N659" s="8" t="s">
        <v>11</v>
      </c>
    </row>
    <row r="660" spans="1:14" ht="11.25" customHeight="1">
      <c r="A660" s="5" t="s">
        <v>1808</v>
      </c>
      <c r="B660" s="5" t="s">
        <v>1979</v>
      </c>
      <c r="C660" s="5" t="s">
        <v>1987</v>
      </c>
      <c r="D660" s="5" t="s">
        <v>1811</v>
      </c>
      <c r="E660" s="5" t="s">
        <v>12</v>
      </c>
      <c r="F660" s="5" t="s">
        <v>1812</v>
      </c>
      <c r="G660" s="5" t="s">
        <v>1813</v>
      </c>
      <c r="H660" s="5" t="s">
        <v>1981</v>
      </c>
      <c r="I660" s="5" t="s">
        <v>1988</v>
      </c>
      <c r="J660" s="5" t="s">
        <v>1989</v>
      </c>
      <c r="K660" s="7" t="str">
        <f ca="1">IFERROR(__xludf.DUMMYFUNCTION("GOOGLETRANSLATE(H660,""EN"",""ES"")"),"MATERIAL EN LÁMINA ARTIFICIAL O NATURAL")</f>
        <v>MATERIAL EN LÁMINA ARTIFICIAL O NATURAL</v>
      </c>
      <c r="L660" s="5" t="str">
        <f ca="1">IFERROR(__xludf.DUMMYFUNCTION("GOOGLETRANSLATE(J660,""EN"",""ES"")"),"Hojas de material de embalaje.")</f>
        <v>Hojas de material de embalaje.</v>
      </c>
      <c r="M660" s="8" t="s">
        <v>11</v>
      </c>
      <c r="N660" s="8" t="s">
        <v>11</v>
      </c>
    </row>
    <row r="661" spans="1:14" ht="11.25" customHeight="1">
      <c r="A661" s="5" t="s">
        <v>1808</v>
      </c>
      <c r="B661" s="5" t="s">
        <v>1979</v>
      </c>
      <c r="C661" s="5" t="s">
        <v>1990</v>
      </c>
      <c r="D661" s="5" t="s">
        <v>1811</v>
      </c>
      <c r="E661" s="5" t="s">
        <v>12</v>
      </c>
      <c r="F661" s="5" t="s">
        <v>1812</v>
      </c>
      <c r="G661" s="5" t="s">
        <v>1813</v>
      </c>
      <c r="H661" s="5" t="s">
        <v>1981</v>
      </c>
      <c r="I661" s="5" t="s">
        <v>1991</v>
      </c>
      <c r="J661" s="5" t="s">
        <v>1992</v>
      </c>
      <c r="K661" s="7" t="str">
        <f ca="1">IFERROR(__xludf.DUMMYFUNCTION("GOOGLETRANSLATE(H661,""EN"",""ES"")"),"MATERIAL EN LÁMINA ARTIFICIAL O NATURAL")</f>
        <v>MATERIAL EN LÁMINA ARTIFICIAL O NATURAL</v>
      </c>
      <c r="L661" s="5" t="str">
        <f ca="1">IFERROR(__xludf.DUMMYFUNCTION("GOOGLETRANSLATE(J661,""EN"",""ES"")"),"Láminas de material artificial o natural.")</f>
        <v>Láminas de material artificial o natural.</v>
      </c>
      <c r="M661" s="8" t="s">
        <v>11</v>
      </c>
      <c r="N661" s="8" t="s">
        <v>11</v>
      </c>
    </row>
    <row r="662" spans="1:14" ht="11.25" customHeight="1">
      <c r="A662" s="5" t="s">
        <v>1808</v>
      </c>
      <c r="B662" s="5" t="s">
        <v>1979</v>
      </c>
      <c r="C662" s="5" t="s">
        <v>1993</v>
      </c>
      <c r="D662" s="5" t="s">
        <v>1811</v>
      </c>
      <c r="E662" s="5" t="s">
        <v>12</v>
      </c>
      <c r="F662" s="5" t="s">
        <v>1812</v>
      </c>
      <c r="G662" s="5" t="s">
        <v>1813</v>
      </c>
      <c r="H662" s="5" t="s">
        <v>1981</v>
      </c>
      <c r="I662" s="5" t="s">
        <v>1994</v>
      </c>
      <c r="J662" s="5" t="s">
        <v>1995</v>
      </c>
      <c r="K662" s="7" t="str">
        <f ca="1">IFERROR(__xludf.DUMMYFUNCTION("GOOGLETRANSLATE(H662,""EN"",""ES"")"),"MATERIAL EN LÁMINA ARTIFICIAL O NATURAL")</f>
        <v>MATERIAL EN LÁMINA ARTIFICIAL O NATURAL</v>
      </c>
      <c r="L662" s="5" t="str">
        <f ca="1">IFERROR(__xludf.DUMMYFUNCTION("GOOGLETRANSLATE(J662,""EN"",""ES"")"),"Hojas de chapa")</f>
        <v>Hojas de chapa</v>
      </c>
      <c r="M662" s="8" t="s">
        <v>11</v>
      </c>
      <c r="N662" s="8" t="s">
        <v>11</v>
      </c>
    </row>
    <row r="663" spans="1:14" ht="11.25" customHeight="1">
      <c r="A663" s="5" t="s">
        <v>1808</v>
      </c>
      <c r="B663" s="5" t="s">
        <v>1979</v>
      </c>
      <c r="C663" s="5" t="s">
        <v>1996</v>
      </c>
      <c r="D663" s="5" t="s">
        <v>1811</v>
      </c>
      <c r="E663" s="5" t="s">
        <v>12</v>
      </c>
      <c r="F663" s="5" t="s">
        <v>1812</v>
      </c>
      <c r="G663" s="5" t="s">
        <v>1813</v>
      </c>
      <c r="H663" s="5" t="s">
        <v>1981</v>
      </c>
      <c r="I663" s="5" t="s">
        <v>1997</v>
      </c>
      <c r="J663" s="5" t="s">
        <v>1998</v>
      </c>
      <c r="K663" s="7" t="str">
        <f ca="1">IFERROR(__xludf.DUMMYFUNCTION("GOOGLETRANSLATE(H663,""EN"",""ES"")"),"MATERIAL EN LÁMINA ARTIFICIAL O NATURAL")</f>
        <v>MATERIAL EN LÁMINA ARTIFICIAL O NATURAL</v>
      </c>
      <c r="L663" s="5" t="str">
        <f ca="1">IFERROR(__xludf.DUMMYFUNCTION("GOOGLETRANSLATE(J663,""EN"",""ES"")"),"Lámina de plástico autoadhesiva")</f>
        <v>Lámina de plástico autoadhesiva</v>
      </c>
      <c r="M663" s="8" t="s">
        <v>11</v>
      </c>
      <c r="N663" s="8" t="s">
        <v>11</v>
      </c>
    </row>
    <row r="664" spans="1:14" ht="11.25" customHeight="1">
      <c r="A664" s="5" t="s">
        <v>1808</v>
      </c>
      <c r="B664" s="5" t="s">
        <v>1979</v>
      </c>
      <c r="C664" s="5" t="s">
        <v>1999</v>
      </c>
      <c r="D664" s="5" t="s">
        <v>1811</v>
      </c>
      <c r="E664" s="5" t="s">
        <v>12</v>
      </c>
      <c r="F664" s="5" t="s">
        <v>1812</v>
      </c>
      <c r="G664" s="5" t="s">
        <v>1813</v>
      </c>
      <c r="H664" s="5" t="s">
        <v>1981</v>
      </c>
      <c r="I664" s="5" t="s">
        <v>2000</v>
      </c>
      <c r="J664" s="5" t="s">
        <v>2001</v>
      </c>
      <c r="K664" s="7" t="str">
        <f ca="1">IFERROR(__xludf.DUMMYFUNCTION("GOOGLETRANSLATE(H664,""EN"",""ES"")"),"MATERIAL EN LÁMINA ARTIFICIAL O NATURAL")</f>
        <v>MATERIAL EN LÁMINA ARTIFICIAL O NATURAL</v>
      </c>
      <c r="L664" s="5" t="str">
        <f ca="1">IFERROR(__xludf.DUMMYFUNCTION("GOOGLETRANSLATE(J664,""EN"",""ES"")"),"Laminados de papel, metal o materiales plásticos.")</f>
        <v>Laminados de papel, metal o materiales plásticos.</v>
      </c>
      <c r="M664" s="8" t="s">
        <v>11</v>
      </c>
      <c r="N664" s="8" t="s">
        <v>11</v>
      </c>
    </row>
    <row r="665" spans="1:14" ht="11.25" customHeight="1">
      <c r="A665" s="5" t="s">
        <v>1808</v>
      </c>
      <c r="B665" s="5" t="s">
        <v>1979</v>
      </c>
      <c r="C665" s="5" t="s">
        <v>2002</v>
      </c>
      <c r="D665" s="5" t="s">
        <v>1811</v>
      </c>
      <c r="E665" s="5" t="s">
        <v>12</v>
      </c>
      <c r="F665" s="5" t="s">
        <v>1812</v>
      </c>
      <c r="G665" s="5" t="s">
        <v>1813</v>
      </c>
      <c r="H665" s="5" t="s">
        <v>1981</v>
      </c>
      <c r="I665" s="5" t="s">
        <v>2003</v>
      </c>
      <c r="J665" s="5" t="s">
        <v>2004</v>
      </c>
      <c r="K665" s="7" t="str">
        <f ca="1">IFERROR(__xludf.DUMMYFUNCTION("GOOGLETRANSLATE(H665,""EN"",""ES"")"),"MATERIAL EN LÁMINA ARTIFICIAL O NATURAL")</f>
        <v>MATERIAL EN LÁMINA ARTIFICIAL O NATURAL</v>
      </c>
      <c r="L665" s="5" t="str">
        <f ca="1">IFERROR(__xludf.DUMMYFUNCTION("GOOGLETRANSLATE(J665,""EN"",""ES"")"),"Linóleo")</f>
        <v>Linóleo</v>
      </c>
      <c r="M665" s="8" t="s">
        <v>11</v>
      </c>
      <c r="N665" s="8" t="s">
        <v>11</v>
      </c>
    </row>
    <row r="666" spans="1:14" ht="11.25" customHeight="1">
      <c r="A666" s="5" t="s">
        <v>1808</v>
      </c>
      <c r="B666" s="5" t="s">
        <v>1979</v>
      </c>
      <c r="C666" s="5" t="s">
        <v>2005</v>
      </c>
      <c r="D666" s="5" t="s">
        <v>1811</v>
      </c>
      <c r="E666" s="5" t="s">
        <v>12</v>
      </c>
      <c r="F666" s="5" t="s">
        <v>1812</v>
      </c>
      <c r="G666" s="5" t="s">
        <v>1813</v>
      </c>
      <c r="H666" s="5" t="s">
        <v>1981</v>
      </c>
      <c r="I666" s="5" t="s">
        <v>2006</v>
      </c>
      <c r="J666" s="5" t="s">
        <v>2007</v>
      </c>
      <c r="K666" s="7" t="str">
        <f ca="1">IFERROR(__xludf.DUMMYFUNCTION("GOOGLETRANSLATE(H666,""EN"",""ES"")"),"MATERIAL EN LÁMINA ARTIFICIAL O NATURAL")</f>
        <v>MATERIAL EN LÁMINA ARTIFICIAL O NATURAL</v>
      </c>
      <c r="L666" s="5" t="str">
        <f ca="1">IFERROR(__xludf.DUMMYFUNCTION("GOOGLETRANSLATE(J666,""EN"",""ES"")"),"Esteras para pistas de esquí artificiales")</f>
        <v>Esteras para pistas de esquí artificiales</v>
      </c>
      <c r="M666" s="8" t="s">
        <v>11</v>
      </c>
      <c r="N666" s="8" t="s">
        <v>11</v>
      </c>
    </row>
    <row r="667" spans="1:14" ht="11.25" customHeight="1">
      <c r="A667" s="5" t="s">
        <v>1808</v>
      </c>
      <c r="B667" s="5" t="s">
        <v>1979</v>
      </c>
      <c r="C667" s="5" t="s">
        <v>2008</v>
      </c>
      <c r="D667" s="5" t="s">
        <v>1811</v>
      </c>
      <c r="E667" s="5" t="s">
        <v>12</v>
      </c>
      <c r="F667" s="5" t="s">
        <v>1812</v>
      </c>
      <c r="G667" s="5" t="s">
        <v>1813</v>
      </c>
      <c r="H667" s="5" t="s">
        <v>1981</v>
      </c>
      <c r="I667" s="5" t="s">
        <v>2009</v>
      </c>
      <c r="J667" s="5" t="s">
        <v>2010</v>
      </c>
      <c r="K667" s="7" t="str">
        <f ca="1">IFERROR(__xludf.DUMMYFUNCTION("GOOGLETRANSLATE(H667,""EN"",""ES"")"),"MATERIAL EN LÁMINA ARTIFICIAL O NATURAL")</f>
        <v>MATERIAL EN LÁMINA ARTIFICIAL O NATURAL</v>
      </c>
      <c r="L667" s="5" t="str">
        <f ca="1">IFERROR(__xludf.DUMMYFUNCTION("GOOGLETRANSLATE(J667,""EN"",""ES"")"),"Papel de aluminio para uso doméstico.")</f>
        <v>Papel de aluminio para uso doméstico.</v>
      </c>
      <c r="M667" s="8" t="s">
        <v>11</v>
      </c>
      <c r="N667" s="8" t="s">
        <v>11</v>
      </c>
    </row>
    <row r="668" spans="1:14" ht="11.25" customHeight="1">
      <c r="A668" s="5" t="s">
        <v>1808</v>
      </c>
      <c r="B668" s="5" t="s">
        <v>1979</v>
      </c>
      <c r="C668" s="5" t="s">
        <v>2011</v>
      </c>
      <c r="D668" s="5" t="s">
        <v>1811</v>
      </c>
      <c r="E668" s="5" t="s">
        <v>12</v>
      </c>
      <c r="F668" s="5" t="s">
        <v>1812</v>
      </c>
      <c r="G668" s="5" t="s">
        <v>1813</v>
      </c>
      <c r="H668" s="5" t="s">
        <v>1981</v>
      </c>
      <c r="I668" s="5" t="s">
        <v>2012</v>
      </c>
      <c r="J668" s="5" t="s">
        <v>2013</v>
      </c>
      <c r="K668" s="7" t="str">
        <f ca="1">IFERROR(__xludf.DUMMYFUNCTION("GOOGLETRANSLATE(H668,""EN"",""ES"")"),"MATERIAL EN LÁMINA ARTIFICIAL O NATURAL")</f>
        <v>MATERIAL EN LÁMINA ARTIFICIAL O NATURAL</v>
      </c>
      <c r="L668" s="5" t="str">
        <f ca="1">IFERROR(__xludf.DUMMYFUNCTION("GOOGLETRANSLATE(J668,""EN"",""ES"")"),"papel de regalo")</f>
        <v>papel de regalo</v>
      </c>
      <c r="M668" s="8" t="s">
        <v>11</v>
      </c>
      <c r="N668" s="8" t="s">
        <v>11</v>
      </c>
    </row>
    <row r="669" spans="1:14" ht="11.25" customHeight="1">
      <c r="A669" s="5" t="s">
        <v>1808</v>
      </c>
      <c r="B669" s="5" t="s">
        <v>1979</v>
      </c>
      <c r="C669" s="5" t="s">
        <v>2011</v>
      </c>
      <c r="D669" s="5" t="s">
        <v>1811</v>
      </c>
      <c r="E669" s="5" t="s">
        <v>12</v>
      </c>
      <c r="F669" s="5" t="s">
        <v>1812</v>
      </c>
      <c r="G669" s="5" t="s">
        <v>1813</v>
      </c>
      <c r="H669" s="5" t="s">
        <v>1981</v>
      </c>
      <c r="I669" s="5" t="s">
        <v>2014</v>
      </c>
      <c r="J669" s="5" t="s">
        <v>152</v>
      </c>
      <c r="K669" s="7" t="str">
        <f ca="1">IFERROR(__xludf.DUMMYFUNCTION("GOOGLETRANSLATE(H669,""EN"",""ES"")"),"MATERIAL EN LÁMINA ARTIFICIAL O NATURAL")</f>
        <v>MATERIAL EN LÁMINA ARTIFICIAL O NATURAL</v>
      </c>
      <c r="L669" s="5" t="str">
        <f ca="1">IFERROR(__xludf.DUMMYFUNCTION("GOOGLETRANSLATE(J669,""EN"",""ES"")"),"papel de embalaje")</f>
        <v>papel de embalaje</v>
      </c>
      <c r="M669" s="8" t="s">
        <v>11</v>
      </c>
      <c r="N669" s="8" t="s">
        <v>11</v>
      </c>
    </row>
    <row r="670" spans="1:14" ht="11.25" customHeight="1">
      <c r="A670" s="5" t="s">
        <v>1808</v>
      </c>
      <c r="B670" s="5" t="s">
        <v>1979</v>
      </c>
      <c r="C670" s="5" t="s">
        <v>2015</v>
      </c>
      <c r="D670" s="5" t="s">
        <v>1811</v>
      </c>
      <c r="E670" s="5" t="s">
        <v>12</v>
      </c>
      <c r="F670" s="5" t="s">
        <v>1812</v>
      </c>
      <c r="G670" s="5" t="s">
        <v>1813</v>
      </c>
      <c r="H670" s="5" t="s">
        <v>1981</v>
      </c>
      <c r="I670" s="5" t="s">
        <v>2016</v>
      </c>
      <c r="J670" s="5" t="s">
        <v>2017</v>
      </c>
      <c r="K670" s="7" t="str">
        <f ca="1">IFERROR(__xludf.DUMMYFUNCTION("GOOGLETRANSLATE(H670,""EN"",""ES"")"),"MATERIAL EN LÁMINA ARTIFICIAL O NATURAL")</f>
        <v>MATERIAL EN LÁMINA ARTIFICIAL O NATURAL</v>
      </c>
      <c r="L670" s="5" t="str">
        <f ca="1">IFERROR(__xludf.DUMMYFUNCTION("GOOGLETRANSLATE(J670,""EN"",""ES"")"),"Papel encerado")</f>
        <v>Papel encerado</v>
      </c>
      <c r="M670" s="8" t="s">
        <v>11</v>
      </c>
      <c r="N670" s="8" t="s">
        <v>11</v>
      </c>
    </row>
    <row r="671" spans="1:14" ht="11.25" customHeight="1">
      <c r="A671" s="5" t="s">
        <v>1808</v>
      </c>
      <c r="B671" s="5" t="s">
        <v>1979</v>
      </c>
      <c r="C671" s="5" t="s">
        <v>2018</v>
      </c>
      <c r="D671" s="5" t="s">
        <v>1811</v>
      </c>
      <c r="E671" s="5" t="s">
        <v>12</v>
      </c>
      <c r="F671" s="5" t="s">
        <v>1812</v>
      </c>
      <c r="G671" s="5" t="s">
        <v>1813</v>
      </c>
      <c r="H671" s="5" t="s">
        <v>1981</v>
      </c>
      <c r="I671" s="5" t="s">
        <v>2019</v>
      </c>
      <c r="J671" s="5" t="s">
        <v>2020</v>
      </c>
      <c r="K671" s="7" t="str">
        <f ca="1">IFERROR(__xludf.DUMMYFUNCTION("GOOGLETRANSLATE(H671,""EN"",""ES"")"),"MATERIAL EN LÁMINA ARTIFICIAL O NATURAL")</f>
        <v>MATERIAL EN LÁMINA ARTIFICIAL O NATURAL</v>
      </c>
      <c r="L671" s="5" t="str">
        <f ca="1">IFERROR(__xludf.DUMMYFUNCTION("GOOGLETRANSLATE(J671,""EN"",""ES"")"),"Papel pintado")</f>
        <v>Papel pintado</v>
      </c>
      <c r="M671" s="8" t="s">
        <v>11</v>
      </c>
      <c r="N671" s="8" t="s">
        <v>11</v>
      </c>
    </row>
    <row r="672" spans="1:14" ht="11.25" customHeight="1">
      <c r="A672" s="5" t="s">
        <v>1808</v>
      </c>
      <c r="B672" s="5" t="s">
        <v>1979</v>
      </c>
      <c r="C672" s="5" t="s">
        <v>2018</v>
      </c>
      <c r="D672" s="5" t="s">
        <v>1811</v>
      </c>
      <c r="E672" s="5" t="s">
        <v>12</v>
      </c>
      <c r="F672" s="5" t="s">
        <v>1812</v>
      </c>
      <c r="G672" s="5" t="s">
        <v>1813</v>
      </c>
      <c r="H672" s="5" t="s">
        <v>1981</v>
      </c>
      <c r="I672" s="5" t="s">
        <v>152</v>
      </c>
      <c r="J672" s="5" t="s">
        <v>2021</v>
      </c>
      <c r="K672" s="7" t="str">
        <f ca="1">IFERROR(__xludf.DUMMYFUNCTION("GOOGLETRANSLATE(H672,""EN"",""ES"")"),"MATERIAL EN LÁMINA ARTIFICIAL O NATURAL")</f>
        <v>MATERIAL EN LÁMINA ARTIFICIAL O NATURAL</v>
      </c>
      <c r="L672" s="5" t="str">
        <f ca="1">IFERROR(__xludf.DUMMYFUNCTION("GOOGLETRANSLATE(J672,""EN"",""ES"")"),"N / A")</f>
        <v>N / A</v>
      </c>
      <c r="M672" s="8" t="s">
        <v>11</v>
      </c>
      <c r="N672" s="8" t="s">
        <v>11</v>
      </c>
    </row>
    <row r="673" spans="1:14" ht="11.25" customHeight="1">
      <c r="A673" s="5" t="s">
        <v>1808</v>
      </c>
      <c r="B673" s="5" t="s">
        <v>1979</v>
      </c>
      <c r="C673" s="5" t="s">
        <v>2022</v>
      </c>
      <c r="D673" s="5" t="s">
        <v>1811</v>
      </c>
      <c r="E673" s="5" t="s">
        <v>12</v>
      </c>
      <c r="F673" s="5" t="s">
        <v>1812</v>
      </c>
      <c r="G673" s="5" t="s">
        <v>1813</v>
      </c>
      <c r="H673" s="5" t="s">
        <v>1981</v>
      </c>
      <c r="I673" s="5" t="s">
        <v>2023</v>
      </c>
      <c r="J673" s="5" t="s">
        <v>2024</v>
      </c>
      <c r="K673" s="7" t="str">
        <f ca="1">IFERROR(__xludf.DUMMYFUNCTION("GOOGLETRANSLATE(H673,""EN"",""ES"")"),"MATERIAL EN LÁMINA ARTIFICIAL O NATURAL")</f>
        <v>MATERIAL EN LÁMINA ARTIFICIAL O NATURAL</v>
      </c>
      <c r="L673" s="5" t="str">
        <f ca="1">IFERROR(__xludf.DUMMYFUNCTION("GOOGLETRANSLATE(J673,""EN"",""ES"")"),"papel pedernal")</f>
        <v>papel pedernal</v>
      </c>
      <c r="M673" s="8" t="s">
        <v>11</v>
      </c>
      <c r="N673" s="8" t="s">
        <v>11</v>
      </c>
    </row>
    <row r="674" spans="1:14" ht="11.25" customHeight="1">
      <c r="A674" s="5" t="s">
        <v>1808</v>
      </c>
      <c r="B674" s="5" t="s">
        <v>1979</v>
      </c>
      <c r="C674" s="5" t="s">
        <v>2025</v>
      </c>
      <c r="D674" s="5" t="s">
        <v>1811</v>
      </c>
      <c r="E674" s="5" t="s">
        <v>12</v>
      </c>
      <c r="F674" s="5" t="s">
        <v>1812</v>
      </c>
      <c r="G674" s="5" t="s">
        <v>1813</v>
      </c>
      <c r="H674" s="5" t="s">
        <v>1981</v>
      </c>
      <c r="I674" s="5" t="s">
        <v>2026</v>
      </c>
      <c r="J674" s="5" t="s">
        <v>2027</v>
      </c>
      <c r="K674" s="7" t="str">
        <f ca="1">IFERROR(__xludf.DUMMYFUNCTION("GOOGLETRANSLATE(H674,""EN"",""ES"")"),"MATERIAL EN LÁMINA ARTIFICIAL O NATURAL")</f>
        <v>MATERIAL EN LÁMINA ARTIFICIAL O NATURAL</v>
      </c>
      <c r="L674" s="5" t="str">
        <f ca="1">IFERROR(__xludf.DUMMYFUNCTION("GOOGLETRANSLATE(J674,""EN"",""ES"")"),"papel vulcanizado")</f>
        <v>papel vulcanizado</v>
      </c>
      <c r="M674" s="8" t="s">
        <v>11</v>
      </c>
      <c r="N674" s="8" t="s">
        <v>11</v>
      </c>
    </row>
    <row r="675" spans="1:14" ht="11.25" customHeight="1">
      <c r="A675" s="5" t="s">
        <v>1808</v>
      </c>
      <c r="B675" s="5" t="s">
        <v>1979</v>
      </c>
      <c r="C675" s="5" t="s">
        <v>2028</v>
      </c>
      <c r="D675" s="5" t="s">
        <v>1811</v>
      </c>
      <c r="E675" s="5" t="s">
        <v>12</v>
      </c>
      <c r="F675" s="5" t="s">
        <v>1812</v>
      </c>
      <c r="G675" s="5" t="s">
        <v>1813</v>
      </c>
      <c r="H675" s="5" t="s">
        <v>1981</v>
      </c>
      <c r="I675" s="5" t="s">
        <v>2029</v>
      </c>
      <c r="J675" s="5" t="s">
        <v>2030</v>
      </c>
      <c r="K675" s="7" t="str">
        <f ca="1">IFERROR(__xludf.DUMMYFUNCTION("GOOGLETRANSLATE(H675,""EN"",""ES"")"),"MATERIAL EN LÁMINA ARTIFICIAL O NATURAL")</f>
        <v>MATERIAL EN LÁMINA ARTIFICIAL O NATURAL</v>
      </c>
      <c r="L675" s="5" t="str">
        <f ca="1">IFERROR(__xludf.DUMMYFUNCTION("GOOGLETRANSLATE(J675,""EN"",""ES"")"),"toallas de papel")</f>
        <v>toallas de papel</v>
      </c>
      <c r="M675" s="8" t="s">
        <v>11</v>
      </c>
      <c r="N675" s="8" t="s">
        <v>11</v>
      </c>
    </row>
    <row r="676" spans="1:14" ht="11.25" customHeight="1">
      <c r="A676" s="5" t="s">
        <v>1808</v>
      </c>
      <c r="B676" s="5" t="s">
        <v>1979</v>
      </c>
      <c r="C676" s="5" t="s">
        <v>2031</v>
      </c>
      <c r="D676" s="5" t="s">
        <v>1811</v>
      </c>
      <c r="E676" s="5" t="s">
        <v>12</v>
      </c>
      <c r="F676" s="5" t="s">
        <v>1812</v>
      </c>
      <c r="G676" s="5" t="s">
        <v>1813</v>
      </c>
      <c r="H676" s="5" t="s">
        <v>1981</v>
      </c>
      <c r="I676" s="5" t="s">
        <v>2032</v>
      </c>
      <c r="J676" s="5" t="s">
        <v>2033</v>
      </c>
      <c r="K676" s="7" t="str">
        <f ca="1">IFERROR(__xludf.DUMMYFUNCTION("GOOGLETRANSLATE(H676,""EN"",""ES"")"),"MATERIAL EN LÁMINA ARTIFICIAL O NATURAL")</f>
        <v>MATERIAL EN LÁMINA ARTIFICIAL O NATURAL</v>
      </c>
      <c r="L676" s="5" t="str">
        <f ca="1">IFERROR(__xludf.DUMMYFUNCTION("GOOGLETRANSLATE(J676,""EN"",""ES"")"),"Rollos o paquetes de papel [papel higiénico o servilletas]")</f>
        <v>Rollos o paquetes de papel [papel higiénico o servilletas]</v>
      </c>
      <c r="M676" s="8" t="s">
        <v>11</v>
      </c>
      <c r="N676" s="8" t="s">
        <v>11</v>
      </c>
    </row>
    <row r="677" spans="1:14" ht="11.25" customHeight="1">
      <c r="A677" s="5" t="s">
        <v>1808</v>
      </c>
      <c r="B677" s="5" t="s">
        <v>1979</v>
      </c>
      <c r="C677" s="5" t="s">
        <v>2034</v>
      </c>
      <c r="D677" s="5" t="s">
        <v>1811</v>
      </c>
      <c r="E677" s="5" t="s">
        <v>12</v>
      </c>
      <c r="F677" s="5" t="s">
        <v>1812</v>
      </c>
      <c r="G677" s="5" t="s">
        <v>1813</v>
      </c>
      <c r="H677" s="5" t="s">
        <v>1981</v>
      </c>
      <c r="I677" s="5" t="s">
        <v>2035</v>
      </c>
      <c r="J677" s="5" t="s">
        <v>2036</v>
      </c>
      <c r="K677" s="7" t="str">
        <f ca="1">IFERROR(__xludf.DUMMYFUNCTION("GOOGLETRANSLATE(H677,""EN"",""ES"")"),"MATERIAL EN LÁMINA ARTIFICIAL O NATURAL")</f>
        <v>MATERIAL EN LÁMINA ARTIFICIAL O NATURAL</v>
      </c>
      <c r="L677" s="5" t="str">
        <f ca="1">IFERROR(__xludf.DUMMYFUNCTION("GOOGLETRANSLATE(J677,""EN"",""ES"")"),"Rollos de papel de cocina")</f>
        <v>Rollos de papel de cocina</v>
      </c>
      <c r="M677" s="8" t="s">
        <v>11</v>
      </c>
      <c r="N677" s="8" t="s">
        <v>11</v>
      </c>
    </row>
    <row r="678" spans="1:14" ht="11.25" customHeight="1">
      <c r="A678" s="5" t="s">
        <v>1808</v>
      </c>
      <c r="B678" s="5" t="s">
        <v>1979</v>
      </c>
      <c r="C678" s="5" t="s">
        <v>2037</v>
      </c>
      <c r="D678" s="5" t="s">
        <v>1811</v>
      </c>
      <c r="E678" s="5" t="s">
        <v>12</v>
      </c>
      <c r="F678" s="5" t="s">
        <v>1812</v>
      </c>
      <c r="G678" s="5" t="s">
        <v>1813</v>
      </c>
      <c r="H678" s="5" t="s">
        <v>1981</v>
      </c>
      <c r="I678" s="5" t="s">
        <v>2038</v>
      </c>
      <c r="J678" s="5" t="s">
        <v>2039</v>
      </c>
      <c r="K678" s="7" t="str">
        <f ca="1">IFERROR(__xludf.DUMMYFUNCTION("GOOGLETRANSLATE(H678,""EN"",""ES"")"),"MATERIAL EN LÁMINA ARTIFICIAL O NATURAL")</f>
        <v>MATERIAL EN LÁMINA ARTIFICIAL O NATURAL</v>
      </c>
      <c r="L678" s="5" t="str">
        <f ca="1">IFERROR(__xludf.DUMMYFUNCTION("GOOGLETRANSLATE(J678,""EN"",""ES"")"),"Pañuelos de papel")</f>
        <v>Pañuelos de papel</v>
      </c>
      <c r="M678" s="8" t="s">
        <v>11</v>
      </c>
      <c r="N678" s="8" t="s">
        <v>11</v>
      </c>
    </row>
    <row r="679" spans="1:14" ht="11.25" customHeight="1">
      <c r="A679" s="5" t="s">
        <v>1808</v>
      </c>
      <c r="B679" s="5" t="s">
        <v>1979</v>
      </c>
      <c r="C679" s="5" t="s">
        <v>2040</v>
      </c>
      <c r="D679" s="5" t="s">
        <v>1811</v>
      </c>
      <c r="E679" s="5" t="s">
        <v>12</v>
      </c>
      <c r="F679" s="5" t="s">
        <v>1812</v>
      </c>
      <c r="G679" s="5" t="s">
        <v>1813</v>
      </c>
      <c r="H679" s="5" t="s">
        <v>1981</v>
      </c>
      <c r="I679" s="5" t="s">
        <v>2041</v>
      </c>
      <c r="J679" s="5" t="s">
        <v>2042</v>
      </c>
      <c r="K679" s="7" t="str">
        <f ca="1">IFERROR(__xludf.DUMMYFUNCTION("GOOGLETRANSLATE(H679,""EN"",""ES"")"),"MATERIAL EN LÁMINA ARTIFICIAL O NATURAL")</f>
        <v>MATERIAL EN LÁMINA ARTIFICIAL O NATURAL</v>
      </c>
      <c r="L679" s="5" t="str">
        <f ca="1">IFERROR(__xludf.DUMMYFUNCTION("GOOGLETRANSLATE(J679,""EN"",""ES"")"),"Papel higiénico")</f>
        <v>Papel higiénico</v>
      </c>
      <c r="M679" s="8" t="s">
        <v>11</v>
      </c>
      <c r="N679" s="8" t="s">
        <v>11</v>
      </c>
    </row>
    <row r="680" spans="1:14" ht="11.25" customHeight="1">
      <c r="A680" s="5" t="s">
        <v>1808</v>
      </c>
      <c r="B680" s="5" t="s">
        <v>1979</v>
      </c>
      <c r="C680" s="5" t="s">
        <v>2043</v>
      </c>
      <c r="D680" s="5" t="s">
        <v>1811</v>
      </c>
      <c r="E680" s="5" t="s">
        <v>12</v>
      </c>
      <c r="F680" s="5" t="s">
        <v>1812</v>
      </c>
      <c r="G680" s="5" t="s">
        <v>1813</v>
      </c>
      <c r="H680" s="5" t="s">
        <v>1981</v>
      </c>
      <c r="I680" s="5" t="s">
        <v>2044</v>
      </c>
      <c r="J680" s="5" t="s">
        <v>2045</v>
      </c>
      <c r="K680" s="7" t="str">
        <f ca="1">IFERROR(__xludf.DUMMYFUNCTION("GOOGLETRANSLATE(H680,""EN"",""ES"")"),"MATERIAL EN LÁMINA ARTIFICIAL O NATURAL")</f>
        <v>MATERIAL EN LÁMINA ARTIFICIAL O NATURAL</v>
      </c>
      <c r="L680" s="5" t="str">
        <f ca="1">IFERROR(__xludf.DUMMYFUNCTION("GOOGLETRANSLATE(J680,""EN"",""ES"")"),"Toallitas impregnadas")</f>
        <v>Toallitas impregnadas</v>
      </c>
      <c r="M680" s="8" t="s">
        <v>11</v>
      </c>
      <c r="N680" s="8" t="s">
        <v>11</v>
      </c>
    </row>
    <row r="681" spans="1:14" ht="11.25" customHeight="1">
      <c r="A681" s="5" t="s">
        <v>1808</v>
      </c>
      <c r="B681" s="5" t="s">
        <v>1979</v>
      </c>
      <c r="C681" s="5" t="s">
        <v>2046</v>
      </c>
      <c r="D681" s="5" t="s">
        <v>1811</v>
      </c>
      <c r="E681" s="5" t="s">
        <v>12</v>
      </c>
      <c r="F681" s="5" t="s">
        <v>1812</v>
      </c>
      <c r="G681" s="5" t="s">
        <v>1813</v>
      </c>
      <c r="H681" s="5" t="s">
        <v>1981</v>
      </c>
      <c r="I681" s="5" t="s">
        <v>2047</v>
      </c>
      <c r="J681" s="5" t="s">
        <v>2048</v>
      </c>
      <c r="K681" s="7" t="str">
        <f ca="1">IFERROR(__xludf.DUMMYFUNCTION("GOOGLETRANSLATE(H681,""EN"",""ES"")"),"MATERIAL EN LÁMINA ARTIFICIAL O NATURAL")</f>
        <v>MATERIAL EN LÁMINA ARTIFICIAL O NATURAL</v>
      </c>
      <c r="L681" s="5" t="str">
        <f ca="1">IFERROR(__xludf.DUMMYFUNCTION("GOOGLETRANSLATE(J681,""EN"",""ES"")"),"Pieles de animales")</f>
        <v>Pieles de animales</v>
      </c>
      <c r="M681" s="8" t="s">
        <v>11</v>
      </c>
      <c r="N681" s="8" t="s">
        <v>11</v>
      </c>
    </row>
    <row r="682" spans="1:14" ht="11.25" customHeight="1">
      <c r="A682" s="5" t="s">
        <v>1808</v>
      </c>
      <c r="B682" s="5" t="s">
        <v>1979</v>
      </c>
      <c r="C682" s="5" t="s">
        <v>2049</v>
      </c>
      <c r="D682" s="5" t="s">
        <v>1811</v>
      </c>
      <c r="E682" s="5" t="s">
        <v>12</v>
      </c>
      <c r="F682" s="5" t="s">
        <v>1812</v>
      </c>
      <c r="G682" s="5" t="s">
        <v>1813</v>
      </c>
      <c r="H682" s="5" t="s">
        <v>1981</v>
      </c>
      <c r="I682" s="5" t="s">
        <v>2050</v>
      </c>
      <c r="J682" s="5" t="s">
        <v>2051</v>
      </c>
      <c r="K682" s="7" t="str">
        <f ca="1">IFERROR(__xludf.DUMMYFUNCTION("GOOGLETRANSLATE(H682,""EN"",""ES"")"),"MATERIAL EN LÁMINA ARTIFICIAL O NATURAL")</f>
        <v>MATERIAL EN LÁMINA ARTIFICIAL O NATURAL</v>
      </c>
      <c r="L682" s="5" t="str">
        <f ca="1">IFERROR(__xludf.DUMMYFUNCTION("GOOGLETRANSLATE(J682,""EN"",""ES"")"),"láminas de vidrio")</f>
        <v>láminas de vidrio</v>
      </c>
      <c r="M682" s="8" t="s">
        <v>11</v>
      </c>
      <c r="N682" s="8" t="s">
        <v>11</v>
      </c>
    </row>
    <row r="683" spans="1:14" ht="11.25" customHeight="1">
      <c r="A683" s="5" t="s">
        <v>1808</v>
      </c>
      <c r="B683" s="5" t="s">
        <v>1979</v>
      </c>
      <c r="C683" s="5" t="s">
        <v>2052</v>
      </c>
      <c r="D683" s="5" t="s">
        <v>1811</v>
      </c>
      <c r="E683" s="5" t="s">
        <v>12</v>
      </c>
      <c r="F683" s="5" t="s">
        <v>1812</v>
      </c>
      <c r="G683" s="5" t="s">
        <v>1813</v>
      </c>
      <c r="H683" s="5" t="s">
        <v>1981</v>
      </c>
      <c r="I683" s="5" t="s">
        <v>2053</v>
      </c>
      <c r="J683" s="5" t="s">
        <v>2054</v>
      </c>
      <c r="K683" s="7" t="str">
        <f ca="1">IFERROR(__xludf.DUMMYFUNCTION("GOOGLETRANSLATE(H683,""EN"",""ES"")"),"MATERIAL EN LÁMINA ARTIFICIAL O NATURAL")</f>
        <v>MATERIAL EN LÁMINA ARTIFICIAL O NATURAL</v>
      </c>
      <c r="L683" s="5" t="str">
        <f ca="1">IFERROR(__xludf.DUMMYFUNCTION("GOOGLETRANSLATE(J683,""EN"",""ES"")"),"Papel absorbente para uso doméstico.")</f>
        <v>Papel absorbente para uso doméstico.</v>
      </c>
      <c r="M683" s="8" t="s">
        <v>11</v>
      </c>
      <c r="N683" s="8" t="s">
        <v>11</v>
      </c>
    </row>
    <row r="684" spans="1:14" ht="11.25" customHeight="1">
      <c r="A684" s="5" t="s">
        <v>1808</v>
      </c>
      <c r="B684" s="5" t="s">
        <v>1979</v>
      </c>
      <c r="C684" s="5" t="s">
        <v>2055</v>
      </c>
      <c r="D684" s="5" t="s">
        <v>1811</v>
      </c>
      <c r="E684" s="5" t="s">
        <v>12</v>
      </c>
      <c r="F684" s="5" t="s">
        <v>1812</v>
      </c>
      <c r="G684" s="5" t="s">
        <v>1813</v>
      </c>
      <c r="H684" s="5" t="s">
        <v>1981</v>
      </c>
      <c r="I684" s="5" t="s">
        <v>2056</v>
      </c>
      <c r="J684" s="5" t="s">
        <v>2057</v>
      </c>
      <c r="K684" s="7" t="str">
        <f ca="1">IFERROR(__xludf.DUMMYFUNCTION("GOOGLETRANSLATE(H684,""EN"",""ES"")"),"MATERIAL EN LÁMINA ARTIFICIAL O NATURAL")</f>
        <v>MATERIAL EN LÁMINA ARTIFICIAL O NATURAL</v>
      </c>
      <c r="L684" s="5" t="str">
        <f ca="1">IFERROR(__xludf.DUMMYFUNCTION("GOOGLETRANSLATE(J684,""EN"",""ES"")"),"Papel de lija")</f>
        <v>Papel de lija</v>
      </c>
      <c r="M684" s="8" t="s">
        <v>11</v>
      </c>
      <c r="N684" s="8" t="s">
        <v>11</v>
      </c>
    </row>
    <row r="685" spans="1:14" ht="11.25" customHeight="1">
      <c r="A685" s="5" t="s">
        <v>1808</v>
      </c>
      <c r="B685" s="5" t="s">
        <v>1979</v>
      </c>
      <c r="C685" s="5" t="s">
        <v>2058</v>
      </c>
      <c r="D685" s="5" t="s">
        <v>1811</v>
      </c>
      <c r="E685" s="5" t="s">
        <v>12</v>
      </c>
      <c r="F685" s="5" t="s">
        <v>1812</v>
      </c>
      <c r="G685" s="5" t="s">
        <v>1813</v>
      </c>
      <c r="H685" s="5" t="s">
        <v>1981</v>
      </c>
      <c r="I685" s="5" t="s">
        <v>2059</v>
      </c>
      <c r="J685" s="5" t="s">
        <v>2060</v>
      </c>
      <c r="K685" s="7" t="str">
        <f ca="1">IFERROR(__xludf.DUMMYFUNCTION("GOOGLETRANSLATE(H685,""EN"",""ES"")"),"MATERIAL EN LÁMINA ARTIFICIAL O NATURAL")</f>
        <v>MATERIAL EN LÁMINA ARTIFICIAL O NATURAL</v>
      </c>
      <c r="L685" s="5" t="str">
        <f ca="1">IFERROR(__xludf.DUMMYFUNCTION("GOOGLETRANSLATE(J685,""EN"",""ES"")"),"polipiel")</f>
        <v>polipiel</v>
      </c>
      <c r="M685" s="8" t="s">
        <v>11</v>
      </c>
      <c r="N685" s="8" t="s">
        <v>11</v>
      </c>
    </row>
    <row r="686" spans="1:14" ht="11.25" customHeight="1">
      <c r="A686" s="5" t="s">
        <v>1808</v>
      </c>
      <c r="B686" s="5" t="s">
        <v>1979</v>
      </c>
      <c r="C686" s="5" t="s">
        <v>2061</v>
      </c>
      <c r="D686" s="5" t="s">
        <v>1811</v>
      </c>
      <c r="E686" s="5" t="s">
        <v>12</v>
      </c>
      <c r="F686" s="5" t="s">
        <v>1812</v>
      </c>
      <c r="G686" s="5" t="s">
        <v>1813</v>
      </c>
      <c r="H686" s="5" t="s">
        <v>1981</v>
      </c>
      <c r="I686" s="5" t="s">
        <v>2062</v>
      </c>
      <c r="J686" s="5" t="s">
        <v>2063</v>
      </c>
      <c r="K686" s="7" t="str">
        <f ca="1">IFERROR(__xludf.DUMMYFUNCTION("GOOGLETRANSLATE(H686,""EN"",""ES"")"),"MATERIAL EN LÁMINA ARTIFICIAL O NATURAL")</f>
        <v>MATERIAL EN LÁMINA ARTIFICIAL O NATURAL</v>
      </c>
      <c r="L686" s="5" t="str">
        <f ca="1">IFERROR(__xludf.DUMMYFUNCTION("GOOGLETRANSLATE(J686,""EN"",""ES"")"),"Revestimientos de suelos de PVC")</f>
        <v>Revestimientos de suelos de PVC</v>
      </c>
      <c r="M686" s="8" t="s">
        <v>11</v>
      </c>
      <c r="N686" s="8" t="s">
        <v>11</v>
      </c>
    </row>
    <row r="687" spans="1:14" ht="11.25" customHeight="1">
      <c r="A687" s="5" t="s">
        <v>1808</v>
      </c>
      <c r="B687" s="5" t="s">
        <v>1979</v>
      </c>
      <c r="C687" s="5" t="s">
        <v>2064</v>
      </c>
      <c r="D687" s="5" t="s">
        <v>1811</v>
      </c>
      <c r="E687" s="5" t="s">
        <v>12</v>
      </c>
      <c r="F687" s="5" t="s">
        <v>1812</v>
      </c>
      <c r="G687" s="5" t="s">
        <v>1813</v>
      </c>
      <c r="H687" s="5" t="s">
        <v>1981</v>
      </c>
      <c r="I687" s="5" t="s">
        <v>2065</v>
      </c>
      <c r="J687" s="5" t="s">
        <v>2066</v>
      </c>
      <c r="K687" s="7" t="str">
        <f ca="1">IFERROR(__xludf.DUMMYFUNCTION("GOOGLETRANSLATE(H687,""EN"",""ES"")"),"MATERIAL EN LÁMINA ARTIFICIAL O NATURAL")</f>
        <v>MATERIAL EN LÁMINA ARTIFICIAL O NATURAL</v>
      </c>
      <c r="L687" s="5" t="str">
        <f ca="1">IFERROR(__xludf.DUMMYFUNCTION("GOOGLETRANSLATE(J687,""EN"",""ES"")"),"Fundas de papel para asiento de inodoro")</f>
        <v>Fundas de papel para asiento de inodoro</v>
      </c>
      <c r="M687" s="8" t="s">
        <v>11</v>
      </c>
      <c r="N687" s="8" t="s">
        <v>11</v>
      </c>
    </row>
    <row r="688" spans="1:14" ht="11.25" customHeight="1">
      <c r="A688" s="5" t="s">
        <v>1808</v>
      </c>
      <c r="B688" s="5" t="s">
        <v>1979</v>
      </c>
      <c r="C688" s="5" t="s">
        <v>2067</v>
      </c>
      <c r="D688" s="5" t="s">
        <v>1811</v>
      </c>
      <c r="E688" s="5" t="s">
        <v>12</v>
      </c>
      <c r="F688" s="5" t="s">
        <v>1812</v>
      </c>
      <c r="G688" s="5" t="s">
        <v>1813</v>
      </c>
      <c r="H688" s="5" t="s">
        <v>1981</v>
      </c>
      <c r="I688" s="5" t="s">
        <v>2068</v>
      </c>
      <c r="J688" s="5" t="s">
        <v>2069</v>
      </c>
      <c r="K688" s="7" t="str">
        <f ca="1">IFERROR(__xludf.DUMMYFUNCTION("GOOGLETRANSLATE(H688,""EN"",""ES"")"),"MATERIAL EN LÁMINA ARTIFICIAL O NATURAL")</f>
        <v>MATERIAL EN LÁMINA ARTIFICIAL O NATURAL</v>
      </c>
      <c r="L688" s="5" t="str">
        <f ca="1">IFERROR(__xludf.DUMMYFUNCTION("GOOGLETRANSLATE(J688,""EN"",""ES"")"),"papel para hornear")</f>
        <v>papel para hornear</v>
      </c>
      <c r="M688" s="8" t="s">
        <v>11</v>
      </c>
      <c r="N688" s="8" t="s">
        <v>11</v>
      </c>
    </row>
    <row r="689" spans="1:14" ht="11.25" customHeight="1">
      <c r="A689" s="5" t="s">
        <v>1808</v>
      </c>
      <c r="B689" s="5" t="s">
        <v>2070</v>
      </c>
      <c r="C689" s="5" t="s">
        <v>2071</v>
      </c>
      <c r="D689" s="5" t="s">
        <v>1811</v>
      </c>
      <c r="E689" s="5" t="s">
        <v>12</v>
      </c>
      <c r="F689" s="5" t="s">
        <v>1812</v>
      </c>
      <c r="G689" s="5" t="s">
        <v>1813</v>
      </c>
      <c r="H689" s="5" t="s">
        <v>330</v>
      </c>
      <c r="I689" s="5" t="s">
        <v>2072</v>
      </c>
      <c r="J689" s="5" t="s">
        <v>2073</v>
      </c>
      <c r="K689" s="7" t="str">
        <f ca="1">IFERROR(__xludf.DUMMYFUNCTION("GOOGLETRANSLATE(H689,""EN"",""ES"")"),"MISCELÁNEAS")</f>
        <v>MISCELÁNEAS</v>
      </c>
      <c r="L689" s="5" t="str">
        <f ca="1">IFERROR(__xludf.DUMMYFUNCTION("GOOGLETRANSLATE(J689,""EN"",""ES"")"),"Guata")</f>
        <v>Guata</v>
      </c>
      <c r="M689" s="8" t="s">
        <v>11</v>
      </c>
      <c r="N689" s="8" t="s">
        <v>11</v>
      </c>
    </row>
    <row r="690" spans="1:14" ht="11.25" customHeight="1">
      <c r="A690" s="5" t="s">
        <v>2074</v>
      </c>
      <c r="B690" s="5" t="s">
        <v>2075</v>
      </c>
      <c r="C690" s="5" t="s">
        <v>2076</v>
      </c>
      <c r="D690" s="5" t="s">
        <v>2077</v>
      </c>
      <c r="E690" s="5" t="s">
        <v>14</v>
      </c>
      <c r="F690" s="5" t="s">
        <v>2078</v>
      </c>
      <c r="G690" s="5" t="s">
        <v>2079</v>
      </c>
      <c r="H690" s="5" t="s">
        <v>2080</v>
      </c>
      <c r="I690" s="5" t="s">
        <v>2081</v>
      </c>
      <c r="J690" s="5" t="s">
        <v>2081</v>
      </c>
      <c r="K690" s="7" t="str">
        <f ca="1">IFERROR(__xludf.DUMMYFUNCTION("GOOGLETRANSLATE(H690,""EN"",""ES"")"),"ASIENTOS")</f>
        <v>ASIENTOS</v>
      </c>
      <c r="L690" s="5" t="str">
        <f ca="1">IFERROR(__xludf.DUMMYFUNCTION("GOOGLETRANSLATE(J690,""EN"",""ES"")"),"tumbonas")</f>
        <v>tumbonas</v>
      </c>
      <c r="M690" s="8" t="s">
        <v>13</v>
      </c>
      <c r="N690" t="s">
        <v>16</v>
      </c>
    </row>
    <row r="691" spans="1:14" ht="11.25" customHeight="1">
      <c r="A691" s="5" t="s">
        <v>2074</v>
      </c>
      <c r="B691" s="5" t="s">
        <v>2075</v>
      </c>
      <c r="C691" s="5" t="s">
        <v>2082</v>
      </c>
      <c r="D691" s="5" t="s">
        <v>2077</v>
      </c>
      <c r="E691" s="5" t="s">
        <v>14</v>
      </c>
      <c r="F691" s="5" t="s">
        <v>2078</v>
      </c>
      <c r="G691" s="5" t="s">
        <v>2079</v>
      </c>
      <c r="H691" s="5" t="s">
        <v>2080</v>
      </c>
      <c r="I691" s="5" t="s">
        <v>2083</v>
      </c>
      <c r="J691" s="5" t="s">
        <v>2084</v>
      </c>
      <c r="K691" s="7" t="str">
        <f ca="1">IFERROR(__xludf.DUMMYFUNCTION("GOOGLETRANSLATE(H691,""EN"",""ES"")"),"ASIENTOS")</f>
        <v>ASIENTOS</v>
      </c>
      <c r="L691" s="5" t="str">
        <f ca="1">IFERROR(__xludf.DUMMYFUNCTION("GOOGLETRANSLATE(J691,""EN"",""ES"")"),"Sofás")</f>
        <v>Sofás</v>
      </c>
      <c r="M691" s="8" t="s">
        <v>13</v>
      </c>
      <c r="N691" t="s">
        <v>13</v>
      </c>
    </row>
    <row r="692" spans="1:14" ht="11.25" customHeight="1">
      <c r="A692" s="5" t="s">
        <v>2074</v>
      </c>
      <c r="B692" s="5" t="s">
        <v>2075</v>
      </c>
      <c r="C692" s="5" t="s">
        <v>2082</v>
      </c>
      <c r="D692" s="5" t="s">
        <v>2077</v>
      </c>
      <c r="E692" s="5" t="s">
        <v>14</v>
      </c>
      <c r="F692" s="5" t="s">
        <v>2078</v>
      </c>
      <c r="G692" s="5" t="s">
        <v>2079</v>
      </c>
      <c r="H692" s="5" t="s">
        <v>2080</v>
      </c>
      <c r="I692" s="5" t="s">
        <v>2085</v>
      </c>
      <c r="J692" s="5" t="s">
        <v>152</v>
      </c>
      <c r="K692" s="7" t="str">
        <f ca="1">IFERROR(__xludf.DUMMYFUNCTION("GOOGLETRANSLATE(H692,""EN"",""ES"")"),"ASIENTOS")</f>
        <v>ASIENTOS</v>
      </c>
      <c r="L692" s="5" t="str">
        <f ca="1">IFERROR(__xludf.DUMMYFUNCTION("GOOGLETRANSLATE(J692,""EN"",""ES"")"),"Divanes [sofás]")</f>
        <v>Divanes [sofás]</v>
      </c>
      <c r="M692" s="8" t="s">
        <v>13</v>
      </c>
      <c r="N692" t="s">
        <v>13</v>
      </c>
    </row>
    <row r="693" spans="1:14" ht="11.25" customHeight="1">
      <c r="A693" s="5" t="s">
        <v>2074</v>
      </c>
      <c r="B693" s="5" t="s">
        <v>2075</v>
      </c>
      <c r="C693" s="5" t="s">
        <v>2086</v>
      </c>
      <c r="D693" s="5" t="s">
        <v>2077</v>
      </c>
      <c r="E693" s="5" t="s">
        <v>14</v>
      </c>
      <c r="F693" s="5" t="s">
        <v>2078</v>
      </c>
      <c r="G693" s="5" t="s">
        <v>2079</v>
      </c>
      <c r="H693" s="5" t="s">
        <v>2080</v>
      </c>
      <c r="I693" s="5" t="s">
        <v>2087</v>
      </c>
      <c r="J693" s="5" t="s">
        <v>2088</v>
      </c>
      <c r="K693" s="7" t="str">
        <f ca="1">IFERROR(__xludf.DUMMYFUNCTION("GOOGLETRANSLATE(H693,""EN"",""ES"")"),"ASIENTOS")</f>
        <v>ASIENTOS</v>
      </c>
      <c r="L693" s="5" t="str">
        <f ca="1">IFERROR(__xludf.DUMMYFUNCTION("GOOGLETRANSLATE(J693,""EN"",""ES"")"),"Camillas para masajes")</f>
        <v>Camillas para masajes</v>
      </c>
      <c r="M693" s="8" t="s">
        <v>13</v>
      </c>
      <c r="N693" t="s">
        <v>13</v>
      </c>
    </row>
    <row r="694" spans="1:14" ht="11.25" customHeight="1">
      <c r="A694" s="5" t="s">
        <v>2074</v>
      </c>
      <c r="B694" s="5" t="s">
        <v>2075</v>
      </c>
      <c r="C694" s="5" t="s">
        <v>2089</v>
      </c>
      <c r="D694" s="5" t="s">
        <v>2077</v>
      </c>
      <c r="E694" s="5" t="s">
        <v>14</v>
      </c>
      <c r="F694" s="5" t="s">
        <v>2078</v>
      </c>
      <c r="G694" s="5" t="s">
        <v>2079</v>
      </c>
      <c r="H694" s="5" t="s">
        <v>2080</v>
      </c>
      <c r="I694" s="5" t="s">
        <v>2090</v>
      </c>
      <c r="J694" s="5" t="s">
        <v>2091</v>
      </c>
      <c r="K694" s="7" t="str">
        <f ca="1">IFERROR(__xludf.DUMMYFUNCTION("GOOGLETRANSLATE(H694,""EN"",""ES"")"),"ASIENTOS")</f>
        <v>ASIENTOS</v>
      </c>
      <c r="L694" s="5" t="str">
        <f ca="1">IFERROR(__xludf.DUMMYFUNCTION("GOOGLETRANSLATE(J694,""EN"",""ES"")"),"otomanos")</f>
        <v>otomanos</v>
      </c>
      <c r="M694" s="8" t="s">
        <v>13</v>
      </c>
      <c r="N694" t="s">
        <v>13</v>
      </c>
    </row>
    <row r="695" spans="1:14" ht="11.25" customHeight="1">
      <c r="A695" s="5" t="s">
        <v>2074</v>
      </c>
      <c r="B695" s="5" t="s">
        <v>2075</v>
      </c>
      <c r="C695" s="5" t="s">
        <v>2092</v>
      </c>
      <c r="D695" s="5" t="s">
        <v>2077</v>
      </c>
      <c r="E695" s="5" t="s">
        <v>14</v>
      </c>
      <c r="F695" s="5" t="s">
        <v>2078</v>
      </c>
      <c r="G695" s="5" t="s">
        <v>2079</v>
      </c>
      <c r="H695" s="5" t="s">
        <v>2080</v>
      </c>
      <c r="I695" s="5" t="s">
        <v>2093</v>
      </c>
      <c r="J695" s="5" t="s">
        <v>2094</v>
      </c>
      <c r="K695" s="7" t="str">
        <f ca="1">IFERROR(__xludf.DUMMYFUNCTION("GOOGLETRANSLATE(H695,""EN"",""ES"")"),"ASIENTOS")</f>
        <v>ASIENTOS</v>
      </c>
      <c r="L695" s="5" t="str">
        <f ca="1">IFERROR(__xludf.DUMMYFUNCTION("GOOGLETRANSLATE(J695,""EN"",""ES"")"),"Apoyabrazos para asientos de vehículos")</f>
        <v>Apoyabrazos para asientos de vehículos</v>
      </c>
      <c r="M695" s="8" t="s">
        <v>13</v>
      </c>
      <c r="N695" t="s">
        <v>15</v>
      </c>
    </row>
    <row r="696" spans="1:14" ht="11.25" customHeight="1">
      <c r="A696" s="5" t="s">
        <v>2074</v>
      </c>
      <c r="B696" s="5" t="s">
        <v>2075</v>
      </c>
      <c r="C696" s="5" t="s">
        <v>2095</v>
      </c>
      <c r="D696" s="5" t="s">
        <v>2077</v>
      </c>
      <c r="E696" s="5" t="s">
        <v>14</v>
      </c>
      <c r="F696" s="5" t="s">
        <v>2078</v>
      </c>
      <c r="G696" s="5" t="s">
        <v>2079</v>
      </c>
      <c r="H696" s="5" t="s">
        <v>2080</v>
      </c>
      <c r="I696" s="5" t="s">
        <v>2096</v>
      </c>
      <c r="J696" s="5" t="s">
        <v>2097</v>
      </c>
      <c r="K696" s="7" t="str">
        <f ca="1">IFERROR(__xludf.DUMMYFUNCTION("GOOGLETRANSLATE(H696,""EN"",""ES"")"),"ASIENTOS")</f>
        <v>ASIENTOS</v>
      </c>
      <c r="L696" s="5" t="str">
        <f ca="1">IFERROR(__xludf.DUMMYFUNCTION("GOOGLETRANSLATE(J696,""EN"",""ES"")"),"Respaldos para asientos de vehículos")</f>
        <v>Respaldos para asientos de vehículos</v>
      </c>
      <c r="M696" s="8" t="s">
        <v>13</v>
      </c>
      <c r="N696" t="s">
        <v>15</v>
      </c>
    </row>
    <row r="697" spans="1:14" ht="11.25" customHeight="1">
      <c r="A697" s="5" t="s">
        <v>2074</v>
      </c>
      <c r="B697" s="5" t="s">
        <v>2075</v>
      </c>
      <c r="C697" s="5" t="s">
        <v>2098</v>
      </c>
      <c r="D697" s="5" t="s">
        <v>2077</v>
      </c>
      <c r="E697" s="5" t="s">
        <v>14</v>
      </c>
      <c r="F697" s="5" t="s">
        <v>2078</v>
      </c>
      <c r="G697" s="5" t="s">
        <v>2079</v>
      </c>
      <c r="H697" s="5" t="s">
        <v>2080</v>
      </c>
      <c r="I697" s="5" t="s">
        <v>2099</v>
      </c>
      <c r="J697" s="5" t="s">
        <v>2100</v>
      </c>
      <c r="K697" s="7" t="str">
        <f ca="1">IFERROR(__xludf.DUMMYFUNCTION("GOOGLETRANSLATE(H697,""EN"",""ES"")"),"ASIENTOS")</f>
        <v>ASIENTOS</v>
      </c>
      <c r="L697" s="5" t="str">
        <f ca="1">IFERROR(__xludf.DUMMYFUNCTION("GOOGLETRANSLATE(J697,""EN"",""ES"")"),"Bancos [muebles]")</f>
        <v>Bancos [muebles]</v>
      </c>
      <c r="M697" s="8" t="s">
        <v>13</v>
      </c>
      <c r="N697" t="s">
        <v>13</v>
      </c>
    </row>
    <row r="698" spans="1:14" ht="11.25" customHeight="1">
      <c r="A698" s="5" t="s">
        <v>2074</v>
      </c>
      <c r="B698" s="5" t="s">
        <v>2075</v>
      </c>
      <c r="C698" s="5" t="s">
        <v>2098</v>
      </c>
      <c r="D698" s="5" t="s">
        <v>2077</v>
      </c>
      <c r="E698" s="5" t="s">
        <v>14</v>
      </c>
      <c r="F698" s="5" t="s">
        <v>2078</v>
      </c>
      <c r="G698" s="5" t="s">
        <v>2079</v>
      </c>
      <c r="H698" s="5" t="s">
        <v>2080</v>
      </c>
      <c r="I698" s="5" t="s">
        <v>152</v>
      </c>
      <c r="J698" s="5" t="s">
        <v>2101</v>
      </c>
      <c r="K698" s="7" t="str">
        <f ca="1">IFERROR(__xludf.DUMMYFUNCTION("GOOGLETRANSLATE(H698,""EN"",""ES"")"),"ASIENTOS")</f>
        <v>ASIENTOS</v>
      </c>
      <c r="L698" s="5" t="str">
        <f ca="1">IFERROR(__xludf.DUMMYFUNCTION("GOOGLETRANSLATE(J698,""EN"",""ES"")"),"N / A")</f>
        <v>N / A</v>
      </c>
      <c r="M698" s="8" t="s">
        <v>13</v>
      </c>
      <c r="N698" t="s">
        <v>13</v>
      </c>
    </row>
    <row r="699" spans="1:14" ht="11.25" customHeight="1">
      <c r="A699" s="5" t="s">
        <v>2074</v>
      </c>
      <c r="B699" s="5" t="s">
        <v>2075</v>
      </c>
      <c r="C699" s="5" t="s">
        <v>2102</v>
      </c>
      <c r="D699" s="5" t="s">
        <v>2077</v>
      </c>
      <c r="E699" s="5" t="s">
        <v>14</v>
      </c>
      <c r="F699" s="5" t="s">
        <v>2078</v>
      </c>
      <c r="G699" s="5" t="s">
        <v>2079</v>
      </c>
      <c r="H699" s="5" t="s">
        <v>2080</v>
      </c>
      <c r="I699" s="5" t="s">
        <v>2103</v>
      </c>
      <c r="J699" s="5" t="s">
        <v>2104</v>
      </c>
      <c r="K699" s="7" t="str">
        <f ca="1">IFERROR(__xludf.DUMMYFUNCTION("GOOGLETRANSLATE(H699,""EN"",""ES"")"),"ASIENTOS")</f>
        <v>ASIENTOS</v>
      </c>
      <c r="L699" s="5" t="str">
        <f ca="1">IFERROR(__xludf.DUMMYFUNCTION("GOOGLETRANSLATE(J699,""EN"",""ES"")"),"Sillones")</f>
        <v>Sillones</v>
      </c>
      <c r="M699" s="8" t="s">
        <v>13</v>
      </c>
      <c r="N699" t="s">
        <v>13</v>
      </c>
    </row>
    <row r="700" spans="1:14" ht="11.25" customHeight="1">
      <c r="A700" s="5" t="s">
        <v>2074</v>
      </c>
      <c r="B700" s="5" t="s">
        <v>2075</v>
      </c>
      <c r="C700" s="5" t="s">
        <v>2105</v>
      </c>
      <c r="D700" s="5" t="s">
        <v>2077</v>
      </c>
      <c r="E700" s="5" t="s">
        <v>14</v>
      </c>
      <c r="F700" s="5" t="s">
        <v>2078</v>
      </c>
      <c r="G700" s="5" t="s">
        <v>2079</v>
      </c>
      <c r="H700" s="5" t="s">
        <v>2080</v>
      </c>
      <c r="I700" s="5" t="s">
        <v>2106</v>
      </c>
      <c r="J700" s="5" t="s">
        <v>2107</v>
      </c>
      <c r="K700" s="7" t="str">
        <f ca="1">IFERROR(__xludf.DUMMYFUNCTION("GOOGLETRANSLATE(H700,""EN"",""ES"")"),"ASIENTOS")</f>
        <v>ASIENTOS</v>
      </c>
      <c r="L700" s="5" t="str">
        <f ca="1">IFERROR(__xludf.DUMMYFUNCTION("GOOGLETRANSLATE(J700,""EN"",""ES"")"),"Sillas [asientos]")</f>
        <v>Sillas [asientos]</v>
      </c>
      <c r="M700" s="8" t="s">
        <v>13</v>
      </c>
      <c r="N700" t="s">
        <v>13</v>
      </c>
    </row>
    <row r="701" spans="1:14" ht="11.25" customHeight="1">
      <c r="A701" s="5" t="s">
        <v>2074</v>
      </c>
      <c r="B701" s="5" t="s">
        <v>2075</v>
      </c>
      <c r="C701" s="5" t="s">
        <v>2108</v>
      </c>
      <c r="D701" s="5" t="s">
        <v>2077</v>
      </c>
      <c r="E701" s="5" t="s">
        <v>14</v>
      </c>
      <c r="F701" s="5" t="s">
        <v>2078</v>
      </c>
      <c r="G701" s="5" t="s">
        <v>2079</v>
      </c>
      <c r="H701" s="5" t="s">
        <v>2080</v>
      </c>
      <c r="I701" s="5" t="s">
        <v>2109</v>
      </c>
      <c r="J701" s="5" t="s">
        <v>2110</v>
      </c>
      <c r="K701" s="7" t="str">
        <f ca="1">IFERROR(__xludf.DUMMYFUNCTION("GOOGLETRANSLATE(H701,""EN"",""ES"")"),"ASIENTOS")</f>
        <v>ASIENTOS</v>
      </c>
      <c r="L701" s="5" t="str">
        <f ca="1">IFERROR(__xludf.DUMMYFUNCTION("GOOGLETRANSLATE(J701,""EN"",""ES"")"),"Sillas bajo")</f>
        <v>Sillas bajo</v>
      </c>
      <c r="M701" s="8" t="s">
        <v>13</v>
      </c>
      <c r="N701" t="s">
        <v>13</v>
      </c>
    </row>
    <row r="702" spans="1:14" ht="11.25" customHeight="1">
      <c r="A702" s="5" t="s">
        <v>2074</v>
      </c>
      <c r="B702" s="5" t="s">
        <v>2075</v>
      </c>
      <c r="C702" s="5" t="s">
        <v>2111</v>
      </c>
      <c r="D702" s="5" t="s">
        <v>2077</v>
      </c>
      <c r="E702" s="5" t="s">
        <v>14</v>
      </c>
      <c r="F702" s="5" t="s">
        <v>2078</v>
      </c>
      <c r="G702" s="5" t="s">
        <v>2079</v>
      </c>
      <c r="H702" s="5" t="s">
        <v>2080</v>
      </c>
      <c r="I702" s="5" t="s">
        <v>2112</v>
      </c>
      <c r="J702" s="5" t="s">
        <v>2113</v>
      </c>
      <c r="K702" s="7" t="str">
        <f ca="1">IFERROR(__xludf.DUMMYFUNCTION("GOOGLETRANSLATE(H702,""EN"",""ES"")"),"ASIENTOS")</f>
        <v>ASIENTOS</v>
      </c>
      <c r="L702" s="5" t="str">
        <f ca="1">IFERROR(__xludf.DUMMYFUNCTION("GOOGLETRANSLATE(J702,""EN"",""ES"")"),"Sillones de dentista")</f>
        <v>Sillones de dentista</v>
      </c>
      <c r="M702" s="8" t="s">
        <v>13</v>
      </c>
      <c r="N702" t="s">
        <v>20</v>
      </c>
    </row>
    <row r="703" spans="1:14" ht="11.25" customHeight="1">
      <c r="A703" s="5" t="s">
        <v>2074</v>
      </c>
      <c r="B703" s="5" t="s">
        <v>2075</v>
      </c>
      <c r="C703" s="5" t="s">
        <v>2114</v>
      </c>
      <c r="D703" s="5" t="s">
        <v>2077</v>
      </c>
      <c r="E703" s="5" t="s">
        <v>14</v>
      </c>
      <c r="F703" s="5" t="s">
        <v>2078</v>
      </c>
      <c r="G703" s="5" t="s">
        <v>2079</v>
      </c>
      <c r="H703" s="5" t="s">
        <v>2080</v>
      </c>
      <c r="I703" s="5" t="s">
        <v>2115</v>
      </c>
      <c r="J703" s="5" t="s">
        <v>2116</v>
      </c>
      <c r="K703" s="7" t="str">
        <f ca="1">IFERROR(__xludf.DUMMYFUNCTION("GOOGLETRANSLATE(H703,""EN"",""ES"")"),"ASIENTOS")</f>
        <v>ASIENTOS</v>
      </c>
      <c r="L703" s="5" t="str">
        <f ca="1">IFERROR(__xludf.DUMMYFUNCTION("GOOGLETRANSLATE(J703,""EN"",""ES"")"),"Sillones")</f>
        <v>Sillones</v>
      </c>
      <c r="M703" s="8" t="s">
        <v>13</v>
      </c>
      <c r="N703" t="s">
        <v>13</v>
      </c>
    </row>
    <row r="704" spans="1:14" ht="11.25" customHeight="1">
      <c r="A704" s="5" t="s">
        <v>2074</v>
      </c>
      <c r="B704" s="5" t="s">
        <v>2075</v>
      </c>
      <c r="C704" s="5" t="s">
        <v>2117</v>
      </c>
      <c r="D704" s="5" t="s">
        <v>2077</v>
      </c>
      <c r="E704" s="5" t="s">
        <v>14</v>
      </c>
      <c r="F704" s="5" t="s">
        <v>2078</v>
      </c>
      <c r="G704" s="5" t="s">
        <v>2079</v>
      </c>
      <c r="H704" s="5" t="s">
        <v>2080</v>
      </c>
      <c r="I704" s="5" t="s">
        <v>2118</v>
      </c>
      <c r="J704" s="5" t="s">
        <v>2119</v>
      </c>
      <c r="K704" s="7" t="str">
        <f ca="1">IFERROR(__xludf.DUMMYFUNCTION("GOOGLETRANSLATE(H704,""EN"",""ES"")"),"ASIENTOS")</f>
        <v>ASIENTOS</v>
      </c>
      <c r="L704" s="5" t="str">
        <f ca="1">IFERROR(__xludf.DUMMYFUNCTION("GOOGLETRANSLATE(J704,""EN"",""ES"")"),"sillas de peluqueria")</f>
        <v>sillas de peluqueria</v>
      </c>
      <c r="M704" s="8" t="s">
        <v>13</v>
      </c>
      <c r="N704" t="s">
        <v>13</v>
      </c>
    </row>
    <row r="705" spans="1:14" ht="11.25" customHeight="1">
      <c r="A705" s="5" t="s">
        <v>2074</v>
      </c>
      <c r="B705" s="5" t="s">
        <v>2075</v>
      </c>
      <c r="C705" s="5" t="s">
        <v>2120</v>
      </c>
      <c r="D705" s="5" t="s">
        <v>2077</v>
      </c>
      <c r="E705" s="5" t="s">
        <v>14</v>
      </c>
      <c r="F705" s="5" t="s">
        <v>2078</v>
      </c>
      <c r="G705" s="5" t="s">
        <v>2079</v>
      </c>
      <c r="H705" s="5" t="s">
        <v>2080</v>
      </c>
      <c r="I705" s="5" t="s">
        <v>2121</v>
      </c>
      <c r="J705" s="5" t="s">
        <v>2122</v>
      </c>
      <c r="K705" s="7" t="str">
        <f ca="1">IFERROR(__xludf.DUMMYFUNCTION("GOOGLETRANSLATE(H705,""EN"",""ES"")"),"ASIENTOS")</f>
        <v>ASIENTOS</v>
      </c>
      <c r="L705" s="5" t="str">
        <f ca="1">IFERROR(__xludf.DUMMYFUNCTION("GOOGLETRANSLATE(J705,""EN"",""ES"")"),"Sillas de jardín")</f>
        <v>Sillas de jardín</v>
      </c>
      <c r="M705" s="8" t="s">
        <v>13</v>
      </c>
      <c r="N705" t="s">
        <v>16</v>
      </c>
    </row>
    <row r="706" spans="1:14" ht="11.25" customHeight="1">
      <c r="A706" s="5" t="s">
        <v>2074</v>
      </c>
      <c r="B706" s="5" t="s">
        <v>2075</v>
      </c>
      <c r="C706" s="5" t="s">
        <v>2123</v>
      </c>
      <c r="D706" s="5" t="s">
        <v>2077</v>
      </c>
      <c r="E706" s="5" t="s">
        <v>14</v>
      </c>
      <c r="F706" s="5" t="s">
        <v>2078</v>
      </c>
      <c r="G706" s="5" t="s">
        <v>2079</v>
      </c>
      <c r="H706" s="5" t="s">
        <v>2080</v>
      </c>
      <c r="I706" s="5" t="s">
        <v>2124</v>
      </c>
      <c r="J706" s="5" t="s">
        <v>2125</v>
      </c>
      <c r="K706" s="7" t="str">
        <f ca="1">IFERROR(__xludf.DUMMYFUNCTION("GOOGLETRANSLATE(H706,""EN"",""ES"")"),"ASIENTOS")</f>
        <v>ASIENTOS</v>
      </c>
      <c r="L706" s="5" t="str">
        <f ca="1">IFERROR(__xludf.DUMMYFUNCTION("GOOGLETRANSLATE(J706,""EN"",""ES"")"),"Asientos plegables")</f>
        <v>Asientos plegables</v>
      </c>
      <c r="M706" s="8" t="s">
        <v>13</v>
      </c>
      <c r="N706" t="s">
        <v>13</v>
      </c>
    </row>
    <row r="707" spans="1:14" ht="11.25" customHeight="1">
      <c r="A707" s="5" t="s">
        <v>2074</v>
      </c>
      <c r="B707" s="5" t="s">
        <v>2075</v>
      </c>
      <c r="C707" s="5" t="s">
        <v>2126</v>
      </c>
      <c r="D707" s="5" t="s">
        <v>2077</v>
      </c>
      <c r="E707" s="5" t="s">
        <v>14</v>
      </c>
      <c r="F707" s="5" t="s">
        <v>2078</v>
      </c>
      <c r="G707" s="5" t="s">
        <v>2079</v>
      </c>
      <c r="H707" s="5" t="s">
        <v>2080</v>
      </c>
      <c r="I707" s="5" t="s">
        <v>2127</v>
      </c>
      <c r="J707" s="5" t="s">
        <v>2128</v>
      </c>
      <c r="K707" s="7" t="str">
        <f ca="1">IFERROR(__xludf.DUMMYFUNCTION("GOOGLETRANSLATE(H707,""EN"",""ES"")"),"ASIENTOS")</f>
        <v>ASIENTOS</v>
      </c>
      <c r="L707" s="5" t="str">
        <f ca="1">IFERROR(__xludf.DUMMYFUNCTION("GOOGLETRANSLATE(J707,""EN"",""ES"")"),"Puffs [asientos]")</f>
        <v>Puffs [asientos]</v>
      </c>
      <c r="M707" s="8" t="s">
        <v>13</v>
      </c>
      <c r="N707" t="s">
        <v>13</v>
      </c>
    </row>
    <row r="708" spans="1:14" ht="11.25" customHeight="1">
      <c r="A708" s="5" t="s">
        <v>2074</v>
      </c>
      <c r="B708" s="5" t="s">
        <v>2075</v>
      </c>
      <c r="C708" s="5" t="s">
        <v>2129</v>
      </c>
      <c r="D708" s="5" t="s">
        <v>2077</v>
      </c>
      <c r="E708" s="5" t="s">
        <v>14</v>
      </c>
      <c r="F708" s="5" t="s">
        <v>2078</v>
      </c>
      <c r="G708" s="5" t="s">
        <v>2079</v>
      </c>
      <c r="H708" s="5" t="s">
        <v>2080</v>
      </c>
      <c r="I708" s="5" t="s">
        <v>2130</v>
      </c>
      <c r="J708" s="5" t="s">
        <v>2130</v>
      </c>
      <c r="K708" s="7" t="str">
        <f ca="1">IFERROR(__xludf.DUMMYFUNCTION("GOOGLETRANSLATE(H708,""EN"",""ES"")"),"ASIENTOS")</f>
        <v>ASIENTOS</v>
      </c>
      <c r="L708" s="5" t="str">
        <f ca="1">IFERROR(__xludf.DUMMYFUNCTION("GOOGLETRANSLATE(J708,""EN"",""ES"")"),"mecedoras")</f>
        <v>mecedoras</v>
      </c>
      <c r="M708" s="8" t="s">
        <v>13</v>
      </c>
      <c r="N708" t="s">
        <v>13</v>
      </c>
    </row>
    <row r="709" spans="1:14" ht="11.25" customHeight="1">
      <c r="A709" s="5" t="s">
        <v>2074</v>
      </c>
      <c r="B709" s="5" t="s">
        <v>2075</v>
      </c>
      <c r="C709" s="5" t="s">
        <v>2131</v>
      </c>
      <c r="D709" s="5" t="s">
        <v>2077</v>
      </c>
      <c r="E709" s="5" t="s">
        <v>14</v>
      </c>
      <c r="F709" s="5" t="s">
        <v>2078</v>
      </c>
      <c r="G709" s="5" t="s">
        <v>2079</v>
      </c>
      <c r="H709" s="5" t="s">
        <v>2080</v>
      </c>
      <c r="I709" s="5" t="s">
        <v>2132</v>
      </c>
      <c r="J709" s="5" t="s">
        <v>2133</v>
      </c>
      <c r="K709" s="7" t="str">
        <f ca="1">IFERROR(__xludf.DUMMYFUNCTION("GOOGLETRANSLATE(H709,""EN"",""ES"")"),"ASIENTOS")</f>
        <v>ASIENTOS</v>
      </c>
      <c r="L709" s="5" t="str">
        <f ca="1">IFERROR(__xludf.DUMMYFUNCTION("GOOGLETRANSLATE(J709,""EN"",""ES"")"),"Asientos [muebles]")</f>
        <v>Asientos [muebles]</v>
      </c>
      <c r="M709" s="8" t="s">
        <v>13</v>
      </c>
      <c r="N709" t="s">
        <v>13</v>
      </c>
    </row>
    <row r="710" spans="1:14" ht="11.25" customHeight="1">
      <c r="A710" s="5" t="s">
        <v>2074</v>
      </c>
      <c r="B710" s="5" t="s">
        <v>2075</v>
      </c>
      <c r="C710" s="5" t="s">
        <v>2134</v>
      </c>
      <c r="D710" s="5" t="s">
        <v>2077</v>
      </c>
      <c r="E710" s="5" t="s">
        <v>14</v>
      </c>
      <c r="F710" s="5" t="s">
        <v>2078</v>
      </c>
      <c r="G710" s="5" t="s">
        <v>2079</v>
      </c>
      <c r="H710" s="5" t="s">
        <v>2080</v>
      </c>
      <c r="I710" s="5" t="s">
        <v>2135</v>
      </c>
      <c r="J710" s="5" t="s">
        <v>2136</v>
      </c>
      <c r="K710" s="7" t="str">
        <f ca="1">IFERROR(__xludf.DUMMYFUNCTION("GOOGLETRANSLATE(H710,""EN"",""ES"")"),"ASIENTOS")</f>
        <v>ASIENTOS</v>
      </c>
      <c r="L710" s="5" t="str">
        <f ca="1">IFERROR(__xludf.DUMMYFUNCTION("GOOGLETRANSLATE(J710,""EN"",""ES"")"),"Asientos para medios de transporte [excepto sillas de montar]")</f>
        <v>Asientos para medios de transporte [excepto sillas de montar]</v>
      </c>
      <c r="M710" s="8" t="s">
        <v>13</v>
      </c>
      <c r="N710" t="s">
        <v>15</v>
      </c>
    </row>
    <row r="711" spans="1:14" ht="11.25" customHeight="1">
      <c r="A711" s="5" t="s">
        <v>2074</v>
      </c>
      <c r="B711" s="5" t="s">
        <v>2075</v>
      </c>
      <c r="C711" s="5" t="s">
        <v>2137</v>
      </c>
      <c r="D711" s="5" t="s">
        <v>2077</v>
      </c>
      <c r="E711" s="5" t="s">
        <v>14</v>
      </c>
      <c r="F711" s="5" t="s">
        <v>2078</v>
      </c>
      <c r="G711" s="5" t="s">
        <v>2079</v>
      </c>
      <c r="H711" s="5" t="s">
        <v>2080</v>
      </c>
      <c r="I711" s="5" t="s">
        <v>2138</v>
      </c>
      <c r="J711" s="5" t="s">
        <v>2139</v>
      </c>
      <c r="K711" s="7" t="str">
        <f ca="1">IFERROR(__xludf.DUMMYFUNCTION("GOOGLETRANSLATE(H711,""EN"",""ES"")"),"ASIENTOS")</f>
        <v>ASIENTOS</v>
      </c>
      <c r="L711" s="5" t="str">
        <f ca="1">IFERROR(__xludf.DUMMYFUNCTION("GOOGLETRANSLATE(J711,""EN"",""ES"")"),"Asientos para pescadores")</f>
        <v>Asientos para pescadores</v>
      </c>
      <c r="M711" s="8" t="s">
        <v>13</v>
      </c>
      <c r="N711" t="s">
        <v>16</v>
      </c>
    </row>
    <row r="712" spans="1:14" ht="11.25" customHeight="1">
      <c r="A712" s="5" t="s">
        <v>2074</v>
      </c>
      <c r="B712" s="5" t="s">
        <v>2075</v>
      </c>
      <c r="C712" s="5" t="s">
        <v>2140</v>
      </c>
      <c r="D712" s="5" t="s">
        <v>2077</v>
      </c>
      <c r="E712" s="5" t="s">
        <v>14</v>
      </c>
      <c r="F712" s="5" t="s">
        <v>2078</v>
      </c>
      <c r="G712" s="5" t="s">
        <v>2079</v>
      </c>
      <c r="H712" s="5" t="s">
        <v>2080</v>
      </c>
      <c r="I712" s="5" t="s">
        <v>2141</v>
      </c>
      <c r="J712" s="5" t="s">
        <v>2142</v>
      </c>
      <c r="K712" s="7" t="str">
        <f ca="1">IFERROR(__xludf.DUMMYFUNCTION("GOOGLETRANSLATE(H712,""EN"",""ES"")"),"ASIENTOS")</f>
        <v>ASIENTOS</v>
      </c>
      <c r="L712" s="5" t="str">
        <f ca="1">IFERROR(__xludf.DUMMYFUNCTION("GOOGLETRANSLATE(J712,""EN"",""ES"")"),"Asientos abatibles")</f>
        <v>Asientos abatibles</v>
      </c>
      <c r="M712" s="8" t="s">
        <v>13</v>
      </c>
      <c r="N712" t="s">
        <v>15</v>
      </c>
    </row>
    <row r="713" spans="1:14" ht="11.25" customHeight="1">
      <c r="A713" s="5" t="s">
        <v>2074</v>
      </c>
      <c r="B713" s="5" t="s">
        <v>2075</v>
      </c>
      <c r="C713" s="5" t="s">
        <v>2140</v>
      </c>
      <c r="D713" s="5" t="s">
        <v>2077</v>
      </c>
      <c r="E713" s="5" t="s">
        <v>14</v>
      </c>
      <c r="F713" s="5" t="s">
        <v>2078</v>
      </c>
      <c r="G713" s="5" t="s">
        <v>2079</v>
      </c>
      <c r="H713" s="5" t="s">
        <v>2080</v>
      </c>
      <c r="I713" s="5" t="s">
        <v>2143</v>
      </c>
      <c r="J713" s="5" t="s">
        <v>152</v>
      </c>
      <c r="K713" s="7" t="str">
        <f ca="1">IFERROR(__xludf.DUMMYFUNCTION("GOOGLETRANSLATE(H713,""EN"",""ES"")"),"ASIENTOS")</f>
        <v>ASIENTOS</v>
      </c>
      <c r="L713" s="5" t="str">
        <f ca="1">IFERROR(__xludf.DUMMYFUNCTION("GOOGLETRANSLATE(J713,""EN"",""ES"")"),"Asientos abatibles")</f>
        <v>Asientos abatibles</v>
      </c>
      <c r="M713" s="8" t="s">
        <v>13</v>
      </c>
      <c r="N713" t="s">
        <v>15</v>
      </c>
    </row>
    <row r="714" spans="1:14" ht="11.25" customHeight="1">
      <c r="A714" s="5" t="s">
        <v>2074</v>
      </c>
      <c r="B714" s="5" t="s">
        <v>2075</v>
      </c>
      <c r="C714" s="5" t="s">
        <v>2144</v>
      </c>
      <c r="D714" s="5" t="s">
        <v>2077</v>
      </c>
      <c r="E714" s="5" t="s">
        <v>14</v>
      </c>
      <c r="F714" s="5" t="s">
        <v>2078</v>
      </c>
      <c r="G714" s="5" t="s">
        <v>2079</v>
      </c>
      <c r="H714" s="5" t="s">
        <v>2080</v>
      </c>
      <c r="I714" s="5" t="s">
        <v>2145</v>
      </c>
      <c r="J714" s="5" t="s">
        <v>2146</v>
      </c>
      <c r="K714" s="7" t="str">
        <f ca="1">IFERROR(__xludf.DUMMYFUNCTION("GOOGLETRANSLATE(H714,""EN"",""ES"")"),"ASIENTOS")</f>
        <v>ASIENTOS</v>
      </c>
      <c r="L714" s="5" t="str">
        <f ca="1">IFERROR(__xludf.DUMMYFUNCTION("GOOGLETRANSLATE(J714,""EN"",""ES"")"),"Taburetes [muebles]")</f>
        <v>Taburetes [muebles]</v>
      </c>
      <c r="M714" s="8" t="s">
        <v>13</v>
      </c>
      <c r="N714" t="s">
        <v>13</v>
      </c>
    </row>
    <row r="715" spans="1:14" ht="11.25" customHeight="1">
      <c r="A715" s="5" t="s">
        <v>2074</v>
      </c>
      <c r="B715" s="5" t="s">
        <v>2075</v>
      </c>
      <c r="C715" s="5" t="s">
        <v>2147</v>
      </c>
      <c r="D715" s="5" t="s">
        <v>2077</v>
      </c>
      <c r="E715" s="5" t="s">
        <v>14</v>
      </c>
      <c r="F715" s="5" t="s">
        <v>2078</v>
      </c>
      <c r="G715" s="5" t="s">
        <v>2079</v>
      </c>
      <c r="H715" s="5" t="s">
        <v>2080</v>
      </c>
      <c r="I715" s="5" t="s">
        <v>2148</v>
      </c>
      <c r="J715" s="5" t="s">
        <v>2149</v>
      </c>
      <c r="K715" s="7" t="str">
        <f ca="1">IFERROR(__xludf.DUMMYFUNCTION("GOOGLETRANSLATE(H715,""EN"",""ES"")"),"ASIENTOS")</f>
        <v>ASIENTOS</v>
      </c>
      <c r="L715" s="5" t="str">
        <f ca="1">IFERROR(__xludf.DUMMYFUNCTION("GOOGLETRANSLATE(J715,""EN"",""ES"")"),"bancos escolares")</f>
        <v>bancos escolares</v>
      </c>
      <c r="M715" s="8" t="s">
        <v>13</v>
      </c>
      <c r="N715" t="s">
        <v>13</v>
      </c>
    </row>
    <row r="716" spans="1:14" ht="11.25" customHeight="1">
      <c r="A716" s="5" t="s">
        <v>2074</v>
      </c>
      <c r="B716" s="5" t="s">
        <v>2075</v>
      </c>
      <c r="C716" s="5" t="s">
        <v>2150</v>
      </c>
      <c r="D716" s="5" t="s">
        <v>2077</v>
      </c>
      <c r="E716" s="5" t="s">
        <v>14</v>
      </c>
      <c r="F716" s="5" t="s">
        <v>2078</v>
      </c>
      <c r="G716" s="5" t="s">
        <v>2079</v>
      </c>
      <c r="H716" s="5" t="s">
        <v>2080</v>
      </c>
      <c r="I716" s="5" t="s">
        <v>2151</v>
      </c>
      <c r="J716" s="5" t="s">
        <v>2152</v>
      </c>
      <c r="K716" s="7" t="str">
        <f ca="1">IFERROR(__xludf.DUMMYFUNCTION("GOOGLETRANSLATE(H716,""EN"",""ES"")"),"ASIENTOS")</f>
        <v>ASIENTOS</v>
      </c>
      <c r="L716" s="5" t="str">
        <f ca="1">IFERROR(__xludf.DUMMYFUNCTION("GOOGLETRANSLATE(J716,""EN"",""ES"")"),"Sofás")</f>
        <v>Sofás</v>
      </c>
      <c r="M716" s="8" t="s">
        <v>13</v>
      </c>
      <c r="N716" t="s">
        <v>13</v>
      </c>
    </row>
    <row r="717" spans="1:14" ht="11.25" customHeight="1">
      <c r="A717" s="5" t="s">
        <v>2074</v>
      </c>
      <c r="B717" s="5" t="s">
        <v>2075</v>
      </c>
      <c r="C717" s="5" t="s">
        <v>2153</v>
      </c>
      <c r="D717" s="5" t="s">
        <v>2077</v>
      </c>
      <c r="E717" s="5" t="s">
        <v>14</v>
      </c>
      <c r="F717" s="5" t="s">
        <v>2078</v>
      </c>
      <c r="G717" s="5" t="s">
        <v>2079</v>
      </c>
      <c r="H717" s="5" t="s">
        <v>2080</v>
      </c>
      <c r="I717" s="5" t="s">
        <v>2154</v>
      </c>
      <c r="J717" s="5" t="s">
        <v>2155</v>
      </c>
      <c r="K717" s="7" t="str">
        <f ca="1">IFERROR(__xludf.DUMMYFUNCTION("GOOGLETRANSLATE(H717,""EN"",""ES"")"),"ASIENTOS")</f>
        <v>ASIENTOS</v>
      </c>
      <c r="L717" s="5" t="str">
        <f ca="1">IFERROR(__xludf.DUMMYFUNCTION("GOOGLETRANSLATE(J717,""EN"",""ES"")"),"Asientos oscilantes [muebles de jardín]")</f>
        <v>Asientos oscilantes [muebles de jardín]</v>
      </c>
      <c r="M717" s="8" t="s">
        <v>13</v>
      </c>
      <c r="N717" t="s">
        <v>16</v>
      </c>
    </row>
    <row r="718" spans="1:14" ht="11.25" customHeight="1">
      <c r="A718" s="5" t="s">
        <v>2074</v>
      </c>
      <c r="B718" s="5" t="s">
        <v>2075</v>
      </c>
      <c r="C718" s="5" t="s">
        <v>2156</v>
      </c>
      <c r="D718" s="5" t="s">
        <v>2077</v>
      </c>
      <c r="E718" s="5" t="s">
        <v>14</v>
      </c>
      <c r="F718" s="5" t="s">
        <v>2078</v>
      </c>
      <c r="G718" s="5" t="s">
        <v>2079</v>
      </c>
      <c r="H718" s="5" t="s">
        <v>2080</v>
      </c>
      <c r="I718" s="5" t="s">
        <v>2157</v>
      </c>
      <c r="J718" s="5" t="s">
        <v>2158</v>
      </c>
      <c r="K718" s="7" t="str">
        <f ca="1">IFERROR(__xludf.DUMMYFUNCTION("GOOGLETRANSLATE(H718,""EN"",""ES"")"),"ASIENTOS")</f>
        <v>ASIENTOS</v>
      </c>
      <c r="L718" s="5" t="str">
        <f ca="1">IFERROR(__xludf.DUMMYFUNCTION("GOOGLETRANSLATE(J718,""EN"",""ES"")"),"Sillas para niños, para fijar en bicicletas o motocicletas.")</f>
        <v>Sillas para niños, para fijar en bicicletas o motocicletas.</v>
      </c>
      <c r="M718" s="8" t="s">
        <v>13</v>
      </c>
      <c r="N718" t="s">
        <v>15</v>
      </c>
    </row>
    <row r="719" spans="1:14" ht="11.25" customHeight="1">
      <c r="A719" s="5" t="s">
        <v>2074</v>
      </c>
      <c r="B719" s="5" t="s">
        <v>2075</v>
      </c>
      <c r="C719" s="5" t="s">
        <v>2156</v>
      </c>
      <c r="D719" s="5" t="s">
        <v>2077</v>
      </c>
      <c r="E719" s="5" t="s">
        <v>14</v>
      </c>
      <c r="F719" s="5" t="s">
        <v>2078</v>
      </c>
      <c r="G719" s="5" t="s">
        <v>2079</v>
      </c>
      <c r="H719" s="5" t="s">
        <v>2080</v>
      </c>
      <c r="I719" s="5" t="s">
        <v>2159</v>
      </c>
      <c r="J719" s="5" t="s">
        <v>152</v>
      </c>
      <c r="K719" s="7" t="str">
        <f ca="1">IFERROR(__xludf.DUMMYFUNCTION("GOOGLETRANSLATE(H719,""EN"",""ES"")"),"ASIENTOS")</f>
        <v>ASIENTOS</v>
      </c>
      <c r="L719" s="5" t="str">
        <f ca="1">IFERROR(__xludf.DUMMYFUNCTION("GOOGLETRANSLATE(J719,""EN"",""ES"")"),"Asientos para niños, para fijar en bicicletas o motocicletas.")</f>
        <v>Asientos para niños, para fijar en bicicletas o motocicletas.</v>
      </c>
      <c r="M719" s="8" t="s">
        <v>13</v>
      </c>
      <c r="N719" t="s">
        <v>15</v>
      </c>
    </row>
    <row r="720" spans="1:14" ht="11.25" customHeight="1">
      <c r="A720" s="5" t="s">
        <v>2074</v>
      </c>
      <c r="B720" s="5" t="s">
        <v>2075</v>
      </c>
      <c r="C720" s="5" t="s">
        <v>2160</v>
      </c>
      <c r="D720" s="5" t="s">
        <v>2077</v>
      </c>
      <c r="E720" s="5" t="s">
        <v>14</v>
      </c>
      <c r="F720" s="5" t="s">
        <v>2078</v>
      </c>
      <c r="G720" s="5" t="s">
        <v>2079</v>
      </c>
      <c r="H720" s="5" t="s">
        <v>2080</v>
      </c>
      <c r="I720" s="5" t="s">
        <v>2161</v>
      </c>
      <c r="J720" s="5" t="s">
        <v>2162</v>
      </c>
      <c r="K720" s="7" t="str">
        <f ca="1">IFERROR(__xludf.DUMMYFUNCTION("GOOGLETRANSLATE(H720,""EN"",""ES"")"),"ASIENTOS")</f>
        <v>ASIENTOS</v>
      </c>
      <c r="L720" s="5" t="str">
        <f ca="1">IFERROR(__xludf.DUMMYFUNCTION("GOOGLETRANSLATE(J720,""EN"",""ES"")"),"sillas para bebes")</f>
        <v>sillas para bebes</v>
      </c>
      <c r="M720" s="8" t="s">
        <v>13</v>
      </c>
      <c r="N720" t="s">
        <v>13</v>
      </c>
    </row>
    <row r="721" spans="1:14" ht="11.25" customHeight="1">
      <c r="A721" s="5" t="s">
        <v>2074</v>
      </c>
      <c r="B721" s="5" t="s">
        <v>2075</v>
      </c>
      <c r="C721" s="5" t="s">
        <v>2163</v>
      </c>
      <c r="D721" s="5" t="s">
        <v>2077</v>
      </c>
      <c r="E721" s="5" t="s">
        <v>14</v>
      </c>
      <c r="F721" s="5" t="s">
        <v>2078</v>
      </c>
      <c r="G721" s="5" t="s">
        <v>2079</v>
      </c>
      <c r="H721" s="5" t="s">
        <v>2080</v>
      </c>
      <c r="I721" s="5" t="s">
        <v>2164</v>
      </c>
      <c r="J721" s="5" t="s">
        <v>2165</v>
      </c>
      <c r="K721" s="7" t="str">
        <f ca="1">IFERROR(__xludf.DUMMYFUNCTION("GOOGLETRANSLATE(H721,""EN"",""ES"")"),"ASIENTOS")</f>
        <v>ASIENTOS</v>
      </c>
      <c r="L721" s="5" t="str">
        <f ca="1">IFERROR(__xludf.DUMMYFUNCTION("GOOGLETRANSLATE(J721,""EN"",""ES"")"),"Bancos para saunas")</f>
        <v>Bancos para saunas</v>
      </c>
      <c r="M721" s="8" t="s">
        <v>13</v>
      </c>
      <c r="N721" t="s">
        <v>13</v>
      </c>
    </row>
    <row r="722" spans="1:14" ht="11.25" customHeight="1">
      <c r="A722" s="5" t="s">
        <v>2074</v>
      </c>
      <c r="B722" s="5" t="s">
        <v>2075</v>
      </c>
      <c r="C722" s="5" t="s">
        <v>2166</v>
      </c>
      <c r="D722" s="5" t="s">
        <v>2077</v>
      </c>
      <c r="E722" s="5" t="s">
        <v>14</v>
      </c>
      <c r="F722" s="5" t="s">
        <v>2078</v>
      </c>
      <c r="G722" s="5" t="s">
        <v>2079</v>
      </c>
      <c r="H722" s="5" t="s">
        <v>2080</v>
      </c>
      <c r="I722" s="5" t="s">
        <v>2167</v>
      </c>
      <c r="J722" s="5" t="s">
        <v>2168</v>
      </c>
      <c r="K722" s="7" t="str">
        <f ca="1">IFERROR(__xludf.DUMMYFUNCTION("GOOGLETRANSLATE(H722,""EN"",""ES"")"),"ASIENTOS")</f>
        <v>ASIENTOS</v>
      </c>
      <c r="L722" s="5" t="str">
        <f ca="1">IFERROR(__xludf.DUMMYFUNCTION("GOOGLETRANSLATE(J722,""EN"",""ES"")"),"Asientos para hamacas de bebé")</f>
        <v>Asientos para hamacas de bebé</v>
      </c>
      <c r="M722" s="8" t="s">
        <v>13</v>
      </c>
      <c r="N722" t="s">
        <v>13</v>
      </c>
    </row>
    <row r="723" spans="1:14" ht="11.25" customHeight="1">
      <c r="A723" s="5" t="s">
        <v>2074</v>
      </c>
      <c r="B723" s="5" t="s">
        <v>2075</v>
      </c>
      <c r="C723" s="5" t="s">
        <v>2169</v>
      </c>
      <c r="D723" s="5" t="s">
        <v>2077</v>
      </c>
      <c r="E723" s="5" t="s">
        <v>14</v>
      </c>
      <c r="F723" s="5" t="s">
        <v>2078</v>
      </c>
      <c r="G723" s="5" t="s">
        <v>2079</v>
      </c>
      <c r="H723" s="5" t="s">
        <v>2080</v>
      </c>
      <c r="I723" s="5" t="s">
        <v>2170</v>
      </c>
      <c r="J723" s="5" t="s">
        <v>2171</v>
      </c>
      <c r="K723" s="7" t="str">
        <f ca="1">IFERROR(__xludf.DUMMYFUNCTION("GOOGLETRANSLATE(H723,""EN"",""ES"")"),"ASIENTOS")</f>
        <v>ASIENTOS</v>
      </c>
      <c r="L723" s="5" t="str">
        <f ca="1">IFERROR(__xludf.DUMMYFUNCTION("GOOGLETRANSLATE(J723,""EN"",""ES"")"),"Sillas de oficina")</f>
        <v>Sillas de oficina</v>
      </c>
      <c r="M723" s="8" t="s">
        <v>13</v>
      </c>
      <c r="N723" t="s">
        <v>20</v>
      </c>
    </row>
    <row r="724" spans="1:14" ht="11.25" customHeight="1">
      <c r="A724" s="5" t="s">
        <v>2074</v>
      </c>
      <c r="B724" s="5" t="s">
        <v>2075</v>
      </c>
      <c r="C724" s="5" t="s">
        <v>2172</v>
      </c>
      <c r="D724" s="5" t="s">
        <v>2077</v>
      </c>
      <c r="E724" s="5" t="s">
        <v>14</v>
      </c>
      <c r="F724" s="5" t="s">
        <v>2078</v>
      </c>
      <c r="G724" s="5" t="s">
        <v>2079</v>
      </c>
      <c r="H724" s="5" t="s">
        <v>2080</v>
      </c>
      <c r="I724" s="5" t="s">
        <v>2173</v>
      </c>
      <c r="J724" s="5" t="s">
        <v>2174</v>
      </c>
      <c r="K724" s="7" t="str">
        <f ca="1">IFERROR(__xludf.DUMMYFUNCTION("GOOGLETRANSLATE(H724,""EN"",""ES"")"),"ASIENTOS")</f>
        <v>ASIENTOS</v>
      </c>
      <c r="L724" s="5" t="str">
        <f ca="1">IFERROR(__xludf.DUMMYFUNCTION("GOOGLETRANSLATE(J724,""EN"",""ES"")"),"Sillas infantiles para automóviles")</f>
        <v>Sillas infantiles para automóviles</v>
      </c>
      <c r="M724" s="8" t="s">
        <v>13</v>
      </c>
      <c r="N724" t="s">
        <v>15</v>
      </c>
    </row>
    <row r="725" spans="1:14" ht="11.25" customHeight="1">
      <c r="A725" s="5" t="s">
        <v>2074</v>
      </c>
      <c r="B725" s="5" t="s">
        <v>2075</v>
      </c>
      <c r="C725" s="5" t="s">
        <v>2175</v>
      </c>
      <c r="D725" s="5" t="s">
        <v>2077</v>
      </c>
      <c r="E725" s="5" t="s">
        <v>14</v>
      </c>
      <c r="F725" s="5" t="s">
        <v>2078</v>
      </c>
      <c r="G725" s="5" t="s">
        <v>2079</v>
      </c>
      <c r="H725" s="5" t="s">
        <v>2080</v>
      </c>
      <c r="I725" s="5" t="s">
        <v>2176</v>
      </c>
      <c r="J725" s="5" t="s">
        <v>2177</v>
      </c>
      <c r="K725" s="7" t="str">
        <f ca="1">IFERROR(__xludf.DUMMYFUNCTION("GOOGLETRANSLATE(H725,""EN"",""ES"")"),"ASIENTOS")</f>
        <v>ASIENTOS</v>
      </c>
      <c r="L725" s="5" t="str">
        <f ca="1">IFERROR(__xludf.DUMMYFUNCTION("GOOGLETRANSLATE(J725,""EN"",""ES"")"),"Cojines elevadores para niños")</f>
        <v>Cojines elevadores para niños</v>
      </c>
      <c r="M725" s="8" t="s">
        <v>13</v>
      </c>
      <c r="N725" t="s">
        <v>15</v>
      </c>
    </row>
    <row r="726" spans="1:14" ht="11.25" customHeight="1">
      <c r="A726" s="5" t="s">
        <v>2074</v>
      </c>
      <c r="B726" s="5" t="s">
        <v>2075</v>
      </c>
      <c r="C726" s="5" t="s">
        <v>2178</v>
      </c>
      <c r="D726" s="5" t="s">
        <v>2077</v>
      </c>
      <c r="E726" s="5" t="s">
        <v>14</v>
      </c>
      <c r="F726" s="5" t="s">
        <v>2078</v>
      </c>
      <c r="G726" s="5" t="s">
        <v>2079</v>
      </c>
      <c r="H726" s="5" t="s">
        <v>2080</v>
      </c>
      <c r="I726" s="5" t="s">
        <v>2179</v>
      </c>
      <c r="J726" s="5" t="s">
        <v>2180</v>
      </c>
      <c r="K726" s="7" t="str">
        <f ca="1">IFERROR(__xludf.DUMMYFUNCTION("GOOGLETRANSLATE(H726,""EN"",""ES"")"),"ASIENTOS")</f>
        <v>ASIENTOS</v>
      </c>
      <c r="L726" s="5" t="str">
        <f ca="1">IFERROR(__xludf.DUMMYFUNCTION("GOOGLETRANSLATE(J726,""EN"",""ES"")"),"sillas de teatro")</f>
        <v>sillas de teatro</v>
      </c>
      <c r="M726" s="8" t="s">
        <v>13</v>
      </c>
      <c r="N726" t="s">
        <v>17</v>
      </c>
    </row>
    <row r="727" spans="1:14" ht="11.25" customHeight="1">
      <c r="A727" s="5" t="s">
        <v>2074</v>
      </c>
      <c r="B727" s="5" t="s">
        <v>2075</v>
      </c>
      <c r="C727" s="5" t="s">
        <v>2181</v>
      </c>
      <c r="D727" s="5" t="s">
        <v>2077</v>
      </c>
      <c r="E727" s="5" t="s">
        <v>14</v>
      </c>
      <c r="F727" s="5" t="s">
        <v>2078</v>
      </c>
      <c r="G727" s="5" t="s">
        <v>2079</v>
      </c>
      <c r="H727" s="5" t="s">
        <v>2080</v>
      </c>
      <c r="I727" s="5" t="s">
        <v>2182</v>
      </c>
      <c r="J727" s="5" t="s">
        <v>2183</v>
      </c>
      <c r="K727" s="7" t="str">
        <f ca="1">IFERROR(__xludf.DUMMYFUNCTION("GOOGLETRANSLATE(H727,""EN"",""ES"")"),"ASIENTOS")</f>
        <v>ASIENTOS</v>
      </c>
      <c r="L727" s="5" t="str">
        <f ca="1">IFERROR(__xludf.DUMMYFUNCTION("GOOGLETRANSLATE(J727,""EN"",""ES"")"),"Sofás-cama")</f>
        <v>Sofás-cama</v>
      </c>
      <c r="M727" s="8" t="s">
        <v>13</v>
      </c>
      <c r="N727" t="s">
        <v>13</v>
      </c>
    </row>
    <row r="728" spans="1:14" ht="11.25" customHeight="1">
      <c r="A728" s="5" t="s">
        <v>2074</v>
      </c>
      <c r="B728" s="5" t="s">
        <v>2075</v>
      </c>
      <c r="C728" s="5" t="s">
        <v>2184</v>
      </c>
      <c r="D728" s="5" t="s">
        <v>2077</v>
      </c>
      <c r="E728" s="5" t="s">
        <v>14</v>
      </c>
      <c r="F728" s="5" t="s">
        <v>2078</v>
      </c>
      <c r="G728" s="5" t="s">
        <v>2079</v>
      </c>
      <c r="H728" s="5" t="s">
        <v>2080</v>
      </c>
      <c r="I728" s="5" t="s">
        <v>2185</v>
      </c>
      <c r="J728" s="5" t="s">
        <v>2185</v>
      </c>
      <c r="K728" s="7" t="str">
        <f ca="1">IFERROR(__xludf.DUMMYFUNCTION("GOOGLETRANSLATE(H728,""EN"",""ES"")"),"ASIENTOS")</f>
        <v>ASIENTOS</v>
      </c>
      <c r="L728" s="5" t="str">
        <f ca="1">IFERROR(__xludf.DUMMYFUNCTION("GOOGLETRANSLATE(J728,""EN"",""ES"")"),"Méridiennes")</f>
        <v>Méridiennes</v>
      </c>
      <c r="M728" s="8" t="s">
        <v>13</v>
      </c>
      <c r="N728" t="s">
        <v>13</v>
      </c>
    </row>
    <row r="729" spans="1:14" ht="11.25" customHeight="1">
      <c r="A729" s="5" t="s">
        <v>2074</v>
      </c>
      <c r="B729" s="5" t="s">
        <v>2075</v>
      </c>
      <c r="C729" s="5" t="s">
        <v>2186</v>
      </c>
      <c r="D729" s="5" t="s">
        <v>2077</v>
      </c>
      <c r="E729" s="5" t="s">
        <v>14</v>
      </c>
      <c r="F729" s="5" t="s">
        <v>2078</v>
      </c>
      <c r="G729" s="5" t="s">
        <v>2079</v>
      </c>
      <c r="H729" s="5" t="s">
        <v>2080</v>
      </c>
      <c r="I729" s="5" t="s">
        <v>2187</v>
      </c>
      <c r="J729" s="5" t="s">
        <v>2188</v>
      </c>
      <c r="K729" s="7" t="str">
        <f ca="1">IFERROR(__xludf.DUMMYFUNCTION("GOOGLETRANSLATE(H729,""EN"",""ES"")"),"ASIENTOS")</f>
        <v>ASIENTOS</v>
      </c>
      <c r="L729" s="5" t="str">
        <f ca="1">IFERROR(__xludf.DUMMYFUNCTION("GOOGLETRANSLATE(J729,""EN"",""ES"")"),"sillas de piso")</f>
        <v>sillas de piso</v>
      </c>
      <c r="M729" s="8" t="s">
        <v>13</v>
      </c>
      <c r="N729" t="s">
        <v>13</v>
      </c>
    </row>
    <row r="730" spans="1:14" ht="11.25" customHeight="1">
      <c r="A730" s="5" t="s">
        <v>2074</v>
      </c>
      <c r="B730" s="5" t="s">
        <v>2075</v>
      </c>
      <c r="C730" s="5" t="s">
        <v>2189</v>
      </c>
      <c r="D730" s="5" t="s">
        <v>2077</v>
      </c>
      <c r="E730" s="5" t="s">
        <v>14</v>
      </c>
      <c r="F730" s="5" t="s">
        <v>2078</v>
      </c>
      <c r="G730" s="5" t="s">
        <v>2079</v>
      </c>
      <c r="H730" s="5" t="s">
        <v>2080</v>
      </c>
      <c r="I730" s="5" t="s">
        <v>2190</v>
      </c>
      <c r="J730" s="5" t="s">
        <v>2191</v>
      </c>
      <c r="K730" s="7" t="str">
        <f ca="1">IFERROR(__xludf.DUMMYFUNCTION("GOOGLETRANSLATE(H730,""EN"",""ES"")"),"ASIENTOS")</f>
        <v>ASIENTOS</v>
      </c>
      <c r="L730" s="5" t="str">
        <f ca="1">IFERROR(__xludf.DUMMYFUNCTION("GOOGLETRANSLATE(J730,""EN"",""ES"")"),"Sillas de masaje")</f>
        <v>Sillas de masaje</v>
      </c>
      <c r="M730" s="8" t="s">
        <v>13</v>
      </c>
      <c r="N730" t="s">
        <v>13</v>
      </c>
    </row>
    <row r="731" spans="1:14" ht="11.25" customHeight="1">
      <c r="A731" s="5" t="s">
        <v>2074</v>
      </c>
      <c r="B731" s="5" t="s">
        <v>2075</v>
      </c>
      <c r="C731" s="5" t="s">
        <v>2192</v>
      </c>
      <c r="D731" s="5" t="s">
        <v>2077</v>
      </c>
      <c r="E731" s="5" t="s">
        <v>14</v>
      </c>
      <c r="F731" s="5" t="s">
        <v>2078</v>
      </c>
      <c r="G731" s="5" t="s">
        <v>2079</v>
      </c>
      <c r="H731" s="5" t="s">
        <v>2080</v>
      </c>
      <c r="I731" s="5" t="s">
        <v>2193</v>
      </c>
      <c r="J731" s="5" t="s">
        <v>2194</v>
      </c>
      <c r="K731" s="7" t="str">
        <f ca="1">IFERROR(__xludf.DUMMYFUNCTION("GOOGLETRANSLATE(H731,""EN"",""ES"")"),"ASIENTOS")</f>
        <v>ASIENTOS</v>
      </c>
      <c r="L731" s="5" t="str">
        <f ca="1">IFERROR(__xludf.DUMMYFUNCTION("GOOGLETRANSLATE(J731,""EN"",""ES"")"),"Sillones de masaje")</f>
        <v>Sillones de masaje</v>
      </c>
      <c r="M731" s="8" t="s">
        <v>13</v>
      </c>
      <c r="N731" t="s">
        <v>13</v>
      </c>
    </row>
    <row r="732" spans="1:14" ht="11.25" customHeight="1">
      <c r="A732" s="5" t="s">
        <v>2074</v>
      </c>
      <c r="B732" s="5" t="s">
        <v>2075</v>
      </c>
      <c r="C732" s="5" t="s">
        <v>2195</v>
      </c>
      <c r="D732" s="5" t="s">
        <v>2077</v>
      </c>
      <c r="E732" s="5" t="s">
        <v>14</v>
      </c>
      <c r="F732" s="5" t="s">
        <v>2078</v>
      </c>
      <c r="G732" s="5" t="s">
        <v>2079</v>
      </c>
      <c r="H732" s="5" t="s">
        <v>2080</v>
      </c>
      <c r="I732" s="5" t="s">
        <v>2196</v>
      </c>
      <c r="J732" s="5" t="s">
        <v>2197</v>
      </c>
      <c r="K732" s="7" t="str">
        <f ca="1">IFERROR(__xludf.DUMMYFUNCTION("GOOGLETRANSLATE(H732,""EN"",""ES"")"),"ASIENTOS")</f>
        <v>ASIENTOS</v>
      </c>
      <c r="L732" s="5" t="str">
        <f ca="1">IFERROR(__xludf.DUMMYFUNCTION("GOOGLETRANSLATE(J732,""EN"",""ES"")"),"Bancos de calle [mobiliario urbano]")</f>
        <v>Bancos de calle [mobiliario urbano]</v>
      </c>
      <c r="M732" s="8" t="s">
        <v>13</v>
      </c>
      <c r="N732" t="s">
        <v>21</v>
      </c>
    </row>
    <row r="733" spans="1:14" ht="11.25" customHeight="1">
      <c r="A733" s="5" t="s">
        <v>2074</v>
      </c>
      <c r="B733" s="5" t="s">
        <v>2075</v>
      </c>
      <c r="C733" s="5" t="s">
        <v>2198</v>
      </c>
      <c r="D733" s="5" t="s">
        <v>2077</v>
      </c>
      <c r="E733" s="5" t="s">
        <v>14</v>
      </c>
      <c r="F733" s="5" t="s">
        <v>2078</v>
      </c>
      <c r="G733" s="5" t="s">
        <v>2079</v>
      </c>
      <c r="H733" s="5" t="s">
        <v>2080</v>
      </c>
      <c r="I733" s="5" t="s">
        <v>2199</v>
      </c>
      <c r="J733" s="5" t="s">
        <v>2200</v>
      </c>
      <c r="K733" s="7" t="str">
        <f ca="1">IFERROR(__xludf.DUMMYFUNCTION("GOOGLETRANSLATE(H733,""EN"",""ES"")"),"ASIENTOS")</f>
        <v>ASIENTOS</v>
      </c>
      <c r="L733" s="5" t="str">
        <f ca="1">IFERROR(__xludf.DUMMYFUNCTION("GOOGLETRANSLATE(J733,""EN"",""ES"")"),"Asientos de baño para bebes")</f>
        <v>Asientos de baño para bebes</v>
      </c>
      <c r="M733" s="8" t="s">
        <v>13</v>
      </c>
      <c r="N733" t="s">
        <v>13</v>
      </c>
    </row>
    <row r="734" spans="1:14" ht="11.25" customHeight="1">
      <c r="A734" s="5" t="s">
        <v>2074</v>
      </c>
      <c r="B734" s="5" t="s">
        <v>2075</v>
      </c>
      <c r="C734" s="5" t="s">
        <v>2201</v>
      </c>
      <c r="D734" s="5" t="s">
        <v>2077</v>
      </c>
      <c r="E734" s="5" t="s">
        <v>14</v>
      </c>
      <c r="F734" s="5" t="s">
        <v>2078</v>
      </c>
      <c r="G734" s="5" t="s">
        <v>2079</v>
      </c>
      <c r="H734" s="5" t="s">
        <v>2080</v>
      </c>
      <c r="I734" s="5" t="s">
        <v>2202</v>
      </c>
      <c r="J734" s="5" t="s">
        <v>2203</v>
      </c>
      <c r="K734" s="7" t="str">
        <f ca="1">IFERROR(__xludf.DUMMYFUNCTION("GOOGLETRANSLATE(H734,""EN"",""ES"")"),"ASIENTOS")</f>
        <v>ASIENTOS</v>
      </c>
      <c r="L734" s="5" t="str">
        <f ca="1">IFERROR(__xludf.DUMMYFUNCTION("GOOGLETRANSLATE(J734,""EN"",""ES"")"),"Asientos de vehículos")</f>
        <v>Asientos de vehículos</v>
      </c>
      <c r="M734" s="8" t="s">
        <v>13</v>
      </c>
      <c r="N734" t="s">
        <v>15</v>
      </c>
    </row>
    <row r="735" spans="1:14" ht="11.25" customHeight="1">
      <c r="A735" s="5" t="s">
        <v>2074</v>
      </c>
      <c r="B735" s="5" t="s">
        <v>2204</v>
      </c>
      <c r="C735" s="5" t="s">
        <v>2205</v>
      </c>
      <c r="D735" s="5" t="s">
        <v>2077</v>
      </c>
      <c r="E735" s="5" t="s">
        <v>14</v>
      </c>
      <c r="F735" s="5" t="s">
        <v>2078</v>
      </c>
      <c r="G735" s="5" t="s">
        <v>2079</v>
      </c>
      <c r="H735" s="5" t="s">
        <v>2206</v>
      </c>
      <c r="I735" s="5" t="s">
        <v>2207</v>
      </c>
      <c r="J735" s="5" t="s">
        <v>2208</v>
      </c>
      <c r="K735" s="7" t="str">
        <f ca="1">IFERROR(__xludf.DUMMYFUNCTION("GOOGLETRANSLATE(H735,""EN"",""ES"")"),"CAMAS")</f>
        <v>CAMAS</v>
      </c>
      <c r="L735" s="5" t="str">
        <f ca="1">IFERROR(__xludf.DUMMYFUNCTION("GOOGLETRANSLATE(J735,""EN"",""ES"")"),"Cunas tipo cesta")</f>
        <v>Cunas tipo cesta</v>
      </c>
      <c r="M735" s="8" t="s">
        <v>13</v>
      </c>
      <c r="N735" t="s">
        <v>13</v>
      </c>
    </row>
    <row r="736" spans="1:14" ht="11.25" customHeight="1">
      <c r="A736" s="5" t="s">
        <v>2074</v>
      </c>
      <c r="B736" s="5" t="s">
        <v>2204</v>
      </c>
      <c r="C736" s="5" t="s">
        <v>2209</v>
      </c>
      <c r="D736" s="5" t="s">
        <v>2077</v>
      </c>
      <c r="E736" s="5" t="s">
        <v>14</v>
      </c>
      <c r="F736" s="5" t="s">
        <v>2078</v>
      </c>
      <c r="G736" s="5" t="s">
        <v>2079</v>
      </c>
      <c r="H736" s="5" t="s">
        <v>2206</v>
      </c>
      <c r="I736" s="5" t="s">
        <v>2210</v>
      </c>
      <c r="J736" s="5" t="s">
        <v>2211</v>
      </c>
      <c r="K736" s="7" t="str">
        <f ca="1">IFERROR(__xludf.DUMMYFUNCTION("GOOGLETRANSLATE(H736,""EN"",""ES"")"),"CAMAS")</f>
        <v>CAMAS</v>
      </c>
      <c r="L736" s="5" t="str">
        <f ca="1">IFERROR(__xludf.DUMMYFUNCTION("GOOGLETRANSLATE(J736,""EN"",""ES"")"),"Camas")</f>
        <v>Camas</v>
      </c>
      <c r="M736" s="8" t="s">
        <v>13</v>
      </c>
      <c r="N736" t="s">
        <v>13</v>
      </c>
    </row>
    <row r="737" spans="1:14" ht="11.25" customHeight="1">
      <c r="A737" s="5" t="s">
        <v>2074</v>
      </c>
      <c r="B737" s="5" t="s">
        <v>2204</v>
      </c>
      <c r="C737" s="5" t="s">
        <v>2212</v>
      </c>
      <c r="D737" s="5" t="s">
        <v>2077</v>
      </c>
      <c r="E737" s="5" t="s">
        <v>14</v>
      </c>
      <c r="F737" s="5" t="s">
        <v>2078</v>
      </c>
      <c r="G737" s="5" t="s">
        <v>2079</v>
      </c>
      <c r="H737" s="5" t="s">
        <v>2206</v>
      </c>
      <c r="I737" s="5" t="s">
        <v>2213</v>
      </c>
      <c r="J737" s="5" t="s">
        <v>2214</v>
      </c>
      <c r="K737" s="7" t="str">
        <f ca="1">IFERROR(__xludf.DUMMYFUNCTION("GOOGLETRANSLATE(H737,""EN"",""ES"")"),"CAMAS")</f>
        <v>CAMAS</v>
      </c>
      <c r="L737" s="5" t="str">
        <f ca="1">IFERROR(__xludf.DUMMYFUNCTION("GOOGLETRANSLATE(J737,""EN"",""ES"")"),"Literas")</f>
        <v>Literas</v>
      </c>
      <c r="M737" s="8" t="s">
        <v>13</v>
      </c>
      <c r="N737" t="s">
        <v>13</v>
      </c>
    </row>
    <row r="738" spans="1:14" ht="11.25" customHeight="1">
      <c r="A738" s="5" t="s">
        <v>2074</v>
      </c>
      <c r="B738" s="5" t="s">
        <v>2204</v>
      </c>
      <c r="C738" s="5" t="s">
        <v>2215</v>
      </c>
      <c r="D738" s="5" t="s">
        <v>2077</v>
      </c>
      <c r="E738" s="5" t="s">
        <v>14</v>
      </c>
      <c r="F738" s="5" t="s">
        <v>2078</v>
      </c>
      <c r="G738" s="5" t="s">
        <v>2079</v>
      </c>
      <c r="H738" s="5" t="s">
        <v>2206</v>
      </c>
      <c r="I738" s="5" t="s">
        <v>2216</v>
      </c>
      <c r="J738" s="5" t="s">
        <v>2217</v>
      </c>
      <c r="K738" s="7" t="str">
        <f ca="1">IFERROR(__xludf.DUMMYFUNCTION("GOOGLETRANSLATE(H738,""EN"",""ES"")"),"CAMAS")</f>
        <v>CAMAS</v>
      </c>
      <c r="L738" s="5" t="str">
        <f ca="1">IFERROR(__xludf.DUMMYFUNCTION("GOOGLETRANSLATE(J738,""EN"",""ES"")"),"Camas de campaña")</f>
        <v>Camas de campaña</v>
      </c>
      <c r="M738" s="8" t="s">
        <v>13</v>
      </c>
      <c r="N738" t="s">
        <v>13</v>
      </c>
    </row>
    <row r="739" spans="1:14" ht="11.25" customHeight="1">
      <c r="A739" s="5" t="s">
        <v>2074</v>
      </c>
      <c r="B739" s="5" t="s">
        <v>2204</v>
      </c>
      <c r="C739" s="5" t="s">
        <v>2218</v>
      </c>
      <c r="D739" s="5" t="s">
        <v>2077</v>
      </c>
      <c r="E739" s="5" t="s">
        <v>14</v>
      </c>
      <c r="F739" s="5" t="s">
        <v>2078</v>
      </c>
      <c r="G739" s="5" t="s">
        <v>2079</v>
      </c>
      <c r="H739" s="5" t="s">
        <v>2206</v>
      </c>
      <c r="I739" s="5" t="s">
        <v>2219</v>
      </c>
      <c r="J739" s="5" t="s">
        <v>2220</v>
      </c>
      <c r="K739" s="7" t="str">
        <f ca="1">IFERROR(__xludf.DUMMYFUNCTION("GOOGLETRANSLATE(H739,""EN"",""ES"")"),"CAMAS")</f>
        <v>CAMAS</v>
      </c>
      <c r="L739" s="5" t="str">
        <f ca="1">IFERROR(__xludf.DUMMYFUNCTION("GOOGLETRANSLATE(J739,""EN"",""ES"")"),"Cunas para bebes")</f>
        <v>Cunas para bebes</v>
      </c>
      <c r="M739" s="8" t="s">
        <v>13</v>
      </c>
      <c r="N739" t="s">
        <v>13</v>
      </c>
    </row>
    <row r="740" spans="1:14" ht="11.25" customHeight="1">
      <c r="A740" s="5" t="s">
        <v>2074</v>
      </c>
      <c r="B740" s="5" t="s">
        <v>2204</v>
      </c>
      <c r="C740" s="5" t="s">
        <v>2221</v>
      </c>
      <c r="D740" s="5" t="s">
        <v>2077</v>
      </c>
      <c r="E740" s="5" t="s">
        <v>14</v>
      </c>
      <c r="F740" s="5" t="s">
        <v>2078</v>
      </c>
      <c r="G740" s="5" t="s">
        <v>2079</v>
      </c>
      <c r="H740" s="5" t="s">
        <v>2206</v>
      </c>
      <c r="I740" s="5" t="s">
        <v>2222</v>
      </c>
      <c r="J740" s="5" t="s">
        <v>2223</v>
      </c>
      <c r="K740" s="7" t="str">
        <f ca="1">IFERROR(__xludf.DUMMYFUNCTION("GOOGLETRANSLATE(H740,""EN"",""ES"")"),"CAMAS")</f>
        <v>CAMAS</v>
      </c>
      <c r="L740" s="5" t="str">
        <f ca="1">IFERROR(__xludf.DUMMYFUNCTION("GOOGLETRANSLATE(J740,""EN"",""ES"")"),"Cunas")</f>
        <v>Cunas</v>
      </c>
      <c r="M740" s="8" t="s">
        <v>13</v>
      </c>
      <c r="N740" t="s">
        <v>13</v>
      </c>
    </row>
    <row r="741" spans="1:14" ht="11.25" customHeight="1">
      <c r="A741" s="5" t="s">
        <v>2074</v>
      </c>
      <c r="B741" s="5" t="s">
        <v>2204</v>
      </c>
      <c r="C741" s="5" t="s">
        <v>2224</v>
      </c>
      <c r="D741" s="5" t="s">
        <v>2077</v>
      </c>
      <c r="E741" s="5" t="s">
        <v>14</v>
      </c>
      <c r="F741" s="5" t="s">
        <v>2078</v>
      </c>
      <c r="G741" s="5" t="s">
        <v>2079</v>
      </c>
      <c r="H741" s="5" t="s">
        <v>2206</v>
      </c>
      <c r="I741" s="5" t="s">
        <v>2225</v>
      </c>
      <c r="J741" s="5" t="s">
        <v>2226</v>
      </c>
      <c r="K741" s="7" t="str">
        <f ca="1">IFERROR(__xludf.DUMMYFUNCTION("GOOGLETRANSLATE(H741,""EN"",""ES"")"),"CAMAS")</f>
        <v>CAMAS</v>
      </c>
      <c r="L741" s="5" t="str">
        <f ca="1">IFERROR(__xludf.DUMMYFUNCTION("GOOGLETRANSLATE(J741,""EN"",""ES"")"),"Hamacas")</f>
        <v>Hamacas</v>
      </c>
      <c r="M741" s="8" t="s">
        <v>13</v>
      </c>
      <c r="N741" t="s">
        <v>16</v>
      </c>
    </row>
    <row r="742" spans="1:14" ht="11.25" customHeight="1">
      <c r="A742" s="5" t="s">
        <v>2074</v>
      </c>
      <c r="B742" s="5" t="s">
        <v>2204</v>
      </c>
      <c r="C742" s="5" t="s">
        <v>2227</v>
      </c>
      <c r="D742" s="5" t="s">
        <v>2077</v>
      </c>
      <c r="E742" s="5" t="s">
        <v>14</v>
      </c>
      <c r="F742" s="5" t="s">
        <v>2078</v>
      </c>
      <c r="G742" s="5" t="s">
        <v>2079</v>
      </c>
      <c r="H742" s="5" t="s">
        <v>2206</v>
      </c>
      <c r="I742" s="5" t="s">
        <v>2228</v>
      </c>
      <c r="J742" s="5" t="s">
        <v>2229</v>
      </c>
      <c r="K742" s="7" t="str">
        <f ca="1">IFERROR(__xludf.DUMMYFUNCTION("GOOGLETRANSLATE(H742,""EN"",""ES"")"),"CAMAS")</f>
        <v>CAMAS</v>
      </c>
      <c r="L742" s="5" t="str">
        <f ca="1">IFERROR(__xludf.DUMMYFUNCTION("GOOGLETRANSLATE(J742,""EN"",""ES"")"),"Camas de hospital")</f>
        <v>Camas de hospital</v>
      </c>
      <c r="M742" s="8" t="s">
        <v>13</v>
      </c>
      <c r="N742" t="s">
        <v>13</v>
      </c>
    </row>
    <row r="743" spans="1:14" ht="11.25" customHeight="1">
      <c r="A743" s="5" t="s">
        <v>2074</v>
      </c>
      <c r="B743" s="5" t="s">
        <v>2204</v>
      </c>
      <c r="C743" s="5" t="s">
        <v>2230</v>
      </c>
      <c r="D743" s="5" t="s">
        <v>2077</v>
      </c>
      <c r="E743" s="5" t="s">
        <v>14</v>
      </c>
      <c r="F743" s="5" t="s">
        <v>2078</v>
      </c>
      <c r="G743" s="5" t="s">
        <v>2079</v>
      </c>
      <c r="H743" s="5" t="s">
        <v>2206</v>
      </c>
      <c r="I743" s="5" t="s">
        <v>2231</v>
      </c>
      <c r="J743" s="5" t="s">
        <v>2232</v>
      </c>
      <c r="K743" s="7" t="str">
        <f ca="1">IFERROR(__xludf.DUMMYFUNCTION("GOOGLETRANSLATE(H743,""EN"",""ES"")"),"CAMAS")</f>
        <v>CAMAS</v>
      </c>
      <c r="L743" s="5" t="str">
        <f ca="1">IFERROR(__xludf.DUMMYFUNCTION("GOOGLETRANSLATE(J743,""EN"",""ES"")"),"Camas no válidas")</f>
        <v>Camas no válidas</v>
      </c>
      <c r="M743" s="8" t="s">
        <v>13</v>
      </c>
      <c r="N743" t="s">
        <v>13</v>
      </c>
    </row>
    <row r="744" spans="1:14" ht="11.25" customHeight="1">
      <c r="A744" s="5" t="s">
        <v>2074</v>
      </c>
      <c r="B744" s="5" t="s">
        <v>2204</v>
      </c>
      <c r="C744" s="5" t="s">
        <v>2233</v>
      </c>
      <c r="D744" s="5" t="s">
        <v>2077</v>
      </c>
      <c r="E744" s="5" t="s">
        <v>14</v>
      </c>
      <c r="F744" s="5" t="s">
        <v>2078</v>
      </c>
      <c r="G744" s="5" t="s">
        <v>2079</v>
      </c>
      <c r="H744" s="5" t="s">
        <v>2206</v>
      </c>
      <c r="I744" s="5" t="s">
        <v>2234</v>
      </c>
      <c r="J744" s="5" t="s">
        <v>2235</v>
      </c>
      <c r="K744" s="7" t="str">
        <f ca="1">IFERROR(__xludf.DUMMYFUNCTION("GOOGLETRANSLATE(H744,""EN"",""ES"")"),"CAMAS")</f>
        <v>CAMAS</v>
      </c>
      <c r="L744" s="5" t="str">
        <f ca="1">IFERROR(__xludf.DUMMYFUNCTION("GOOGLETRANSLATE(J744,""EN"",""ES"")"),"Soportes de colchón")</f>
        <v>Soportes de colchón</v>
      </c>
      <c r="M744" s="8" t="s">
        <v>13</v>
      </c>
      <c r="N744" t="s">
        <v>15</v>
      </c>
    </row>
    <row r="745" spans="1:14" ht="11.25" customHeight="1">
      <c r="A745" s="5" t="s">
        <v>2074</v>
      </c>
      <c r="B745" s="5" t="s">
        <v>2204</v>
      </c>
      <c r="C745" s="5" t="s">
        <v>2236</v>
      </c>
      <c r="D745" s="5" t="s">
        <v>2077</v>
      </c>
      <c r="E745" s="5" t="s">
        <v>14</v>
      </c>
      <c r="F745" s="5" t="s">
        <v>2078</v>
      </c>
      <c r="G745" s="5" t="s">
        <v>2079</v>
      </c>
      <c r="H745" s="5" t="s">
        <v>2206</v>
      </c>
      <c r="I745" s="5" t="s">
        <v>2237</v>
      </c>
      <c r="J745" s="5" t="s">
        <v>2238</v>
      </c>
      <c r="K745" s="7" t="str">
        <f ca="1">IFERROR(__xludf.DUMMYFUNCTION("GOOGLETRANSLATE(H745,""EN"",""ES"")"),"CAMAS")</f>
        <v>CAMAS</v>
      </c>
      <c r="L745" s="5" t="str">
        <f ca="1">IFERROR(__xludf.DUMMYFUNCTION("GOOGLETRANSLATE(J745,""EN"",""ES"")"),"Camas para niños")</f>
        <v>Camas para niños</v>
      </c>
      <c r="M745" s="8" t="s">
        <v>13</v>
      </c>
      <c r="N745" t="s">
        <v>13</v>
      </c>
    </row>
    <row r="746" spans="1:14" ht="11.25" customHeight="1">
      <c r="A746" s="5" t="s">
        <v>2074</v>
      </c>
      <c r="B746" s="5" t="s">
        <v>2204</v>
      </c>
      <c r="C746" s="5" t="s">
        <v>2239</v>
      </c>
      <c r="D746" s="5" t="s">
        <v>2077</v>
      </c>
      <c r="E746" s="5" t="s">
        <v>14</v>
      </c>
      <c r="F746" s="5" t="s">
        <v>2078</v>
      </c>
      <c r="G746" s="5" t="s">
        <v>2079</v>
      </c>
      <c r="H746" s="5" t="s">
        <v>2206</v>
      </c>
      <c r="I746" s="5" t="s">
        <v>2240</v>
      </c>
      <c r="J746" s="5" t="s">
        <v>2241</v>
      </c>
      <c r="K746" s="7" t="str">
        <f ca="1">IFERROR(__xludf.DUMMYFUNCTION("GOOGLETRANSLATE(H746,""EN"",""ES"")"),"CAMAS")</f>
        <v>CAMAS</v>
      </c>
      <c r="L746" s="5" t="str">
        <f ca="1">IFERROR(__xludf.DUMMYFUNCTION("GOOGLETRANSLATE(J746,""EN"",""ES"")"),"Camas altas")</f>
        <v>Camas altas</v>
      </c>
      <c r="M746" s="8" t="s">
        <v>13</v>
      </c>
      <c r="N746" t="s">
        <v>13</v>
      </c>
    </row>
    <row r="747" spans="1:14" ht="11.25" customHeight="1">
      <c r="A747" s="5" t="s">
        <v>2074</v>
      </c>
      <c r="B747" s="5" t="s">
        <v>2204</v>
      </c>
      <c r="C747" s="5" t="s">
        <v>2242</v>
      </c>
      <c r="D747" s="5" t="s">
        <v>2077</v>
      </c>
      <c r="E747" s="5" t="s">
        <v>14</v>
      </c>
      <c r="F747" s="5" t="s">
        <v>2078</v>
      </c>
      <c r="G747" s="5" t="s">
        <v>2079</v>
      </c>
      <c r="H747" s="5" t="s">
        <v>2206</v>
      </c>
      <c r="I747" s="5" t="s">
        <v>2243</v>
      </c>
      <c r="J747" s="5" t="s">
        <v>2244</v>
      </c>
      <c r="K747" s="7" t="str">
        <f ca="1">IFERROR(__xludf.DUMMYFUNCTION("GOOGLETRANSLATE(H747,""EN"",""ES"")"),"CAMAS")</f>
        <v>CAMAS</v>
      </c>
      <c r="L747" s="5" t="str">
        <f ca="1">IFERROR(__xludf.DUMMYFUNCTION("GOOGLETRANSLATE(J747,""EN"",""ES"")"),"Camas con parachoques")</f>
        <v>Camas con parachoques</v>
      </c>
      <c r="M747" s="8" t="s">
        <v>13</v>
      </c>
      <c r="N747" t="s">
        <v>13</v>
      </c>
    </row>
    <row r="748" spans="1:14" ht="11.25" customHeight="1">
      <c r="A748" s="5" t="s">
        <v>2074</v>
      </c>
      <c r="B748" s="5" t="s">
        <v>2245</v>
      </c>
      <c r="C748" s="5" t="s">
        <v>2246</v>
      </c>
      <c r="D748" s="5" t="s">
        <v>2077</v>
      </c>
      <c r="E748" s="5" t="s">
        <v>14</v>
      </c>
      <c r="F748" s="5" t="s">
        <v>2078</v>
      </c>
      <c r="G748" s="5" t="s">
        <v>2079</v>
      </c>
      <c r="H748" s="5" t="s">
        <v>2247</v>
      </c>
      <c r="I748" s="5" t="s">
        <v>2248</v>
      </c>
      <c r="J748" s="5" t="s">
        <v>2249</v>
      </c>
      <c r="K748" s="7" t="str">
        <f ca="1">IFERROR(__xludf.DUMMYFUNCTION("GOOGLETRANSLATE(H748,""EN"",""ES"")"),"MESAS Y MUEBLES SIMILARES")</f>
        <v>MESAS Y MUEBLES SIMILARES</v>
      </c>
      <c r="L748" s="5" t="str">
        <f ca="1">IFERROR(__xludf.DUMMYFUNCTION("GOOGLETRANSLATE(J748,""EN"",""ES"")"),"Escritorios")</f>
        <v>Escritorios</v>
      </c>
      <c r="M748" s="8" t="s">
        <v>13</v>
      </c>
      <c r="N748" t="s">
        <v>20</v>
      </c>
    </row>
    <row r="749" spans="1:14" ht="11.25" customHeight="1">
      <c r="A749" s="5" t="s">
        <v>2074</v>
      </c>
      <c r="B749" s="5" t="s">
        <v>2245</v>
      </c>
      <c r="C749" s="5" t="s">
        <v>2246</v>
      </c>
      <c r="D749" s="5" t="s">
        <v>2077</v>
      </c>
      <c r="E749" s="5" t="s">
        <v>14</v>
      </c>
      <c r="F749" s="5" t="s">
        <v>2078</v>
      </c>
      <c r="G749" s="5" t="s">
        <v>2079</v>
      </c>
      <c r="H749" s="5" t="s">
        <v>2247</v>
      </c>
      <c r="I749" s="5" t="s">
        <v>2250</v>
      </c>
      <c r="J749" s="5" t="s">
        <v>2251</v>
      </c>
      <c r="K749" s="7" t="str">
        <f ca="1">IFERROR(__xludf.DUMMYFUNCTION("GOOGLETRANSLATE(H749,""EN"",""ES"")"),"MESAS Y MUEBLES SIMILARES")</f>
        <v>MESAS Y MUEBLES SIMILARES</v>
      </c>
      <c r="L749" s="5" t="str">
        <f ca="1">IFERROR(__xludf.DUMMYFUNCTION("GOOGLETRANSLATE(J749,""EN"",""ES"")"),"Escritorios [muebles]")</f>
        <v>Escritorios [muebles]</v>
      </c>
      <c r="M749" s="8" t="s">
        <v>13</v>
      </c>
      <c r="N749" t="s">
        <v>20</v>
      </c>
    </row>
    <row r="750" spans="1:14" ht="11.25" customHeight="1">
      <c r="A750" s="5" t="s">
        <v>2074</v>
      </c>
      <c r="B750" s="5" t="s">
        <v>2245</v>
      </c>
      <c r="C750" s="5" t="s">
        <v>2252</v>
      </c>
      <c r="D750" s="5" t="s">
        <v>2077</v>
      </c>
      <c r="E750" s="5" t="s">
        <v>14</v>
      </c>
      <c r="F750" s="5" t="s">
        <v>2078</v>
      </c>
      <c r="G750" s="5" t="s">
        <v>2079</v>
      </c>
      <c r="H750" s="5" t="s">
        <v>2247</v>
      </c>
      <c r="I750" s="5" t="s">
        <v>2253</v>
      </c>
      <c r="J750" s="5" t="s">
        <v>2254</v>
      </c>
      <c r="K750" s="7" t="str">
        <f ca="1">IFERROR(__xludf.DUMMYFUNCTION("GOOGLETRANSLATE(H750,""EN"",""ES"")"),"MESAS Y MUEBLES SIMILARES")</f>
        <v>MESAS Y MUEBLES SIMILARES</v>
      </c>
      <c r="L750" s="5" t="str">
        <f ca="1">IFERROR(__xludf.DUMMYFUNCTION("GOOGLETRANSLATE(J750,""EN"",""ES"")"),"Contadores [tablas]")</f>
        <v>Contadores [tablas]</v>
      </c>
      <c r="M750" s="8" t="s">
        <v>13</v>
      </c>
      <c r="N750" t="s">
        <v>13</v>
      </c>
    </row>
    <row r="751" spans="1:14" ht="11.25" customHeight="1">
      <c r="A751" s="5" t="s">
        <v>2074</v>
      </c>
      <c r="B751" s="5" t="s">
        <v>2245</v>
      </c>
      <c r="C751" s="5" t="s">
        <v>2255</v>
      </c>
      <c r="D751" s="5" t="s">
        <v>2077</v>
      </c>
      <c r="E751" s="5" t="s">
        <v>14</v>
      </c>
      <c r="F751" s="5" t="s">
        <v>2078</v>
      </c>
      <c r="G751" s="5" t="s">
        <v>2079</v>
      </c>
      <c r="H751" s="5" t="s">
        <v>2247</v>
      </c>
      <c r="I751" s="5" t="s">
        <v>2256</v>
      </c>
      <c r="J751" s="5" t="s">
        <v>2257</v>
      </c>
      <c r="K751" s="7" t="str">
        <f ca="1">IFERROR(__xludf.DUMMYFUNCTION("GOOGLETRANSLATE(H751,""EN"",""ES"")"),"MESAS Y MUEBLES SIMILARES")</f>
        <v>MESAS Y MUEBLES SIMILARES</v>
      </c>
      <c r="L751" s="5" t="str">
        <f ca="1">IFERROR(__xludf.DUMMYFUNCTION("GOOGLETRANSLATE(J751,""EN"",""ES"")"),"Carros de servicio")</f>
        <v>Carros de servicio</v>
      </c>
      <c r="M751" s="8" t="s">
        <v>13</v>
      </c>
      <c r="N751" t="s">
        <v>19</v>
      </c>
    </row>
    <row r="752" spans="1:14" ht="11.25" customHeight="1">
      <c r="A752" s="5" t="s">
        <v>2074</v>
      </c>
      <c r="B752" s="5" t="s">
        <v>2245</v>
      </c>
      <c r="C752" s="5" t="s">
        <v>2258</v>
      </c>
      <c r="D752" s="5" t="s">
        <v>2077</v>
      </c>
      <c r="E752" s="5" t="s">
        <v>14</v>
      </c>
      <c r="F752" s="5" t="s">
        <v>2078</v>
      </c>
      <c r="G752" s="5" t="s">
        <v>2079</v>
      </c>
      <c r="H752" s="5" t="s">
        <v>2247</v>
      </c>
      <c r="I752" s="5" t="s">
        <v>2259</v>
      </c>
      <c r="J752" s="5" t="s">
        <v>2260</v>
      </c>
      <c r="K752" s="7" t="str">
        <f ca="1">IFERROR(__xludf.DUMMYFUNCTION("GOOGLETRANSLATE(H752,""EN"",""ES"")"),"MESAS Y MUEBLES SIMILARES")</f>
        <v>MESAS Y MUEBLES SIMILARES</v>
      </c>
      <c r="L752" s="5" t="str">
        <f ca="1">IFERROR(__xludf.DUMMYFUNCTION("GOOGLETRANSLATE(J752,""EN"",""ES"")"),"Mesas pedestal")</f>
        <v>Mesas pedestal</v>
      </c>
      <c r="M752" s="8" t="s">
        <v>13</v>
      </c>
      <c r="N752" t="s">
        <v>13</v>
      </c>
    </row>
    <row r="753" spans="1:14" ht="11.25" customHeight="1">
      <c r="A753" s="5" t="s">
        <v>2074</v>
      </c>
      <c r="B753" s="5" t="s">
        <v>2245</v>
      </c>
      <c r="C753" s="5" t="s">
        <v>2261</v>
      </c>
      <c r="D753" s="5" t="s">
        <v>2077</v>
      </c>
      <c r="E753" s="5" t="s">
        <v>14</v>
      </c>
      <c r="F753" s="5" t="s">
        <v>2078</v>
      </c>
      <c r="G753" s="5" t="s">
        <v>2079</v>
      </c>
      <c r="H753" s="5" t="s">
        <v>2247</v>
      </c>
      <c r="I753" s="5" t="s">
        <v>2262</v>
      </c>
      <c r="J753" s="5" t="s">
        <v>2262</v>
      </c>
      <c r="K753" s="7" t="str">
        <f ca="1">IFERROR(__xludf.DUMMYFUNCTION("GOOGLETRANSLATE(H753,""EN"",""ES"")"),"MESAS Y MUEBLES SIMILARES")</f>
        <v>MESAS Y MUEBLES SIMILARES</v>
      </c>
      <c r="L753" s="5" t="str">
        <f ca="1">IFERROR(__xludf.DUMMYFUNCTION("GOOGLETRANSLATE(J753,""EN"",""ES"")"),"Mesas")</f>
        <v>Mesas</v>
      </c>
      <c r="M753" s="8" t="s">
        <v>13</v>
      </c>
      <c r="N753" t="s">
        <v>13</v>
      </c>
    </row>
    <row r="754" spans="1:14" ht="11.25" customHeight="1">
      <c r="A754" s="5" t="s">
        <v>2074</v>
      </c>
      <c r="B754" s="5" t="s">
        <v>2245</v>
      </c>
      <c r="C754" s="5" t="s">
        <v>2263</v>
      </c>
      <c r="D754" s="5" t="s">
        <v>2077</v>
      </c>
      <c r="E754" s="5" t="s">
        <v>14</v>
      </c>
      <c r="F754" s="5" t="s">
        <v>2078</v>
      </c>
      <c r="G754" s="5" t="s">
        <v>2079</v>
      </c>
      <c r="H754" s="5" t="s">
        <v>2247</v>
      </c>
      <c r="I754" s="5" t="s">
        <v>2264</v>
      </c>
      <c r="J754" s="5" t="s">
        <v>2265</v>
      </c>
      <c r="K754" s="7" t="str">
        <f ca="1">IFERROR(__xludf.DUMMYFUNCTION("GOOGLETRANSLATE(H754,""EN"",""ES"")"),"MESAS Y MUEBLES SIMILARES")</f>
        <v>MESAS Y MUEBLES SIMILARES</v>
      </c>
      <c r="L754" s="5" t="str">
        <f ca="1">IFERROR(__xludf.DUMMYFUNCTION("GOOGLETRANSLATE(J754,""EN"",""ES"")"),"mesas para cambiar pañales")</f>
        <v>mesas para cambiar pañales</v>
      </c>
      <c r="M754" s="8" t="s">
        <v>13</v>
      </c>
      <c r="N754" t="s">
        <v>13</v>
      </c>
    </row>
    <row r="755" spans="1:14" ht="11.25" customHeight="1">
      <c r="A755" s="5" t="s">
        <v>2074</v>
      </c>
      <c r="B755" s="5" t="s">
        <v>2245</v>
      </c>
      <c r="C755" s="5" t="s">
        <v>2266</v>
      </c>
      <c r="D755" s="5" t="s">
        <v>2077</v>
      </c>
      <c r="E755" s="5" t="s">
        <v>14</v>
      </c>
      <c r="F755" s="5" t="s">
        <v>2078</v>
      </c>
      <c r="G755" s="5" t="s">
        <v>2079</v>
      </c>
      <c r="H755" s="5" t="s">
        <v>2247</v>
      </c>
      <c r="I755" s="5" t="s">
        <v>2267</v>
      </c>
      <c r="J755" s="5" t="s">
        <v>2268</v>
      </c>
      <c r="K755" s="7" t="str">
        <f ca="1">IFERROR(__xludf.DUMMYFUNCTION("GOOGLETRANSLATE(H755,""EN"",""ES"")"),"MESAS Y MUEBLES SIMILARES")</f>
        <v>MESAS Y MUEBLES SIMILARES</v>
      </c>
      <c r="L755" s="5" t="str">
        <f ca="1">IFERROR(__xludf.DUMMYFUNCTION("GOOGLETRANSLATE(J755,""EN"",""ES"")"),"Mesas de noche para los enfermos")</f>
        <v>Mesas de noche para los enfermos</v>
      </c>
      <c r="M755" s="8" t="s">
        <v>13</v>
      </c>
      <c r="N755" t="s">
        <v>13</v>
      </c>
    </row>
    <row r="756" spans="1:14" ht="11.25" customHeight="1">
      <c r="A756" s="5" t="s">
        <v>2074</v>
      </c>
      <c r="B756" s="5" t="s">
        <v>2245</v>
      </c>
      <c r="C756" s="5" t="s">
        <v>2269</v>
      </c>
      <c r="D756" s="5" t="s">
        <v>2077</v>
      </c>
      <c r="E756" s="5" t="s">
        <v>14</v>
      </c>
      <c r="F756" s="5" t="s">
        <v>2078</v>
      </c>
      <c r="G756" s="5" t="s">
        <v>2079</v>
      </c>
      <c r="H756" s="5" t="s">
        <v>2247</v>
      </c>
      <c r="I756" s="5" t="s">
        <v>2270</v>
      </c>
      <c r="J756" s="5" t="s">
        <v>2271</v>
      </c>
      <c r="K756" s="7" t="str">
        <f ca="1">IFERROR(__xludf.DUMMYFUNCTION("GOOGLETRANSLATE(H756,""EN"",""ES"")"),"MESAS Y MUEBLES SIMILARES")</f>
        <v>MESAS Y MUEBLES SIMILARES</v>
      </c>
      <c r="L756" s="5" t="str">
        <f ca="1">IFERROR(__xludf.DUMMYFUNCTION("GOOGLETRANSLATE(J756,""EN"",""ES"")"),"mesas escolares")</f>
        <v>mesas escolares</v>
      </c>
      <c r="M756" s="8" t="s">
        <v>13</v>
      </c>
      <c r="N756" t="s">
        <v>13</v>
      </c>
    </row>
    <row r="757" spans="1:14" ht="11.25" customHeight="1">
      <c r="A757" s="5" t="s">
        <v>2074</v>
      </c>
      <c r="B757" s="5" t="s">
        <v>2245</v>
      </c>
      <c r="C757" s="5" t="s">
        <v>2272</v>
      </c>
      <c r="D757" s="5" t="s">
        <v>2077</v>
      </c>
      <c r="E757" s="5" t="s">
        <v>14</v>
      </c>
      <c r="F757" s="5" t="s">
        <v>2078</v>
      </c>
      <c r="G757" s="5" t="s">
        <v>2079</v>
      </c>
      <c r="H757" s="5" t="s">
        <v>2247</v>
      </c>
      <c r="I757" s="5" t="s">
        <v>2273</v>
      </c>
      <c r="J757" s="5" t="s">
        <v>2274</v>
      </c>
      <c r="K757" s="7" t="str">
        <f ca="1">IFERROR(__xludf.DUMMYFUNCTION("GOOGLETRANSLATE(H757,""EN"",""ES"")"),"MESAS Y MUEBLES SIMILARES")</f>
        <v>MESAS Y MUEBLES SIMILARES</v>
      </c>
      <c r="L757" s="5" t="str">
        <f ca="1">IFERROR(__xludf.DUMMYFUNCTION("GOOGLETRANSLATE(J757,""EN"",""ES"")"),"Mesas consola")</f>
        <v>Mesas consola</v>
      </c>
      <c r="M757" s="8" t="s">
        <v>13</v>
      </c>
      <c r="N757" t="s">
        <v>13</v>
      </c>
    </row>
    <row r="758" spans="1:14" ht="11.25" customHeight="1">
      <c r="A758" s="5" t="s">
        <v>2074</v>
      </c>
      <c r="B758" s="5" t="s">
        <v>2245</v>
      </c>
      <c r="C758" s="5" t="s">
        <v>2275</v>
      </c>
      <c r="D758" s="5" t="s">
        <v>2077</v>
      </c>
      <c r="E758" s="5" t="s">
        <v>14</v>
      </c>
      <c r="F758" s="5" t="s">
        <v>2078</v>
      </c>
      <c r="G758" s="5" t="s">
        <v>2079</v>
      </c>
      <c r="H758" s="5" t="s">
        <v>2247</v>
      </c>
      <c r="I758" s="5" t="s">
        <v>2276</v>
      </c>
      <c r="J758" s="5" t="s">
        <v>2277</v>
      </c>
      <c r="K758" s="7" t="str">
        <f ca="1">IFERROR(__xludf.DUMMYFUNCTION("GOOGLETRANSLATE(H758,""EN"",""ES"")"),"MESAS Y MUEBLES SIMILARES")</f>
        <v>MESAS Y MUEBLES SIMILARES</v>
      </c>
      <c r="L758" s="5" t="str">
        <f ca="1">IFERROR(__xludf.DUMMYFUNCTION("GOOGLETRANSLATE(J758,""EN"",""ES"")"),"Bancos de trabajo")</f>
        <v>Bancos de trabajo</v>
      </c>
      <c r="M758" s="8" t="s">
        <v>13</v>
      </c>
      <c r="N758" t="s">
        <v>13</v>
      </c>
    </row>
    <row r="759" spans="1:14" ht="11.25" customHeight="1">
      <c r="A759" s="5" t="s">
        <v>2074</v>
      </c>
      <c r="B759" s="5" t="s">
        <v>2245</v>
      </c>
      <c r="C759" s="5" t="s">
        <v>2278</v>
      </c>
      <c r="D759" s="5" t="s">
        <v>2077</v>
      </c>
      <c r="E759" s="5" t="s">
        <v>14</v>
      </c>
      <c r="F759" s="5" t="s">
        <v>2078</v>
      </c>
      <c r="G759" s="5" t="s">
        <v>2079</v>
      </c>
      <c r="H759" s="5" t="s">
        <v>2247</v>
      </c>
      <c r="I759" s="5" t="s">
        <v>2279</v>
      </c>
      <c r="J759" s="5" t="s">
        <v>2280</v>
      </c>
      <c r="K759" s="7" t="str">
        <f ca="1">IFERROR(__xludf.DUMMYFUNCTION("GOOGLETRANSLATE(H759,""EN"",""ES"")"),"MESAS Y MUEBLES SIMILARES")</f>
        <v>MESAS Y MUEBLES SIMILARES</v>
      </c>
      <c r="L759" s="5" t="str">
        <f ca="1">IFERROR(__xludf.DUMMYFUNCTION("GOOGLETRANSLATE(J759,""EN"",""ES"")"),"Altares")</f>
        <v>Altares</v>
      </c>
      <c r="M759" s="8" t="s">
        <v>13</v>
      </c>
      <c r="N759" t="s">
        <v>17</v>
      </c>
    </row>
    <row r="760" spans="1:14" ht="11.25" customHeight="1">
      <c r="A760" s="5" t="s">
        <v>2074</v>
      </c>
      <c r="B760" s="5" t="s">
        <v>2245</v>
      </c>
      <c r="C760" s="5" t="s">
        <v>2281</v>
      </c>
      <c r="D760" s="5" t="s">
        <v>2077</v>
      </c>
      <c r="E760" s="5" t="s">
        <v>14</v>
      </c>
      <c r="F760" s="5" t="s">
        <v>2078</v>
      </c>
      <c r="G760" s="5" t="s">
        <v>2079</v>
      </c>
      <c r="H760" s="5" t="s">
        <v>2247</v>
      </c>
      <c r="I760" s="5" t="s">
        <v>2282</v>
      </c>
      <c r="J760" s="5" t="s">
        <v>2283</v>
      </c>
      <c r="K760" s="7" t="str">
        <f ca="1">IFERROR(__xludf.DUMMYFUNCTION("GOOGLETRANSLATE(H760,""EN"",""ES"")"),"MESAS Y MUEBLES SIMILARES")</f>
        <v>MESAS Y MUEBLES SIMILARES</v>
      </c>
      <c r="L760" s="5" t="str">
        <f ca="1">IFERROR(__xludf.DUMMYFUNCTION("GOOGLETRANSLATE(J760,""EN"",""ES"")"),"Pupitres escolares")</f>
        <v>Pupitres escolares</v>
      </c>
      <c r="M760" s="8" t="s">
        <v>13</v>
      </c>
      <c r="N760" t="s">
        <v>13</v>
      </c>
    </row>
    <row r="761" spans="1:14" ht="11.25" customHeight="1">
      <c r="A761" s="5" t="s">
        <v>2074</v>
      </c>
      <c r="B761" s="5" t="s">
        <v>2245</v>
      </c>
      <c r="C761" s="5" t="s">
        <v>2284</v>
      </c>
      <c r="D761" s="5" t="s">
        <v>2077</v>
      </c>
      <c r="E761" s="5" t="s">
        <v>14</v>
      </c>
      <c r="F761" s="5" t="s">
        <v>2078</v>
      </c>
      <c r="G761" s="5" t="s">
        <v>2079</v>
      </c>
      <c r="H761" s="5" t="s">
        <v>2247</v>
      </c>
      <c r="I761" s="5" t="s">
        <v>2285</v>
      </c>
      <c r="J761" s="5" t="s">
        <v>2286</v>
      </c>
      <c r="K761" s="7" t="str">
        <f ca="1">IFERROR(__xludf.DUMMYFUNCTION("GOOGLETRANSLATE(H761,""EN"",""ES"")"),"MESAS Y MUEBLES SIMILARES")</f>
        <v>MESAS Y MUEBLES SIMILARES</v>
      </c>
      <c r="L761" s="5" t="str">
        <f ca="1">IFERROR(__xludf.DUMMYFUNCTION("GOOGLETRANSLATE(J761,""EN"",""ES"")"),"Mesas de trabajo [mesas de costura]")</f>
        <v>Mesas de trabajo [mesas de costura]</v>
      </c>
      <c r="M761" s="8" t="s">
        <v>13</v>
      </c>
      <c r="N761" t="s">
        <v>13</v>
      </c>
    </row>
    <row r="762" spans="1:14" ht="11.25" customHeight="1">
      <c r="A762" s="5" t="s">
        <v>2074</v>
      </c>
      <c r="B762" s="5" t="s">
        <v>2245</v>
      </c>
      <c r="C762" s="5" t="s">
        <v>2284</v>
      </c>
      <c r="D762" s="5" t="s">
        <v>2077</v>
      </c>
      <c r="E762" s="5" t="s">
        <v>14</v>
      </c>
      <c r="F762" s="5" t="s">
        <v>2078</v>
      </c>
      <c r="G762" s="5" t="s">
        <v>2079</v>
      </c>
      <c r="H762" s="5" t="s">
        <v>2247</v>
      </c>
      <c r="I762" s="5" t="s">
        <v>152</v>
      </c>
      <c r="J762" s="5" t="s">
        <v>2287</v>
      </c>
      <c r="K762" s="7" t="str">
        <f ca="1">IFERROR(__xludf.DUMMYFUNCTION("GOOGLETRANSLATE(H762,""EN"",""ES"")"),"MESAS Y MUEBLES SIMILARES")</f>
        <v>MESAS Y MUEBLES SIMILARES</v>
      </c>
      <c r="L762" s="5" t="str">
        <f ca="1">IFERROR(__xludf.DUMMYFUNCTION("GOOGLETRANSLATE(J762,""EN"",""ES"")"),"N / A")</f>
        <v>N / A</v>
      </c>
      <c r="M762" s="8" t="s">
        <v>13</v>
      </c>
      <c r="N762" t="s">
        <v>13</v>
      </c>
    </row>
    <row r="763" spans="1:14" ht="11.25" customHeight="1">
      <c r="A763" s="5" t="s">
        <v>2074</v>
      </c>
      <c r="B763" s="5" t="s">
        <v>2245</v>
      </c>
      <c r="C763" s="5" t="s">
        <v>2288</v>
      </c>
      <c r="D763" s="5" t="s">
        <v>2077</v>
      </c>
      <c r="E763" s="5" t="s">
        <v>14</v>
      </c>
      <c r="F763" s="5" t="s">
        <v>2078</v>
      </c>
      <c r="G763" s="5" t="s">
        <v>2079</v>
      </c>
      <c r="H763" s="5" t="s">
        <v>2247</v>
      </c>
      <c r="I763" s="5" t="s">
        <v>2289</v>
      </c>
      <c r="J763" s="5" t="s">
        <v>2290</v>
      </c>
      <c r="K763" s="7" t="str">
        <f ca="1">IFERROR(__xludf.DUMMYFUNCTION("GOOGLETRANSLATE(H763,""EN"",""ES"")"),"MESAS Y MUEBLES SIMILARES")</f>
        <v>MESAS Y MUEBLES SIMILARES</v>
      </c>
      <c r="L763" s="5" t="str">
        <f ca="1">IFERROR(__xludf.DUMMYFUNCTION("GOOGLETRANSLATE(J763,""EN"",""ES"")"),"Mesas de caballete")</f>
        <v>Mesas de caballete</v>
      </c>
      <c r="M763" s="8" t="s">
        <v>13</v>
      </c>
      <c r="N763" t="s">
        <v>13</v>
      </c>
    </row>
    <row r="764" spans="1:14" ht="11.25" customHeight="1">
      <c r="A764" s="5" t="s">
        <v>2074</v>
      </c>
      <c r="B764" s="5" t="s">
        <v>2245</v>
      </c>
      <c r="C764" s="5" t="s">
        <v>2291</v>
      </c>
      <c r="D764" s="5" t="s">
        <v>2077</v>
      </c>
      <c r="E764" s="5" t="s">
        <v>14</v>
      </c>
      <c r="F764" s="5" t="s">
        <v>2078</v>
      </c>
      <c r="G764" s="5" t="s">
        <v>2079</v>
      </c>
      <c r="H764" s="5" t="s">
        <v>2247</v>
      </c>
      <c r="I764" s="5" t="s">
        <v>2292</v>
      </c>
      <c r="J764" s="5" t="s">
        <v>2293</v>
      </c>
      <c r="K764" s="7" t="str">
        <f ca="1">IFERROR(__xludf.DUMMYFUNCTION("GOOGLETRANSLATE(H764,""EN"",""ES"")"),"MESAS Y MUEBLES SIMILARES")</f>
        <v>MESAS Y MUEBLES SIMILARES</v>
      </c>
      <c r="L764" s="5" t="str">
        <f ca="1">IFERROR(__xludf.DUMMYFUNCTION("GOOGLETRANSLATE(J764,""EN"",""ES"")"),"Mesas de dibujo")</f>
        <v>Mesas de dibujo</v>
      </c>
      <c r="M764" s="8" t="s">
        <v>13</v>
      </c>
      <c r="N764" t="s">
        <v>20</v>
      </c>
    </row>
    <row r="765" spans="1:14" ht="11.25" customHeight="1">
      <c r="A765" s="5" t="s">
        <v>2074</v>
      </c>
      <c r="B765" s="5" t="s">
        <v>2245</v>
      </c>
      <c r="C765" s="5" t="s">
        <v>2294</v>
      </c>
      <c r="D765" s="5" t="s">
        <v>2077</v>
      </c>
      <c r="E765" s="5" t="s">
        <v>14</v>
      </c>
      <c r="F765" s="5" t="s">
        <v>2078</v>
      </c>
      <c r="G765" s="5" t="s">
        <v>2079</v>
      </c>
      <c r="H765" s="5" t="s">
        <v>2247</v>
      </c>
      <c r="I765" s="5" t="s">
        <v>2295</v>
      </c>
      <c r="J765" s="5" t="s">
        <v>2296</v>
      </c>
      <c r="K765" s="7" t="str">
        <f ca="1">IFERROR(__xludf.DUMMYFUNCTION("GOOGLETRANSLATE(H765,""EN"",""ES"")"),"MESAS Y MUEBLES SIMILARES")</f>
        <v>MESAS Y MUEBLES SIMILARES</v>
      </c>
      <c r="L765" s="5" t="str">
        <f ca="1">IFERROR(__xludf.DUMMYFUNCTION("GOOGLETRANSLATE(J765,""EN"",""ES"")"),"Mesas de laboratorio")</f>
        <v>Mesas de laboratorio</v>
      </c>
      <c r="M765" s="8" t="s">
        <v>13</v>
      </c>
      <c r="N765" t="s">
        <v>20</v>
      </c>
    </row>
    <row r="766" spans="1:14" ht="11.25" customHeight="1">
      <c r="A766" s="5" t="s">
        <v>2074</v>
      </c>
      <c r="B766" s="5" t="s">
        <v>2245</v>
      </c>
      <c r="C766" s="5" t="s">
        <v>2297</v>
      </c>
      <c r="D766" s="5" t="s">
        <v>2077</v>
      </c>
      <c r="E766" s="5" t="s">
        <v>14</v>
      </c>
      <c r="F766" s="5" t="s">
        <v>2078</v>
      </c>
      <c r="G766" s="5" t="s">
        <v>2079</v>
      </c>
      <c r="H766" s="5" t="s">
        <v>2247</v>
      </c>
      <c r="I766" s="5" t="s">
        <v>2298</v>
      </c>
      <c r="J766" s="5" t="s">
        <v>2299</v>
      </c>
      <c r="K766" s="7" t="str">
        <f ca="1">IFERROR(__xludf.DUMMYFUNCTION("GOOGLETRANSLATE(H766,""EN"",""ES"")"),"MESAS Y MUEBLES SIMILARES")</f>
        <v>MESAS Y MUEBLES SIMILARES</v>
      </c>
      <c r="L766" s="5" t="str">
        <f ca="1">IFERROR(__xludf.DUMMYFUNCTION("GOOGLETRANSLATE(J766,""EN"",""ES"")"),"Mesitas de noche")</f>
        <v>Mesitas de noche</v>
      </c>
      <c r="M766" s="8" t="s">
        <v>13</v>
      </c>
      <c r="N766" t="s">
        <v>13</v>
      </c>
    </row>
    <row r="767" spans="1:14" ht="11.25" customHeight="1">
      <c r="A767" s="5" t="s">
        <v>2074</v>
      </c>
      <c r="B767" s="5" t="s">
        <v>2245</v>
      </c>
      <c r="C767" s="5" t="s">
        <v>2300</v>
      </c>
      <c r="D767" s="5" t="s">
        <v>2077</v>
      </c>
      <c r="E767" s="5" t="s">
        <v>14</v>
      </c>
      <c r="F767" s="5" t="s">
        <v>2078</v>
      </c>
      <c r="G767" s="5" t="s">
        <v>2079</v>
      </c>
      <c r="H767" s="5" t="s">
        <v>2247</v>
      </c>
      <c r="I767" s="5" t="s">
        <v>2301</v>
      </c>
      <c r="J767" s="5" t="s">
        <v>2302</v>
      </c>
      <c r="K767" s="7" t="str">
        <f ca="1">IFERROR(__xludf.DUMMYFUNCTION("GOOGLETRANSLATE(H767,""EN"",""ES"")"),"MESAS Y MUEBLES SIMILARES")</f>
        <v>MESAS Y MUEBLES SIMILARES</v>
      </c>
      <c r="L767" s="5" t="str">
        <f ca="1">IFERROR(__xludf.DUMMYFUNCTION("GOOGLETRANSLATE(J767,""EN"",""ES"")"),"Mesas plegables")</f>
        <v>Mesas plegables</v>
      </c>
      <c r="M767" s="8" t="s">
        <v>13</v>
      </c>
      <c r="N767" t="s">
        <v>16</v>
      </c>
    </row>
    <row r="768" spans="1:14" ht="11.25" customHeight="1">
      <c r="A768" s="5" t="s">
        <v>2074</v>
      </c>
      <c r="B768" s="5" t="s">
        <v>2245</v>
      </c>
      <c r="C768" s="5" t="s">
        <v>2303</v>
      </c>
      <c r="D768" s="5" t="s">
        <v>2077</v>
      </c>
      <c r="E768" s="5" t="s">
        <v>14</v>
      </c>
      <c r="F768" s="5" t="s">
        <v>2078</v>
      </c>
      <c r="G768" s="5" t="s">
        <v>2079</v>
      </c>
      <c r="H768" s="5" t="s">
        <v>2247</v>
      </c>
      <c r="I768" s="5" t="s">
        <v>2304</v>
      </c>
      <c r="J768" s="5" t="s">
        <v>2305</v>
      </c>
      <c r="K768" s="7" t="str">
        <f ca="1">IFERROR(__xludf.DUMMYFUNCTION("GOOGLETRANSLATE(H768,""EN"",""ES"")"),"MESAS Y MUEBLES SIMILARES")</f>
        <v>MESAS Y MUEBLES SIMILARES</v>
      </c>
      <c r="L768" s="5" t="str">
        <f ca="1">IFERROR(__xludf.DUMMYFUNCTION("GOOGLETRANSLATE(J768,""EN"",""ES"")"),"Mesas para terminales de ordenador.")</f>
        <v>Mesas para terminales de ordenador.</v>
      </c>
      <c r="M768" s="8" t="s">
        <v>13</v>
      </c>
      <c r="N768" t="s">
        <v>20</v>
      </c>
    </row>
    <row r="769" spans="1:14" ht="11.25" customHeight="1">
      <c r="A769" s="5" t="s">
        <v>2074</v>
      </c>
      <c r="B769" s="5" t="s">
        <v>2245</v>
      </c>
      <c r="C769" s="5" t="s">
        <v>2306</v>
      </c>
      <c r="D769" s="5" t="s">
        <v>2077</v>
      </c>
      <c r="E769" s="5" t="s">
        <v>14</v>
      </c>
      <c r="F769" s="5" t="s">
        <v>2078</v>
      </c>
      <c r="G769" s="5" t="s">
        <v>2079</v>
      </c>
      <c r="H769" s="5" t="s">
        <v>2247</v>
      </c>
      <c r="I769" s="5" t="s">
        <v>2307</v>
      </c>
      <c r="J769" s="5" t="s">
        <v>2308</v>
      </c>
      <c r="K769" s="7" t="str">
        <f ca="1">IFERROR(__xludf.DUMMYFUNCTION("GOOGLETRANSLATE(H769,""EN"",""ES"")"),"MESAS Y MUEBLES SIMILARES")</f>
        <v>MESAS Y MUEBLES SIMILARES</v>
      </c>
      <c r="L769" s="5" t="str">
        <f ca="1">IFERROR(__xludf.DUMMYFUNCTION("GOOGLETRANSLATE(J769,""EN"",""ES"")"),"Nidos de mesas")</f>
        <v>Nidos de mesas</v>
      </c>
      <c r="M769" s="8" t="s">
        <v>13</v>
      </c>
      <c r="N769" s="8" t="s">
        <v>13</v>
      </c>
    </row>
    <row r="770" spans="1:14" ht="11.25" customHeight="1">
      <c r="A770" s="5" t="s">
        <v>2074</v>
      </c>
      <c r="B770" s="5" t="s">
        <v>2245</v>
      </c>
      <c r="C770" s="5" t="s">
        <v>2309</v>
      </c>
      <c r="D770" s="5" t="s">
        <v>2077</v>
      </c>
      <c r="E770" s="5" t="s">
        <v>14</v>
      </c>
      <c r="F770" s="5" t="s">
        <v>2078</v>
      </c>
      <c r="G770" s="5" t="s">
        <v>2079</v>
      </c>
      <c r="H770" s="5" t="s">
        <v>2247</v>
      </c>
      <c r="I770" s="5" t="s">
        <v>2310</v>
      </c>
      <c r="J770" s="5" t="s">
        <v>2311</v>
      </c>
      <c r="K770" s="7" t="str">
        <f ca="1">IFERROR(__xludf.DUMMYFUNCTION("GOOGLETRANSLATE(H770,""EN"",""ES"")"),"MESAS Y MUEBLES SIMILARES")</f>
        <v>MESAS Y MUEBLES SIMILARES</v>
      </c>
      <c r="L770" s="5" t="str">
        <f ca="1">IFERROR(__xludf.DUMMYFUNCTION("GOOGLETRANSLATE(J770,""EN"",""ES"")"),"Empapelar mesas")</f>
        <v>Empapelar mesas</v>
      </c>
      <c r="M770" s="8" t="s">
        <v>13</v>
      </c>
      <c r="N770" s="8" t="s">
        <v>13</v>
      </c>
    </row>
    <row r="771" spans="1:14" ht="11.25" customHeight="1">
      <c r="A771" s="5" t="s">
        <v>2074</v>
      </c>
      <c r="B771" s="5" t="s">
        <v>2245</v>
      </c>
      <c r="C771" s="5" t="s">
        <v>2312</v>
      </c>
      <c r="D771" s="5" t="s">
        <v>2077</v>
      </c>
      <c r="E771" s="5" t="s">
        <v>14</v>
      </c>
      <c r="F771" s="5" t="s">
        <v>2078</v>
      </c>
      <c r="G771" s="5" t="s">
        <v>2079</v>
      </c>
      <c r="H771" s="5" t="s">
        <v>2247</v>
      </c>
      <c r="I771" s="5" t="s">
        <v>2313</v>
      </c>
      <c r="J771" s="5" t="s">
        <v>2314</v>
      </c>
      <c r="K771" s="7" t="str">
        <f ca="1">IFERROR(__xludf.DUMMYFUNCTION("GOOGLETRANSLATE(H771,""EN"",""ES"")"),"MESAS Y MUEBLES SIMILARES")</f>
        <v>MESAS Y MUEBLES SIMILARES</v>
      </c>
      <c r="L771" s="5" t="str">
        <f ca="1">IFERROR(__xludf.DUMMYFUNCTION("GOOGLETRANSLATE(J771,""EN"",""ES"")"),"Mesas de oficina")</f>
        <v>Mesas de oficina</v>
      </c>
      <c r="M771" s="8" t="s">
        <v>13</v>
      </c>
      <c r="N771" t="s">
        <v>20</v>
      </c>
    </row>
    <row r="772" spans="1:14" ht="11.25" customHeight="1">
      <c r="A772" s="5" t="s">
        <v>2074</v>
      </c>
      <c r="B772" s="5" t="s">
        <v>2245</v>
      </c>
      <c r="C772" s="5" t="s">
        <v>2315</v>
      </c>
      <c r="D772" s="5" t="s">
        <v>2077</v>
      </c>
      <c r="E772" s="5" t="s">
        <v>14</v>
      </c>
      <c r="F772" s="5" t="s">
        <v>2078</v>
      </c>
      <c r="G772" s="5" t="s">
        <v>2079</v>
      </c>
      <c r="H772" s="5" t="s">
        <v>2247</v>
      </c>
      <c r="I772" s="5" t="s">
        <v>2316</v>
      </c>
      <c r="J772" s="5" t="s">
        <v>2317</v>
      </c>
      <c r="K772" s="7" t="str">
        <f ca="1">IFERROR(__xludf.DUMMYFUNCTION("GOOGLETRANSLATE(H772,""EN"",""ES"")"),"MESAS Y MUEBLES SIMILARES")</f>
        <v>MESAS Y MUEBLES SIMILARES</v>
      </c>
      <c r="L772" s="5" t="str">
        <f ca="1">IFERROR(__xludf.DUMMYFUNCTION("GOOGLETRANSLATE(J772,""EN"",""ES"")"),"Mesas de centro")</f>
        <v>Mesas de centro</v>
      </c>
      <c r="M772" s="8" t="s">
        <v>13</v>
      </c>
      <c r="N772" t="s">
        <v>13</v>
      </c>
    </row>
    <row r="773" spans="1:14" ht="11.25" customHeight="1">
      <c r="A773" s="5" t="s">
        <v>2074</v>
      </c>
      <c r="B773" s="5" t="s">
        <v>2245</v>
      </c>
      <c r="C773" s="5" t="s">
        <v>2318</v>
      </c>
      <c r="D773" s="5" t="s">
        <v>2077</v>
      </c>
      <c r="E773" s="5" t="s">
        <v>14</v>
      </c>
      <c r="F773" s="5" t="s">
        <v>2078</v>
      </c>
      <c r="G773" s="5" t="s">
        <v>2079</v>
      </c>
      <c r="H773" s="5" t="s">
        <v>2247</v>
      </c>
      <c r="I773" s="5" t="s">
        <v>2319</v>
      </c>
      <c r="J773" s="5" t="s">
        <v>2320</v>
      </c>
      <c r="K773" s="7" t="str">
        <f ca="1">IFERROR(__xludf.DUMMYFUNCTION("GOOGLETRANSLATE(H773,""EN"",""ES"")"),"MESAS Y MUEBLES SIMILARES")</f>
        <v>MESAS Y MUEBLES SIMILARES</v>
      </c>
      <c r="L773" s="5" t="str">
        <f ca="1">IFERROR(__xludf.DUMMYFUNCTION("GOOGLETRANSLATE(J773,""EN"",""ES"")"),"Mesas de comedor")</f>
        <v>Mesas de comedor</v>
      </c>
      <c r="M773" s="8" t="s">
        <v>13</v>
      </c>
      <c r="N773" t="s">
        <v>13</v>
      </c>
    </row>
    <row r="774" spans="1:14" ht="11.25" customHeight="1">
      <c r="A774" s="5" t="s">
        <v>2074</v>
      </c>
      <c r="B774" s="5" t="s">
        <v>2245</v>
      </c>
      <c r="C774" s="5" t="s">
        <v>2321</v>
      </c>
      <c r="D774" s="5" t="s">
        <v>2077</v>
      </c>
      <c r="E774" s="5" t="s">
        <v>14</v>
      </c>
      <c r="F774" s="5" t="s">
        <v>2078</v>
      </c>
      <c r="G774" s="5" t="s">
        <v>2079</v>
      </c>
      <c r="H774" s="5" t="s">
        <v>2247</v>
      </c>
      <c r="I774" s="5" t="s">
        <v>2322</v>
      </c>
      <c r="J774" s="5" t="s">
        <v>2323</v>
      </c>
      <c r="K774" s="7" t="str">
        <f ca="1">IFERROR(__xludf.DUMMYFUNCTION("GOOGLETRANSLATE(H774,""EN"",""ES"")"),"MESAS Y MUEBLES SIMILARES")</f>
        <v>MESAS Y MUEBLES SIMILARES</v>
      </c>
      <c r="L774" s="5" t="str">
        <f ca="1">IFERROR(__xludf.DUMMYFUNCTION("GOOGLETRANSLATE(J774,""EN"",""ES"")"),"Mesas auxiliares")</f>
        <v>Mesas auxiliares</v>
      </c>
      <c r="M774" s="8" t="s">
        <v>13</v>
      </c>
      <c r="N774" t="s">
        <v>13</v>
      </c>
    </row>
    <row r="775" spans="1:14" ht="11.25" customHeight="1">
      <c r="A775" s="5" t="s">
        <v>2074</v>
      </c>
      <c r="B775" s="5" t="s">
        <v>2324</v>
      </c>
      <c r="C775" s="5" t="s">
        <v>2325</v>
      </c>
      <c r="D775" s="5" t="s">
        <v>2077</v>
      </c>
      <c r="E775" s="5" t="s">
        <v>14</v>
      </c>
      <c r="F775" s="5" t="s">
        <v>2078</v>
      </c>
      <c r="G775" s="5" t="s">
        <v>2079</v>
      </c>
      <c r="H775" s="5" t="s">
        <v>2326</v>
      </c>
      <c r="I775" s="5" t="s">
        <v>2327</v>
      </c>
      <c r="J775" s="5" t="s">
        <v>2328</v>
      </c>
      <c r="K775" s="7" t="str">
        <f ca="1">IFERROR(__xludf.DUMMYFUNCTION("GOOGLETRANSLATE(H775,""EN"",""ES"")"),"MUEBLES DE ALMACENAJE")</f>
        <v>MUEBLES DE ALMACENAJE</v>
      </c>
      <c r="L775" s="5" t="str">
        <f ca="1">IFERROR(__xludf.DUMMYFUNCTION("GOOGLETRANSLATE(J775,""EN"",""ES"")"),"Estantes [muebles]")</f>
        <v>Estantes [muebles]</v>
      </c>
      <c r="M775" s="8" t="s">
        <v>13</v>
      </c>
      <c r="N775" t="s">
        <v>13</v>
      </c>
    </row>
    <row r="776" spans="1:14" ht="11.25" customHeight="1">
      <c r="A776" s="5" t="s">
        <v>2074</v>
      </c>
      <c r="B776" s="5" t="s">
        <v>2324</v>
      </c>
      <c r="C776" s="5" t="s">
        <v>2329</v>
      </c>
      <c r="D776" s="5" t="s">
        <v>2077</v>
      </c>
      <c r="E776" s="5" t="s">
        <v>14</v>
      </c>
      <c r="F776" s="5" t="s">
        <v>2078</v>
      </c>
      <c r="G776" s="5" t="s">
        <v>2079</v>
      </c>
      <c r="H776" s="5" t="s">
        <v>2326</v>
      </c>
      <c r="I776" s="5" t="s">
        <v>2330</v>
      </c>
      <c r="J776" s="5" t="s">
        <v>2331</v>
      </c>
      <c r="K776" s="7" t="str">
        <f ca="1">IFERROR(__xludf.DUMMYFUNCTION("GOOGLETRANSLATE(H776,""EN"",""ES"")"),"MUEBLES DE ALMACENAJE")</f>
        <v>MUEBLES DE ALMACENAJE</v>
      </c>
      <c r="L776" s="5" t="str">
        <f ca="1">IFERROR(__xludf.DUMMYFUNCTION("GOOGLETRANSLATE(J776,""EN"",""ES"")"),"Gabinetes plateados")</f>
        <v>Gabinetes plateados</v>
      </c>
      <c r="M776" s="8" t="s">
        <v>13</v>
      </c>
      <c r="N776" t="s">
        <v>13</v>
      </c>
    </row>
    <row r="777" spans="1:14" ht="11.25" customHeight="1">
      <c r="A777" s="5" t="s">
        <v>2074</v>
      </c>
      <c r="B777" s="5" t="s">
        <v>2324</v>
      </c>
      <c r="C777" s="5" t="s">
        <v>2332</v>
      </c>
      <c r="D777" s="5" t="s">
        <v>2077</v>
      </c>
      <c r="E777" s="5" t="s">
        <v>14</v>
      </c>
      <c r="F777" s="5" t="s">
        <v>2078</v>
      </c>
      <c r="G777" s="5" t="s">
        <v>2079</v>
      </c>
      <c r="H777" s="5" t="s">
        <v>2326</v>
      </c>
      <c r="I777" s="5" t="s">
        <v>2333</v>
      </c>
      <c r="J777" s="5" t="s">
        <v>2334</v>
      </c>
      <c r="K777" s="7" t="str">
        <f ca="1">IFERROR(__xludf.DUMMYFUNCTION("GOOGLETRANSLATE(H777,""EN"",""ES"")"),"MUEBLES DE ALMACENAJE")</f>
        <v>MUEBLES DE ALMACENAJE</v>
      </c>
      <c r="L777" s="5" t="str">
        <f ca="1">IFERROR(__xludf.DUMMYFUNCTION("GOOGLETRANSLATE(J777,""EN"",""ES"")"),"Armarios para herramientas")</f>
        <v>Armarios para herramientas</v>
      </c>
      <c r="M777" s="8" t="s">
        <v>13</v>
      </c>
      <c r="N777" t="s">
        <v>13</v>
      </c>
    </row>
    <row r="778" spans="1:14" ht="11.25" customHeight="1">
      <c r="A778" s="5" t="s">
        <v>2074</v>
      </c>
      <c r="B778" s="5" t="s">
        <v>2324</v>
      </c>
      <c r="C778" s="5" t="s">
        <v>2335</v>
      </c>
      <c r="D778" s="5" t="s">
        <v>2077</v>
      </c>
      <c r="E778" s="5" t="s">
        <v>14</v>
      </c>
      <c r="F778" s="5" t="s">
        <v>2078</v>
      </c>
      <c r="G778" s="5" t="s">
        <v>2079</v>
      </c>
      <c r="H778" s="5" t="s">
        <v>2326</v>
      </c>
      <c r="I778" s="5" t="s">
        <v>2336</v>
      </c>
      <c r="J778" s="5" t="s">
        <v>2337</v>
      </c>
      <c r="K778" s="7" t="str">
        <f ca="1">IFERROR(__xludf.DUMMYFUNCTION("GOOGLETRANSLATE(H778,""EN"",""ES"")"),"MUEBLES DE ALMACENAJE")</f>
        <v>MUEBLES DE ALMACENAJE</v>
      </c>
      <c r="L778" s="5" t="str">
        <f ca="1">IFERROR(__xludf.DUMMYFUNCTION("GOOGLETRANSLATE(J778,""EN"",""ES"")"),"botiquines")</f>
        <v>botiquines</v>
      </c>
      <c r="M778" s="8" t="s">
        <v>13</v>
      </c>
      <c r="N778" t="s">
        <v>13</v>
      </c>
    </row>
    <row r="779" spans="1:14" ht="11.25" customHeight="1">
      <c r="A779" s="5" t="s">
        <v>2074</v>
      </c>
      <c r="B779" s="5" t="s">
        <v>2324</v>
      </c>
      <c r="C779" s="5" t="s">
        <v>2338</v>
      </c>
      <c r="D779" s="5" t="s">
        <v>2077</v>
      </c>
      <c r="E779" s="5" t="s">
        <v>14</v>
      </c>
      <c r="F779" s="5" t="s">
        <v>2078</v>
      </c>
      <c r="G779" s="5" t="s">
        <v>2079</v>
      </c>
      <c r="H779" s="5" t="s">
        <v>2326</v>
      </c>
      <c r="I779" s="5" t="s">
        <v>2339</v>
      </c>
      <c r="J779" s="5" t="s">
        <v>2340</v>
      </c>
      <c r="K779" s="7" t="str">
        <f ca="1">IFERROR(__xludf.DUMMYFUNCTION("GOOGLETRANSLATE(H779,""EN"",""ES"")"),"MUEBLES DE ALMACENAJE")</f>
        <v>MUEBLES DE ALMACENAJE</v>
      </c>
      <c r="L779" s="5" t="str">
        <f ca="1">IFERROR(__xludf.DUMMYFUNCTION("GOOGLETRANSLATE(J779,""EN"",""ES"")"),"Gabinetes de oficina")</f>
        <v>Gabinetes de oficina</v>
      </c>
      <c r="M779" s="8" t="s">
        <v>13</v>
      </c>
      <c r="N779" t="s">
        <v>20</v>
      </c>
    </row>
    <row r="780" spans="1:14" ht="11.25" customHeight="1">
      <c r="A780" s="5" t="s">
        <v>2074</v>
      </c>
      <c r="B780" s="5" t="s">
        <v>2324</v>
      </c>
      <c r="C780" s="5" t="s">
        <v>2341</v>
      </c>
      <c r="D780" s="5" t="s">
        <v>2077</v>
      </c>
      <c r="E780" s="5" t="s">
        <v>14</v>
      </c>
      <c r="F780" s="5" t="s">
        <v>2078</v>
      </c>
      <c r="G780" s="5" t="s">
        <v>2079</v>
      </c>
      <c r="H780" s="5" t="s">
        <v>2326</v>
      </c>
      <c r="I780" s="5" t="s">
        <v>2342</v>
      </c>
      <c r="J780" s="5" t="s">
        <v>2343</v>
      </c>
      <c r="K780" s="7" t="str">
        <f ca="1">IFERROR(__xludf.DUMMYFUNCTION("GOOGLETRANSLATE(H780,""EN"",""ES"")"),"MUEBLES DE ALMACENAJE")</f>
        <v>MUEBLES DE ALMACENAJE</v>
      </c>
      <c r="L780" s="5" t="str">
        <f ca="1">IFERROR(__xludf.DUMMYFUNCTION("GOOGLETRANSLATE(J780,""EN"",""ES"")"),"Gabinetes de cocina")</f>
        <v>Gabinetes de cocina</v>
      </c>
      <c r="M780" s="8" t="s">
        <v>13</v>
      </c>
      <c r="N780" t="s">
        <v>19</v>
      </c>
    </row>
    <row r="781" spans="1:14" ht="11.25" customHeight="1">
      <c r="A781" s="5" t="s">
        <v>2074</v>
      </c>
      <c r="B781" s="5" t="s">
        <v>2324</v>
      </c>
      <c r="C781" s="5" t="s">
        <v>2344</v>
      </c>
      <c r="D781" s="5" t="s">
        <v>2077</v>
      </c>
      <c r="E781" s="5" t="s">
        <v>14</v>
      </c>
      <c r="F781" s="5" t="s">
        <v>2078</v>
      </c>
      <c r="G781" s="5" t="s">
        <v>2079</v>
      </c>
      <c r="H781" s="5" t="s">
        <v>2326</v>
      </c>
      <c r="I781" s="5" t="s">
        <v>2345</v>
      </c>
      <c r="J781" s="5" t="s">
        <v>2346</v>
      </c>
      <c r="K781" s="7" t="str">
        <f ca="1">IFERROR(__xludf.DUMMYFUNCTION("GOOGLETRANSLATE(H781,""EN"",""ES"")"),"MUEBLES DE ALMACENAJE")</f>
        <v>MUEBLES DE ALMACENAJE</v>
      </c>
      <c r="L781" s="5" t="str">
        <f ca="1">IFERROR(__xludf.DUMMYFUNCTION("GOOGLETRANSLATE(J781,""EN"",""ES"")"),"Armarios de almacenamiento")</f>
        <v>Armarios de almacenamiento</v>
      </c>
      <c r="M781" s="8" t="s">
        <v>13</v>
      </c>
      <c r="N781" t="s">
        <v>13</v>
      </c>
    </row>
    <row r="782" spans="1:14" ht="11.25" customHeight="1">
      <c r="A782" s="5" t="s">
        <v>2074</v>
      </c>
      <c r="B782" s="5" t="s">
        <v>2324</v>
      </c>
      <c r="C782" s="5" t="s">
        <v>2347</v>
      </c>
      <c r="D782" s="5" t="s">
        <v>2077</v>
      </c>
      <c r="E782" s="5" t="s">
        <v>14</v>
      </c>
      <c r="F782" s="5" t="s">
        <v>2078</v>
      </c>
      <c r="G782" s="5" t="s">
        <v>2079</v>
      </c>
      <c r="H782" s="5" t="s">
        <v>2326</v>
      </c>
      <c r="I782" s="5" t="s">
        <v>2348</v>
      </c>
      <c r="J782" s="5" t="s">
        <v>2349</v>
      </c>
      <c r="K782" s="7" t="str">
        <f ca="1">IFERROR(__xludf.DUMMYFUNCTION("GOOGLETRANSLATE(H782,""EN"",""ES"")"),"MUEBLES DE ALMACENAJE")</f>
        <v>MUEBLES DE ALMACENAJE</v>
      </c>
      <c r="L782" s="5" t="str">
        <f ca="1">IFERROR(__xludf.DUMMYFUNCTION("GOOGLETRANSLATE(J782,""EN"",""ES"")"),"Muebles de baño")</f>
        <v>Muebles de baño</v>
      </c>
      <c r="M782" s="8" t="s">
        <v>13</v>
      </c>
      <c r="N782" t="s">
        <v>13</v>
      </c>
    </row>
    <row r="783" spans="1:14" ht="11.25" customHeight="1">
      <c r="A783" s="5" t="s">
        <v>2074</v>
      </c>
      <c r="B783" s="5" t="s">
        <v>2324</v>
      </c>
      <c r="C783" s="5" t="s">
        <v>2347</v>
      </c>
      <c r="D783" s="5" t="s">
        <v>2077</v>
      </c>
      <c r="E783" s="5" t="s">
        <v>14</v>
      </c>
      <c r="F783" s="5" t="s">
        <v>2078</v>
      </c>
      <c r="G783" s="5" t="s">
        <v>2079</v>
      </c>
      <c r="H783" s="5" t="s">
        <v>2326</v>
      </c>
      <c r="I783" s="5" t="s">
        <v>152</v>
      </c>
      <c r="J783" s="5" t="s">
        <v>2350</v>
      </c>
      <c r="K783" s="7" t="str">
        <f ca="1">IFERROR(__xludf.DUMMYFUNCTION("GOOGLETRANSLATE(H783,""EN"",""ES"")"),"MUEBLES DE ALMACENAJE")</f>
        <v>MUEBLES DE ALMACENAJE</v>
      </c>
      <c r="L783" s="5" t="str">
        <f ca="1">IFERROR(__xludf.DUMMYFUNCTION("GOOGLETRANSLATE(J783,""EN"",""ES"")"),"N / A")</f>
        <v>N / A</v>
      </c>
      <c r="M783" s="8" t="s">
        <v>13</v>
      </c>
      <c r="N783" t="s">
        <v>13</v>
      </c>
    </row>
    <row r="784" spans="1:14" ht="11.25" customHeight="1">
      <c r="A784" s="5" t="s">
        <v>2074</v>
      </c>
      <c r="B784" s="5" t="s">
        <v>2324</v>
      </c>
      <c r="C784" s="5" t="s">
        <v>2351</v>
      </c>
      <c r="D784" s="5" t="s">
        <v>2077</v>
      </c>
      <c r="E784" s="5" t="s">
        <v>14</v>
      </c>
      <c r="F784" s="5" t="s">
        <v>2078</v>
      </c>
      <c r="G784" s="5" t="s">
        <v>2079</v>
      </c>
      <c r="H784" s="5" t="s">
        <v>2326</v>
      </c>
      <c r="I784" s="5" t="s">
        <v>2352</v>
      </c>
      <c r="J784" s="5" t="s">
        <v>2353</v>
      </c>
      <c r="K784" s="7" t="str">
        <f ca="1">IFERROR(__xludf.DUMMYFUNCTION("GOOGLETRANSLATE(H784,""EN"",""ES"")"),"MUEBLES DE ALMACENAJE")</f>
        <v>MUEBLES DE ALMACENAJE</v>
      </c>
      <c r="L784" s="5" t="str">
        <f ca="1">IFERROR(__xludf.DUMMYFUNCTION("GOOGLETRANSLATE(J784,""EN"",""ES"")"),"Armarios de pared")</f>
        <v>Armarios de pared</v>
      </c>
      <c r="M784" s="8" t="s">
        <v>13</v>
      </c>
      <c r="N784" t="s">
        <v>13</v>
      </c>
    </row>
    <row r="785" spans="1:14" ht="11.25" customHeight="1">
      <c r="A785" s="5" t="s">
        <v>2074</v>
      </c>
      <c r="B785" s="5" t="s">
        <v>2324</v>
      </c>
      <c r="C785" s="5" t="s">
        <v>2351</v>
      </c>
      <c r="D785" s="5" t="s">
        <v>2077</v>
      </c>
      <c r="E785" s="5" t="s">
        <v>14</v>
      </c>
      <c r="F785" s="5" t="s">
        <v>2078</v>
      </c>
      <c r="G785" s="5" t="s">
        <v>2079</v>
      </c>
      <c r="H785" s="5" t="s">
        <v>2326</v>
      </c>
      <c r="I785" s="5" t="s">
        <v>152</v>
      </c>
      <c r="J785" s="5" t="s">
        <v>2354</v>
      </c>
      <c r="K785" s="7" t="str">
        <f ca="1">IFERROR(__xludf.DUMMYFUNCTION("GOOGLETRANSLATE(H785,""EN"",""ES"")"),"MUEBLES DE ALMACENAJE")</f>
        <v>MUEBLES DE ALMACENAJE</v>
      </c>
      <c r="L785" s="5" t="str">
        <f ca="1">IFERROR(__xludf.DUMMYFUNCTION("GOOGLETRANSLATE(J785,""EN"",""ES"")"),"N / A")</f>
        <v>N / A</v>
      </c>
      <c r="M785" s="8" t="s">
        <v>13</v>
      </c>
      <c r="N785" t="s">
        <v>13</v>
      </c>
    </row>
    <row r="786" spans="1:14" ht="11.25" customHeight="1">
      <c r="A786" s="5" t="s">
        <v>2074</v>
      </c>
      <c r="B786" s="5" t="s">
        <v>2324</v>
      </c>
      <c r="C786" s="5" t="s">
        <v>2355</v>
      </c>
      <c r="D786" s="5" t="s">
        <v>2077</v>
      </c>
      <c r="E786" s="5" t="s">
        <v>14</v>
      </c>
      <c r="F786" s="5" t="s">
        <v>2078</v>
      </c>
      <c r="G786" s="5" t="s">
        <v>2079</v>
      </c>
      <c r="H786" s="5" t="s">
        <v>2326</v>
      </c>
      <c r="I786" s="5" t="s">
        <v>2356</v>
      </c>
      <c r="J786" s="5" t="s">
        <v>2357</v>
      </c>
      <c r="K786" s="7" t="str">
        <f ca="1">IFERROR(__xludf.DUMMYFUNCTION("GOOGLETRANSLATE(H786,""EN"",""ES"")"),"MUEBLES DE ALMACENAJE")</f>
        <v>MUEBLES DE ALMACENAJE</v>
      </c>
      <c r="L786" s="5" t="str">
        <f ca="1">IFERROR(__xludf.DUMMYFUNCTION("GOOGLETRANSLATE(J786,""EN"",""ES"")"),"Cofres")</f>
        <v>Cofres</v>
      </c>
      <c r="M786" s="8" t="s">
        <v>13</v>
      </c>
      <c r="N786" t="s">
        <v>13</v>
      </c>
    </row>
    <row r="787" spans="1:14" ht="11.25" customHeight="1">
      <c r="A787" s="5" t="s">
        <v>2074</v>
      </c>
      <c r="B787" s="5" t="s">
        <v>2324</v>
      </c>
      <c r="C787" s="5" t="s">
        <v>2358</v>
      </c>
      <c r="D787" s="5" t="s">
        <v>2077</v>
      </c>
      <c r="E787" s="5" t="s">
        <v>14</v>
      </c>
      <c r="F787" s="5" t="s">
        <v>2078</v>
      </c>
      <c r="G787" s="5" t="s">
        <v>2079</v>
      </c>
      <c r="H787" s="5" t="s">
        <v>2326</v>
      </c>
      <c r="I787" s="5" t="s">
        <v>2359</v>
      </c>
      <c r="J787" s="5" t="s">
        <v>2360</v>
      </c>
      <c r="K787" s="7" t="str">
        <f ca="1">IFERROR(__xludf.DUMMYFUNCTION("GOOGLETRANSLATE(H787,""EN"",""ES"")"),"MUEBLES DE ALMACENAJE")</f>
        <v>MUEBLES DE ALMACENAJE</v>
      </c>
      <c r="L787" s="5" t="str">
        <f ca="1">IFERROR(__xludf.DUMMYFUNCTION("GOOGLETRANSLATE(J787,""EN"",""ES"")"),"Librerías")</f>
        <v>Librerías</v>
      </c>
      <c r="M787" s="8" t="s">
        <v>13</v>
      </c>
      <c r="N787" t="s">
        <v>13</v>
      </c>
    </row>
    <row r="788" spans="1:14" ht="11.25" customHeight="1">
      <c r="A788" s="5" t="s">
        <v>2074</v>
      </c>
      <c r="B788" s="5" t="s">
        <v>2324</v>
      </c>
      <c r="C788" s="5" t="s">
        <v>2361</v>
      </c>
      <c r="D788" s="5" t="s">
        <v>2077</v>
      </c>
      <c r="E788" s="5" t="s">
        <v>14</v>
      </c>
      <c r="F788" s="5" t="s">
        <v>2078</v>
      </c>
      <c r="G788" s="5" t="s">
        <v>2079</v>
      </c>
      <c r="H788" s="5" t="s">
        <v>2326</v>
      </c>
      <c r="I788" s="5" t="s">
        <v>2362</v>
      </c>
      <c r="J788" s="5" t="s">
        <v>2363</v>
      </c>
      <c r="K788" s="7" t="str">
        <f ca="1">IFERROR(__xludf.DUMMYFUNCTION("GOOGLETRANSLATE(H788,""EN"",""ES"")"),"MUEBLES DE ALMACENAJE")</f>
        <v>MUEBLES DE ALMACENAJE</v>
      </c>
      <c r="L788" s="5" t="str">
        <f ca="1">IFERROR(__xludf.DUMMYFUNCTION("GOOGLETRANSLATE(J788,""EN"",""ES"")"),"Estantes para frutas y verduras [excepto expositores]")</f>
        <v>Estantes para frutas y verduras [excepto expositores]</v>
      </c>
      <c r="M788" s="8" t="s">
        <v>13</v>
      </c>
      <c r="N788" t="s">
        <v>19</v>
      </c>
    </row>
    <row r="789" spans="1:14" ht="11.25" customHeight="1">
      <c r="A789" s="5" t="s">
        <v>2074</v>
      </c>
      <c r="B789" s="5" t="s">
        <v>2324</v>
      </c>
      <c r="C789" s="5" t="s">
        <v>2364</v>
      </c>
      <c r="D789" s="5" t="s">
        <v>2077</v>
      </c>
      <c r="E789" s="5" t="s">
        <v>14</v>
      </c>
      <c r="F789" s="5" t="s">
        <v>2078</v>
      </c>
      <c r="G789" s="5" t="s">
        <v>2079</v>
      </c>
      <c r="H789" s="5" t="s">
        <v>2326</v>
      </c>
      <c r="I789" s="5" t="s">
        <v>2365</v>
      </c>
      <c r="J789" s="5" t="s">
        <v>2366</v>
      </c>
      <c r="K789" s="7" t="str">
        <f ca="1">IFERROR(__xludf.DUMMYFUNCTION("GOOGLETRANSLATE(H789,""EN"",""ES"")"),"MUEBLES DE ALMACENAJE")</f>
        <v>MUEBLES DE ALMACENAJE</v>
      </c>
      <c r="L789" s="5" t="str">
        <f ca="1">IFERROR(__xludf.DUMMYFUNCTION("GOOGLETRANSLATE(J789,""EN"",""ES"")"),"Gabinetes de música")</f>
        <v>Gabinetes de música</v>
      </c>
      <c r="M789" s="8" t="s">
        <v>13</v>
      </c>
      <c r="N789" t="s">
        <v>13</v>
      </c>
    </row>
    <row r="790" spans="1:14" ht="11.25" customHeight="1">
      <c r="A790" s="5" t="s">
        <v>2074</v>
      </c>
      <c r="B790" s="5" t="s">
        <v>2324</v>
      </c>
      <c r="C790" s="5" t="s">
        <v>2367</v>
      </c>
      <c r="D790" s="5" t="s">
        <v>2077</v>
      </c>
      <c r="E790" s="5" t="s">
        <v>14</v>
      </c>
      <c r="F790" s="5" t="s">
        <v>2078</v>
      </c>
      <c r="G790" s="5" t="s">
        <v>2079</v>
      </c>
      <c r="H790" s="5" t="s">
        <v>2326</v>
      </c>
      <c r="I790" s="5" t="s">
        <v>2368</v>
      </c>
      <c r="J790" s="5" t="s">
        <v>2369</v>
      </c>
      <c r="K790" s="7" t="str">
        <f ca="1">IFERROR(__xludf.DUMMYFUNCTION("GOOGLETRANSLATE(H790,""EN"",""ES"")"),"MUEBLES DE ALMACENAJE")</f>
        <v>MUEBLES DE ALMACENAJE</v>
      </c>
      <c r="L790" s="5" t="str">
        <f ca="1">IFERROR(__xludf.DUMMYFUNCTION("GOOGLETRANSLATE(J790,""EN"",""ES"")"),"Archivadores [muebles]")</f>
        <v>Archivadores [muebles]</v>
      </c>
      <c r="M790" s="8" t="s">
        <v>13</v>
      </c>
      <c r="N790" t="s">
        <v>20</v>
      </c>
    </row>
    <row r="791" spans="1:14" ht="11.25" customHeight="1">
      <c r="A791" s="5" t="s">
        <v>2074</v>
      </c>
      <c r="B791" s="5" t="s">
        <v>2324</v>
      </c>
      <c r="C791" s="5" t="s">
        <v>2370</v>
      </c>
      <c r="D791" s="5" t="s">
        <v>2077</v>
      </c>
      <c r="E791" s="5" t="s">
        <v>14</v>
      </c>
      <c r="F791" s="5" t="s">
        <v>2078</v>
      </c>
      <c r="G791" s="5" t="s">
        <v>2079</v>
      </c>
      <c r="H791" s="5" t="s">
        <v>2326</v>
      </c>
      <c r="I791" s="5" t="s">
        <v>2371</v>
      </c>
      <c r="J791" s="5" t="s">
        <v>2372</v>
      </c>
      <c r="K791" s="7" t="str">
        <f ca="1">IFERROR(__xludf.DUMMYFUNCTION("GOOGLETRANSLATE(H791,""EN"",""ES"")"),"MUEBLES DE ALMACENAJE")</f>
        <v>MUEBLES DE ALMACENAJE</v>
      </c>
      <c r="L791" s="5" t="str">
        <f ca="1">IFERROR(__xludf.DUMMYFUNCTION("GOOGLETRANSLATE(J791,""EN"",""ES"")"),"Cajas fuertes")</f>
        <v>Cajas fuertes</v>
      </c>
      <c r="M791" s="8" t="s">
        <v>13</v>
      </c>
      <c r="N791" t="s">
        <v>13</v>
      </c>
    </row>
    <row r="792" spans="1:14" ht="11.25" customHeight="1">
      <c r="A792" s="5" t="s">
        <v>2074</v>
      </c>
      <c r="B792" s="5" t="s">
        <v>2324</v>
      </c>
      <c r="C792" s="5" t="s">
        <v>2373</v>
      </c>
      <c r="D792" s="5" t="s">
        <v>2077</v>
      </c>
      <c r="E792" s="5" t="s">
        <v>14</v>
      </c>
      <c r="F792" s="5" t="s">
        <v>2078</v>
      </c>
      <c r="G792" s="5" t="s">
        <v>2079</v>
      </c>
      <c r="H792" s="5" t="s">
        <v>2326</v>
      </c>
      <c r="I792" s="5" t="s">
        <v>2374</v>
      </c>
      <c r="J792" s="5" t="s">
        <v>2375</v>
      </c>
      <c r="K792" s="7" t="str">
        <f ca="1">IFERROR(__xludf.DUMMYFUNCTION("GOOGLETRANSLATE(H792,""EN"",""ES"")"),"MUEBLES DE ALMACENAJE")</f>
        <v>MUEBLES DE ALMACENAJE</v>
      </c>
      <c r="L792" s="5" t="str">
        <f ca="1">IFERROR(__xludf.DUMMYFUNCTION("GOOGLETRANSLATE(J792,""EN"",""ES"")"),"Cajas fuertes de pared")</f>
        <v>Cajas fuertes de pared</v>
      </c>
      <c r="M792" s="8" t="s">
        <v>13</v>
      </c>
      <c r="N792" t="s">
        <v>13</v>
      </c>
    </row>
    <row r="793" spans="1:14" ht="11.25" customHeight="1">
      <c r="A793" s="5" t="s">
        <v>2074</v>
      </c>
      <c r="B793" s="5" t="s">
        <v>2324</v>
      </c>
      <c r="C793" s="5" t="s">
        <v>2376</v>
      </c>
      <c r="D793" s="5" t="s">
        <v>2077</v>
      </c>
      <c r="E793" s="5" t="s">
        <v>14</v>
      </c>
      <c r="F793" s="5" t="s">
        <v>2078</v>
      </c>
      <c r="G793" s="5" t="s">
        <v>2079</v>
      </c>
      <c r="H793" s="5" t="s">
        <v>2326</v>
      </c>
      <c r="I793" s="5" t="s">
        <v>2377</v>
      </c>
      <c r="J793" s="5" t="s">
        <v>2378</v>
      </c>
      <c r="K793" s="7" t="str">
        <f ca="1">IFERROR(__xludf.DUMMYFUNCTION("GOOGLETRANSLATE(H793,""EN"",""ES"")"),"MUEBLES DE ALMACENAJE")</f>
        <v>MUEBLES DE ALMACENAJE</v>
      </c>
      <c r="L793" s="5" t="str">
        <f ca="1">IFERROR(__xludf.DUMMYFUNCTION("GOOGLETRANSLATE(J793,""EN"",""ES"")"),"Armarios de papelería [muebles]")</f>
        <v>Armarios de papelería [muebles]</v>
      </c>
      <c r="M793" s="8" t="s">
        <v>13</v>
      </c>
      <c r="N793" t="s">
        <v>13</v>
      </c>
    </row>
    <row r="794" spans="1:14" ht="11.25" customHeight="1">
      <c r="A794" s="5" t="s">
        <v>2074</v>
      </c>
      <c r="B794" s="5" t="s">
        <v>2324</v>
      </c>
      <c r="C794" s="5" t="s">
        <v>2379</v>
      </c>
      <c r="D794" s="5" t="s">
        <v>2077</v>
      </c>
      <c r="E794" s="5" t="s">
        <v>14</v>
      </c>
      <c r="F794" s="5" t="s">
        <v>2078</v>
      </c>
      <c r="G794" s="5" t="s">
        <v>2079</v>
      </c>
      <c r="H794" s="5" t="s">
        <v>2326</v>
      </c>
      <c r="I794" s="5" t="s">
        <v>2380</v>
      </c>
      <c r="J794" s="5" t="s">
        <v>2380</v>
      </c>
      <c r="K794" s="7" t="str">
        <f ca="1">IFERROR(__xludf.DUMMYFUNCTION("GOOGLETRANSLATE(H794,""EN"",""ES"")"),"MUEBLES DE ALMACENAJE")</f>
        <v>MUEBLES DE ALMACENAJE</v>
      </c>
      <c r="L794" s="5" t="str">
        <f ca="1">IFERROR(__xludf.DUMMYFUNCTION("GOOGLETRANSLATE(J794,""EN"",""ES"")"),"Cómodas")</f>
        <v>Cómodas</v>
      </c>
      <c r="M794" s="8" t="s">
        <v>13</v>
      </c>
      <c r="N794" t="s">
        <v>13</v>
      </c>
    </row>
    <row r="795" spans="1:14" ht="11.25" customHeight="1">
      <c r="A795" s="5" t="s">
        <v>2074</v>
      </c>
      <c r="B795" s="5" t="s">
        <v>2324</v>
      </c>
      <c r="C795" s="5" t="s">
        <v>2379</v>
      </c>
      <c r="D795" s="5" t="s">
        <v>2077</v>
      </c>
      <c r="E795" s="5" t="s">
        <v>14</v>
      </c>
      <c r="F795" s="5" t="s">
        <v>2078</v>
      </c>
      <c r="G795" s="5" t="s">
        <v>2079</v>
      </c>
      <c r="H795" s="5" t="s">
        <v>2326</v>
      </c>
      <c r="I795" s="5" t="s">
        <v>2381</v>
      </c>
      <c r="J795" s="5" t="s">
        <v>2382</v>
      </c>
      <c r="K795" s="7" t="str">
        <f ca="1">IFERROR(__xludf.DUMMYFUNCTION("GOOGLETRANSLATE(H795,""EN"",""ES"")"),"MUEBLES DE ALMACENAJE")</f>
        <v>MUEBLES DE ALMACENAJE</v>
      </c>
      <c r="L795" s="5" t="str">
        <f ca="1">IFERROR(__xludf.DUMMYFUNCTION("GOOGLETRANSLATE(J795,""EN"",""ES"")"),"Cómodas")</f>
        <v>Cómodas</v>
      </c>
      <c r="M795" s="8" t="s">
        <v>13</v>
      </c>
      <c r="N795" t="s">
        <v>13</v>
      </c>
    </row>
    <row r="796" spans="1:14" ht="11.25" customHeight="1">
      <c r="A796" s="5" t="s">
        <v>2074</v>
      </c>
      <c r="B796" s="5" t="s">
        <v>2324</v>
      </c>
      <c r="C796" s="5" t="s">
        <v>2383</v>
      </c>
      <c r="D796" s="5" t="s">
        <v>2077</v>
      </c>
      <c r="E796" s="5" t="s">
        <v>14</v>
      </c>
      <c r="F796" s="5" t="s">
        <v>2078</v>
      </c>
      <c r="G796" s="5" t="s">
        <v>2079</v>
      </c>
      <c r="H796" s="5" t="s">
        <v>2326</v>
      </c>
      <c r="I796" s="5" t="s">
        <v>2384</v>
      </c>
      <c r="J796" s="5" t="s">
        <v>2385</v>
      </c>
      <c r="K796" s="7" t="str">
        <f ca="1">IFERROR(__xludf.DUMMYFUNCTION("GOOGLETRANSLATE(H796,""EN"",""ES"")"),"MUEBLES DE ALMACENAJE")</f>
        <v>MUEBLES DE ALMACENAJE</v>
      </c>
      <c r="L796" s="5" t="str">
        <f ca="1">IFERROR(__xludf.DUMMYFUNCTION("GOOGLETRANSLATE(J796,""EN"",""ES"")"),"Patillas")</f>
        <v>Patillas</v>
      </c>
      <c r="M796" s="8" t="s">
        <v>13</v>
      </c>
      <c r="N796" t="s">
        <v>13</v>
      </c>
    </row>
    <row r="797" spans="1:14" ht="11.25" customHeight="1">
      <c r="A797" s="5" t="s">
        <v>2074</v>
      </c>
      <c r="B797" s="5" t="s">
        <v>2324</v>
      </c>
      <c r="C797" s="5" t="s">
        <v>2383</v>
      </c>
      <c r="D797" s="5" t="s">
        <v>2077</v>
      </c>
      <c r="E797" s="5" t="s">
        <v>14</v>
      </c>
      <c r="F797" s="5" t="s">
        <v>2078</v>
      </c>
      <c r="G797" s="5" t="s">
        <v>2079</v>
      </c>
      <c r="H797" s="5" t="s">
        <v>2326</v>
      </c>
      <c r="I797" s="5" t="s">
        <v>152</v>
      </c>
      <c r="J797" s="5" t="s">
        <v>2386</v>
      </c>
      <c r="K797" s="7" t="str">
        <f ca="1">IFERROR(__xludf.DUMMYFUNCTION("GOOGLETRANSLATE(H797,""EN"",""ES"")"),"MUEBLES DE ALMACENAJE")</f>
        <v>MUEBLES DE ALMACENAJE</v>
      </c>
      <c r="L797" s="5" t="str">
        <f ca="1">IFERROR(__xludf.DUMMYFUNCTION("GOOGLETRANSLATE(J797,""EN"",""ES"")"),"N / A")</f>
        <v>N / A</v>
      </c>
      <c r="M797" s="8" t="s">
        <v>13</v>
      </c>
      <c r="N797" t="s">
        <v>13</v>
      </c>
    </row>
    <row r="798" spans="1:14" ht="11.25" customHeight="1">
      <c r="A798" s="5" t="s">
        <v>2074</v>
      </c>
      <c r="B798" s="5" t="s">
        <v>2324</v>
      </c>
      <c r="C798" s="5" t="s">
        <v>2383</v>
      </c>
      <c r="D798" s="5" t="s">
        <v>2077</v>
      </c>
      <c r="E798" s="5" t="s">
        <v>14</v>
      </c>
      <c r="F798" s="5" t="s">
        <v>2078</v>
      </c>
      <c r="G798" s="5" t="s">
        <v>2079</v>
      </c>
      <c r="H798" s="5" t="s">
        <v>2326</v>
      </c>
      <c r="I798" s="5" t="s">
        <v>152</v>
      </c>
      <c r="J798" s="5" t="s">
        <v>2387</v>
      </c>
      <c r="K798" s="7" t="str">
        <f ca="1">IFERROR(__xludf.DUMMYFUNCTION("GOOGLETRANSLATE(H798,""EN"",""ES"")"),"MUEBLES DE ALMACENAJE")</f>
        <v>MUEBLES DE ALMACENAJE</v>
      </c>
      <c r="L798" s="5" t="str">
        <f ca="1">IFERROR(__xludf.DUMMYFUNCTION("GOOGLETRANSLATE(J798,""EN"",""ES"")"),"N / A")</f>
        <v>N / A</v>
      </c>
      <c r="M798" s="8" t="s">
        <v>13</v>
      </c>
      <c r="N798" t="s">
        <v>13</v>
      </c>
    </row>
    <row r="799" spans="1:14" ht="11.25" customHeight="1">
      <c r="A799" s="5" t="s">
        <v>2074</v>
      </c>
      <c r="B799" s="5" t="s">
        <v>2324</v>
      </c>
      <c r="C799" s="5" t="s">
        <v>2388</v>
      </c>
      <c r="D799" s="5" t="s">
        <v>2077</v>
      </c>
      <c r="E799" s="5" t="s">
        <v>14</v>
      </c>
      <c r="F799" s="5" t="s">
        <v>2078</v>
      </c>
      <c r="G799" s="5" t="s">
        <v>2079</v>
      </c>
      <c r="H799" s="5" t="s">
        <v>2326</v>
      </c>
      <c r="I799" s="5" t="s">
        <v>2389</v>
      </c>
      <c r="J799" s="5" t="s">
        <v>2390</v>
      </c>
      <c r="K799" s="7" t="str">
        <f ca="1">IFERROR(__xludf.DUMMYFUNCTION("GOOGLETRANSLATE(H799,""EN"",""ES"")"),"MUEBLES DE ALMACENAJE")</f>
        <v>MUEBLES DE ALMACENAJE</v>
      </c>
      <c r="L799" s="5" t="str">
        <f ca="1">IFERROR(__xludf.DUMMYFUNCTION("GOOGLETRANSLATE(J799,""EN"",""ES"")"),"Zapateros [muebles]")</f>
        <v>Zapateros [muebles]</v>
      </c>
      <c r="M799" s="8" t="s">
        <v>13</v>
      </c>
      <c r="N799" t="s">
        <v>13</v>
      </c>
    </row>
    <row r="800" spans="1:14" ht="11.25" customHeight="1">
      <c r="A800" s="5" t="s">
        <v>2074</v>
      </c>
      <c r="B800" s="5" t="s">
        <v>2324</v>
      </c>
      <c r="C800" s="5" t="s">
        <v>2391</v>
      </c>
      <c r="D800" s="5" t="s">
        <v>2077</v>
      </c>
      <c r="E800" s="5" t="s">
        <v>14</v>
      </c>
      <c r="F800" s="5" t="s">
        <v>2078</v>
      </c>
      <c r="G800" s="5" t="s">
        <v>2079</v>
      </c>
      <c r="H800" s="5" t="s">
        <v>2326</v>
      </c>
      <c r="I800" s="5" t="s">
        <v>2392</v>
      </c>
      <c r="J800" s="5" t="s">
        <v>2393</v>
      </c>
      <c r="K800" s="7" t="str">
        <f ca="1">IFERROR(__xludf.DUMMYFUNCTION("GOOGLETRANSLATE(H800,""EN"",""ES"")"),"MUEBLES DE ALMACENAJE")</f>
        <v>MUEBLES DE ALMACENAJE</v>
      </c>
      <c r="L800" s="5" t="str">
        <f ca="1">IFERROR(__xludf.DUMMYFUNCTION("GOOGLETRANSLATE(J800,""EN"",""ES"")"),"Estantería")</f>
        <v>Estantería</v>
      </c>
      <c r="M800" s="8" t="s">
        <v>13</v>
      </c>
      <c r="N800" t="s">
        <v>13</v>
      </c>
    </row>
    <row r="801" spans="1:14" ht="11.25" customHeight="1">
      <c r="A801" s="5" t="s">
        <v>2074</v>
      </c>
      <c r="B801" s="5" t="s">
        <v>2324</v>
      </c>
      <c r="C801" s="5" t="s">
        <v>2394</v>
      </c>
      <c r="D801" s="5" t="s">
        <v>2077</v>
      </c>
      <c r="E801" s="5" t="s">
        <v>14</v>
      </c>
      <c r="F801" s="5" t="s">
        <v>2078</v>
      </c>
      <c r="G801" s="5" t="s">
        <v>2079</v>
      </c>
      <c r="H801" s="5" t="s">
        <v>2326</v>
      </c>
      <c r="I801" s="5" t="s">
        <v>2395</v>
      </c>
      <c r="J801" s="5" t="s">
        <v>2396</v>
      </c>
      <c r="K801" s="7" t="str">
        <f ca="1">IFERROR(__xludf.DUMMYFUNCTION("GOOGLETRANSLATE(H801,""EN"",""ES"")"),"MUEBLES DE ALMACENAJE")</f>
        <v>MUEBLES DE ALMACENAJE</v>
      </c>
      <c r="L801" s="5" t="str">
        <f ca="1">IFERROR(__xludf.DUMMYFUNCTION("GOOGLETRANSLATE(J801,""EN"",""ES"")"),"Estantes para folletos")</f>
        <v>Estantes para folletos</v>
      </c>
      <c r="M801" s="8" t="s">
        <v>13</v>
      </c>
      <c r="N801" t="s">
        <v>13</v>
      </c>
    </row>
    <row r="802" spans="1:14" ht="11.25" customHeight="1">
      <c r="A802" s="5" t="s">
        <v>2074</v>
      </c>
      <c r="B802" s="5" t="s">
        <v>2324</v>
      </c>
      <c r="C802" s="5" t="s">
        <v>2397</v>
      </c>
      <c r="D802" s="5" t="s">
        <v>2077</v>
      </c>
      <c r="E802" s="5" t="s">
        <v>14</v>
      </c>
      <c r="F802" s="5" t="s">
        <v>2078</v>
      </c>
      <c r="G802" s="5" t="s">
        <v>2079</v>
      </c>
      <c r="H802" s="5" t="s">
        <v>2326</v>
      </c>
      <c r="I802" s="5" t="s">
        <v>2398</v>
      </c>
      <c r="J802" s="5" t="s">
        <v>2399</v>
      </c>
      <c r="K802" s="7" t="str">
        <f ca="1">IFERROR(__xludf.DUMMYFUNCTION("GOOGLETRANSLATE(H802,""EN"",""ES"")"),"MUEBLES DE ALMACENAJE")</f>
        <v>MUEBLES DE ALMACENAJE</v>
      </c>
      <c r="L802" s="5" t="str">
        <f ca="1">IFERROR(__xludf.DUMMYFUNCTION("GOOGLETRANSLATE(J802,""EN"",""ES"")"),"Estantes para quioscos de periódicos")</f>
        <v>Estantes para quioscos de periódicos</v>
      </c>
      <c r="M802" s="8" t="s">
        <v>13</v>
      </c>
      <c r="N802" t="s">
        <v>13</v>
      </c>
    </row>
    <row r="803" spans="1:14" ht="11.25" customHeight="1">
      <c r="A803" s="5" t="s">
        <v>2074</v>
      </c>
      <c r="B803" s="5" t="s">
        <v>2324</v>
      </c>
      <c r="C803" s="5" t="s">
        <v>2400</v>
      </c>
      <c r="D803" s="5" t="s">
        <v>2077</v>
      </c>
      <c r="E803" s="5" t="s">
        <v>14</v>
      </c>
      <c r="F803" s="5" t="s">
        <v>2078</v>
      </c>
      <c r="G803" s="5" t="s">
        <v>2079</v>
      </c>
      <c r="H803" s="5" t="s">
        <v>2326</v>
      </c>
      <c r="I803" s="5" t="s">
        <v>2401</v>
      </c>
      <c r="J803" s="5" t="s">
        <v>2402</v>
      </c>
      <c r="K803" s="7" t="str">
        <f ca="1">IFERROR(__xludf.DUMMYFUNCTION("GOOGLETRANSLATE(H803,""EN"",""ES"")"),"MUEBLES DE ALMACENAJE")</f>
        <v>MUEBLES DE ALMACENAJE</v>
      </c>
      <c r="L803" s="5" t="str">
        <f ca="1">IFERROR(__xludf.DUMMYFUNCTION("GOOGLETRANSLATE(J803,""EN"",""ES"")"),"Archivadores de tarjetas [muebles]")</f>
        <v>Archivadores de tarjetas [muebles]</v>
      </c>
      <c r="M803" s="8" t="s">
        <v>13</v>
      </c>
      <c r="N803" t="s">
        <v>13</v>
      </c>
    </row>
    <row r="804" spans="1:14" ht="11.25" customHeight="1">
      <c r="A804" s="5" t="s">
        <v>2074</v>
      </c>
      <c r="B804" s="5" t="s">
        <v>2324</v>
      </c>
      <c r="C804" s="5" t="s">
        <v>2403</v>
      </c>
      <c r="D804" s="5" t="s">
        <v>2077</v>
      </c>
      <c r="E804" s="5" t="s">
        <v>14</v>
      </c>
      <c r="F804" s="5" t="s">
        <v>2078</v>
      </c>
      <c r="G804" s="5" t="s">
        <v>2079</v>
      </c>
      <c r="H804" s="5" t="s">
        <v>2326</v>
      </c>
      <c r="I804" s="5" t="s">
        <v>2404</v>
      </c>
      <c r="J804" s="5" t="s">
        <v>2405</v>
      </c>
      <c r="K804" s="7" t="str">
        <f ca="1">IFERROR(__xludf.DUMMYFUNCTION("GOOGLETRANSLATE(H804,""EN"",""ES"")"),"MUEBLES DE ALMACENAJE")</f>
        <v>MUEBLES DE ALMACENAJE</v>
      </c>
      <c r="L804" s="5" t="str">
        <f ca="1">IFERROR(__xludf.DUMMYFUNCTION("GOOGLETRANSLATE(J804,""EN"",""ES"")"),"Cajas fuertes para carne")</f>
        <v>Cajas fuertes para carne</v>
      </c>
      <c r="M804" s="8" t="s">
        <v>13</v>
      </c>
      <c r="N804" t="s">
        <v>13</v>
      </c>
    </row>
    <row r="805" spans="1:14" ht="11.25" customHeight="1">
      <c r="A805" s="5" t="s">
        <v>2074</v>
      </c>
      <c r="B805" s="5" t="s">
        <v>2324</v>
      </c>
      <c r="C805" s="5" t="s">
        <v>2403</v>
      </c>
      <c r="D805" s="5" t="s">
        <v>2077</v>
      </c>
      <c r="E805" s="5" t="s">
        <v>14</v>
      </c>
      <c r="F805" s="5" t="s">
        <v>2078</v>
      </c>
      <c r="G805" s="5" t="s">
        <v>2079</v>
      </c>
      <c r="H805" s="5" t="s">
        <v>2326</v>
      </c>
      <c r="I805" s="5" t="s">
        <v>2406</v>
      </c>
      <c r="J805" s="5" t="s">
        <v>152</v>
      </c>
      <c r="K805" s="7" t="str">
        <f ca="1">IFERROR(__xludf.DUMMYFUNCTION("GOOGLETRANSLATE(H805,""EN"",""ES"")"),"MUEBLES DE ALMACENAJE")</f>
        <v>MUEBLES DE ALMACENAJE</v>
      </c>
      <c r="L805" s="5" t="str">
        <f ca="1">IFERROR(__xludf.DUMMYFUNCTION("GOOGLETRANSLATE(J805,""EN"",""ES"")"),"Cofres de carne")</f>
        <v>Cofres de carne</v>
      </c>
      <c r="M805" s="8" t="s">
        <v>13</v>
      </c>
      <c r="N805" t="s">
        <v>13</v>
      </c>
    </row>
    <row r="806" spans="1:14" ht="11.25" customHeight="1">
      <c r="A806" s="5" t="s">
        <v>2074</v>
      </c>
      <c r="B806" s="5" t="s">
        <v>2324</v>
      </c>
      <c r="C806" s="5" t="s">
        <v>2407</v>
      </c>
      <c r="D806" s="5" t="s">
        <v>2077</v>
      </c>
      <c r="E806" s="5" t="s">
        <v>14</v>
      </c>
      <c r="F806" s="5" t="s">
        <v>2078</v>
      </c>
      <c r="G806" s="5" t="s">
        <v>2079</v>
      </c>
      <c r="H806" s="5" t="s">
        <v>2326</v>
      </c>
      <c r="I806" s="5" t="s">
        <v>2408</v>
      </c>
      <c r="J806" s="5" t="s">
        <v>2409</v>
      </c>
      <c r="K806" s="7" t="str">
        <f ca="1">IFERROR(__xludf.DUMMYFUNCTION("GOOGLETRANSLATE(H806,""EN"",""ES"")"),"MUEBLES DE ALMACENAJE")</f>
        <v>MUEBLES DE ALMACENAJE</v>
      </c>
      <c r="L806" s="5" t="str">
        <f ca="1">IFERROR(__xludf.DUMMYFUNCTION("GOOGLETRANSLATE(J806,""EN"",""ES"")"),"Armarios")</f>
        <v>Armarios</v>
      </c>
      <c r="M806" s="8" t="s">
        <v>13</v>
      </c>
      <c r="N806" t="s">
        <v>13</v>
      </c>
    </row>
    <row r="807" spans="1:14" ht="11.25" customHeight="1">
      <c r="A807" s="5" t="s">
        <v>2074</v>
      </c>
      <c r="B807" s="5" t="s">
        <v>2324</v>
      </c>
      <c r="C807" s="5" t="s">
        <v>2410</v>
      </c>
      <c r="D807" s="5" t="s">
        <v>2077</v>
      </c>
      <c r="E807" s="5" t="s">
        <v>14</v>
      </c>
      <c r="F807" s="5" t="s">
        <v>2078</v>
      </c>
      <c r="G807" s="5" t="s">
        <v>2079</v>
      </c>
      <c r="H807" s="5" t="s">
        <v>2326</v>
      </c>
      <c r="I807" s="5" t="s">
        <v>2411</v>
      </c>
      <c r="J807" s="5" t="s">
        <v>2412</v>
      </c>
      <c r="K807" s="7" t="str">
        <f ca="1">IFERROR(__xludf.DUMMYFUNCTION("GOOGLETRANSLATE(H807,""EN"",""ES"")"),"MUEBLES DE ALMACENAJE")</f>
        <v>MUEBLES DE ALMACENAJE</v>
      </c>
      <c r="L807" s="5" t="str">
        <f ca="1">IFERROR(__xludf.DUMMYFUNCTION("GOOGLETRANSLATE(J807,""EN"",""ES"")"),"Muebles con compartimentos")</f>
        <v>Muebles con compartimentos</v>
      </c>
      <c r="M807" s="8" t="s">
        <v>13</v>
      </c>
      <c r="N807" t="s">
        <v>13</v>
      </c>
    </row>
    <row r="808" spans="1:14" ht="11.25" customHeight="1">
      <c r="A808" s="5" t="s">
        <v>2074</v>
      </c>
      <c r="B808" s="5" t="s">
        <v>2324</v>
      </c>
      <c r="C808" s="5" t="s">
        <v>2413</v>
      </c>
      <c r="D808" s="5" t="s">
        <v>2077</v>
      </c>
      <c r="E808" s="5" t="s">
        <v>14</v>
      </c>
      <c r="F808" s="5" t="s">
        <v>2078</v>
      </c>
      <c r="G808" s="5" t="s">
        <v>2079</v>
      </c>
      <c r="H808" s="5" t="s">
        <v>2326</v>
      </c>
      <c r="I808" s="5" t="s">
        <v>2414</v>
      </c>
      <c r="J808" s="5" t="s">
        <v>2415</v>
      </c>
      <c r="K808" s="7" t="str">
        <f ca="1">IFERROR(__xludf.DUMMYFUNCTION("GOOGLETRANSLATE(H808,""EN"",""ES"")"),"MUEBLES DE ALMACENAJE")</f>
        <v>MUEBLES DE ALMACENAJE</v>
      </c>
      <c r="L808" s="5" t="str">
        <f ca="1">IFERROR(__xludf.DUMMYFUNCTION("GOOGLETRANSLATE(J808,""EN"",""ES"")"),"muebles con cajones")</f>
        <v>muebles con cajones</v>
      </c>
      <c r="M808" s="8" t="s">
        <v>13</v>
      </c>
      <c r="N808" t="s">
        <v>13</v>
      </c>
    </row>
    <row r="809" spans="1:14" ht="11.25" customHeight="1">
      <c r="A809" s="5" t="s">
        <v>2074</v>
      </c>
      <c r="B809" s="5" t="s">
        <v>2324</v>
      </c>
      <c r="C809" s="5" t="s">
        <v>2416</v>
      </c>
      <c r="D809" s="5" t="s">
        <v>2077</v>
      </c>
      <c r="E809" s="5" t="s">
        <v>14</v>
      </c>
      <c r="F809" s="5" t="s">
        <v>2078</v>
      </c>
      <c r="G809" s="5" t="s">
        <v>2079</v>
      </c>
      <c r="H809" s="5" t="s">
        <v>2326</v>
      </c>
      <c r="I809" s="5" t="s">
        <v>2417</v>
      </c>
      <c r="J809" s="5" t="s">
        <v>2418</v>
      </c>
      <c r="K809" s="7" t="str">
        <f ca="1">IFERROR(__xludf.DUMMYFUNCTION("GOOGLETRANSLATE(H809,""EN"",""ES"")"),"MUEBLES DE ALMACENAJE")</f>
        <v>MUEBLES DE ALMACENAJE</v>
      </c>
      <c r="L809" s="5" t="str">
        <f ca="1">IFERROR(__xludf.DUMMYFUNCTION("GOOGLETRANSLATE(J809,""EN"",""ES"")"),"muebles de almacenamiento")</f>
        <v>muebles de almacenamiento</v>
      </c>
      <c r="M809" s="8" t="s">
        <v>13</v>
      </c>
      <c r="N809" t="s">
        <v>13</v>
      </c>
    </row>
    <row r="810" spans="1:14" ht="11.25" customHeight="1">
      <c r="A810" s="5" t="s">
        <v>2074</v>
      </c>
      <c r="B810" s="5" t="s">
        <v>2324</v>
      </c>
      <c r="C810" s="5" t="s">
        <v>2419</v>
      </c>
      <c r="D810" s="5" t="s">
        <v>2077</v>
      </c>
      <c r="E810" s="5" t="s">
        <v>14</v>
      </c>
      <c r="F810" s="5" t="s">
        <v>2078</v>
      </c>
      <c r="G810" s="5" t="s">
        <v>2079</v>
      </c>
      <c r="H810" s="5" t="s">
        <v>2326</v>
      </c>
      <c r="I810" s="5" t="s">
        <v>2420</v>
      </c>
      <c r="J810" s="5" t="s">
        <v>2421</v>
      </c>
      <c r="K810" s="7" t="str">
        <f ca="1">IFERROR(__xludf.DUMMYFUNCTION("GOOGLETRANSLATE(H810,""EN"",""ES"")"),"MUEBLES DE ALMACENAJE")</f>
        <v>MUEBLES DE ALMACENAJE</v>
      </c>
      <c r="L810" s="5" t="str">
        <f ca="1">IFERROR(__xludf.DUMMYFUNCTION("GOOGLETRANSLATE(J810,""EN"",""ES"")"),"Percheros")</f>
        <v>Percheros</v>
      </c>
      <c r="M810" s="8" t="s">
        <v>13</v>
      </c>
      <c r="N810" t="s">
        <v>13</v>
      </c>
    </row>
    <row r="811" spans="1:14" ht="11.25" customHeight="1">
      <c r="A811" s="5" t="s">
        <v>2074</v>
      </c>
      <c r="B811" s="5" t="s">
        <v>2324</v>
      </c>
      <c r="C811" s="5" t="s">
        <v>2422</v>
      </c>
      <c r="D811" s="5" t="s">
        <v>2077</v>
      </c>
      <c r="E811" s="5" t="s">
        <v>14</v>
      </c>
      <c r="F811" s="5" t="s">
        <v>2078</v>
      </c>
      <c r="G811" s="5" t="s">
        <v>2079</v>
      </c>
      <c r="H811" s="5" t="s">
        <v>2326</v>
      </c>
      <c r="I811" s="5" t="s">
        <v>2423</v>
      </c>
      <c r="J811" s="5" t="s">
        <v>2424</v>
      </c>
      <c r="K811" s="7" t="str">
        <f ca="1">IFERROR(__xludf.DUMMYFUNCTION("GOOGLETRANSLATE(H811,""EN"",""ES"")"),"MUEBLES DE ALMACENAJE")</f>
        <v>MUEBLES DE ALMACENAJE</v>
      </c>
      <c r="L811" s="5" t="str">
        <f ca="1">IFERROR(__xludf.DUMMYFUNCTION("GOOGLETRANSLATE(J811,""EN"",""ES"")"),"Bastidores para bastones")</f>
        <v>Bastidores para bastones</v>
      </c>
      <c r="M811" s="8" t="s">
        <v>13</v>
      </c>
      <c r="N811" t="s">
        <v>13</v>
      </c>
    </row>
    <row r="812" spans="1:14" ht="11.25" customHeight="1">
      <c r="A812" s="5" t="s">
        <v>2074</v>
      </c>
      <c r="B812" s="5" t="s">
        <v>2324</v>
      </c>
      <c r="C812" s="5" t="s">
        <v>2425</v>
      </c>
      <c r="D812" s="5" t="s">
        <v>2077</v>
      </c>
      <c r="E812" s="5" t="s">
        <v>14</v>
      </c>
      <c r="F812" s="5" t="s">
        <v>2078</v>
      </c>
      <c r="G812" s="5" t="s">
        <v>2079</v>
      </c>
      <c r="H812" s="5" t="s">
        <v>2326</v>
      </c>
      <c r="I812" s="5" t="s">
        <v>2426</v>
      </c>
      <c r="J812" s="5" t="s">
        <v>2427</v>
      </c>
      <c r="K812" s="7" t="str">
        <f ca="1">IFERROR(__xludf.DUMMYFUNCTION("GOOGLETRANSLATE(H812,""EN"",""ES"")"),"MUEBLES DE ALMACENAJE")</f>
        <v>MUEBLES DE ALMACENAJE</v>
      </c>
      <c r="L812" s="5" t="str">
        <f ca="1">IFERROR(__xludf.DUMMYFUNCTION("GOOGLETRANSLATE(J812,""EN"",""ES"")"),"Zapateros")</f>
        <v>Zapateros</v>
      </c>
      <c r="M812" s="8" t="s">
        <v>13</v>
      </c>
      <c r="N812" t="s">
        <v>13</v>
      </c>
    </row>
    <row r="813" spans="1:14" ht="11.25" customHeight="1">
      <c r="A813" s="5" t="s">
        <v>2074</v>
      </c>
      <c r="B813" s="5" t="s">
        <v>2324</v>
      </c>
      <c r="C813" s="5" t="s">
        <v>2428</v>
      </c>
      <c r="D813" s="5" t="s">
        <v>2077</v>
      </c>
      <c r="E813" s="5" t="s">
        <v>14</v>
      </c>
      <c r="F813" s="5" t="s">
        <v>2078</v>
      </c>
      <c r="G813" s="5" t="s">
        <v>2079</v>
      </c>
      <c r="H813" s="5" t="s">
        <v>2326</v>
      </c>
      <c r="I813" s="5" t="s">
        <v>2429</v>
      </c>
      <c r="J813" s="5" t="s">
        <v>2430</v>
      </c>
      <c r="K813" s="7" t="str">
        <f ca="1">IFERROR(__xludf.DUMMYFUNCTION("GOOGLETRANSLATE(H813,""EN"",""ES"")"),"MUEBLES DE ALMACENAJE")</f>
        <v>MUEBLES DE ALMACENAJE</v>
      </c>
      <c r="L813" s="5" t="str">
        <f ca="1">IFERROR(__xludf.DUMMYFUNCTION("GOOGLETRANSLATE(J813,""EN"",""ES"")"),"Estantes para platos [muebles]")</f>
        <v>Estantes para platos [muebles]</v>
      </c>
      <c r="M813" s="8" t="s">
        <v>13</v>
      </c>
      <c r="N813" t="s">
        <v>13</v>
      </c>
    </row>
    <row r="814" spans="1:14" ht="11.25" customHeight="1">
      <c r="A814" s="5" t="s">
        <v>2074</v>
      </c>
      <c r="B814" s="5" t="s">
        <v>2324</v>
      </c>
      <c r="C814" s="5" t="s">
        <v>2428</v>
      </c>
      <c r="D814" s="5" t="s">
        <v>2077</v>
      </c>
      <c r="E814" s="5" t="s">
        <v>14</v>
      </c>
      <c r="F814" s="5" t="s">
        <v>2078</v>
      </c>
      <c r="G814" s="5" t="s">
        <v>2079</v>
      </c>
      <c r="H814" s="5" t="s">
        <v>2326</v>
      </c>
      <c r="I814" s="5" t="s">
        <v>152</v>
      </c>
      <c r="J814" s="5" t="s">
        <v>2431</v>
      </c>
      <c r="K814" s="7" t="str">
        <f ca="1">IFERROR(__xludf.DUMMYFUNCTION("GOOGLETRANSLATE(H814,""EN"",""ES"")"),"MUEBLES DE ALMACENAJE")</f>
        <v>MUEBLES DE ALMACENAJE</v>
      </c>
      <c r="L814" s="5" t="str">
        <f ca="1">IFERROR(__xludf.DUMMYFUNCTION("GOOGLETRANSLATE(J814,""EN"",""ES"")"),"N / A")</f>
        <v>N / A</v>
      </c>
      <c r="M814" s="8" t="s">
        <v>13</v>
      </c>
      <c r="N814" t="s">
        <v>13</v>
      </c>
    </row>
    <row r="815" spans="1:14" ht="11.25" customHeight="1">
      <c r="A815" s="5" t="s">
        <v>2074</v>
      </c>
      <c r="B815" s="5" t="s">
        <v>2324</v>
      </c>
      <c r="C815" s="5" t="s">
        <v>2432</v>
      </c>
      <c r="D815" s="5" t="s">
        <v>2077</v>
      </c>
      <c r="E815" s="5" t="s">
        <v>14</v>
      </c>
      <c r="F815" s="5" t="s">
        <v>2078</v>
      </c>
      <c r="G815" s="5" t="s">
        <v>2079</v>
      </c>
      <c r="H815" s="5" t="s">
        <v>2326</v>
      </c>
      <c r="I815" s="5" t="s">
        <v>2433</v>
      </c>
      <c r="J815" s="5" t="s">
        <v>2434</v>
      </c>
      <c r="K815" s="7" t="str">
        <f ca="1">IFERROR(__xludf.DUMMYFUNCTION("GOOGLETRANSLATE(H815,""EN"",""ES"")"),"MUEBLES DE ALMACENAJE")</f>
        <v>MUEBLES DE ALMACENAJE</v>
      </c>
      <c r="L815" s="5" t="str">
        <f ca="1">IFERROR(__xludf.DUMMYFUNCTION("GOOGLETRANSLATE(J815,""EN"",""ES"")"),"Estantería")</f>
        <v>Estantería</v>
      </c>
      <c r="M815" s="8" t="s">
        <v>13</v>
      </c>
      <c r="N815" t="s">
        <v>13</v>
      </c>
    </row>
    <row r="816" spans="1:14" ht="11.25" customHeight="1">
      <c r="A816" s="5" t="s">
        <v>2074</v>
      </c>
      <c r="B816" s="5" t="s">
        <v>2324</v>
      </c>
      <c r="C816" s="5" t="s">
        <v>2435</v>
      </c>
      <c r="D816" s="5" t="s">
        <v>2077</v>
      </c>
      <c r="E816" s="5" t="s">
        <v>14</v>
      </c>
      <c r="F816" s="5" t="s">
        <v>2078</v>
      </c>
      <c r="G816" s="5" t="s">
        <v>2079</v>
      </c>
      <c r="H816" s="5" t="s">
        <v>2326</v>
      </c>
      <c r="I816" s="5" t="s">
        <v>2436</v>
      </c>
      <c r="J816" s="5" t="s">
        <v>2437</v>
      </c>
      <c r="K816" s="7" t="str">
        <f ca="1">IFERROR(__xludf.DUMMYFUNCTION("GOOGLETRANSLATE(H816,""EN"",""ES"")"),"MUEBLES DE ALMACENAJE")</f>
        <v>MUEBLES DE ALMACENAJE</v>
      </c>
      <c r="L816" s="5" t="str">
        <f ca="1">IFERROR(__xludf.DUMMYFUNCTION("GOOGLETRANSLATE(J816,""EN"",""ES"")"),"Cómodas de cocina [muebles]")</f>
        <v>Cómodas de cocina [muebles]</v>
      </c>
      <c r="M816" s="8" t="s">
        <v>13</v>
      </c>
      <c r="N816" t="s">
        <v>13</v>
      </c>
    </row>
    <row r="817" spans="1:14" ht="11.25" customHeight="1">
      <c r="A817" s="5" t="s">
        <v>2074</v>
      </c>
      <c r="B817" s="5" t="s">
        <v>2324</v>
      </c>
      <c r="C817" s="5" t="s">
        <v>2438</v>
      </c>
      <c r="D817" s="5" t="s">
        <v>2077</v>
      </c>
      <c r="E817" s="5" t="s">
        <v>14</v>
      </c>
      <c r="F817" s="5" t="s">
        <v>2078</v>
      </c>
      <c r="G817" s="5" t="s">
        <v>2079</v>
      </c>
      <c r="H817" s="5" t="s">
        <v>2326</v>
      </c>
      <c r="I817" s="5" t="s">
        <v>2439</v>
      </c>
      <c r="J817" s="5" t="s">
        <v>2440</v>
      </c>
      <c r="K817" s="7" t="str">
        <f ca="1">IFERROR(__xludf.DUMMYFUNCTION("GOOGLETRANSLATE(H817,""EN"",""ES"")"),"MUEBLES DE ALMACENAJE")</f>
        <v>MUEBLES DE ALMACENAJE</v>
      </c>
      <c r="L817" s="5" t="str">
        <f ca="1">IFERROR(__xludf.DUMMYFUNCTION("GOOGLETRANSLATE(J817,""EN"",""ES"")"),"Vitrinas [muebles]")</f>
        <v>Vitrinas [muebles]</v>
      </c>
      <c r="M817" s="8" t="s">
        <v>13</v>
      </c>
      <c r="N817" t="s">
        <v>13</v>
      </c>
    </row>
    <row r="818" spans="1:14" ht="11.25" customHeight="1">
      <c r="A818" s="5" t="s">
        <v>2074</v>
      </c>
      <c r="B818" s="5" t="s">
        <v>2324</v>
      </c>
      <c r="C818" s="5" t="s">
        <v>2438</v>
      </c>
      <c r="D818" s="5" t="s">
        <v>2077</v>
      </c>
      <c r="E818" s="5" t="s">
        <v>14</v>
      </c>
      <c r="F818" s="5" t="s">
        <v>2078</v>
      </c>
      <c r="G818" s="5" t="s">
        <v>2079</v>
      </c>
      <c r="H818" s="5" t="s">
        <v>2326</v>
      </c>
      <c r="I818" s="5" t="s">
        <v>2441</v>
      </c>
      <c r="J818" s="5" t="s">
        <v>152</v>
      </c>
      <c r="K818" s="7" t="str">
        <f ca="1">IFERROR(__xludf.DUMMYFUNCTION("GOOGLETRANSLATE(H818,""EN"",""ES"")"),"MUEBLES DE ALMACENAJE")</f>
        <v>MUEBLES DE ALMACENAJE</v>
      </c>
      <c r="L818" s="5" t="str">
        <f ca="1">IFERROR(__xludf.DUMMYFUNCTION("GOOGLETRANSLATE(J818,""EN"",""ES"")"),"Vitrinas de cristal")</f>
        <v>Vitrinas de cristal</v>
      </c>
      <c r="M818" s="8" t="s">
        <v>13</v>
      </c>
      <c r="N818" t="s">
        <v>13</v>
      </c>
    </row>
    <row r="819" spans="1:14" ht="11.25" customHeight="1">
      <c r="A819" s="5" t="s">
        <v>2074</v>
      </c>
      <c r="B819" s="5" t="s">
        <v>2324</v>
      </c>
      <c r="C819" s="5" t="s">
        <v>2442</v>
      </c>
      <c r="D819" s="5" t="s">
        <v>2077</v>
      </c>
      <c r="E819" s="5" t="s">
        <v>14</v>
      </c>
      <c r="F819" s="5" t="s">
        <v>2078</v>
      </c>
      <c r="G819" s="5" t="s">
        <v>2079</v>
      </c>
      <c r="H819" s="5" t="s">
        <v>2326</v>
      </c>
      <c r="I819" s="5" t="s">
        <v>2443</v>
      </c>
      <c r="J819" s="5" t="s">
        <v>2444</v>
      </c>
      <c r="K819" s="7" t="str">
        <f ca="1">IFERROR(__xludf.DUMMYFUNCTION("GOOGLETRANSLATE(H819,""EN"",""ES"")"),"MUEBLES DE ALMACENAJE")</f>
        <v>MUEBLES DE ALMACENAJE</v>
      </c>
      <c r="L819" s="5" t="str">
        <f ca="1">IFERROR(__xludf.DUMMYFUNCTION("GOOGLETRANSLATE(J819,""EN"",""ES"")"),"Estantes para flores")</f>
        <v>Estantes para flores</v>
      </c>
      <c r="M819" s="8" t="s">
        <v>13</v>
      </c>
      <c r="N819" t="s">
        <v>16</v>
      </c>
    </row>
    <row r="820" spans="1:14" ht="11.25" customHeight="1">
      <c r="A820" s="5" t="s">
        <v>2074</v>
      </c>
      <c r="B820" s="5" t="s">
        <v>2324</v>
      </c>
      <c r="C820" s="5" t="s">
        <v>2445</v>
      </c>
      <c r="D820" s="5" t="s">
        <v>2077</v>
      </c>
      <c r="E820" s="5" t="s">
        <v>14</v>
      </c>
      <c r="F820" s="5" t="s">
        <v>2078</v>
      </c>
      <c r="G820" s="5" t="s">
        <v>2079</v>
      </c>
      <c r="H820" s="5" t="s">
        <v>2326</v>
      </c>
      <c r="I820" s="5" t="s">
        <v>2446</v>
      </c>
      <c r="J820" s="5" t="s">
        <v>2447</v>
      </c>
      <c r="K820" s="7" t="str">
        <f ca="1">IFERROR(__xludf.DUMMYFUNCTION("GOOGLETRANSLATE(H820,""EN"",""ES"")"),"MUEBLES DE ALMACENAJE")</f>
        <v>MUEBLES DE ALMACENAJE</v>
      </c>
      <c r="L820" s="5" t="str">
        <f ca="1">IFERROR(__xludf.DUMMYFUNCTION("GOOGLETRANSLATE(J820,""EN"",""ES"")"),"Gabinetes religiosos")</f>
        <v>Gabinetes religiosos</v>
      </c>
      <c r="M820" s="8" t="s">
        <v>13</v>
      </c>
      <c r="N820" t="s">
        <v>13</v>
      </c>
    </row>
    <row r="821" spans="1:14" ht="11.25" customHeight="1">
      <c r="A821" s="5" t="s">
        <v>2074</v>
      </c>
      <c r="B821" s="5" t="s">
        <v>2324</v>
      </c>
      <c r="C821" s="5" t="s">
        <v>2445</v>
      </c>
      <c r="D821" s="5" t="s">
        <v>2077</v>
      </c>
      <c r="E821" s="5" t="s">
        <v>14</v>
      </c>
      <c r="F821" s="5" t="s">
        <v>2078</v>
      </c>
      <c r="G821" s="5" t="s">
        <v>2079</v>
      </c>
      <c r="H821" s="5" t="s">
        <v>2326</v>
      </c>
      <c r="I821" s="5" t="s">
        <v>2447</v>
      </c>
      <c r="J821" s="5" t="s">
        <v>2448</v>
      </c>
      <c r="K821" s="7" t="str">
        <f ca="1">IFERROR(__xludf.DUMMYFUNCTION("GOOGLETRANSLATE(H821,""EN"",""ES"")"),"MUEBLES DE ALMACENAJE")</f>
        <v>MUEBLES DE ALMACENAJE</v>
      </c>
      <c r="L821" s="5" t="str">
        <f ca="1">IFERROR(__xludf.DUMMYFUNCTION("GOOGLETRANSLATE(J821,""EN"",""ES"")"),"Tabernáculos")</f>
        <v>Tabernáculos</v>
      </c>
      <c r="M821" s="8" t="s">
        <v>13</v>
      </c>
      <c r="N821" t="s">
        <v>13</v>
      </c>
    </row>
    <row r="822" spans="1:14" ht="11.25" customHeight="1">
      <c r="A822" s="5" t="s">
        <v>2074</v>
      </c>
      <c r="B822" s="5" t="s">
        <v>2324</v>
      </c>
      <c r="C822" s="5" t="s">
        <v>2449</v>
      </c>
      <c r="D822" s="5" t="s">
        <v>2077</v>
      </c>
      <c r="E822" s="5" t="s">
        <v>14</v>
      </c>
      <c r="F822" s="5" t="s">
        <v>2078</v>
      </c>
      <c r="G822" s="5" t="s">
        <v>2079</v>
      </c>
      <c r="H822" s="5" t="s">
        <v>2326</v>
      </c>
      <c r="I822" s="5" t="s">
        <v>2450</v>
      </c>
      <c r="J822" s="5" t="s">
        <v>2451</v>
      </c>
      <c r="K822" s="7" t="str">
        <f ca="1">IFERROR(__xludf.DUMMYFUNCTION("GOOGLETRANSLATE(H822,""EN"",""ES"")"),"MUEBLES DE ALMACENAJE")</f>
        <v>MUEBLES DE ALMACENAJE</v>
      </c>
      <c r="L822" s="5" t="str">
        <f ca="1">IFERROR(__xludf.DUMMYFUNCTION("GOOGLETRANSLATE(J822,""EN"",""ES"")"),"Botelleros [para almacenamiento]")</f>
        <v>Botelleros [para almacenamiento]</v>
      </c>
      <c r="M822" s="8" t="s">
        <v>13</v>
      </c>
      <c r="N822" t="s">
        <v>13</v>
      </c>
    </row>
    <row r="823" spans="1:14" ht="11.25" customHeight="1">
      <c r="A823" s="5" t="s">
        <v>2074</v>
      </c>
      <c r="B823" s="5" t="s">
        <v>2324</v>
      </c>
      <c r="C823" s="5" t="s">
        <v>2449</v>
      </c>
      <c r="D823" s="5" t="s">
        <v>2077</v>
      </c>
      <c r="E823" s="5" t="s">
        <v>14</v>
      </c>
      <c r="F823" s="5" t="s">
        <v>2078</v>
      </c>
      <c r="G823" s="5" t="s">
        <v>2079</v>
      </c>
      <c r="H823" s="5" t="s">
        <v>2326</v>
      </c>
      <c r="I823" s="5" t="s">
        <v>152</v>
      </c>
      <c r="J823" s="5" t="s">
        <v>2452</v>
      </c>
      <c r="K823" s="7" t="str">
        <f ca="1">IFERROR(__xludf.DUMMYFUNCTION("GOOGLETRANSLATE(H823,""EN"",""ES"")"),"MUEBLES DE ALMACENAJE")</f>
        <v>MUEBLES DE ALMACENAJE</v>
      </c>
      <c r="L823" s="5" t="str">
        <f ca="1">IFERROR(__xludf.DUMMYFUNCTION("GOOGLETRANSLATE(J823,""EN"",""ES"")"),"N / A")</f>
        <v>N / A</v>
      </c>
      <c r="M823" s="8" t="s">
        <v>13</v>
      </c>
      <c r="N823" t="s">
        <v>13</v>
      </c>
    </row>
    <row r="824" spans="1:14" ht="11.25" customHeight="1">
      <c r="A824" s="5" t="s">
        <v>2074</v>
      </c>
      <c r="B824" s="5" t="s">
        <v>2324</v>
      </c>
      <c r="C824" s="5" t="s">
        <v>2453</v>
      </c>
      <c r="D824" s="5" t="s">
        <v>2077</v>
      </c>
      <c r="E824" s="5" t="s">
        <v>14</v>
      </c>
      <c r="F824" s="5" t="s">
        <v>2078</v>
      </c>
      <c r="G824" s="5" t="s">
        <v>2079</v>
      </c>
      <c r="H824" s="5" t="s">
        <v>2326</v>
      </c>
      <c r="I824" s="5" t="s">
        <v>2454</v>
      </c>
      <c r="J824" s="5" t="s">
        <v>2455</v>
      </c>
      <c r="K824" s="7" t="str">
        <f ca="1">IFERROR(__xludf.DUMMYFUNCTION("GOOGLETRANSLATE(H824,""EN"",""ES"")"),"MUEBLES DE ALMACENAJE")</f>
        <v>MUEBLES DE ALMACENAJE</v>
      </c>
      <c r="L824" s="5" t="str">
        <f ca="1">IFERROR(__xludf.DUMMYFUNCTION("GOOGLETRANSLATE(J824,""EN"",""ES"")"),"Armarios para discos fonográficos.")</f>
        <v>Armarios para discos fonográficos.</v>
      </c>
      <c r="M824" s="8" t="s">
        <v>13</v>
      </c>
      <c r="N824" t="s">
        <v>15</v>
      </c>
    </row>
    <row r="825" spans="1:14" ht="11.25" customHeight="1">
      <c r="A825" s="5" t="s">
        <v>2074</v>
      </c>
      <c r="B825" s="5" t="s">
        <v>2324</v>
      </c>
      <c r="C825" s="5" t="s">
        <v>2456</v>
      </c>
      <c r="D825" s="5" t="s">
        <v>2077</v>
      </c>
      <c r="E825" s="5" t="s">
        <v>14</v>
      </c>
      <c r="F825" s="5" t="s">
        <v>2078</v>
      </c>
      <c r="G825" s="5" t="s">
        <v>2079</v>
      </c>
      <c r="H825" s="5" t="s">
        <v>2326</v>
      </c>
      <c r="I825" s="5" t="s">
        <v>2457</v>
      </c>
      <c r="J825" s="5" t="s">
        <v>2458</v>
      </c>
      <c r="K825" s="7" t="str">
        <f ca="1">IFERROR(__xludf.DUMMYFUNCTION("GOOGLETRANSLATE(H825,""EN"",""ES"")"),"MUEBLES DE ALMACENAJE")</f>
        <v>MUEBLES DE ALMACENAJE</v>
      </c>
      <c r="L825" s="5" t="str">
        <f ca="1">IFERROR(__xludf.DUMMYFUNCTION("GOOGLETRANSLATE(J825,""EN"",""ES"")"),"Cofres de zapatos")</f>
        <v>Cofres de zapatos</v>
      </c>
      <c r="M825" s="8" t="s">
        <v>13</v>
      </c>
      <c r="N825" t="s">
        <v>13</v>
      </c>
    </row>
    <row r="826" spans="1:14" ht="11.25" customHeight="1">
      <c r="A826" s="5" t="s">
        <v>2074</v>
      </c>
      <c r="B826" s="5" t="s">
        <v>2324</v>
      </c>
      <c r="C826" s="5" t="s">
        <v>2459</v>
      </c>
      <c r="D826" s="5" t="s">
        <v>2077</v>
      </c>
      <c r="E826" s="5" t="s">
        <v>14</v>
      </c>
      <c r="F826" s="5" t="s">
        <v>2078</v>
      </c>
      <c r="G826" s="5" t="s">
        <v>2079</v>
      </c>
      <c r="H826" s="5" t="s">
        <v>2326</v>
      </c>
      <c r="I826" s="5" t="s">
        <v>2460</v>
      </c>
      <c r="J826" s="5" t="s">
        <v>2461</v>
      </c>
      <c r="K826" s="7" t="str">
        <f ca="1">IFERROR(__xludf.DUMMYFUNCTION("GOOGLETRANSLATE(H826,""EN"",""ES"")"),"MUEBLES DE ALMACENAJE")</f>
        <v>MUEBLES DE ALMACENAJE</v>
      </c>
      <c r="L826" s="5" t="str">
        <f ca="1">IFERROR(__xludf.DUMMYFUNCTION("GOOGLETRANSLATE(J826,""EN"",""ES"")"),"Gradillas para tubos de ensayo")</f>
        <v>Gradillas para tubos de ensayo</v>
      </c>
      <c r="M826" s="8" t="s">
        <v>13</v>
      </c>
      <c r="N826" t="s">
        <v>13</v>
      </c>
    </row>
    <row r="827" spans="1:14" ht="11.25" customHeight="1">
      <c r="A827" s="5" t="s">
        <v>2074</v>
      </c>
      <c r="B827" s="5" t="s">
        <v>2324</v>
      </c>
      <c r="C827" s="5" t="s">
        <v>2462</v>
      </c>
      <c r="D827" s="5" t="s">
        <v>2077</v>
      </c>
      <c r="E827" s="5" t="s">
        <v>14</v>
      </c>
      <c r="F827" s="5" t="s">
        <v>2078</v>
      </c>
      <c r="G827" s="5" t="s">
        <v>2079</v>
      </c>
      <c r="H827" s="5" t="s">
        <v>2326</v>
      </c>
      <c r="I827" s="5" t="s">
        <v>2463</v>
      </c>
      <c r="J827" s="5" t="s">
        <v>2464</v>
      </c>
      <c r="K827" s="7" t="str">
        <f ca="1">IFERROR(__xludf.DUMMYFUNCTION("GOOGLETRANSLATE(H827,""EN"",""ES"")"),"MUEBLES DE ALMACENAJE")</f>
        <v>MUEBLES DE ALMACENAJE</v>
      </c>
      <c r="L827" s="5" t="str">
        <f ca="1">IFERROR(__xludf.DUMMYFUNCTION("GOOGLETRANSLATE(J827,""EN"",""ES"")"),"Armarios para aparatos de telecomunicaciones.")</f>
        <v>Armarios para aparatos de telecomunicaciones.</v>
      </c>
      <c r="M827" s="8" t="s">
        <v>13</v>
      </c>
      <c r="N827" t="s">
        <v>13</v>
      </c>
    </row>
    <row r="828" spans="1:14" ht="11.25" customHeight="1">
      <c r="A828" s="5" t="s">
        <v>2074</v>
      </c>
      <c r="B828" s="5" t="s">
        <v>2324</v>
      </c>
      <c r="C828" s="5" t="s">
        <v>2465</v>
      </c>
      <c r="D828" s="5" t="s">
        <v>2077</v>
      </c>
      <c r="E828" s="5" t="s">
        <v>14</v>
      </c>
      <c r="F828" s="5" t="s">
        <v>2078</v>
      </c>
      <c r="G828" s="5" t="s">
        <v>2079</v>
      </c>
      <c r="H828" s="5" t="s">
        <v>2326</v>
      </c>
      <c r="I828" s="5" t="s">
        <v>2466</v>
      </c>
      <c r="J828" s="5" t="s">
        <v>2467</v>
      </c>
      <c r="K828" s="7" t="str">
        <f ca="1">IFERROR(__xludf.DUMMYFUNCTION("GOOGLETRANSLATE(H828,""EN"",""ES"")"),"MUEBLES DE ALMACENAJE")</f>
        <v>MUEBLES DE ALMACENAJE</v>
      </c>
      <c r="L828" s="5" t="str">
        <f ca="1">IFERROR(__xludf.DUMMYFUNCTION("GOOGLETRANSLATE(J828,""EN"",""ES"")"),"Rejillas para cacerolas")</f>
        <v>Rejillas para cacerolas</v>
      </c>
      <c r="M828" s="8" t="s">
        <v>13</v>
      </c>
      <c r="N828" t="s">
        <v>13</v>
      </c>
    </row>
    <row r="829" spans="1:14" ht="11.25" customHeight="1">
      <c r="A829" s="5" t="s">
        <v>2074</v>
      </c>
      <c r="B829" s="5" t="s">
        <v>2324</v>
      </c>
      <c r="C829" s="5" t="s">
        <v>2468</v>
      </c>
      <c r="D829" s="5" t="s">
        <v>2077</v>
      </c>
      <c r="E829" s="5" t="s">
        <v>14</v>
      </c>
      <c r="F829" s="5" t="s">
        <v>2078</v>
      </c>
      <c r="G829" s="5" t="s">
        <v>2079</v>
      </c>
      <c r="H829" s="5" t="s">
        <v>2326</v>
      </c>
      <c r="I829" s="5" t="s">
        <v>2469</v>
      </c>
      <c r="J829" s="5" t="s">
        <v>2470</v>
      </c>
      <c r="K829" s="7" t="str">
        <f ca="1">IFERROR(__xludf.DUMMYFUNCTION("GOOGLETRANSLATE(H829,""EN"",""ES"")"),"MUEBLES DE ALMACENAJE")</f>
        <v>MUEBLES DE ALMACENAJE</v>
      </c>
      <c r="L829" s="5" t="str">
        <f ca="1">IFERROR(__xludf.DUMMYFUNCTION("GOOGLETRANSLATE(J829,""EN"",""ES"")"),"Paragüeros")</f>
        <v>Paragüeros</v>
      </c>
      <c r="M829" s="8" t="s">
        <v>13</v>
      </c>
      <c r="N829" t="s">
        <v>15</v>
      </c>
    </row>
    <row r="830" spans="1:14" ht="11.25" customHeight="1">
      <c r="A830" s="5" t="s">
        <v>2074</v>
      </c>
      <c r="B830" s="5" t="s">
        <v>2324</v>
      </c>
      <c r="C830" s="5" t="s">
        <v>2471</v>
      </c>
      <c r="D830" s="5" t="s">
        <v>2077</v>
      </c>
      <c r="E830" s="5" t="s">
        <v>14</v>
      </c>
      <c r="F830" s="5" t="s">
        <v>2078</v>
      </c>
      <c r="G830" s="5" t="s">
        <v>2079</v>
      </c>
      <c r="H830" s="5" t="s">
        <v>2326</v>
      </c>
      <c r="I830" s="5" t="s">
        <v>2472</v>
      </c>
      <c r="J830" s="5" t="s">
        <v>2473</v>
      </c>
      <c r="K830" s="7" t="str">
        <f ca="1">IFERROR(__xludf.DUMMYFUNCTION("GOOGLETRANSLATE(H830,""EN"",""ES"")"),"MUEBLES DE ALMACENAJE")</f>
        <v>MUEBLES DE ALMACENAJE</v>
      </c>
      <c r="L830" s="5" t="str">
        <f ca="1">IFERROR(__xludf.DUMMYFUNCTION("GOOGLETRANSLATE(J830,""EN"",""ES"")"),"Bastidores de armas")</f>
        <v>Bastidores de armas</v>
      </c>
      <c r="M830" s="8" t="s">
        <v>13</v>
      </c>
      <c r="N830" t="s">
        <v>13</v>
      </c>
    </row>
    <row r="831" spans="1:14" ht="11.25" customHeight="1">
      <c r="A831" s="5" t="s">
        <v>2074</v>
      </c>
      <c r="B831" s="5" t="s">
        <v>2324</v>
      </c>
      <c r="C831" s="5" t="s">
        <v>2474</v>
      </c>
      <c r="D831" s="5" t="s">
        <v>2077</v>
      </c>
      <c r="E831" s="5" t="s">
        <v>14</v>
      </c>
      <c r="F831" s="5" t="s">
        <v>2078</v>
      </c>
      <c r="G831" s="5" t="s">
        <v>2079</v>
      </c>
      <c r="H831" s="5" t="s">
        <v>2326</v>
      </c>
      <c r="I831" s="5" t="s">
        <v>2475</v>
      </c>
      <c r="J831" s="5" t="s">
        <v>2476</v>
      </c>
      <c r="K831" s="7" t="str">
        <f ca="1">IFERROR(__xludf.DUMMYFUNCTION("GOOGLETRANSLATE(H831,""EN"",""ES"")"),"MUEBLES DE ALMACENAJE")</f>
        <v>MUEBLES DE ALMACENAJE</v>
      </c>
      <c r="L831" s="5" t="str">
        <f ca="1">IFERROR(__xludf.DUMMYFUNCTION("GOOGLETRANSLATE(J831,""EN"",""ES"")"),"Muebles de almacenamiento para discos.")</f>
        <v>Muebles de almacenamiento para discos.</v>
      </c>
      <c r="M831" s="8" t="s">
        <v>13</v>
      </c>
      <c r="N831" t="s">
        <v>13</v>
      </c>
    </row>
    <row r="832" spans="1:14" ht="11.25" customHeight="1">
      <c r="A832" s="5" t="s">
        <v>2074</v>
      </c>
      <c r="B832" s="5" t="s">
        <v>2324</v>
      </c>
      <c r="C832" s="5" t="s">
        <v>2477</v>
      </c>
      <c r="D832" s="5" t="s">
        <v>2077</v>
      </c>
      <c r="E832" s="5" t="s">
        <v>14</v>
      </c>
      <c r="F832" s="5" t="s">
        <v>2078</v>
      </c>
      <c r="G832" s="5" t="s">
        <v>2079</v>
      </c>
      <c r="H832" s="5" t="s">
        <v>2326</v>
      </c>
      <c r="I832" s="5" t="s">
        <v>2478</v>
      </c>
      <c r="J832" s="5" t="s">
        <v>2479</v>
      </c>
      <c r="K832" s="7" t="str">
        <f ca="1">IFERROR(__xludf.DUMMYFUNCTION("GOOGLETRANSLATE(H832,""EN"",""ES"")"),"MUEBLES DE ALMACENAJE")</f>
        <v>MUEBLES DE ALMACENAJE</v>
      </c>
      <c r="L832" s="5" t="str">
        <f ca="1">IFERROR(__xludf.DUMMYFUNCTION("GOOGLETRANSLATE(J832,""EN"",""ES"")"),"Bastidores de almacenamiento para discos")</f>
        <v>Bastidores de almacenamiento para discos</v>
      </c>
      <c r="M832" s="8" t="s">
        <v>13</v>
      </c>
      <c r="N832" t="s">
        <v>13</v>
      </c>
    </row>
    <row r="833" spans="1:14" ht="11.25" customHeight="1">
      <c r="A833" s="5" t="s">
        <v>2074</v>
      </c>
      <c r="B833" s="5" t="s">
        <v>2324</v>
      </c>
      <c r="C833" s="5" t="s">
        <v>2480</v>
      </c>
      <c r="D833" s="5" t="s">
        <v>2077</v>
      </c>
      <c r="E833" s="5" t="s">
        <v>14</v>
      </c>
      <c r="F833" s="5" t="s">
        <v>2078</v>
      </c>
      <c r="G833" s="5" t="s">
        <v>2079</v>
      </c>
      <c r="H833" s="5" t="s">
        <v>2326</v>
      </c>
      <c r="I833" s="5" t="s">
        <v>2481</v>
      </c>
      <c r="J833" s="5" t="s">
        <v>2482</v>
      </c>
      <c r="K833" s="7" t="str">
        <f ca="1">IFERROR(__xludf.DUMMYFUNCTION("GOOGLETRANSLATE(H833,""EN"",""ES"")"),"MUEBLES DE ALMACENAJE")</f>
        <v>MUEBLES DE ALMACENAJE</v>
      </c>
      <c r="L833" s="5" t="str">
        <f ca="1">IFERROR(__xludf.DUMMYFUNCTION("GOOGLETRANSLATE(J833,""EN"",""ES"")"),"expositores de cuchillos")</f>
        <v>expositores de cuchillos</v>
      </c>
      <c r="M833" s="8" t="s">
        <v>13</v>
      </c>
      <c r="N833" t="s">
        <v>13</v>
      </c>
    </row>
    <row r="834" spans="1:14" ht="11.25" customHeight="1">
      <c r="A834" s="5" t="s">
        <v>2074</v>
      </c>
      <c r="B834" s="5" t="s">
        <v>2324</v>
      </c>
      <c r="C834" s="5" t="s">
        <v>2483</v>
      </c>
      <c r="D834" s="5" t="s">
        <v>2077</v>
      </c>
      <c r="E834" s="5" t="s">
        <v>14</v>
      </c>
      <c r="F834" s="5" t="s">
        <v>2078</v>
      </c>
      <c r="G834" s="5" t="s">
        <v>2079</v>
      </c>
      <c r="H834" s="5" t="s">
        <v>2326</v>
      </c>
      <c r="I834" s="5" t="s">
        <v>2484</v>
      </c>
      <c r="J834" s="5" t="s">
        <v>2485</v>
      </c>
      <c r="K834" s="7" t="str">
        <f ca="1">IFERROR(__xludf.DUMMYFUNCTION("GOOGLETRANSLATE(H834,""EN"",""ES"")"),"MUEBLES DE ALMACENAJE")</f>
        <v>MUEBLES DE ALMACENAJE</v>
      </c>
      <c r="L834" s="5" t="str">
        <f ca="1">IFERROR(__xludf.DUMMYFUNCTION("GOOGLETRANSLATE(J834,""EN"",""ES"")"),"Bastidores para colgar herramientas")</f>
        <v>Bastidores para colgar herramientas</v>
      </c>
      <c r="M834" s="8" t="s">
        <v>13</v>
      </c>
      <c r="N834" t="s">
        <v>13</v>
      </c>
    </row>
    <row r="835" spans="1:14" ht="11.25" customHeight="1">
      <c r="A835" s="5" t="s">
        <v>2074</v>
      </c>
      <c r="B835" s="5" t="s">
        <v>2324</v>
      </c>
      <c r="C835" s="5" t="s">
        <v>2486</v>
      </c>
      <c r="D835" s="5" t="s">
        <v>2077</v>
      </c>
      <c r="E835" s="5" t="s">
        <v>14</v>
      </c>
      <c r="F835" s="5" t="s">
        <v>2078</v>
      </c>
      <c r="G835" s="5" t="s">
        <v>2079</v>
      </c>
      <c r="H835" s="5" t="s">
        <v>2326</v>
      </c>
      <c r="I835" s="5" t="s">
        <v>2487</v>
      </c>
      <c r="J835" s="5" t="s">
        <v>2488</v>
      </c>
      <c r="K835" s="7" t="str">
        <f ca="1">IFERROR(__xludf.DUMMYFUNCTION("GOOGLETRANSLATE(H835,""EN"",""ES"")"),"MUEBLES DE ALMACENAJE")</f>
        <v>MUEBLES DE ALMACENAJE</v>
      </c>
      <c r="L835" s="5" t="str">
        <f ca="1">IFERROR(__xludf.DUMMYFUNCTION("GOOGLETRANSLATE(J835,""EN"",""ES"")"),"Soportes para tacos de billar")</f>
        <v>Soportes para tacos de billar</v>
      </c>
      <c r="M835" s="8" t="s">
        <v>13</v>
      </c>
      <c r="N835" t="s">
        <v>13</v>
      </c>
    </row>
    <row r="836" spans="1:14" ht="11.25" customHeight="1">
      <c r="A836" s="5" t="s">
        <v>2074</v>
      </c>
      <c r="B836" s="5" t="s">
        <v>2324</v>
      </c>
      <c r="C836" s="5" t="s">
        <v>2489</v>
      </c>
      <c r="D836" s="5" t="s">
        <v>2077</v>
      </c>
      <c r="E836" s="5" t="s">
        <v>14</v>
      </c>
      <c r="F836" s="5" t="s">
        <v>2078</v>
      </c>
      <c r="G836" s="5" t="s">
        <v>2079</v>
      </c>
      <c r="H836" s="5" t="s">
        <v>2326</v>
      </c>
      <c r="I836" s="5" t="s">
        <v>2490</v>
      </c>
      <c r="J836" s="5" t="s">
        <v>2491</v>
      </c>
      <c r="K836" s="7" t="str">
        <f ca="1">IFERROR(__xludf.DUMMYFUNCTION("GOOGLETRANSLATE(H836,""EN"",""ES"")"),"MUEBLES DE ALMACENAJE")</f>
        <v>MUEBLES DE ALMACENAJE</v>
      </c>
      <c r="L836" s="5" t="str">
        <f ca="1">IFERROR(__xludf.DUMMYFUNCTION("GOOGLETRANSLATE(J836,""EN"",""ES"")"),"Revisteros [muebles]")</f>
        <v>Revisteros [muebles]</v>
      </c>
      <c r="M836" s="8" t="s">
        <v>13</v>
      </c>
      <c r="N836" t="s">
        <v>13</v>
      </c>
    </row>
    <row r="837" spans="1:14" ht="11.25" customHeight="1">
      <c r="A837" s="5" t="s">
        <v>2074</v>
      </c>
      <c r="B837" s="5" t="s">
        <v>2324</v>
      </c>
      <c r="C837" s="5" t="s">
        <v>2492</v>
      </c>
      <c r="D837" s="5" t="s">
        <v>2077</v>
      </c>
      <c r="E837" s="5" t="s">
        <v>14</v>
      </c>
      <c r="F837" s="5" t="s">
        <v>2078</v>
      </c>
      <c r="G837" s="5" t="s">
        <v>2079</v>
      </c>
      <c r="H837" s="5" t="s">
        <v>2326</v>
      </c>
      <c r="I837" s="5" t="s">
        <v>2493</v>
      </c>
      <c r="J837" s="5" t="s">
        <v>2494</v>
      </c>
      <c r="K837" s="7" t="str">
        <f ca="1">IFERROR(__xludf.DUMMYFUNCTION("GOOGLETRANSLATE(H837,""EN"",""ES"")"),"MUEBLES DE ALMACENAJE")</f>
        <v>MUEBLES DE ALMACENAJE</v>
      </c>
      <c r="L837" s="5" t="str">
        <f ca="1">IFERROR(__xludf.DUMMYFUNCTION("GOOGLETRANSLATE(J837,""EN"",""ES"")"),"Archivadores giratorios")</f>
        <v>Archivadores giratorios</v>
      </c>
      <c r="M837" s="8" t="s">
        <v>13</v>
      </c>
      <c r="N837" t="s">
        <v>13</v>
      </c>
    </row>
    <row r="838" spans="1:14" ht="11.25" customHeight="1">
      <c r="A838" s="5" t="s">
        <v>2074</v>
      </c>
      <c r="B838" s="5" t="s">
        <v>2324</v>
      </c>
      <c r="C838" s="5" t="s">
        <v>2495</v>
      </c>
      <c r="D838" s="5" t="s">
        <v>2077</v>
      </c>
      <c r="E838" s="5" t="s">
        <v>14</v>
      </c>
      <c r="F838" s="5" t="s">
        <v>2078</v>
      </c>
      <c r="G838" s="5" t="s">
        <v>2079</v>
      </c>
      <c r="H838" s="5" t="s">
        <v>2326</v>
      </c>
      <c r="I838" s="5" t="s">
        <v>2496</v>
      </c>
      <c r="J838" s="5" t="s">
        <v>2497</v>
      </c>
      <c r="K838" s="7" t="str">
        <f ca="1">IFERROR(__xludf.DUMMYFUNCTION("GOOGLETRANSLATE(H838,""EN"",""ES"")"),"MUEBLES DE ALMACENAJE")</f>
        <v>MUEBLES DE ALMACENAJE</v>
      </c>
      <c r="L838" s="5" t="str">
        <f ca="1">IFERROR(__xludf.DUMMYFUNCTION("GOOGLETRANSLATE(J838,""EN"",""ES"")"),"Gabinetes de almacenamiento")</f>
        <v>Gabinetes de almacenamiento</v>
      </c>
      <c r="M838" s="8" t="s">
        <v>13</v>
      </c>
      <c r="N838" t="s">
        <v>13</v>
      </c>
    </row>
    <row r="839" spans="1:14" ht="11.25" customHeight="1">
      <c r="A839" s="5" t="s">
        <v>2074</v>
      </c>
      <c r="B839" s="5" t="s">
        <v>2324</v>
      </c>
      <c r="C839" s="5" t="s">
        <v>2498</v>
      </c>
      <c r="D839" s="5" t="s">
        <v>2077</v>
      </c>
      <c r="E839" s="5" t="s">
        <v>14</v>
      </c>
      <c r="F839" s="5" t="s">
        <v>2078</v>
      </c>
      <c r="G839" s="5" t="s">
        <v>2079</v>
      </c>
      <c r="H839" s="5" t="s">
        <v>2326</v>
      </c>
      <c r="I839" s="5" t="s">
        <v>2499</v>
      </c>
      <c r="J839" s="5" t="s">
        <v>2500</v>
      </c>
      <c r="K839" s="7" t="str">
        <f ca="1">IFERROR(__xludf.DUMMYFUNCTION("GOOGLETRANSLATE(H839,""EN"",""ES"")"),"MUEBLES DE ALMACENAJE")</f>
        <v>MUEBLES DE ALMACENAJE</v>
      </c>
      <c r="L839" s="5" t="str">
        <f ca="1">IFERROR(__xludf.DUMMYFUNCTION("GOOGLETRANSLATE(J839,""EN"",""ES"")"),"Forros de ataúd")</f>
        <v>Forros de ataúd</v>
      </c>
      <c r="M839" s="8" t="s">
        <v>13</v>
      </c>
      <c r="N839" t="s">
        <v>15</v>
      </c>
    </row>
    <row r="840" spans="1:14" ht="11.25" customHeight="1">
      <c r="A840" s="5" t="s">
        <v>2074</v>
      </c>
      <c r="B840" s="5" t="s">
        <v>2324</v>
      </c>
      <c r="C840" s="5" t="s">
        <v>2501</v>
      </c>
      <c r="D840" s="5" t="s">
        <v>2077</v>
      </c>
      <c r="E840" s="5" t="s">
        <v>14</v>
      </c>
      <c r="F840" s="5" t="s">
        <v>2078</v>
      </c>
      <c r="G840" s="5" t="s">
        <v>2079</v>
      </c>
      <c r="H840" s="5" t="s">
        <v>2326</v>
      </c>
      <c r="I840" s="5" t="s">
        <v>2502</v>
      </c>
      <c r="J840" s="5" t="s">
        <v>2503</v>
      </c>
      <c r="K840" s="7" t="str">
        <f ca="1">IFERROR(__xludf.DUMMYFUNCTION("GOOGLETRANSLATE(H840,""EN"",""ES"")"),"MUEBLES DE ALMACENAJE")</f>
        <v>MUEBLES DE ALMACENAJE</v>
      </c>
      <c r="L840" s="5" t="str">
        <f ca="1">IFERROR(__xludf.DUMMYFUNCTION("GOOGLETRANSLATE(J840,""EN"",""ES"")"),"Ataúdes")</f>
        <v>Ataúdes</v>
      </c>
      <c r="M840" s="8" t="s">
        <v>13</v>
      </c>
      <c r="N840" t="s">
        <v>13</v>
      </c>
    </row>
    <row r="841" spans="1:14" ht="11.25" customHeight="1">
      <c r="A841" s="5" t="s">
        <v>2074</v>
      </c>
      <c r="B841" s="5" t="s">
        <v>2324</v>
      </c>
      <c r="C841" s="5" t="s">
        <v>2501</v>
      </c>
      <c r="D841" s="5" t="s">
        <v>2077</v>
      </c>
      <c r="E841" s="5" t="s">
        <v>14</v>
      </c>
      <c r="F841" s="5" t="s">
        <v>2078</v>
      </c>
      <c r="G841" s="5" t="s">
        <v>2079</v>
      </c>
      <c r="H841" s="5" t="s">
        <v>2326</v>
      </c>
      <c r="I841" s="5" t="s">
        <v>152</v>
      </c>
      <c r="J841" s="5" t="s">
        <v>2504</v>
      </c>
      <c r="K841" s="7" t="str">
        <f ca="1">IFERROR(__xludf.DUMMYFUNCTION("GOOGLETRANSLATE(H841,""EN"",""ES"")"),"MUEBLES DE ALMACENAJE")</f>
        <v>MUEBLES DE ALMACENAJE</v>
      </c>
      <c r="L841" s="5" t="str">
        <f ca="1">IFERROR(__xludf.DUMMYFUNCTION("GOOGLETRANSLATE(J841,""EN"",""ES"")"),"N / A")</f>
        <v>N / A</v>
      </c>
      <c r="M841" s="8" t="s">
        <v>13</v>
      </c>
      <c r="N841" t="s">
        <v>13</v>
      </c>
    </row>
    <row r="842" spans="1:14" ht="11.25" customHeight="1">
      <c r="A842" s="5" t="s">
        <v>2074</v>
      </c>
      <c r="B842" s="5" t="s">
        <v>2324</v>
      </c>
      <c r="C842" s="5" t="s">
        <v>2505</v>
      </c>
      <c r="D842" s="5" t="s">
        <v>2077</v>
      </c>
      <c r="E842" s="5" t="s">
        <v>14</v>
      </c>
      <c r="F842" s="5" t="s">
        <v>2078</v>
      </c>
      <c r="G842" s="5" t="s">
        <v>2079</v>
      </c>
      <c r="H842" s="5" t="s">
        <v>2326</v>
      </c>
      <c r="I842" s="5" t="s">
        <v>2506</v>
      </c>
      <c r="J842" s="5" t="s">
        <v>2507</v>
      </c>
      <c r="K842" s="7" t="str">
        <f ca="1">IFERROR(__xludf.DUMMYFUNCTION("GOOGLETRANSLATE(H842,""EN"",""ES"")"),"MUEBLES DE ALMACENAJE")</f>
        <v>MUEBLES DE ALMACENAJE</v>
      </c>
      <c r="L842" s="5" t="str">
        <f ca="1">IFERROR(__xludf.DUMMYFUNCTION("GOOGLETRANSLATE(J842,""EN"",""ES"")"),"Urnas crematorias")</f>
        <v>Urnas crematorias</v>
      </c>
      <c r="M842" s="8" t="s">
        <v>13</v>
      </c>
      <c r="N842" t="s">
        <v>15</v>
      </c>
    </row>
    <row r="843" spans="1:14" ht="11.25" customHeight="1">
      <c r="A843" s="5" t="s">
        <v>2074</v>
      </c>
      <c r="B843" s="5" t="s">
        <v>2324</v>
      </c>
      <c r="C843" s="5" t="s">
        <v>2508</v>
      </c>
      <c r="D843" s="5" t="s">
        <v>2077</v>
      </c>
      <c r="E843" s="5" t="s">
        <v>14</v>
      </c>
      <c r="F843" s="5" t="s">
        <v>2078</v>
      </c>
      <c r="G843" s="5" t="s">
        <v>2079</v>
      </c>
      <c r="H843" s="5" t="s">
        <v>2326</v>
      </c>
      <c r="I843" s="5" t="s">
        <v>2509</v>
      </c>
      <c r="J843" s="5" t="s">
        <v>2510</v>
      </c>
      <c r="K843" s="7" t="str">
        <f ca="1">IFERROR(__xludf.DUMMYFUNCTION("GOOGLETRANSLATE(H843,""EN"",""ES"")"),"MUEBLES DE ALMACENAJE")</f>
        <v>MUEBLES DE ALMACENAJE</v>
      </c>
      <c r="L843" s="5" t="str">
        <f ca="1">IFERROR(__xludf.DUMMYFUNCTION("GOOGLETRANSLATE(J843,""EN"",""ES"")"),"Armarios para aparatos de audio y vídeo.")</f>
        <v>Armarios para aparatos de audio y vídeo.</v>
      </c>
      <c r="M843" s="8" t="s">
        <v>13</v>
      </c>
      <c r="N843" t="s">
        <v>15</v>
      </c>
    </row>
    <row r="844" spans="1:14" ht="11.25" customHeight="1">
      <c r="A844" s="5" t="s">
        <v>2074</v>
      </c>
      <c r="B844" s="5" t="s">
        <v>2324</v>
      </c>
      <c r="C844" s="5" t="s">
        <v>2511</v>
      </c>
      <c r="D844" s="5" t="s">
        <v>2077</v>
      </c>
      <c r="E844" s="5" t="s">
        <v>14</v>
      </c>
      <c r="F844" s="5" t="s">
        <v>2078</v>
      </c>
      <c r="G844" s="5" t="s">
        <v>2079</v>
      </c>
      <c r="H844" s="5" t="s">
        <v>2326</v>
      </c>
      <c r="I844" s="5" t="s">
        <v>2512</v>
      </c>
      <c r="J844" s="5" t="s">
        <v>2513</v>
      </c>
      <c r="K844" s="7" t="str">
        <f ca="1">IFERROR(__xludf.DUMMYFUNCTION("GOOGLETRANSLATE(H844,""EN"",""ES"")"),"MUEBLES DE ALMACENAJE")</f>
        <v>MUEBLES DE ALMACENAJE</v>
      </c>
      <c r="L844" s="5" t="str">
        <f ca="1">IFERROR(__xludf.DUMMYFUNCTION("GOOGLETRANSLATE(J844,""EN"",""ES"")"),"Armarios de almacenamiento con ruedas.")</f>
        <v>Armarios de almacenamiento con ruedas.</v>
      </c>
      <c r="M844" s="8" t="s">
        <v>13</v>
      </c>
      <c r="N844" t="s">
        <v>20</v>
      </c>
    </row>
    <row r="845" spans="1:14" ht="11.25" customHeight="1">
      <c r="A845" s="5" t="s">
        <v>2074</v>
      </c>
      <c r="B845" s="5" t="s">
        <v>2324</v>
      </c>
      <c r="C845" s="5" t="s">
        <v>2514</v>
      </c>
      <c r="D845" s="5" t="s">
        <v>2077</v>
      </c>
      <c r="E845" s="5" t="s">
        <v>14</v>
      </c>
      <c r="F845" s="5" t="s">
        <v>2078</v>
      </c>
      <c r="G845" s="5" t="s">
        <v>2079</v>
      </c>
      <c r="H845" s="5" t="s">
        <v>2326</v>
      </c>
      <c r="I845" s="5" t="s">
        <v>2515</v>
      </c>
      <c r="J845" s="5" t="s">
        <v>2516</v>
      </c>
      <c r="K845" s="7" t="str">
        <f ca="1">IFERROR(__xludf.DUMMYFUNCTION("GOOGLETRANSLATE(H845,""EN"",""ES"")"),"MUEBLES DE ALMACENAJE")</f>
        <v>MUEBLES DE ALMACENAJE</v>
      </c>
      <c r="L845" s="5" t="str">
        <f ca="1">IFERROR(__xludf.DUMMYFUNCTION("GOOGLETRANSLATE(J845,""EN"",""ES"")"),"Soportes para discos [muebles]")</f>
        <v>Soportes para discos [muebles]</v>
      </c>
      <c r="M845" s="8" t="s">
        <v>13</v>
      </c>
      <c r="N845" t="s">
        <v>20</v>
      </c>
    </row>
    <row r="846" spans="1:14" ht="11.25" customHeight="1">
      <c r="A846" s="5" t="s">
        <v>2074</v>
      </c>
      <c r="B846" s="5" t="s">
        <v>2324</v>
      </c>
      <c r="C846" s="5" t="s">
        <v>2517</v>
      </c>
      <c r="D846" s="5" t="s">
        <v>2077</v>
      </c>
      <c r="E846" s="5" t="s">
        <v>14</v>
      </c>
      <c r="F846" s="5" t="s">
        <v>2078</v>
      </c>
      <c r="G846" s="5" t="s">
        <v>2079</v>
      </c>
      <c r="H846" s="5" t="s">
        <v>2326</v>
      </c>
      <c r="I846" s="5" t="s">
        <v>2518</v>
      </c>
      <c r="J846" s="5" t="s">
        <v>2519</v>
      </c>
      <c r="K846" s="7" t="str">
        <f ca="1">IFERROR(__xludf.DUMMYFUNCTION("GOOGLETRANSLATE(H846,""EN"",""ES"")"),"MUEBLES DE ALMACENAJE")</f>
        <v>MUEBLES DE ALMACENAJE</v>
      </c>
      <c r="L846" s="5" t="str">
        <f ca="1">IFERROR(__xludf.DUMMYFUNCTION("GOOGLETRANSLATE(J846,""EN"",""ES"")"),"Muebles para baños [sin aparatos ni equipos sanitarios]")</f>
        <v>Muebles para baños [sin aparatos ni equipos sanitarios]</v>
      </c>
      <c r="M846" s="8" t="s">
        <v>13</v>
      </c>
      <c r="N846" t="s">
        <v>16</v>
      </c>
    </row>
    <row r="847" spans="1:14" ht="11.25" customHeight="1">
      <c r="A847" s="5" t="s">
        <v>2074</v>
      </c>
      <c r="B847" s="5" t="s">
        <v>2324</v>
      </c>
      <c r="C847" s="5" t="s">
        <v>2520</v>
      </c>
      <c r="D847" s="5" t="s">
        <v>2077</v>
      </c>
      <c r="E847" s="5" t="s">
        <v>14</v>
      </c>
      <c r="F847" s="5" t="s">
        <v>2078</v>
      </c>
      <c r="G847" s="5" t="s">
        <v>2079</v>
      </c>
      <c r="H847" s="5" t="s">
        <v>2326</v>
      </c>
      <c r="I847" s="5" t="s">
        <v>2521</v>
      </c>
      <c r="J847" s="5" t="s">
        <v>2522</v>
      </c>
      <c r="K847" s="7" t="str">
        <f ca="1">IFERROR(__xludf.DUMMYFUNCTION("GOOGLETRANSLATE(H847,""EN"",""ES"")"),"MUEBLES DE ALMACENAJE")</f>
        <v>MUEBLES DE ALMACENAJE</v>
      </c>
      <c r="L847" s="5" t="str">
        <f ca="1">IFERROR(__xludf.DUMMYFUNCTION("GOOGLETRANSLATE(J847,""EN"",""ES"")"),"Percheros para sombreros")</f>
        <v>Percheros para sombreros</v>
      </c>
      <c r="M847" s="8" t="s">
        <v>13</v>
      </c>
      <c r="N847" t="s">
        <v>15</v>
      </c>
    </row>
    <row r="848" spans="1:14" ht="11.25" customHeight="1">
      <c r="A848" s="5" t="s">
        <v>2074</v>
      </c>
      <c r="B848" s="5" t="s">
        <v>2324</v>
      </c>
      <c r="C848" s="5" t="s">
        <v>2523</v>
      </c>
      <c r="D848" s="5" t="s">
        <v>2077</v>
      </c>
      <c r="E848" s="5" t="s">
        <v>14</v>
      </c>
      <c r="F848" s="5" t="s">
        <v>2078</v>
      </c>
      <c r="G848" s="5" t="s">
        <v>2079</v>
      </c>
      <c r="H848" s="5" t="s">
        <v>2326</v>
      </c>
      <c r="I848" s="5" t="s">
        <v>2524</v>
      </c>
      <c r="J848" s="5" t="s">
        <v>2525</v>
      </c>
      <c r="K848" s="7" t="str">
        <f ca="1">IFERROR(__xludf.DUMMYFUNCTION("GOOGLETRANSLATE(H848,""EN"",""ES"")"),"MUEBLES DE ALMACENAJE")</f>
        <v>MUEBLES DE ALMACENAJE</v>
      </c>
      <c r="L848" s="5" t="str">
        <f ca="1">IFERROR(__xludf.DUMMYFUNCTION("GOOGLETRANSLATE(J848,""EN"",""ES"")"),"Taquillas")</f>
        <v>Taquillas</v>
      </c>
      <c r="M848" s="8" t="s">
        <v>13</v>
      </c>
      <c r="N848" t="s">
        <v>13</v>
      </c>
    </row>
    <row r="849" spans="1:14" ht="11.25" customHeight="1">
      <c r="A849" s="5" t="s">
        <v>2074</v>
      </c>
      <c r="B849" s="5" t="s">
        <v>2324</v>
      </c>
      <c r="C849" s="5" t="s">
        <v>2526</v>
      </c>
      <c r="D849" s="5" t="s">
        <v>2077</v>
      </c>
      <c r="E849" s="5" t="s">
        <v>14</v>
      </c>
      <c r="F849" s="5" t="s">
        <v>2078</v>
      </c>
      <c r="G849" s="5" t="s">
        <v>2079</v>
      </c>
      <c r="H849" s="5" t="s">
        <v>2326</v>
      </c>
      <c r="I849" s="5" t="s">
        <v>2527</v>
      </c>
      <c r="J849" s="5" t="s">
        <v>2528</v>
      </c>
      <c r="K849" s="7" t="str">
        <f ca="1">IFERROR(__xludf.DUMMYFUNCTION("GOOGLETRANSLATE(H849,""EN"",""ES"")"),"MUEBLES DE ALMACENAJE")</f>
        <v>MUEBLES DE ALMACENAJE</v>
      </c>
      <c r="L849" s="5" t="str">
        <f ca="1">IFERROR(__xludf.DUMMYFUNCTION("GOOGLETRANSLATE(J849,""EN"",""ES"")"),"Casilleros de entrega inteligentes")</f>
        <v>Casilleros de entrega inteligentes</v>
      </c>
      <c r="M849" s="8" t="s">
        <v>13</v>
      </c>
      <c r="N849" t="s">
        <v>13</v>
      </c>
    </row>
    <row r="850" spans="1:14" ht="11.25" customHeight="1">
      <c r="A850" s="5" t="s">
        <v>2074</v>
      </c>
      <c r="B850" s="5" t="s">
        <v>2324</v>
      </c>
      <c r="C850" s="5" t="s">
        <v>2529</v>
      </c>
      <c r="D850" s="5" t="s">
        <v>2077</v>
      </c>
      <c r="E850" s="5" t="s">
        <v>14</v>
      </c>
      <c r="F850" s="5" t="s">
        <v>2078</v>
      </c>
      <c r="G850" s="5" t="s">
        <v>2079</v>
      </c>
      <c r="H850" s="5" t="s">
        <v>2326</v>
      </c>
      <c r="I850" s="5" t="s">
        <v>2530</v>
      </c>
      <c r="J850" s="5" t="s">
        <v>2531</v>
      </c>
      <c r="K850" s="7" t="str">
        <f ca="1">IFERROR(__xludf.DUMMYFUNCTION("GOOGLETRANSLATE(H850,""EN"",""ES"")"),"MUEBLES DE ALMACENAJE")</f>
        <v>MUEBLES DE ALMACENAJE</v>
      </c>
      <c r="L850" s="5" t="str">
        <f ca="1">IFERROR(__xludf.DUMMYFUNCTION("GOOGLETRANSLATE(J850,""EN"",""ES"")"),"Muebles para bebidas")</f>
        <v>Muebles para bebidas</v>
      </c>
      <c r="M850" s="8" t="s">
        <v>13</v>
      </c>
      <c r="N850" t="s">
        <v>13</v>
      </c>
    </row>
    <row r="851" spans="1:14" ht="11.25" customHeight="1">
      <c r="A851" s="5" t="s">
        <v>2074</v>
      </c>
      <c r="B851" s="5" t="s">
        <v>2324</v>
      </c>
      <c r="C851" s="5" t="s">
        <v>2532</v>
      </c>
      <c r="D851" s="5" t="s">
        <v>2077</v>
      </c>
      <c r="E851" s="5" t="s">
        <v>14</v>
      </c>
      <c r="F851" s="5" t="s">
        <v>2078</v>
      </c>
      <c r="G851" s="5" t="s">
        <v>2079</v>
      </c>
      <c r="H851" s="5" t="s">
        <v>2326</v>
      </c>
      <c r="I851" s="5" t="s">
        <v>2533</v>
      </c>
      <c r="J851" s="5" t="s">
        <v>2534</v>
      </c>
      <c r="K851" s="7" t="str">
        <f ca="1">IFERROR(__xludf.DUMMYFUNCTION("GOOGLETRANSLATE(H851,""EN"",""ES"")"),"MUEBLES DE ALMACENAJE")</f>
        <v>MUEBLES DE ALMACENAJE</v>
      </c>
      <c r="L851" s="5" t="str">
        <f ca="1">IFERROR(__xludf.DUMMYFUNCTION("GOOGLETRANSLATE(J851,""EN"",""ES"")"),"Taquillas para equipaje")</f>
        <v>Taquillas para equipaje</v>
      </c>
      <c r="M851" s="8" t="s">
        <v>13</v>
      </c>
      <c r="N851" t="s">
        <v>13</v>
      </c>
    </row>
    <row r="852" spans="1:14" ht="11.25" customHeight="1">
      <c r="A852" s="5" t="s">
        <v>2074</v>
      </c>
      <c r="B852" s="5" t="s">
        <v>2324</v>
      </c>
      <c r="C852" s="5" t="s">
        <v>2535</v>
      </c>
      <c r="D852" s="5" t="s">
        <v>2077</v>
      </c>
      <c r="E852" s="5" t="s">
        <v>14</v>
      </c>
      <c r="F852" s="5" t="s">
        <v>2078</v>
      </c>
      <c r="G852" s="5" t="s">
        <v>2079</v>
      </c>
      <c r="H852" s="5" t="s">
        <v>2326</v>
      </c>
      <c r="I852" s="5" t="s">
        <v>2536</v>
      </c>
      <c r="J852" s="5" t="s">
        <v>2537</v>
      </c>
      <c r="K852" s="7" t="str">
        <f ca="1">IFERROR(__xludf.DUMMYFUNCTION("GOOGLETRANSLATE(H852,""EN"",""ES"")"),"MUEBLES DE ALMACENAJE")</f>
        <v>MUEBLES DE ALMACENAJE</v>
      </c>
      <c r="L852" s="5" t="str">
        <f ca="1">IFERROR(__xludf.DUMMYFUNCTION("GOOGLETRANSLATE(J852,""EN"",""ES"")"),"Portaesquís independiente")</f>
        <v>Portaesquís independiente</v>
      </c>
      <c r="M852" s="8" t="s">
        <v>13</v>
      </c>
      <c r="N852" t="s">
        <v>13</v>
      </c>
    </row>
    <row r="853" spans="1:14" ht="11.25" customHeight="1">
      <c r="A853" s="5" t="s">
        <v>2074</v>
      </c>
      <c r="B853" s="5" t="s">
        <v>2324</v>
      </c>
      <c r="C853" s="5" t="s">
        <v>2538</v>
      </c>
      <c r="D853" s="5" t="s">
        <v>2077</v>
      </c>
      <c r="E853" s="5" t="s">
        <v>14</v>
      </c>
      <c r="F853" s="5" t="s">
        <v>2078</v>
      </c>
      <c r="G853" s="5" t="s">
        <v>2079</v>
      </c>
      <c r="H853" s="5" t="s">
        <v>2326</v>
      </c>
      <c r="I853" s="5" t="s">
        <v>2539</v>
      </c>
      <c r="J853" s="5" t="s">
        <v>2540</v>
      </c>
      <c r="K853" s="7" t="str">
        <f ca="1">IFERROR(__xludf.DUMMYFUNCTION("GOOGLETRANSLATE(H853,""EN"",""ES"")"),"MUEBLES DE ALMACENAJE")</f>
        <v>MUEBLES DE ALMACENAJE</v>
      </c>
      <c r="L853" s="5" t="str">
        <f ca="1">IFERROR(__xludf.DUMMYFUNCTION("GOOGLETRANSLATE(J853,""EN"",""ES"")"),"Cajas de almacenamiento [muebles]")</f>
        <v>Cajas de almacenamiento [muebles]</v>
      </c>
      <c r="M853" s="8" t="s">
        <v>13</v>
      </c>
      <c r="N853" t="s">
        <v>13</v>
      </c>
    </row>
    <row r="854" spans="1:14" ht="11.25" customHeight="1">
      <c r="A854" s="5" t="s">
        <v>2074</v>
      </c>
      <c r="B854" s="5" t="s">
        <v>2541</v>
      </c>
      <c r="C854" s="5" t="s">
        <v>2542</v>
      </c>
      <c r="D854" s="5" t="s">
        <v>2077</v>
      </c>
      <c r="E854" s="5" t="s">
        <v>14</v>
      </c>
      <c r="F854" s="5" t="s">
        <v>2078</v>
      </c>
      <c r="G854" s="5" t="s">
        <v>2079</v>
      </c>
      <c r="H854" s="5" t="s">
        <v>2543</v>
      </c>
      <c r="I854" s="5" t="s">
        <v>2544</v>
      </c>
      <c r="J854" s="5" t="s">
        <v>2545</v>
      </c>
      <c r="K854" s="7" t="str">
        <f ca="1">IFERROR(__xludf.DUMMYFUNCTION("GOOGLETRANSLATE(H854,""EN"",""ES"")"),"MUEBLES COMPUESTOS")</f>
        <v>MUEBLES COMPUESTOS</v>
      </c>
      <c r="L854" s="5" t="str">
        <f ca="1">IFERROR(__xludf.DUMMYFUNCTION("GOOGLETRANSLATE(J854,""EN"",""ES"")"),"Pupitres escolares con asientos adjuntos")</f>
        <v>Pupitres escolares con asientos adjuntos</v>
      </c>
      <c r="M854" s="8" t="s">
        <v>13</v>
      </c>
      <c r="N854" t="s">
        <v>13</v>
      </c>
    </row>
    <row r="855" spans="1:14" ht="11.25" customHeight="1">
      <c r="A855" s="5" t="s">
        <v>2074</v>
      </c>
      <c r="B855" s="5" t="s">
        <v>2541</v>
      </c>
      <c r="C855" s="5" t="s">
        <v>2546</v>
      </c>
      <c r="D855" s="5" t="s">
        <v>2077</v>
      </c>
      <c r="E855" s="5" t="s">
        <v>14</v>
      </c>
      <c r="F855" s="5" t="s">
        <v>2078</v>
      </c>
      <c r="G855" s="5" t="s">
        <v>2079</v>
      </c>
      <c r="H855" s="5" t="s">
        <v>2543</v>
      </c>
      <c r="I855" s="5" t="s">
        <v>2547</v>
      </c>
      <c r="J855" s="5" t="s">
        <v>2548</v>
      </c>
      <c r="K855" s="7" t="str">
        <f ca="1">IFERROR(__xludf.DUMMYFUNCTION("GOOGLETRANSLATE(H855,""EN"",""ES"")"),"MUEBLES COMPUESTOS")</f>
        <v>MUEBLES COMPUESTOS</v>
      </c>
      <c r="L855" s="5" t="str">
        <f ca="1">IFERROR(__xludf.DUMMYFUNCTION("GOOGLETRANSLATE(J855,""EN"",""ES"")"),"Tocadores")</f>
        <v>Tocadores</v>
      </c>
      <c r="M855" s="8" t="s">
        <v>13</v>
      </c>
      <c r="N855" t="s">
        <v>13</v>
      </c>
    </row>
    <row r="856" spans="1:14" ht="11.25" customHeight="1">
      <c r="A856" s="5" t="s">
        <v>2074</v>
      </c>
      <c r="B856" s="5" t="s">
        <v>2541</v>
      </c>
      <c r="C856" s="5" t="s">
        <v>2546</v>
      </c>
      <c r="D856" s="5" t="s">
        <v>2077</v>
      </c>
      <c r="E856" s="5" t="s">
        <v>14</v>
      </c>
      <c r="F856" s="5" t="s">
        <v>2078</v>
      </c>
      <c r="G856" s="5" t="s">
        <v>2079</v>
      </c>
      <c r="H856" s="5" t="s">
        <v>2543</v>
      </c>
      <c r="I856" s="5" t="s">
        <v>152</v>
      </c>
      <c r="J856" s="5" t="s">
        <v>2549</v>
      </c>
      <c r="K856" s="7" t="str">
        <f ca="1">IFERROR(__xludf.DUMMYFUNCTION("GOOGLETRANSLATE(H856,""EN"",""ES"")"),"MUEBLES COMPUESTOS")</f>
        <v>MUEBLES COMPUESTOS</v>
      </c>
      <c r="L856" s="5" t="str">
        <f ca="1">IFERROR(__xludf.DUMMYFUNCTION("GOOGLETRANSLATE(J856,""EN"",""ES"")"),"N / A")</f>
        <v>N / A</v>
      </c>
      <c r="M856" s="8" t="s">
        <v>13</v>
      </c>
      <c r="N856" t="s">
        <v>13</v>
      </c>
    </row>
    <row r="857" spans="1:14" ht="11.25" customHeight="1">
      <c r="A857" s="5" t="s">
        <v>2074</v>
      </c>
      <c r="B857" s="5" t="s">
        <v>2541</v>
      </c>
      <c r="C857" s="5" t="s">
        <v>2550</v>
      </c>
      <c r="D857" s="5" t="s">
        <v>2077</v>
      </c>
      <c r="E857" s="5" t="s">
        <v>14</v>
      </c>
      <c r="F857" s="5" t="s">
        <v>2078</v>
      </c>
      <c r="G857" s="5" t="s">
        <v>2079</v>
      </c>
      <c r="H857" s="5" t="s">
        <v>2543</v>
      </c>
      <c r="I857" s="5" t="s">
        <v>2551</v>
      </c>
      <c r="J857" s="5" t="s">
        <v>2552</v>
      </c>
      <c r="K857" s="7" t="str">
        <f ca="1">IFERROR(__xludf.DUMMYFUNCTION("GOOGLETRANSLATE(H857,""EN"",""ES"")"),"MUEBLES COMPUESTOS")</f>
        <v>MUEBLES COMPUESTOS</v>
      </c>
      <c r="L857" s="5" t="str">
        <f ca="1">IFERROR(__xludf.DUMMYFUNCTION("GOOGLETRANSLATE(J857,""EN"",""ES"")"),"muebles compuestos")</f>
        <v>muebles compuestos</v>
      </c>
      <c r="M857" s="8" t="s">
        <v>13</v>
      </c>
      <c r="N857" t="s">
        <v>13</v>
      </c>
    </row>
    <row r="858" spans="1:14" ht="11.25" customHeight="1">
      <c r="A858" s="5" t="s">
        <v>2074</v>
      </c>
      <c r="B858" s="5" t="s">
        <v>2541</v>
      </c>
      <c r="C858" s="5" t="s">
        <v>2553</v>
      </c>
      <c r="D858" s="5" t="s">
        <v>2077</v>
      </c>
      <c r="E858" s="5" t="s">
        <v>14</v>
      </c>
      <c r="F858" s="5" t="s">
        <v>2078</v>
      </c>
      <c r="G858" s="5" t="s">
        <v>2079</v>
      </c>
      <c r="H858" s="5" t="s">
        <v>2543</v>
      </c>
      <c r="I858" s="5" t="s">
        <v>2554</v>
      </c>
      <c r="J858" s="5" t="s">
        <v>2555</v>
      </c>
      <c r="K858" s="7" t="str">
        <f ca="1">IFERROR(__xludf.DUMMYFUNCTION("GOOGLETRANSLATE(H858,""EN"",""ES"")"),"MUEBLES COMPUESTOS")</f>
        <v>MUEBLES COMPUESTOS</v>
      </c>
      <c r="L858" s="5" t="str">
        <f ca="1">IFERROR(__xludf.DUMMYFUNCTION("GOOGLETRANSLATE(J858,""EN"",""ES"")"),"Mesas de picnic con asientos adjuntos")</f>
        <v>Mesas de picnic con asientos adjuntos</v>
      </c>
      <c r="M858" s="8" t="s">
        <v>13</v>
      </c>
      <c r="N858" t="s">
        <v>13</v>
      </c>
    </row>
    <row r="859" spans="1:14" ht="11.25" customHeight="1">
      <c r="A859" s="5" t="s">
        <v>2074</v>
      </c>
      <c r="B859" s="5" t="s">
        <v>2556</v>
      </c>
      <c r="C859" s="5" t="s">
        <v>2557</v>
      </c>
      <c r="D859" s="5" t="s">
        <v>2077</v>
      </c>
      <c r="E859" s="5" t="s">
        <v>14</v>
      </c>
      <c r="F859" s="5" t="s">
        <v>2078</v>
      </c>
      <c r="G859" s="5" t="s">
        <v>2079</v>
      </c>
      <c r="H859" s="5" t="s">
        <v>2558</v>
      </c>
      <c r="I859" s="5" t="s">
        <v>2559</v>
      </c>
      <c r="J859" s="5" t="s">
        <v>2560</v>
      </c>
      <c r="K859" s="7" t="str">
        <f ca="1">IFERROR(__xludf.DUMMYFUNCTION("GOOGLETRANSLATE(H859,""EN"",""ES"")"),"OTROS MUEBLES Y PARTES DE MUEBLES")</f>
        <v>OTROS MUEBLES Y PARTES DE MUEBLES</v>
      </c>
      <c r="L859" s="5" t="str">
        <f ca="1">IFERROR(__xludf.DUMMYFUNCTION("GOOGLETRANSLATE(J859,""EN"",""ES"")"),"Reposapiés de silla o asiento")</f>
        <v>Reposapiés de silla o asiento</v>
      </c>
      <c r="M859" s="8" t="s">
        <v>13</v>
      </c>
      <c r="N859" t="s">
        <v>13</v>
      </c>
    </row>
    <row r="860" spans="1:14" ht="11.25" customHeight="1">
      <c r="A860" s="5" t="s">
        <v>2074</v>
      </c>
      <c r="B860" s="5" t="s">
        <v>2556</v>
      </c>
      <c r="C860" s="5" t="s">
        <v>2561</v>
      </c>
      <c r="D860" s="5" t="s">
        <v>2077</v>
      </c>
      <c r="E860" s="5" t="s">
        <v>14</v>
      </c>
      <c r="F860" s="5" t="s">
        <v>2078</v>
      </c>
      <c r="G860" s="5" t="s">
        <v>2079</v>
      </c>
      <c r="H860" s="5" t="s">
        <v>2558</v>
      </c>
      <c r="I860" s="5" t="s">
        <v>2562</v>
      </c>
      <c r="J860" s="5" t="s">
        <v>2563</v>
      </c>
      <c r="K860" s="7" t="str">
        <f ca="1">IFERROR(__xludf.DUMMYFUNCTION("GOOGLETRANSLATE(H860,""EN"",""ES"")"),"OTROS MUEBLES Y PARTES DE MUEBLES")</f>
        <v>OTROS MUEBLES Y PARTES DE MUEBLES</v>
      </c>
      <c r="L860" s="5" t="str">
        <f ca="1">IFERROR(__xludf.DUMMYFUNCTION("GOOGLETRANSLATE(J860,""EN"",""ES"")"),"cabinas para la enseñanza")</f>
        <v>cabinas para la enseñanza</v>
      </c>
      <c r="M860" s="8" t="s">
        <v>15</v>
      </c>
      <c r="N860" s="8" t="s">
        <v>15</v>
      </c>
    </row>
    <row r="861" spans="1:14" ht="11.25" customHeight="1">
      <c r="A861" s="5" t="s">
        <v>2074</v>
      </c>
      <c r="B861" s="5" t="s">
        <v>2556</v>
      </c>
      <c r="C861" s="5" t="s">
        <v>2561</v>
      </c>
      <c r="D861" s="5" t="s">
        <v>2077</v>
      </c>
      <c r="E861" s="5" t="s">
        <v>14</v>
      </c>
      <c r="F861" s="5" t="s">
        <v>2078</v>
      </c>
      <c r="G861" s="5" t="s">
        <v>2079</v>
      </c>
      <c r="H861" s="5" t="s">
        <v>2558</v>
      </c>
      <c r="I861" s="5" t="s">
        <v>2564</v>
      </c>
      <c r="J861" s="5" t="s">
        <v>2565</v>
      </c>
      <c r="K861" s="7" t="str">
        <f ca="1">IFERROR(__xludf.DUMMYFUNCTION("GOOGLETRANSLATE(H861,""EN"",""ES"")"),"OTROS MUEBLES Y PARTES DE MUEBLES")</f>
        <v>OTROS MUEBLES Y PARTES DE MUEBLES</v>
      </c>
      <c r="L861" s="5" t="str">
        <f ca="1">IFERROR(__xludf.DUMMYFUNCTION("GOOGLETRANSLATE(J861,""EN"",""ES"")"),"Cabinas de instrucción")</f>
        <v>Cabinas de instrucción</v>
      </c>
      <c r="M861" s="8" t="s">
        <v>15</v>
      </c>
      <c r="N861" s="8" t="s">
        <v>15</v>
      </c>
    </row>
    <row r="862" spans="1:14" ht="11.25" customHeight="1">
      <c r="A862" s="5" t="s">
        <v>2074</v>
      </c>
      <c r="B862" s="5" t="s">
        <v>2556</v>
      </c>
      <c r="C862" s="5" t="s">
        <v>2566</v>
      </c>
      <c r="D862" s="5" t="s">
        <v>2077</v>
      </c>
      <c r="E862" s="5" t="s">
        <v>14</v>
      </c>
      <c r="F862" s="5" t="s">
        <v>2078</v>
      </c>
      <c r="G862" s="5" t="s">
        <v>2079</v>
      </c>
      <c r="H862" s="5" t="s">
        <v>2558</v>
      </c>
      <c r="I862" s="5" t="s">
        <v>2567</v>
      </c>
      <c r="J862" s="5" t="s">
        <v>2568</v>
      </c>
      <c r="K862" s="7" t="str">
        <f ca="1">IFERROR(__xludf.DUMMYFUNCTION("GOOGLETRANSLATE(H862,""EN"",""ES"")"),"OTROS MUEBLES Y PARTES DE MUEBLES")</f>
        <v>OTROS MUEBLES Y PARTES DE MUEBLES</v>
      </c>
      <c r="L862" s="5" t="str">
        <f ca="1">IFERROR(__xludf.DUMMYFUNCTION("GOOGLETRANSLATE(J862,""EN"",""ES"")"),"Taburetes de oración")</f>
        <v>Taburetes de oración</v>
      </c>
      <c r="M862" s="8" t="s">
        <v>15</v>
      </c>
      <c r="N862" s="8" t="s">
        <v>15</v>
      </c>
    </row>
    <row r="863" spans="1:14" ht="11.25" customHeight="1">
      <c r="A863" s="5" t="s">
        <v>2074</v>
      </c>
      <c r="B863" s="5" t="s">
        <v>2556</v>
      </c>
      <c r="C863" s="5" t="s">
        <v>2566</v>
      </c>
      <c r="D863" s="5" t="s">
        <v>2077</v>
      </c>
      <c r="E863" s="5" t="s">
        <v>14</v>
      </c>
      <c r="F863" s="5" t="s">
        <v>2078</v>
      </c>
      <c r="G863" s="5" t="s">
        <v>2079</v>
      </c>
      <c r="H863" s="5" t="s">
        <v>2558</v>
      </c>
      <c r="I863" s="5" t="s">
        <v>152</v>
      </c>
      <c r="J863" s="5" t="s">
        <v>2569</v>
      </c>
      <c r="K863" s="7" t="str">
        <f ca="1">IFERROR(__xludf.DUMMYFUNCTION("GOOGLETRANSLATE(H863,""EN"",""ES"")"),"OTROS MUEBLES Y PARTES DE MUEBLES")</f>
        <v>OTROS MUEBLES Y PARTES DE MUEBLES</v>
      </c>
      <c r="L863" s="5" t="str">
        <f ca="1">IFERROR(__xludf.DUMMYFUNCTION("GOOGLETRANSLATE(J863,""EN"",""ES"")"),"N / A")</f>
        <v>N / A</v>
      </c>
      <c r="M863" s="8" t="s">
        <v>15</v>
      </c>
      <c r="N863" s="8" t="s">
        <v>15</v>
      </c>
    </row>
    <row r="864" spans="1:14" ht="11.25" customHeight="1">
      <c r="A864" s="5" t="s">
        <v>2074</v>
      </c>
      <c r="B864" s="5" t="s">
        <v>2556</v>
      </c>
      <c r="C864" s="5" t="s">
        <v>2570</v>
      </c>
      <c r="D864" s="5" t="s">
        <v>2077</v>
      </c>
      <c r="E864" s="5" t="s">
        <v>14</v>
      </c>
      <c r="F864" s="5" t="s">
        <v>2078</v>
      </c>
      <c r="G864" s="5" t="s">
        <v>2079</v>
      </c>
      <c r="H864" s="5" t="s">
        <v>2558</v>
      </c>
      <c r="I864" s="5" t="s">
        <v>2571</v>
      </c>
      <c r="J864" s="5" t="s">
        <v>2572</v>
      </c>
      <c r="K864" s="7" t="str">
        <f ca="1">IFERROR(__xludf.DUMMYFUNCTION("GOOGLETRANSLATE(H864,""EN"",""ES"")"),"OTROS MUEBLES Y PARTES DE MUEBLES")</f>
        <v>OTROS MUEBLES Y PARTES DE MUEBLES</v>
      </c>
      <c r="L864" s="5" t="str">
        <f ca="1">IFERROR(__xludf.DUMMYFUNCTION("GOOGLETRANSLATE(J864,""EN"",""ES"")"),"Soportes para acuarios")</f>
        <v>Soportes para acuarios</v>
      </c>
      <c r="M864" s="8" t="s">
        <v>15</v>
      </c>
      <c r="N864" s="8" t="s">
        <v>15</v>
      </c>
    </row>
    <row r="865" spans="1:14" ht="11.25" customHeight="1">
      <c r="A865" s="5" t="s">
        <v>2074</v>
      </c>
      <c r="B865" s="5" t="s">
        <v>2556</v>
      </c>
      <c r="C865" s="5" t="s">
        <v>2573</v>
      </c>
      <c r="D865" s="5" t="s">
        <v>2077</v>
      </c>
      <c r="E865" s="5" t="s">
        <v>14</v>
      </c>
      <c r="F865" s="5" t="s">
        <v>2078</v>
      </c>
      <c r="G865" s="5" t="s">
        <v>2079</v>
      </c>
      <c r="H865" s="5" t="s">
        <v>2558</v>
      </c>
      <c r="I865" s="5" t="s">
        <v>2574</v>
      </c>
      <c r="J865" s="5" t="s">
        <v>2575</v>
      </c>
      <c r="K865" s="7" t="str">
        <f ca="1">IFERROR(__xludf.DUMMYFUNCTION("GOOGLETRANSLATE(H865,""EN"",""ES"")"),"OTROS MUEBLES Y PARTES DE MUEBLES")</f>
        <v>OTROS MUEBLES Y PARTES DE MUEBLES</v>
      </c>
      <c r="L865" s="5" t="str">
        <f ca="1">IFERROR(__xludf.DUMMYFUNCTION("GOOGLETRANSLATE(J865,""EN"",""ES"")"),"Bordes decorativos para muebles.")</f>
        <v>Bordes decorativos para muebles.</v>
      </c>
      <c r="M865" s="8" t="s">
        <v>15</v>
      </c>
      <c r="N865" s="8" t="s">
        <v>15</v>
      </c>
    </row>
    <row r="866" spans="1:14" ht="11.25" customHeight="1">
      <c r="A866" s="5" t="s">
        <v>2074</v>
      </c>
      <c r="B866" s="5" t="s">
        <v>2556</v>
      </c>
      <c r="C866" s="5" t="s">
        <v>2576</v>
      </c>
      <c r="D866" s="5" t="s">
        <v>2077</v>
      </c>
      <c r="E866" s="5" t="s">
        <v>14</v>
      </c>
      <c r="F866" s="5" t="s">
        <v>2078</v>
      </c>
      <c r="G866" s="5" t="s">
        <v>2079</v>
      </c>
      <c r="H866" s="5" t="s">
        <v>2558</v>
      </c>
      <c r="I866" s="5" t="s">
        <v>2577</v>
      </c>
      <c r="J866" s="5" t="s">
        <v>2578</v>
      </c>
      <c r="K866" s="7" t="str">
        <f ca="1">IFERROR(__xludf.DUMMYFUNCTION("GOOGLETRANSLATE(H866,""EN"",""ES"")"),"OTROS MUEBLES Y PARTES DE MUEBLES")</f>
        <v>OTROS MUEBLES Y PARTES DE MUEBLES</v>
      </c>
      <c r="L866" s="5" t="str">
        <f ca="1">IFERROR(__xludf.DUMMYFUNCTION("GOOGLETRANSLATE(J866,""EN"",""ES"")"),"Cabinas de caja para comercios")</f>
        <v>Cabinas de caja para comercios</v>
      </c>
      <c r="M866" s="8" t="s">
        <v>15</v>
      </c>
      <c r="N866" s="8" t="s">
        <v>15</v>
      </c>
    </row>
    <row r="867" spans="1:14" ht="11.25" customHeight="1">
      <c r="A867" s="5" t="s">
        <v>2074</v>
      </c>
      <c r="B867" s="5" t="s">
        <v>2556</v>
      </c>
      <c r="C867" s="5" t="s">
        <v>2579</v>
      </c>
      <c r="D867" s="5" t="s">
        <v>2077</v>
      </c>
      <c r="E867" s="5" t="s">
        <v>14</v>
      </c>
      <c r="F867" s="5" t="s">
        <v>2078</v>
      </c>
      <c r="G867" s="5" t="s">
        <v>2079</v>
      </c>
      <c r="H867" s="5" t="s">
        <v>2558</v>
      </c>
      <c r="I867" s="5" t="s">
        <v>2580</v>
      </c>
      <c r="J867" s="5" t="s">
        <v>2581</v>
      </c>
      <c r="K867" s="7" t="str">
        <f ca="1">IFERROR(__xludf.DUMMYFUNCTION("GOOGLETRANSLATE(H867,""EN"",""ES"")"),"OTROS MUEBLES Y PARTES DE MUEBLES")</f>
        <v>OTROS MUEBLES Y PARTES DE MUEBLES</v>
      </c>
      <c r="L867" s="5" t="str">
        <f ca="1">IFERROR(__xludf.DUMMYFUNCTION("GOOGLETRANSLATE(J867,""EN"",""ES"")"),"Contenedores de maíz o heno")</f>
        <v>Contenedores de maíz o heno</v>
      </c>
      <c r="M867" s="8" t="s">
        <v>15</v>
      </c>
      <c r="N867" s="8" t="s">
        <v>15</v>
      </c>
    </row>
    <row r="868" spans="1:14" ht="11.25" customHeight="1">
      <c r="A868" s="5" t="s">
        <v>2074</v>
      </c>
      <c r="B868" s="5" t="s">
        <v>2556</v>
      </c>
      <c r="C868" s="5" t="s">
        <v>2582</v>
      </c>
      <c r="D868" s="5" t="s">
        <v>2077</v>
      </c>
      <c r="E868" s="5" t="s">
        <v>14</v>
      </c>
      <c r="F868" s="5" t="s">
        <v>2078</v>
      </c>
      <c r="G868" s="5" t="s">
        <v>2079</v>
      </c>
      <c r="H868" s="5" t="s">
        <v>2558</v>
      </c>
      <c r="I868" s="5" t="s">
        <v>2583</v>
      </c>
      <c r="J868" s="5" t="s">
        <v>2584</v>
      </c>
      <c r="K868" s="7" t="str">
        <f ca="1">IFERROR(__xludf.DUMMYFUNCTION("GOOGLETRANSLATE(H868,""EN"",""ES"")"),"OTROS MUEBLES Y PARTES DE MUEBLES")</f>
        <v>OTROS MUEBLES Y PARTES DE MUEBLES</v>
      </c>
      <c r="L868" s="5" t="str">
        <f ca="1">IFERROR(__xludf.DUMMYFUNCTION("GOOGLETRANSLATE(J868,""EN"",""ES"")"),"Confesionarios")</f>
        <v>Confesionarios</v>
      </c>
      <c r="M868" s="8" t="s">
        <v>15</v>
      </c>
      <c r="N868" s="8" t="s">
        <v>15</v>
      </c>
    </row>
    <row r="869" spans="1:14" ht="11.25" customHeight="1">
      <c r="A869" s="5" t="s">
        <v>2074</v>
      </c>
      <c r="B869" s="5" t="s">
        <v>2556</v>
      </c>
      <c r="C869" s="5" t="s">
        <v>2585</v>
      </c>
      <c r="D869" s="5" t="s">
        <v>2077</v>
      </c>
      <c r="E869" s="5" t="s">
        <v>14</v>
      </c>
      <c r="F869" s="5" t="s">
        <v>2078</v>
      </c>
      <c r="G869" s="5" t="s">
        <v>2079</v>
      </c>
      <c r="H869" s="5" t="s">
        <v>2558</v>
      </c>
      <c r="I869" s="5" t="s">
        <v>2586</v>
      </c>
      <c r="J869" s="5" t="s">
        <v>2587</v>
      </c>
      <c r="K869" s="7" t="str">
        <f ca="1">IFERROR(__xludf.DUMMYFUNCTION("GOOGLETRANSLATE(H869,""EN"",""ES"")"),"OTROS MUEBLES Y PARTES DE MUEBLES")</f>
        <v>OTROS MUEBLES Y PARTES DE MUEBLES</v>
      </c>
      <c r="L869" s="5" t="str">
        <f ca="1">IFERROR(__xludf.DUMMYFUNCTION("GOOGLETRANSLATE(J869,""EN"",""ES"")"),"Tapas de radiador")</f>
        <v>Tapas de radiador</v>
      </c>
      <c r="M869" s="8" t="s">
        <v>15</v>
      </c>
      <c r="N869" s="8" t="s">
        <v>15</v>
      </c>
    </row>
    <row r="870" spans="1:14" ht="11.25" customHeight="1">
      <c r="A870" s="5" t="s">
        <v>2074</v>
      </c>
      <c r="B870" s="5" t="s">
        <v>2556</v>
      </c>
      <c r="C870" s="5" t="s">
        <v>2588</v>
      </c>
      <c r="D870" s="5" t="s">
        <v>2077</v>
      </c>
      <c r="E870" s="5" t="s">
        <v>14</v>
      </c>
      <c r="F870" s="5" t="s">
        <v>2078</v>
      </c>
      <c r="G870" s="5" t="s">
        <v>2079</v>
      </c>
      <c r="H870" s="5" t="s">
        <v>2558</v>
      </c>
      <c r="I870" s="5" t="s">
        <v>2589</v>
      </c>
      <c r="J870" s="5" t="s">
        <v>2590</v>
      </c>
      <c r="K870" s="7" t="str">
        <f ca="1">IFERROR(__xludf.DUMMYFUNCTION("GOOGLETRANSLATE(H870,""EN"",""ES"")"),"OTROS MUEBLES Y PARTES DE MUEBLES")</f>
        <v>OTROS MUEBLES Y PARTES DE MUEBLES</v>
      </c>
      <c r="L870" s="5" t="str">
        <f ca="1">IFERROR(__xludf.DUMMYFUNCTION("GOOGLETRANSLATE(J870,""EN"",""ES"")"),"Escaleras de mano [muebles]")</f>
        <v>Escaleras de mano [muebles]</v>
      </c>
      <c r="M870" s="8" t="s">
        <v>15</v>
      </c>
      <c r="N870" s="8" t="s">
        <v>15</v>
      </c>
    </row>
    <row r="871" spans="1:14" ht="11.25" customHeight="1">
      <c r="A871" s="5" t="s">
        <v>2074</v>
      </c>
      <c r="B871" s="5" t="s">
        <v>2556</v>
      </c>
      <c r="C871" s="5" t="s">
        <v>2591</v>
      </c>
      <c r="D871" s="5" t="s">
        <v>2077</v>
      </c>
      <c r="E871" s="5" t="s">
        <v>14</v>
      </c>
      <c r="F871" s="5" t="s">
        <v>2078</v>
      </c>
      <c r="G871" s="5" t="s">
        <v>2079</v>
      </c>
      <c r="H871" s="5" t="s">
        <v>2558</v>
      </c>
      <c r="I871" s="5" t="s">
        <v>2592</v>
      </c>
      <c r="J871" s="5" t="s">
        <v>2593</v>
      </c>
      <c r="K871" s="7" t="str">
        <f ca="1">IFERROR(__xludf.DUMMYFUNCTION("GOOGLETRANSLATE(H871,""EN"",""ES"")"),"OTROS MUEBLES Y PARTES DE MUEBLES")</f>
        <v>OTROS MUEBLES Y PARTES DE MUEBLES</v>
      </c>
      <c r="L871" s="5" t="str">
        <f ca="1">IFERROR(__xludf.DUMMYFUNCTION("GOOGLETRANSLATE(J871,""EN"",""ES"")"),"Consejos para patas de muebles")</f>
        <v>Consejos para patas de muebles</v>
      </c>
      <c r="M871" s="8" t="s">
        <v>15</v>
      </c>
      <c r="N871" s="8" t="s">
        <v>15</v>
      </c>
    </row>
    <row r="872" spans="1:14" ht="11.25" customHeight="1">
      <c r="A872" s="5" t="s">
        <v>2074</v>
      </c>
      <c r="B872" s="5" t="s">
        <v>2556</v>
      </c>
      <c r="C872" s="5" t="s">
        <v>2594</v>
      </c>
      <c r="D872" s="5" t="s">
        <v>2077</v>
      </c>
      <c r="E872" s="5" t="s">
        <v>14</v>
      </c>
      <c r="F872" s="5" t="s">
        <v>2078</v>
      </c>
      <c r="G872" s="5" t="s">
        <v>2079</v>
      </c>
      <c r="H872" s="5" t="s">
        <v>2558</v>
      </c>
      <c r="I872" s="5" t="s">
        <v>2595</v>
      </c>
      <c r="J872" s="5" t="s">
        <v>2596</v>
      </c>
      <c r="K872" s="7" t="str">
        <f ca="1">IFERROR(__xludf.DUMMYFUNCTION("GOOGLETRANSLATE(H872,""EN"",""ES"")"),"OTROS MUEBLES Y PARTES DE MUEBLES")</f>
        <v>OTROS MUEBLES Y PARTES DE MUEBLES</v>
      </c>
      <c r="L872" s="5" t="str">
        <f ca="1">IFERROR(__xludf.DUMMYFUNCTION("GOOGLETRANSLATE(J872,""EN"",""ES"")"),"Alrededores de la cama [muebles]")</f>
        <v>Alrededores de la cama [muebles]</v>
      </c>
      <c r="M872" s="8" t="s">
        <v>15</v>
      </c>
      <c r="N872" s="8" t="s">
        <v>15</v>
      </c>
    </row>
    <row r="873" spans="1:14" ht="11.25" customHeight="1">
      <c r="A873" s="5" t="s">
        <v>2074</v>
      </c>
      <c r="B873" s="5" t="s">
        <v>2556</v>
      </c>
      <c r="C873" s="5" t="s">
        <v>2594</v>
      </c>
      <c r="D873" s="5" t="s">
        <v>2077</v>
      </c>
      <c r="E873" s="5" t="s">
        <v>14</v>
      </c>
      <c r="F873" s="5" t="s">
        <v>2078</v>
      </c>
      <c r="G873" s="5" t="s">
        <v>2079</v>
      </c>
      <c r="H873" s="5" t="s">
        <v>2558</v>
      </c>
      <c r="I873" s="5" t="s">
        <v>152</v>
      </c>
      <c r="J873" s="5" t="s">
        <v>2597</v>
      </c>
      <c r="K873" s="7" t="str">
        <f ca="1">IFERROR(__xludf.DUMMYFUNCTION("GOOGLETRANSLATE(H873,""EN"",""ES"")"),"OTROS MUEBLES Y PARTES DE MUEBLES")</f>
        <v>OTROS MUEBLES Y PARTES DE MUEBLES</v>
      </c>
      <c r="L873" s="5" t="str">
        <f ca="1">IFERROR(__xludf.DUMMYFUNCTION("GOOGLETRANSLATE(J873,""EN"",""ES"")"),"N / A")</f>
        <v>N / A</v>
      </c>
      <c r="M873" s="8" t="s">
        <v>15</v>
      </c>
      <c r="N873" s="8" t="s">
        <v>15</v>
      </c>
    </row>
    <row r="874" spans="1:14" ht="11.25" customHeight="1">
      <c r="A874" s="5" t="s">
        <v>2074</v>
      </c>
      <c r="B874" s="5" t="s">
        <v>2556</v>
      </c>
      <c r="C874" s="5" t="s">
        <v>2598</v>
      </c>
      <c r="D874" s="5" t="s">
        <v>2077</v>
      </c>
      <c r="E874" s="5" t="s">
        <v>14</v>
      </c>
      <c r="F874" s="5" t="s">
        <v>2078</v>
      </c>
      <c r="G874" s="5" t="s">
        <v>2079</v>
      </c>
      <c r="H874" s="5" t="s">
        <v>2558</v>
      </c>
      <c r="I874" s="5" t="s">
        <v>2599</v>
      </c>
      <c r="J874" s="5" t="s">
        <v>2600</v>
      </c>
      <c r="K874" s="7" t="str">
        <f ca="1">IFERROR(__xludf.DUMMYFUNCTION("GOOGLETRANSLATE(H874,""EN"",""ES"")"),"OTROS MUEBLES Y PARTES DE MUEBLES")</f>
        <v>OTROS MUEBLES Y PARTES DE MUEBLES</v>
      </c>
      <c r="L874" s="5" t="str">
        <f ca="1">IFERROR(__xludf.DUMMYFUNCTION("GOOGLETRANSLATE(J874,""EN"",""ES"")"),"Percheros [aparcacoches]")</f>
        <v>Percheros [aparcacoches]</v>
      </c>
      <c r="M874" s="8" t="s">
        <v>15</v>
      </c>
      <c r="N874" s="8" t="s">
        <v>15</v>
      </c>
    </row>
    <row r="875" spans="1:14" ht="11.25" customHeight="1">
      <c r="A875" s="5" t="s">
        <v>2074</v>
      </c>
      <c r="B875" s="5" t="s">
        <v>2556</v>
      </c>
      <c r="C875" s="5" t="s">
        <v>2598</v>
      </c>
      <c r="D875" s="5" t="s">
        <v>2077</v>
      </c>
      <c r="E875" s="5" t="s">
        <v>14</v>
      </c>
      <c r="F875" s="5" t="s">
        <v>2078</v>
      </c>
      <c r="G875" s="5" t="s">
        <v>2079</v>
      </c>
      <c r="H875" s="5" t="s">
        <v>2558</v>
      </c>
      <c r="I875" s="5" t="s">
        <v>2601</v>
      </c>
      <c r="J875" s="5" t="s">
        <v>2602</v>
      </c>
      <c r="K875" s="7" t="str">
        <f ca="1">IFERROR(__xludf.DUMMYFUNCTION("GOOGLETRANSLATE(H875,""EN"",""ES"")"),"OTROS MUEBLES Y PARTES DE MUEBLES")</f>
        <v>OTROS MUEBLES Y PARTES DE MUEBLES</v>
      </c>
      <c r="L875" s="5" t="str">
        <f ca="1">IFERROR(__xludf.DUMMYFUNCTION("GOOGLETRANSLATE(J875,""EN"",""ES"")"),"Valets [percheros]")</f>
        <v>Valets [percheros]</v>
      </c>
      <c r="M875" s="8" t="s">
        <v>15</v>
      </c>
      <c r="N875" s="8" t="s">
        <v>15</v>
      </c>
    </row>
    <row r="876" spans="1:14" ht="11.25" customHeight="1">
      <c r="A876" s="5" t="s">
        <v>2074</v>
      </c>
      <c r="B876" s="5" t="s">
        <v>2556</v>
      </c>
      <c r="C876" s="5" t="s">
        <v>2603</v>
      </c>
      <c r="D876" s="5" t="s">
        <v>2077</v>
      </c>
      <c r="E876" s="5" t="s">
        <v>14</v>
      </c>
      <c r="F876" s="5" t="s">
        <v>2078</v>
      </c>
      <c r="G876" s="5" t="s">
        <v>2079</v>
      </c>
      <c r="H876" s="5" t="s">
        <v>2558</v>
      </c>
      <c r="I876" s="5" t="s">
        <v>2604</v>
      </c>
      <c r="J876" s="5" t="s">
        <v>2605</v>
      </c>
      <c r="K876" s="7" t="str">
        <f ca="1">IFERROR(__xludf.DUMMYFUNCTION("GOOGLETRANSLATE(H876,""EN"",""ES"")"),"OTROS MUEBLES Y PARTES DE MUEBLES")</f>
        <v>OTROS MUEBLES Y PARTES DE MUEBLES</v>
      </c>
      <c r="L876" s="5" t="str">
        <f ca="1">IFERROR(__xludf.DUMMYFUNCTION("GOOGLETRANSLATE(J876,""EN"",""ES"")"),"Puestos de flores [muebles]")</f>
        <v>Puestos de flores [muebles]</v>
      </c>
      <c r="M876" s="8" t="s">
        <v>15</v>
      </c>
      <c r="N876" s="8" t="s">
        <v>15</v>
      </c>
    </row>
    <row r="877" spans="1:14" ht="11.25" customHeight="1">
      <c r="A877" s="5" t="s">
        <v>2074</v>
      </c>
      <c r="B877" s="5" t="s">
        <v>2556</v>
      </c>
      <c r="C877" s="5" t="s">
        <v>2606</v>
      </c>
      <c r="D877" s="5" t="s">
        <v>2077</v>
      </c>
      <c r="E877" s="5" t="s">
        <v>14</v>
      </c>
      <c r="F877" s="5" t="s">
        <v>2078</v>
      </c>
      <c r="G877" s="5" t="s">
        <v>2079</v>
      </c>
      <c r="H877" s="5" t="s">
        <v>2558</v>
      </c>
      <c r="I877" s="5" t="s">
        <v>2607</v>
      </c>
      <c r="J877" s="5" t="s">
        <v>2608</v>
      </c>
      <c r="K877" s="7" t="str">
        <f ca="1">IFERROR(__xludf.DUMMYFUNCTION("GOOGLETRANSLATE(H877,""EN"",""ES"")"),"OTROS MUEBLES Y PARTES DE MUEBLES")</f>
        <v>OTROS MUEBLES Y PARTES DE MUEBLES</v>
      </c>
      <c r="L877" s="5" t="str">
        <f ca="1">IFERROR(__xludf.DUMMYFUNCTION("GOOGLETRANSLATE(J877,""EN"",""ES"")"),"Atriles")</f>
        <v>Atriles</v>
      </c>
      <c r="M877" s="8" t="s">
        <v>15</v>
      </c>
      <c r="N877" s="8" t="s">
        <v>15</v>
      </c>
    </row>
    <row r="878" spans="1:14" ht="11.25" customHeight="1">
      <c r="A878" s="5" t="s">
        <v>2074</v>
      </c>
      <c r="B878" s="5" t="s">
        <v>2556</v>
      </c>
      <c r="C878" s="5" t="s">
        <v>2609</v>
      </c>
      <c r="D878" s="5" t="s">
        <v>2077</v>
      </c>
      <c r="E878" s="5" t="s">
        <v>14</v>
      </c>
      <c r="F878" s="5" t="s">
        <v>2078</v>
      </c>
      <c r="G878" s="5" t="s">
        <v>2079</v>
      </c>
      <c r="H878" s="5" t="s">
        <v>2558</v>
      </c>
      <c r="I878" s="5" t="s">
        <v>2610</v>
      </c>
      <c r="J878" s="5" t="s">
        <v>2611</v>
      </c>
      <c r="K878" s="7" t="str">
        <f ca="1">IFERROR(__xludf.DUMMYFUNCTION("GOOGLETRANSLATE(H878,""EN"",""ES"")"),"OTROS MUEBLES Y PARTES DE MUEBLES")</f>
        <v>OTROS MUEBLES Y PARTES DE MUEBLES</v>
      </c>
      <c r="L878" s="5" t="str">
        <f ca="1">IFERROR(__xludf.DUMMYFUNCTION("GOOGLETRANSLATE(J878,""EN"",""ES"")"),"Atriles")</f>
        <v>Atriles</v>
      </c>
      <c r="M878" s="8" t="s">
        <v>15</v>
      </c>
      <c r="N878" s="8" t="s">
        <v>15</v>
      </c>
    </row>
    <row r="879" spans="1:14" ht="11.25" customHeight="1">
      <c r="A879" s="5" t="s">
        <v>2074</v>
      </c>
      <c r="B879" s="5" t="s">
        <v>2556</v>
      </c>
      <c r="C879" s="5" t="s">
        <v>2609</v>
      </c>
      <c r="D879" s="5" t="s">
        <v>2077</v>
      </c>
      <c r="E879" s="5" t="s">
        <v>14</v>
      </c>
      <c r="F879" s="5" t="s">
        <v>2078</v>
      </c>
      <c r="G879" s="5" t="s">
        <v>2079</v>
      </c>
      <c r="H879" s="5" t="s">
        <v>2558</v>
      </c>
      <c r="I879" s="5" t="s">
        <v>2612</v>
      </c>
      <c r="J879" s="5" t="s">
        <v>152</v>
      </c>
      <c r="K879" s="7" t="str">
        <f ca="1">IFERROR(__xludf.DUMMYFUNCTION("GOOGLETRANSLATE(H879,""EN"",""ES"")"),"OTROS MUEBLES Y PARTES DE MUEBLES")</f>
        <v>OTROS MUEBLES Y PARTES DE MUEBLES</v>
      </c>
      <c r="L879" s="5" t="str">
        <f ca="1">IFERROR(__xludf.DUMMYFUNCTION("GOOGLETRANSLATE(J879,""EN"",""ES"")"),"Caballetes musicales")</f>
        <v>Caballetes musicales</v>
      </c>
      <c r="M879" s="8" t="s">
        <v>15</v>
      </c>
      <c r="N879" s="8" t="s">
        <v>15</v>
      </c>
    </row>
    <row r="880" spans="1:14" ht="11.25" customHeight="1">
      <c r="A880" s="5" t="s">
        <v>2074</v>
      </c>
      <c r="B880" s="5" t="s">
        <v>2556</v>
      </c>
      <c r="C880" s="5" t="s">
        <v>2613</v>
      </c>
      <c r="D880" s="5" t="s">
        <v>2077</v>
      </c>
      <c r="E880" s="5" t="s">
        <v>14</v>
      </c>
      <c r="F880" s="5" t="s">
        <v>2078</v>
      </c>
      <c r="G880" s="5" t="s">
        <v>2079</v>
      </c>
      <c r="H880" s="5" t="s">
        <v>2558</v>
      </c>
      <c r="I880" s="5" t="s">
        <v>2614</v>
      </c>
      <c r="J880" s="5" t="s">
        <v>2615</v>
      </c>
      <c r="K880" s="7" t="str">
        <f ca="1">IFERROR(__xludf.DUMMYFUNCTION("GOOGLETRANSLATE(H880,""EN"",""ES"")"),"OTROS MUEBLES Y PARTES DE MUEBLES")</f>
        <v>OTROS MUEBLES Y PARTES DE MUEBLES</v>
      </c>
      <c r="L880" s="5" t="str">
        <f ca="1">IFERROR(__xludf.DUMMYFUNCTION("GOOGLETRANSLATE(J880,""EN"",""ES"")"),"Mamparas [muebles]")</f>
        <v>Mamparas [muebles]</v>
      </c>
      <c r="M880" s="8" t="s">
        <v>15</v>
      </c>
      <c r="N880" s="8" t="s">
        <v>15</v>
      </c>
    </row>
    <row r="881" spans="1:14" ht="11.25" customHeight="1">
      <c r="A881" s="5" t="s">
        <v>2074</v>
      </c>
      <c r="B881" s="5" t="s">
        <v>2556</v>
      </c>
      <c r="C881" s="5" t="s">
        <v>2616</v>
      </c>
      <c r="D881" s="5" t="s">
        <v>2077</v>
      </c>
      <c r="E881" s="5" t="s">
        <v>14</v>
      </c>
      <c r="F881" s="5" t="s">
        <v>2078</v>
      </c>
      <c r="G881" s="5" t="s">
        <v>2079</v>
      </c>
      <c r="H881" s="5" t="s">
        <v>2558</v>
      </c>
      <c r="I881" s="5" t="s">
        <v>2617</v>
      </c>
      <c r="J881" s="5" t="s">
        <v>2618</v>
      </c>
      <c r="K881" s="7" t="str">
        <f ca="1">IFERROR(__xludf.DUMMYFUNCTION("GOOGLETRANSLATE(H881,""EN"",""ES"")"),"OTROS MUEBLES Y PARTES DE MUEBLES")</f>
        <v>OTROS MUEBLES Y PARTES DE MUEBLES</v>
      </c>
      <c r="L881" s="5" t="str">
        <f ca="1">IFERROR(__xludf.DUMMYFUNCTION("GOOGLETRANSLATE(J881,""EN"",""ES"")"),"Puertas de seguridad para bebés")</f>
        <v>Puertas de seguridad para bebés</v>
      </c>
      <c r="M881" s="8" t="s">
        <v>15</v>
      </c>
      <c r="N881" s="8" t="s">
        <v>15</v>
      </c>
    </row>
    <row r="882" spans="1:14" ht="11.25" customHeight="1">
      <c r="A882" s="5" t="s">
        <v>2074</v>
      </c>
      <c r="B882" s="5" t="s">
        <v>2556</v>
      </c>
      <c r="C882" s="5" t="s">
        <v>2619</v>
      </c>
      <c r="D882" s="5" t="s">
        <v>2077</v>
      </c>
      <c r="E882" s="5" t="s">
        <v>14</v>
      </c>
      <c r="F882" s="5" t="s">
        <v>2078</v>
      </c>
      <c r="G882" s="5" t="s">
        <v>2079</v>
      </c>
      <c r="H882" s="5" t="s">
        <v>2558</v>
      </c>
      <c r="I882" s="5" t="s">
        <v>2620</v>
      </c>
      <c r="J882" s="5" t="s">
        <v>2621</v>
      </c>
      <c r="K882" s="7" t="str">
        <f ca="1">IFERROR(__xludf.DUMMYFUNCTION("GOOGLETRANSLATE(H882,""EN"",""ES"")"),"OTROS MUEBLES Y PARTES DE MUEBLES")</f>
        <v>OTROS MUEBLES Y PARTES DE MUEBLES</v>
      </c>
      <c r="L882" s="5" t="str">
        <f ca="1">IFERROR(__xludf.DUMMYFUNCTION("GOOGLETRANSLATE(J882,""EN"",""ES"")"),"Parques para bebes")</f>
        <v>Parques para bebes</v>
      </c>
      <c r="M882" s="8" t="s">
        <v>15</v>
      </c>
      <c r="N882" s="8" t="s">
        <v>15</v>
      </c>
    </row>
    <row r="883" spans="1:14" ht="11.25" customHeight="1">
      <c r="A883" s="5" t="s">
        <v>2074</v>
      </c>
      <c r="B883" s="5" t="s">
        <v>2556</v>
      </c>
      <c r="C883" s="5" t="s">
        <v>2622</v>
      </c>
      <c r="D883" s="5" t="s">
        <v>2077</v>
      </c>
      <c r="E883" s="5" t="s">
        <v>14</v>
      </c>
      <c r="F883" s="5" t="s">
        <v>2078</v>
      </c>
      <c r="G883" s="5" t="s">
        <v>2079</v>
      </c>
      <c r="H883" s="5" t="s">
        <v>2558</v>
      </c>
      <c r="I883" s="5" t="s">
        <v>2623</v>
      </c>
      <c r="J883" s="5" t="s">
        <v>2624</v>
      </c>
      <c r="K883" s="7" t="str">
        <f ca="1">IFERROR(__xludf.DUMMYFUNCTION("GOOGLETRANSLATE(H883,""EN"",""ES"")"),"OTROS MUEBLES Y PARTES DE MUEBLES")</f>
        <v>OTROS MUEBLES Y PARTES DE MUEBLES</v>
      </c>
      <c r="L883" s="5" t="str">
        <f ca="1">IFERROR(__xludf.DUMMYFUNCTION("GOOGLETRANSLATE(J883,""EN"",""ES"")"),"bases para relojes")</f>
        <v>bases para relojes</v>
      </c>
      <c r="M883" s="8" t="s">
        <v>15</v>
      </c>
      <c r="N883" s="8" t="s">
        <v>15</v>
      </c>
    </row>
    <row r="884" spans="1:14" ht="11.25" customHeight="1">
      <c r="A884" s="5" t="s">
        <v>2074</v>
      </c>
      <c r="B884" s="5" t="s">
        <v>2556</v>
      </c>
      <c r="C884" s="5" t="s">
        <v>2625</v>
      </c>
      <c r="D884" s="5" t="s">
        <v>2077</v>
      </c>
      <c r="E884" s="5" t="s">
        <v>14</v>
      </c>
      <c r="F884" s="5" t="s">
        <v>2078</v>
      </c>
      <c r="G884" s="5" t="s">
        <v>2079</v>
      </c>
      <c r="H884" s="5" t="s">
        <v>2558</v>
      </c>
      <c r="I884" s="5" t="s">
        <v>2626</v>
      </c>
      <c r="J884" s="5" t="s">
        <v>2627</v>
      </c>
      <c r="K884" s="7" t="str">
        <f ca="1">IFERROR(__xludf.DUMMYFUNCTION("GOOGLETRANSLATE(H884,""EN"",""ES"")"),"OTROS MUEBLES Y PARTES DE MUEBLES")</f>
        <v>OTROS MUEBLES Y PARTES DE MUEBLES</v>
      </c>
      <c r="L884" s="5" t="str">
        <f ca="1">IFERROR(__xludf.DUMMYFUNCTION("GOOGLETRANSLATE(J884,""EN"",""ES"")"),"Patas de muebles")</f>
        <v>Patas de muebles</v>
      </c>
      <c r="M884" s="8" t="s">
        <v>15</v>
      </c>
      <c r="N884" s="8" t="s">
        <v>15</v>
      </c>
    </row>
    <row r="885" spans="1:14" ht="11.25" customHeight="1">
      <c r="A885" s="5" t="s">
        <v>2074</v>
      </c>
      <c r="B885" s="5" t="s">
        <v>2556</v>
      </c>
      <c r="C885" s="5" t="s">
        <v>2628</v>
      </c>
      <c r="D885" s="5" t="s">
        <v>2077</v>
      </c>
      <c r="E885" s="5" t="s">
        <v>14</v>
      </c>
      <c r="F885" s="5" t="s">
        <v>2078</v>
      </c>
      <c r="G885" s="5" t="s">
        <v>2079</v>
      </c>
      <c r="H885" s="5" t="s">
        <v>2558</v>
      </c>
      <c r="I885" s="5" t="s">
        <v>2629</v>
      </c>
      <c r="J885" s="5" t="s">
        <v>2630</v>
      </c>
      <c r="K885" s="7" t="str">
        <f ca="1">IFERROR(__xludf.DUMMYFUNCTION("GOOGLETRANSLATE(H885,""EN"",""ES"")"),"OTROS MUEBLES Y PARTES DE MUEBLES")</f>
        <v>OTROS MUEBLES Y PARTES DE MUEBLES</v>
      </c>
      <c r="L885" s="5" t="str">
        <f ca="1">IFERROR(__xludf.DUMMYFUNCTION("GOOGLETRANSLATE(J885,""EN"",""ES"")"),"Puertas de muebles")</f>
        <v>Puertas de muebles</v>
      </c>
      <c r="M885" s="8" t="s">
        <v>15</v>
      </c>
      <c r="N885" s="8" t="s">
        <v>15</v>
      </c>
    </row>
    <row r="886" spans="1:14" ht="11.25" customHeight="1">
      <c r="A886" s="5" t="s">
        <v>2074</v>
      </c>
      <c r="B886" s="5" t="s">
        <v>2556</v>
      </c>
      <c r="C886" s="5" t="s">
        <v>2631</v>
      </c>
      <c r="D886" s="5" t="s">
        <v>2077</v>
      </c>
      <c r="E886" s="5" t="s">
        <v>14</v>
      </c>
      <c r="F886" s="5" t="s">
        <v>2078</v>
      </c>
      <c r="G886" s="5" t="s">
        <v>2079</v>
      </c>
      <c r="H886" s="5" t="s">
        <v>2558</v>
      </c>
      <c r="I886" s="5" t="s">
        <v>2632</v>
      </c>
      <c r="J886" s="5" t="s">
        <v>2633</v>
      </c>
      <c r="K886" s="7" t="str">
        <f ca="1">IFERROR(__xludf.DUMMYFUNCTION("GOOGLETRANSLATE(H886,""EN"",""ES"")"),"OTROS MUEBLES Y PARTES DE MUEBLES")</f>
        <v>OTROS MUEBLES Y PARTES DE MUEBLES</v>
      </c>
      <c r="L886" s="5" t="str">
        <f ca="1">IFERROR(__xludf.DUMMYFUNCTION("GOOGLETRANSLATE(J886,""EN"",""ES"")"),"Hojas de mesa extensibles")</f>
        <v>Hojas de mesa extensibles</v>
      </c>
      <c r="M886" s="8" t="s">
        <v>15</v>
      </c>
      <c r="N886" s="8" t="s">
        <v>15</v>
      </c>
    </row>
    <row r="887" spans="1:14" ht="11.25" customHeight="1">
      <c r="A887" s="5" t="s">
        <v>2074</v>
      </c>
      <c r="B887" s="5" t="s">
        <v>2556</v>
      </c>
      <c r="C887" s="5" t="s">
        <v>2634</v>
      </c>
      <c r="D887" s="5" t="s">
        <v>2077</v>
      </c>
      <c r="E887" s="5" t="s">
        <v>14</v>
      </c>
      <c r="F887" s="5" t="s">
        <v>2078</v>
      </c>
      <c r="G887" s="5" t="s">
        <v>2079</v>
      </c>
      <c r="H887" s="5" t="s">
        <v>2558</v>
      </c>
      <c r="I887" s="5" t="s">
        <v>2635</v>
      </c>
      <c r="J887" s="5" t="s">
        <v>2636</v>
      </c>
      <c r="K887" s="7" t="str">
        <f ca="1">IFERROR(__xludf.DUMMYFUNCTION("GOOGLETRANSLATE(H887,""EN"",""ES"")"),"OTROS MUEBLES Y PARTES DE MUEBLES")</f>
        <v>OTROS MUEBLES Y PARTES DE MUEBLES</v>
      </c>
      <c r="L887" s="5" t="str">
        <f ca="1">IFERROR(__xludf.DUMMYFUNCTION("GOOGLETRANSLATE(J887,""EN"",""ES"")"),"Ruedas para muebles")</f>
        <v>Ruedas para muebles</v>
      </c>
      <c r="M887" s="8" t="s">
        <v>15</v>
      </c>
      <c r="N887" s="8" t="s">
        <v>15</v>
      </c>
    </row>
    <row r="888" spans="1:14" ht="11.25" customHeight="1">
      <c r="A888" s="5" t="s">
        <v>2074</v>
      </c>
      <c r="B888" s="5" t="s">
        <v>2556</v>
      </c>
      <c r="C888" s="5" t="s">
        <v>2637</v>
      </c>
      <c r="D888" s="5" t="s">
        <v>2077</v>
      </c>
      <c r="E888" s="5" t="s">
        <v>14</v>
      </c>
      <c r="F888" s="5" t="s">
        <v>2078</v>
      </c>
      <c r="G888" s="5" t="s">
        <v>2079</v>
      </c>
      <c r="H888" s="5" t="s">
        <v>2558</v>
      </c>
      <c r="I888" s="5" t="s">
        <v>2638</v>
      </c>
      <c r="J888" s="5" t="s">
        <v>2639</v>
      </c>
      <c r="K888" s="7" t="str">
        <f ca="1">IFERROR(__xludf.DUMMYFUNCTION("GOOGLETRANSLATE(H888,""EN"",""ES"")"),"OTROS MUEBLES Y PARTES DE MUEBLES")</f>
        <v>OTROS MUEBLES Y PARTES DE MUEBLES</v>
      </c>
      <c r="L888" s="5" t="str">
        <f ca="1">IFERROR(__xludf.DUMMYFUNCTION("GOOGLETRANSLATE(J888,""EN"",""ES"")"),"Soportes para zapatos con guías para pulidora.")</f>
        <v>Soportes para zapatos con guías para pulidora.</v>
      </c>
      <c r="M888" s="8" t="s">
        <v>15</v>
      </c>
      <c r="N888" s="8" t="s">
        <v>15</v>
      </c>
    </row>
    <row r="889" spans="1:14" ht="11.25" customHeight="1">
      <c r="A889" s="5" t="s">
        <v>2074</v>
      </c>
      <c r="B889" s="5" t="s">
        <v>2556</v>
      </c>
      <c r="C889" s="5" t="s">
        <v>2640</v>
      </c>
      <c r="D889" s="5" t="s">
        <v>2077</v>
      </c>
      <c r="E889" s="5" t="s">
        <v>14</v>
      </c>
      <c r="F889" s="5" t="s">
        <v>2078</v>
      </c>
      <c r="G889" s="5" t="s">
        <v>2079</v>
      </c>
      <c r="H889" s="5" t="s">
        <v>2558</v>
      </c>
      <c r="I889" s="5" t="s">
        <v>2641</v>
      </c>
      <c r="J889" s="5" t="s">
        <v>2642</v>
      </c>
      <c r="K889" s="7" t="str">
        <f ca="1">IFERROR(__xludf.DUMMYFUNCTION("GOOGLETRANSLATE(H889,""EN"",""ES"")"),"OTROS MUEBLES Y PARTES DE MUEBLES")</f>
        <v>OTROS MUEBLES Y PARTES DE MUEBLES</v>
      </c>
      <c r="L889" s="5" t="str">
        <f ca="1">IFERROR(__xludf.DUMMYFUNCTION("GOOGLETRANSLATE(J889,""EN"",""ES"")"),"Cajones de muebles")</f>
        <v>Cajones de muebles</v>
      </c>
      <c r="M889" s="8" t="s">
        <v>15</v>
      </c>
      <c r="N889" s="8" t="s">
        <v>15</v>
      </c>
    </row>
    <row r="890" spans="1:14" ht="11.25" customHeight="1">
      <c r="A890" s="5" t="s">
        <v>2074</v>
      </c>
      <c r="B890" s="5" t="s">
        <v>2556</v>
      </c>
      <c r="C890" s="5" t="s">
        <v>2643</v>
      </c>
      <c r="D890" s="5" t="s">
        <v>2077</v>
      </c>
      <c r="E890" s="5" t="s">
        <v>14</v>
      </c>
      <c r="F890" s="5" t="s">
        <v>2078</v>
      </c>
      <c r="G890" s="5" t="s">
        <v>2079</v>
      </c>
      <c r="H890" s="5" t="s">
        <v>2558</v>
      </c>
      <c r="I890" s="5" t="s">
        <v>2644</v>
      </c>
      <c r="J890" s="5" t="s">
        <v>2645</v>
      </c>
      <c r="K890" s="7" t="str">
        <f ca="1">IFERROR(__xludf.DUMMYFUNCTION("GOOGLETRANSLATE(H890,""EN"",""ES"")"),"OTROS MUEBLES Y PARTES DE MUEBLES")</f>
        <v>OTROS MUEBLES Y PARTES DE MUEBLES</v>
      </c>
      <c r="L890" s="5" t="str">
        <f ca="1">IFERROR(__xludf.DUMMYFUNCTION("GOOGLETRANSLATE(J890,""EN"",""ES"")"),"extremos del libro")</f>
        <v>extremos del libro</v>
      </c>
      <c r="M890" s="8" t="s">
        <v>15</v>
      </c>
      <c r="N890" s="8" t="s">
        <v>15</v>
      </c>
    </row>
    <row r="891" spans="1:14" ht="11.25" customHeight="1">
      <c r="A891" s="5" t="s">
        <v>2074</v>
      </c>
      <c r="B891" s="5" t="s">
        <v>2556</v>
      </c>
      <c r="C891" s="5" t="s">
        <v>2643</v>
      </c>
      <c r="D891" s="5" t="s">
        <v>2077</v>
      </c>
      <c r="E891" s="5" t="s">
        <v>14</v>
      </c>
      <c r="F891" s="5" t="s">
        <v>2078</v>
      </c>
      <c r="G891" s="5" t="s">
        <v>2079</v>
      </c>
      <c r="H891" s="5" t="s">
        <v>2558</v>
      </c>
      <c r="I891" s="5" t="s">
        <v>152</v>
      </c>
      <c r="J891" s="5" t="s">
        <v>2646</v>
      </c>
      <c r="K891" s="7" t="str">
        <f ca="1">IFERROR(__xludf.DUMMYFUNCTION("GOOGLETRANSLATE(H891,""EN"",""ES"")"),"OTROS MUEBLES Y PARTES DE MUEBLES")</f>
        <v>OTROS MUEBLES Y PARTES DE MUEBLES</v>
      </c>
      <c r="L891" s="5" t="str">
        <f ca="1">IFERROR(__xludf.DUMMYFUNCTION("GOOGLETRANSLATE(J891,""EN"",""ES"")"),"N / A")</f>
        <v>N / A</v>
      </c>
      <c r="M891" s="8" t="s">
        <v>15</v>
      </c>
      <c r="N891" s="8" t="s">
        <v>15</v>
      </c>
    </row>
    <row r="892" spans="1:14" ht="11.25" customHeight="1">
      <c r="A892" s="5" t="s">
        <v>2074</v>
      </c>
      <c r="B892" s="5" t="s">
        <v>2556</v>
      </c>
      <c r="C892" s="5" t="s">
        <v>2647</v>
      </c>
      <c r="D892" s="5" t="s">
        <v>2077</v>
      </c>
      <c r="E892" s="5" t="s">
        <v>14</v>
      </c>
      <c r="F892" s="5" t="s">
        <v>2078</v>
      </c>
      <c r="G892" s="5" t="s">
        <v>2079</v>
      </c>
      <c r="H892" s="5" t="s">
        <v>2558</v>
      </c>
      <c r="I892" s="5" t="s">
        <v>2648</v>
      </c>
      <c r="J892" s="5" t="s">
        <v>2649</v>
      </c>
      <c r="K892" s="7" t="str">
        <f ca="1">IFERROR(__xludf.DUMMYFUNCTION("GOOGLETRANSLATE(H892,""EN"",""ES"")"),"OTROS MUEBLES Y PARTES DE MUEBLES")</f>
        <v>OTROS MUEBLES Y PARTES DE MUEBLES</v>
      </c>
      <c r="L892" s="5" t="str">
        <f ca="1">IFERROR(__xludf.DUMMYFUNCTION("GOOGLETRANSLATE(J892,""EN"",""ES"")"),"Puestos de barricas")</f>
        <v>Puestos de barricas</v>
      </c>
      <c r="M892" s="8" t="s">
        <v>15</v>
      </c>
      <c r="N892" s="8" t="s">
        <v>15</v>
      </c>
    </row>
    <row r="893" spans="1:14" ht="11.25" customHeight="1">
      <c r="A893" s="5" t="s">
        <v>2074</v>
      </c>
      <c r="B893" s="5" t="s">
        <v>2556</v>
      </c>
      <c r="C893" s="5" t="s">
        <v>2650</v>
      </c>
      <c r="D893" s="5" t="s">
        <v>2077</v>
      </c>
      <c r="E893" s="5" t="s">
        <v>14</v>
      </c>
      <c r="F893" s="5" t="s">
        <v>2078</v>
      </c>
      <c r="G893" s="5" t="s">
        <v>2079</v>
      </c>
      <c r="H893" s="5" t="s">
        <v>2558</v>
      </c>
      <c r="I893" s="5" t="s">
        <v>2651</v>
      </c>
      <c r="J893" s="5" t="s">
        <v>2652</v>
      </c>
      <c r="K893" s="7" t="str">
        <f ca="1">IFERROR(__xludf.DUMMYFUNCTION("GOOGLETRANSLATE(H893,""EN"",""ES"")"),"OTROS MUEBLES Y PARTES DE MUEBLES")</f>
        <v>OTROS MUEBLES Y PARTES DE MUEBLES</v>
      </c>
      <c r="L893" s="5" t="str">
        <f ca="1">IFERROR(__xludf.DUMMYFUNCTION("GOOGLETRANSLATE(J893,""EN"",""ES"")"),"Soportes para sombreros")</f>
        <v>Soportes para sombreros</v>
      </c>
      <c r="M893" s="8" t="s">
        <v>15</v>
      </c>
      <c r="N893" s="8" t="s">
        <v>15</v>
      </c>
    </row>
    <row r="894" spans="1:14" ht="11.25" customHeight="1">
      <c r="A894" s="5" t="s">
        <v>2074</v>
      </c>
      <c r="B894" s="5" t="s">
        <v>2556</v>
      </c>
      <c r="C894" s="5" t="s">
        <v>2653</v>
      </c>
      <c r="D894" s="5" t="s">
        <v>2077</v>
      </c>
      <c r="E894" s="5" t="s">
        <v>14</v>
      </c>
      <c r="F894" s="5" t="s">
        <v>2078</v>
      </c>
      <c r="G894" s="5" t="s">
        <v>2079</v>
      </c>
      <c r="H894" s="5" t="s">
        <v>2558</v>
      </c>
      <c r="I894" s="5" t="s">
        <v>2654</v>
      </c>
      <c r="J894" s="5" t="s">
        <v>2655</v>
      </c>
      <c r="K894" s="7" t="str">
        <f ca="1">IFERROR(__xludf.DUMMYFUNCTION("GOOGLETRANSLATE(H894,""EN"",""ES"")"),"OTROS MUEBLES Y PARTES DE MUEBLES")</f>
        <v>OTROS MUEBLES Y PARTES DE MUEBLES</v>
      </c>
      <c r="L894" s="5" t="str">
        <f ca="1">IFERROR(__xludf.DUMMYFUNCTION("GOOGLETRANSLATE(J894,""EN"",""ES"")"),"Rejillas para colgar bolsas para llenado")</f>
        <v>Rejillas para colgar bolsas para llenado</v>
      </c>
      <c r="M894" s="8" t="s">
        <v>15</v>
      </c>
      <c r="N894" s="8" t="s">
        <v>15</v>
      </c>
    </row>
    <row r="895" spans="1:14" ht="11.25" customHeight="1">
      <c r="A895" s="5" t="s">
        <v>2074</v>
      </c>
      <c r="B895" s="5" t="s">
        <v>2556</v>
      </c>
      <c r="C895" s="5" t="s">
        <v>2656</v>
      </c>
      <c r="D895" s="5" t="s">
        <v>2077</v>
      </c>
      <c r="E895" s="5" t="s">
        <v>14</v>
      </c>
      <c r="F895" s="5" t="s">
        <v>2078</v>
      </c>
      <c r="G895" s="5" t="s">
        <v>2079</v>
      </c>
      <c r="H895" s="5" t="s">
        <v>2558</v>
      </c>
      <c r="I895" s="5" t="s">
        <v>2657</v>
      </c>
      <c r="J895" s="5" t="s">
        <v>2658</v>
      </c>
      <c r="K895" s="7" t="str">
        <f ca="1">IFERROR(__xludf.DUMMYFUNCTION("GOOGLETRANSLATE(H895,""EN"",""ES"")"),"OTROS MUEBLES Y PARTES DE MUEBLES")</f>
        <v>OTROS MUEBLES Y PARTES DE MUEBLES</v>
      </c>
      <c r="L895" s="5" t="str">
        <f ca="1">IFERROR(__xludf.DUMMYFUNCTION("GOOGLETRANSLATE(J895,""EN"",""ES"")"),"Soportes de lectura")</f>
        <v>Soportes de lectura</v>
      </c>
      <c r="M895" s="8" t="s">
        <v>15</v>
      </c>
      <c r="N895" s="8" t="s">
        <v>15</v>
      </c>
    </row>
    <row r="896" spans="1:14" ht="11.25" customHeight="1">
      <c r="A896" s="5" t="s">
        <v>2074</v>
      </c>
      <c r="B896" s="5" t="s">
        <v>2556</v>
      </c>
      <c r="C896" s="5" t="s">
        <v>2659</v>
      </c>
      <c r="D896" s="5" t="s">
        <v>2077</v>
      </c>
      <c r="E896" s="5" t="s">
        <v>14</v>
      </c>
      <c r="F896" s="5" t="s">
        <v>2078</v>
      </c>
      <c r="G896" s="5" t="s">
        <v>2079</v>
      </c>
      <c r="H896" s="5" t="s">
        <v>2558</v>
      </c>
      <c r="I896" s="5" t="s">
        <v>2660</v>
      </c>
      <c r="J896" s="5" t="s">
        <v>2661</v>
      </c>
      <c r="K896" s="7" t="str">
        <f ca="1">IFERROR(__xludf.DUMMYFUNCTION("GOOGLETRANSLATE(H896,""EN"",""ES"")"),"OTROS MUEBLES Y PARTES DE MUEBLES")</f>
        <v>OTROS MUEBLES Y PARTES DE MUEBLES</v>
      </c>
      <c r="L896" s="5" t="str">
        <f ca="1">IFERROR(__xludf.DUMMYFUNCTION("GOOGLETRANSLATE(J896,""EN"",""ES"")"),"Percheros [muebles]")</f>
        <v>Percheros [muebles]</v>
      </c>
      <c r="M896" s="8" t="s">
        <v>15</v>
      </c>
      <c r="N896" s="8" t="s">
        <v>15</v>
      </c>
    </row>
    <row r="897" spans="1:14" ht="11.25" customHeight="1">
      <c r="A897" s="5" t="s">
        <v>2074</v>
      </c>
      <c r="B897" s="5" t="s">
        <v>2556</v>
      </c>
      <c r="C897" s="5" t="s">
        <v>2662</v>
      </c>
      <c r="D897" s="5" t="s">
        <v>2077</v>
      </c>
      <c r="E897" s="5" t="s">
        <v>14</v>
      </c>
      <c r="F897" s="5" t="s">
        <v>2078</v>
      </c>
      <c r="G897" s="5" t="s">
        <v>2079</v>
      </c>
      <c r="H897" s="5" t="s">
        <v>2558</v>
      </c>
      <c r="I897" s="5" t="s">
        <v>2663</v>
      </c>
      <c r="J897" s="5" t="s">
        <v>2664</v>
      </c>
      <c r="K897" s="7" t="str">
        <f ca="1">IFERROR(__xludf.DUMMYFUNCTION("GOOGLETRANSLATE(H897,""EN"",""ES"")"),"OTROS MUEBLES Y PARTES DE MUEBLES")</f>
        <v>OTROS MUEBLES Y PARTES DE MUEBLES</v>
      </c>
      <c r="L897" s="5" t="str">
        <f ca="1">IFERROR(__xludf.DUMMYFUNCTION("GOOGLETRANSLATE(J897,""EN"",""ES"")"),"Reposapiés para podólogos")</f>
        <v>Reposapiés para podólogos</v>
      </c>
      <c r="M897" s="8" t="s">
        <v>15</v>
      </c>
      <c r="N897" s="8" t="s">
        <v>15</v>
      </c>
    </row>
    <row r="898" spans="1:14" ht="11.25" customHeight="1">
      <c r="A898" s="5" t="s">
        <v>2074</v>
      </c>
      <c r="B898" s="5" t="s">
        <v>2556</v>
      </c>
      <c r="C898" s="5" t="s">
        <v>2665</v>
      </c>
      <c r="D898" s="5" t="s">
        <v>2077</v>
      </c>
      <c r="E898" s="5" t="s">
        <v>14</v>
      </c>
      <c r="F898" s="5" t="s">
        <v>2078</v>
      </c>
      <c r="G898" s="5" t="s">
        <v>2079</v>
      </c>
      <c r="H898" s="5" t="s">
        <v>2558</v>
      </c>
      <c r="I898" s="5" t="s">
        <v>2666</v>
      </c>
      <c r="J898" s="5" t="s">
        <v>2667</v>
      </c>
      <c r="K898" s="7" t="str">
        <f ca="1">IFERROR(__xludf.DUMMYFUNCTION("GOOGLETRANSLATE(H898,""EN"",""ES"")"),"OTROS MUEBLES Y PARTES DE MUEBLES")</f>
        <v>OTROS MUEBLES Y PARTES DE MUEBLES</v>
      </c>
      <c r="L898" s="5" t="str">
        <f ca="1">IFERROR(__xludf.DUMMYFUNCTION("GOOGLETRANSLATE(J898,""EN"",""ES"")"),"Ruedas para cajones")</f>
        <v>Ruedas para cajones</v>
      </c>
      <c r="M898" s="8" t="s">
        <v>15</v>
      </c>
      <c r="N898" s="8" t="s">
        <v>15</v>
      </c>
    </row>
    <row r="899" spans="1:14" ht="11.25" customHeight="1">
      <c r="A899" s="5" t="s">
        <v>2074</v>
      </c>
      <c r="B899" s="5" t="s">
        <v>2556</v>
      </c>
      <c r="C899" s="5" t="s">
        <v>2668</v>
      </c>
      <c r="D899" s="5" t="s">
        <v>2077</v>
      </c>
      <c r="E899" s="5" t="s">
        <v>14</v>
      </c>
      <c r="F899" s="5" t="s">
        <v>2078</v>
      </c>
      <c r="G899" s="5" t="s">
        <v>2079</v>
      </c>
      <c r="H899" s="5" t="s">
        <v>2558</v>
      </c>
      <c r="I899" s="5" t="s">
        <v>2669</v>
      </c>
      <c r="J899" s="5" t="s">
        <v>2670</v>
      </c>
      <c r="K899" s="7" t="str">
        <f ca="1">IFERROR(__xludf.DUMMYFUNCTION("GOOGLETRANSLATE(H899,""EN"",""ES"")"),"OTROS MUEBLES Y PARTES DE MUEBLES")</f>
        <v>OTROS MUEBLES Y PARTES DE MUEBLES</v>
      </c>
      <c r="L899" s="5" t="str">
        <f ca="1">IFERROR(__xludf.DUMMYFUNCTION("GOOGLETRANSLATE(J899,""EN"",""ES"")"),"Rieles para cajones")</f>
        <v>Rieles para cajones</v>
      </c>
      <c r="M899" s="8" t="s">
        <v>15</v>
      </c>
      <c r="N899" s="8" t="s">
        <v>15</v>
      </c>
    </row>
    <row r="900" spans="1:14" ht="11.25" customHeight="1">
      <c r="A900" s="5" t="s">
        <v>2074</v>
      </c>
      <c r="B900" s="5" t="s">
        <v>2556</v>
      </c>
      <c r="C900" s="5" t="s">
        <v>2671</v>
      </c>
      <c r="D900" s="5" t="s">
        <v>2077</v>
      </c>
      <c r="E900" s="5" t="s">
        <v>14</v>
      </c>
      <c r="F900" s="5" t="s">
        <v>2078</v>
      </c>
      <c r="G900" s="5" t="s">
        <v>2079</v>
      </c>
      <c r="H900" s="5" t="s">
        <v>2558</v>
      </c>
      <c r="I900" s="5" t="s">
        <v>2672</v>
      </c>
      <c r="J900" s="5" t="s">
        <v>2673</v>
      </c>
      <c r="K900" s="7" t="str">
        <f ca="1">IFERROR(__xludf.DUMMYFUNCTION("GOOGLETRANSLATE(H900,""EN"",""ES"")"),"OTROS MUEBLES Y PARTES DE MUEBLES")</f>
        <v>OTROS MUEBLES Y PARTES DE MUEBLES</v>
      </c>
      <c r="L900" s="5" t="str">
        <f ca="1">IFERROR(__xludf.DUMMYFUNCTION("GOOGLETRANSLATE(J900,""EN"",""ES"")"),"Pies de muebles")</f>
        <v>Pies de muebles</v>
      </c>
      <c r="M900" s="8" t="s">
        <v>15</v>
      </c>
      <c r="N900" s="8" t="s">
        <v>15</v>
      </c>
    </row>
    <row r="901" spans="1:14" ht="11.25" customHeight="1">
      <c r="A901" s="5" t="s">
        <v>2074</v>
      </c>
      <c r="B901" s="5" t="s">
        <v>2556</v>
      </c>
      <c r="C901" s="5" t="s">
        <v>2674</v>
      </c>
      <c r="D901" s="5" t="s">
        <v>2077</v>
      </c>
      <c r="E901" s="5" t="s">
        <v>14</v>
      </c>
      <c r="F901" s="5" t="s">
        <v>2078</v>
      </c>
      <c r="G901" s="5" t="s">
        <v>2079</v>
      </c>
      <c r="H901" s="5" t="s">
        <v>2558</v>
      </c>
      <c r="I901" s="5" t="s">
        <v>2675</v>
      </c>
      <c r="J901" s="5" t="s">
        <v>2676</v>
      </c>
      <c r="K901" s="7" t="str">
        <f ca="1">IFERROR(__xludf.DUMMYFUNCTION("GOOGLETRANSLATE(H901,""EN"",""ES"")"),"OTROS MUEBLES Y PARTES DE MUEBLES")</f>
        <v>OTROS MUEBLES Y PARTES DE MUEBLES</v>
      </c>
      <c r="L901" s="5" t="str">
        <f ca="1">IFERROR(__xludf.DUMMYFUNCTION("GOOGLETRANSLATE(J901,""EN"",""ES"")"),"Molduras para muebles")</f>
        <v>Molduras para muebles</v>
      </c>
      <c r="M901" s="8" t="s">
        <v>15</v>
      </c>
      <c r="N901" s="8" t="s">
        <v>15</v>
      </c>
    </row>
    <row r="902" spans="1:14" ht="11.25" customHeight="1">
      <c r="A902" s="5" t="s">
        <v>2074</v>
      </c>
      <c r="B902" s="5" t="s">
        <v>2556</v>
      </c>
      <c r="C902" s="5" t="s">
        <v>2674</v>
      </c>
      <c r="D902" s="5" t="s">
        <v>2077</v>
      </c>
      <c r="E902" s="5" t="s">
        <v>14</v>
      </c>
      <c r="F902" s="5" t="s">
        <v>2078</v>
      </c>
      <c r="G902" s="5" t="s">
        <v>2079</v>
      </c>
      <c r="H902" s="5" t="s">
        <v>2558</v>
      </c>
      <c r="I902" s="5" t="s">
        <v>2677</v>
      </c>
      <c r="J902" s="5" t="s">
        <v>152</v>
      </c>
      <c r="K902" s="7" t="str">
        <f ca="1">IFERROR(__xludf.DUMMYFUNCTION("GOOGLETRANSLATE(H902,""EN"",""ES"")"),"OTROS MUEBLES Y PARTES DE MUEBLES")</f>
        <v>OTROS MUEBLES Y PARTES DE MUEBLES</v>
      </c>
      <c r="L902" s="5" t="str">
        <f ca="1">IFERROR(__xludf.DUMMYFUNCTION("GOOGLETRANSLATE(J902,""EN"",""ES"")"),"Molduras para muebles")</f>
        <v>Molduras para muebles</v>
      </c>
      <c r="M902" s="8" t="s">
        <v>15</v>
      </c>
      <c r="N902" s="8" t="s">
        <v>15</v>
      </c>
    </row>
    <row r="903" spans="1:14" ht="11.25" customHeight="1">
      <c r="A903" s="5" t="s">
        <v>2074</v>
      </c>
      <c r="B903" s="5" t="s">
        <v>2556</v>
      </c>
      <c r="C903" s="5" t="s">
        <v>2678</v>
      </c>
      <c r="D903" s="5" t="s">
        <v>2077</v>
      </c>
      <c r="E903" s="5" t="s">
        <v>14</v>
      </c>
      <c r="F903" s="5" t="s">
        <v>2078</v>
      </c>
      <c r="G903" s="5" t="s">
        <v>2079</v>
      </c>
      <c r="H903" s="5" t="s">
        <v>2558</v>
      </c>
      <c r="I903" s="5" t="s">
        <v>2679</v>
      </c>
      <c r="J903" s="5" t="s">
        <v>2680</v>
      </c>
      <c r="K903" s="7" t="str">
        <f ca="1">IFERROR(__xludf.DUMMYFUNCTION("GOOGLETRANSLATE(H903,""EN"",""ES"")"),"OTROS MUEBLES Y PARTES DE MUEBLES")</f>
        <v>OTROS MUEBLES Y PARTES DE MUEBLES</v>
      </c>
      <c r="L903" s="5" t="str">
        <f ca="1">IFERROR(__xludf.DUMMYFUNCTION("GOOGLETRANSLATE(J903,""EN"",""ES"")"),"Caballetes")</f>
        <v>Caballetes</v>
      </c>
      <c r="M903" s="8" t="s">
        <v>15</v>
      </c>
      <c r="N903" s="8" t="s">
        <v>15</v>
      </c>
    </row>
    <row r="904" spans="1:14" ht="11.25" customHeight="1">
      <c r="A904" s="5" t="s">
        <v>2074</v>
      </c>
      <c r="B904" s="5" t="s">
        <v>2556</v>
      </c>
      <c r="C904" s="5" t="s">
        <v>2681</v>
      </c>
      <c r="D904" s="5" t="s">
        <v>2077</v>
      </c>
      <c r="E904" s="5" t="s">
        <v>14</v>
      </c>
      <c r="F904" s="5" t="s">
        <v>2078</v>
      </c>
      <c r="G904" s="5" t="s">
        <v>2079</v>
      </c>
      <c r="H904" s="5" t="s">
        <v>2558</v>
      </c>
      <c r="I904" s="5" t="s">
        <v>2682</v>
      </c>
      <c r="J904" s="5" t="s">
        <v>2683</v>
      </c>
      <c r="K904" s="7" t="str">
        <f ca="1">IFERROR(__xludf.DUMMYFUNCTION("GOOGLETRANSLATE(H904,""EN"",""ES"")"),"OTROS MUEBLES Y PARTES DE MUEBLES")</f>
        <v>OTROS MUEBLES Y PARTES DE MUEBLES</v>
      </c>
      <c r="L904" s="5" t="str">
        <f ca="1">IFERROR(__xludf.DUMMYFUNCTION("GOOGLETRANSLATE(J904,""EN"",""ES"")"),"Muñequeras")</f>
        <v>Muñequeras</v>
      </c>
      <c r="M904" s="8" t="s">
        <v>15</v>
      </c>
      <c r="N904" s="8" t="s">
        <v>15</v>
      </c>
    </row>
    <row r="905" spans="1:14" ht="11.25" customHeight="1">
      <c r="A905" s="5" t="s">
        <v>2074</v>
      </c>
      <c r="B905" s="5" t="s">
        <v>2556</v>
      </c>
      <c r="C905" s="5" t="s">
        <v>2684</v>
      </c>
      <c r="D905" s="5" t="s">
        <v>2077</v>
      </c>
      <c r="E905" s="5" t="s">
        <v>14</v>
      </c>
      <c r="F905" s="5" t="s">
        <v>2078</v>
      </c>
      <c r="G905" s="5" t="s">
        <v>2079</v>
      </c>
      <c r="H905" s="5" t="s">
        <v>2558</v>
      </c>
      <c r="I905" s="5" t="s">
        <v>2685</v>
      </c>
      <c r="J905" s="5" t="s">
        <v>2686</v>
      </c>
      <c r="K905" s="7" t="str">
        <f ca="1">IFERROR(__xludf.DUMMYFUNCTION("GOOGLETRANSLATE(H905,""EN"",""ES"")"),"OTROS MUEBLES Y PARTES DE MUEBLES")</f>
        <v>OTROS MUEBLES Y PARTES DE MUEBLES</v>
      </c>
      <c r="L905" s="5" t="str">
        <f ca="1">IFERROR(__xludf.DUMMYFUNCTION("GOOGLETRANSLATE(J905,""EN"",""ES"")"),"Tapas de muebles")</f>
        <v>Tapas de muebles</v>
      </c>
      <c r="M905" s="8" t="s">
        <v>15</v>
      </c>
      <c r="N905" s="8" t="s">
        <v>15</v>
      </c>
    </row>
    <row r="906" spans="1:14" ht="11.25" customHeight="1">
      <c r="A906" s="5" t="s">
        <v>2074</v>
      </c>
      <c r="B906" s="5" t="s">
        <v>2556</v>
      </c>
      <c r="C906" s="5" t="s">
        <v>2687</v>
      </c>
      <c r="D906" s="5" t="s">
        <v>2077</v>
      </c>
      <c r="E906" s="5" t="s">
        <v>14</v>
      </c>
      <c r="F906" s="5" t="s">
        <v>2078</v>
      </c>
      <c r="G906" s="5" t="s">
        <v>2079</v>
      </c>
      <c r="H906" s="5" t="s">
        <v>2558</v>
      </c>
      <c r="I906" s="5" t="s">
        <v>2688</v>
      </c>
      <c r="J906" s="5" t="s">
        <v>2689</v>
      </c>
      <c r="K906" s="7" t="str">
        <f ca="1">IFERROR(__xludf.DUMMYFUNCTION("GOOGLETRANSLATE(H906,""EN"",""ES"")"),"OTROS MUEBLES Y PARTES DE MUEBLES")</f>
        <v>OTROS MUEBLES Y PARTES DE MUEBLES</v>
      </c>
      <c r="L906" s="5" t="str">
        <f ca="1">IFERROR(__xludf.DUMMYFUNCTION("GOOGLETRANSLATE(J906,""EN"",""ES"")"),"Secciones para muebles")</f>
        <v>Secciones para muebles</v>
      </c>
      <c r="M906" s="8" t="s">
        <v>15</v>
      </c>
      <c r="N906" s="8" t="s">
        <v>15</v>
      </c>
    </row>
    <row r="907" spans="1:14" ht="11.25" customHeight="1">
      <c r="A907" s="5" t="s">
        <v>2074</v>
      </c>
      <c r="B907" s="5" t="s">
        <v>2556</v>
      </c>
      <c r="C907" s="5" t="s">
        <v>2690</v>
      </c>
      <c r="D907" s="5" t="s">
        <v>2077</v>
      </c>
      <c r="E907" s="5" t="s">
        <v>14</v>
      </c>
      <c r="F907" s="5" t="s">
        <v>2078</v>
      </c>
      <c r="G907" s="5" t="s">
        <v>2079</v>
      </c>
      <c r="H907" s="5" t="s">
        <v>2558</v>
      </c>
      <c r="I907" s="5" t="s">
        <v>2691</v>
      </c>
      <c r="J907" s="5" t="s">
        <v>2691</v>
      </c>
      <c r="K907" s="7" t="str">
        <f ca="1">IFERROR(__xludf.DUMMYFUNCTION("GOOGLETRANSLATE(H907,""EN"",""ES"")"),"OTROS MUEBLES Y PARTES DE MUEBLES")</f>
        <v>OTROS MUEBLES Y PARTES DE MUEBLES</v>
      </c>
      <c r="L907" s="5" t="str">
        <f ca="1">IFERROR(__xludf.DUMMYFUNCTION("GOOGLETRANSLATE(J907,""EN"",""ES"")"),"catafalcos")</f>
        <v>catafalcos</v>
      </c>
      <c r="M907" s="8" t="s">
        <v>15</v>
      </c>
      <c r="N907" s="8" t="s">
        <v>15</v>
      </c>
    </row>
    <row r="908" spans="1:14" ht="11.25" customHeight="1">
      <c r="A908" s="5" t="s">
        <v>2074</v>
      </c>
      <c r="B908" s="5" t="s">
        <v>2556</v>
      </c>
      <c r="C908" s="5" t="s">
        <v>2692</v>
      </c>
      <c r="D908" s="5" t="s">
        <v>2077</v>
      </c>
      <c r="E908" s="5" t="s">
        <v>14</v>
      </c>
      <c r="F908" s="5" t="s">
        <v>2078</v>
      </c>
      <c r="G908" s="5" t="s">
        <v>2079</v>
      </c>
      <c r="H908" s="5" t="s">
        <v>2558</v>
      </c>
      <c r="I908" s="5" t="s">
        <v>2693</v>
      </c>
      <c r="J908" s="5" t="s">
        <v>2694</v>
      </c>
      <c r="K908" s="7" t="str">
        <f ca="1">IFERROR(__xludf.DUMMYFUNCTION("GOOGLETRANSLATE(H908,""EN"",""ES"")"),"OTROS MUEBLES Y PARTES DE MUEBLES")</f>
        <v>OTROS MUEBLES Y PARTES DE MUEBLES</v>
      </c>
      <c r="L908" s="5" t="str">
        <f ca="1">IFERROR(__xludf.DUMMYFUNCTION("GOOGLETRANSLATE(J908,""EN"",""ES"")"),"Frentes de muebles")</f>
        <v>Frentes de muebles</v>
      </c>
      <c r="M908" s="8" t="s">
        <v>15</v>
      </c>
      <c r="N908" s="8" t="s">
        <v>15</v>
      </c>
    </row>
    <row r="909" spans="1:14" ht="11.25" customHeight="1">
      <c r="A909" s="5" t="s">
        <v>2074</v>
      </c>
      <c r="B909" s="5" t="s">
        <v>2556</v>
      </c>
      <c r="C909" s="5" t="s">
        <v>2695</v>
      </c>
      <c r="D909" s="5" t="s">
        <v>2077</v>
      </c>
      <c r="E909" s="5" t="s">
        <v>14</v>
      </c>
      <c r="F909" s="5" t="s">
        <v>2078</v>
      </c>
      <c r="G909" s="5" t="s">
        <v>2079</v>
      </c>
      <c r="H909" s="5" t="s">
        <v>2558</v>
      </c>
      <c r="I909" s="5" t="s">
        <v>2696</v>
      </c>
      <c r="J909" s="5" t="s">
        <v>2697</v>
      </c>
      <c r="K909" s="7" t="str">
        <f ca="1">IFERROR(__xludf.DUMMYFUNCTION("GOOGLETRANSLATE(H909,""EN"",""ES"")"),"OTROS MUEBLES Y PARTES DE MUEBLES")</f>
        <v>OTROS MUEBLES Y PARTES DE MUEBLES</v>
      </c>
      <c r="L909" s="5" t="str">
        <f ca="1">IFERROR(__xludf.DUMMYFUNCTION("GOOGLETRANSLATE(J909,""EN"",""ES"")"),"Reposacabezas para asientos")</f>
        <v>Reposacabezas para asientos</v>
      </c>
      <c r="M909" s="8" t="s">
        <v>15</v>
      </c>
      <c r="N909" s="8" t="s">
        <v>15</v>
      </c>
    </row>
    <row r="910" spans="1:14" ht="11.25" customHeight="1">
      <c r="A910" s="5" t="s">
        <v>2074</v>
      </c>
      <c r="B910" s="5" t="s">
        <v>2556</v>
      </c>
      <c r="C910" s="5" t="s">
        <v>2698</v>
      </c>
      <c r="D910" s="5" t="s">
        <v>2077</v>
      </c>
      <c r="E910" s="5" t="s">
        <v>14</v>
      </c>
      <c r="F910" s="5" t="s">
        <v>2078</v>
      </c>
      <c r="G910" s="5" t="s">
        <v>2079</v>
      </c>
      <c r="H910" s="5" t="s">
        <v>2558</v>
      </c>
      <c r="I910" s="5" t="s">
        <v>2699</v>
      </c>
      <c r="J910" s="5" t="s">
        <v>2700</v>
      </c>
      <c r="K910" s="7" t="str">
        <f ca="1">IFERROR(__xludf.DUMMYFUNCTION("GOOGLETRANSLATE(H910,""EN"",""ES"")"),"OTROS MUEBLES Y PARTES DE MUEBLES")</f>
        <v>OTROS MUEBLES Y PARTES DE MUEBLES</v>
      </c>
      <c r="L910" s="5" t="str">
        <f ca="1">IFERROR(__xludf.DUMMYFUNCTION("GOOGLETRANSLATE(J910,""EN"",""ES"")"),"Cabeceros")</f>
        <v>Cabeceros</v>
      </c>
      <c r="M910" s="8" t="s">
        <v>15</v>
      </c>
      <c r="N910" s="8" t="s">
        <v>15</v>
      </c>
    </row>
    <row r="911" spans="1:14" ht="11.25" customHeight="1">
      <c r="A911" s="5" t="s">
        <v>2074</v>
      </c>
      <c r="B911" s="5" t="s">
        <v>2556</v>
      </c>
      <c r="C911" s="5" t="s">
        <v>2701</v>
      </c>
      <c r="D911" s="5" t="s">
        <v>2077</v>
      </c>
      <c r="E911" s="5" t="s">
        <v>14</v>
      </c>
      <c r="F911" s="5" t="s">
        <v>2078</v>
      </c>
      <c r="G911" s="5" t="s">
        <v>2079</v>
      </c>
      <c r="H911" s="5" t="s">
        <v>2558</v>
      </c>
      <c r="I911" s="5" t="s">
        <v>2702</v>
      </c>
      <c r="J911" s="5" t="s">
        <v>2703</v>
      </c>
      <c r="K911" s="7" t="str">
        <f ca="1">IFERROR(__xludf.DUMMYFUNCTION("GOOGLETRANSLATE(H911,""EN"",""ES"")"),"OTROS MUEBLES Y PARTES DE MUEBLES")</f>
        <v>OTROS MUEBLES Y PARTES DE MUEBLES</v>
      </c>
      <c r="L911" s="5" t="str">
        <f ca="1">IFERROR(__xludf.DUMMYFUNCTION("GOOGLETRANSLATE(J911,""EN"",""ES"")"),"Asientos [partes de sillas]")</f>
        <v>Asientos [partes de sillas]</v>
      </c>
      <c r="M911" s="8" t="s">
        <v>15</v>
      </c>
      <c r="N911" s="8" t="s">
        <v>15</v>
      </c>
    </row>
    <row r="912" spans="1:14" ht="11.25" customHeight="1">
      <c r="A912" s="5" t="s">
        <v>2074</v>
      </c>
      <c r="B912" s="5" t="s">
        <v>2556</v>
      </c>
      <c r="C912" s="5" t="s">
        <v>2704</v>
      </c>
      <c r="D912" s="5" t="s">
        <v>2077</v>
      </c>
      <c r="E912" s="5" t="s">
        <v>14</v>
      </c>
      <c r="F912" s="5" t="s">
        <v>2078</v>
      </c>
      <c r="G912" s="5" t="s">
        <v>2079</v>
      </c>
      <c r="H912" s="5" t="s">
        <v>2558</v>
      </c>
      <c r="I912" s="5" t="s">
        <v>2705</v>
      </c>
      <c r="J912" s="5" t="s">
        <v>2706</v>
      </c>
      <c r="K912" s="7" t="str">
        <f ca="1">IFERROR(__xludf.DUMMYFUNCTION("GOOGLETRANSLATE(H912,""EN"",""ES"")"),"OTROS MUEBLES Y PARTES DE MUEBLES")</f>
        <v>OTROS MUEBLES Y PARTES DE MUEBLES</v>
      </c>
      <c r="L912" s="5" t="str">
        <f ca="1">IFERROR(__xludf.DUMMYFUNCTION("GOOGLETRANSLATE(J912,""EN"",""ES"")"),"Respaldos de sillas [partes de sillas]")</f>
        <v>Respaldos de sillas [partes de sillas]</v>
      </c>
      <c r="M912" s="8" t="s">
        <v>15</v>
      </c>
      <c r="N912" s="8" t="s">
        <v>15</v>
      </c>
    </row>
    <row r="913" spans="1:14" ht="11.25" customHeight="1">
      <c r="A913" s="5" t="s">
        <v>2074</v>
      </c>
      <c r="B913" s="5" t="s">
        <v>2556</v>
      </c>
      <c r="C913" s="5" t="s">
        <v>2707</v>
      </c>
      <c r="D913" s="5" t="s">
        <v>2077</v>
      </c>
      <c r="E913" s="5" t="s">
        <v>14</v>
      </c>
      <c r="F913" s="5" t="s">
        <v>2078</v>
      </c>
      <c r="G913" s="5" t="s">
        <v>2079</v>
      </c>
      <c r="H913" s="5" t="s">
        <v>2558</v>
      </c>
      <c r="I913" s="5" t="s">
        <v>2708</v>
      </c>
      <c r="J913" s="5" t="s">
        <v>2709</v>
      </c>
      <c r="K913" s="7" t="str">
        <f ca="1">IFERROR(__xludf.DUMMYFUNCTION("GOOGLETRANSLATE(H913,""EN"",""ES"")"),"OTROS MUEBLES Y PARTES DE MUEBLES")</f>
        <v>OTROS MUEBLES Y PARTES DE MUEBLES</v>
      </c>
      <c r="L913" s="5" t="str">
        <f ca="1">IFERROR(__xludf.DUMMYFUNCTION("GOOGLETRANSLATE(J913,""EN"",""ES"")"),"Paredes del cubículo")</f>
        <v>Paredes del cubículo</v>
      </c>
      <c r="M913" s="8" t="s">
        <v>15</v>
      </c>
      <c r="N913" s="8" t="s">
        <v>15</v>
      </c>
    </row>
    <row r="914" spans="1:14" ht="11.25" customHeight="1">
      <c r="A914" s="5" t="s">
        <v>2074</v>
      </c>
      <c r="B914" s="5" t="s">
        <v>2556</v>
      </c>
      <c r="C914" s="5" t="s">
        <v>2710</v>
      </c>
      <c r="D914" s="5" t="s">
        <v>2077</v>
      </c>
      <c r="E914" s="5" t="s">
        <v>14</v>
      </c>
      <c r="F914" s="5" t="s">
        <v>2078</v>
      </c>
      <c r="G914" s="5" t="s">
        <v>2079</v>
      </c>
      <c r="H914" s="5" t="s">
        <v>2558</v>
      </c>
      <c r="I914" s="5" t="s">
        <v>2711</v>
      </c>
      <c r="J914" s="5" t="s">
        <v>2712</v>
      </c>
      <c r="K914" s="7" t="str">
        <f ca="1">IFERROR(__xludf.DUMMYFUNCTION("GOOGLETRANSLATE(H914,""EN"",""ES"")"),"OTROS MUEBLES Y PARTES DE MUEBLES")</f>
        <v>OTROS MUEBLES Y PARTES DE MUEBLES</v>
      </c>
      <c r="L914" s="5" t="str">
        <f ca="1">IFERROR(__xludf.DUMMYFUNCTION("GOOGLETRANSLATE(J914,""EN"",""ES"")"),"Reposa libros")</f>
        <v>Reposa libros</v>
      </c>
      <c r="M914" s="8" t="s">
        <v>15</v>
      </c>
      <c r="N914" s="8" t="s">
        <v>15</v>
      </c>
    </row>
    <row r="915" spans="1:14" ht="11.25" customHeight="1">
      <c r="A915" s="5" t="s">
        <v>2074</v>
      </c>
      <c r="B915" s="5" t="s">
        <v>2556</v>
      </c>
      <c r="C915" s="5" t="s">
        <v>2713</v>
      </c>
      <c r="D915" s="5" t="s">
        <v>2077</v>
      </c>
      <c r="E915" s="5" t="s">
        <v>14</v>
      </c>
      <c r="F915" s="5" t="s">
        <v>2078</v>
      </c>
      <c r="G915" s="5" t="s">
        <v>2079</v>
      </c>
      <c r="H915" s="5" t="s">
        <v>2558</v>
      </c>
      <c r="I915" s="5" t="s">
        <v>2714</v>
      </c>
      <c r="J915" s="5" t="s">
        <v>2715</v>
      </c>
      <c r="K915" s="7" t="str">
        <f ca="1">IFERROR(__xludf.DUMMYFUNCTION("GOOGLETRANSLATE(H915,""EN"",""ES"")"),"OTROS MUEBLES Y PARTES DE MUEBLES")</f>
        <v>OTROS MUEBLES Y PARTES DE MUEBLES</v>
      </c>
      <c r="L915" s="5" t="str">
        <f ca="1">IFERROR(__xludf.DUMMYFUNCTION("GOOGLETRANSLATE(J915,""EN"",""ES"")"),"Podios [muebles]")</f>
        <v>Podios [muebles]</v>
      </c>
      <c r="M915" s="8" t="s">
        <v>15</v>
      </c>
      <c r="N915" s="8" t="s">
        <v>15</v>
      </c>
    </row>
    <row r="916" spans="1:14" ht="11.25" customHeight="1">
      <c r="A916" s="5" t="s">
        <v>2074</v>
      </c>
      <c r="B916" s="5" t="s">
        <v>2556</v>
      </c>
      <c r="C916" s="5" t="s">
        <v>2716</v>
      </c>
      <c r="D916" s="5" t="s">
        <v>2077</v>
      </c>
      <c r="E916" s="5" t="s">
        <v>14</v>
      </c>
      <c r="F916" s="5" t="s">
        <v>2078</v>
      </c>
      <c r="G916" s="5" t="s">
        <v>2079</v>
      </c>
      <c r="H916" s="5" t="s">
        <v>2558</v>
      </c>
      <c r="I916" s="5" t="s">
        <v>2717</v>
      </c>
      <c r="J916" s="5" t="s">
        <v>2718</v>
      </c>
      <c r="K916" s="7" t="str">
        <f ca="1">IFERROR(__xludf.DUMMYFUNCTION("GOOGLETRANSLATE(H916,""EN"",""ES"")"),"OTROS MUEBLES Y PARTES DE MUEBLES")</f>
        <v>OTROS MUEBLES Y PARTES DE MUEBLES</v>
      </c>
      <c r="L916" s="5" t="str">
        <f ca="1">IFERROR(__xludf.DUMMYFUNCTION("GOOGLETRANSLATE(J916,""EN"",""ES"")"),"Módulos de reuniones [interiores]")</f>
        <v>Módulos de reuniones [interiores]</v>
      </c>
      <c r="M916" s="8" t="s">
        <v>15</v>
      </c>
      <c r="N916" s="8" t="s">
        <v>15</v>
      </c>
    </row>
    <row r="917" spans="1:14" ht="11.25" customHeight="1">
      <c r="A917" s="5" t="s">
        <v>2074</v>
      </c>
      <c r="B917" s="5" t="s">
        <v>2556</v>
      </c>
      <c r="C917" s="5" t="s">
        <v>2716</v>
      </c>
      <c r="D917" s="5" t="s">
        <v>2077</v>
      </c>
      <c r="E917" s="5" t="s">
        <v>14</v>
      </c>
      <c r="F917" s="5" t="s">
        <v>2078</v>
      </c>
      <c r="G917" s="5" t="s">
        <v>2079</v>
      </c>
      <c r="H917" s="5" t="s">
        <v>2558</v>
      </c>
      <c r="I917" s="5" t="s">
        <v>152</v>
      </c>
      <c r="J917" s="5" t="s">
        <v>2719</v>
      </c>
      <c r="K917" s="7" t="str">
        <f ca="1">IFERROR(__xludf.DUMMYFUNCTION("GOOGLETRANSLATE(H917,""EN"",""ES"")"),"OTROS MUEBLES Y PARTES DE MUEBLES")</f>
        <v>OTROS MUEBLES Y PARTES DE MUEBLES</v>
      </c>
      <c r="L917" s="5" t="str">
        <f ca="1">IFERROR(__xludf.DUMMYFUNCTION("GOOGLETRANSLATE(J917,""EN"",""ES"")"),"N / A")</f>
        <v>N / A</v>
      </c>
      <c r="M917" s="8" t="s">
        <v>15</v>
      </c>
      <c r="N917" s="8" t="s">
        <v>15</v>
      </c>
    </row>
    <row r="918" spans="1:14" ht="11.25" customHeight="1">
      <c r="A918" s="5" t="s">
        <v>2074</v>
      </c>
      <c r="B918" s="5" t="s">
        <v>2556</v>
      </c>
      <c r="C918" s="5" t="s">
        <v>2720</v>
      </c>
      <c r="D918" s="5" t="s">
        <v>2077</v>
      </c>
      <c r="E918" s="5" t="s">
        <v>14</v>
      </c>
      <c r="F918" s="5" t="s">
        <v>2078</v>
      </c>
      <c r="G918" s="5" t="s">
        <v>2079</v>
      </c>
      <c r="H918" s="5" t="s">
        <v>2558</v>
      </c>
      <c r="I918" s="5" t="s">
        <v>2721</v>
      </c>
      <c r="J918" s="5" t="s">
        <v>2722</v>
      </c>
      <c r="K918" s="7" t="str">
        <f ca="1">IFERROR(__xludf.DUMMYFUNCTION("GOOGLETRANSLATE(H918,""EN"",""ES"")"),"OTROS MUEBLES Y PARTES DE MUEBLES")</f>
        <v>OTROS MUEBLES Y PARTES DE MUEBLES</v>
      </c>
      <c r="L918" s="5" t="str">
        <f ca="1">IFERROR(__xludf.DUMMYFUNCTION("GOOGLETRANSLATE(J918,""EN"",""ES"")"),"Protectores contra estornudos [muebles]")</f>
        <v>Protectores contra estornudos [muebles]</v>
      </c>
      <c r="M918" s="8" t="s">
        <v>15</v>
      </c>
      <c r="N918" s="8" t="s">
        <v>15</v>
      </c>
    </row>
    <row r="919" spans="1:14" ht="11.25" customHeight="1">
      <c r="A919" s="5" t="s">
        <v>2074</v>
      </c>
      <c r="B919" s="5" t="s">
        <v>2556</v>
      </c>
      <c r="C919" s="5" t="s">
        <v>2723</v>
      </c>
      <c r="D919" s="5" t="s">
        <v>2077</v>
      </c>
      <c r="E919" s="5" t="s">
        <v>14</v>
      </c>
      <c r="F919" s="5" t="s">
        <v>2078</v>
      </c>
      <c r="G919" s="5" t="s">
        <v>2079</v>
      </c>
      <c r="H919" s="5" t="s">
        <v>2558</v>
      </c>
      <c r="I919" s="5" t="s">
        <v>2724</v>
      </c>
      <c r="J919" s="5" t="s">
        <v>2725</v>
      </c>
      <c r="K919" s="7" t="str">
        <f ca="1">IFERROR(__xludf.DUMMYFUNCTION("GOOGLETRANSLATE(H919,""EN"",""ES"")"),"OTROS MUEBLES Y PARTES DE MUEBLES")</f>
        <v>OTROS MUEBLES Y PARTES DE MUEBLES</v>
      </c>
      <c r="L919" s="5" t="str">
        <f ca="1">IFERROR(__xludf.DUMMYFUNCTION("GOOGLETRANSLATE(J919,""EN"",""ES"")"),"Pantallas para el control de infecciones")</f>
        <v>Pantallas para el control de infecciones</v>
      </c>
      <c r="M919" s="8" t="s">
        <v>15</v>
      </c>
      <c r="N919" s="8" t="s">
        <v>15</v>
      </c>
    </row>
    <row r="920" spans="1:14" ht="11.25" customHeight="1">
      <c r="A920" s="5" t="s">
        <v>2074</v>
      </c>
      <c r="B920" s="5" t="s">
        <v>2556</v>
      </c>
      <c r="C920" s="5" t="s">
        <v>2726</v>
      </c>
      <c r="D920" s="5" t="s">
        <v>2077</v>
      </c>
      <c r="E920" s="5" t="s">
        <v>14</v>
      </c>
      <c r="F920" s="5" t="s">
        <v>2078</v>
      </c>
      <c r="G920" s="5" t="s">
        <v>2079</v>
      </c>
      <c r="H920" s="5" t="s">
        <v>2558</v>
      </c>
      <c r="I920" s="5" t="s">
        <v>2727</v>
      </c>
      <c r="J920" s="5" t="s">
        <v>2728</v>
      </c>
      <c r="K920" s="7" t="str">
        <f ca="1">IFERROR(__xludf.DUMMYFUNCTION("GOOGLETRANSLATE(H920,""EN"",""ES"")"),"OTROS MUEBLES Y PARTES DE MUEBLES")</f>
        <v>OTROS MUEBLES Y PARTES DE MUEBLES</v>
      </c>
      <c r="L920" s="5" t="str">
        <f ca="1">IFERROR(__xludf.DUMMYFUNCTION("GOOGLETRANSLATE(J920,""EN"",""ES"")"),"Biombos divisores de mesa")</f>
        <v>Biombos divisores de mesa</v>
      </c>
      <c r="M920" s="8" t="s">
        <v>15</v>
      </c>
      <c r="N920" s="8" t="s">
        <v>15</v>
      </c>
    </row>
    <row r="921" spans="1:14" ht="11.25" customHeight="1">
      <c r="A921" s="5" t="s">
        <v>2074</v>
      </c>
      <c r="B921" s="5" t="s">
        <v>2729</v>
      </c>
      <c r="C921" s="5" t="s">
        <v>2730</v>
      </c>
      <c r="D921" s="5" t="s">
        <v>2077</v>
      </c>
      <c r="E921" s="5" t="s">
        <v>14</v>
      </c>
      <c r="F921" s="5" t="s">
        <v>2078</v>
      </c>
      <c r="G921" s="5" t="s">
        <v>2079</v>
      </c>
      <c r="H921" s="5" t="s">
        <v>2731</v>
      </c>
      <c r="I921" s="5" t="s">
        <v>2732</v>
      </c>
      <c r="J921" s="5" t="s">
        <v>2733</v>
      </c>
      <c r="K921" s="7" t="str">
        <f ca="1">IFERROR(__xludf.DUMMYFUNCTION("GOOGLETRANSLATE(H921,""EN"",""ES"")"),"ESPEJOS Y MARCOS")</f>
        <v>ESPEJOS Y MARCOS</v>
      </c>
      <c r="L921" s="5" t="str">
        <f ca="1">IFERROR(__xludf.DUMMYFUNCTION("GOOGLETRANSLATE(J921,""EN"",""ES"")"),"Varillas para marcos de cuadros")</f>
        <v>Varillas para marcos de cuadros</v>
      </c>
      <c r="M921" s="8" t="s">
        <v>15</v>
      </c>
      <c r="N921" s="8" t="s">
        <v>15</v>
      </c>
    </row>
    <row r="922" spans="1:14" ht="11.25" customHeight="1">
      <c r="A922" s="5" t="s">
        <v>2074</v>
      </c>
      <c r="B922" s="5" t="s">
        <v>2729</v>
      </c>
      <c r="C922" s="5" t="s">
        <v>2734</v>
      </c>
      <c r="D922" s="5" t="s">
        <v>2077</v>
      </c>
      <c r="E922" s="5" t="s">
        <v>14</v>
      </c>
      <c r="F922" s="5" t="s">
        <v>2078</v>
      </c>
      <c r="G922" s="5" t="s">
        <v>2079</v>
      </c>
      <c r="H922" s="5" t="s">
        <v>2731</v>
      </c>
      <c r="I922" s="5" t="s">
        <v>2735</v>
      </c>
      <c r="J922" s="5" t="s">
        <v>2736</v>
      </c>
      <c r="K922" s="7" t="str">
        <f ca="1">IFERROR(__xludf.DUMMYFUNCTION("GOOGLETRANSLATE(H922,""EN"",""ES"")"),"ESPEJOS Y MARCOS")</f>
        <v>ESPEJOS Y MARCOS</v>
      </c>
      <c r="L922" s="5" t="str">
        <f ca="1">IFERROR(__xludf.DUMMYFUNCTION("GOOGLETRANSLATE(J922,""EN"",""ES"")"),"Marcos para cuadros o espejos.")</f>
        <v>Marcos para cuadros o espejos.</v>
      </c>
      <c r="M922" s="8" t="s">
        <v>15</v>
      </c>
      <c r="N922" s="8" t="s">
        <v>15</v>
      </c>
    </row>
    <row r="923" spans="1:14" ht="11.25" customHeight="1">
      <c r="A923" s="5" t="s">
        <v>2074</v>
      </c>
      <c r="B923" s="5" t="s">
        <v>2729</v>
      </c>
      <c r="C923" s="5" t="s">
        <v>2734</v>
      </c>
      <c r="D923" s="5" t="s">
        <v>2077</v>
      </c>
      <c r="E923" s="5" t="s">
        <v>14</v>
      </c>
      <c r="F923" s="5" t="s">
        <v>2078</v>
      </c>
      <c r="G923" s="5" t="s">
        <v>2079</v>
      </c>
      <c r="H923" s="5" t="s">
        <v>2731</v>
      </c>
      <c r="I923" s="5" t="s">
        <v>152</v>
      </c>
      <c r="J923" s="5" t="s">
        <v>2737</v>
      </c>
      <c r="K923" s="7" t="str">
        <f ca="1">IFERROR(__xludf.DUMMYFUNCTION("GOOGLETRANSLATE(H923,""EN"",""ES"")"),"ESPEJOS Y MARCOS")</f>
        <v>ESPEJOS Y MARCOS</v>
      </c>
      <c r="L923" s="5" t="str">
        <f ca="1">IFERROR(__xludf.DUMMYFUNCTION("GOOGLETRANSLATE(J923,""EN"",""ES"")"),"N / A")</f>
        <v>N / A</v>
      </c>
      <c r="M923" s="8" t="s">
        <v>15</v>
      </c>
      <c r="N923" s="8" t="s">
        <v>15</v>
      </c>
    </row>
    <row r="924" spans="1:14" ht="11.25" customHeight="1">
      <c r="A924" s="5" t="s">
        <v>2074</v>
      </c>
      <c r="B924" s="5" t="s">
        <v>2729</v>
      </c>
      <c r="C924" s="5" t="s">
        <v>2738</v>
      </c>
      <c r="D924" s="5" t="s">
        <v>2077</v>
      </c>
      <c r="E924" s="5" t="s">
        <v>14</v>
      </c>
      <c r="F924" s="5" t="s">
        <v>2078</v>
      </c>
      <c r="G924" s="5" t="s">
        <v>2079</v>
      </c>
      <c r="H924" s="5" t="s">
        <v>2731</v>
      </c>
      <c r="I924" s="5" t="s">
        <v>2739</v>
      </c>
      <c r="J924" s="5" t="s">
        <v>2740</v>
      </c>
      <c r="K924" s="7" t="str">
        <f ca="1">IFERROR(__xludf.DUMMYFUNCTION("GOOGLETRANSLATE(H924,""EN"",""ES"")"),"ESPEJOS Y MARCOS")</f>
        <v>ESPEJOS Y MARCOS</v>
      </c>
      <c r="L924" s="5" t="str">
        <f ca="1">IFERROR(__xludf.DUMMYFUNCTION("GOOGLETRANSLATE(J924,""EN"",""ES"")"),"Espejos [muebles]")</f>
        <v>Espejos [muebles]</v>
      </c>
      <c r="M924" s="8" t="s">
        <v>15</v>
      </c>
      <c r="N924" s="8" t="s">
        <v>15</v>
      </c>
    </row>
    <row r="925" spans="1:14" ht="11.25" customHeight="1">
      <c r="A925" s="5" t="s">
        <v>2074</v>
      </c>
      <c r="B925" s="5" t="s">
        <v>2729</v>
      </c>
      <c r="C925" s="5" t="s">
        <v>2738</v>
      </c>
      <c r="D925" s="5" t="s">
        <v>2077</v>
      </c>
      <c r="E925" s="5" t="s">
        <v>14</v>
      </c>
      <c r="F925" s="5" t="s">
        <v>2078</v>
      </c>
      <c r="G925" s="5" t="s">
        <v>2079</v>
      </c>
      <c r="H925" s="5" t="s">
        <v>2731</v>
      </c>
      <c r="I925" s="5" t="s">
        <v>152</v>
      </c>
      <c r="J925" s="5" t="s">
        <v>2741</v>
      </c>
      <c r="K925" s="7" t="str">
        <f ca="1">IFERROR(__xludf.DUMMYFUNCTION("GOOGLETRANSLATE(H925,""EN"",""ES"")"),"ESPEJOS Y MARCOS")</f>
        <v>ESPEJOS Y MARCOS</v>
      </c>
      <c r="L925" s="5" t="str">
        <f ca="1">IFERROR(__xludf.DUMMYFUNCTION("GOOGLETRANSLATE(J925,""EN"",""ES"")"),"N / A")</f>
        <v>N / A</v>
      </c>
      <c r="M925" s="8" t="s">
        <v>15</v>
      </c>
      <c r="N925" s="8" t="s">
        <v>15</v>
      </c>
    </row>
    <row r="926" spans="1:14" ht="11.25" customHeight="1">
      <c r="A926" s="5" t="s">
        <v>2074</v>
      </c>
      <c r="B926" s="5" t="s">
        <v>2729</v>
      </c>
      <c r="C926" s="5" t="s">
        <v>2742</v>
      </c>
      <c r="D926" s="5" t="s">
        <v>2077</v>
      </c>
      <c r="E926" s="5" t="s">
        <v>14</v>
      </c>
      <c r="F926" s="5" t="s">
        <v>2078</v>
      </c>
      <c r="G926" s="5" t="s">
        <v>2079</v>
      </c>
      <c r="H926" s="5" t="s">
        <v>2731</v>
      </c>
      <c r="I926" s="5" t="s">
        <v>2743</v>
      </c>
      <c r="J926" s="5" t="s">
        <v>2744</v>
      </c>
      <c r="K926" s="7" t="str">
        <f ca="1">IFERROR(__xludf.DUMMYFUNCTION("GOOGLETRANSLATE(H926,""EN"",""ES"")"),"ESPEJOS Y MARCOS")</f>
        <v>ESPEJOS Y MARCOS</v>
      </c>
      <c r="L926" s="5" t="str">
        <f ca="1">IFERROR(__xludf.DUMMYFUNCTION("GOOGLETRANSLATE(J926,""EN"",""ES"")"),"Espejos antirrobo")</f>
        <v>Espejos antirrobo</v>
      </c>
      <c r="M926" s="8" t="s">
        <v>15</v>
      </c>
      <c r="N926" s="8" t="s">
        <v>15</v>
      </c>
    </row>
    <row r="927" spans="1:14" ht="11.25" customHeight="1">
      <c r="A927" s="5" t="s">
        <v>2074</v>
      </c>
      <c r="B927" s="5" t="s">
        <v>2729</v>
      </c>
      <c r="C927" s="5" t="s">
        <v>2745</v>
      </c>
      <c r="D927" s="5" t="s">
        <v>2077</v>
      </c>
      <c r="E927" s="5" t="s">
        <v>14</v>
      </c>
      <c r="F927" s="5" t="s">
        <v>2078</v>
      </c>
      <c r="G927" s="5" t="s">
        <v>2079</v>
      </c>
      <c r="H927" s="5" t="s">
        <v>2731</v>
      </c>
      <c r="I927" s="5" t="s">
        <v>2746</v>
      </c>
      <c r="J927" s="5" t="s">
        <v>2747</v>
      </c>
      <c r="K927" s="7" t="str">
        <f ca="1">IFERROR(__xludf.DUMMYFUNCTION("GOOGLETRANSLATE(H927,""EN"",""ES"")"),"ESPEJOS Y MARCOS")</f>
        <v>ESPEJOS Y MARCOS</v>
      </c>
      <c r="L927" s="5" t="str">
        <f ca="1">IFERROR(__xludf.DUMMYFUNCTION("GOOGLETRANSLATE(J927,""EN"",""ES"")"),"Espejos de pared")</f>
        <v>Espejos de pared</v>
      </c>
      <c r="M927" s="8" t="s">
        <v>15</v>
      </c>
      <c r="N927" s="8" t="s">
        <v>15</v>
      </c>
    </row>
    <row r="928" spans="1:14" ht="11.25" customHeight="1">
      <c r="A928" s="5" t="s">
        <v>2074</v>
      </c>
      <c r="B928" s="5" t="s">
        <v>2729</v>
      </c>
      <c r="C928" s="5" t="s">
        <v>2748</v>
      </c>
      <c r="D928" s="5" t="s">
        <v>2077</v>
      </c>
      <c r="E928" s="5" t="s">
        <v>14</v>
      </c>
      <c r="F928" s="5" t="s">
        <v>2078</v>
      </c>
      <c r="G928" s="5" t="s">
        <v>2079</v>
      </c>
      <c r="H928" s="5" t="s">
        <v>2731</v>
      </c>
      <c r="I928" s="5" t="s">
        <v>2749</v>
      </c>
      <c r="J928" s="5" t="s">
        <v>2750</v>
      </c>
      <c r="K928" s="7" t="str">
        <f ca="1">IFERROR(__xludf.DUMMYFUNCTION("GOOGLETRANSLATE(H928,""EN"",""ES"")"),"ESPEJOS Y MARCOS")</f>
        <v>ESPEJOS Y MARCOS</v>
      </c>
      <c r="L928" s="5" t="str">
        <f ca="1">IFERROR(__xludf.DUMMYFUNCTION("GOOGLETRANSLATE(J928,""EN"",""ES"")"),"Molduras para marcos de cuadros.")</f>
        <v>Molduras para marcos de cuadros.</v>
      </c>
      <c r="M928" s="8" t="s">
        <v>15</v>
      </c>
      <c r="N928" s="8" t="s">
        <v>15</v>
      </c>
    </row>
    <row r="929" spans="1:14" ht="11.25" customHeight="1">
      <c r="A929" s="5" t="s">
        <v>2074</v>
      </c>
      <c r="B929" s="5" t="s">
        <v>2729</v>
      </c>
      <c r="C929" s="5" t="s">
        <v>2748</v>
      </c>
      <c r="D929" s="5" t="s">
        <v>2077</v>
      </c>
      <c r="E929" s="5" t="s">
        <v>14</v>
      </c>
      <c r="F929" s="5" t="s">
        <v>2078</v>
      </c>
      <c r="G929" s="5" t="s">
        <v>2079</v>
      </c>
      <c r="H929" s="5" t="s">
        <v>2731</v>
      </c>
      <c r="I929" s="5" t="s">
        <v>2751</v>
      </c>
      <c r="J929" s="5" t="s">
        <v>2752</v>
      </c>
      <c r="K929" s="7" t="str">
        <f ca="1">IFERROR(__xludf.DUMMYFUNCTION("GOOGLETRANSLATE(H929,""EN"",""ES"")"),"ESPEJOS Y MARCOS")</f>
        <v>ESPEJOS Y MARCOS</v>
      </c>
      <c r="L929" s="5" t="str">
        <f ca="1">IFERROR(__xludf.DUMMYFUNCTION("GOOGLETRANSLATE(J929,""EN"",""ES"")"),"Molduras para marcos de cuadros.")</f>
        <v>Molduras para marcos de cuadros.</v>
      </c>
      <c r="M929" s="8" t="s">
        <v>15</v>
      </c>
      <c r="N929" s="8" t="s">
        <v>15</v>
      </c>
    </row>
    <row r="930" spans="1:14" ht="11.25" customHeight="1">
      <c r="A930" s="5" t="s">
        <v>2074</v>
      </c>
      <c r="B930" s="5" t="s">
        <v>2729</v>
      </c>
      <c r="C930" s="5" t="s">
        <v>2753</v>
      </c>
      <c r="D930" s="5" t="s">
        <v>2077</v>
      </c>
      <c r="E930" s="5" t="s">
        <v>14</v>
      </c>
      <c r="F930" s="5" t="s">
        <v>2078</v>
      </c>
      <c r="G930" s="5" t="s">
        <v>2079</v>
      </c>
      <c r="H930" s="5" t="s">
        <v>2731</v>
      </c>
      <c r="I930" s="5" t="s">
        <v>2754</v>
      </c>
      <c r="J930" s="5" t="s">
        <v>2755</v>
      </c>
      <c r="K930" s="7" t="str">
        <f ca="1">IFERROR(__xludf.DUMMYFUNCTION("GOOGLETRANSLATE(H930,""EN"",""ES"")"),"ESPEJOS Y MARCOS")</f>
        <v>ESPEJOS Y MARCOS</v>
      </c>
      <c r="L930" s="5" t="str">
        <f ca="1">IFERROR(__xludf.DUMMYFUNCTION("GOOGLETRANSLATE(J930,""EN"",""ES"")"),"Soportes de papel")</f>
        <v>Soportes de papel</v>
      </c>
      <c r="M930" s="8" t="s">
        <v>15</v>
      </c>
      <c r="N930" s="8" t="s">
        <v>15</v>
      </c>
    </row>
    <row r="931" spans="1:14" ht="11.25" customHeight="1">
      <c r="A931" s="5" t="s">
        <v>2074</v>
      </c>
      <c r="B931" s="5" t="s">
        <v>2729</v>
      </c>
      <c r="C931" s="5" t="s">
        <v>2756</v>
      </c>
      <c r="D931" s="5" t="s">
        <v>2077</v>
      </c>
      <c r="E931" s="5" t="s">
        <v>14</v>
      </c>
      <c r="F931" s="5" t="s">
        <v>2078</v>
      </c>
      <c r="G931" s="5" t="s">
        <v>2079</v>
      </c>
      <c r="H931" s="5" t="s">
        <v>2731</v>
      </c>
      <c r="I931" s="5" t="s">
        <v>2757</v>
      </c>
      <c r="J931" s="5" t="s">
        <v>2758</v>
      </c>
      <c r="K931" s="7" t="str">
        <f ca="1">IFERROR(__xludf.DUMMYFUNCTION("GOOGLETRANSLATE(H931,""EN"",""ES"")"),"ESPEJOS Y MARCOS")</f>
        <v>ESPEJOS Y MARCOS</v>
      </c>
      <c r="L931" s="5" t="str">
        <f ca="1">IFERROR(__xludf.DUMMYFUNCTION("GOOGLETRANSLATE(J931,""EN"",""ES"")"),"Soportes para fotografía")</f>
        <v>Soportes para fotografía</v>
      </c>
      <c r="M931" s="8" t="s">
        <v>15</v>
      </c>
      <c r="N931" s="8" t="s">
        <v>15</v>
      </c>
    </row>
    <row r="932" spans="1:14" ht="11.25" customHeight="1">
      <c r="A932" s="5" t="s">
        <v>2074</v>
      </c>
      <c r="B932" s="5" t="s">
        <v>2729</v>
      </c>
      <c r="C932" s="5" t="s">
        <v>2759</v>
      </c>
      <c r="D932" s="5" t="s">
        <v>2077</v>
      </c>
      <c r="E932" s="5" t="s">
        <v>14</v>
      </c>
      <c r="F932" s="5" t="s">
        <v>2078</v>
      </c>
      <c r="G932" s="5" t="s">
        <v>2079</v>
      </c>
      <c r="H932" s="5" t="s">
        <v>2731</v>
      </c>
      <c r="I932" s="5" t="s">
        <v>2760</v>
      </c>
      <c r="J932" s="5" t="s">
        <v>2761</v>
      </c>
      <c r="K932" s="7" t="str">
        <f ca="1">IFERROR(__xludf.DUMMYFUNCTION("GOOGLETRANSLATE(H932,""EN"",""ES"")"),"ESPEJOS Y MARCOS")</f>
        <v>ESPEJOS Y MARCOS</v>
      </c>
      <c r="L932" s="5" t="str">
        <f ca="1">IFERROR(__xludf.DUMMYFUNCTION("GOOGLETRANSLATE(J932,""EN"",""ES"")"),"Marcos para carteles")</f>
        <v>Marcos para carteles</v>
      </c>
      <c r="M932" s="8" t="s">
        <v>15</v>
      </c>
      <c r="N932" s="8" t="s">
        <v>15</v>
      </c>
    </row>
    <row r="933" spans="1:14" ht="11.25" customHeight="1">
      <c r="A933" s="5" t="s">
        <v>2074</v>
      </c>
      <c r="B933" s="5" t="s">
        <v>2729</v>
      </c>
      <c r="C933" s="5" t="s">
        <v>2762</v>
      </c>
      <c r="D933" s="5" t="s">
        <v>2077</v>
      </c>
      <c r="E933" s="5" t="s">
        <v>14</v>
      </c>
      <c r="F933" s="5" t="s">
        <v>2078</v>
      </c>
      <c r="G933" s="5" t="s">
        <v>2079</v>
      </c>
      <c r="H933" s="5" t="s">
        <v>2731</v>
      </c>
      <c r="I933" s="5" t="s">
        <v>2763</v>
      </c>
      <c r="J933" s="5" t="s">
        <v>2764</v>
      </c>
      <c r="K933" s="7" t="str">
        <f ca="1">IFERROR(__xludf.DUMMYFUNCTION("GOOGLETRANSLATE(H933,""EN"",""ES"")"),"ESPEJOS Y MARCOS")</f>
        <v>ESPEJOS Y MARCOS</v>
      </c>
      <c r="L933" s="5" t="str">
        <f ca="1">IFERROR(__xludf.DUMMYFUNCTION("GOOGLETRANSLATE(J933,""EN"",""ES"")"),"espejos inteligentes")</f>
        <v>espejos inteligentes</v>
      </c>
      <c r="M933" s="8" t="s">
        <v>15</v>
      </c>
      <c r="N933" s="8" t="s">
        <v>15</v>
      </c>
    </row>
    <row r="934" spans="1:14" ht="11.25" customHeight="1">
      <c r="A934" s="5" t="s">
        <v>2074</v>
      </c>
      <c r="B934" s="5" t="s">
        <v>2765</v>
      </c>
      <c r="C934" s="5" t="s">
        <v>2766</v>
      </c>
      <c r="D934" s="5" t="s">
        <v>2077</v>
      </c>
      <c r="E934" s="5" t="s">
        <v>14</v>
      </c>
      <c r="F934" s="5" t="s">
        <v>2078</v>
      </c>
      <c r="G934" s="5" t="s">
        <v>2079</v>
      </c>
      <c r="H934" s="5" t="s">
        <v>2767</v>
      </c>
      <c r="I934" s="5" t="s">
        <v>2768</v>
      </c>
      <c r="J934" s="5" t="s">
        <v>2769</v>
      </c>
      <c r="K934" s="7" t="str">
        <f ca="1">IFERROR(__xludf.DUMMYFUNCTION("GOOGLETRANSLATE(H934,""EN"",""ES"")"),"PERCHAS DE ROPA")</f>
        <v>PERCHAS DE ROPA</v>
      </c>
      <c r="L934" s="5" t="str">
        <f ca="1">IFERROR(__xludf.DUMMYFUNCTION("GOOGLETRANSLATE(J934,""EN"",""ES"")"),"perchas de ropa")</f>
        <v>perchas de ropa</v>
      </c>
      <c r="M934" s="8" t="s">
        <v>15</v>
      </c>
      <c r="N934" s="8" t="s">
        <v>15</v>
      </c>
    </row>
    <row r="935" spans="1:14" ht="11.25" customHeight="1">
      <c r="A935" s="5" t="s">
        <v>2074</v>
      </c>
      <c r="B935" s="5" t="s">
        <v>2765</v>
      </c>
      <c r="C935" s="5" t="s">
        <v>2766</v>
      </c>
      <c r="D935" s="5" t="s">
        <v>2077</v>
      </c>
      <c r="E935" s="5" t="s">
        <v>14</v>
      </c>
      <c r="F935" s="5" t="s">
        <v>2078</v>
      </c>
      <c r="G935" s="5" t="s">
        <v>2079</v>
      </c>
      <c r="H935" s="5" t="s">
        <v>2767</v>
      </c>
      <c r="I935" s="5" t="s">
        <v>2770</v>
      </c>
      <c r="J935" s="5" t="s">
        <v>152</v>
      </c>
      <c r="K935" s="7" t="str">
        <f ca="1">IFERROR(__xludf.DUMMYFUNCTION("GOOGLETRANSLATE(H935,""EN"",""ES"")"),"PERCHAS DE ROPA")</f>
        <v>PERCHAS DE ROPA</v>
      </c>
      <c r="L935" s="5" t="str">
        <f ca="1">IFERROR(__xludf.DUMMYFUNCTION("GOOGLETRANSLATE(J935,""EN"",""ES"")"),"perchas")</f>
        <v>perchas</v>
      </c>
      <c r="M935" s="8" t="s">
        <v>15</v>
      </c>
      <c r="N935" s="8" t="s">
        <v>15</v>
      </c>
    </row>
    <row r="936" spans="1:14" ht="11.25" customHeight="1">
      <c r="A936" s="5" t="s">
        <v>2074</v>
      </c>
      <c r="B936" s="5" t="s">
        <v>2765</v>
      </c>
      <c r="C936" s="5" t="s">
        <v>2771</v>
      </c>
      <c r="D936" s="5" t="s">
        <v>2077</v>
      </c>
      <c r="E936" s="5" t="s">
        <v>14</v>
      </c>
      <c r="F936" s="5" t="s">
        <v>2078</v>
      </c>
      <c r="G936" s="5" t="s">
        <v>2079</v>
      </c>
      <c r="H936" s="5" t="s">
        <v>2767</v>
      </c>
      <c r="I936" s="5" t="s">
        <v>2772</v>
      </c>
      <c r="J936" s="5" t="s">
        <v>2773</v>
      </c>
      <c r="K936" s="7" t="str">
        <f ca="1">IFERROR(__xludf.DUMMYFUNCTION("GOOGLETRANSLATE(H936,""EN"",""ES"")"),"PERCHAS DE ROPA")</f>
        <v>PERCHAS DE ROPA</v>
      </c>
      <c r="L936" s="5" t="str">
        <f ca="1">IFERROR(__xludf.DUMMYFUNCTION("GOOGLETRANSLATE(J936,""EN"",""ES"")"),"Perchas para faldas con clips")</f>
        <v>Perchas para faldas con clips</v>
      </c>
      <c r="M936" s="8" t="s">
        <v>15</v>
      </c>
      <c r="N936" s="8" t="s">
        <v>15</v>
      </c>
    </row>
    <row r="937" spans="1:14" ht="11.25" customHeight="1">
      <c r="A937" s="5" t="s">
        <v>2074</v>
      </c>
      <c r="B937" s="5" t="s">
        <v>2765</v>
      </c>
      <c r="C937" s="5" t="s">
        <v>2774</v>
      </c>
      <c r="D937" s="5" t="s">
        <v>2077</v>
      </c>
      <c r="E937" s="5" t="s">
        <v>14</v>
      </c>
      <c r="F937" s="5" t="s">
        <v>2078</v>
      </c>
      <c r="G937" s="5" t="s">
        <v>2079</v>
      </c>
      <c r="H937" s="5" t="s">
        <v>2767</v>
      </c>
      <c r="I937" s="5" t="s">
        <v>2775</v>
      </c>
      <c r="J937" s="5" t="s">
        <v>2776</v>
      </c>
      <c r="K937" s="7" t="str">
        <f ca="1">IFERROR(__xludf.DUMMYFUNCTION("GOOGLETRANSLATE(H937,""EN"",""ES"")"),"PERCHAS DE ROPA")</f>
        <v>PERCHAS DE ROPA</v>
      </c>
      <c r="L937" s="5" t="str">
        <f ca="1">IFERROR(__xludf.DUMMYFUNCTION("GOOGLETRANSLATE(J937,""EN"",""ES"")"),"Perchas para pantalones con clips")</f>
        <v>Perchas para pantalones con clips</v>
      </c>
      <c r="M937" s="8" t="s">
        <v>15</v>
      </c>
      <c r="N937" s="8" t="s">
        <v>15</v>
      </c>
    </row>
    <row r="938" spans="1:14" ht="11.25" customHeight="1">
      <c r="A938" s="5" t="s">
        <v>2074</v>
      </c>
      <c r="B938" s="5" t="s">
        <v>2765</v>
      </c>
      <c r="C938" s="5" t="s">
        <v>2777</v>
      </c>
      <c r="D938" s="5" t="s">
        <v>2077</v>
      </c>
      <c r="E938" s="5" t="s">
        <v>14</v>
      </c>
      <c r="F938" s="5" t="s">
        <v>2078</v>
      </c>
      <c r="G938" s="5" t="s">
        <v>2079</v>
      </c>
      <c r="H938" s="5" t="s">
        <v>2767</v>
      </c>
      <c r="I938" s="5" t="s">
        <v>2778</v>
      </c>
      <c r="J938" s="5" t="s">
        <v>2779</v>
      </c>
      <c r="K938" s="7" t="str">
        <f ca="1">IFERROR(__xludf.DUMMYFUNCTION("GOOGLETRANSLATE(H938,""EN"",""ES"")"),"PERCHAS DE ROPA")</f>
        <v>PERCHAS DE ROPA</v>
      </c>
      <c r="L938" s="5" t="str">
        <f ca="1">IFERROR(__xludf.DUMMYFUNCTION("GOOGLETRANSLATE(J938,""EN"",""ES"")"),"Perchas para ropa con clips")</f>
        <v>Perchas para ropa con clips</v>
      </c>
      <c r="M938" s="8" t="s">
        <v>15</v>
      </c>
      <c r="N938" s="8" t="s">
        <v>15</v>
      </c>
    </row>
    <row r="939" spans="1:14" ht="11.25" customHeight="1">
      <c r="A939" s="5" t="s">
        <v>2074</v>
      </c>
      <c r="B939" s="5" t="s">
        <v>2765</v>
      </c>
      <c r="C939" s="5" t="s">
        <v>2780</v>
      </c>
      <c r="D939" s="5" t="s">
        <v>2077</v>
      </c>
      <c r="E939" s="5" t="s">
        <v>14</v>
      </c>
      <c r="F939" s="5" t="s">
        <v>2078</v>
      </c>
      <c r="G939" s="5" t="s">
        <v>2079</v>
      </c>
      <c r="H939" s="5" t="s">
        <v>2767</v>
      </c>
      <c r="I939" s="5" t="s">
        <v>2781</v>
      </c>
      <c r="J939" s="5" t="s">
        <v>2782</v>
      </c>
      <c r="K939" s="7" t="str">
        <f ca="1">IFERROR(__xludf.DUMMYFUNCTION("GOOGLETRANSLATE(H939,""EN"",""ES"")"),"PERCHAS DE ROPA")</f>
        <v>PERCHAS DE ROPA</v>
      </c>
      <c r="L939" s="5" t="str">
        <f ca="1">IFERROR(__xludf.DUMMYFUNCTION("GOOGLETRANSLATE(J939,""EN"",""ES"")"),"Camillas para pantalones")</f>
        <v>Camillas para pantalones</v>
      </c>
      <c r="M939" s="8" t="s">
        <v>15</v>
      </c>
      <c r="N939" s="8" t="s">
        <v>15</v>
      </c>
    </row>
    <row r="940" spans="1:14" ht="11.25" customHeight="1">
      <c r="A940" s="5" t="s">
        <v>2074</v>
      </c>
      <c r="B940" s="5" t="s">
        <v>2765</v>
      </c>
      <c r="C940" s="5" t="s">
        <v>2783</v>
      </c>
      <c r="D940" s="5" t="s">
        <v>2077</v>
      </c>
      <c r="E940" s="5" t="s">
        <v>14</v>
      </c>
      <c r="F940" s="5" t="s">
        <v>2078</v>
      </c>
      <c r="G940" s="5" t="s">
        <v>2079</v>
      </c>
      <c r="H940" s="5" t="s">
        <v>2767</v>
      </c>
      <c r="I940" s="5" t="s">
        <v>2784</v>
      </c>
      <c r="J940" s="5" t="s">
        <v>2785</v>
      </c>
      <c r="K940" s="7" t="str">
        <f ca="1">IFERROR(__xludf.DUMMYFUNCTION("GOOGLETRANSLATE(H940,""EN"",""ES"")"),"PERCHAS DE ROPA")</f>
        <v>PERCHAS DE ROPA</v>
      </c>
      <c r="L940" s="5" t="str">
        <f ca="1">IFERROR(__xludf.DUMMYFUNCTION("GOOGLETRANSLATE(J940,""EN"",""ES"")"),"Separadores para perchas")</f>
        <v>Separadores para perchas</v>
      </c>
      <c r="M940" s="8" t="s">
        <v>15</v>
      </c>
      <c r="N940" s="8" t="s">
        <v>15</v>
      </c>
    </row>
    <row r="941" spans="1:14" ht="11.25" customHeight="1">
      <c r="A941" s="5" t="s">
        <v>2074</v>
      </c>
      <c r="B941" s="5" t="s">
        <v>2765</v>
      </c>
      <c r="C941" s="5" t="s">
        <v>2783</v>
      </c>
      <c r="D941" s="5" t="s">
        <v>2077</v>
      </c>
      <c r="E941" s="5" t="s">
        <v>14</v>
      </c>
      <c r="F941" s="5" t="s">
        <v>2078</v>
      </c>
      <c r="G941" s="5" t="s">
        <v>2079</v>
      </c>
      <c r="H941" s="5" t="s">
        <v>2767</v>
      </c>
      <c r="I941" s="5" t="s">
        <v>2786</v>
      </c>
      <c r="J941" s="5" t="s">
        <v>152</v>
      </c>
      <c r="K941" s="7" t="str">
        <f ca="1">IFERROR(__xludf.DUMMYFUNCTION("GOOGLETRANSLATE(H941,""EN"",""ES"")"),"PERCHAS DE ROPA")</f>
        <v>PERCHAS DE ROPA</v>
      </c>
      <c r="L941" s="5" t="str">
        <f ca="1">IFERROR(__xludf.DUMMYFUNCTION("GOOGLETRANSLATE(J941,""EN"",""ES"")"),"Separadores para perchas")</f>
        <v>Separadores para perchas</v>
      </c>
      <c r="M941" s="8" t="s">
        <v>15</v>
      </c>
      <c r="N941" s="8" t="s">
        <v>15</v>
      </c>
    </row>
    <row r="942" spans="1:14" ht="11.25" customHeight="1">
      <c r="A942" s="5" t="s">
        <v>2074</v>
      </c>
      <c r="B942" s="5" t="s">
        <v>2765</v>
      </c>
      <c r="C942" s="5" t="s">
        <v>2787</v>
      </c>
      <c r="D942" s="5" t="s">
        <v>2077</v>
      </c>
      <c r="E942" s="5" t="s">
        <v>14</v>
      </c>
      <c r="F942" s="5" t="s">
        <v>2078</v>
      </c>
      <c r="G942" s="5" t="s">
        <v>2079</v>
      </c>
      <c r="H942" s="5" t="s">
        <v>2767</v>
      </c>
      <c r="I942" s="5" t="s">
        <v>2788</v>
      </c>
      <c r="J942" s="5" t="s">
        <v>2789</v>
      </c>
      <c r="K942" s="7" t="str">
        <f ca="1">IFERROR(__xludf.DUMMYFUNCTION("GOOGLETRANSLATE(H942,""EN"",""ES"")"),"PERCHAS DE ROPA")</f>
        <v>PERCHAS DE ROPA</v>
      </c>
      <c r="L942" s="5" t="str">
        <f ca="1">IFERROR(__xludf.DUMMYFUNCTION("GOOGLETRANSLATE(J942,""EN"",""ES"")"),"Zapateros [perchas]")</f>
        <v>Zapateros [perchas]</v>
      </c>
      <c r="M942" s="8" t="s">
        <v>15</v>
      </c>
      <c r="N942" s="8" t="s">
        <v>15</v>
      </c>
    </row>
    <row r="943" spans="1:14" ht="11.25" customHeight="1">
      <c r="A943" s="5" t="s">
        <v>2074</v>
      </c>
      <c r="B943" s="5" t="s">
        <v>2790</v>
      </c>
      <c r="C943" s="5" t="s">
        <v>2791</v>
      </c>
      <c r="D943" s="5" t="s">
        <v>2077</v>
      </c>
      <c r="E943" s="5" t="s">
        <v>14</v>
      </c>
      <c r="F943" s="5" t="s">
        <v>2078</v>
      </c>
      <c r="G943" s="5" t="s">
        <v>2079</v>
      </c>
      <c r="H943" s="5" t="s">
        <v>2792</v>
      </c>
      <c r="I943" s="5" t="s">
        <v>2793</v>
      </c>
      <c r="J943" s="5" t="s">
        <v>2794</v>
      </c>
      <c r="K943" s="7" t="str">
        <f ca="1">IFERROR(__xludf.DUMMYFUNCTION("GOOGLETRANSLATE(H943,""EN"",""ES"")"),"COLCHONES Y COJINES")</f>
        <v>COLCHONES Y COJINES</v>
      </c>
      <c r="L943" s="5" t="str">
        <f ca="1">IFERROR(__xludf.DUMMYFUNCTION("GOOGLETRANSLATE(J943,""EN"",""ES"")"),"Sacos [eléctricos o no eléctricos]")</f>
        <v>Sacos [eléctricos o no eléctricos]</v>
      </c>
      <c r="M943" s="8" t="s">
        <v>15</v>
      </c>
      <c r="N943" s="8" t="s">
        <v>15</v>
      </c>
    </row>
    <row r="944" spans="1:14" ht="11.25" customHeight="1">
      <c r="A944" s="5" t="s">
        <v>2074</v>
      </c>
      <c r="B944" s="5" t="s">
        <v>2790</v>
      </c>
      <c r="C944" s="5" t="s">
        <v>2795</v>
      </c>
      <c r="D944" s="5" t="s">
        <v>2077</v>
      </c>
      <c r="E944" s="5" t="s">
        <v>14</v>
      </c>
      <c r="F944" s="5" t="s">
        <v>2078</v>
      </c>
      <c r="G944" s="5" t="s">
        <v>2079</v>
      </c>
      <c r="H944" s="5" t="s">
        <v>2792</v>
      </c>
      <c r="I944" s="5" t="s">
        <v>2796</v>
      </c>
      <c r="J944" s="5" t="s">
        <v>2797</v>
      </c>
      <c r="K944" s="7" t="str">
        <f ca="1">IFERROR(__xludf.DUMMYFUNCTION("GOOGLETRANSLATE(H944,""EN"",""ES"")"),"COLCHONES Y COJINES")</f>
        <v>COLCHONES Y COJINES</v>
      </c>
      <c r="L944" s="5" t="str">
        <f ca="1">IFERROR(__xludf.DUMMYFUNCTION("GOOGLETRANSLATE(J944,""EN"",""ES"")"),"Almohadillas para asientos de inodoro")</f>
        <v>Almohadillas para asientos de inodoro</v>
      </c>
      <c r="M944" s="8" t="s">
        <v>15</v>
      </c>
      <c r="N944" s="8" t="s">
        <v>15</v>
      </c>
    </row>
    <row r="945" spans="1:14" ht="11.25" customHeight="1">
      <c r="A945" s="5" t="s">
        <v>2074</v>
      </c>
      <c r="B945" s="5" t="s">
        <v>2790</v>
      </c>
      <c r="C945" s="5" t="s">
        <v>2798</v>
      </c>
      <c r="D945" s="5" t="s">
        <v>2077</v>
      </c>
      <c r="E945" s="5" t="s">
        <v>14</v>
      </c>
      <c r="F945" s="5" t="s">
        <v>2078</v>
      </c>
      <c r="G945" s="5" t="s">
        <v>2079</v>
      </c>
      <c r="H945" s="5" t="s">
        <v>2792</v>
      </c>
      <c r="I945" s="5" t="s">
        <v>2799</v>
      </c>
      <c r="J945" s="5" t="s">
        <v>2800</v>
      </c>
      <c r="K945" s="7" t="str">
        <f ca="1">IFERROR(__xludf.DUMMYFUNCTION("GOOGLETRANSLATE(H945,""EN"",""ES"")"),"COLCHONES Y COJINES")</f>
        <v>COLCHONES Y COJINES</v>
      </c>
      <c r="L945" s="5" t="str">
        <f ca="1">IFERROR(__xludf.DUMMYFUNCTION("GOOGLETRANSLATE(J945,""EN"",""ES"")"),"Cojines")</f>
        <v>Cojines</v>
      </c>
      <c r="M945" s="8" t="s">
        <v>15</v>
      </c>
      <c r="N945" s="8" t="s">
        <v>15</v>
      </c>
    </row>
    <row r="946" spans="1:14" ht="11.25" customHeight="1">
      <c r="A946" s="5" t="s">
        <v>2074</v>
      </c>
      <c r="B946" s="5" t="s">
        <v>2790</v>
      </c>
      <c r="C946" s="5" t="s">
        <v>2801</v>
      </c>
      <c r="D946" s="5" t="s">
        <v>2077</v>
      </c>
      <c r="E946" s="5" t="s">
        <v>14</v>
      </c>
      <c r="F946" s="5" t="s">
        <v>2078</v>
      </c>
      <c r="G946" s="5" t="s">
        <v>2079</v>
      </c>
      <c r="H946" s="5" t="s">
        <v>2792</v>
      </c>
      <c r="I946" s="5" t="s">
        <v>2802</v>
      </c>
      <c r="J946" s="5" t="s">
        <v>2803</v>
      </c>
      <c r="K946" s="7" t="str">
        <f ca="1">IFERROR(__xludf.DUMMYFUNCTION("GOOGLETRANSLATE(H946,""EN"",""ES"")"),"COLCHONES Y COJINES")</f>
        <v>COLCHONES Y COJINES</v>
      </c>
      <c r="L946" s="5" t="str">
        <f ca="1">IFERROR(__xludf.DUMMYFUNCTION("GOOGLETRANSLATE(J946,""EN"",""ES"")"),"Cojines de aire")</f>
        <v>Cojines de aire</v>
      </c>
      <c r="M946" s="8" t="s">
        <v>15</v>
      </c>
      <c r="N946" s="8" t="s">
        <v>15</v>
      </c>
    </row>
    <row r="947" spans="1:14" ht="11.25" customHeight="1">
      <c r="A947" s="5" t="s">
        <v>2074</v>
      </c>
      <c r="B947" s="5" t="s">
        <v>2790</v>
      </c>
      <c r="C947" s="5" t="s">
        <v>2804</v>
      </c>
      <c r="D947" s="5" t="s">
        <v>2077</v>
      </c>
      <c r="E947" s="5" t="s">
        <v>14</v>
      </c>
      <c r="F947" s="5" t="s">
        <v>2078</v>
      </c>
      <c r="G947" s="5" t="s">
        <v>2079</v>
      </c>
      <c r="H947" s="5" t="s">
        <v>2792</v>
      </c>
      <c r="I947" s="5" t="s">
        <v>2805</v>
      </c>
      <c r="J947" s="5" t="s">
        <v>2806</v>
      </c>
      <c r="K947" s="7" t="str">
        <f ca="1">IFERROR(__xludf.DUMMYFUNCTION("GOOGLETRANSLATE(H947,""EN"",""ES"")"),"COLCHONES Y COJINES")</f>
        <v>COLCHONES Y COJINES</v>
      </c>
      <c r="L947" s="5" t="str">
        <f ca="1">IFERROR(__xludf.DUMMYFUNCTION("GOOGLETRANSLATE(J947,""EN"",""ES"")"),"Cojines para asientos de vehículos")</f>
        <v>Cojines para asientos de vehículos</v>
      </c>
      <c r="M947" s="8" t="s">
        <v>15</v>
      </c>
      <c r="N947" s="8" t="s">
        <v>15</v>
      </c>
    </row>
    <row r="948" spans="1:14" ht="11.25" customHeight="1">
      <c r="A948" s="5" t="s">
        <v>2074</v>
      </c>
      <c r="B948" s="5" t="s">
        <v>2790</v>
      </c>
      <c r="C948" s="5" t="s">
        <v>2807</v>
      </c>
      <c r="D948" s="5" t="s">
        <v>2077</v>
      </c>
      <c r="E948" s="5" t="s">
        <v>14</v>
      </c>
      <c r="F948" s="5" t="s">
        <v>2078</v>
      </c>
      <c r="G948" s="5" t="s">
        <v>2079</v>
      </c>
      <c r="H948" s="5" t="s">
        <v>2792</v>
      </c>
      <c r="I948" s="5" t="s">
        <v>2808</v>
      </c>
      <c r="J948" s="5" t="s">
        <v>2809</v>
      </c>
      <c r="K948" s="7" t="str">
        <f ca="1">IFERROR(__xludf.DUMMYFUNCTION("GOOGLETRANSLATE(H948,""EN"",""ES"")"),"COLCHONES Y COJINES")</f>
        <v>COLCHONES Y COJINES</v>
      </c>
      <c r="L948" s="5" t="str">
        <f ca="1">IFERROR(__xludf.DUMMYFUNCTION("GOOGLETRANSLATE(J948,""EN"",""ES"")"),"colchones")</f>
        <v>colchones</v>
      </c>
      <c r="M948" s="8" t="s">
        <v>15</v>
      </c>
      <c r="N948" s="8" t="s">
        <v>15</v>
      </c>
    </row>
    <row r="949" spans="1:14" ht="11.25" customHeight="1">
      <c r="A949" s="5" t="s">
        <v>2074</v>
      </c>
      <c r="B949" s="5" t="s">
        <v>2790</v>
      </c>
      <c r="C949" s="5" t="s">
        <v>2810</v>
      </c>
      <c r="D949" s="5" t="s">
        <v>2077</v>
      </c>
      <c r="E949" s="5" t="s">
        <v>14</v>
      </c>
      <c r="F949" s="5" t="s">
        <v>2078</v>
      </c>
      <c r="G949" s="5" t="s">
        <v>2079</v>
      </c>
      <c r="H949" s="5" t="s">
        <v>2792</v>
      </c>
      <c r="I949" s="5" t="s">
        <v>2811</v>
      </c>
      <c r="J949" s="5" t="s">
        <v>2812</v>
      </c>
      <c r="K949" s="7" t="str">
        <f ca="1">IFERROR(__xludf.DUMMYFUNCTION("GOOGLETRANSLATE(H949,""EN"",""ES"")"),"COLCHONES Y COJINES")</f>
        <v>COLCHONES Y COJINES</v>
      </c>
      <c r="L949" s="5" t="str">
        <f ca="1">IFERROR(__xludf.DUMMYFUNCTION("GOOGLETRANSLATE(J949,""EN"",""ES"")"),"colchones de aire")</f>
        <v>colchones de aire</v>
      </c>
      <c r="M949" s="8" t="s">
        <v>15</v>
      </c>
      <c r="N949" s="8" t="s">
        <v>15</v>
      </c>
    </row>
    <row r="950" spans="1:14" ht="11.25" customHeight="1">
      <c r="A950" s="5" t="s">
        <v>2074</v>
      </c>
      <c r="B950" s="5" t="s">
        <v>2790</v>
      </c>
      <c r="C950" s="5" t="s">
        <v>2813</v>
      </c>
      <c r="D950" s="5" t="s">
        <v>2077</v>
      </c>
      <c r="E950" s="5" t="s">
        <v>14</v>
      </c>
      <c r="F950" s="5" t="s">
        <v>2078</v>
      </c>
      <c r="G950" s="5" t="s">
        <v>2079</v>
      </c>
      <c r="H950" s="5" t="s">
        <v>2792</v>
      </c>
      <c r="I950" s="5" t="s">
        <v>2814</v>
      </c>
      <c r="J950" s="5" t="s">
        <v>2815</v>
      </c>
      <c r="K950" s="7" t="str">
        <f ca="1">IFERROR(__xludf.DUMMYFUNCTION("GOOGLETRANSLATE(H950,""EN"",""ES"")"),"COLCHONES Y COJINES")</f>
        <v>COLCHONES Y COJINES</v>
      </c>
      <c r="L950" s="5" t="str">
        <f ca="1">IFERROR(__xludf.DUMMYFUNCTION("GOOGLETRANSLATE(J950,""EN"",""ES"")"),"almohadas")</f>
        <v>almohadas</v>
      </c>
      <c r="M950" s="8" t="s">
        <v>15</v>
      </c>
      <c r="N950" s="8" t="s">
        <v>15</v>
      </c>
    </row>
    <row r="951" spans="1:14" ht="11.25" customHeight="1">
      <c r="A951" s="5" t="s">
        <v>2074</v>
      </c>
      <c r="B951" s="5" t="s">
        <v>2790</v>
      </c>
      <c r="C951" s="5" t="s">
        <v>2816</v>
      </c>
      <c r="D951" s="5" t="s">
        <v>2077</v>
      </c>
      <c r="E951" s="5" t="s">
        <v>14</v>
      </c>
      <c r="F951" s="5" t="s">
        <v>2078</v>
      </c>
      <c r="G951" s="5" t="s">
        <v>2079</v>
      </c>
      <c r="H951" s="5" t="s">
        <v>2792</v>
      </c>
      <c r="I951" s="5" t="s">
        <v>2817</v>
      </c>
      <c r="J951" s="5" t="s">
        <v>2818</v>
      </c>
      <c r="K951" s="7" t="str">
        <f ca="1">IFERROR(__xludf.DUMMYFUNCTION("GOOGLETRANSLATE(H951,""EN"",""ES"")"),"COLCHONES Y COJINES")</f>
        <v>COLCHONES Y COJINES</v>
      </c>
      <c r="L951" s="5" t="str">
        <f ca="1">IFERROR(__xludf.DUMMYFUNCTION("GOOGLETRANSLATE(J951,""EN"",""ES"")"),"Refuerzos")</f>
        <v>Refuerzos</v>
      </c>
      <c r="M951" s="8" t="s">
        <v>15</v>
      </c>
      <c r="N951" s="8" t="s">
        <v>15</v>
      </c>
    </row>
    <row r="952" spans="1:14" ht="11.25" customHeight="1">
      <c r="A952" s="5" t="s">
        <v>2074</v>
      </c>
      <c r="B952" s="5" t="s">
        <v>2790</v>
      </c>
      <c r="C952" s="5" t="s">
        <v>2819</v>
      </c>
      <c r="D952" s="5" t="s">
        <v>2077</v>
      </c>
      <c r="E952" s="5" t="s">
        <v>14</v>
      </c>
      <c r="F952" s="5" t="s">
        <v>2078</v>
      </c>
      <c r="G952" s="5" t="s">
        <v>2079</v>
      </c>
      <c r="H952" s="5" t="s">
        <v>2792</v>
      </c>
      <c r="I952" s="5" t="s">
        <v>2820</v>
      </c>
      <c r="J952" s="5" t="s">
        <v>2821</v>
      </c>
      <c r="K952" s="7" t="str">
        <f ca="1">IFERROR(__xludf.DUMMYFUNCTION("GOOGLETRANSLATE(H952,""EN"",""ES"")"),"COLCHONES Y COJINES")</f>
        <v>COLCHONES Y COJINES</v>
      </c>
      <c r="L952" s="5" t="str">
        <f ca="1">IFERROR(__xludf.DUMMYFUNCTION("GOOGLETRANSLATE(J952,""EN"",""ES"")"),"Cojines calefactores")</f>
        <v>Cojines calefactores</v>
      </c>
      <c r="M952" s="8" t="s">
        <v>15</v>
      </c>
      <c r="N952" s="8" t="s">
        <v>15</v>
      </c>
    </row>
    <row r="953" spans="1:14" ht="11.25" customHeight="1">
      <c r="A953" s="5" t="s">
        <v>2074</v>
      </c>
      <c r="B953" s="5" t="s">
        <v>2790</v>
      </c>
      <c r="C953" s="5" t="s">
        <v>2822</v>
      </c>
      <c r="D953" s="5" t="s">
        <v>2077</v>
      </c>
      <c r="E953" s="5" t="s">
        <v>14</v>
      </c>
      <c r="F953" s="5" t="s">
        <v>2078</v>
      </c>
      <c r="G953" s="5" t="s">
        <v>2079</v>
      </c>
      <c r="H953" s="5" t="s">
        <v>2792</v>
      </c>
      <c r="I953" s="5" t="s">
        <v>2823</v>
      </c>
      <c r="J953" s="5" t="s">
        <v>2824</v>
      </c>
      <c r="K953" s="7" t="str">
        <f ca="1">IFERROR(__xludf.DUMMYFUNCTION("GOOGLETRANSLATE(H953,""EN"",""ES"")"),"COLCHONES Y COJINES")</f>
        <v>COLCHONES Y COJINES</v>
      </c>
      <c r="L953" s="5" t="str">
        <f ca="1">IFERROR(__xludf.DUMMYFUNCTION("GOOGLETRANSLATE(J953,""EN"",""ES"")"),"colchones de camping")</f>
        <v>colchones de camping</v>
      </c>
      <c r="M953" s="8" t="s">
        <v>15</v>
      </c>
      <c r="N953" s="8" t="s">
        <v>15</v>
      </c>
    </row>
    <row r="954" spans="1:14" ht="11.25" customHeight="1">
      <c r="A954" s="5" t="s">
        <v>2074</v>
      </c>
      <c r="B954" s="5" t="s">
        <v>2790</v>
      </c>
      <c r="C954" s="5" t="s">
        <v>2825</v>
      </c>
      <c r="D954" s="5" t="s">
        <v>2077</v>
      </c>
      <c r="E954" s="5" t="s">
        <v>14</v>
      </c>
      <c r="F954" s="5" t="s">
        <v>2078</v>
      </c>
      <c r="G954" s="5" t="s">
        <v>2079</v>
      </c>
      <c r="H954" s="5" t="s">
        <v>2792</v>
      </c>
      <c r="I954" s="5" t="s">
        <v>2826</v>
      </c>
      <c r="J954" s="5" t="s">
        <v>2827</v>
      </c>
      <c r="K954" s="7" t="str">
        <f ca="1">IFERROR(__xludf.DUMMYFUNCTION("GOOGLETRANSLATE(H954,""EN"",""ES"")"),"COLCHONES Y COJINES")</f>
        <v>COLCHONES Y COJINES</v>
      </c>
      <c r="L954" s="5" t="str">
        <f ca="1">IFERROR(__xludf.DUMMYFUNCTION("GOOGLETRANSLATE(J954,""EN"",""ES"")"),"Cambiadores para bebes")</f>
        <v>Cambiadores para bebes</v>
      </c>
      <c r="M954" s="8" t="s">
        <v>15</v>
      </c>
      <c r="N954" s="8" t="s">
        <v>15</v>
      </c>
    </row>
    <row r="955" spans="1:14" ht="11.25" customHeight="1">
      <c r="A955" s="5" t="s">
        <v>2074</v>
      </c>
      <c r="B955" s="5" t="s">
        <v>2790</v>
      </c>
      <c r="C955" s="5" t="s">
        <v>2828</v>
      </c>
      <c r="D955" s="5" t="s">
        <v>2077</v>
      </c>
      <c r="E955" s="5" t="s">
        <v>14</v>
      </c>
      <c r="F955" s="5" t="s">
        <v>2078</v>
      </c>
      <c r="G955" s="5" t="s">
        <v>2079</v>
      </c>
      <c r="H955" s="5" t="s">
        <v>2792</v>
      </c>
      <c r="I955" s="5" t="s">
        <v>2829</v>
      </c>
      <c r="J955" s="5" t="s">
        <v>2830</v>
      </c>
      <c r="K955" s="7" t="str">
        <f ca="1">IFERROR(__xludf.DUMMYFUNCTION("GOOGLETRANSLATE(H955,""EN"",""ES"")"),"COLCHONES Y COJINES")</f>
        <v>COLCHONES Y COJINES</v>
      </c>
      <c r="L955" s="5" t="str">
        <f ca="1">IFERROR(__xludf.DUMMYFUNCTION("GOOGLETRANSLATE(J955,""EN"",""ES"")"),"Cojines anatómicos")</f>
        <v>Cojines anatómicos</v>
      </c>
      <c r="M955" s="8" t="s">
        <v>15</v>
      </c>
      <c r="N955" s="8" t="s">
        <v>15</v>
      </c>
    </row>
    <row r="956" spans="1:14" ht="11.25" customHeight="1">
      <c r="A956" s="5" t="s">
        <v>2074</v>
      </c>
      <c r="B956" s="5" t="s">
        <v>2790</v>
      </c>
      <c r="C956" s="5" t="s">
        <v>2831</v>
      </c>
      <c r="D956" s="5" t="s">
        <v>2077</v>
      </c>
      <c r="E956" s="5" t="s">
        <v>14</v>
      </c>
      <c r="F956" s="5" t="s">
        <v>2078</v>
      </c>
      <c r="G956" s="5" t="s">
        <v>2079</v>
      </c>
      <c r="H956" s="5" t="s">
        <v>2792</v>
      </c>
      <c r="I956" s="5" t="s">
        <v>2832</v>
      </c>
      <c r="J956" s="5" t="s">
        <v>2833</v>
      </c>
      <c r="K956" s="7" t="str">
        <f ca="1">IFERROR(__xludf.DUMMYFUNCTION("GOOGLETRANSLATE(H956,""EN"",""ES"")"),"COLCHONES Y COJINES")</f>
        <v>COLCHONES Y COJINES</v>
      </c>
      <c r="L956" s="5" t="str">
        <f ca="1">IFERROR(__xludf.DUMMYFUNCTION("GOOGLETRANSLATE(J956,""EN"",""ES"")"),"Almohadas protectoras para la cabeza del bebé.")</f>
        <v>Almohadas protectoras para la cabeza del bebé.</v>
      </c>
      <c r="M956" s="8" t="s">
        <v>15</v>
      </c>
      <c r="N956" s="8" t="s">
        <v>15</v>
      </c>
    </row>
    <row r="957" spans="1:14" ht="11.25" customHeight="1">
      <c r="A957" s="5" t="s">
        <v>2074</v>
      </c>
      <c r="B957" s="5" t="s">
        <v>2834</v>
      </c>
      <c r="C957" s="5" t="s">
        <v>2835</v>
      </c>
      <c r="D957" s="5" t="s">
        <v>2077</v>
      </c>
      <c r="E957" s="5" t="s">
        <v>14</v>
      </c>
      <c r="F957" s="5" t="s">
        <v>2078</v>
      </c>
      <c r="G957" s="5" t="s">
        <v>2079</v>
      </c>
      <c r="H957" s="5" t="s">
        <v>2836</v>
      </c>
      <c r="I957" s="5" t="s">
        <v>2837</v>
      </c>
      <c r="J957" s="5" t="s">
        <v>2838</v>
      </c>
      <c r="K957" s="7" t="str">
        <f ca="1">IFERROR(__xludf.DUMMYFUNCTION("GOOGLETRANSLATE(H957,""EN"",""ES"")"),"CORTINAS Y PERSIANAS INTERIORES")</f>
        <v>CORTINAS Y PERSIANAS INTERIORES</v>
      </c>
      <c r="L957" s="5" t="str">
        <f ca="1">IFERROR(__xludf.DUMMYFUNCTION("GOOGLETRANSLATE(J957,""EN"",""ES"")"),"Pelmets")</f>
        <v>Pelmets</v>
      </c>
      <c r="M957" s="8" t="s">
        <v>15</v>
      </c>
      <c r="N957" s="8" t="s">
        <v>15</v>
      </c>
    </row>
    <row r="958" spans="1:14" ht="11.25" customHeight="1">
      <c r="A958" s="5" t="s">
        <v>2074</v>
      </c>
      <c r="B958" s="5" t="s">
        <v>2834</v>
      </c>
      <c r="C958" s="5" t="s">
        <v>2835</v>
      </c>
      <c r="D958" s="5" t="s">
        <v>2077</v>
      </c>
      <c r="E958" s="5" t="s">
        <v>14</v>
      </c>
      <c r="F958" s="5" t="s">
        <v>2078</v>
      </c>
      <c r="G958" s="5" t="s">
        <v>2079</v>
      </c>
      <c r="H958" s="5" t="s">
        <v>2836</v>
      </c>
      <c r="I958" s="5" t="s">
        <v>152</v>
      </c>
      <c r="J958" s="5" t="s">
        <v>2839</v>
      </c>
      <c r="K958" s="7" t="str">
        <f ca="1">IFERROR(__xludf.DUMMYFUNCTION("GOOGLETRANSLATE(H958,""EN"",""ES"")"),"CORTINAS Y PERSIANAS INTERIORES")</f>
        <v>CORTINAS Y PERSIANAS INTERIORES</v>
      </c>
      <c r="L958" s="5" t="str">
        <f ca="1">IFERROR(__xludf.DUMMYFUNCTION("GOOGLETRANSLATE(J958,""EN"",""ES"")"),"N / A")</f>
        <v>N / A</v>
      </c>
      <c r="M958" s="8" t="s">
        <v>15</v>
      </c>
      <c r="N958" s="8" t="s">
        <v>15</v>
      </c>
    </row>
    <row r="959" spans="1:14" ht="11.25" customHeight="1">
      <c r="A959" s="5" t="s">
        <v>2074</v>
      </c>
      <c r="B959" s="5" t="s">
        <v>2834</v>
      </c>
      <c r="C959" s="5" t="s">
        <v>2840</v>
      </c>
      <c r="D959" s="5" t="s">
        <v>2077</v>
      </c>
      <c r="E959" s="5" t="s">
        <v>14</v>
      </c>
      <c r="F959" s="5" t="s">
        <v>2078</v>
      </c>
      <c r="G959" s="5" t="s">
        <v>2079</v>
      </c>
      <c r="H959" s="5" t="s">
        <v>2836</v>
      </c>
      <c r="I959" s="5" t="s">
        <v>2841</v>
      </c>
      <c r="J959" s="5" t="s">
        <v>2842</v>
      </c>
      <c r="K959" s="7" t="str">
        <f ca="1">IFERROR(__xludf.DUMMYFUNCTION("GOOGLETRANSLATE(H959,""EN"",""ES"")"),"CORTINAS Y PERSIANAS INTERIORES")</f>
        <v>CORTINAS Y PERSIANAS INTERIORES</v>
      </c>
      <c r="L959" s="5" t="str">
        <f ca="1">IFERROR(__xludf.DUMMYFUNCTION("GOOGLETRANSLATE(J959,""EN"",""ES"")"),"Cenefas")</f>
        <v>Cenefas</v>
      </c>
      <c r="M959" s="8" t="s">
        <v>15</v>
      </c>
      <c r="N959" s="8" t="s">
        <v>15</v>
      </c>
    </row>
    <row r="960" spans="1:14" ht="11.25" customHeight="1">
      <c r="A960" s="5" t="s">
        <v>2074</v>
      </c>
      <c r="B960" s="5" t="s">
        <v>2834</v>
      </c>
      <c r="C960" s="5" t="s">
        <v>2843</v>
      </c>
      <c r="D960" s="5" t="s">
        <v>2077</v>
      </c>
      <c r="E960" s="5" t="s">
        <v>14</v>
      </c>
      <c r="F960" s="5" t="s">
        <v>2078</v>
      </c>
      <c r="G960" s="5" t="s">
        <v>2079</v>
      </c>
      <c r="H960" s="5" t="s">
        <v>2836</v>
      </c>
      <c r="I960" s="5" t="s">
        <v>2844</v>
      </c>
      <c r="J960" s="5" t="s">
        <v>2845</v>
      </c>
      <c r="K960" s="7" t="str">
        <f ca="1">IFERROR(__xludf.DUMMYFUNCTION("GOOGLETRANSLATE(H960,""EN"",""ES"")"),"CORTINAS Y PERSIANAS INTERIORES")</f>
        <v>CORTINAS Y PERSIANAS INTERIORES</v>
      </c>
      <c r="L960" s="5" t="str">
        <f ca="1">IFERROR(__xludf.DUMMYFUNCTION("GOOGLETRANSLATE(J960,""EN"",""ES"")"),"Alzapaños para cortinas")</f>
        <v>Alzapaños para cortinas</v>
      </c>
      <c r="M960" s="8" t="s">
        <v>15</v>
      </c>
      <c r="N960" s="8" t="s">
        <v>15</v>
      </c>
    </row>
    <row r="961" spans="1:14" ht="11.25" customHeight="1">
      <c r="A961" s="5" t="s">
        <v>2074</v>
      </c>
      <c r="B961" s="5" t="s">
        <v>2834</v>
      </c>
      <c r="C961" s="5" t="s">
        <v>2846</v>
      </c>
      <c r="D961" s="5" t="s">
        <v>2077</v>
      </c>
      <c r="E961" s="5" t="s">
        <v>14</v>
      </c>
      <c r="F961" s="5" t="s">
        <v>2078</v>
      </c>
      <c r="G961" s="5" t="s">
        <v>2079</v>
      </c>
      <c r="H961" s="5" t="s">
        <v>2836</v>
      </c>
      <c r="I961" s="5" t="s">
        <v>2847</v>
      </c>
      <c r="J961" s="5" t="s">
        <v>2848</v>
      </c>
      <c r="K961" s="7" t="str">
        <f ca="1">IFERROR(__xludf.DUMMYFUNCTION("GOOGLETRANSLATE(H961,""EN"",""ES"")"),"CORTINAS Y PERSIANAS INTERIORES")</f>
        <v>CORTINAS Y PERSIANAS INTERIORES</v>
      </c>
      <c r="L961" s="5" t="str">
        <f ca="1">IFERROR(__xludf.DUMMYFUNCTION("GOOGLETRANSLATE(J961,""EN"",""ES"")"),"persianas venecianas")</f>
        <v>persianas venecianas</v>
      </c>
      <c r="M961" s="8" t="s">
        <v>15</v>
      </c>
      <c r="N961" s="8" t="s">
        <v>15</v>
      </c>
    </row>
    <row r="962" spans="1:14" ht="11.25" customHeight="1">
      <c r="A962" s="5" t="s">
        <v>2074</v>
      </c>
      <c r="B962" s="5" t="s">
        <v>2834</v>
      </c>
      <c r="C962" s="5" t="s">
        <v>2849</v>
      </c>
      <c r="D962" s="5" t="s">
        <v>2077</v>
      </c>
      <c r="E962" s="5" t="s">
        <v>14</v>
      </c>
      <c r="F962" s="5" t="s">
        <v>2078</v>
      </c>
      <c r="G962" s="5" t="s">
        <v>2079</v>
      </c>
      <c r="H962" s="5" t="s">
        <v>2836</v>
      </c>
      <c r="I962" s="5" t="s">
        <v>2850</v>
      </c>
      <c r="J962" s="5" t="s">
        <v>2851</v>
      </c>
      <c r="K962" s="7" t="str">
        <f ca="1">IFERROR(__xludf.DUMMYFUNCTION("GOOGLETRANSLATE(H962,""EN"",""ES"")"),"CORTINAS Y PERSIANAS INTERIORES")</f>
        <v>CORTINAS Y PERSIANAS INTERIORES</v>
      </c>
      <c r="L962" s="5" t="str">
        <f ca="1">IFERROR(__xludf.DUMMYFUNCTION("GOOGLETRANSLATE(J962,""EN"",""ES"")"),"Cortinas de puerta")</f>
        <v>Cortinas de puerta</v>
      </c>
      <c r="M962" s="8" t="s">
        <v>15</v>
      </c>
      <c r="N962" s="8" t="s">
        <v>15</v>
      </c>
    </row>
    <row r="963" spans="1:14" ht="11.25" customHeight="1">
      <c r="A963" s="5" t="s">
        <v>2074</v>
      </c>
      <c r="B963" s="5" t="s">
        <v>2834</v>
      </c>
      <c r="C963" s="5" t="s">
        <v>2852</v>
      </c>
      <c r="D963" s="5" t="s">
        <v>2077</v>
      </c>
      <c r="E963" s="5" t="s">
        <v>14</v>
      </c>
      <c r="F963" s="5" t="s">
        <v>2078</v>
      </c>
      <c r="G963" s="5" t="s">
        <v>2079</v>
      </c>
      <c r="H963" s="5" t="s">
        <v>2836</v>
      </c>
      <c r="I963" s="5" t="s">
        <v>2853</v>
      </c>
      <c r="J963" s="5" t="s">
        <v>2854</v>
      </c>
      <c r="K963" s="7" t="str">
        <f ca="1">IFERROR(__xludf.DUMMYFUNCTION("GOOGLETRANSLATE(H963,""EN"",""ES"")"),"CORTINAS Y PERSIANAS INTERIORES")</f>
        <v>CORTINAS Y PERSIANAS INTERIORES</v>
      </c>
      <c r="L963" s="5" t="str">
        <f ca="1">IFERROR(__xludf.DUMMYFUNCTION("GOOGLETRANSLATE(J963,""EN"",""ES"")"),"Cortinas")</f>
        <v>Cortinas</v>
      </c>
      <c r="M963" s="8" t="s">
        <v>15</v>
      </c>
      <c r="N963" s="8" t="s">
        <v>15</v>
      </c>
    </row>
    <row r="964" spans="1:14" ht="11.25" customHeight="1">
      <c r="A964" s="5" t="s">
        <v>2074</v>
      </c>
      <c r="B964" s="5" t="s">
        <v>2834</v>
      </c>
      <c r="C964" s="5" t="s">
        <v>2855</v>
      </c>
      <c r="D964" s="5" t="s">
        <v>2077</v>
      </c>
      <c r="E964" s="5" t="s">
        <v>14</v>
      </c>
      <c r="F964" s="5" t="s">
        <v>2078</v>
      </c>
      <c r="G964" s="5" t="s">
        <v>2079</v>
      </c>
      <c r="H964" s="5" t="s">
        <v>2836</v>
      </c>
      <c r="I964" s="5" t="s">
        <v>2856</v>
      </c>
      <c r="J964" s="5" t="s">
        <v>2857</v>
      </c>
      <c r="K964" s="7" t="str">
        <f ca="1">IFERROR(__xludf.DUMMYFUNCTION("GOOGLETRANSLATE(H964,""EN"",""ES"")"),"CORTINAS Y PERSIANAS INTERIORES")</f>
        <v>CORTINAS Y PERSIANAS INTERIORES</v>
      </c>
      <c r="L964" s="5" t="str">
        <f ca="1">IFERROR(__xludf.DUMMYFUNCTION("GOOGLETRANSLATE(J964,""EN"",""ES"")"),"Persianas [interiores]")</f>
        <v>Persianas [interiores]</v>
      </c>
      <c r="M964" s="8" t="s">
        <v>15</v>
      </c>
      <c r="N964" s="8" t="s">
        <v>15</v>
      </c>
    </row>
    <row r="965" spans="1:14" ht="11.25" customHeight="1">
      <c r="A965" s="5" t="s">
        <v>2074</v>
      </c>
      <c r="B965" s="5" t="s">
        <v>2834</v>
      </c>
      <c r="C965" s="5" t="s">
        <v>2858</v>
      </c>
      <c r="D965" s="5" t="s">
        <v>2077</v>
      </c>
      <c r="E965" s="5" t="s">
        <v>14</v>
      </c>
      <c r="F965" s="5" t="s">
        <v>2078</v>
      </c>
      <c r="G965" s="5" t="s">
        <v>2079</v>
      </c>
      <c r="H965" s="5" t="s">
        <v>2836</v>
      </c>
      <c r="I965" s="5" t="s">
        <v>2859</v>
      </c>
      <c r="J965" s="5" t="s">
        <v>2860</v>
      </c>
      <c r="K965" s="7" t="str">
        <f ca="1">IFERROR(__xludf.DUMMYFUNCTION("GOOGLETRANSLATE(H965,""EN"",""ES"")"),"CORTINAS Y PERSIANAS INTERIORES")</f>
        <v>CORTINAS Y PERSIANAS INTERIORES</v>
      </c>
      <c r="L965" s="5" t="str">
        <f ca="1">IFERROR(__xludf.DUMMYFUNCTION("GOOGLETRANSLATE(J965,""EN"",""ES"")"),"Cortinas de ducha")</f>
        <v>Cortinas de ducha</v>
      </c>
      <c r="M965" s="8" t="s">
        <v>15</v>
      </c>
      <c r="N965" s="8" t="s">
        <v>15</v>
      </c>
    </row>
    <row r="966" spans="1:14" ht="11.25" customHeight="1">
      <c r="A966" s="5" t="s">
        <v>2074</v>
      </c>
      <c r="B966" s="5" t="s">
        <v>2834</v>
      </c>
      <c r="C966" s="5" t="s">
        <v>2861</v>
      </c>
      <c r="D966" s="5" t="s">
        <v>2077</v>
      </c>
      <c r="E966" s="5" t="s">
        <v>14</v>
      </c>
      <c r="F966" s="5" t="s">
        <v>2078</v>
      </c>
      <c r="G966" s="5" t="s">
        <v>2079</v>
      </c>
      <c r="H966" s="5" t="s">
        <v>2836</v>
      </c>
      <c r="I966" s="5" t="s">
        <v>2862</v>
      </c>
      <c r="J966" s="5" t="s">
        <v>2863</v>
      </c>
      <c r="K966" s="7" t="str">
        <f ca="1">IFERROR(__xludf.DUMMYFUNCTION("GOOGLETRANSLATE(H966,""EN"",""ES"")"),"CORTINAS Y PERSIANAS INTERIORES")</f>
        <v>CORTINAS Y PERSIANAS INTERIORES</v>
      </c>
      <c r="L966" s="5" t="str">
        <f ca="1">IFERROR(__xludf.DUMMYFUNCTION("GOOGLETRANSLATE(J966,""EN"",""ES"")"),"Mosquiteras [mobiliario]")</f>
        <v>Mosquiteras [mobiliario]</v>
      </c>
      <c r="M966" s="8" t="s">
        <v>15</v>
      </c>
      <c r="N966" s="8" t="s">
        <v>15</v>
      </c>
    </row>
    <row r="967" spans="1:14" ht="11.25" customHeight="1">
      <c r="A967" s="5" t="s">
        <v>2074</v>
      </c>
      <c r="B967" s="5" t="s">
        <v>2864</v>
      </c>
      <c r="C967" s="5" t="s">
        <v>2865</v>
      </c>
      <c r="D967" s="5" t="s">
        <v>2077</v>
      </c>
      <c r="E967" s="5" t="s">
        <v>14</v>
      </c>
      <c r="F967" s="5" t="s">
        <v>2078</v>
      </c>
      <c r="G967" s="5" t="s">
        <v>2079</v>
      </c>
      <c r="H967" s="5" t="s">
        <v>2866</v>
      </c>
      <c r="I967" s="5" t="s">
        <v>2867</v>
      </c>
      <c r="J967" s="5" t="s">
        <v>2868</v>
      </c>
      <c r="K967" s="7" t="str">
        <f ca="1">IFERROR(__xludf.DUMMYFUNCTION("GOOGLETRANSLATE(H967,""EN"",""ES"")"),"ALFOMBRAS, TAPETES Y MOQUETAS")</f>
        <v>ALFOMBRAS, TAPETES Y MOQUETAS</v>
      </c>
      <c r="L967" s="5" t="str">
        <f ca="1">IFERROR(__xludf.DUMMYFUNCTION("GOOGLETRANSLATE(J967,""EN"",""ES"")"),"Alfombras de piso")</f>
        <v>Alfombras de piso</v>
      </c>
      <c r="M967" s="8" t="s">
        <v>15</v>
      </c>
      <c r="N967" s="8" t="s">
        <v>15</v>
      </c>
    </row>
    <row r="968" spans="1:14" ht="11.25" customHeight="1">
      <c r="A968" s="5" t="s">
        <v>2074</v>
      </c>
      <c r="B968" s="5" t="s">
        <v>2864</v>
      </c>
      <c r="C968" s="5" t="s">
        <v>2869</v>
      </c>
      <c r="D968" s="5" t="s">
        <v>2077</v>
      </c>
      <c r="E968" s="5" t="s">
        <v>14</v>
      </c>
      <c r="F968" s="5" t="s">
        <v>2078</v>
      </c>
      <c r="G968" s="5" t="s">
        <v>2079</v>
      </c>
      <c r="H968" s="5" t="s">
        <v>2866</v>
      </c>
      <c r="I968" s="5" t="s">
        <v>2870</v>
      </c>
      <c r="J968" s="5" t="s">
        <v>2871</v>
      </c>
      <c r="K968" s="7" t="str">
        <f ca="1">IFERROR(__xludf.DUMMYFUNCTION("GOOGLETRANSLATE(H968,""EN"",""ES"")"),"ALFOMBRAS, TAPETES Y MOQUETAS")</f>
        <v>ALFOMBRAS, TAPETES Y MOQUETAS</v>
      </c>
      <c r="L968" s="5" t="str">
        <f ca="1">IFERROR(__xludf.DUMMYFUNCTION("GOOGLETRANSLATE(J968,""EN"",""ES"")"),"Alfombras de noche")</f>
        <v>Alfombras de noche</v>
      </c>
      <c r="M968" s="8" t="s">
        <v>15</v>
      </c>
      <c r="N968" s="8" t="s">
        <v>15</v>
      </c>
    </row>
    <row r="969" spans="1:14" ht="11.25" customHeight="1">
      <c r="A969" s="5" t="s">
        <v>2074</v>
      </c>
      <c r="B969" s="5" t="s">
        <v>2864</v>
      </c>
      <c r="C969" s="5" t="s">
        <v>2872</v>
      </c>
      <c r="D969" s="5" t="s">
        <v>2077</v>
      </c>
      <c r="E969" s="5" t="s">
        <v>14</v>
      </c>
      <c r="F969" s="5" t="s">
        <v>2078</v>
      </c>
      <c r="G969" s="5" t="s">
        <v>2079</v>
      </c>
      <c r="H969" s="5" t="s">
        <v>2866</v>
      </c>
      <c r="I969" s="5" t="s">
        <v>2873</v>
      </c>
      <c r="J969" s="5" t="s">
        <v>2874</v>
      </c>
      <c r="K969" s="7" t="str">
        <f ca="1">IFERROR(__xludf.DUMMYFUNCTION("GOOGLETRANSLATE(H969,""EN"",""ES"")"),"ALFOMBRAS, TAPETES Y MOQUETAS")</f>
        <v>ALFOMBRAS, TAPETES Y MOQUETAS</v>
      </c>
      <c r="L969" s="5" t="str">
        <f ca="1">IFERROR(__xludf.DUMMYFUNCTION("GOOGLETRANSLATE(J969,""EN"",""ES"")"),"Alfombrillas para automóviles")</f>
        <v>Alfombrillas para automóviles</v>
      </c>
      <c r="M969" s="8" t="s">
        <v>15</v>
      </c>
      <c r="N969" s="8" t="s">
        <v>15</v>
      </c>
    </row>
    <row r="970" spans="1:14" ht="11.25" customHeight="1">
      <c r="A970" s="5" t="s">
        <v>2074</v>
      </c>
      <c r="B970" s="5" t="s">
        <v>2864</v>
      </c>
      <c r="C970" s="5" t="s">
        <v>2875</v>
      </c>
      <c r="D970" s="5" t="s">
        <v>2077</v>
      </c>
      <c r="E970" s="5" t="s">
        <v>14</v>
      </c>
      <c r="F970" s="5" t="s">
        <v>2078</v>
      </c>
      <c r="G970" s="5" t="s">
        <v>2079</v>
      </c>
      <c r="H970" s="5" t="s">
        <v>2866</v>
      </c>
      <c r="I970" s="5" t="s">
        <v>2876</v>
      </c>
      <c r="J970" s="5" t="s">
        <v>2877</v>
      </c>
      <c r="K970" s="7" t="str">
        <f ca="1">IFERROR(__xludf.DUMMYFUNCTION("GOOGLETRANSLATE(H970,""EN"",""ES"")"),"ALFOMBRAS, TAPETES Y MOQUETAS")</f>
        <v>ALFOMBRAS, TAPETES Y MOQUETAS</v>
      </c>
      <c r="L970" s="5" t="str">
        <f ca="1">IFERROR(__xludf.DUMMYFUNCTION("GOOGLETRANSLATE(J970,""EN"",""ES"")"),"Felpudo")</f>
        <v>Felpudo</v>
      </c>
      <c r="M970" s="8" t="s">
        <v>15</v>
      </c>
      <c r="N970" s="8" t="s">
        <v>15</v>
      </c>
    </row>
    <row r="971" spans="1:14" ht="11.25" customHeight="1">
      <c r="A971" s="5" t="s">
        <v>2074</v>
      </c>
      <c r="B971" s="5" t="s">
        <v>2864</v>
      </c>
      <c r="C971" s="5" t="s">
        <v>2875</v>
      </c>
      <c r="D971" s="5" t="s">
        <v>2077</v>
      </c>
      <c r="E971" s="5" t="s">
        <v>14</v>
      </c>
      <c r="F971" s="5" t="s">
        <v>2078</v>
      </c>
      <c r="G971" s="5" t="s">
        <v>2079</v>
      </c>
      <c r="H971" s="5" t="s">
        <v>2866</v>
      </c>
      <c r="I971" s="5" t="s">
        <v>152</v>
      </c>
      <c r="J971" s="5" t="s">
        <v>2878</v>
      </c>
      <c r="K971" s="7" t="str">
        <f ca="1">IFERROR(__xludf.DUMMYFUNCTION("GOOGLETRANSLATE(H971,""EN"",""ES"")"),"ALFOMBRAS, TAPETES Y MOQUETAS")</f>
        <v>ALFOMBRAS, TAPETES Y MOQUETAS</v>
      </c>
      <c r="L971" s="5" t="str">
        <f ca="1">IFERROR(__xludf.DUMMYFUNCTION("GOOGLETRANSLATE(J971,""EN"",""ES"")"),"N / A")</f>
        <v>N / A</v>
      </c>
      <c r="M971" s="8" t="s">
        <v>15</v>
      </c>
      <c r="N971" s="8" t="s">
        <v>15</v>
      </c>
    </row>
    <row r="972" spans="1:14" ht="11.25" customHeight="1">
      <c r="A972" s="5" t="s">
        <v>2074</v>
      </c>
      <c r="B972" s="5" t="s">
        <v>2864</v>
      </c>
      <c r="C972" s="5" t="s">
        <v>2879</v>
      </c>
      <c r="D972" s="5" t="s">
        <v>2077</v>
      </c>
      <c r="E972" s="5" t="s">
        <v>14</v>
      </c>
      <c r="F972" s="5" t="s">
        <v>2078</v>
      </c>
      <c r="G972" s="5" t="s">
        <v>2079</v>
      </c>
      <c r="H972" s="5" t="s">
        <v>2866</v>
      </c>
      <c r="I972" s="5" t="s">
        <v>2880</v>
      </c>
      <c r="J972" s="5" t="s">
        <v>2881</v>
      </c>
      <c r="K972" s="7" t="str">
        <f ca="1">IFERROR(__xludf.DUMMYFUNCTION("GOOGLETRANSLATE(H972,""EN"",""ES"")"),"ALFOMBRAS, TAPETES Y MOQUETAS")</f>
        <v>ALFOMBRAS, TAPETES Y MOQUETAS</v>
      </c>
      <c r="L972" s="5" t="str">
        <f ca="1">IFERROR(__xludf.DUMMYFUNCTION("GOOGLETRANSLATE(J972,""EN"",""ES"")"),"Alfombras")</f>
        <v>Alfombras</v>
      </c>
      <c r="M972" s="8" t="s">
        <v>15</v>
      </c>
      <c r="N972" s="8" t="s">
        <v>15</v>
      </c>
    </row>
    <row r="973" spans="1:14" ht="11.25" customHeight="1">
      <c r="A973" s="5" t="s">
        <v>2074</v>
      </c>
      <c r="B973" s="5" t="s">
        <v>2864</v>
      </c>
      <c r="C973" s="5" t="s">
        <v>2882</v>
      </c>
      <c r="D973" s="5" t="s">
        <v>2077</v>
      </c>
      <c r="E973" s="5" t="s">
        <v>14</v>
      </c>
      <c r="F973" s="5" t="s">
        <v>2078</v>
      </c>
      <c r="G973" s="5" t="s">
        <v>2079</v>
      </c>
      <c r="H973" s="5" t="s">
        <v>2866</v>
      </c>
      <c r="I973" s="5" t="s">
        <v>2883</v>
      </c>
      <c r="J973" s="5" t="s">
        <v>2884</v>
      </c>
      <c r="K973" s="7" t="str">
        <f ca="1">IFERROR(__xludf.DUMMYFUNCTION("GOOGLETRANSLATE(H973,""EN"",""ES"")"),"ALFOMBRAS, TAPETES Y MOQUETAS")</f>
        <v>ALFOMBRAS, TAPETES Y MOQUETAS</v>
      </c>
      <c r="L973" s="5" t="str">
        <f ca="1">IFERROR(__xludf.DUMMYFUNCTION("GOOGLETRANSLATE(J973,""EN"",""ES"")"),"Alfombras")</f>
        <v>Alfombras</v>
      </c>
      <c r="M973" s="8" t="s">
        <v>15</v>
      </c>
      <c r="N973" s="8" t="s">
        <v>15</v>
      </c>
    </row>
    <row r="974" spans="1:14" ht="11.25" customHeight="1">
      <c r="A974" s="5" t="s">
        <v>2074</v>
      </c>
      <c r="B974" s="5" t="s">
        <v>2864</v>
      </c>
      <c r="C974" s="5" t="s">
        <v>2885</v>
      </c>
      <c r="D974" s="5" t="s">
        <v>2077</v>
      </c>
      <c r="E974" s="5" t="s">
        <v>14</v>
      </c>
      <c r="F974" s="5" t="s">
        <v>2078</v>
      </c>
      <c r="G974" s="5" t="s">
        <v>2079</v>
      </c>
      <c r="H974" s="5" t="s">
        <v>2866</v>
      </c>
      <c r="I974" s="5" t="s">
        <v>2886</v>
      </c>
      <c r="J974" s="5" t="s">
        <v>2887</v>
      </c>
      <c r="K974" s="7" t="str">
        <f ca="1">IFERROR(__xludf.DUMMYFUNCTION("GOOGLETRANSLATE(H974,""EN"",""ES"")"),"ALFOMBRAS, TAPETES Y MOQUETAS")</f>
        <v>ALFOMBRAS, TAPETES Y MOQUETAS</v>
      </c>
      <c r="L974" s="5" t="str">
        <f ca="1">IFERROR(__xludf.DUMMYFUNCTION("GOOGLETRANSLATE(J974,""EN"",""ES"")"),"Alfombras para automóviles")</f>
        <v>Alfombras para automóviles</v>
      </c>
      <c r="M974" s="8" t="s">
        <v>15</v>
      </c>
      <c r="N974" s="8" t="s">
        <v>15</v>
      </c>
    </row>
    <row r="975" spans="1:14" ht="11.25" customHeight="1">
      <c r="A975" s="5" t="s">
        <v>2074</v>
      </c>
      <c r="B975" s="5" t="s">
        <v>2864</v>
      </c>
      <c r="C975" s="5" t="s">
        <v>2888</v>
      </c>
      <c r="D975" s="5" t="s">
        <v>2077</v>
      </c>
      <c r="E975" s="5" t="s">
        <v>14</v>
      </c>
      <c r="F975" s="5" t="s">
        <v>2078</v>
      </c>
      <c r="G975" s="5" t="s">
        <v>2079</v>
      </c>
      <c r="H975" s="5" t="s">
        <v>2866</v>
      </c>
      <c r="I975" s="5" t="s">
        <v>2889</v>
      </c>
      <c r="J975" s="5" t="s">
        <v>2890</v>
      </c>
      <c r="K975" s="7" t="str">
        <f ca="1">IFERROR(__xludf.DUMMYFUNCTION("GOOGLETRANSLATE(H975,""EN"",""ES"")"),"ALFOMBRAS, TAPETES Y MOQUETAS")</f>
        <v>ALFOMBRAS, TAPETES Y MOQUETAS</v>
      </c>
      <c r="L975" s="5" t="str">
        <f ca="1">IFERROR(__xludf.DUMMYFUNCTION("GOOGLETRANSLATE(J975,""EN"",""ES"")"),"Alfombras antideslizantes para bañeras y platos de ducha")</f>
        <v>Alfombras antideslizantes para bañeras y platos de ducha</v>
      </c>
      <c r="M975" s="8" t="s">
        <v>15</v>
      </c>
      <c r="N975" s="8" t="s">
        <v>15</v>
      </c>
    </row>
    <row r="976" spans="1:14" ht="11.25" customHeight="1">
      <c r="A976" s="5" t="s">
        <v>2074</v>
      </c>
      <c r="B976" s="5" t="s">
        <v>2864</v>
      </c>
      <c r="C976" s="5" t="s">
        <v>2891</v>
      </c>
      <c r="D976" s="5" t="s">
        <v>2077</v>
      </c>
      <c r="E976" s="5" t="s">
        <v>14</v>
      </c>
      <c r="F976" s="5" t="s">
        <v>2078</v>
      </c>
      <c r="G976" s="5" t="s">
        <v>2079</v>
      </c>
      <c r="H976" s="5" t="s">
        <v>2866</v>
      </c>
      <c r="I976" s="5" t="s">
        <v>2892</v>
      </c>
      <c r="J976" s="5" t="s">
        <v>2893</v>
      </c>
      <c r="K976" s="7" t="str">
        <f ca="1">IFERROR(__xludf.DUMMYFUNCTION("GOOGLETRANSLATE(H976,""EN"",""ES"")"),"ALFOMBRAS, TAPETES Y MOQUETAS")</f>
        <v>ALFOMBRAS, TAPETES Y MOQUETAS</v>
      </c>
      <c r="L976" s="5" t="str">
        <f ca="1">IFERROR(__xludf.DUMMYFUNCTION("GOOGLETRANSLATE(J976,""EN"",""ES"")"),"Alfombras antideslizantes")</f>
        <v>Alfombras antideslizantes</v>
      </c>
      <c r="M976" s="8" t="s">
        <v>15</v>
      </c>
      <c r="N976" s="8" t="s">
        <v>15</v>
      </c>
    </row>
    <row r="977" spans="1:14" ht="11.25" customHeight="1">
      <c r="A977" s="5" t="s">
        <v>2074</v>
      </c>
      <c r="B977" s="5" t="s">
        <v>2864</v>
      </c>
      <c r="C977" s="5" t="s">
        <v>2894</v>
      </c>
      <c r="D977" s="5" t="s">
        <v>2077</v>
      </c>
      <c r="E977" s="5" t="s">
        <v>14</v>
      </c>
      <c r="F977" s="5" t="s">
        <v>2078</v>
      </c>
      <c r="G977" s="5" t="s">
        <v>2079</v>
      </c>
      <c r="H977" s="5" t="s">
        <v>2866</v>
      </c>
      <c r="I977" s="5" t="s">
        <v>2895</v>
      </c>
      <c r="J977" s="5" t="s">
        <v>2896</v>
      </c>
      <c r="K977" s="7" t="str">
        <f ca="1">IFERROR(__xludf.DUMMYFUNCTION("GOOGLETRANSLATE(H977,""EN"",""ES"")"),"ALFOMBRAS, TAPETES Y MOQUETAS")</f>
        <v>ALFOMBRAS, TAPETES Y MOQUETAS</v>
      </c>
      <c r="L977" s="5" t="str">
        <f ca="1">IFERROR(__xludf.DUMMYFUNCTION("GOOGLETRANSLATE(J977,""EN"",""ES"")"),"colchonetas para deportes")</f>
        <v>colchonetas para deportes</v>
      </c>
      <c r="M977" s="8" t="s">
        <v>15</v>
      </c>
      <c r="N977" s="8" t="s">
        <v>15</v>
      </c>
    </row>
    <row r="978" spans="1:14" ht="11.25" customHeight="1">
      <c r="A978" s="5" t="s">
        <v>2074</v>
      </c>
      <c r="B978" s="5" t="s">
        <v>2864</v>
      </c>
      <c r="C978" s="5" t="s">
        <v>2897</v>
      </c>
      <c r="D978" s="5" t="s">
        <v>2077</v>
      </c>
      <c r="E978" s="5" t="s">
        <v>14</v>
      </c>
      <c r="F978" s="5" t="s">
        <v>2078</v>
      </c>
      <c r="G978" s="5" t="s">
        <v>2079</v>
      </c>
      <c r="H978" s="5" t="s">
        <v>2866</v>
      </c>
      <c r="I978" s="5" t="s">
        <v>2898</v>
      </c>
      <c r="J978" s="5" t="s">
        <v>2899</v>
      </c>
      <c r="K978" s="7" t="str">
        <f ca="1">IFERROR(__xludf.DUMMYFUNCTION("GOOGLETRANSLATE(H978,""EN"",""ES"")"),"ALFOMBRAS, TAPETES Y MOQUETAS")</f>
        <v>ALFOMBRAS, TAPETES Y MOQUETAS</v>
      </c>
      <c r="L978" s="5" t="str">
        <f ca="1">IFERROR(__xludf.DUMMYFUNCTION("GOOGLETRANSLATE(J978,""EN"",""ES"")"),"Alfombras de baño")</f>
        <v>Alfombras de baño</v>
      </c>
      <c r="M978" s="8" t="s">
        <v>15</v>
      </c>
      <c r="N978" s="8" t="s">
        <v>15</v>
      </c>
    </row>
    <row r="979" spans="1:14" ht="11.25" customHeight="1">
      <c r="A979" s="5" t="s">
        <v>2074</v>
      </c>
      <c r="B979" s="5" t="s">
        <v>2900</v>
      </c>
      <c r="C979" s="5" t="s">
        <v>2901</v>
      </c>
      <c r="D979" s="5" t="s">
        <v>2077</v>
      </c>
      <c r="E979" s="5" t="s">
        <v>14</v>
      </c>
      <c r="F979" s="5" t="s">
        <v>2078</v>
      </c>
      <c r="G979" s="5" t="s">
        <v>2079</v>
      </c>
      <c r="H979" s="5" t="s">
        <v>2902</v>
      </c>
      <c r="I979" s="5" t="s">
        <v>2903</v>
      </c>
      <c r="J979" s="5" t="s">
        <v>2904</v>
      </c>
      <c r="K979" s="7" t="str">
        <f ca="1">IFERROR(__xludf.DUMMYFUNCTION("GOOGLETRANSLATE(H979,""EN"",""ES"")"),"TAPICES")</f>
        <v>TAPICES</v>
      </c>
      <c r="L979" s="5" t="str">
        <f ca="1">IFERROR(__xludf.DUMMYFUNCTION("GOOGLETRANSLATE(J979,""EN"",""ES"")"),"Tapices [bordados o tejidos]")</f>
        <v>Tapices [bordados o tejidos]</v>
      </c>
      <c r="M979" s="8" t="s">
        <v>15</v>
      </c>
      <c r="N979" s="8" t="s">
        <v>15</v>
      </c>
    </row>
    <row r="980" spans="1:14" ht="11.25" customHeight="1">
      <c r="A980" s="5" t="s">
        <v>2074</v>
      </c>
      <c r="B980" s="5" t="s">
        <v>2905</v>
      </c>
      <c r="C980" s="5" t="s">
        <v>2906</v>
      </c>
      <c r="D980" s="5" t="s">
        <v>2077</v>
      </c>
      <c r="E980" s="5" t="s">
        <v>14</v>
      </c>
      <c r="F980" s="5" t="s">
        <v>2078</v>
      </c>
      <c r="G980" s="5" t="s">
        <v>2079</v>
      </c>
      <c r="H980" s="5" t="s">
        <v>2907</v>
      </c>
      <c r="I980" s="5" t="s">
        <v>2908</v>
      </c>
      <c r="J980" s="5" t="s">
        <v>2909</v>
      </c>
      <c r="K980" s="7" t="str">
        <f ca="1">IFERROR(__xludf.DUMMYFUNCTION("GOOGLETRANSLATE(H980,""EN"",""ES"")"),"MANTAS Y OTROS MATERIALES DE COBERTURA, ROPA DE HOGAR Y PAÑOS")</f>
        <v>MANTAS Y OTROS MATERIALES DE COBERTURA, ROPA DE HOGAR Y PAÑOS</v>
      </c>
      <c r="L980" s="5" t="str">
        <f ca="1">IFERROR(__xludf.DUMMYFUNCTION("GOOGLETRANSLATE(J980,""EN"",""ES"")"),"Sábanas [para camas de enfermos]")</f>
        <v>Sábanas [para camas de enfermos]</v>
      </c>
      <c r="M980" s="8" t="s">
        <v>15</v>
      </c>
      <c r="N980" s="8" t="s">
        <v>15</v>
      </c>
    </row>
    <row r="981" spans="1:14" ht="11.25" customHeight="1">
      <c r="A981" s="5" t="s">
        <v>2074</v>
      </c>
      <c r="B981" s="5" t="s">
        <v>2905</v>
      </c>
      <c r="C981" s="5" t="s">
        <v>2906</v>
      </c>
      <c r="D981" s="5" t="s">
        <v>2077</v>
      </c>
      <c r="E981" s="5" t="s">
        <v>14</v>
      </c>
      <c r="F981" s="5" t="s">
        <v>2078</v>
      </c>
      <c r="G981" s="5" t="s">
        <v>2079</v>
      </c>
      <c r="H981" s="5" t="s">
        <v>2907</v>
      </c>
      <c r="I981" s="5" t="s">
        <v>152</v>
      </c>
      <c r="J981" s="5" t="s">
        <v>2910</v>
      </c>
      <c r="K981" s="7" t="str">
        <f ca="1">IFERROR(__xludf.DUMMYFUNCTION("GOOGLETRANSLATE(H981,""EN"",""ES"")"),"MANTAS Y OTROS MATERIALES DE COBERTURA, ROPA DE HOGAR Y PAÑOS")</f>
        <v>MANTAS Y OTROS MATERIALES DE COBERTURA, ROPA DE HOGAR Y PAÑOS</v>
      </c>
      <c r="L981" s="5" t="str">
        <f ca="1">IFERROR(__xludf.DUMMYFUNCTION("GOOGLETRANSLATE(J981,""EN"",""ES"")"),"N / A")</f>
        <v>N / A</v>
      </c>
      <c r="M981" s="8" t="s">
        <v>15</v>
      </c>
      <c r="N981" s="8" t="s">
        <v>15</v>
      </c>
    </row>
    <row r="982" spans="1:14" ht="11.25" customHeight="1">
      <c r="A982" s="5" t="s">
        <v>2074</v>
      </c>
      <c r="B982" s="5" t="s">
        <v>2905</v>
      </c>
      <c r="C982" s="5" t="s">
        <v>2911</v>
      </c>
      <c r="D982" s="5" t="s">
        <v>2077</v>
      </c>
      <c r="E982" s="5" t="s">
        <v>14</v>
      </c>
      <c r="F982" s="5" t="s">
        <v>2078</v>
      </c>
      <c r="G982" s="5" t="s">
        <v>2079</v>
      </c>
      <c r="H982" s="5" t="s">
        <v>2907</v>
      </c>
      <c r="I982" s="5" t="s">
        <v>2912</v>
      </c>
      <c r="J982" s="5" t="s">
        <v>2913</v>
      </c>
      <c r="K982" s="7" t="str">
        <f ca="1">IFERROR(__xludf.DUMMYFUNCTION("GOOGLETRANSLATE(H982,""EN"",""ES"")"),"MANTAS Y OTROS MATERIALES DE COBERTURA, ROPA DE HOGAR Y PAÑOS")</f>
        <v>MANTAS Y OTROS MATERIALES DE COBERTURA, ROPA DE HOGAR Y PAÑOS</v>
      </c>
      <c r="L982" s="5" t="str">
        <f ca="1">IFERROR(__xludf.DUMMYFUNCTION("GOOGLETRANSLATE(J982,""EN"",""ES"")"),"Colchas")</f>
        <v>Colchas</v>
      </c>
      <c r="M982" s="8" t="s">
        <v>15</v>
      </c>
      <c r="N982" s="8" t="s">
        <v>15</v>
      </c>
    </row>
    <row r="983" spans="1:14" ht="11.25" customHeight="1">
      <c r="A983" s="5" t="s">
        <v>2074</v>
      </c>
      <c r="B983" s="5" t="s">
        <v>2905</v>
      </c>
      <c r="C983" s="5" t="s">
        <v>2914</v>
      </c>
      <c r="D983" s="5" t="s">
        <v>2077</v>
      </c>
      <c r="E983" s="5" t="s">
        <v>14</v>
      </c>
      <c r="F983" s="5" t="s">
        <v>2078</v>
      </c>
      <c r="G983" s="5" t="s">
        <v>2079</v>
      </c>
      <c r="H983" s="5" t="s">
        <v>2907</v>
      </c>
      <c r="I983" s="5" t="s">
        <v>2915</v>
      </c>
      <c r="J983" s="5" t="s">
        <v>2916</v>
      </c>
      <c r="K983" s="7" t="str">
        <f ca="1">IFERROR(__xludf.DUMMYFUNCTION("GOOGLETRANSLATE(H983,""EN"",""ES"")"),"MANTAS Y OTROS MATERIALES DE COBERTURA, ROPA DE HOGAR Y PAÑOS")</f>
        <v>MANTAS Y OTROS MATERIALES DE COBERTURA, ROPA DE HOGAR Y PAÑOS</v>
      </c>
      <c r="L983" s="5" t="str">
        <f ca="1">IFERROR(__xludf.DUMMYFUNCTION("GOOGLETRANSLATE(J983,""EN"",""ES"")"),"mantas electricas")</f>
        <v>mantas electricas</v>
      </c>
      <c r="M983" s="8" t="s">
        <v>15</v>
      </c>
      <c r="N983" s="8" t="s">
        <v>15</v>
      </c>
    </row>
    <row r="984" spans="1:14" ht="11.25" customHeight="1">
      <c r="A984" s="5" t="s">
        <v>2074</v>
      </c>
      <c r="B984" s="5" t="s">
        <v>2905</v>
      </c>
      <c r="C984" s="5" t="s">
        <v>2917</v>
      </c>
      <c r="D984" s="5" t="s">
        <v>2077</v>
      </c>
      <c r="E984" s="5" t="s">
        <v>14</v>
      </c>
      <c r="F984" s="5" t="s">
        <v>2078</v>
      </c>
      <c r="G984" s="5" t="s">
        <v>2079</v>
      </c>
      <c r="H984" s="5" t="s">
        <v>2907</v>
      </c>
      <c r="I984" s="5" t="s">
        <v>2918</v>
      </c>
      <c r="J984" s="5" t="s">
        <v>2919</v>
      </c>
      <c r="K984" s="7" t="str">
        <f ca="1">IFERROR(__xludf.DUMMYFUNCTION("GOOGLETRANSLATE(H984,""EN"",""ES"")"),"MANTAS Y OTROS MATERIALES DE COBERTURA, ROPA DE HOGAR Y PAÑOS")</f>
        <v>MANTAS Y OTROS MATERIALES DE COBERTURA, ROPA DE HOGAR Y PAÑOS</v>
      </c>
      <c r="L984" s="5" t="str">
        <f ca="1">IFERROR(__xludf.DUMMYFUNCTION("GOOGLETRANSLATE(J984,""EN"",""ES"")"),"Edredones")</f>
        <v>Edredones</v>
      </c>
      <c r="M984" s="8" t="s">
        <v>15</v>
      </c>
      <c r="N984" s="8" t="s">
        <v>15</v>
      </c>
    </row>
    <row r="985" spans="1:14" ht="11.25" customHeight="1">
      <c r="A985" s="5" t="s">
        <v>2074</v>
      </c>
      <c r="B985" s="5" t="s">
        <v>2905</v>
      </c>
      <c r="C985" s="5" t="s">
        <v>2920</v>
      </c>
      <c r="D985" s="5" t="s">
        <v>2077</v>
      </c>
      <c r="E985" s="5" t="s">
        <v>14</v>
      </c>
      <c r="F985" s="5" t="s">
        <v>2078</v>
      </c>
      <c r="G985" s="5" t="s">
        <v>2079</v>
      </c>
      <c r="H985" s="5" t="s">
        <v>2907</v>
      </c>
      <c r="I985" s="5" t="s">
        <v>2921</v>
      </c>
      <c r="J985" s="5" t="s">
        <v>2922</v>
      </c>
      <c r="K985" s="7" t="str">
        <f ca="1">IFERROR(__xludf.DUMMYFUNCTION("GOOGLETRANSLATE(H985,""EN"",""ES"")"),"MANTAS Y OTROS MATERIALES DE COBERTURA, ROPA DE HOGAR Y PAÑOS")</f>
        <v>MANTAS Y OTROS MATERIALES DE COBERTURA, ROPA DE HOGAR Y PAÑOS</v>
      </c>
      <c r="L985" s="5" t="str">
        <f ca="1">IFERROR(__xludf.DUMMYFUNCTION("GOOGLETRANSLATE(J985,""EN"",""ES"")"),"Mantas")</f>
        <v>Mantas</v>
      </c>
      <c r="M985" s="8" t="s">
        <v>15</v>
      </c>
      <c r="N985" s="8" t="s">
        <v>15</v>
      </c>
    </row>
    <row r="986" spans="1:14" ht="11.25" customHeight="1">
      <c r="A986" s="5" t="s">
        <v>2074</v>
      </c>
      <c r="B986" s="5" t="s">
        <v>2905</v>
      </c>
      <c r="C986" s="5" t="s">
        <v>2923</v>
      </c>
      <c r="D986" s="5" t="s">
        <v>2077</v>
      </c>
      <c r="E986" s="5" t="s">
        <v>14</v>
      </c>
      <c r="F986" s="5" t="s">
        <v>2078</v>
      </c>
      <c r="G986" s="5" t="s">
        <v>2079</v>
      </c>
      <c r="H986" s="5" t="s">
        <v>2907</v>
      </c>
      <c r="I986" s="5" t="s">
        <v>2924</v>
      </c>
      <c r="J986" s="5" t="s">
        <v>2925</v>
      </c>
      <c r="K986" s="7" t="str">
        <f ca="1">IFERROR(__xludf.DUMMYFUNCTION("GOOGLETRANSLATE(H986,""EN"",""ES"")"),"MANTAS Y OTROS MATERIALES DE COBERTURA, ROPA DE HOGAR Y PAÑOS")</f>
        <v>MANTAS Y OTROS MATERIALES DE COBERTURA, ROPA DE HOGAR Y PAÑOS</v>
      </c>
      <c r="L986" s="5" t="str">
        <f ca="1">IFERROR(__xludf.DUMMYFUNCTION("GOOGLETRANSLATE(J986,""EN"",""ES"")"),"Colchas")</f>
        <v>Colchas</v>
      </c>
      <c r="M986" s="8" t="s">
        <v>15</v>
      </c>
      <c r="N986" s="8" t="s">
        <v>15</v>
      </c>
    </row>
    <row r="987" spans="1:14" ht="11.25" customHeight="1">
      <c r="A987" s="5" t="s">
        <v>2074</v>
      </c>
      <c r="B987" s="5" t="s">
        <v>2905</v>
      </c>
      <c r="C987" s="5" t="s">
        <v>2926</v>
      </c>
      <c r="D987" s="5" t="s">
        <v>2077</v>
      </c>
      <c r="E987" s="5" t="s">
        <v>14</v>
      </c>
      <c r="F987" s="5" t="s">
        <v>2078</v>
      </c>
      <c r="G987" s="5" t="s">
        <v>2079</v>
      </c>
      <c r="H987" s="5" t="s">
        <v>2907</v>
      </c>
      <c r="I987" s="5" t="s">
        <v>2927</v>
      </c>
      <c r="J987" s="5" t="s">
        <v>2928</v>
      </c>
      <c r="K987" s="7" t="str">
        <f ca="1">IFERROR(__xludf.DUMMYFUNCTION("GOOGLETRANSLATE(H987,""EN"",""ES"")"),"MANTAS Y OTROS MATERIALES DE COBERTURA, ROPA DE HOGAR Y PAÑOS")</f>
        <v>MANTAS Y OTROS MATERIALES DE COBERTURA, ROPA DE HOGAR Y PAÑOS</v>
      </c>
      <c r="L987" s="5" t="str">
        <f ca="1">IFERROR(__xludf.DUMMYFUNCTION("GOOGLETRANSLATE(J987,""EN"",""ES"")"),"Sábanas")</f>
        <v>Sábanas</v>
      </c>
      <c r="M987" s="8" t="s">
        <v>15</v>
      </c>
      <c r="N987" s="8" t="s">
        <v>15</v>
      </c>
    </row>
    <row r="988" spans="1:14" ht="11.25" customHeight="1">
      <c r="A988" s="5" t="s">
        <v>2074</v>
      </c>
      <c r="B988" s="5" t="s">
        <v>2905</v>
      </c>
      <c r="C988" s="5" t="s">
        <v>2929</v>
      </c>
      <c r="D988" s="5" t="s">
        <v>2077</v>
      </c>
      <c r="E988" s="5" t="s">
        <v>14</v>
      </c>
      <c r="F988" s="5" t="s">
        <v>2078</v>
      </c>
      <c r="G988" s="5" t="s">
        <v>2079</v>
      </c>
      <c r="H988" s="5" t="s">
        <v>2907</v>
      </c>
      <c r="I988" s="5" t="s">
        <v>2930</v>
      </c>
      <c r="J988" s="5" t="s">
        <v>2931</v>
      </c>
      <c r="K988" s="7" t="str">
        <f ca="1">IFERROR(__xludf.DUMMYFUNCTION("GOOGLETRANSLATE(H988,""EN"",""ES"")"),"MANTAS Y OTROS MATERIALES DE COBERTURA, ROPA DE HOGAR Y PAÑOS")</f>
        <v>MANTAS Y OTROS MATERIALES DE COBERTURA, ROPA DE HOGAR Y PAÑOS</v>
      </c>
      <c r="L988" s="5" t="str">
        <f ca="1">IFERROR(__xludf.DUMMYFUNCTION("GOOGLETRANSLATE(J988,""EN"",""ES"")"),"Edredones")</f>
        <v>Edredones</v>
      </c>
      <c r="M988" s="8" t="s">
        <v>15</v>
      </c>
      <c r="N988" s="8" t="s">
        <v>15</v>
      </c>
    </row>
    <row r="989" spans="1:14" ht="11.25" customHeight="1">
      <c r="A989" s="5" t="s">
        <v>2074</v>
      </c>
      <c r="B989" s="5" t="s">
        <v>2905</v>
      </c>
      <c r="C989" s="5" t="s">
        <v>2932</v>
      </c>
      <c r="D989" s="5" t="s">
        <v>2077</v>
      </c>
      <c r="E989" s="5" t="s">
        <v>14</v>
      </c>
      <c r="F989" s="5" t="s">
        <v>2078</v>
      </c>
      <c r="G989" s="5" t="s">
        <v>2079</v>
      </c>
      <c r="H989" s="5" t="s">
        <v>2907</v>
      </c>
      <c r="I989" s="5" t="s">
        <v>2933</v>
      </c>
      <c r="J989" s="5" t="s">
        <v>2934</v>
      </c>
      <c r="K989" s="7" t="str">
        <f ca="1">IFERROR(__xludf.DUMMYFUNCTION("GOOGLETRANSLATE(H989,""EN"",""ES"")"),"MANTAS Y OTROS MATERIALES DE COBERTURA, ROPA DE HOGAR Y PAÑOS")</f>
        <v>MANTAS Y OTROS MATERIALES DE COBERTURA, ROPA DE HOGAR Y PAÑOS</v>
      </c>
      <c r="L989" s="5" t="str">
        <f ca="1">IFERROR(__xludf.DUMMYFUNCTION("GOOGLETRANSLATE(J989,""EN"",""ES"")"),"toallas")</f>
        <v>toallas</v>
      </c>
      <c r="M989" s="8" t="s">
        <v>15</v>
      </c>
      <c r="N989" s="8" t="s">
        <v>15</v>
      </c>
    </row>
    <row r="990" spans="1:14" ht="11.25" customHeight="1">
      <c r="A990" s="5" t="s">
        <v>2074</v>
      </c>
      <c r="B990" s="5" t="s">
        <v>2905</v>
      </c>
      <c r="C990" s="5" t="s">
        <v>2935</v>
      </c>
      <c r="D990" s="5" t="s">
        <v>2077</v>
      </c>
      <c r="E990" s="5" t="s">
        <v>14</v>
      </c>
      <c r="F990" s="5" t="s">
        <v>2078</v>
      </c>
      <c r="G990" s="5" t="s">
        <v>2079</v>
      </c>
      <c r="H990" s="5" t="s">
        <v>2907</v>
      </c>
      <c r="I990" s="5" t="s">
        <v>2936</v>
      </c>
      <c r="J990" s="5" t="s">
        <v>2937</v>
      </c>
      <c r="K990" s="7" t="str">
        <f ca="1">IFERROR(__xludf.DUMMYFUNCTION("GOOGLETRANSLATE(H990,""EN"",""ES"")"),"MANTAS Y OTROS MATERIALES DE COBERTURA, ROPA DE HOGAR Y PAÑOS")</f>
        <v>MANTAS Y OTROS MATERIALES DE COBERTURA, ROPA DE HOGAR Y PAÑOS</v>
      </c>
      <c r="L990" s="5" t="str">
        <f ca="1">IFERROR(__xludf.DUMMYFUNCTION("GOOGLETRANSLATE(J990,""EN"",""ES"")"),"Fundas [sueltas] para muebles")</f>
        <v>Fundas [sueltas] para muebles</v>
      </c>
      <c r="M990" s="8" t="s">
        <v>15</v>
      </c>
      <c r="N990" s="8" t="s">
        <v>15</v>
      </c>
    </row>
    <row r="991" spans="1:14" ht="11.25" customHeight="1">
      <c r="A991" s="5" t="s">
        <v>2074</v>
      </c>
      <c r="B991" s="5" t="s">
        <v>2905</v>
      </c>
      <c r="C991" s="5" t="s">
        <v>2935</v>
      </c>
      <c r="D991" s="5" t="s">
        <v>2077</v>
      </c>
      <c r="E991" s="5" t="s">
        <v>14</v>
      </c>
      <c r="F991" s="5" t="s">
        <v>2078</v>
      </c>
      <c r="G991" s="5" t="s">
        <v>2079</v>
      </c>
      <c r="H991" s="5" t="s">
        <v>2907</v>
      </c>
      <c r="I991" s="5" t="s">
        <v>152</v>
      </c>
      <c r="J991" s="5" t="s">
        <v>2938</v>
      </c>
      <c r="K991" s="7" t="str">
        <f ca="1">IFERROR(__xludf.DUMMYFUNCTION("GOOGLETRANSLATE(H991,""EN"",""ES"")"),"MANTAS Y OTROS MATERIALES DE COBERTURA, ROPA DE HOGAR Y PAÑOS")</f>
        <v>MANTAS Y OTROS MATERIALES DE COBERTURA, ROPA DE HOGAR Y PAÑOS</v>
      </c>
      <c r="L991" s="5" t="str">
        <f ca="1">IFERROR(__xludf.DUMMYFUNCTION("GOOGLETRANSLATE(J991,""EN"",""ES"")"),"N / A")</f>
        <v>N / A</v>
      </c>
      <c r="M991" s="8" t="s">
        <v>15</v>
      </c>
      <c r="N991" s="8" t="s">
        <v>15</v>
      </c>
    </row>
    <row r="992" spans="1:14" ht="11.25" customHeight="1">
      <c r="A992" s="5" t="s">
        <v>2074</v>
      </c>
      <c r="B992" s="5" t="s">
        <v>2905</v>
      </c>
      <c r="C992" s="5" t="s">
        <v>2939</v>
      </c>
      <c r="D992" s="5" t="s">
        <v>2077</v>
      </c>
      <c r="E992" s="5" t="s">
        <v>14</v>
      </c>
      <c r="F992" s="5" t="s">
        <v>2078</v>
      </c>
      <c r="G992" s="5" t="s">
        <v>2079</v>
      </c>
      <c r="H992" s="5" t="s">
        <v>2907</v>
      </c>
      <c r="I992" s="5" t="s">
        <v>2940</v>
      </c>
      <c r="J992" s="5" t="s">
        <v>2941</v>
      </c>
      <c r="K992" s="7" t="str">
        <f ca="1">IFERROR(__xludf.DUMMYFUNCTION("GOOGLETRANSLATE(H992,""EN"",""ES"")"),"MANTAS Y OTROS MATERIALES DE COBERTURA, ROPA DE HOGAR Y PAÑOS")</f>
        <v>MANTAS Y OTROS MATERIALES DE COBERTURA, ROPA DE HOGAR Y PAÑOS</v>
      </c>
      <c r="L992" s="5" t="str">
        <f ca="1">IFERROR(__xludf.DUMMYFUNCTION("GOOGLETRANSLATE(J992,""EN"",""ES"")"),"Fundas para ropa")</f>
        <v>Fundas para ropa</v>
      </c>
      <c r="M992" s="8" t="s">
        <v>15</v>
      </c>
      <c r="N992" s="8" t="s">
        <v>15</v>
      </c>
    </row>
    <row r="993" spans="1:14" ht="11.25" customHeight="1">
      <c r="A993" s="5" t="s">
        <v>2074</v>
      </c>
      <c r="B993" s="5" t="s">
        <v>2905</v>
      </c>
      <c r="C993" s="5" t="s">
        <v>2942</v>
      </c>
      <c r="D993" s="5" t="s">
        <v>2077</v>
      </c>
      <c r="E993" s="5" t="s">
        <v>14</v>
      </c>
      <c r="F993" s="5" t="s">
        <v>2078</v>
      </c>
      <c r="G993" s="5" t="s">
        <v>2079</v>
      </c>
      <c r="H993" s="5" t="s">
        <v>2907</v>
      </c>
      <c r="I993" s="5" t="s">
        <v>2943</v>
      </c>
      <c r="J993" s="5" t="s">
        <v>2944</v>
      </c>
      <c r="K993" s="7" t="str">
        <f ca="1">IFERROR(__xludf.DUMMYFUNCTION("GOOGLETRANSLATE(H993,""EN"",""ES"")"),"MANTAS Y OTROS MATERIALES DE COBERTURA, ROPA DE HOGAR Y PAÑOS")</f>
        <v>MANTAS Y OTROS MATERIALES DE COBERTURA, ROPA DE HOGAR Y PAÑOS</v>
      </c>
      <c r="L993" s="5" t="str">
        <f ca="1">IFERROR(__xludf.DUMMYFUNCTION("GOOGLETRANSLATE(J993,""EN"",""ES"")"),"Ropa de hogar")</f>
        <v>Ropa de hogar</v>
      </c>
      <c r="M993" s="8" t="s">
        <v>15</v>
      </c>
      <c r="N993" s="8" t="s">
        <v>15</v>
      </c>
    </row>
    <row r="994" spans="1:14" ht="11.25" customHeight="1">
      <c r="A994" s="5" t="s">
        <v>2074</v>
      </c>
      <c r="B994" s="5" t="s">
        <v>2905</v>
      </c>
      <c r="C994" s="5" t="s">
        <v>2945</v>
      </c>
      <c r="D994" s="5" t="s">
        <v>2077</v>
      </c>
      <c r="E994" s="5" t="s">
        <v>14</v>
      </c>
      <c r="F994" s="5" t="s">
        <v>2078</v>
      </c>
      <c r="G994" s="5" t="s">
        <v>2079</v>
      </c>
      <c r="H994" s="5" t="s">
        <v>2907</v>
      </c>
      <c r="I994" s="5" t="s">
        <v>2946</v>
      </c>
      <c r="J994" s="5" t="s">
        <v>2947</v>
      </c>
      <c r="K994" s="7" t="str">
        <f ca="1">IFERROR(__xludf.DUMMYFUNCTION("GOOGLETRANSLATE(H994,""EN"",""ES"")"),"MANTAS Y OTROS MATERIALES DE COBERTURA, ROPA DE HOGAR Y PAÑOS")</f>
        <v>MANTAS Y OTROS MATERIALES DE COBERTURA, ROPA DE HOGAR Y PAÑOS</v>
      </c>
      <c r="L994" s="5" t="str">
        <f ca="1">IFERROR(__xludf.DUMMYFUNCTION("GOOGLETRANSLATE(J994,""EN"",""ES"")"),"Mantelería")</f>
        <v>Mantelería</v>
      </c>
      <c r="M994" s="8" t="s">
        <v>15</v>
      </c>
      <c r="N994" s="8" t="s">
        <v>15</v>
      </c>
    </row>
    <row r="995" spans="1:14" ht="11.25" customHeight="1">
      <c r="A995" s="5" t="s">
        <v>2074</v>
      </c>
      <c r="B995" s="5" t="s">
        <v>2905</v>
      </c>
      <c r="C995" s="5" t="s">
        <v>2948</v>
      </c>
      <c r="D995" s="5" t="s">
        <v>2077</v>
      </c>
      <c r="E995" s="5" t="s">
        <v>14</v>
      </c>
      <c r="F995" s="5" t="s">
        <v>2078</v>
      </c>
      <c r="G995" s="5" t="s">
        <v>2079</v>
      </c>
      <c r="H995" s="5" t="s">
        <v>2907</v>
      </c>
      <c r="I995" s="5" t="s">
        <v>2949</v>
      </c>
      <c r="J995" s="5" t="s">
        <v>2950</v>
      </c>
      <c r="K995" s="7" t="str">
        <f ca="1">IFERROR(__xludf.DUMMYFUNCTION("GOOGLETRANSLATE(H995,""EN"",""ES"")"),"MANTAS Y OTROS MATERIALES DE COBERTURA, ROPA DE HOGAR Y PAÑOS")</f>
        <v>MANTAS Y OTROS MATERIALES DE COBERTURA, ROPA DE HOGAR Y PAÑOS</v>
      </c>
      <c r="L995" s="5" t="str">
        <f ca="1">IFERROR(__xludf.DUMMYFUNCTION("GOOGLETRANSLATE(J995,""EN"",""ES"")"),"tapetes")</f>
        <v>tapetes</v>
      </c>
      <c r="M995" s="8" t="s">
        <v>15</v>
      </c>
      <c r="N995" s="8" t="s">
        <v>15</v>
      </c>
    </row>
    <row r="996" spans="1:14" ht="11.25" customHeight="1">
      <c r="A996" s="5" t="s">
        <v>2074</v>
      </c>
      <c r="B996" s="5" t="s">
        <v>2905</v>
      </c>
      <c r="C996" s="5" t="s">
        <v>2951</v>
      </c>
      <c r="D996" s="5" t="s">
        <v>2077</v>
      </c>
      <c r="E996" s="5" t="s">
        <v>14</v>
      </c>
      <c r="F996" s="5" t="s">
        <v>2078</v>
      </c>
      <c r="G996" s="5" t="s">
        <v>2079</v>
      </c>
      <c r="H996" s="5" t="s">
        <v>2907</v>
      </c>
      <c r="I996" s="5" t="s">
        <v>2952</v>
      </c>
      <c r="J996" s="5" t="s">
        <v>2953</v>
      </c>
      <c r="K996" s="7" t="str">
        <f ca="1">IFERROR(__xludf.DUMMYFUNCTION("GOOGLETRANSLATE(H996,""EN"",""ES"")"),"MANTAS Y OTROS MATERIALES DE COBERTURA, ROPA DE HOGAR Y PAÑOS")</f>
        <v>MANTAS Y OTROS MATERIALES DE COBERTURA, ROPA DE HOGAR Y PAÑOS</v>
      </c>
      <c r="L996" s="5" t="str">
        <f ca="1">IFERROR(__xludf.DUMMYFUNCTION("GOOGLETRANSLATE(J996,""EN"",""ES"")"),"Manteles")</f>
        <v>Manteles</v>
      </c>
      <c r="M996" s="8" t="s">
        <v>15</v>
      </c>
      <c r="N996" s="8" t="s">
        <v>15</v>
      </c>
    </row>
    <row r="997" spans="1:14" ht="11.25" customHeight="1">
      <c r="A997" s="5" t="s">
        <v>2074</v>
      </c>
      <c r="B997" s="5" t="s">
        <v>2905</v>
      </c>
      <c r="C997" s="5" t="s">
        <v>2954</v>
      </c>
      <c r="D997" s="5" t="s">
        <v>2077</v>
      </c>
      <c r="E997" s="5" t="s">
        <v>14</v>
      </c>
      <c r="F997" s="5" t="s">
        <v>2078</v>
      </c>
      <c r="G997" s="5" t="s">
        <v>2079</v>
      </c>
      <c r="H997" s="5" t="s">
        <v>2907</v>
      </c>
      <c r="I997" s="5" t="s">
        <v>2955</v>
      </c>
      <c r="J997" s="5" t="s">
        <v>2956</v>
      </c>
      <c r="K997" s="7" t="str">
        <f ca="1">IFERROR(__xludf.DUMMYFUNCTION("GOOGLETRANSLATE(H997,""EN"",""ES"")"),"MANTAS Y OTROS MATERIALES DE COBERTURA, ROPA DE HOGAR Y PAÑOS")</f>
        <v>MANTAS Y OTROS MATERIALES DE COBERTURA, ROPA DE HOGAR Y PAÑOS</v>
      </c>
      <c r="L997" s="5" t="str">
        <f ca="1">IFERROR(__xludf.DUMMYFUNCTION("GOOGLETRANSLATE(J997,""EN"",""ES"")"),"Servilletas [ropa de mesa]")</f>
        <v>Servilletas [ropa de mesa]</v>
      </c>
      <c r="M997" s="8" t="s">
        <v>15</v>
      </c>
      <c r="N997" s="8" t="s">
        <v>15</v>
      </c>
    </row>
    <row r="998" spans="1:14" ht="11.25" customHeight="1">
      <c r="A998" s="5" t="s">
        <v>2074</v>
      </c>
      <c r="B998" s="5" t="s">
        <v>2905</v>
      </c>
      <c r="C998" s="5" t="s">
        <v>2957</v>
      </c>
      <c r="D998" s="5" t="s">
        <v>2077</v>
      </c>
      <c r="E998" s="5" t="s">
        <v>14</v>
      </c>
      <c r="F998" s="5" t="s">
        <v>2078</v>
      </c>
      <c r="G998" s="5" t="s">
        <v>2079</v>
      </c>
      <c r="H998" s="5" t="s">
        <v>2907</v>
      </c>
      <c r="I998" s="5" t="s">
        <v>2958</v>
      </c>
      <c r="J998" s="5" t="s">
        <v>2959</v>
      </c>
      <c r="K998" s="7" t="str">
        <f ca="1">IFERROR(__xludf.DUMMYFUNCTION("GOOGLETRANSLATE(H998,""EN"",""ES"")"),"MANTAS Y OTROS MATERIALES DE COBERTURA, ROPA DE HOGAR Y PAÑOS")</f>
        <v>MANTAS Y OTROS MATERIALES DE COBERTURA, ROPA DE HOGAR Y PAÑOS</v>
      </c>
      <c r="L998" s="5" t="str">
        <f ca="1">IFERROR(__xludf.DUMMYFUNCTION("GOOGLETRANSLATE(J998,""EN"",""ES"")"),"Guantes de baño")</f>
        <v>Guantes de baño</v>
      </c>
      <c r="M998" s="8" t="s">
        <v>15</v>
      </c>
      <c r="N998" s="8" t="s">
        <v>15</v>
      </c>
    </row>
    <row r="999" spans="1:14" ht="11.25" customHeight="1">
      <c r="A999" s="5" t="s">
        <v>2074</v>
      </c>
      <c r="B999" s="5" t="s">
        <v>2905</v>
      </c>
      <c r="C999" s="5" t="s">
        <v>2960</v>
      </c>
      <c r="D999" s="5" t="s">
        <v>2077</v>
      </c>
      <c r="E999" s="5" t="s">
        <v>14</v>
      </c>
      <c r="F999" s="5" t="s">
        <v>2078</v>
      </c>
      <c r="G999" s="5" t="s">
        <v>2079</v>
      </c>
      <c r="H999" s="5" t="s">
        <v>2907</v>
      </c>
      <c r="I999" s="5" t="s">
        <v>2961</v>
      </c>
      <c r="J999" s="5" t="s">
        <v>2962</v>
      </c>
      <c r="K999" s="7" t="str">
        <f ca="1">IFERROR(__xludf.DUMMYFUNCTION("GOOGLETRANSLATE(H999,""EN"",""ES"")"),"MANTAS Y OTROS MATERIALES DE COBERTURA, ROPA DE HOGAR Y PAÑOS")</f>
        <v>MANTAS Y OTROS MATERIALES DE COBERTURA, ROPA DE HOGAR Y PAÑOS</v>
      </c>
      <c r="L999" s="5" t="str">
        <f ca="1">IFERROR(__xludf.DUMMYFUNCTION("GOOGLETRANSLATE(J999,""EN"",""ES"")"),"Fundas para diván")</f>
        <v>Fundas para diván</v>
      </c>
      <c r="M999" s="8" t="s">
        <v>15</v>
      </c>
      <c r="N999" s="8" t="s">
        <v>15</v>
      </c>
    </row>
    <row r="1000" spans="1:14" ht="11.25" customHeight="1">
      <c r="A1000" s="5" t="s">
        <v>2074</v>
      </c>
      <c r="B1000" s="5" t="s">
        <v>2905</v>
      </c>
      <c r="C1000" s="5" t="s">
        <v>2963</v>
      </c>
      <c r="D1000" s="5" t="s">
        <v>2077</v>
      </c>
      <c r="E1000" s="5" t="s">
        <v>14</v>
      </c>
      <c r="F1000" s="5" t="s">
        <v>2078</v>
      </c>
      <c r="G1000" s="5" t="s">
        <v>2079</v>
      </c>
      <c r="H1000" s="5" t="s">
        <v>2907</v>
      </c>
      <c r="I1000" s="5" t="s">
        <v>2964</v>
      </c>
      <c r="J1000" s="5" t="s">
        <v>2965</v>
      </c>
      <c r="K1000" s="7" t="str">
        <f ca="1">IFERROR(__xludf.DUMMYFUNCTION("GOOGLETRANSLATE(H1000,""EN"",""ES"")"),"MANTAS Y OTROS MATERIALES DE COBERTURA, ROPA DE HOGAR Y PAÑOS")</f>
        <v>MANTAS Y OTROS MATERIALES DE COBERTURA, ROPA DE HOGAR Y PAÑOS</v>
      </c>
      <c r="L1000" s="5" t="str">
        <f ca="1">IFERROR(__xludf.DUMMYFUNCTION("GOOGLETRANSLATE(J1000,""EN"",""ES"")"),"Manteles gaming [para mesas]")</f>
        <v>Manteles gaming [para mesas]</v>
      </c>
      <c r="M1000" s="8" t="s">
        <v>15</v>
      </c>
      <c r="N1000" s="8" t="s">
        <v>15</v>
      </c>
    </row>
    <row r="1001" spans="1:14" ht="11.25" customHeight="1">
      <c r="A1001" s="5" t="s">
        <v>2074</v>
      </c>
      <c r="B1001" s="5" t="s">
        <v>2905</v>
      </c>
      <c r="C1001" s="5" t="s">
        <v>2966</v>
      </c>
      <c r="D1001" s="5" t="s">
        <v>2077</v>
      </c>
      <c r="E1001" s="5" t="s">
        <v>14</v>
      </c>
      <c r="F1001" s="5" t="s">
        <v>2078</v>
      </c>
      <c r="G1001" s="5" t="s">
        <v>2079</v>
      </c>
      <c r="H1001" s="5" t="s">
        <v>2907</v>
      </c>
      <c r="I1001" s="5" t="s">
        <v>2967</v>
      </c>
      <c r="J1001" s="5" t="s">
        <v>2968</v>
      </c>
      <c r="K1001" s="7" t="str">
        <f ca="1">IFERROR(__xludf.DUMMYFUNCTION("GOOGLETRANSLATE(H1001,""EN"",""ES"")"),"MANTAS Y OTROS MATERIALES DE COBERTURA, ROPA DE HOGAR Y PAÑOS")</f>
        <v>MANTAS Y OTROS MATERIALES DE COBERTURA, ROPA DE HOGAR Y PAÑOS</v>
      </c>
      <c r="L1001" s="5" t="str">
        <f ca="1">IFERROR(__xludf.DUMMYFUNCTION("GOOGLETRANSLATE(J1001,""EN"",""ES"")"),"Manteles")</f>
        <v>Manteles</v>
      </c>
      <c r="M1001" s="8" t="s">
        <v>15</v>
      </c>
      <c r="N1001" s="8" t="s">
        <v>15</v>
      </c>
    </row>
    <row r="1002" spans="1:14" ht="11.25" customHeight="1">
      <c r="A1002" s="5" t="s">
        <v>2074</v>
      </c>
      <c r="B1002" s="5" t="s">
        <v>2905</v>
      </c>
      <c r="C1002" s="5" t="s">
        <v>2966</v>
      </c>
      <c r="D1002" s="5" t="s">
        <v>2077</v>
      </c>
      <c r="E1002" s="5" t="s">
        <v>14</v>
      </c>
      <c r="F1002" s="5" t="s">
        <v>2078</v>
      </c>
      <c r="G1002" s="5" t="s">
        <v>2079</v>
      </c>
      <c r="H1002" s="5" t="s">
        <v>2907</v>
      </c>
      <c r="I1002" s="5" t="s">
        <v>152</v>
      </c>
      <c r="J1002" s="5" t="s">
        <v>2969</v>
      </c>
      <c r="K1002" s="7" t="str">
        <f ca="1">IFERROR(__xludf.DUMMYFUNCTION("GOOGLETRANSLATE(H1002,""EN"",""ES"")"),"MANTAS Y OTROS MATERIALES DE COBERTURA, ROPA DE HOGAR Y PAÑOS")</f>
        <v>MANTAS Y OTROS MATERIALES DE COBERTURA, ROPA DE HOGAR Y PAÑOS</v>
      </c>
      <c r="L1002" s="5" t="str">
        <f ca="1">IFERROR(__xludf.DUMMYFUNCTION("GOOGLETRANSLATE(J1002,""EN"",""ES"")"),"N / A")</f>
        <v>N / A</v>
      </c>
      <c r="M1002" s="8" t="s">
        <v>15</v>
      </c>
      <c r="N1002" s="8" t="s">
        <v>15</v>
      </c>
    </row>
    <row r="1003" spans="1:14" ht="11.25" customHeight="1">
      <c r="A1003" s="5" t="s">
        <v>2074</v>
      </c>
      <c r="B1003" s="5" t="s">
        <v>2905</v>
      </c>
      <c r="C1003" s="5" t="s">
        <v>2970</v>
      </c>
      <c r="D1003" s="5" t="s">
        <v>2077</v>
      </c>
      <c r="E1003" s="5" t="s">
        <v>14</v>
      </c>
      <c r="F1003" s="5" t="s">
        <v>2078</v>
      </c>
      <c r="G1003" s="5" t="s">
        <v>2079</v>
      </c>
      <c r="H1003" s="5" t="s">
        <v>2907</v>
      </c>
      <c r="I1003" s="5" t="s">
        <v>2971</v>
      </c>
      <c r="J1003" s="5" t="s">
        <v>2972</v>
      </c>
      <c r="K1003" s="7" t="str">
        <f ca="1">IFERROR(__xludf.DUMMYFUNCTION("GOOGLETRANSLATE(H1003,""EN"",""ES"")"),"MANTAS Y OTROS MATERIALES DE COBERTURA, ROPA DE HOGAR Y PAÑOS")</f>
        <v>MANTAS Y OTROS MATERIALES DE COBERTURA, ROPA DE HOGAR Y PAÑOS</v>
      </c>
      <c r="L1003" s="5" t="str">
        <f ca="1">IFERROR(__xludf.DUMMYFUNCTION("GOOGLETRANSLATE(J1003,""EN"",""ES"")"),"Fundas de almohada")</f>
        <v>Fundas de almohada</v>
      </c>
      <c r="M1003" s="8" t="s">
        <v>15</v>
      </c>
      <c r="N1003" s="8" t="s">
        <v>15</v>
      </c>
    </row>
    <row r="1004" spans="1:14" ht="11.25" customHeight="1">
      <c r="A1004" s="5" t="s">
        <v>2074</v>
      </c>
      <c r="B1004" s="5" t="s">
        <v>2905</v>
      </c>
      <c r="C1004" s="5" t="s">
        <v>2973</v>
      </c>
      <c r="D1004" s="5" t="s">
        <v>2077</v>
      </c>
      <c r="E1004" s="5" t="s">
        <v>14</v>
      </c>
      <c r="F1004" s="5" t="s">
        <v>2078</v>
      </c>
      <c r="G1004" s="5" t="s">
        <v>2079</v>
      </c>
      <c r="H1004" s="5" t="s">
        <v>2907</v>
      </c>
      <c r="I1004" s="5" t="s">
        <v>2974</v>
      </c>
      <c r="J1004" s="5" t="s">
        <v>2975</v>
      </c>
      <c r="K1004" s="7" t="str">
        <f ca="1">IFERROR(__xludf.DUMMYFUNCTION("GOOGLETRANSLATE(H1004,""EN"",""ES"")"),"MANTAS Y OTROS MATERIALES DE COBERTURA, ROPA DE HOGAR Y PAÑOS")</f>
        <v>MANTAS Y OTROS MATERIALES DE COBERTURA, ROPA DE HOGAR Y PAÑOS</v>
      </c>
      <c r="L1004" s="5" t="str">
        <f ca="1">IFERROR(__xludf.DUMMYFUNCTION("GOOGLETRANSLATE(J1004,""EN"",""ES"")"),"Fundas de colchones")</f>
        <v>Fundas de colchones</v>
      </c>
      <c r="M1004" s="8" t="s">
        <v>15</v>
      </c>
      <c r="N1004" s="8" t="s">
        <v>15</v>
      </c>
    </row>
    <row r="1005" spans="1:14" ht="11.25" customHeight="1">
      <c r="A1005" s="5" t="s">
        <v>2074</v>
      </c>
      <c r="B1005" s="5" t="s">
        <v>2905</v>
      </c>
      <c r="C1005" s="5" t="s">
        <v>2973</v>
      </c>
      <c r="D1005" s="5" t="s">
        <v>2077</v>
      </c>
      <c r="E1005" s="5" t="s">
        <v>14</v>
      </c>
      <c r="F1005" s="5" t="s">
        <v>2078</v>
      </c>
      <c r="G1005" s="5" t="s">
        <v>2079</v>
      </c>
      <c r="H1005" s="5" t="s">
        <v>2907</v>
      </c>
      <c r="I1005" s="5" t="s">
        <v>152</v>
      </c>
      <c r="J1005" s="5" t="s">
        <v>2976</v>
      </c>
      <c r="K1005" s="7" t="str">
        <f ca="1">IFERROR(__xludf.DUMMYFUNCTION("GOOGLETRANSLATE(H1005,""EN"",""ES"")"),"MANTAS Y OTROS MATERIALES DE COBERTURA, ROPA DE HOGAR Y PAÑOS")</f>
        <v>MANTAS Y OTROS MATERIALES DE COBERTURA, ROPA DE HOGAR Y PAÑOS</v>
      </c>
      <c r="L1005" s="5" t="str">
        <f ca="1">IFERROR(__xludf.DUMMYFUNCTION("GOOGLETRANSLATE(J1005,""EN"",""ES"")"),"N / A")</f>
        <v>N / A</v>
      </c>
      <c r="M1005" s="8" t="s">
        <v>15</v>
      </c>
      <c r="N1005" s="8" t="s">
        <v>15</v>
      </c>
    </row>
    <row r="1006" spans="1:14" ht="11.25" customHeight="1">
      <c r="A1006" s="5" t="s">
        <v>2074</v>
      </c>
      <c r="B1006" s="5" t="s">
        <v>2905</v>
      </c>
      <c r="C1006" s="5" t="s">
        <v>2973</v>
      </c>
      <c r="D1006" s="5" t="s">
        <v>2077</v>
      </c>
      <c r="E1006" s="5" t="s">
        <v>14</v>
      </c>
      <c r="F1006" s="5" t="s">
        <v>2078</v>
      </c>
      <c r="G1006" s="5" t="s">
        <v>2079</v>
      </c>
      <c r="H1006" s="5" t="s">
        <v>2907</v>
      </c>
      <c r="I1006" s="5" t="s">
        <v>152</v>
      </c>
      <c r="J1006" s="5" t="s">
        <v>2977</v>
      </c>
      <c r="K1006" s="7" t="str">
        <f ca="1">IFERROR(__xludf.DUMMYFUNCTION("GOOGLETRANSLATE(H1006,""EN"",""ES"")"),"MANTAS Y OTROS MATERIALES DE COBERTURA, ROPA DE HOGAR Y PAÑOS")</f>
        <v>MANTAS Y OTROS MATERIALES DE COBERTURA, ROPA DE HOGAR Y PAÑOS</v>
      </c>
      <c r="L1006" s="5" t="str">
        <f ca="1">IFERROR(__xludf.DUMMYFUNCTION("GOOGLETRANSLATE(J1006,""EN"",""ES"")"),"N / A")</f>
        <v>N / A</v>
      </c>
      <c r="M1006" s="8" t="s">
        <v>15</v>
      </c>
      <c r="N1006" s="8" t="s">
        <v>15</v>
      </c>
    </row>
    <row r="1007" spans="1:14" ht="11.25" customHeight="1">
      <c r="A1007" s="5" t="s">
        <v>2074</v>
      </c>
      <c r="B1007" s="5" t="s">
        <v>2905</v>
      </c>
      <c r="C1007" s="5" t="s">
        <v>2978</v>
      </c>
      <c r="D1007" s="5" t="s">
        <v>2077</v>
      </c>
      <c r="E1007" s="5" t="s">
        <v>14</v>
      </c>
      <c r="F1007" s="5" t="s">
        <v>2078</v>
      </c>
      <c r="G1007" s="5" t="s">
        <v>2079</v>
      </c>
      <c r="H1007" s="5" t="s">
        <v>2907</v>
      </c>
      <c r="I1007" s="5" t="s">
        <v>2979</v>
      </c>
      <c r="J1007" s="5" t="s">
        <v>2980</v>
      </c>
      <c r="K1007" s="7" t="str">
        <f ca="1">IFERROR(__xludf.DUMMYFUNCTION("GOOGLETRANSLATE(H1007,""EN"",""ES"")"),"MANTAS Y OTROS MATERIALES DE COBERTURA, ROPA DE HOGAR Y PAÑOS")</f>
        <v>MANTAS Y OTROS MATERIALES DE COBERTURA, ROPA DE HOGAR Y PAÑOS</v>
      </c>
      <c r="L1007" s="5" t="str">
        <f ca="1">IFERROR(__xludf.DUMMYFUNCTION("GOOGLETRANSLATE(J1007,""EN"",""ES"")"),"Sacos de dormir")</f>
        <v>Sacos de dormir</v>
      </c>
      <c r="M1007" s="8" t="s">
        <v>15</v>
      </c>
      <c r="N1007" s="8" t="s">
        <v>15</v>
      </c>
    </row>
    <row r="1008" spans="1:14" ht="11.25" customHeight="1">
      <c r="A1008" s="5" t="s">
        <v>2074</v>
      </c>
      <c r="B1008" s="5" t="s">
        <v>2905</v>
      </c>
      <c r="C1008" s="5" t="s">
        <v>2981</v>
      </c>
      <c r="D1008" s="5" t="s">
        <v>2077</v>
      </c>
      <c r="E1008" s="5" t="s">
        <v>14</v>
      </c>
      <c r="F1008" s="5" t="s">
        <v>2078</v>
      </c>
      <c r="G1008" s="5" t="s">
        <v>2079</v>
      </c>
      <c r="H1008" s="5" t="s">
        <v>2907</v>
      </c>
      <c r="I1008" s="5" t="s">
        <v>2982</v>
      </c>
      <c r="J1008" s="5" t="s">
        <v>2983</v>
      </c>
      <c r="K1008" s="7" t="str">
        <f ca="1">IFERROR(__xludf.DUMMYFUNCTION("GOOGLETRANSLATE(H1008,""EN"",""ES"")"),"MANTAS Y OTROS MATERIALES DE COBERTURA, ROPA DE HOGAR Y PAÑOS")</f>
        <v>MANTAS Y OTROS MATERIALES DE COBERTURA, ROPA DE HOGAR Y PAÑOS</v>
      </c>
      <c r="L1008" s="5" t="str">
        <f ca="1">IFERROR(__xludf.DUMMYFUNCTION("GOOGLETRANSLATE(J1008,""EN"",""ES"")"),"Salvamanteles [manteles individuales]")</f>
        <v>Salvamanteles [manteles individuales]</v>
      </c>
      <c r="M1008" s="8" t="s">
        <v>15</v>
      </c>
      <c r="N1008" s="8" t="s">
        <v>15</v>
      </c>
    </row>
    <row r="1009" spans="1:14" ht="11.25" customHeight="1">
      <c r="A1009" s="5" t="s">
        <v>2074</v>
      </c>
      <c r="B1009" s="5" t="s">
        <v>2905</v>
      </c>
      <c r="C1009" s="5" t="s">
        <v>2984</v>
      </c>
      <c r="D1009" s="5" t="s">
        <v>2077</v>
      </c>
      <c r="E1009" s="5" t="s">
        <v>14</v>
      </c>
      <c r="F1009" s="5" t="s">
        <v>2078</v>
      </c>
      <c r="G1009" s="5" t="s">
        <v>2079</v>
      </c>
      <c r="H1009" s="5" t="s">
        <v>2907</v>
      </c>
      <c r="I1009" s="5" t="s">
        <v>2985</v>
      </c>
      <c r="J1009" s="5" t="s">
        <v>2986</v>
      </c>
      <c r="K1009" s="7" t="str">
        <f ca="1">IFERROR(__xludf.DUMMYFUNCTION("GOOGLETRANSLATE(H1009,""EN"",""ES"")"),"MANTAS Y OTROS MATERIALES DE COBERTURA, ROPA DE HOGAR Y PAÑOS")</f>
        <v>MANTAS Y OTROS MATERIALES DE COBERTURA, ROPA DE HOGAR Y PAÑOS</v>
      </c>
      <c r="L1009" s="5" t="str">
        <f ca="1">IFERROR(__xludf.DUMMYFUNCTION("GOOGLETRANSLATE(J1009,""EN"",""ES"")"),"Agarraderas")</f>
        <v>Agarraderas</v>
      </c>
      <c r="M1009" s="8" t="s">
        <v>15</v>
      </c>
      <c r="N1009" s="8" t="s">
        <v>15</v>
      </c>
    </row>
    <row r="1010" spans="1:14" ht="11.25" customHeight="1">
      <c r="A1010" s="5" t="s">
        <v>2074</v>
      </c>
      <c r="B1010" s="5" t="s">
        <v>2905</v>
      </c>
      <c r="C1010" s="5" t="s">
        <v>2987</v>
      </c>
      <c r="D1010" s="5" t="s">
        <v>2077</v>
      </c>
      <c r="E1010" s="5" t="s">
        <v>14</v>
      </c>
      <c r="F1010" s="5" t="s">
        <v>2078</v>
      </c>
      <c r="G1010" s="5" t="s">
        <v>2079</v>
      </c>
      <c r="H1010" s="5" t="s">
        <v>2907</v>
      </c>
      <c r="I1010" s="5" t="s">
        <v>2988</v>
      </c>
      <c r="J1010" s="5" t="s">
        <v>2989</v>
      </c>
      <c r="K1010" s="7" t="str">
        <f ca="1">IFERROR(__xludf.DUMMYFUNCTION("GOOGLETRANSLATE(H1010,""EN"",""ES"")"),"MANTAS Y OTROS MATERIALES DE COBERTURA, ROPA DE HOGAR Y PAÑOS")</f>
        <v>MANTAS Y OTROS MATERIALES DE COBERTURA, ROPA DE HOGAR Y PAÑOS</v>
      </c>
      <c r="L1010" s="5" t="str">
        <f ca="1">IFERROR(__xludf.DUMMYFUNCTION("GOOGLETRANSLATE(J1010,""EN"",""ES"")"),"Fundas para asientos de vehículos")</f>
        <v>Fundas para asientos de vehículos</v>
      </c>
      <c r="M1010" s="8" t="s">
        <v>15</v>
      </c>
      <c r="N1010" s="8" t="s">
        <v>15</v>
      </c>
    </row>
    <row r="1011" spans="1:14" ht="11.25" customHeight="1">
      <c r="A1011" s="5" t="s">
        <v>2074</v>
      </c>
      <c r="B1011" s="5" t="s">
        <v>2905</v>
      </c>
      <c r="C1011" s="5" t="s">
        <v>2990</v>
      </c>
      <c r="D1011" s="5" t="s">
        <v>2077</v>
      </c>
      <c r="E1011" s="5" t="s">
        <v>14</v>
      </c>
      <c r="F1011" s="5" t="s">
        <v>2078</v>
      </c>
      <c r="G1011" s="5" t="s">
        <v>2079</v>
      </c>
      <c r="H1011" s="5" t="s">
        <v>2907</v>
      </c>
      <c r="I1011" s="5" t="s">
        <v>2991</v>
      </c>
      <c r="J1011" s="5" t="s">
        <v>2992</v>
      </c>
      <c r="K1011" s="7" t="str">
        <f ca="1">IFERROR(__xludf.DUMMYFUNCTION("GOOGLETRANSLATE(H1011,""EN"",""ES"")"),"MANTAS Y OTROS MATERIALES DE COBERTURA, ROPA DE HOGAR Y PAÑOS")</f>
        <v>MANTAS Y OTROS MATERIALES DE COBERTURA, ROPA DE HOGAR Y PAÑOS</v>
      </c>
      <c r="L1011" s="5" t="str">
        <f ca="1">IFERROR(__xludf.DUMMYFUNCTION("GOOGLETRANSLATE(J1011,""EN"",""ES"")"),"Fundas de cojines")</f>
        <v>Fundas de cojines</v>
      </c>
      <c r="M1011" s="8" t="s">
        <v>15</v>
      </c>
      <c r="N1011" s="8" t="s">
        <v>15</v>
      </c>
    </row>
    <row r="1012" spans="1:14" ht="11.25" customHeight="1">
      <c r="A1012" s="5" t="s">
        <v>2074</v>
      </c>
      <c r="B1012" s="5" t="s">
        <v>2905</v>
      </c>
      <c r="C1012" s="5" t="s">
        <v>2993</v>
      </c>
      <c r="D1012" s="5" t="s">
        <v>2077</v>
      </c>
      <c r="E1012" s="5" t="s">
        <v>14</v>
      </c>
      <c r="F1012" s="5" t="s">
        <v>2078</v>
      </c>
      <c r="G1012" s="5" t="s">
        <v>2079</v>
      </c>
      <c r="H1012" s="5" t="s">
        <v>2907</v>
      </c>
      <c r="I1012" s="5" t="s">
        <v>2994</v>
      </c>
      <c r="J1012" s="5" t="s">
        <v>2995</v>
      </c>
      <c r="K1012" s="7" t="str">
        <f ca="1">IFERROR(__xludf.DUMMYFUNCTION("GOOGLETRANSLATE(H1012,""EN"",""ES"")"),"MANTAS Y OTROS MATERIALES DE COBERTURA, ROPA DE HOGAR Y PAÑOS")</f>
        <v>MANTAS Y OTROS MATERIALES DE COBERTURA, ROPA DE HOGAR Y PAÑOS</v>
      </c>
      <c r="L1012" s="5" t="str">
        <f ca="1">IFERROR(__xludf.DUMMYFUNCTION("GOOGLETRANSLATE(J1012,""EN"",""ES"")"),"manteles individuales")</f>
        <v>manteles individuales</v>
      </c>
      <c r="M1012" s="8" t="s">
        <v>15</v>
      </c>
      <c r="N1012" s="8" t="s">
        <v>15</v>
      </c>
    </row>
    <row r="1013" spans="1:14" ht="11.25" customHeight="1">
      <c r="A1013" s="5" t="s">
        <v>2074</v>
      </c>
      <c r="B1013" s="5" t="s">
        <v>2905</v>
      </c>
      <c r="C1013" s="5" t="s">
        <v>2996</v>
      </c>
      <c r="D1013" s="5" t="s">
        <v>2077</v>
      </c>
      <c r="E1013" s="5" t="s">
        <v>14</v>
      </c>
      <c r="F1013" s="5" t="s">
        <v>2078</v>
      </c>
      <c r="G1013" s="5" t="s">
        <v>2079</v>
      </c>
      <c r="H1013" s="5" t="s">
        <v>2907</v>
      </c>
      <c r="I1013" s="5" t="s">
        <v>2997</v>
      </c>
      <c r="J1013" s="5" t="s">
        <v>2998</v>
      </c>
      <c r="K1013" s="7" t="str">
        <f ca="1">IFERROR(__xludf.DUMMYFUNCTION("GOOGLETRANSLATE(H1013,""EN"",""ES"")"),"MANTAS Y OTROS MATERIALES DE COBERTURA, ROPA DE HOGAR Y PAÑOS")</f>
        <v>MANTAS Y OTROS MATERIALES DE COBERTURA, ROPA DE HOGAR Y PAÑOS</v>
      </c>
      <c r="L1013" s="5" t="str">
        <f ca="1">IFERROR(__xludf.DUMMYFUNCTION("GOOGLETRANSLATE(J1013,""EN"",""ES"")"),"Toallas protectoras para la cabeza para camillas de masaje.")</f>
        <v>Toallas protectoras para la cabeza para camillas de masaje.</v>
      </c>
      <c r="M1013" s="8" t="s">
        <v>15</v>
      </c>
      <c r="N1013" s="8" t="s">
        <v>15</v>
      </c>
    </row>
    <row r="1014" spans="1:14" ht="11.25" customHeight="1">
      <c r="A1014" s="5" t="s">
        <v>2074</v>
      </c>
      <c r="B1014" s="5" t="s">
        <v>2905</v>
      </c>
      <c r="C1014" s="5" t="s">
        <v>2999</v>
      </c>
      <c r="D1014" s="5" t="s">
        <v>2077</v>
      </c>
      <c r="E1014" s="5" t="s">
        <v>14</v>
      </c>
      <c r="F1014" s="5" t="s">
        <v>2078</v>
      </c>
      <c r="G1014" s="5" t="s">
        <v>2079</v>
      </c>
      <c r="H1014" s="5" t="s">
        <v>2907</v>
      </c>
      <c r="I1014" s="5" t="s">
        <v>3000</v>
      </c>
      <c r="J1014" s="5" t="s">
        <v>3001</v>
      </c>
      <c r="K1014" s="7" t="str">
        <f ca="1">IFERROR(__xludf.DUMMYFUNCTION("GOOGLETRANSLATE(H1014,""EN"",""ES"")"),"MANTAS Y OTROS MATERIALES DE COBERTURA, ROPA DE HOGAR Y PAÑOS")</f>
        <v>MANTAS Y OTROS MATERIALES DE COBERTURA, ROPA DE HOGAR Y PAÑOS</v>
      </c>
      <c r="L1014" s="5" t="str">
        <f ca="1">IFERROR(__xludf.DUMMYFUNCTION("GOOGLETRANSLATE(J1014,""EN"",""ES"")"),"Edredones")</f>
        <v>Edredones</v>
      </c>
      <c r="M1014" s="8" t="s">
        <v>15</v>
      </c>
      <c r="N1014" s="8" t="s">
        <v>15</v>
      </c>
    </row>
    <row r="1015" spans="1:14" ht="11.25" customHeight="1">
      <c r="A1015" s="5" t="s">
        <v>2074</v>
      </c>
      <c r="B1015" s="5" t="s">
        <v>2905</v>
      </c>
      <c r="C1015" s="5" t="s">
        <v>3002</v>
      </c>
      <c r="D1015" s="5" t="s">
        <v>2077</v>
      </c>
      <c r="E1015" s="5" t="s">
        <v>14</v>
      </c>
      <c r="F1015" s="5" t="s">
        <v>2078</v>
      </c>
      <c r="G1015" s="5" t="s">
        <v>2079</v>
      </c>
      <c r="H1015" s="5" t="s">
        <v>2907</v>
      </c>
      <c r="I1015" s="5" t="s">
        <v>3003</v>
      </c>
      <c r="J1015" s="5" t="s">
        <v>3004</v>
      </c>
      <c r="K1015" s="7" t="str">
        <f ca="1">IFERROR(__xludf.DUMMYFUNCTION("GOOGLETRANSLATE(H1015,""EN"",""ES"")"),"MANTAS Y OTROS MATERIALES DE COBERTURA, ROPA DE HOGAR Y PAÑOS")</f>
        <v>MANTAS Y OTROS MATERIALES DE COBERTURA, ROPA DE HOGAR Y PAÑOS</v>
      </c>
      <c r="L1015" s="5" t="str">
        <f ca="1">IFERROR(__xludf.DUMMYFUNCTION("GOOGLETRANSLATE(J1015,""EN"",""ES"")"),"Fundas nórdicas")</f>
        <v>Fundas nórdicas</v>
      </c>
      <c r="M1015" s="8" t="s">
        <v>15</v>
      </c>
      <c r="N1015" s="8" t="s">
        <v>15</v>
      </c>
    </row>
    <row r="1016" spans="1:14" ht="11.25" customHeight="1">
      <c r="A1016" s="5" t="s">
        <v>2074</v>
      </c>
      <c r="B1016" s="5" t="s">
        <v>2905</v>
      </c>
      <c r="C1016" s="5" t="s">
        <v>3005</v>
      </c>
      <c r="D1016" s="5" t="s">
        <v>2077</v>
      </c>
      <c r="E1016" s="5" t="s">
        <v>14</v>
      </c>
      <c r="F1016" s="5" t="s">
        <v>2078</v>
      </c>
      <c r="G1016" s="5" t="s">
        <v>2079</v>
      </c>
      <c r="H1016" s="5" t="s">
        <v>2907</v>
      </c>
      <c r="I1016" s="5" t="s">
        <v>3006</v>
      </c>
      <c r="J1016" s="5" t="s">
        <v>3007</v>
      </c>
      <c r="K1016" s="7" t="str">
        <f ca="1">IFERROR(__xludf.DUMMYFUNCTION("GOOGLETRANSLATE(H1016,""EN"",""ES"")"),"MANTAS Y OTROS MATERIALES DE COBERTURA, ROPA DE HOGAR Y PAÑOS")</f>
        <v>MANTAS Y OTROS MATERIALES DE COBERTURA, ROPA DE HOGAR Y PAÑOS</v>
      </c>
      <c r="L1016" s="5" t="str">
        <f ca="1">IFERROR(__xludf.DUMMYFUNCTION("GOOGLETRANSLATE(J1016,""EN"",""ES"")"),"Sacos de dormir para bebés")</f>
        <v>Sacos de dormir para bebés</v>
      </c>
      <c r="M1016" s="8" t="s">
        <v>15</v>
      </c>
      <c r="N1016" s="8" t="s">
        <v>15</v>
      </c>
    </row>
    <row r="1017" spans="1:14" ht="11.25" customHeight="1">
      <c r="A1017" s="5" t="s">
        <v>2074</v>
      </c>
      <c r="B1017" s="5" t="s">
        <v>2905</v>
      </c>
      <c r="C1017" s="5" t="s">
        <v>3008</v>
      </c>
      <c r="D1017" s="5" t="s">
        <v>2077</v>
      </c>
      <c r="E1017" s="5" t="s">
        <v>14</v>
      </c>
      <c r="F1017" s="5" t="s">
        <v>2078</v>
      </c>
      <c r="G1017" s="5" t="s">
        <v>2079</v>
      </c>
      <c r="H1017" s="5" t="s">
        <v>2907</v>
      </c>
      <c r="I1017" s="5" t="s">
        <v>3009</v>
      </c>
      <c r="J1017" s="5" t="s">
        <v>3010</v>
      </c>
      <c r="K1017" s="7" t="str">
        <f ca="1">IFERROR(__xludf.DUMMYFUNCTION("GOOGLETRANSLATE(H1017,""EN"",""ES"")"),"MANTAS Y OTROS MATERIALES DE COBERTURA, ROPA DE HOGAR Y PAÑOS")</f>
        <v>MANTAS Y OTROS MATERIALES DE COBERTURA, ROPA DE HOGAR Y PAÑOS</v>
      </c>
      <c r="L1017" s="5" t="str">
        <f ca="1">IFERROR(__xludf.DUMMYFUNCTION("GOOGLETRANSLATE(J1017,""EN"",""ES"")"),"Protectores de cuna")</f>
        <v>Protectores de cuna</v>
      </c>
      <c r="M1017" s="8" t="s">
        <v>15</v>
      </c>
      <c r="N1017" s="8" t="s">
        <v>15</v>
      </c>
    </row>
    <row r="1018" spans="1:14" ht="11.25" customHeight="1">
      <c r="A1018" s="5" t="s">
        <v>2074</v>
      </c>
      <c r="B1018" s="5" t="s">
        <v>2905</v>
      </c>
      <c r="C1018" s="5" t="s">
        <v>3011</v>
      </c>
      <c r="D1018" s="5" t="s">
        <v>2077</v>
      </c>
      <c r="E1018" s="5" t="s">
        <v>14</v>
      </c>
      <c r="F1018" s="5" t="s">
        <v>2078</v>
      </c>
      <c r="G1018" s="5" t="s">
        <v>2079</v>
      </c>
      <c r="H1018" s="5" t="s">
        <v>2907</v>
      </c>
      <c r="I1018" s="5" t="s">
        <v>3012</v>
      </c>
      <c r="J1018" s="5" t="s">
        <v>3013</v>
      </c>
      <c r="K1018" s="7" t="str">
        <f ca="1">IFERROR(__xludf.DUMMYFUNCTION("GOOGLETRANSLATE(H1018,""EN"",""ES"")"),"MANTAS Y OTROS MATERIALES DE COBERTURA, ROPA DE HOGAR Y PAÑOS")</f>
        <v>MANTAS Y OTROS MATERIALES DE COBERTURA, ROPA DE HOGAR Y PAÑOS</v>
      </c>
      <c r="L1018" s="5" t="str">
        <f ca="1">IFERROR(__xludf.DUMMYFUNCTION("GOOGLETRANSLATE(J1018,""EN"",""ES"")"),"Tapas de tapa de inodoro")</f>
        <v>Tapas de tapa de inodoro</v>
      </c>
      <c r="M1018" s="8" t="s">
        <v>15</v>
      </c>
      <c r="N1018" s="8" t="s">
        <v>15</v>
      </c>
    </row>
    <row r="1019" spans="1:14" ht="11.25" customHeight="1">
      <c r="A1019" s="5" t="s">
        <v>2074</v>
      </c>
      <c r="B1019" s="5" t="s">
        <v>2905</v>
      </c>
      <c r="C1019" s="5" t="s">
        <v>3014</v>
      </c>
      <c r="D1019" s="5" t="s">
        <v>2077</v>
      </c>
      <c r="E1019" s="5" t="s">
        <v>14</v>
      </c>
      <c r="F1019" s="5" t="s">
        <v>2078</v>
      </c>
      <c r="G1019" s="5" t="s">
        <v>2079</v>
      </c>
      <c r="H1019" s="5" t="s">
        <v>2907</v>
      </c>
      <c r="I1019" s="5" t="s">
        <v>3015</v>
      </c>
      <c r="J1019" s="5" t="s">
        <v>3016</v>
      </c>
      <c r="K1019" s="7" t="str">
        <f ca="1">IFERROR(__xludf.DUMMYFUNCTION("GOOGLETRANSLATE(H1019,""EN"",""ES"")"),"MANTAS Y OTROS MATERIALES DE COBERTURA, ROPA DE HOGAR Y PAÑOS")</f>
        <v>MANTAS Y OTROS MATERIALES DE COBERTURA, ROPA DE HOGAR Y PAÑOS</v>
      </c>
      <c r="L1019" s="5" t="str">
        <f ca="1">IFERROR(__xludf.DUMMYFUNCTION("GOOGLETRANSLATE(J1019,""EN"",""ES"")"),"Pabellones funerarios")</f>
        <v>Pabellones funerarios</v>
      </c>
      <c r="M1019" s="8" t="s">
        <v>15</v>
      </c>
      <c r="N1019" s="8" t="s">
        <v>15</v>
      </c>
    </row>
    <row r="1020" spans="1:14" ht="11.25" customHeight="1">
      <c r="A1020" s="5" t="s">
        <v>2074</v>
      </c>
      <c r="B1020" s="5" t="s">
        <v>3017</v>
      </c>
      <c r="C1020" s="5" t="s">
        <v>3018</v>
      </c>
      <c r="D1020" s="5" t="s">
        <v>2077</v>
      </c>
      <c r="E1020" s="5" t="s">
        <v>14</v>
      </c>
      <c r="F1020" s="5" t="s">
        <v>2078</v>
      </c>
      <c r="G1020" s="5" t="s">
        <v>2079</v>
      </c>
      <c r="H1020" s="5" t="s">
        <v>330</v>
      </c>
      <c r="I1020" s="5" t="s">
        <v>3019</v>
      </c>
      <c r="J1020" s="5" t="s">
        <v>3020</v>
      </c>
      <c r="K1020" s="7" t="str">
        <f ca="1">IFERROR(__xludf.DUMMYFUNCTION("GOOGLETRANSLATE(H1020,""EN"",""ES"")"),"MISCELÁNEAS")</f>
        <v>MISCELÁNEAS</v>
      </c>
      <c r="L1020" s="5" t="str">
        <f ca="1">IFERROR(__xludf.DUMMYFUNCTION("GOOGLETRANSLATE(J1020,""EN"",""ES"")"),"Soportes para árboles de Navidad.")</f>
        <v>Soportes para árboles de Navidad.</v>
      </c>
      <c r="M1020" s="8" t="s">
        <v>15</v>
      </c>
      <c r="N1020" s="8" t="s">
        <v>15</v>
      </c>
    </row>
    <row r="1021" spans="1:14" ht="11.25" customHeight="1">
      <c r="A1021" s="5" t="s">
        <v>2074</v>
      </c>
      <c r="B1021" s="5" t="s">
        <v>3017</v>
      </c>
      <c r="C1021" s="5" t="s">
        <v>3021</v>
      </c>
      <c r="D1021" s="5" t="s">
        <v>2077</v>
      </c>
      <c r="E1021" s="5" t="s">
        <v>14</v>
      </c>
      <c r="F1021" s="5" t="s">
        <v>2078</v>
      </c>
      <c r="G1021" s="5" t="s">
        <v>2079</v>
      </c>
      <c r="H1021" s="5" t="s">
        <v>330</v>
      </c>
      <c r="I1021" s="5" t="s">
        <v>3022</v>
      </c>
      <c r="J1021" s="5" t="s">
        <v>3023</v>
      </c>
      <c r="K1021" s="7" t="str">
        <f ca="1">IFERROR(__xludf.DUMMYFUNCTION("GOOGLETRANSLATE(H1021,""EN"",""ES"")"),"MISCELÁNEAS")</f>
        <v>MISCELÁNEAS</v>
      </c>
      <c r="L1021" s="5" t="str">
        <f ca="1">IFERROR(__xludf.DUMMYFUNCTION("GOOGLETRANSLATE(J1021,""EN"",""ES"")"),"Soportes para mantas [cunas protectoras para levantar la ropa de cama]")</f>
        <v>Soportes para mantas [cunas protectoras para levantar la ropa de cama]</v>
      </c>
      <c r="M1021" s="8" t="s">
        <v>15</v>
      </c>
      <c r="N1021" s="8" t="s">
        <v>15</v>
      </c>
    </row>
    <row r="1022" spans="1:14" ht="11.25" customHeight="1">
      <c r="A1022" s="5" t="s">
        <v>2074</v>
      </c>
      <c r="B1022" s="5" t="s">
        <v>3017</v>
      </c>
      <c r="C1022" s="5" t="s">
        <v>3021</v>
      </c>
      <c r="D1022" s="5" t="s">
        <v>2077</v>
      </c>
      <c r="E1022" s="5" t="s">
        <v>14</v>
      </c>
      <c r="F1022" s="5" t="s">
        <v>2078</v>
      </c>
      <c r="G1022" s="5" t="s">
        <v>2079</v>
      </c>
      <c r="H1022" s="5" t="s">
        <v>330</v>
      </c>
      <c r="I1022" s="5" t="s">
        <v>3024</v>
      </c>
      <c r="J1022" s="5" t="s">
        <v>152</v>
      </c>
      <c r="K1022" s="7" t="str">
        <f ca="1">IFERROR(__xludf.DUMMYFUNCTION("GOOGLETRANSLATE(H1022,""EN"",""ES"")"),"MISCELÁNEAS")</f>
        <v>MISCELÁNEAS</v>
      </c>
      <c r="L1022" s="5" t="str">
        <f ca="1">IFERROR(__xludf.DUMMYFUNCTION("GOOGLETRANSLATE(J1022,""EN"",""ES"")"),"Cunas protectoras para levantar la ropa de cama [soportes para mantas]")</f>
        <v>Cunas protectoras para levantar la ropa de cama [soportes para mantas]</v>
      </c>
      <c r="M1022" s="8" t="s">
        <v>15</v>
      </c>
      <c r="N1022" s="8" t="s">
        <v>15</v>
      </c>
    </row>
    <row r="1023" spans="1:14" ht="11.25" customHeight="1">
      <c r="A1023" s="5" t="s">
        <v>2074</v>
      </c>
      <c r="B1023" s="5" t="s">
        <v>3017</v>
      </c>
      <c r="C1023" s="5" t="s">
        <v>3025</v>
      </c>
      <c r="D1023" s="5" t="s">
        <v>2077</v>
      </c>
      <c r="E1023" s="5" t="s">
        <v>14</v>
      </c>
      <c r="F1023" s="5" t="s">
        <v>2078</v>
      </c>
      <c r="G1023" s="5" t="s">
        <v>2079</v>
      </c>
      <c r="H1023" s="5" t="s">
        <v>330</v>
      </c>
      <c r="I1023" s="5" t="s">
        <v>3026</v>
      </c>
      <c r="J1023" s="5" t="s">
        <v>3027</v>
      </c>
      <c r="K1023" s="7" t="str">
        <f ca="1">IFERROR(__xludf.DUMMYFUNCTION("GOOGLETRANSLATE(H1023,""EN"",""ES"")"),"MISCELÁNEAS")</f>
        <v>MISCELÁNEAS</v>
      </c>
      <c r="L1023" s="5" t="str">
        <f ca="1">IFERROR(__xludf.DUMMYFUNCTION("GOOGLETRANSLATE(J1023,""EN"",""ES"")"),"Correas para sujetar sábanas.")</f>
        <v>Correas para sujetar sábanas.</v>
      </c>
      <c r="M1023" s="8" t="s">
        <v>15</v>
      </c>
      <c r="N1023" s="8" t="s">
        <v>15</v>
      </c>
    </row>
    <row r="1024" spans="1:14" ht="11.25" customHeight="1">
      <c r="A1024" s="5" t="s">
        <v>3028</v>
      </c>
      <c r="B1024" s="5" t="s">
        <v>3029</v>
      </c>
      <c r="C1024" s="5" t="s">
        <v>3030</v>
      </c>
      <c r="D1024" s="5" t="s">
        <v>3031</v>
      </c>
      <c r="E1024" s="5" t="s">
        <v>23</v>
      </c>
      <c r="F1024" s="5" t="s">
        <v>3032</v>
      </c>
      <c r="G1024" s="5" t="s">
        <v>3033</v>
      </c>
      <c r="H1024" s="5" t="s">
        <v>3034</v>
      </c>
      <c r="I1024" s="5" t="s">
        <v>3035</v>
      </c>
      <c r="J1024" s="5" t="s">
        <v>3036</v>
      </c>
      <c r="K1024" s="7" t="str">
        <f ca="1">IFERROR(__xludf.DUMMYFUNCTION("GOOGLETRANSLATE(H1024,""EN"",""ES"")"),"CHINA, CRISTALERÍA, VAJILLAS Y OTROS ARTÍCULOS DE NATURALEZA SIMILAR")</f>
        <v>CHINA, CRISTALERÍA, VAJILLAS Y OTROS ARTÍCULOS DE NATURALEZA SIMILAR</v>
      </c>
      <c r="L1024" s="5" t="str">
        <f ca="1">IFERROR(__xludf.DUMMYFUNCTION("GOOGLETRANSLATE(J1024,""EN"",""ES"")"),"Goglets [enfriadores de agua]")</f>
        <v>Goglets [enfriadores de agua]</v>
      </c>
      <c r="M1024" s="8" t="s">
        <v>22</v>
      </c>
      <c r="N1024" s="8" t="s">
        <v>22</v>
      </c>
    </row>
    <row r="1025" spans="1:14" ht="11.25" customHeight="1">
      <c r="A1025" s="5" t="s">
        <v>3028</v>
      </c>
      <c r="B1025" s="5" t="s">
        <v>3029</v>
      </c>
      <c r="C1025" s="5" t="s">
        <v>3037</v>
      </c>
      <c r="D1025" s="5" t="s">
        <v>3031</v>
      </c>
      <c r="E1025" s="5" t="s">
        <v>23</v>
      </c>
      <c r="F1025" s="5" t="s">
        <v>3032</v>
      </c>
      <c r="G1025" s="5" t="s">
        <v>3033</v>
      </c>
      <c r="H1025" s="5" t="s">
        <v>3034</v>
      </c>
      <c r="I1025" s="5" t="s">
        <v>3038</v>
      </c>
      <c r="J1025" s="5" t="s">
        <v>3039</v>
      </c>
      <c r="K1025" s="7" t="str">
        <f ca="1">IFERROR(__xludf.DUMMYFUNCTION("GOOGLETRANSLATE(H1025,""EN"",""ES"")"),"CHINA, CRISTALERÍA, VAJILLAS Y OTROS ARTÍCULOS DE NATURALEZA SIMILAR")</f>
        <v>CHINA, CRISTALERÍA, VAJILLAS Y OTROS ARTÍCULOS DE NATURALEZA SIMILAR</v>
      </c>
      <c r="L1025" s="5" t="str">
        <f ca="1">IFERROR(__xludf.DUMMYFUNCTION("GOOGLETRANSLATE(J1025,""EN"",""ES"")"),"Platos [platos]")</f>
        <v>Platos [platos]</v>
      </c>
      <c r="M1025" s="8" t="s">
        <v>22</v>
      </c>
      <c r="N1025" s="8" t="s">
        <v>22</v>
      </c>
    </row>
    <row r="1026" spans="1:14" ht="11.25" customHeight="1">
      <c r="A1026" s="5" t="s">
        <v>3028</v>
      </c>
      <c r="B1026" s="5" t="s">
        <v>3029</v>
      </c>
      <c r="C1026" s="5" t="s">
        <v>3040</v>
      </c>
      <c r="D1026" s="5" t="s">
        <v>3031</v>
      </c>
      <c r="E1026" s="5" t="s">
        <v>23</v>
      </c>
      <c r="F1026" s="5" t="s">
        <v>3032</v>
      </c>
      <c r="G1026" s="5" t="s">
        <v>3033</v>
      </c>
      <c r="H1026" s="5" t="s">
        <v>3034</v>
      </c>
      <c r="I1026" s="5" t="s">
        <v>3041</v>
      </c>
      <c r="J1026" s="5" t="s">
        <v>3042</v>
      </c>
      <c r="K1026" s="7" t="str">
        <f ca="1">IFERROR(__xludf.DUMMYFUNCTION("GOOGLETRANSLATE(H1026,""EN"",""ES"")"),"CHINA, CRISTALERÍA, VAJILLAS Y OTROS ARTÍCULOS DE NATURALEZA SIMILAR")</f>
        <v>CHINA, CRISTALERÍA, VAJILLAS Y OTROS ARTÍCULOS DE NATURALEZA SIMILAR</v>
      </c>
      <c r="L1026" s="5" t="str">
        <f ca="1">IFERROR(__xludf.DUMMYFUNCTION("GOOGLETRANSLATE(J1026,""EN"",""ES"")"),"platos de ostras")</f>
        <v>platos de ostras</v>
      </c>
      <c r="M1026" s="8" t="s">
        <v>22</v>
      </c>
      <c r="N1026" s="8" t="s">
        <v>22</v>
      </c>
    </row>
    <row r="1027" spans="1:14" ht="11.25" customHeight="1">
      <c r="A1027" s="5" t="s">
        <v>3028</v>
      </c>
      <c r="B1027" s="5" t="s">
        <v>3029</v>
      </c>
      <c r="C1027" s="5" t="s">
        <v>3043</v>
      </c>
      <c r="D1027" s="5" t="s">
        <v>3031</v>
      </c>
      <c r="E1027" s="5" t="s">
        <v>23</v>
      </c>
      <c r="F1027" s="5" t="s">
        <v>3032</v>
      </c>
      <c r="G1027" s="5" t="s">
        <v>3033</v>
      </c>
      <c r="H1027" s="5" t="s">
        <v>3034</v>
      </c>
      <c r="I1027" s="5" t="s">
        <v>3044</v>
      </c>
      <c r="J1027" s="5" t="s">
        <v>3045</v>
      </c>
      <c r="K1027" s="7" t="str">
        <f ca="1">IFERROR(__xludf.DUMMYFUNCTION("GOOGLETRANSLATE(H1027,""EN"",""ES"")"),"CHINA, CRISTALERÍA, VAJILLAS Y OTROS ARTÍCULOS DE NATURALEZA SIMILAR")</f>
        <v>CHINA, CRISTALERÍA, VAJILLAS Y OTROS ARTÍCULOS DE NATURALEZA SIMILAR</v>
      </c>
      <c r="L1027" s="5" t="str">
        <f ca="1">IFERROR(__xludf.DUMMYFUNCTION("GOOGLETRANSLATE(J1027,""EN"",""ES"")"),"calentar platos")</f>
        <v>calentar platos</v>
      </c>
      <c r="M1027" s="8" t="s">
        <v>22</v>
      </c>
      <c r="N1027" s="8" t="s">
        <v>22</v>
      </c>
    </row>
    <row r="1028" spans="1:14" ht="11.25" customHeight="1">
      <c r="A1028" s="5" t="s">
        <v>3028</v>
      </c>
      <c r="B1028" s="5" t="s">
        <v>3029</v>
      </c>
      <c r="C1028" s="5" t="s">
        <v>3046</v>
      </c>
      <c r="D1028" s="5" t="s">
        <v>3031</v>
      </c>
      <c r="E1028" s="5" t="s">
        <v>23</v>
      </c>
      <c r="F1028" s="5" t="s">
        <v>3032</v>
      </c>
      <c r="G1028" s="5" t="s">
        <v>3033</v>
      </c>
      <c r="H1028" s="5" t="s">
        <v>3034</v>
      </c>
      <c r="I1028" s="5" t="s">
        <v>3047</v>
      </c>
      <c r="J1028" s="5" t="s">
        <v>3048</v>
      </c>
      <c r="K1028" s="7" t="str">
        <f ca="1">IFERROR(__xludf.DUMMYFUNCTION("GOOGLETRANSLATE(H1028,""EN"",""ES"")"),"CHINA, CRISTALERÍA, VAJILLAS Y OTROS ARTÍCULOS DE NATURALEZA SIMILAR")</f>
        <v>CHINA, CRISTALERÍA, VAJILLAS Y OTROS ARTÍCULOS DE NATURALEZA SIMILAR</v>
      </c>
      <c r="L1028" s="5" t="str">
        <f ca="1">IFERROR(__xludf.DUMMYFUNCTION("GOOGLETRANSLATE(J1028,""EN"",""ES"")"),"platos de mantequilla")</f>
        <v>platos de mantequilla</v>
      </c>
      <c r="M1028" s="8" t="s">
        <v>22</v>
      </c>
      <c r="N1028" s="8" t="s">
        <v>22</v>
      </c>
    </row>
    <row r="1029" spans="1:14" ht="11.25" customHeight="1">
      <c r="A1029" s="5" t="s">
        <v>3028</v>
      </c>
      <c r="B1029" s="5" t="s">
        <v>3029</v>
      </c>
      <c r="C1029" s="5" t="s">
        <v>3049</v>
      </c>
      <c r="D1029" s="5" t="s">
        <v>3031</v>
      </c>
      <c r="E1029" s="5" t="s">
        <v>23</v>
      </c>
      <c r="F1029" s="5" t="s">
        <v>3032</v>
      </c>
      <c r="G1029" s="5" t="s">
        <v>3033</v>
      </c>
      <c r="H1029" s="5" t="s">
        <v>3034</v>
      </c>
      <c r="I1029" s="5" t="s">
        <v>3050</v>
      </c>
      <c r="J1029" s="5" t="s">
        <v>3051</v>
      </c>
      <c r="K1029" s="7" t="str">
        <f ca="1">IFERROR(__xludf.DUMMYFUNCTION("GOOGLETRANSLATE(H1029,""EN"",""ES"")"),"CHINA, CRISTALERÍA, VAJILLAS Y OTROS ARTÍCULOS DE NATURALEZA SIMILAR")</f>
        <v>CHINA, CRISTALERÍA, VAJILLAS Y OTROS ARTÍCULOS DE NATURALEZA SIMILAR</v>
      </c>
      <c r="L1029" s="5" t="str">
        <f ca="1">IFERROR(__xludf.DUMMYFUNCTION("GOOGLETRANSLATE(J1029,""EN"",""ES"")"),"Biberones para bebés")</f>
        <v>Biberones para bebés</v>
      </c>
      <c r="M1029" s="8" t="s">
        <v>22</v>
      </c>
      <c r="N1029" s="8" t="s">
        <v>22</v>
      </c>
    </row>
    <row r="1030" spans="1:14" ht="11.25" customHeight="1">
      <c r="A1030" s="5" t="s">
        <v>3028</v>
      </c>
      <c r="B1030" s="5" t="s">
        <v>3029</v>
      </c>
      <c r="C1030" s="5" t="s">
        <v>3049</v>
      </c>
      <c r="D1030" s="5" t="s">
        <v>3031</v>
      </c>
      <c r="E1030" s="5" t="s">
        <v>23</v>
      </c>
      <c r="F1030" s="5" t="s">
        <v>3032</v>
      </c>
      <c r="G1030" s="5" t="s">
        <v>3033</v>
      </c>
      <c r="H1030" s="5" t="s">
        <v>3034</v>
      </c>
      <c r="I1030" s="5" t="s">
        <v>3052</v>
      </c>
      <c r="J1030" s="5" t="s">
        <v>152</v>
      </c>
      <c r="K1030" s="7" t="str">
        <f ca="1">IFERROR(__xludf.DUMMYFUNCTION("GOOGLETRANSLATE(H1030,""EN"",""ES"")"),"CHINA, CRISTALERÍA, VAJILLAS Y OTROS ARTÍCULOS DE NATURALEZA SIMILAR")</f>
        <v>CHINA, CRISTALERÍA, VAJILLAS Y OTROS ARTÍCULOS DE NATURALEZA SIMILAR</v>
      </c>
      <c r="L1030" s="5" t="str">
        <f ca="1">IFERROR(__xludf.DUMMYFUNCTION("GOOGLETRANSLATE(J1030,""EN"",""ES"")"),"biberones")</f>
        <v>biberones</v>
      </c>
      <c r="M1030" s="8" t="s">
        <v>22</v>
      </c>
      <c r="N1030" s="8" t="s">
        <v>22</v>
      </c>
    </row>
    <row r="1031" spans="1:14" ht="11.25" customHeight="1">
      <c r="A1031" s="5" t="s">
        <v>3028</v>
      </c>
      <c r="B1031" s="5" t="s">
        <v>3029</v>
      </c>
      <c r="C1031" s="5" t="s">
        <v>3053</v>
      </c>
      <c r="D1031" s="5" t="s">
        <v>3031</v>
      </c>
      <c r="E1031" s="5" t="s">
        <v>23</v>
      </c>
      <c r="F1031" s="5" t="s">
        <v>3032</v>
      </c>
      <c r="G1031" s="5" t="s">
        <v>3033</v>
      </c>
      <c r="H1031" s="5" t="s">
        <v>3034</v>
      </c>
      <c r="I1031" s="5" t="s">
        <v>3054</v>
      </c>
      <c r="J1031" s="5" t="s">
        <v>3055</v>
      </c>
      <c r="K1031" s="7" t="str">
        <f ca="1">IFERROR(__xludf.DUMMYFUNCTION("GOOGLETRANSLATE(H1031,""EN"",""ES"")"),"CHINA, CRISTALERÍA, VAJILLAS Y OTROS ARTÍCULOS DE NATURALEZA SIMILAR")</f>
        <v>CHINA, CRISTALERÍA, VAJILLAS Y OTROS ARTÍCULOS DE NATURALEZA SIMILAR</v>
      </c>
      <c r="L1031" s="5" t="str">
        <f ca="1">IFERROR(__xludf.DUMMYFUNCTION("GOOGLETRANSLATE(J1031,""EN"",""ES"")"),"Frascos [excepto embalaje]")</f>
        <v>Frascos [excepto embalaje]</v>
      </c>
      <c r="M1031" s="8" t="s">
        <v>22</v>
      </c>
      <c r="N1031" s="8" t="s">
        <v>22</v>
      </c>
    </row>
    <row r="1032" spans="1:14" ht="11.25" customHeight="1">
      <c r="A1032" s="5" t="s">
        <v>3028</v>
      </c>
      <c r="B1032" s="5" t="s">
        <v>3029</v>
      </c>
      <c r="C1032" s="5" t="s">
        <v>3056</v>
      </c>
      <c r="D1032" s="5" t="s">
        <v>3031</v>
      </c>
      <c r="E1032" s="5" t="s">
        <v>23</v>
      </c>
      <c r="F1032" s="5" t="s">
        <v>3032</v>
      </c>
      <c r="G1032" s="5" t="s">
        <v>3033</v>
      </c>
      <c r="H1032" s="5" t="s">
        <v>3034</v>
      </c>
      <c r="I1032" s="5" t="s">
        <v>3057</v>
      </c>
      <c r="J1032" s="5" t="s">
        <v>3058</v>
      </c>
      <c r="K1032" s="7" t="str">
        <f ca="1">IFERROR(__xludf.DUMMYFUNCTION("GOOGLETRANSLATE(H1032,""EN"",""ES"")"),"CHINA, CRISTALERÍA, VAJILLAS Y OTROS ARTÍCULOS DE NATURALEZA SIMILAR")</f>
        <v>CHINA, CRISTALERÍA, VAJILLAS Y OTROS ARTÍCULOS DE NATURALEZA SIMILAR</v>
      </c>
      <c r="L1032" s="5" t="str">
        <f ca="1">IFERROR(__xludf.DUMMYFUNCTION("GOOGLETRANSLATE(J1032,""EN"",""ES"")"),"Bochas")</f>
        <v>Bochas</v>
      </c>
      <c r="M1032" s="8" t="s">
        <v>22</v>
      </c>
      <c r="N1032" s="8" t="s">
        <v>22</v>
      </c>
    </row>
    <row r="1033" spans="1:14" ht="11.25" customHeight="1">
      <c r="A1033" s="5" t="s">
        <v>3028</v>
      </c>
      <c r="B1033" s="5" t="s">
        <v>3029</v>
      </c>
      <c r="C1033" s="5" t="s">
        <v>3056</v>
      </c>
      <c r="D1033" s="5" t="s">
        <v>3031</v>
      </c>
      <c r="E1033" s="5" t="s">
        <v>23</v>
      </c>
      <c r="F1033" s="5" t="s">
        <v>3032</v>
      </c>
      <c r="G1033" s="5" t="s">
        <v>3033</v>
      </c>
      <c r="H1033" s="5" t="s">
        <v>3034</v>
      </c>
      <c r="I1033" s="5" t="s">
        <v>152</v>
      </c>
      <c r="J1033" s="5" t="s">
        <v>3059</v>
      </c>
      <c r="K1033" s="7" t="str">
        <f ca="1">IFERROR(__xludf.DUMMYFUNCTION("GOOGLETRANSLATE(H1033,""EN"",""ES"")"),"CHINA, CRISTALERÍA, VAJILLAS Y OTROS ARTÍCULOS DE NATURALEZA SIMILAR")</f>
        <v>CHINA, CRISTALERÍA, VAJILLAS Y OTROS ARTÍCULOS DE NATURALEZA SIMILAR</v>
      </c>
      <c r="L1033" s="5" t="str">
        <f ca="1">IFERROR(__xludf.DUMMYFUNCTION("GOOGLETRANSLATE(J1033,""EN"",""ES"")"),"N / A")</f>
        <v>N / A</v>
      </c>
      <c r="M1033" s="8" t="s">
        <v>22</v>
      </c>
      <c r="N1033" s="8" t="s">
        <v>22</v>
      </c>
    </row>
    <row r="1034" spans="1:14" ht="11.25" customHeight="1">
      <c r="A1034" s="5" t="s">
        <v>3028</v>
      </c>
      <c r="B1034" s="5" t="s">
        <v>3029</v>
      </c>
      <c r="C1034" s="5" t="s">
        <v>3060</v>
      </c>
      <c r="D1034" s="5" t="s">
        <v>3031</v>
      </c>
      <c r="E1034" s="5" t="s">
        <v>23</v>
      </c>
      <c r="F1034" s="5" t="s">
        <v>3032</v>
      </c>
      <c r="G1034" s="5" t="s">
        <v>3033</v>
      </c>
      <c r="H1034" s="5" t="s">
        <v>3034</v>
      </c>
      <c r="I1034" s="5" t="s">
        <v>3061</v>
      </c>
      <c r="J1034" s="5" t="s">
        <v>3062</v>
      </c>
      <c r="K1034" s="7" t="str">
        <f ca="1">IFERROR(__xludf.DUMMYFUNCTION("GOOGLETRANSLATE(H1034,""EN"",""ES"")"),"CHINA, CRISTALERÍA, VAJILLAS Y OTROS ARTÍCULOS DE NATURALEZA SIMILAR")</f>
        <v>CHINA, CRISTALERÍA, VAJILLAS Y OTROS ARTÍCULOS DE NATURALEZA SIMILAR</v>
      </c>
      <c r="L1034" s="5" t="str">
        <f ca="1">IFERROR(__xludf.DUMMYFUNCTION("GOOGLETRANSLATE(J1034,""EN"",""ES"")"),"Platos para dulces")</f>
        <v>Platos para dulces</v>
      </c>
      <c r="M1034" s="8" t="s">
        <v>22</v>
      </c>
      <c r="N1034" s="8" t="s">
        <v>22</v>
      </c>
    </row>
    <row r="1035" spans="1:14" ht="11.25" customHeight="1">
      <c r="A1035" s="5" t="s">
        <v>3028</v>
      </c>
      <c r="B1035" s="5" t="s">
        <v>3029</v>
      </c>
      <c r="C1035" s="5" t="s">
        <v>3063</v>
      </c>
      <c r="D1035" s="5" t="s">
        <v>3031</v>
      </c>
      <c r="E1035" s="5" t="s">
        <v>23</v>
      </c>
      <c r="F1035" s="5" t="s">
        <v>3032</v>
      </c>
      <c r="G1035" s="5" t="s">
        <v>3033</v>
      </c>
      <c r="H1035" s="5" t="s">
        <v>3034</v>
      </c>
      <c r="I1035" s="5" t="s">
        <v>3064</v>
      </c>
      <c r="J1035" s="5" t="s">
        <v>3065</v>
      </c>
      <c r="K1035" s="7" t="str">
        <f ca="1">IFERROR(__xludf.DUMMYFUNCTION("GOOGLETRANSLATE(H1035,""EN"",""ES"")"),"CHINA, CRISTALERÍA, VAJILLAS Y OTROS ARTÍCULOS DE NATURALEZA SIMILAR")</f>
        <v>CHINA, CRISTALERÍA, VAJILLAS Y OTROS ARTÍCULOS DE NATURALEZA SIMILAR</v>
      </c>
      <c r="L1035" s="5" t="str">
        <f ca="1">IFERROR(__xludf.DUMMYFUNCTION("GOOGLETRANSLATE(J1035,""EN"",""ES"")"),"Servicios de cafe")</f>
        <v>Servicios de cafe</v>
      </c>
      <c r="M1035" s="8" t="s">
        <v>22</v>
      </c>
      <c r="N1035" s="8" t="s">
        <v>22</v>
      </c>
    </row>
    <row r="1036" spans="1:14" ht="11.25" customHeight="1">
      <c r="A1036" s="5" t="s">
        <v>3028</v>
      </c>
      <c r="B1036" s="5" t="s">
        <v>3029</v>
      </c>
      <c r="C1036" s="5" t="s">
        <v>3066</v>
      </c>
      <c r="D1036" s="5" t="s">
        <v>3031</v>
      </c>
      <c r="E1036" s="5" t="s">
        <v>23</v>
      </c>
      <c r="F1036" s="5" t="s">
        <v>3032</v>
      </c>
      <c r="G1036" s="5" t="s">
        <v>3033</v>
      </c>
      <c r="H1036" s="5" t="s">
        <v>3034</v>
      </c>
      <c r="I1036" s="5" t="s">
        <v>3067</v>
      </c>
      <c r="J1036" s="5" t="s">
        <v>3068</v>
      </c>
      <c r="K1036" s="7" t="str">
        <f ca="1">IFERROR(__xludf.DUMMYFUNCTION("GOOGLETRANSLATE(H1036,""EN"",""ES"")"),"CHINA, CRISTALERÍA, VAJILLAS Y OTROS ARTÍCULOS DE NATURALEZA SIMILAR")</f>
        <v>CHINA, CRISTALERÍA, VAJILLAS Y OTROS ARTÍCULOS DE NATURALEZA SIMILAR</v>
      </c>
      <c r="L1036" s="5" t="str">
        <f ca="1">IFERROR(__xludf.DUMMYFUNCTION("GOOGLETRANSLATE(J1036,""EN"",""ES"")"),"Jarras de agua")</f>
        <v>Jarras de agua</v>
      </c>
      <c r="M1036" s="8" t="s">
        <v>22</v>
      </c>
      <c r="N1036" s="8" t="s">
        <v>22</v>
      </c>
    </row>
    <row r="1037" spans="1:14" ht="11.25" customHeight="1">
      <c r="A1037" s="5" t="s">
        <v>3028</v>
      </c>
      <c r="B1037" s="5" t="s">
        <v>3029</v>
      </c>
      <c r="C1037" s="5" t="s">
        <v>3069</v>
      </c>
      <c r="D1037" s="5" t="s">
        <v>3031</v>
      </c>
      <c r="E1037" s="5" t="s">
        <v>23</v>
      </c>
      <c r="F1037" s="5" t="s">
        <v>3032</v>
      </c>
      <c r="G1037" s="5" t="s">
        <v>3033</v>
      </c>
      <c r="H1037" s="5" t="s">
        <v>3034</v>
      </c>
      <c r="I1037" s="5" t="s">
        <v>3070</v>
      </c>
      <c r="J1037" s="5" t="s">
        <v>3071</v>
      </c>
      <c r="K1037" s="7" t="str">
        <f ca="1">IFERROR(__xludf.DUMMYFUNCTION("GOOGLETRANSLATE(H1037,""EN"",""ES"")"),"CHINA, CRISTALERÍA, VAJILLAS Y OTROS ARTÍCULOS DE NATURALEZA SIMILAR")</f>
        <v>CHINA, CRISTALERÍA, VAJILLAS Y OTROS ARTÍCULOS DE NATURALEZA SIMILAR</v>
      </c>
      <c r="L1037" s="5" t="str">
        <f ca="1">IFERROR(__xludf.DUMMYFUNCTION("GOOGLETRANSLATE(J1037,""EN"",""ES"")"),"jarras de cerveza")</f>
        <v>jarras de cerveza</v>
      </c>
      <c r="M1037" s="8" t="s">
        <v>22</v>
      </c>
      <c r="N1037" s="8" t="s">
        <v>22</v>
      </c>
    </row>
    <row r="1038" spans="1:14" ht="11.25" customHeight="1">
      <c r="A1038" s="5" t="s">
        <v>3028</v>
      </c>
      <c r="B1038" s="5" t="s">
        <v>3029</v>
      </c>
      <c r="C1038" s="5" t="s">
        <v>3069</v>
      </c>
      <c r="D1038" s="5" t="s">
        <v>3031</v>
      </c>
      <c r="E1038" s="5" t="s">
        <v>23</v>
      </c>
      <c r="F1038" s="5" t="s">
        <v>3032</v>
      </c>
      <c r="G1038" s="5" t="s">
        <v>3033</v>
      </c>
      <c r="H1038" s="5" t="s">
        <v>3034</v>
      </c>
      <c r="I1038" s="5" t="s">
        <v>3072</v>
      </c>
      <c r="J1038" s="5" t="s">
        <v>3073</v>
      </c>
      <c r="K1038" s="7" t="str">
        <f ca="1">IFERROR(__xludf.DUMMYFUNCTION("GOOGLETRANSLATE(H1038,""EN"",""ES"")"),"CHINA, CRISTALERÍA, VAJILLAS Y OTROS ARTÍCULOS DE NATURALEZA SIMILAR")</f>
        <v>CHINA, CRISTALERÍA, VAJILLAS Y OTROS ARTÍCULOS DE NATURALEZA SIMILAR</v>
      </c>
      <c r="L1038" s="5" t="str">
        <f ca="1">IFERROR(__xludf.DUMMYFUNCTION("GOOGLETRANSLATE(J1038,""EN"",""ES"")"),"Steins")</f>
        <v>Steins</v>
      </c>
      <c r="M1038" s="8" t="s">
        <v>22</v>
      </c>
      <c r="N1038" s="8" t="s">
        <v>22</v>
      </c>
    </row>
    <row r="1039" spans="1:14" ht="11.25" customHeight="1">
      <c r="A1039" s="5" t="s">
        <v>3028</v>
      </c>
      <c r="B1039" s="5" t="s">
        <v>3029</v>
      </c>
      <c r="C1039" s="5" t="s">
        <v>3074</v>
      </c>
      <c r="D1039" s="5" t="s">
        <v>3031</v>
      </c>
      <c r="E1039" s="5" t="s">
        <v>23</v>
      </c>
      <c r="F1039" s="5" t="s">
        <v>3032</v>
      </c>
      <c r="G1039" s="5" t="s">
        <v>3033</v>
      </c>
      <c r="H1039" s="5" t="s">
        <v>3034</v>
      </c>
      <c r="I1039" s="5" t="s">
        <v>3075</v>
      </c>
      <c r="J1039" s="5" t="s">
        <v>3076</v>
      </c>
      <c r="K1039" s="7" t="str">
        <f ca="1">IFERROR(__xludf.DUMMYFUNCTION("GOOGLETRANSLATE(H1039,""EN"",""ES"")"),"CHINA, CRISTALERÍA, VAJILLAS Y OTROS ARTÍCULOS DE NATURALEZA SIMILAR")</f>
        <v>CHINA, CRISTALERÍA, VAJILLAS Y OTROS ARTÍCULOS DE NATURALEZA SIMILAR</v>
      </c>
      <c r="L1039" s="5" t="str">
        <f ca="1">IFERROR(__xludf.DUMMYFUNCTION("GOOGLETRANSLATE(J1039,""EN"",""ES"")"),"Tapas para platos de queso")</f>
        <v>Tapas para platos de queso</v>
      </c>
      <c r="M1039" s="8" t="s">
        <v>22</v>
      </c>
      <c r="N1039" s="8" t="s">
        <v>22</v>
      </c>
    </row>
    <row r="1040" spans="1:14" ht="11.25" customHeight="1">
      <c r="A1040" s="5" t="s">
        <v>3028</v>
      </c>
      <c r="B1040" s="5" t="s">
        <v>3029</v>
      </c>
      <c r="C1040" s="5" t="s">
        <v>3077</v>
      </c>
      <c r="D1040" s="5" t="s">
        <v>3031</v>
      </c>
      <c r="E1040" s="5" t="s">
        <v>23</v>
      </c>
      <c r="F1040" s="5" t="s">
        <v>3032</v>
      </c>
      <c r="G1040" s="5" t="s">
        <v>3033</v>
      </c>
      <c r="H1040" s="5" t="s">
        <v>3034</v>
      </c>
      <c r="I1040" s="5" t="s">
        <v>3078</v>
      </c>
      <c r="J1040" s="5" t="s">
        <v>3079</v>
      </c>
      <c r="K1040" s="7" t="str">
        <f ca="1">IFERROR(__xludf.DUMMYFUNCTION("GOOGLETRANSLATE(H1040,""EN"",""ES"")"),"CHINA, CRISTALERÍA, VAJILLAS Y OTROS ARTÍCULOS DE NATURALEZA SIMILAR")</f>
        <v>CHINA, CRISTALERÍA, VAJILLAS Y OTROS ARTÍCULOS DE NATURALEZA SIMILAR</v>
      </c>
      <c r="L1040" s="5" t="str">
        <f ca="1">IFERROR(__xludf.DUMMYFUNCTION("GOOGLETRANSLATE(J1040,""EN"",""ES"")"),"Platos de frutas")</f>
        <v>Platos de frutas</v>
      </c>
      <c r="M1040" s="8" t="s">
        <v>22</v>
      </c>
      <c r="N1040" s="8" t="s">
        <v>22</v>
      </c>
    </row>
    <row r="1041" spans="1:14" ht="11.25" customHeight="1">
      <c r="A1041" s="5" t="s">
        <v>3028</v>
      </c>
      <c r="B1041" s="5" t="s">
        <v>3029</v>
      </c>
      <c r="C1041" s="5" t="s">
        <v>3080</v>
      </c>
      <c r="D1041" s="5" t="s">
        <v>3031</v>
      </c>
      <c r="E1041" s="5" t="s">
        <v>23</v>
      </c>
      <c r="F1041" s="5" t="s">
        <v>3032</v>
      </c>
      <c r="G1041" s="5" t="s">
        <v>3033</v>
      </c>
      <c r="H1041" s="5" t="s">
        <v>3034</v>
      </c>
      <c r="I1041" s="5" t="s">
        <v>3081</v>
      </c>
      <c r="J1041" s="5" t="s">
        <v>3082</v>
      </c>
      <c r="K1041" s="7" t="str">
        <f ca="1">IFERROR(__xludf.DUMMYFUNCTION("GOOGLETRANSLATE(H1041,""EN"",""ES"")"),"CHINA, CRISTALERÍA, VAJILLAS Y OTROS ARTÍCULOS DE NATURALEZA SIMILAR")</f>
        <v>CHINA, CRISTALERÍA, VAJILLAS Y OTROS ARTÍCULOS DE NATURALEZA SIMILAR</v>
      </c>
      <c r="L1041" s="5" t="str">
        <f ca="1">IFERROR(__xludf.DUMMYFUNCTION("GOOGLETRANSLATE(J1041,""EN"",""ES"")"),"hueveras")</f>
        <v>hueveras</v>
      </c>
      <c r="M1041" s="8" t="s">
        <v>22</v>
      </c>
      <c r="N1041" s="8" t="s">
        <v>22</v>
      </c>
    </row>
    <row r="1042" spans="1:14" ht="11.25" customHeight="1">
      <c r="A1042" s="5" t="s">
        <v>3028</v>
      </c>
      <c r="B1042" s="5" t="s">
        <v>3029</v>
      </c>
      <c r="C1042" s="5" t="s">
        <v>3083</v>
      </c>
      <c r="D1042" s="5" t="s">
        <v>3031</v>
      </c>
      <c r="E1042" s="5" t="s">
        <v>23</v>
      </c>
      <c r="F1042" s="5" t="s">
        <v>3032</v>
      </c>
      <c r="G1042" s="5" t="s">
        <v>3033</v>
      </c>
      <c r="H1042" s="5" t="s">
        <v>3034</v>
      </c>
      <c r="I1042" s="5" t="s">
        <v>3084</v>
      </c>
      <c r="J1042" s="5" t="s">
        <v>3085</v>
      </c>
      <c r="K1042" s="7" t="str">
        <f ca="1">IFERROR(__xludf.DUMMYFUNCTION("GOOGLETRANSLATE(H1042,""EN"",""ES"")"),"CHINA, CRISTALERÍA, VAJILLAS Y OTROS ARTÍCULOS DE NATURALEZA SIMILAR")</f>
        <v>CHINA, CRISTALERÍA, VAJILLAS Y OTROS ARTÍCULOS DE NATURALEZA SIMILAR</v>
      </c>
      <c r="L1042" s="5" t="str">
        <f ca="1">IFERROR(__xludf.DUMMYFUNCTION("GOOGLETRANSLATE(J1042,""EN"",""ES"")"),"copas de helado")</f>
        <v>copas de helado</v>
      </c>
      <c r="M1042" s="8" t="s">
        <v>22</v>
      </c>
      <c r="N1042" s="8" t="s">
        <v>22</v>
      </c>
    </row>
    <row r="1043" spans="1:14" ht="11.25" customHeight="1">
      <c r="A1043" s="5" t="s">
        <v>3028</v>
      </c>
      <c r="B1043" s="5" t="s">
        <v>3029</v>
      </c>
      <c r="C1043" s="5" t="s">
        <v>3086</v>
      </c>
      <c r="D1043" s="5" t="s">
        <v>3031</v>
      </c>
      <c r="E1043" s="5" t="s">
        <v>23</v>
      </c>
      <c r="F1043" s="5" t="s">
        <v>3032</v>
      </c>
      <c r="G1043" s="5" t="s">
        <v>3033</v>
      </c>
      <c r="H1043" s="5" t="s">
        <v>3034</v>
      </c>
      <c r="I1043" s="5" t="s">
        <v>3087</v>
      </c>
      <c r="J1043" s="5" t="s">
        <v>3088</v>
      </c>
      <c r="K1043" s="7" t="str">
        <f ca="1">IFERROR(__xludf.DUMMYFUNCTION("GOOGLETRANSLATE(H1043,""EN"",""ES"")"),"CHINA, CRISTALERÍA, VAJILLAS Y OTROS ARTÍCULOS DE NATURALEZA SIMILAR")</f>
        <v>CHINA, CRISTALERÍA, VAJILLAS Y OTROS ARTÍCULOS DE NATURALEZA SIMILAR</v>
      </c>
      <c r="L1043" s="5" t="str">
        <f ca="1">IFERROR(__xludf.DUMMYFUNCTION("GOOGLETRANSLATE(J1043,""EN"",""ES"")"),"Jarras de crema")</f>
        <v>Jarras de crema</v>
      </c>
      <c r="M1043" s="8" t="s">
        <v>22</v>
      </c>
      <c r="N1043" s="8" t="s">
        <v>22</v>
      </c>
    </row>
    <row r="1044" spans="1:14" ht="11.25" customHeight="1">
      <c r="A1044" s="5" t="s">
        <v>3028</v>
      </c>
      <c r="B1044" s="5" t="s">
        <v>3029</v>
      </c>
      <c r="C1044" s="5" t="s">
        <v>3089</v>
      </c>
      <c r="D1044" s="5" t="s">
        <v>3031</v>
      </c>
      <c r="E1044" s="5" t="s">
        <v>23</v>
      </c>
      <c r="F1044" s="5" t="s">
        <v>3032</v>
      </c>
      <c r="G1044" s="5" t="s">
        <v>3033</v>
      </c>
      <c r="H1044" s="5" t="s">
        <v>3034</v>
      </c>
      <c r="I1044" s="5" t="s">
        <v>3090</v>
      </c>
      <c r="J1044" s="5" t="s">
        <v>3091</v>
      </c>
      <c r="K1044" s="7" t="str">
        <f ca="1">IFERROR(__xludf.DUMMYFUNCTION("GOOGLETRANSLATE(H1044,""EN"",""ES"")"),"CHINA, CRISTALERÍA, VAJILLAS Y OTROS ARTÍCULOS DE NATURALEZA SIMILAR")</f>
        <v>CHINA, CRISTALERÍA, VAJILLAS Y OTROS ARTÍCULOS DE NATURALEZA SIMILAR</v>
      </c>
      <c r="L1044" s="5" t="str">
        <f ca="1">IFERROR(__xludf.DUMMYFUNCTION("GOOGLETRANSLATE(J1044,""EN"",""ES"")"),"Tetas")</f>
        <v>Tetas</v>
      </c>
      <c r="M1044" s="8" t="s">
        <v>22</v>
      </c>
      <c r="N1044" s="8" t="s">
        <v>22</v>
      </c>
    </row>
    <row r="1045" spans="1:14" ht="11.25" customHeight="1">
      <c r="A1045" s="5" t="s">
        <v>3028</v>
      </c>
      <c r="B1045" s="5" t="s">
        <v>3029</v>
      </c>
      <c r="C1045" s="5" t="s">
        <v>3092</v>
      </c>
      <c r="D1045" s="5" t="s">
        <v>3031</v>
      </c>
      <c r="E1045" s="5" t="s">
        <v>23</v>
      </c>
      <c r="F1045" s="5" t="s">
        <v>3032</v>
      </c>
      <c r="G1045" s="5" t="s">
        <v>3033</v>
      </c>
      <c r="H1045" s="5" t="s">
        <v>3034</v>
      </c>
      <c r="I1045" s="5" t="s">
        <v>3093</v>
      </c>
      <c r="J1045" s="5" t="s">
        <v>3094</v>
      </c>
      <c r="K1045" s="7" t="str">
        <f ca="1">IFERROR(__xludf.DUMMYFUNCTION("GOOGLETRANSLATE(H1045,""EN"",""ES"")"),"CHINA, CRISTALERÍA, VAJILLAS Y OTROS ARTÍCULOS DE NATURALEZA SIMILAR")</f>
        <v>CHINA, CRISTALERÍA, VAJILLAS Y OTROS ARTÍCULOS DE NATURALEZA SIMILAR</v>
      </c>
      <c r="L1045" s="5" t="str">
        <f ca="1">IFERROR(__xludf.DUMMYFUNCTION("GOOGLETRANSLATE(J1045,""EN"",""ES"")"),"latas de desorden")</f>
        <v>latas de desorden</v>
      </c>
      <c r="M1045" s="8" t="s">
        <v>22</v>
      </c>
      <c r="N1045" s="8" t="s">
        <v>22</v>
      </c>
    </row>
    <row r="1046" spans="1:14" ht="11.25" customHeight="1">
      <c r="A1046" s="5" t="s">
        <v>3028</v>
      </c>
      <c r="B1046" s="5" t="s">
        <v>3029</v>
      </c>
      <c r="C1046" s="5" t="s">
        <v>3095</v>
      </c>
      <c r="D1046" s="5" t="s">
        <v>3031</v>
      </c>
      <c r="E1046" s="5" t="s">
        <v>23</v>
      </c>
      <c r="F1046" s="5" t="s">
        <v>3032</v>
      </c>
      <c r="G1046" s="5" t="s">
        <v>3033</v>
      </c>
      <c r="H1046" s="5" t="s">
        <v>3034</v>
      </c>
      <c r="I1046" s="5" t="s">
        <v>3096</v>
      </c>
      <c r="J1046" s="5" t="s">
        <v>3097</v>
      </c>
      <c r="K1046" s="7" t="str">
        <f ca="1">IFERROR(__xludf.DUMMYFUNCTION("GOOGLETRANSLATE(H1046,""EN"",""ES"")"),"CHINA, CRISTALERÍA, VAJILLAS Y OTROS ARTÍCULOS DE NATURALEZA SIMILAR")</f>
        <v>CHINA, CRISTALERÍA, VAJILLAS Y OTROS ARTÍCULOS DE NATURALEZA SIMILAR</v>
      </c>
      <c r="L1046" s="5" t="str">
        <f ca="1">IFERROR(__xludf.DUMMYFUNCTION("GOOGLETRANSLATE(J1046,""EN"",""ES"")"),"Enfriadores de agua")</f>
        <v>Enfriadores de agua</v>
      </c>
      <c r="M1046" s="8" t="s">
        <v>22</v>
      </c>
      <c r="N1046" s="8" t="s">
        <v>25</v>
      </c>
    </row>
    <row r="1047" spans="1:14" ht="11.25" customHeight="1">
      <c r="A1047" s="5" t="s">
        <v>3028</v>
      </c>
      <c r="B1047" s="5" t="s">
        <v>3029</v>
      </c>
      <c r="C1047" s="5" t="s">
        <v>3098</v>
      </c>
      <c r="D1047" s="5" t="s">
        <v>3031</v>
      </c>
      <c r="E1047" s="5" t="s">
        <v>23</v>
      </c>
      <c r="F1047" s="5" t="s">
        <v>3032</v>
      </c>
      <c r="G1047" s="5" t="s">
        <v>3033</v>
      </c>
      <c r="H1047" s="5" t="s">
        <v>3034</v>
      </c>
      <c r="I1047" s="5" t="s">
        <v>3099</v>
      </c>
      <c r="J1047" s="5" t="s">
        <v>3100</v>
      </c>
      <c r="K1047" s="7" t="str">
        <f ca="1">IFERROR(__xludf.DUMMYFUNCTION("GOOGLETRANSLATE(H1047,""EN"",""ES"")"),"CHINA, CRISTALERÍA, VAJILLAS Y OTROS ARTÍCULOS DE NATURALEZA SIMILAR")</f>
        <v>CHINA, CRISTALERÍA, VAJILLAS Y OTROS ARTÍCULOS DE NATURALEZA SIMILAR</v>
      </c>
      <c r="L1047" s="5" t="str">
        <f ca="1">IFERROR(__xludf.DUMMYFUNCTION("GOOGLETRANSLATE(J1047,""EN"",""ES"")"),"agitadores")</f>
        <v>agitadores</v>
      </c>
      <c r="M1047" s="8" t="s">
        <v>22</v>
      </c>
      <c r="N1047" s="8" t="s">
        <v>22</v>
      </c>
    </row>
    <row r="1048" spans="1:14" ht="11.25" customHeight="1">
      <c r="A1048" s="5" t="s">
        <v>3028</v>
      </c>
      <c r="B1048" s="5" t="s">
        <v>3029</v>
      </c>
      <c r="C1048" s="5" t="s">
        <v>3098</v>
      </c>
      <c r="D1048" s="5" t="s">
        <v>3031</v>
      </c>
      <c r="E1048" s="5" t="s">
        <v>23</v>
      </c>
      <c r="F1048" s="5" t="s">
        <v>3032</v>
      </c>
      <c r="G1048" s="5" t="s">
        <v>3033</v>
      </c>
      <c r="H1048" s="5" t="s">
        <v>3034</v>
      </c>
      <c r="I1048" s="5" t="s">
        <v>152</v>
      </c>
      <c r="J1048" s="5" t="s">
        <v>3099</v>
      </c>
      <c r="K1048" s="7" t="str">
        <f ca="1">IFERROR(__xludf.DUMMYFUNCTION("GOOGLETRANSLATE(H1048,""EN"",""ES"")"),"CHINA, CRISTALERÍA, VAJILLAS Y OTROS ARTÍCULOS DE NATURALEZA SIMILAR")</f>
        <v>CHINA, CRISTALERÍA, VAJILLAS Y OTROS ARTÍCULOS DE NATURALEZA SIMILAR</v>
      </c>
      <c r="L1048" s="5" t="str">
        <f ca="1">IFERROR(__xludf.DUMMYFUNCTION("GOOGLETRANSLATE(J1048,""EN"",""ES"")"),"N / A")</f>
        <v>N / A</v>
      </c>
      <c r="M1048" s="8" t="s">
        <v>22</v>
      </c>
      <c r="N1048" s="8" t="s">
        <v>22</v>
      </c>
    </row>
    <row r="1049" spans="1:14" ht="11.25" customHeight="1">
      <c r="A1049" s="5" t="s">
        <v>3028</v>
      </c>
      <c r="B1049" s="5" t="s">
        <v>3029</v>
      </c>
      <c r="C1049" s="5" t="s">
        <v>3101</v>
      </c>
      <c r="D1049" s="5" t="s">
        <v>3031</v>
      </c>
      <c r="E1049" s="5" t="s">
        <v>23</v>
      </c>
      <c r="F1049" s="5" t="s">
        <v>3032</v>
      </c>
      <c r="G1049" s="5" t="s">
        <v>3033</v>
      </c>
      <c r="H1049" s="5" t="s">
        <v>3034</v>
      </c>
      <c r="I1049" s="5" t="s">
        <v>3102</v>
      </c>
      <c r="J1049" s="5" t="s">
        <v>3103</v>
      </c>
      <c r="K1049" s="7" t="str">
        <f ca="1">IFERROR(__xludf.DUMMYFUNCTION("GOOGLETRANSLATE(H1049,""EN"",""ES"")"),"CHINA, CRISTALERÍA, VAJILLAS Y OTROS ARTÍCULOS DE NATURALEZA SIMILAR")</f>
        <v>CHINA, CRISTALERÍA, VAJILLAS Y OTROS ARTÍCULOS DE NATURALEZA SIMILAR</v>
      </c>
      <c r="L1049" s="5" t="str">
        <f ca="1">IFERROR(__xludf.DUMMYFUNCTION("GOOGLETRANSLATE(J1049,""EN"",""ES"")"),"Platos de verduras")</f>
        <v>Platos de verduras</v>
      </c>
      <c r="M1049" s="8" t="s">
        <v>22</v>
      </c>
      <c r="N1049" s="8" t="s">
        <v>22</v>
      </c>
    </row>
    <row r="1050" spans="1:14" ht="11.25" customHeight="1">
      <c r="A1050" s="5" t="s">
        <v>3028</v>
      </c>
      <c r="B1050" s="5" t="s">
        <v>3029</v>
      </c>
      <c r="C1050" s="5" t="s">
        <v>3104</v>
      </c>
      <c r="D1050" s="5" t="s">
        <v>3031</v>
      </c>
      <c r="E1050" s="5" t="s">
        <v>23</v>
      </c>
      <c r="F1050" s="5" t="s">
        <v>3032</v>
      </c>
      <c r="G1050" s="5" t="s">
        <v>3033</v>
      </c>
      <c r="H1050" s="5" t="s">
        <v>3034</v>
      </c>
      <c r="I1050" s="5" t="s">
        <v>3105</v>
      </c>
      <c r="J1050" s="5" t="s">
        <v>3106</v>
      </c>
      <c r="K1050" s="7" t="str">
        <f ca="1">IFERROR(__xludf.DUMMYFUNCTION("GOOGLETRANSLATE(H1050,""EN"",""ES"")"),"CHINA, CRISTALERÍA, VAJILLAS Y OTROS ARTÍCULOS DE NATURALEZA SIMILAR")</f>
        <v>CHINA, CRISTALERÍA, VAJILLAS Y OTROS ARTÍCULOS DE NATURALEZA SIMILAR</v>
      </c>
      <c r="L1050" s="5" t="str">
        <f ca="1">IFERROR(__xludf.DUMMYFUNCTION("GOOGLETRANSLATE(J1050,""EN"",""ES"")"),"Lanzadores")</f>
        <v>Lanzadores</v>
      </c>
      <c r="M1050" s="8" t="s">
        <v>22</v>
      </c>
      <c r="N1050" s="8" t="s">
        <v>22</v>
      </c>
    </row>
    <row r="1051" spans="1:14" ht="11.25" customHeight="1">
      <c r="A1051" s="5" t="s">
        <v>3028</v>
      </c>
      <c r="B1051" s="5" t="s">
        <v>3029</v>
      </c>
      <c r="C1051" s="5" t="s">
        <v>3104</v>
      </c>
      <c r="D1051" s="5" t="s">
        <v>3031</v>
      </c>
      <c r="E1051" s="5" t="s">
        <v>23</v>
      </c>
      <c r="F1051" s="5" t="s">
        <v>3032</v>
      </c>
      <c r="G1051" s="5" t="s">
        <v>3033</v>
      </c>
      <c r="H1051" s="5" t="s">
        <v>3034</v>
      </c>
      <c r="I1051" s="5" t="s">
        <v>152</v>
      </c>
      <c r="J1051" s="5" t="s">
        <v>3107</v>
      </c>
      <c r="K1051" s="7" t="str">
        <f ca="1">IFERROR(__xludf.DUMMYFUNCTION("GOOGLETRANSLATE(H1051,""EN"",""ES"")"),"CHINA, CRISTALERÍA, VAJILLAS Y OTROS ARTÍCULOS DE NATURALEZA SIMILAR")</f>
        <v>CHINA, CRISTALERÍA, VAJILLAS Y OTROS ARTÍCULOS DE NATURALEZA SIMILAR</v>
      </c>
      <c r="L1051" s="5" t="str">
        <f ca="1">IFERROR(__xludf.DUMMYFUNCTION("GOOGLETRANSLATE(J1051,""EN"",""ES"")"),"N / A")</f>
        <v>N / A</v>
      </c>
      <c r="M1051" s="8" t="s">
        <v>22</v>
      </c>
      <c r="N1051" s="8" t="s">
        <v>22</v>
      </c>
    </row>
    <row r="1052" spans="1:14" ht="11.25" customHeight="1">
      <c r="A1052" s="5" t="s">
        <v>3028</v>
      </c>
      <c r="B1052" s="5" t="s">
        <v>3029</v>
      </c>
      <c r="C1052" s="5" t="s">
        <v>3104</v>
      </c>
      <c r="D1052" s="5" t="s">
        <v>3031</v>
      </c>
      <c r="E1052" s="5" t="s">
        <v>23</v>
      </c>
      <c r="F1052" s="5" t="s">
        <v>3032</v>
      </c>
      <c r="G1052" s="5" t="s">
        <v>3033</v>
      </c>
      <c r="H1052" s="5" t="s">
        <v>3034</v>
      </c>
      <c r="I1052" s="5" t="s">
        <v>152</v>
      </c>
      <c r="J1052" s="5" t="s">
        <v>3108</v>
      </c>
      <c r="K1052" s="7" t="str">
        <f ca="1">IFERROR(__xludf.DUMMYFUNCTION("GOOGLETRANSLATE(H1052,""EN"",""ES"")"),"CHINA, CRISTALERÍA, VAJILLAS Y OTROS ARTÍCULOS DE NATURALEZA SIMILAR")</f>
        <v>CHINA, CRISTALERÍA, VAJILLAS Y OTROS ARTÍCULOS DE NATURALEZA SIMILAR</v>
      </c>
      <c r="L1052" s="5" t="str">
        <f ca="1">IFERROR(__xludf.DUMMYFUNCTION("GOOGLETRANSLATE(J1052,""EN"",""ES"")"),"N / A")</f>
        <v>N / A</v>
      </c>
      <c r="M1052" s="8" t="s">
        <v>22</v>
      </c>
      <c r="N1052" s="8" t="s">
        <v>22</v>
      </c>
    </row>
    <row r="1053" spans="1:14" ht="11.25" customHeight="1">
      <c r="A1053" s="5" t="s">
        <v>3028</v>
      </c>
      <c r="B1053" s="5" t="s">
        <v>3029</v>
      </c>
      <c r="C1053" s="5" t="s">
        <v>3109</v>
      </c>
      <c r="D1053" s="5" t="s">
        <v>3031</v>
      </c>
      <c r="E1053" s="5" t="s">
        <v>23</v>
      </c>
      <c r="F1053" s="5" t="s">
        <v>3032</v>
      </c>
      <c r="G1053" s="5" t="s">
        <v>3033</v>
      </c>
      <c r="H1053" s="5" t="s">
        <v>3034</v>
      </c>
      <c r="I1053" s="5" t="s">
        <v>3110</v>
      </c>
      <c r="J1053" s="5" t="s">
        <v>3111</v>
      </c>
      <c r="K1053" s="7" t="str">
        <f ca="1">IFERROR(__xludf.DUMMYFUNCTION("GOOGLETRANSLATE(H1053,""EN"",""ES"")"),"CHINA, CRISTALERÍA, VAJILLAS Y OTROS ARTÍCULOS DE NATURALEZA SIMILAR")</f>
        <v>CHINA, CRISTALERÍA, VAJILLAS Y OTROS ARTÍCULOS DE NATURALEZA SIMILAR</v>
      </c>
      <c r="L1053" s="5" t="str">
        <f ca="1">IFERROR(__xludf.DUMMYFUNCTION("GOOGLETRANSLATE(J1053,""EN"",""ES"")"),"platos de queso")</f>
        <v>platos de queso</v>
      </c>
      <c r="M1053" s="8" t="s">
        <v>22</v>
      </c>
      <c r="N1053" s="8" t="s">
        <v>22</v>
      </c>
    </row>
    <row r="1054" spans="1:14" ht="11.25" customHeight="1">
      <c r="A1054" s="5" t="s">
        <v>3028</v>
      </c>
      <c r="B1054" s="5" t="s">
        <v>3029</v>
      </c>
      <c r="C1054" s="5" t="s">
        <v>3109</v>
      </c>
      <c r="D1054" s="5" t="s">
        <v>3031</v>
      </c>
      <c r="E1054" s="5" t="s">
        <v>23</v>
      </c>
      <c r="F1054" s="5" t="s">
        <v>3032</v>
      </c>
      <c r="G1054" s="5" t="s">
        <v>3033</v>
      </c>
      <c r="H1054" s="5" t="s">
        <v>3034</v>
      </c>
      <c r="I1054" s="5" t="s">
        <v>3112</v>
      </c>
      <c r="J1054" s="5" t="s">
        <v>152</v>
      </c>
      <c r="K1054" s="7" t="str">
        <f ca="1">IFERROR(__xludf.DUMMYFUNCTION("GOOGLETRANSLATE(H1054,""EN"",""ES"")"),"CHINA, CRISTALERÍA, VAJILLAS Y OTROS ARTÍCULOS DE NATURALEZA SIMILAR")</f>
        <v>CHINA, CRISTALERÍA, VAJILLAS Y OTROS ARTÍCULOS DE NATURALEZA SIMILAR</v>
      </c>
      <c r="L1054" s="5" t="str">
        <f ca="1">IFERROR(__xludf.DUMMYFUNCTION("GOOGLETRANSLATE(J1054,""EN"",""ES"")"),"Tablas de quesos")</f>
        <v>Tablas de quesos</v>
      </c>
      <c r="M1054" s="8" t="s">
        <v>22</v>
      </c>
      <c r="N1054" s="8" t="s">
        <v>22</v>
      </c>
    </row>
    <row r="1055" spans="1:14" ht="11.25" customHeight="1">
      <c r="A1055" s="5" t="s">
        <v>3028</v>
      </c>
      <c r="B1055" s="5" t="s">
        <v>3029</v>
      </c>
      <c r="C1055" s="5" t="s">
        <v>3113</v>
      </c>
      <c r="D1055" s="5" t="s">
        <v>3031</v>
      </c>
      <c r="E1055" s="5" t="s">
        <v>23</v>
      </c>
      <c r="F1055" s="5" t="s">
        <v>3032</v>
      </c>
      <c r="G1055" s="5" t="s">
        <v>3033</v>
      </c>
      <c r="H1055" s="5" t="s">
        <v>3034</v>
      </c>
      <c r="I1055" s="5" t="s">
        <v>3114</v>
      </c>
      <c r="J1055" s="5" t="s">
        <v>3115</v>
      </c>
      <c r="K1055" s="7" t="str">
        <f ca="1">IFERROR(__xludf.DUMMYFUNCTION("GOOGLETRANSLATE(H1055,""EN"",""ES"")"),"CHINA, CRISTALERÍA, VAJILLAS Y OTROS ARTÍCULOS DE NATURALEZA SIMILAR")</f>
        <v>CHINA, CRISTALERÍA, VAJILLAS Y OTROS ARTÍCULOS DE NATURALEZA SIMILAR</v>
      </c>
      <c r="L1055" s="5" t="str">
        <f ca="1">IFERROR(__xludf.DUMMYFUNCTION("GOOGLETRANSLATE(J1055,""EN"",""ES"")"),"Platos")</f>
        <v>Platos</v>
      </c>
      <c r="M1055" s="8" t="s">
        <v>22</v>
      </c>
      <c r="N1055" s="8" t="s">
        <v>22</v>
      </c>
    </row>
    <row r="1056" spans="1:14" ht="11.25" customHeight="1">
      <c r="A1056" s="5" t="s">
        <v>3028</v>
      </c>
      <c r="B1056" s="5" t="s">
        <v>3029</v>
      </c>
      <c r="C1056" s="5" t="s">
        <v>3116</v>
      </c>
      <c r="D1056" s="5" t="s">
        <v>3031</v>
      </c>
      <c r="E1056" s="5" t="s">
        <v>23</v>
      </c>
      <c r="F1056" s="5" t="s">
        <v>3032</v>
      </c>
      <c r="G1056" s="5" t="s">
        <v>3033</v>
      </c>
      <c r="H1056" s="5" t="s">
        <v>3034</v>
      </c>
      <c r="I1056" s="5" t="s">
        <v>3117</v>
      </c>
      <c r="J1056" s="5" t="s">
        <v>3118</v>
      </c>
      <c r="K1056" s="7" t="str">
        <f ca="1">IFERROR(__xludf.DUMMYFUNCTION("GOOGLETRANSLATE(H1056,""EN"",""ES"")"),"CHINA, CRISTALERÍA, VAJILLAS Y OTROS ARTÍCULOS DE NATURALEZA SIMILAR")</f>
        <v>CHINA, CRISTALERÍA, VAJILLAS Y OTROS ARTÍCULOS DE NATURALEZA SIMILAR</v>
      </c>
      <c r="L1056" s="5" t="str">
        <f ca="1">IFERROR(__xludf.DUMMYFUNCTION("GOOGLETRANSLATE(J1056,""EN"",""ES"")"),"China [vajilla]")</f>
        <v>China [vajilla]</v>
      </c>
      <c r="M1056" s="8" t="s">
        <v>22</v>
      </c>
      <c r="N1056" s="8" t="s">
        <v>22</v>
      </c>
    </row>
    <row r="1057" spans="1:14" ht="11.25" customHeight="1">
      <c r="A1057" s="5" t="s">
        <v>3028</v>
      </c>
      <c r="B1057" s="5" t="s">
        <v>3029</v>
      </c>
      <c r="C1057" s="5" t="s">
        <v>3119</v>
      </c>
      <c r="D1057" s="5" t="s">
        <v>3031</v>
      </c>
      <c r="E1057" s="5" t="s">
        <v>23</v>
      </c>
      <c r="F1057" s="5" t="s">
        <v>3032</v>
      </c>
      <c r="G1057" s="5" t="s">
        <v>3033</v>
      </c>
      <c r="H1057" s="5" t="s">
        <v>3034</v>
      </c>
      <c r="I1057" s="5" t="s">
        <v>3120</v>
      </c>
      <c r="J1057" s="5" t="s">
        <v>3121</v>
      </c>
      <c r="K1057" s="7" t="str">
        <f ca="1">IFERROR(__xludf.DUMMYFUNCTION("GOOGLETRANSLATE(H1057,""EN"",""ES"")"),"CHINA, CRISTALERÍA, VAJILLAS Y OTROS ARTÍCULOS DE NATURALEZA SIMILAR")</f>
        <v>CHINA, CRISTALERÍA, VAJILLAS Y OTROS ARTÍCULOS DE NATURALEZA SIMILAR</v>
      </c>
      <c r="L1057" s="5" t="str">
        <f ca="1">IFERROR(__xludf.DUMMYFUNCTION("GOOGLETRANSLATE(J1057,""EN"",""ES"")"),"Ollas [hogar]")</f>
        <v>Ollas [hogar]</v>
      </c>
      <c r="M1057" s="8" t="s">
        <v>22</v>
      </c>
      <c r="N1057" s="8" t="s">
        <v>22</v>
      </c>
    </row>
    <row r="1058" spans="1:14" ht="11.25" customHeight="1">
      <c r="A1058" s="5" t="s">
        <v>3028</v>
      </c>
      <c r="B1058" s="5" t="s">
        <v>3029</v>
      </c>
      <c r="C1058" s="5" t="s">
        <v>3122</v>
      </c>
      <c r="D1058" s="5" t="s">
        <v>3031</v>
      </c>
      <c r="E1058" s="5" t="s">
        <v>23</v>
      </c>
      <c r="F1058" s="5" t="s">
        <v>3032</v>
      </c>
      <c r="G1058" s="5" t="s">
        <v>3033</v>
      </c>
      <c r="H1058" s="5" t="s">
        <v>3034</v>
      </c>
      <c r="I1058" s="5" t="s">
        <v>3123</v>
      </c>
      <c r="J1058" s="5" t="s">
        <v>3124</v>
      </c>
      <c r="K1058" s="7" t="str">
        <f ca="1">IFERROR(__xludf.DUMMYFUNCTION("GOOGLETRANSLATE(H1058,""EN"",""ES"")"),"CHINA, CRISTALERÍA, VAJILLAS Y OTROS ARTÍCULOS DE NATURALEZA SIMILAR")</f>
        <v>CHINA, CRISTALERÍA, VAJILLAS Y OTROS ARTÍCULOS DE NATURALEZA SIMILAR</v>
      </c>
      <c r="L1058" s="5" t="str">
        <f ca="1">IFERROR(__xludf.DUMMYFUNCTION("GOOGLETRANSLATE(J1058,""EN"",""ES"")"),"Enfriadores para mantequilla")</f>
        <v>Enfriadores para mantequilla</v>
      </c>
      <c r="M1058" s="8" t="s">
        <v>22</v>
      </c>
      <c r="N1058" s="8" t="s">
        <v>22</v>
      </c>
    </row>
    <row r="1059" spans="1:14" ht="11.25" customHeight="1">
      <c r="A1059" s="5" t="s">
        <v>3028</v>
      </c>
      <c r="B1059" s="5" t="s">
        <v>3029</v>
      </c>
      <c r="C1059" s="5" t="s">
        <v>3125</v>
      </c>
      <c r="D1059" s="5" t="s">
        <v>3031</v>
      </c>
      <c r="E1059" s="5" t="s">
        <v>23</v>
      </c>
      <c r="F1059" s="5" t="s">
        <v>3032</v>
      </c>
      <c r="G1059" s="5" t="s">
        <v>3033</v>
      </c>
      <c r="H1059" s="5" t="s">
        <v>3034</v>
      </c>
      <c r="I1059" s="5" t="s">
        <v>3126</v>
      </c>
      <c r="J1059" s="5" t="s">
        <v>3127</v>
      </c>
      <c r="K1059" s="7" t="str">
        <f ca="1">IFERROR(__xludf.DUMMYFUNCTION("GOOGLETRANSLATE(H1059,""EN"",""ES"")"),"CHINA, CRISTALERÍA, VAJILLAS Y OTROS ARTÍCULOS DE NATURALEZA SIMILAR")</f>
        <v>CHINA, CRISTALERÍA, VAJILLAS Y OTROS ARTÍCULOS DE NATURALEZA SIMILAR</v>
      </c>
      <c r="L1059" s="5" t="str">
        <f ca="1">IFERROR(__xludf.DUMMYFUNCTION("GOOGLETRANSLATE(J1059,""EN"",""ES"")"),"Neveras [hogar]")</f>
        <v>Neveras [hogar]</v>
      </c>
      <c r="M1059" s="8" t="s">
        <v>22</v>
      </c>
      <c r="N1059" s="8" t="s">
        <v>25</v>
      </c>
    </row>
    <row r="1060" spans="1:14" ht="11.25" customHeight="1">
      <c r="A1060" s="5" t="s">
        <v>3028</v>
      </c>
      <c r="B1060" s="5" t="s">
        <v>3029</v>
      </c>
      <c r="C1060" s="5" t="s">
        <v>3128</v>
      </c>
      <c r="D1060" s="5" t="s">
        <v>3031</v>
      </c>
      <c r="E1060" s="5" t="s">
        <v>23</v>
      </c>
      <c r="F1060" s="5" t="s">
        <v>3032</v>
      </c>
      <c r="G1060" s="5" t="s">
        <v>3033</v>
      </c>
      <c r="H1060" s="5" t="s">
        <v>3034</v>
      </c>
      <c r="I1060" s="5" t="s">
        <v>3129</v>
      </c>
      <c r="J1060" s="5" t="s">
        <v>3130</v>
      </c>
      <c r="K1060" s="7" t="str">
        <f ca="1">IFERROR(__xludf.DUMMYFUNCTION("GOOGLETRANSLATE(H1060,""EN"",""ES"")"),"CHINA, CRISTALERÍA, VAJILLAS Y OTROS ARTÍCULOS DE NATURALEZA SIMILAR")</f>
        <v>CHINA, CRISTALERÍA, VAJILLAS Y OTROS ARTÍCULOS DE NATURALEZA SIMILAR</v>
      </c>
      <c r="L1060" s="5" t="str">
        <f ca="1">IFERROR(__xludf.DUMMYFUNCTION("GOOGLETRANSLATE(J1060,""EN"",""ES"")"),"Enfriadores para vino")</f>
        <v>Enfriadores para vino</v>
      </c>
      <c r="M1060" s="8" t="s">
        <v>22</v>
      </c>
      <c r="N1060" s="8" t="s">
        <v>25</v>
      </c>
    </row>
    <row r="1061" spans="1:14" ht="11.25" customHeight="1">
      <c r="A1061" s="5" t="s">
        <v>3028</v>
      </c>
      <c r="B1061" s="5" t="s">
        <v>3029</v>
      </c>
      <c r="C1061" s="5" t="s">
        <v>3131</v>
      </c>
      <c r="D1061" s="5" t="s">
        <v>3031</v>
      </c>
      <c r="E1061" s="5" t="s">
        <v>23</v>
      </c>
      <c r="F1061" s="5" t="s">
        <v>3032</v>
      </c>
      <c r="G1061" s="5" t="s">
        <v>3033</v>
      </c>
      <c r="H1061" s="5" t="s">
        <v>3034</v>
      </c>
      <c r="I1061" s="5" t="s">
        <v>3132</v>
      </c>
      <c r="J1061" s="5" t="s">
        <v>3133</v>
      </c>
      <c r="K1061" s="7" t="str">
        <f ca="1">IFERROR(__xludf.DUMMYFUNCTION("GOOGLETRANSLATE(H1061,""EN"",""ES"")"),"CHINA, CRISTALERÍA, VAJILLAS Y OTROS ARTÍCULOS DE NATURALEZA SIMILAR")</f>
        <v>CHINA, CRISTALERÍA, VAJILLAS Y OTROS ARTÍCULOS DE NATURALEZA SIMILAR</v>
      </c>
      <c r="L1061" s="5" t="str">
        <f ca="1">IFERROR(__xludf.DUMMYFUNCTION("GOOGLETRANSLATE(J1061,""EN"",""ES"")"),"Platos entremeses")</f>
        <v>Platos entremeses</v>
      </c>
      <c r="M1061" s="8" t="s">
        <v>22</v>
      </c>
      <c r="N1061" s="8" t="s">
        <v>22</v>
      </c>
    </row>
    <row r="1062" spans="1:14" ht="11.25" customHeight="1">
      <c r="A1062" s="5" t="s">
        <v>3028</v>
      </c>
      <c r="B1062" s="5" t="s">
        <v>3029</v>
      </c>
      <c r="C1062" s="5" t="s">
        <v>3134</v>
      </c>
      <c r="D1062" s="5" t="s">
        <v>3031</v>
      </c>
      <c r="E1062" s="5" t="s">
        <v>23</v>
      </c>
      <c r="F1062" s="5" t="s">
        <v>3032</v>
      </c>
      <c r="G1062" s="5" t="s">
        <v>3033</v>
      </c>
      <c r="H1062" s="5" t="s">
        <v>3034</v>
      </c>
      <c r="I1062" s="5" t="s">
        <v>3135</v>
      </c>
      <c r="J1062" s="5" t="s">
        <v>3136</v>
      </c>
      <c r="K1062" s="7" t="str">
        <f ca="1">IFERROR(__xludf.DUMMYFUNCTION("GOOGLETRANSLATE(H1062,""EN"",""ES"")"),"CHINA, CRISTALERÍA, VAJILLAS Y OTROS ARTÍCULOS DE NATURALEZA SIMILAR")</f>
        <v>CHINA, CRISTALERÍA, VAJILLAS Y OTROS ARTÍCULOS DE NATURALEZA SIMILAR</v>
      </c>
      <c r="L1062" s="5" t="str">
        <f ca="1">IFERROR(__xludf.DUMMYFUNCTION("GOOGLETRANSLATE(J1062,""EN"",""ES"")"),"Enfriadores para caviar")</f>
        <v>Enfriadores para caviar</v>
      </c>
      <c r="M1062" s="8" t="s">
        <v>22</v>
      </c>
      <c r="N1062" s="8" t="s">
        <v>25</v>
      </c>
    </row>
    <row r="1063" spans="1:14" ht="11.25" customHeight="1">
      <c r="A1063" s="5" t="s">
        <v>3028</v>
      </c>
      <c r="B1063" s="5" t="s">
        <v>3029</v>
      </c>
      <c r="C1063" s="5" t="s">
        <v>3137</v>
      </c>
      <c r="D1063" s="5" t="s">
        <v>3031</v>
      </c>
      <c r="E1063" s="5" t="s">
        <v>23</v>
      </c>
      <c r="F1063" s="5" t="s">
        <v>3032</v>
      </c>
      <c r="G1063" s="5" t="s">
        <v>3033</v>
      </c>
      <c r="H1063" s="5" t="s">
        <v>3034</v>
      </c>
      <c r="I1063" s="5" t="s">
        <v>3138</v>
      </c>
      <c r="J1063" s="5" t="s">
        <v>3139</v>
      </c>
      <c r="K1063" s="7" t="str">
        <f ca="1">IFERROR(__xludf.DUMMYFUNCTION("GOOGLETRANSLATE(H1063,""EN"",""ES"")"),"CHINA, CRISTALERÍA, VAJILLAS Y OTROS ARTÍCULOS DE NATURALEZA SIMILAR")</f>
        <v>CHINA, CRISTALERÍA, VAJILLAS Y OTROS ARTÍCULOS DE NATURALEZA SIMILAR</v>
      </c>
      <c r="L1063" s="5" t="str">
        <f ca="1">IFERROR(__xludf.DUMMYFUNCTION("GOOGLETRANSLATE(J1063,""EN"",""ES"")"),"ensaladeras")</f>
        <v>ensaladeras</v>
      </c>
      <c r="M1063" s="8" t="s">
        <v>22</v>
      </c>
      <c r="N1063" s="8" t="s">
        <v>22</v>
      </c>
    </row>
    <row r="1064" spans="1:14" ht="11.25" customHeight="1">
      <c r="A1064" s="5" t="s">
        <v>3028</v>
      </c>
      <c r="B1064" s="5" t="s">
        <v>3029</v>
      </c>
      <c r="C1064" s="5" t="s">
        <v>3140</v>
      </c>
      <c r="D1064" s="5" t="s">
        <v>3031</v>
      </c>
      <c r="E1064" s="5" t="s">
        <v>23</v>
      </c>
      <c r="F1064" s="5" t="s">
        <v>3032</v>
      </c>
      <c r="G1064" s="5" t="s">
        <v>3033</v>
      </c>
      <c r="H1064" s="5" t="s">
        <v>3034</v>
      </c>
      <c r="I1064" s="5" t="s">
        <v>3141</v>
      </c>
      <c r="J1064" s="5" t="s">
        <v>3142</v>
      </c>
      <c r="K1064" s="7" t="str">
        <f ca="1">IFERROR(__xludf.DUMMYFUNCTION("GOOGLETRANSLATE(H1064,""EN"",""ES"")"),"CHINA, CRISTALERÍA, VAJILLAS Y OTROS ARTÍCULOS DE NATURALEZA SIMILAR")</f>
        <v>CHINA, CRISTALERÍA, VAJILLAS Y OTROS ARTÍCULOS DE NATURALEZA SIMILAR</v>
      </c>
      <c r="L1064" s="5" t="str">
        <f ca="1">IFERROR(__xludf.DUMMYFUNCTION("GOOGLETRANSLATE(J1064,""EN"",""ES"")"),"Salseras")</f>
        <v>Salseras</v>
      </c>
      <c r="M1064" s="8" t="s">
        <v>22</v>
      </c>
      <c r="N1064" s="8" t="s">
        <v>22</v>
      </c>
    </row>
    <row r="1065" spans="1:14" ht="11.25" customHeight="1">
      <c r="A1065" s="5" t="s">
        <v>3028</v>
      </c>
      <c r="B1065" s="5" t="s">
        <v>3029</v>
      </c>
      <c r="C1065" s="5" t="s">
        <v>3143</v>
      </c>
      <c r="D1065" s="5" t="s">
        <v>3031</v>
      </c>
      <c r="E1065" s="5" t="s">
        <v>23</v>
      </c>
      <c r="F1065" s="5" t="s">
        <v>3032</v>
      </c>
      <c r="G1065" s="5" t="s">
        <v>3033</v>
      </c>
      <c r="H1065" s="5" t="s">
        <v>3034</v>
      </c>
      <c r="I1065" s="5" t="s">
        <v>3144</v>
      </c>
      <c r="J1065" s="5" t="s">
        <v>3145</v>
      </c>
      <c r="K1065" s="7" t="str">
        <f ca="1">IFERROR(__xludf.DUMMYFUNCTION("GOOGLETRANSLATE(H1065,""EN"",""ES"")"),"CHINA, CRISTALERÍA, VAJILLAS Y OTROS ARTÍCULOS DE NATURALEZA SIMILAR")</f>
        <v>CHINA, CRISTALERÍA, VAJILLAS Y OTROS ARTÍCULOS DE NATURALEZA SIMILAR</v>
      </c>
      <c r="L1065" s="5" t="str">
        <f ca="1">IFERROR(__xludf.DUMMYFUNCTION("GOOGLETRANSLATE(J1065,""EN"",""ES"")"),"Servicios de te")</f>
        <v>Servicios de te</v>
      </c>
      <c r="M1065" s="8" t="s">
        <v>22</v>
      </c>
      <c r="N1065" s="8" t="s">
        <v>22</v>
      </c>
    </row>
    <row r="1066" spans="1:14" ht="11.25" customHeight="1">
      <c r="A1066" s="5" t="s">
        <v>3028</v>
      </c>
      <c r="B1066" s="5" t="s">
        <v>3029</v>
      </c>
      <c r="C1066" s="5" t="s">
        <v>3146</v>
      </c>
      <c r="D1066" s="5" t="s">
        <v>3031</v>
      </c>
      <c r="E1066" s="5" t="s">
        <v>23</v>
      </c>
      <c r="F1066" s="5" t="s">
        <v>3032</v>
      </c>
      <c r="G1066" s="5" t="s">
        <v>3033</v>
      </c>
      <c r="H1066" s="5" t="s">
        <v>3034</v>
      </c>
      <c r="I1066" s="5" t="s">
        <v>3147</v>
      </c>
      <c r="J1066" s="5" t="s">
        <v>3148</v>
      </c>
      <c r="K1066" s="7" t="str">
        <f ca="1">IFERROR(__xludf.DUMMYFUNCTION("GOOGLETRANSLATE(H1066,""EN"",""ES"")"),"CHINA, CRISTALERÍA, VAJILLAS Y OTROS ARTÍCULOS DE NATURALEZA SIMILAR")</f>
        <v>CHINA, CRISTALERÍA, VAJILLAS Y OTROS ARTÍCULOS DE NATURALEZA SIMILAR</v>
      </c>
      <c r="L1066" s="5" t="str">
        <f ca="1">IFERROR(__xludf.DUMMYFUNCTION("GOOGLETRANSLATE(J1066,""EN"",""ES"")"),"Sifones [para agua carbonatada]")</f>
        <v>Sifones [para agua carbonatada]</v>
      </c>
      <c r="M1066" s="8" t="s">
        <v>22</v>
      </c>
      <c r="N1066" s="8" t="s">
        <v>22</v>
      </c>
    </row>
    <row r="1067" spans="1:14" ht="11.25" customHeight="1">
      <c r="A1067" s="5" t="s">
        <v>3028</v>
      </c>
      <c r="B1067" s="5" t="s">
        <v>3029</v>
      </c>
      <c r="C1067" s="5" t="s">
        <v>3149</v>
      </c>
      <c r="D1067" s="5" t="s">
        <v>3031</v>
      </c>
      <c r="E1067" s="5" t="s">
        <v>23</v>
      </c>
      <c r="F1067" s="5" t="s">
        <v>3032</v>
      </c>
      <c r="G1067" s="5" t="s">
        <v>3033</v>
      </c>
      <c r="H1067" s="5" t="s">
        <v>3034</v>
      </c>
      <c r="I1067" s="5" t="s">
        <v>3150</v>
      </c>
      <c r="J1067" s="5" t="s">
        <v>3151</v>
      </c>
      <c r="K1067" s="7" t="str">
        <f ca="1">IFERROR(__xludf.DUMMYFUNCTION("GOOGLETRANSLATE(H1067,""EN"",""ES"")"),"CHINA, CRISTALERÍA, VAJILLAS Y OTROS ARTÍCULOS DE NATURALEZA SIMILAR")</f>
        <v>CHINA, CRISTALERÍA, VAJILLAS Y OTROS ARTÍCULOS DE NATURALEZA SIMILAR</v>
      </c>
      <c r="L1067" s="5" t="str">
        <f ca="1">IFERROR(__xludf.DUMMYFUNCTION("GOOGLETRANSLATE(J1067,""EN"",""ES"")"),"Platillos")</f>
        <v>Platillos</v>
      </c>
      <c r="M1067" s="8" t="s">
        <v>22</v>
      </c>
      <c r="N1067" s="8" t="s">
        <v>22</v>
      </c>
    </row>
    <row r="1068" spans="1:14" ht="11.25" customHeight="1">
      <c r="A1068" s="5" t="s">
        <v>3028</v>
      </c>
      <c r="B1068" s="5" t="s">
        <v>3029</v>
      </c>
      <c r="C1068" s="5" t="s">
        <v>3152</v>
      </c>
      <c r="D1068" s="5" t="s">
        <v>3031</v>
      </c>
      <c r="E1068" s="5" t="s">
        <v>23</v>
      </c>
      <c r="F1068" s="5" t="s">
        <v>3032</v>
      </c>
      <c r="G1068" s="5" t="s">
        <v>3033</v>
      </c>
      <c r="H1068" s="5" t="s">
        <v>3034</v>
      </c>
      <c r="I1068" s="5" t="s">
        <v>3153</v>
      </c>
      <c r="J1068" s="5" t="s">
        <v>3154</v>
      </c>
      <c r="K1068" s="7" t="str">
        <f ca="1">IFERROR(__xludf.DUMMYFUNCTION("GOOGLETRANSLATE(H1068,""EN"",""ES"")"),"CHINA, CRISTALERÍA, VAJILLAS Y OTROS ARTÍCULOS DE NATURALEZA SIMILAR")</f>
        <v>CHINA, CRISTALERÍA, VAJILLAS Y OTROS ARTÍCULOS DE NATURALEZA SIMILAR</v>
      </c>
      <c r="L1068" s="5" t="str">
        <f ca="1">IFERROR(__xludf.DUMMYFUNCTION("GOOGLETRANSLATE(J1068,""EN"",""ES"")"),"soperas")</f>
        <v>soperas</v>
      </c>
      <c r="M1068" s="8" t="s">
        <v>22</v>
      </c>
      <c r="N1068" s="8" t="s">
        <v>22</v>
      </c>
    </row>
    <row r="1069" spans="1:14" ht="11.25" customHeight="1">
      <c r="A1069" s="5" t="s">
        <v>3028</v>
      </c>
      <c r="B1069" s="5" t="s">
        <v>3029</v>
      </c>
      <c r="C1069" s="5" t="s">
        <v>3155</v>
      </c>
      <c r="D1069" s="5" t="s">
        <v>3031</v>
      </c>
      <c r="E1069" s="5" t="s">
        <v>23</v>
      </c>
      <c r="F1069" s="5" t="s">
        <v>3032</v>
      </c>
      <c r="G1069" s="5" t="s">
        <v>3033</v>
      </c>
      <c r="H1069" s="5" t="s">
        <v>3034</v>
      </c>
      <c r="I1069" s="5" t="s">
        <v>3156</v>
      </c>
      <c r="J1069" s="5" t="s">
        <v>3157</v>
      </c>
      <c r="K1069" s="7" t="str">
        <f ca="1">IFERROR(__xludf.DUMMYFUNCTION("GOOGLETRANSLATE(H1069,""EN"",""ES"")"),"CHINA, CRISTALERÍA, VAJILLAS Y OTROS ARTÍCULOS DE NATURALEZA SIMILAR")</f>
        <v>CHINA, CRISTALERÍA, VAJILLAS Y OTROS ARTÍCULOS DE NATURALEZA SIMILAR</v>
      </c>
      <c r="L1069" s="5" t="str">
        <f ca="1">IFERROR(__xludf.DUMMYFUNCTION("GOOGLETRANSLATE(J1069,""EN"",""ES"")"),"tazas")</f>
        <v>tazas</v>
      </c>
      <c r="M1069" s="8" t="s">
        <v>22</v>
      </c>
      <c r="N1069" s="8" t="s">
        <v>22</v>
      </c>
    </row>
    <row r="1070" spans="1:14" ht="11.25" customHeight="1">
      <c r="A1070" s="5" t="s">
        <v>3028</v>
      </c>
      <c r="B1070" s="5" t="s">
        <v>3029</v>
      </c>
      <c r="C1070" s="5" t="s">
        <v>3158</v>
      </c>
      <c r="D1070" s="5" t="s">
        <v>3031</v>
      </c>
      <c r="E1070" s="5" t="s">
        <v>23</v>
      </c>
      <c r="F1070" s="5" t="s">
        <v>3032</v>
      </c>
      <c r="G1070" s="5" t="s">
        <v>3033</v>
      </c>
      <c r="H1070" s="5" t="s">
        <v>3034</v>
      </c>
      <c r="I1070" s="5" t="s">
        <v>3159</v>
      </c>
      <c r="J1070" s="5" t="s">
        <v>3160</v>
      </c>
      <c r="K1070" s="7" t="str">
        <f ca="1">IFERROR(__xludf.DUMMYFUNCTION("GOOGLETRANSLATE(H1070,""EN"",""ES"")"),"CHINA, CRISTALERÍA, VAJILLAS Y OTROS ARTÍCULOS DE NATURALEZA SIMILAR")</f>
        <v>CHINA, CRISTALERÍA, VAJILLAS Y OTROS ARTÍCULOS DE NATURALEZA SIMILAR</v>
      </c>
      <c r="L1070" s="5" t="str">
        <f ca="1">IFERROR(__xludf.DUMMYFUNCTION("GOOGLETRANSLATE(J1070,""EN"",""ES"")"),"Copas de cata de vinos")</f>
        <v>Copas de cata de vinos</v>
      </c>
      <c r="M1070" s="8" t="s">
        <v>22</v>
      </c>
      <c r="N1070" s="8" t="s">
        <v>22</v>
      </c>
    </row>
    <row r="1071" spans="1:14" ht="11.25" customHeight="1">
      <c r="A1071" s="5" t="s">
        <v>3028</v>
      </c>
      <c r="B1071" s="5" t="s">
        <v>3029</v>
      </c>
      <c r="C1071" s="5" t="s">
        <v>3161</v>
      </c>
      <c r="D1071" s="5" t="s">
        <v>3031</v>
      </c>
      <c r="E1071" s="5" t="s">
        <v>23</v>
      </c>
      <c r="F1071" s="5" t="s">
        <v>3032</v>
      </c>
      <c r="G1071" s="5" t="s">
        <v>3033</v>
      </c>
      <c r="H1071" s="5" t="s">
        <v>3034</v>
      </c>
      <c r="I1071" s="5" t="s">
        <v>3162</v>
      </c>
      <c r="J1071" s="5" t="s">
        <v>3163</v>
      </c>
      <c r="K1071" s="7" t="str">
        <f ca="1">IFERROR(__xludf.DUMMYFUNCTION("GOOGLETRANSLATE(H1071,""EN"",""ES"")"),"CHINA, CRISTALERÍA, VAJILLAS Y OTROS ARTÍCULOS DE NATURALEZA SIMILAR")</f>
        <v>CHINA, CRISTALERÍA, VAJILLAS Y OTROS ARTÍCULOS DE NATURALEZA SIMILAR</v>
      </c>
      <c r="L1071" s="5" t="str">
        <f ca="1">IFERROR(__xludf.DUMMYFUNCTION("GOOGLETRANSLATE(J1071,""EN"",""ES"")"),"Catadores de vino [sifones]")</f>
        <v>Catadores de vino [sifones]</v>
      </c>
      <c r="M1071" s="8" t="s">
        <v>22</v>
      </c>
      <c r="N1071" s="8" t="s">
        <v>22</v>
      </c>
    </row>
    <row r="1072" spans="1:14" ht="11.25" customHeight="1">
      <c r="A1072" s="5" t="s">
        <v>3028</v>
      </c>
      <c r="B1072" s="5" t="s">
        <v>3029</v>
      </c>
      <c r="C1072" s="5" t="s">
        <v>3164</v>
      </c>
      <c r="D1072" s="5" t="s">
        <v>3031</v>
      </c>
      <c r="E1072" s="5" t="s">
        <v>23</v>
      </c>
      <c r="F1072" s="5" t="s">
        <v>3032</v>
      </c>
      <c r="G1072" s="5" t="s">
        <v>3033</v>
      </c>
      <c r="H1072" s="5" t="s">
        <v>3034</v>
      </c>
      <c r="I1072" s="5" t="s">
        <v>3165</v>
      </c>
      <c r="J1072" s="5" t="s">
        <v>3166</v>
      </c>
      <c r="K1072" s="7" t="str">
        <f ca="1">IFERROR(__xludf.DUMMYFUNCTION("GOOGLETRANSLATE(H1072,""EN"",""ES"")"),"CHINA, CRISTALERÍA, VAJILLAS Y OTROS ARTÍCULOS DE NATURALEZA SIMILAR")</f>
        <v>CHINA, CRISTALERÍA, VAJILLAS Y OTROS ARTÍCULOS DE NATURALEZA SIMILAR</v>
      </c>
      <c r="L1072" s="5" t="str">
        <f ca="1">IFERROR(__xludf.DUMMYFUNCTION("GOOGLETRANSLATE(J1072,""EN"",""ES"")"),"Terrinas [ollas de barro]")</f>
        <v>Terrinas [ollas de barro]</v>
      </c>
      <c r="M1072" s="8" t="s">
        <v>22</v>
      </c>
      <c r="N1072" s="8" t="s">
        <v>22</v>
      </c>
    </row>
    <row r="1073" spans="1:14" ht="11.25" customHeight="1">
      <c r="A1073" s="5" t="s">
        <v>3028</v>
      </c>
      <c r="B1073" s="5" t="s">
        <v>3029</v>
      </c>
      <c r="C1073" s="5" t="s">
        <v>3167</v>
      </c>
      <c r="D1073" s="5" t="s">
        <v>3031</v>
      </c>
      <c r="E1073" s="5" t="s">
        <v>23</v>
      </c>
      <c r="F1073" s="5" t="s">
        <v>3032</v>
      </c>
      <c r="G1073" s="5" t="s">
        <v>3033</v>
      </c>
      <c r="H1073" s="5" t="s">
        <v>3034</v>
      </c>
      <c r="I1073" s="5" t="s">
        <v>3168</v>
      </c>
      <c r="J1073" s="5" t="s">
        <v>3169</v>
      </c>
      <c r="K1073" s="7" t="str">
        <f ca="1">IFERROR(__xludf.DUMMYFUNCTION("GOOGLETRANSLATE(H1073,""EN"",""ES"")"),"CHINA, CRISTALERÍA, VAJILLAS Y OTROS ARTÍCULOS DE NATURALEZA SIMILAR")</f>
        <v>CHINA, CRISTALERÍA, VAJILLAS Y OTROS ARTÍCULOS DE NATURALEZA SIMILAR</v>
      </c>
      <c r="L1073" s="5" t="str">
        <f ca="1">IFERROR(__xludf.DUMMYFUNCTION("GOOGLETRANSLATE(J1073,""EN"",""ES"")"),"Teteras")</f>
        <v>Teteras</v>
      </c>
      <c r="M1073" s="8" t="s">
        <v>22</v>
      </c>
      <c r="N1073" s="8" t="s">
        <v>22</v>
      </c>
    </row>
    <row r="1074" spans="1:14" ht="11.25" customHeight="1">
      <c r="A1074" s="5" t="s">
        <v>3028</v>
      </c>
      <c r="B1074" s="5" t="s">
        <v>3029</v>
      </c>
      <c r="C1074" s="5" t="s">
        <v>3170</v>
      </c>
      <c r="D1074" s="5" t="s">
        <v>3031</v>
      </c>
      <c r="E1074" s="5" t="s">
        <v>23</v>
      </c>
      <c r="F1074" s="5" t="s">
        <v>3032</v>
      </c>
      <c r="G1074" s="5" t="s">
        <v>3033</v>
      </c>
      <c r="H1074" s="5" t="s">
        <v>3034</v>
      </c>
      <c r="I1074" s="5" t="s">
        <v>3171</v>
      </c>
      <c r="J1074" s="5" t="s">
        <v>3172</v>
      </c>
      <c r="K1074" s="7" t="str">
        <f ca="1">IFERROR(__xludf.DUMMYFUNCTION("GOOGLETRANSLATE(H1074,""EN"",""ES"")"),"CHINA, CRISTALERÍA, VAJILLAS Y OTROS ARTÍCULOS DE NATURALEZA SIMILAR")</f>
        <v>CHINA, CRISTALERÍA, VAJILLAS Y OTROS ARTÍCULOS DE NATURALEZA SIMILAR</v>
      </c>
      <c r="L1074" s="5" t="str">
        <f ca="1">IFERROR(__xludf.DUMMYFUNCTION("GOOGLETRANSLATE(J1074,""EN"",""ES"")"),"Platos y fuentes [excepto los puramente ornamentales]")</f>
        <v>Platos y fuentes [excepto los puramente ornamentales]</v>
      </c>
      <c r="M1074" s="8" t="s">
        <v>22</v>
      </c>
      <c r="N1074" s="8" t="s">
        <v>22</v>
      </c>
    </row>
    <row r="1075" spans="1:14" ht="11.25" customHeight="1">
      <c r="A1075" s="5" t="s">
        <v>3028</v>
      </c>
      <c r="B1075" s="5" t="s">
        <v>3029</v>
      </c>
      <c r="C1075" s="5" t="s">
        <v>3173</v>
      </c>
      <c r="D1075" s="5" t="s">
        <v>3031</v>
      </c>
      <c r="E1075" s="5" t="s">
        <v>23</v>
      </c>
      <c r="F1075" s="5" t="s">
        <v>3032</v>
      </c>
      <c r="G1075" s="5" t="s">
        <v>3033</v>
      </c>
      <c r="H1075" s="5" t="s">
        <v>3034</v>
      </c>
      <c r="I1075" s="5" t="s">
        <v>3174</v>
      </c>
      <c r="J1075" s="5" t="s">
        <v>3175</v>
      </c>
      <c r="K1075" s="7" t="str">
        <f ca="1">IFERROR(__xludf.DUMMYFUNCTION("GOOGLETRANSLATE(H1075,""EN"",""ES"")"),"CHINA, CRISTALERÍA, VAJILLAS Y OTROS ARTÍCULOS DE NATURALEZA SIMILAR")</f>
        <v>CHINA, CRISTALERÍA, VAJILLAS Y OTROS ARTÍCULOS DE NATURALEZA SIMILAR</v>
      </c>
      <c r="L1075" s="5" t="str">
        <f ca="1">IFERROR(__xludf.DUMMYFUNCTION("GOOGLETRANSLATE(J1075,""EN"",""ES"")"),"vasos para beber")</f>
        <v>vasos para beber</v>
      </c>
      <c r="M1075" s="8" t="s">
        <v>22</v>
      </c>
      <c r="N1075" s="8" t="s">
        <v>22</v>
      </c>
    </row>
    <row r="1076" spans="1:14" ht="11.25" customHeight="1">
      <c r="A1076" s="5" t="s">
        <v>3028</v>
      </c>
      <c r="B1076" s="5" t="s">
        <v>3029</v>
      </c>
      <c r="C1076" s="5" t="s">
        <v>3176</v>
      </c>
      <c r="D1076" s="5" t="s">
        <v>3031</v>
      </c>
      <c r="E1076" s="5" t="s">
        <v>23</v>
      </c>
      <c r="F1076" s="5" t="s">
        <v>3032</v>
      </c>
      <c r="G1076" s="5" t="s">
        <v>3033</v>
      </c>
      <c r="H1076" s="5" t="s">
        <v>3034</v>
      </c>
      <c r="I1076" s="5" t="s">
        <v>3177</v>
      </c>
      <c r="J1076" s="5" t="s">
        <v>3178</v>
      </c>
      <c r="K1076" s="7" t="str">
        <f ca="1">IFERROR(__xludf.DUMMYFUNCTION("GOOGLETRANSLATE(H1076,""EN"",""ES"")"),"CHINA, CRISTALERÍA, VAJILLAS Y OTROS ARTÍCULOS DE NATURALEZA SIMILAR")</f>
        <v>CHINA, CRISTALERÍA, VAJILLAS Y OTROS ARTÍCULOS DE NATURALEZA SIMILAR</v>
      </c>
      <c r="L1076" s="5" t="str">
        <f ca="1">IFERROR(__xludf.DUMMYFUNCTION("GOOGLETRANSLATE(J1076,""EN"",""ES"")"),"copas")</f>
        <v>copas</v>
      </c>
      <c r="M1076" s="8" t="s">
        <v>22</v>
      </c>
      <c r="N1076" s="8" t="s">
        <v>22</v>
      </c>
    </row>
    <row r="1077" spans="1:14" ht="11.25" customHeight="1">
      <c r="A1077" s="5" t="s">
        <v>3028</v>
      </c>
      <c r="B1077" s="5" t="s">
        <v>3029</v>
      </c>
      <c r="C1077" s="5" t="s">
        <v>3176</v>
      </c>
      <c r="D1077" s="5" t="s">
        <v>3031</v>
      </c>
      <c r="E1077" s="5" t="s">
        <v>23</v>
      </c>
      <c r="F1077" s="5" t="s">
        <v>3032</v>
      </c>
      <c r="G1077" s="5" t="s">
        <v>3033</v>
      </c>
      <c r="H1077" s="5" t="s">
        <v>3034</v>
      </c>
      <c r="I1077" s="5" t="s">
        <v>3179</v>
      </c>
      <c r="J1077" s="5" t="s">
        <v>152</v>
      </c>
      <c r="K1077" s="7" t="str">
        <f ca="1">IFERROR(__xludf.DUMMYFUNCTION("GOOGLETRANSLATE(H1077,""EN"",""ES"")"),"CHINA, CRISTALERÍA, VAJILLAS Y OTROS ARTÍCULOS DE NATURALEZA SIMILAR")</f>
        <v>CHINA, CRISTALERÍA, VAJILLAS Y OTROS ARTÍCULOS DE NATURALEZA SIMILAR</v>
      </c>
      <c r="L1077" s="5" t="str">
        <f ca="1">IFERROR(__xludf.DUMMYFUNCTION("GOOGLETRANSLATE(J1077,""EN"",""ES"")"),"copas")</f>
        <v>copas</v>
      </c>
      <c r="M1077" s="8" t="s">
        <v>22</v>
      </c>
      <c r="N1077" s="8" t="s">
        <v>22</v>
      </c>
    </row>
    <row r="1078" spans="1:14" ht="11.25" customHeight="1">
      <c r="A1078" s="5" t="s">
        <v>3028</v>
      </c>
      <c r="B1078" s="5" t="s">
        <v>3029</v>
      </c>
      <c r="C1078" s="5" t="s">
        <v>3180</v>
      </c>
      <c r="D1078" s="5" t="s">
        <v>3031</v>
      </c>
      <c r="E1078" s="5" t="s">
        <v>23</v>
      </c>
      <c r="F1078" s="5" t="s">
        <v>3032</v>
      </c>
      <c r="G1078" s="5" t="s">
        <v>3033</v>
      </c>
      <c r="H1078" s="5" t="s">
        <v>3034</v>
      </c>
      <c r="I1078" s="5" t="s">
        <v>3181</v>
      </c>
      <c r="J1078" s="5" t="s">
        <v>3182</v>
      </c>
      <c r="K1078" s="7" t="str">
        <f ca="1">IFERROR(__xludf.DUMMYFUNCTION("GOOGLETRANSLATE(H1078,""EN"",""ES"")"),"CHINA, CRISTALERÍA, VAJILLAS Y OTROS ARTÍCULOS DE NATURALEZA SIMILAR")</f>
        <v>CHINA, CRISTALERÍA, VAJILLAS Y OTROS ARTÍCULOS DE NATURALEZA SIMILAR</v>
      </c>
      <c r="L1078" s="5" t="str">
        <f ca="1">IFERROR(__xludf.DUMMYFUNCTION("GOOGLETRANSLATE(J1078,""EN"",""ES"")"),"cafeteras")</f>
        <v>cafeteras</v>
      </c>
      <c r="M1078" s="8" t="s">
        <v>22</v>
      </c>
      <c r="N1078" s="8" t="s">
        <v>22</v>
      </c>
    </row>
    <row r="1079" spans="1:14" ht="11.25" customHeight="1">
      <c r="A1079" s="5" t="s">
        <v>3028</v>
      </c>
      <c r="B1079" s="5" t="s">
        <v>3029</v>
      </c>
      <c r="C1079" s="5" t="s">
        <v>3183</v>
      </c>
      <c r="D1079" s="5" t="s">
        <v>3031</v>
      </c>
      <c r="E1079" s="5" t="s">
        <v>23</v>
      </c>
      <c r="F1079" s="5" t="s">
        <v>3032</v>
      </c>
      <c r="G1079" s="5" t="s">
        <v>3033</v>
      </c>
      <c r="H1079" s="5" t="s">
        <v>3034</v>
      </c>
      <c r="I1079" s="5" t="s">
        <v>3184</v>
      </c>
      <c r="J1079" s="5" t="s">
        <v>3185</v>
      </c>
      <c r="K1079" s="7" t="str">
        <f ca="1">IFERROR(__xludf.DUMMYFUNCTION("GOOGLETRANSLATE(H1079,""EN"",""ES"")"),"CHINA, CRISTALERÍA, VAJILLAS Y OTROS ARTÍCULOS DE NATURALEZA SIMILAR")</f>
        <v>CHINA, CRISTALERÍA, VAJILLAS Y OTROS ARTÍCULOS DE NATURALEZA SIMILAR</v>
      </c>
      <c r="L1079" s="5" t="str">
        <f ca="1">IFERROR(__xludf.DUMMYFUNCTION("GOOGLETRANSLATE(J1079,""EN"",""ES"")"),"Cuencos para los dedos")</f>
        <v>Cuencos para los dedos</v>
      </c>
      <c r="M1079" s="8" t="s">
        <v>22</v>
      </c>
      <c r="N1079" s="8" t="s">
        <v>22</v>
      </c>
    </row>
    <row r="1080" spans="1:14" ht="11.25" customHeight="1">
      <c r="A1080" s="5" t="s">
        <v>3028</v>
      </c>
      <c r="B1080" s="5" t="s">
        <v>3029</v>
      </c>
      <c r="C1080" s="5" t="s">
        <v>3186</v>
      </c>
      <c r="D1080" s="5" t="s">
        <v>3031</v>
      </c>
      <c r="E1080" s="5" t="s">
        <v>23</v>
      </c>
      <c r="F1080" s="5" t="s">
        <v>3032</v>
      </c>
      <c r="G1080" s="5" t="s">
        <v>3033</v>
      </c>
      <c r="H1080" s="5" t="s">
        <v>3034</v>
      </c>
      <c r="I1080" s="5" t="s">
        <v>3187</v>
      </c>
      <c r="J1080" s="5" t="s">
        <v>3188</v>
      </c>
      <c r="K1080" s="7" t="str">
        <f ca="1">IFERROR(__xludf.DUMMYFUNCTION("GOOGLETRANSLATE(H1080,""EN"",""ES"")"),"CHINA, CRISTALERÍA, VAJILLAS Y OTROS ARTÍCULOS DE NATURALEZA SIMILAR")</f>
        <v>CHINA, CRISTALERÍA, VAJILLAS Y OTROS ARTÍCULOS DE NATURALEZA SIMILAR</v>
      </c>
      <c r="L1080" s="5" t="str">
        <f ca="1">IFERROR(__xludf.DUMMYFUNCTION("GOOGLETRANSLATE(J1080,""EN"",""ES"")"),"vasos para beber")</f>
        <v>vasos para beber</v>
      </c>
      <c r="M1080" s="8" t="s">
        <v>22</v>
      </c>
      <c r="N1080" s="8" t="s">
        <v>22</v>
      </c>
    </row>
    <row r="1081" spans="1:14" ht="11.25" customHeight="1">
      <c r="A1081" s="5" t="s">
        <v>3028</v>
      </c>
      <c r="B1081" s="5" t="s">
        <v>3029</v>
      </c>
      <c r="C1081" s="5" t="s">
        <v>3189</v>
      </c>
      <c r="D1081" s="5" t="s">
        <v>3031</v>
      </c>
      <c r="E1081" s="5" t="s">
        <v>23</v>
      </c>
      <c r="F1081" s="5" t="s">
        <v>3032</v>
      </c>
      <c r="G1081" s="5" t="s">
        <v>3033</v>
      </c>
      <c r="H1081" s="5" t="s">
        <v>3034</v>
      </c>
      <c r="I1081" s="5" t="s">
        <v>3190</v>
      </c>
      <c r="J1081" s="5" t="s">
        <v>3191</v>
      </c>
      <c r="K1081" s="7" t="str">
        <f ca="1">IFERROR(__xludf.DUMMYFUNCTION("GOOGLETRANSLATE(H1081,""EN"",""ES"")"),"CHINA, CRISTALERÍA, VAJILLAS Y OTROS ARTÍCULOS DE NATURALEZA SIMILAR")</f>
        <v>CHINA, CRISTALERÍA, VAJILLAS Y OTROS ARTÍCULOS DE NATURALEZA SIMILAR</v>
      </c>
      <c r="L1081" s="5" t="str">
        <f ca="1">IFERROR(__xludf.DUMMYFUNCTION("GOOGLETRANSLATE(J1081,""EN"",""ES"")"),"vasos")</f>
        <v>vasos</v>
      </c>
      <c r="M1081" s="8" t="s">
        <v>22</v>
      </c>
      <c r="N1081" s="8" t="s">
        <v>22</v>
      </c>
    </row>
    <row r="1082" spans="1:14" ht="11.25" customHeight="1">
      <c r="A1082" s="5" t="s">
        <v>3028</v>
      </c>
      <c r="B1082" s="5" t="s">
        <v>3029</v>
      </c>
      <c r="C1082" s="5" t="s">
        <v>3189</v>
      </c>
      <c r="D1082" s="5" t="s">
        <v>3031</v>
      </c>
      <c r="E1082" s="5" t="s">
        <v>23</v>
      </c>
      <c r="F1082" s="5" t="s">
        <v>3032</v>
      </c>
      <c r="G1082" s="5" t="s">
        <v>3033</v>
      </c>
      <c r="H1082" s="5" t="s">
        <v>3034</v>
      </c>
      <c r="I1082" s="5" t="s">
        <v>3192</v>
      </c>
      <c r="J1082" s="5" t="s">
        <v>152</v>
      </c>
      <c r="K1082" s="7" t="str">
        <f ca="1">IFERROR(__xludf.DUMMYFUNCTION("GOOGLETRANSLATE(H1082,""EN"",""ES"")"),"CHINA, CRISTALERÍA, VAJILLAS Y OTROS ARTÍCULOS DE NATURALEZA SIMILAR")</f>
        <v>CHINA, CRISTALERÍA, VAJILLAS Y OTROS ARTÍCULOS DE NATURALEZA SIMILAR</v>
      </c>
      <c r="L1082" s="5" t="str">
        <f ca="1">IFERROR(__xludf.DUMMYFUNCTION("GOOGLETRANSLATE(J1082,""EN"",""ES"")"),"Vasos")</f>
        <v>Vasos</v>
      </c>
      <c r="M1082" s="8" t="s">
        <v>22</v>
      </c>
      <c r="N1082" s="8" t="s">
        <v>22</v>
      </c>
    </row>
    <row r="1083" spans="1:14" ht="11.25" customHeight="1">
      <c r="A1083" s="5" t="s">
        <v>3028</v>
      </c>
      <c r="B1083" s="5" t="s">
        <v>3029</v>
      </c>
      <c r="C1083" s="5" t="s">
        <v>3193</v>
      </c>
      <c r="D1083" s="5" t="s">
        <v>3031</v>
      </c>
      <c r="E1083" s="5" t="s">
        <v>23</v>
      </c>
      <c r="F1083" s="5" t="s">
        <v>3032</v>
      </c>
      <c r="G1083" s="5" t="s">
        <v>3033</v>
      </c>
      <c r="H1083" s="5" t="s">
        <v>3034</v>
      </c>
      <c r="I1083" s="5" t="s">
        <v>3194</v>
      </c>
      <c r="J1083" s="5" t="s">
        <v>3195</v>
      </c>
      <c r="K1083" s="7" t="str">
        <f ca="1">IFERROR(__xludf.DUMMYFUNCTION("GOOGLETRANSLATE(H1083,""EN"",""ES"")"),"CHINA, CRISTALERÍA, VAJILLAS Y OTROS ARTÍCULOS DE NATURALEZA SIMILAR")</f>
        <v>CHINA, CRISTALERÍA, VAJILLAS Y OTROS ARTÍCULOS DE NATURALEZA SIMILAR</v>
      </c>
      <c r="L1083" s="5" t="str">
        <f ca="1">IFERROR(__xludf.DUMMYFUNCTION("GOOGLETRANSLATE(J1083,""EN"",""ES"")"),"Tapas para platos de mantequilla")</f>
        <v>Tapas para platos de mantequilla</v>
      </c>
      <c r="M1083" s="8" t="s">
        <v>22</v>
      </c>
      <c r="N1083" s="8" t="s">
        <v>22</v>
      </c>
    </row>
    <row r="1084" spans="1:14" ht="11.25" customHeight="1">
      <c r="A1084" s="5" t="s">
        <v>3028</v>
      </c>
      <c r="B1084" s="5" t="s">
        <v>3029</v>
      </c>
      <c r="C1084" s="5" t="s">
        <v>3196</v>
      </c>
      <c r="D1084" s="5" t="s">
        <v>3031</v>
      </c>
      <c r="E1084" s="5" t="s">
        <v>23</v>
      </c>
      <c r="F1084" s="5" t="s">
        <v>3032</v>
      </c>
      <c r="G1084" s="5" t="s">
        <v>3033</v>
      </c>
      <c r="H1084" s="5" t="s">
        <v>3034</v>
      </c>
      <c r="I1084" s="5" t="s">
        <v>3197</v>
      </c>
      <c r="J1084" s="5" t="s">
        <v>3198</v>
      </c>
      <c r="K1084" s="7" t="str">
        <f ca="1">IFERROR(__xludf.DUMMYFUNCTION("GOOGLETRANSLATE(H1084,""EN"",""ES"")"),"CHINA, CRISTALERÍA, VAJILLAS Y OTROS ARTÍCULOS DE NATURALEZA SIMILAR")</f>
        <v>CHINA, CRISTALERÍA, VAJILLAS Y OTROS ARTÍCULOS DE NATURALEZA SIMILAR</v>
      </c>
      <c r="L1084" s="5" t="str">
        <f ca="1">IFERROR(__xludf.DUMMYFUNCTION("GOOGLETRANSLATE(J1084,""EN"",""ES"")"),"Tapas para tarros")</f>
        <v>Tapas para tarros</v>
      </c>
      <c r="M1084" s="8" t="s">
        <v>22</v>
      </c>
      <c r="N1084" s="8" t="s">
        <v>22</v>
      </c>
    </row>
    <row r="1085" spans="1:14" ht="11.25" customHeight="1">
      <c r="A1085" s="5" t="s">
        <v>3028</v>
      </c>
      <c r="B1085" s="5" t="s">
        <v>3029</v>
      </c>
      <c r="C1085" s="5" t="s">
        <v>3199</v>
      </c>
      <c r="D1085" s="5" t="s">
        <v>3031</v>
      </c>
      <c r="E1085" s="5" t="s">
        <v>23</v>
      </c>
      <c r="F1085" s="5" t="s">
        <v>3032</v>
      </c>
      <c r="G1085" s="5" t="s">
        <v>3033</v>
      </c>
      <c r="H1085" s="5" t="s">
        <v>3034</v>
      </c>
      <c r="I1085" s="5" t="s">
        <v>3200</v>
      </c>
      <c r="J1085" s="5" t="s">
        <v>3201</v>
      </c>
      <c r="K1085" s="7" t="str">
        <f ca="1">IFERROR(__xludf.DUMMYFUNCTION("GOOGLETRANSLATE(H1085,""EN"",""ES"")"),"CHINA, CRISTALERÍA, VAJILLAS Y OTROS ARTÍCULOS DE NATURALEZA SIMILAR")</f>
        <v>CHINA, CRISTALERÍA, VAJILLAS Y OTROS ARTÍCULOS DE NATURALEZA SIMILAR</v>
      </c>
      <c r="L1085" s="5" t="str">
        <f ca="1">IFERROR(__xludf.DUMMYFUNCTION("GOOGLETRANSLATE(J1085,""EN"",""ES"")"),"cubos de hielo")</f>
        <v>cubos de hielo</v>
      </c>
      <c r="M1085" s="8" t="s">
        <v>22</v>
      </c>
      <c r="N1085" s="8" t="s">
        <v>22</v>
      </c>
    </row>
    <row r="1086" spans="1:14" ht="11.25" customHeight="1">
      <c r="A1086" s="5" t="s">
        <v>3028</v>
      </c>
      <c r="B1086" s="5" t="s">
        <v>3029</v>
      </c>
      <c r="C1086" s="5" t="s">
        <v>3199</v>
      </c>
      <c r="D1086" s="5" t="s">
        <v>3031</v>
      </c>
      <c r="E1086" s="5" t="s">
        <v>23</v>
      </c>
      <c r="F1086" s="5" t="s">
        <v>3032</v>
      </c>
      <c r="G1086" s="5" t="s">
        <v>3033</v>
      </c>
      <c r="H1086" s="5" t="s">
        <v>3034</v>
      </c>
      <c r="I1086" s="5" t="s">
        <v>3202</v>
      </c>
      <c r="J1086" s="5" t="s">
        <v>152</v>
      </c>
      <c r="K1086" s="7" t="str">
        <f ca="1">IFERROR(__xludf.DUMMYFUNCTION("GOOGLETRANSLATE(H1086,""EN"",""ES"")"),"CHINA, CRISTALERÍA, VAJILLAS Y OTROS ARTÍCULOS DE NATURALEZA SIMILAR")</f>
        <v>CHINA, CRISTALERÍA, VAJILLAS Y OTROS ARTÍCULOS DE NATURALEZA SIMILAR</v>
      </c>
      <c r="L1086" s="5" t="str">
        <f ca="1">IFERROR(__xludf.DUMMYFUNCTION("GOOGLETRANSLATE(J1086,""EN"",""ES"")"),"cubos de hielo")</f>
        <v>cubos de hielo</v>
      </c>
      <c r="M1086" s="8" t="s">
        <v>22</v>
      </c>
      <c r="N1086" s="8" t="s">
        <v>22</v>
      </c>
    </row>
    <row r="1087" spans="1:14" ht="11.25" customHeight="1">
      <c r="A1087" s="5" t="s">
        <v>3028</v>
      </c>
      <c r="B1087" s="5" t="s">
        <v>3029</v>
      </c>
      <c r="C1087" s="5" t="s">
        <v>3203</v>
      </c>
      <c r="D1087" s="5" t="s">
        <v>3031</v>
      </c>
      <c r="E1087" s="5" t="s">
        <v>23</v>
      </c>
      <c r="F1087" s="5" t="s">
        <v>3032</v>
      </c>
      <c r="G1087" s="5" t="s">
        <v>3033</v>
      </c>
      <c r="H1087" s="5" t="s">
        <v>3034</v>
      </c>
      <c r="I1087" s="5" t="s">
        <v>3204</v>
      </c>
      <c r="J1087" s="5" t="s">
        <v>3205</v>
      </c>
      <c r="K1087" s="7" t="str">
        <f ca="1">IFERROR(__xludf.DUMMYFUNCTION("GOOGLETRANSLATE(H1087,""EN"",""ES"")"),"CHINA, CRISTALERÍA, VAJILLAS Y OTROS ARTÍCULOS DE NATURALEZA SIMILAR")</f>
        <v>CHINA, CRISTALERÍA, VAJILLAS Y OTROS ARTÍCULOS DE NATURALEZA SIMILAR</v>
      </c>
      <c r="L1087" s="5" t="str">
        <f ca="1">IFERROR(__xludf.DUMMYFUNCTION("GOOGLETRANSLATE(J1087,""EN"",""ES"")"),"Tetinas para biberones")</f>
        <v>Tetinas para biberones</v>
      </c>
      <c r="M1087" s="8" t="s">
        <v>22</v>
      </c>
      <c r="N1087" s="8" t="s">
        <v>22</v>
      </c>
    </row>
    <row r="1088" spans="1:14" ht="11.25" customHeight="1">
      <c r="A1088" s="5" t="s">
        <v>3028</v>
      </c>
      <c r="B1088" s="5" t="s">
        <v>3029</v>
      </c>
      <c r="C1088" s="5" t="s">
        <v>3206</v>
      </c>
      <c r="D1088" s="5" t="s">
        <v>3031</v>
      </c>
      <c r="E1088" s="5" t="s">
        <v>23</v>
      </c>
      <c r="F1088" s="5" t="s">
        <v>3032</v>
      </c>
      <c r="G1088" s="5" t="s">
        <v>3033</v>
      </c>
      <c r="H1088" s="5" t="s">
        <v>3034</v>
      </c>
      <c r="I1088" s="5" t="s">
        <v>3207</v>
      </c>
      <c r="J1088" s="5" t="s">
        <v>3208</v>
      </c>
      <c r="K1088" s="7" t="str">
        <f ca="1">IFERROR(__xludf.DUMMYFUNCTION("GOOGLETRANSLATE(H1088,""EN"",""ES"")"),"CHINA, CRISTALERÍA, VAJILLAS Y OTROS ARTÍCULOS DE NATURALEZA SIMILAR")</f>
        <v>CHINA, CRISTALERÍA, VAJILLAS Y OTROS ARTÍCULOS DE NATURALEZA SIMILAR</v>
      </c>
      <c r="L1088" s="5" t="str">
        <f ca="1">IFERROR(__xludf.DUMMYFUNCTION("GOOGLETRANSLATE(J1088,""EN"",""ES"")"),"tarros de conserva")</f>
        <v>tarros de conserva</v>
      </c>
      <c r="M1088" s="8" t="s">
        <v>22</v>
      </c>
      <c r="N1088" s="8" t="s">
        <v>22</v>
      </c>
    </row>
    <row r="1089" spans="1:14" ht="11.25" customHeight="1">
      <c r="A1089" s="5" t="s">
        <v>3028</v>
      </c>
      <c r="B1089" s="5" t="s">
        <v>3029</v>
      </c>
      <c r="C1089" s="5" t="s">
        <v>3209</v>
      </c>
      <c r="D1089" s="5" t="s">
        <v>3031</v>
      </c>
      <c r="E1089" s="5" t="s">
        <v>23</v>
      </c>
      <c r="F1089" s="5" t="s">
        <v>3032</v>
      </c>
      <c r="G1089" s="5" t="s">
        <v>3033</v>
      </c>
      <c r="H1089" s="5" t="s">
        <v>3034</v>
      </c>
      <c r="I1089" s="5" t="s">
        <v>3210</v>
      </c>
      <c r="J1089" s="5" t="s">
        <v>3211</v>
      </c>
      <c r="K1089" s="7" t="str">
        <f ca="1">IFERROR(__xludf.DUMMYFUNCTION("GOOGLETRANSLATE(H1089,""EN"",""ES"")"),"CHINA, CRISTALERÍA, VAJILLAS Y OTROS ARTÍCULOS DE NATURALEZA SIMILAR")</f>
        <v>CHINA, CRISTALERÍA, VAJILLAS Y OTROS ARTÍCULOS DE NATURALEZA SIMILAR</v>
      </c>
      <c r="L1089" s="5" t="str">
        <f ca="1">IFERROR(__xludf.DUMMYFUNCTION("GOOGLETRANSLATE(J1089,""EN"",""ES"")"),"Cabarets [bandejas]")</f>
        <v>Cabarets [bandejas]</v>
      </c>
      <c r="M1089" s="8" t="s">
        <v>22</v>
      </c>
      <c r="N1089" s="8" t="s">
        <v>22</v>
      </c>
    </row>
    <row r="1090" spans="1:14" ht="11.25" customHeight="1">
      <c r="A1090" s="5" t="s">
        <v>3028</v>
      </c>
      <c r="B1090" s="5" t="s">
        <v>3029</v>
      </c>
      <c r="C1090" s="5" t="s">
        <v>3212</v>
      </c>
      <c r="D1090" s="5" t="s">
        <v>3031</v>
      </c>
      <c r="E1090" s="5" t="s">
        <v>23</v>
      </c>
      <c r="F1090" s="5" t="s">
        <v>3032</v>
      </c>
      <c r="G1090" s="5" t="s">
        <v>3033</v>
      </c>
      <c r="H1090" s="5" t="s">
        <v>3034</v>
      </c>
      <c r="I1090" s="5" t="s">
        <v>3068</v>
      </c>
      <c r="J1090" s="5" t="s">
        <v>3213</v>
      </c>
      <c r="K1090" s="7" t="str">
        <f ca="1">IFERROR(__xludf.DUMMYFUNCTION("GOOGLETRANSLATE(H1090,""EN"",""ES"")"),"CHINA, CRISTALERÍA, VAJILLAS Y OTROS ARTÍCULOS DE NATURALEZA SIMILAR")</f>
        <v>CHINA, CRISTALERÍA, VAJILLAS Y OTROS ARTÍCULOS DE NATURALEZA SIMILAR</v>
      </c>
      <c r="L1090" s="5" t="str">
        <f ca="1">IFERROR(__xludf.DUMMYFUNCTION("GOOGLETRANSLATE(J1090,""EN"",""ES"")"),"Garrafas")</f>
        <v>Garrafas</v>
      </c>
      <c r="M1090" s="8" t="s">
        <v>22</v>
      </c>
      <c r="N1090" s="8" t="s">
        <v>22</v>
      </c>
    </row>
    <row r="1091" spans="1:14" ht="11.25" customHeight="1">
      <c r="A1091" s="5" t="s">
        <v>3028</v>
      </c>
      <c r="B1091" s="5" t="s">
        <v>3029</v>
      </c>
      <c r="C1091" s="5" t="s">
        <v>3214</v>
      </c>
      <c r="D1091" s="5" t="s">
        <v>3031</v>
      </c>
      <c r="E1091" s="5" t="s">
        <v>23</v>
      </c>
      <c r="F1091" s="5" t="s">
        <v>3032</v>
      </c>
      <c r="G1091" s="5" t="s">
        <v>3033</v>
      </c>
      <c r="H1091" s="5" t="s">
        <v>3034</v>
      </c>
      <c r="I1091" s="5" t="s">
        <v>3215</v>
      </c>
      <c r="J1091" s="5" t="s">
        <v>3216</v>
      </c>
      <c r="K1091" s="7" t="str">
        <f ca="1">IFERROR(__xludf.DUMMYFUNCTION("GOOGLETRANSLATE(H1091,""EN"",""ES"")"),"CHINA, CRISTALERÍA, VAJILLAS Y OTROS ARTÍCULOS DE NATURALEZA SIMILAR")</f>
        <v>CHINA, CRISTALERÍA, VAJILLAS Y OTROS ARTÍCULOS DE NATURALEZA SIMILAR</v>
      </c>
      <c r="L1091" s="5" t="str">
        <f ca="1">IFERROR(__xludf.DUMMYFUNCTION("GOOGLETRANSLATE(J1091,""EN"",""ES"")"),"Servicios [vajilla]")</f>
        <v>Servicios [vajilla]</v>
      </c>
      <c r="M1091" s="8" t="s">
        <v>22</v>
      </c>
      <c r="N1091" s="8" t="s">
        <v>22</v>
      </c>
    </row>
    <row r="1092" spans="1:14" ht="11.25" customHeight="1">
      <c r="A1092" s="5" t="s">
        <v>3028</v>
      </c>
      <c r="B1092" s="5" t="s">
        <v>3029</v>
      </c>
      <c r="C1092" s="5" t="s">
        <v>3217</v>
      </c>
      <c r="D1092" s="5" t="s">
        <v>3031</v>
      </c>
      <c r="E1092" s="5" t="s">
        <v>23</v>
      </c>
      <c r="F1092" s="5" t="s">
        <v>3032</v>
      </c>
      <c r="G1092" s="5" t="s">
        <v>3033</v>
      </c>
      <c r="H1092" s="5" t="s">
        <v>3034</v>
      </c>
      <c r="I1092" s="5" t="s">
        <v>3218</v>
      </c>
      <c r="J1092" s="5" t="s">
        <v>3219</v>
      </c>
      <c r="K1092" s="7" t="str">
        <f ca="1">IFERROR(__xludf.DUMMYFUNCTION("GOOGLETRANSLATE(H1092,""EN"",""ES"")"),"CHINA, CRISTALERÍA, VAJILLAS Y OTROS ARTÍCULOS DE NATURALEZA SIMILAR")</f>
        <v>CHINA, CRISTALERÍA, VAJILLAS Y OTROS ARTÍCULOS DE NATURALEZA SIMILAR</v>
      </c>
      <c r="L1092" s="5" t="str">
        <f ca="1">IFERROR(__xludf.DUMMYFUNCTION("GOOGLETRANSLATE(J1092,""EN"",""ES"")"),"fruteros")</f>
        <v>fruteros</v>
      </c>
      <c r="M1092" s="8" t="s">
        <v>22</v>
      </c>
      <c r="N1092" s="8" t="s">
        <v>22</v>
      </c>
    </row>
    <row r="1093" spans="1:14" ht="11.25" customHeight="1">
      <c r="A1093" s="5" t="s">
        <v>3028</v>
      </c>
      <c r="B1093" s="5" t="s">
        <v>3029</v>
      </c>
      <c r="C1093" s="5" t="s">
        <v>3220</v>
      </c>
      <c r="D1093" s="5" t="s">
        <v>3031</v>
      </c>
      <c r="E1093" s="5" t="s">
        <v>23</v>
      </c>
      <c r="F1093" s="5" t="s">
        <v>3032</v>
      </c>
      <c r="G1093" s="5" t="s">
        <v>3033</v>
      </c>
      <c r="H1093" s="5" t="s">
        <v>3034</v>
      </c>
      <c r="I1093" s="5" t="s">
        <v>3221</v>
      </c>
      <c r="J1093" s="5" t="s">
        <v>3222</v>
      </c>
      <c r="K1093" s="7" t="str">
        <f ca="1">IFERROR(__xludf.DUMMYFUNCTION("GOOGLETRANSLATE(H1093,""EN"",""ES"")"),"CHINA, CRISTALERÍA, VAJILLAS Y OTROS ARTÍCULOS DE NATURALEZA SIMILAR")</f>
        <v>CHINA, CRISTALERÍA, VAJILLAS Y OTROS ARTÍCULOS DE NATURALEZA SIMILAR</v>
      </c>
      <c r="L1093" s="5" t="str">
        <f ca="1">IFERROR(__xludf.DUMMYFUNCTION("GOOGLETRANSLATE(J1093,""EN"",""ES"")"),"cubos de champán")</f>
        <v>cubos de champán</v>
      </c>
      <c r="M1093" s="8" t="s">
        <v>22</v>
      </c>
      <c r="N1093" s="8" t="s">
        <v>22</v>
      </c>
    </row>
    <row r="1094" spans="1:14" ht="11.25" customHeight="1">
      <c r="A1094" s="5" t="s">
        <v>3028</v>
      </c>
      <c r="B1094" s="5" t="s">
        <v>3029</v>
      </c>
      <c r="C1094" s="5" t="s">
        <v>3223</v>
      </c>
      <c r="D1094" s="5" t="s">
        <v>3031</v>
      </c>
      <c r="E1094" s="5" t="s">
        <v>23</v>
      </c>
      <c r="F1094" s="5" t="s">
        <v>3032</v>
      </c>
      <c r="G1094" s="5" t="s">
        <v>3033</v>
      </c>
      <c r="H1094" s="5" t="s">
        <v>3034</v>
      </c>
      <c r="I1094" s="5" t="s">
        <v>3224</v>
      </c>
      <c r="J1094" s="5" t="s">
        <v>3225</v>
      </c>
      <c r="K1094" s="7" t="str">
        <f ca="1">IFERROR(__xludf.DUMMYFUNCTION("GOOGLETRANSLATE(H1094,""EN"",""ES"")"),"CHINA, CRISTALERÍA, VAJILLAS Y OTROS ARTÍCULOS DE NATURALEZA SIMILAR")</f>
        <v>CHINA, CRISTALERÍA, VAJILLAS Y OTROS ARTÍCULOS DE NATURALEZA SIMILAR</v>
      </c>
      <c r="L1094" s="5" t="str">
        <f ca="1">IFERROR(__xludf.DUMMYFUNCTION("GOOGLETRANSLATE(J1094,""EN"",""ES"")"),"tazones para beber")</f>
        <v>tazones para beber</v>
      </c>
      <c r="M1094" s="8" t="s">
        <v>22</v>
      </c>
      <c r="N1094" s="8" t="s">
        <v>22</v>
      </c>
    </row>
    <row r="1095" spans="1:14" ht="11.25" customHeight="1">
      <c r="A1095" s="5" t="s">
        <v>3028</v>
      </c>
      <c r="B1095" s="5" t="s">
        <v>3029</v>
      </c>
      <c r="C1095" s="5" t="s">
        <v>3226</v>
      </c>
      <c r="D1095" s="5" t="s">
        <v>3031</v>
      </c>
      <c r="E1095" s="5" t="s">
        <v>23</v>
      </c>
      <c r="F1095" s="5" t="s">
        <v>3032</v>
      </c>
      <c r="G1095" s="5" t="s">
        <v>3033</v>
      </c>
      <c r="H1095" s="5" t="s">
        <v>3034</v>
      </c>
      <c r="I1095" s="5" t="s">
        <v>3227</v>
      </c>
      <c r="J1095" s="5" t="s">
        <v>3228</v>
      </c>
      <c r="K1095" s="7" t="str">
        <f ca="1">IFERROR(__xludf.DUMMYFUNCTION("GOOGLETRANSLATE(H1095,""EN"",""ES"")"),"CHINA, CRISTALERÍA, VAJILLAS Y OTROS ARTÍCULOS DE NATURALEZA SIMILAR")</f>
        <v>CHINA, CRISTALERÍA, VAJILLAS Y OTROS ARTÍCULOS DE NATURALEZA SIMILAR</v>
      </c>
      <c r="L1095" s="5" t="str">
        <f ca="1">IFERROR(__xludf.DUMMYFUNCTION("GOOGLETRANSLATE(J1095,""EN"",""ES"")"),"Tapas para vasos")</f>
        <v>Tapas para vasos</v>
      </c>
      <c r="M1095" s="8" t="s">
        <v>22</v>
      </c>
      <c r="N1095" s="8" t="s">
        <v>22</v>
      </c>
    </row>
    <row r="1096" spans="1:14" ht="11.25" customHeight="1">
      <c r="A1096" s="5" t="s">
        <v>3028</v>
      </c>
      <c r="B1096" s="5" t="s">
        <v>3029</v>
      </c>
      <c r="C1096" s="5" t="s">
        <v>3229</v>
      </c>
      <c r="D1096" s="5" t="s">
        <v>3031</v>
      </c>
      <c r="E1096" s="5" t="s">
        <v>23</v>
      </c>
      <c r="F1096" s="5" t="s">
        <v>3032</v>
      </c>
      <c r="G1096" s="5" t="s">
        <v>3033</v>
      </c>
      <c r="H1096" s="5" t="s">
        <v>3034</v>
      </c>
      <c r="I1096" s="5" t="s">
        <v>3230</v>
      </c>
      <c r="J1096" s="5" t="s">
        <v>3231</v>
      </c>
      <c r="K1096" s="7" t="str">
        <f ca="1">IFERROR(__xludf.DUMMYFUNCTION("GOOGLETRANSLATE(H1096,""EN"",""ES"")"),"CHINA, CRISTALERÍA, VAJILLAS Y OTROS ARTÍCULOS DE NATURALEZA SIMILAR")</f>
        <v>CHINA, CRISTALERÍA, VAJILLAS Y OTROS ARTÍCULOS DE NATURALEZA SIMILAR</v>
      </c>
      <c r="L1096" s="5" t="str">
        <f ca="1">IFERROR(__xludf.DUMMYFUNCTION("GOOGLETRANSLATE(J1096,""EN"",""ES"")"),"vasos de te")</f>
        <v>vasos de te</v>
      </c>
      <c r="M1096" s="8" t="s">
        <v>22</v>
      </c>
      <c r="N1096" s="8" t="s">
        <v>22</v>
      </c>
    </row>
    <row r="1097" spans="1:14" ht="11.25" customHeight="1">
      <c r="A1097" s="5" t="s">
        <v>3028</v>
      </c>
      <c r="B1097" s="5" t="s">
        <v>3029</v>
      </c>
      <c r="C1097" s="5" t="s">
        <v>3232</v>
      </c>
      <c r="D1097" s="5" t="s">
        <v>3031</v>
      </c>
      <c r="E1097" s="5" t="s">
        <v>23</v>
      </c>
      <c r="F1097" s="5" t="s">
        <v>3032</v>
      </c>
      <c r="G1097" s="5" t="s">
        <v>3033</v>
      </c>
      <c r="H1097" s="5" t="s">
        <v>3034</v>
      </c>
      <c r="I1097" s="5" t="s">
        <v>3233</v>
      </c>
      <c r="J1097" s="5" t="s">
        <v>3233</v>
      </c>
      <c r="K1097" s="7" t="str">
        <f ca="1">IFERROR(__xludf.DUMMYFUNCTION("GOOGLETRANSLATE(H1097,""EN"",""ES"")"),"CHINA, CRISTALERÍA, VAJILLAS Y OTROS ARTÍCULOS DE NATURALEZA SIMILAR")</f>
        <v>CHINA, CRISTALERÍA, VAJILLAS Y OTROS ARTÍCULOS DE NATURALEZA SIMILAR</v>
      </c>
      <c r="L1097" s="5" t="str">
        <f ca="1">IFERROR(__xludf.DUMMYFUNCTION("GOOGLETRANSLATE(J1097,""EN"",""ES"")"),"Tazas")</f>
        <v>Tazas</v>
      </c>
      <c r="M1097" s="8" t="s">
        <v>22</v>
      </c>
      <c r="N1097" s="8" t="s">
        <v>22</v>
      </c>
    </row>
    <row r="1098" spans="1:14" ht="11.25" customHeight="1">
      <c r="A1098" s="5" t="s">
        <v>3028</v>
      </c>
      <c r="B1098" s="5" t="s">
        <v>3029</v>
      </c>
      <c r="C1098" s="5" t="s">
        <v>3234</v>
      </c>
      <c r="D1098" s="5" t="s">
        <v>3031</v>
      </c>
      <c r="E1098" s="5" t="s">
        <v>23</v>
      </c>
      <c r="F1098" s="5" t="s">
        <v>3032</v>
      </c>
      <c r="G1098" s="5" t="s">
        <v>3033</v>
      </c>
      <c r="H1098" s="5" t="s">
        <v>3034</v>
      </c>
      <c r="I1098" s="5" t="s">
        <v>3235</v>
      </c>
      <c r="J1098" s="5" t="s">
        <v>3236</v>
      </c>
      <c r="K1098" s="7" t="str">
        <f ca="1">IFERROR(__xludf.DUMMYFUNCTION("GOOGLETRANSLATE(H1098,""EN"",""ES"")"),"CHINA, CRISTALERÍA, VAJILLAS Y OTROS ARTÍCULOS DE NATURALEZA SIMILAR")</f>
        <v>CHINA, CRISTALERÍA, VAJILLAS Y OTROS ARTÍCULOS DE NATURALEZA SIMILAR</v>
      </c>
      <c r="L1098" s="5" t="str">
        <f ca="1">IFERROR(__xludf.DUMMYFUNCTION("GOOGLETRANSLATE(J1098,""EN"",""ES"")"),"Vasos desechables")</f>
        <v>Vasos desechables</v>
      </c>
      <c r="M1098" s="8" t="s">
        <v>22</v>
      </c>
      <c r="N1098" s="8" t="s">
        <v>24</v>
      </c>
    </row>
    <row r="1099" spans="1:14" ht="11.25" customHeight="1">
      <c r="A1099" s="5" t="s">
        <v>3028</v>
      </c>
      <c r="B1099" s="5" t="s">
        <v>3029</v>
      </c>
      <c r="C1099" s="5" t="s">
        <v>3237</v>
      </c>
      <c r="D1099" s="5" t="s">
        <v>3031</v>
      </c>
      <c r="E1099" s="5" t="s">
        <v>23</v>
      </c>
      <c r="F1099" s="5" t="s">
        <v>3032</v>
      </c>
      <c r="G1099" s="5" t="s">
        <v>3033</v>
      </c>
      <c r="H1099" s="5" t="s">
        <v>3034</v>
      </c>
      <c r="I1099" s="5" t="s">
        <v>3238</v>
      </c>
      <c r="J1099" s="5" t="s">
        <v>3239</v>
      </c>
      <c r="K1099" s="7" t="str">
        <f ca="1">IFERROR(__xludf.DUMMYFUNCTION("GOOGLETRANSLATE(H1099,""EN"",""ES"")"),"CHINA, CRISTALERÍA, VAJILLAS Y OTROS ARTÍCULOS DE NATURALEZA SIMILAR")</f>
        <v>CHINA, CRISTALERÍA, VAJILLAS Y OTROS ARTÍCULOS DE NATURALEZA SIMILAR</v>
      </c>
      <c r="L1099" s="5" t="str">
        <f ca="1">IFERROR(__xludf.DUMMYFUNCTION("GOOGLETRANSLATE(J1099,""EN"",""ES"")"),"Vasos desechables")</f>
        <v>Vasos desechables</v>
      </c>
      <c r="M1099" s="8" t="s">
        <v>22</v>
      </c>
      <c r="N1099" s="8" t="s">
        <v>24</v>
      </c>
    </row>
    <row r="1100" spans="1:14" ht="11.25" customHeight="1">
      <c r="A1100" s="5" t="s">
        <v>3028</v>
      </c>
      <c r="B1100" s="5" t="s">
        <v>3029</v>
      </c>
      <c r="C1100" s="5" t="s">
        <v>3240</v>
      </c>
      <c r="D1100" s="5" t="s">
        <v>3031</v>
      </c>
      <c r="E1100" s="5" t="s">
        <v>23</v>
      </c>
      <c r="F1100" s="5" t="s">
        <v>3032</v>
      </c>
      <c r="G1100" s="5" t="s">
        <v>3033</v>
      </c>
      <c r="H1100" s="5" t="s">
        <v>3034</v>
      </c>
      <c r="I1100" s="5" t="s">
        <v>3241</v>
      </c>
      <c r="J1100" s="5" t="s">
        <v>3242</v>
      </c>
      <c r="K1100" s="7" t="str">
        <f ca="1">IFERROR(__xludf.DUMMYFUNCTION("GOOGLETRANSLATE(H1100,""EN"",""ES"")"),"CHINA, CRISTALERÍA, VAJILLAS Y OTROS ARTÍCULOS DE NATURALEZA SIMILAR")</f>
        <v>CHINA, CRISTALERÍA, VAJILLAS Y OTROS ARTÍCULOS DE NATURALEZA SIMILAR</v>
      </c>
      <c r="L1100" s="5" t="str">
        <f ca="1">IFERROR(__xludf.DUMMYFUNCTION("GOOGLETRANSLATE(J1100,""EN"",""ES"")"),"Platos desechables [platos]")</f>
        <v>Platos desechables [platos]</v>
      </c>
      <c r="M1100" s="8" t="s">
        <v>22</v>
      </c>
      <c r="N1100" s="8" t="s">
        <v>24</v>
      </c>
    </row>
    <row r="1101" spans="1:14" ht="11.25" customHeight="1">
      <c r="A1101" s="5" t="s">
        <v>3028</v>
      </c>
      <c r="B1101" s="5" t="s">
        <v>3029</v>
      </c>
      <c r="C1101" s="5" t="s">
        <v>3243</v>
      </c>
      <c r="D1101" s="5" t="s">
        <v>3031</v>
      </c>
      <c r="E1101" s="5" t="s">
        <v>23</v>
      </c>
      <c r="F1101" s="5" t="s">
        <v>3032</v>
      </c>
      <c r="G1101" s="5" t="s">
        <v>3033</v>
      </c>
      <c r="H1101" s="5" t="s">
        <v>3034</v>
      </c>
      <c r="I1101" s="5" t="s">
        <v>3244</v>
      </c>
      <c r="J1101" s="5" t="s">
        <v>3245</v>
      </c>
      <c r="K1101" s="7" t="str">
        <f ca="1">IFERROR(__xludf.DUMMYFUNCTION("GOOGLETRANSLATE(H1101,""EN"",""ES"")"),"CHINA, CRISTALERÍA, VAJILLAS Y OTROS ARTÍCULOS DE NATURALEZA SIMILAR")</f>
        <v>CHINA, CRISTALERÍA, VAJILLAS Y OTROS ARTÍCULOS DE NATURALEZA SIMILAR</v>
      </c>
      <c r="L1101" s="5" t="str">
        <f ca="1">IFERROR(__xludf.DUMMYFUNCTION("GOOGLETRANSLATE(J1101,""EN"",""ES"")"),"Chupetes de alimentación para bebés")</f>
        <v>Chupetes de alimentación para bebés</v>
      </c>
      <c r="M1101" s="8" t="s">
        <v>22</v>
      </c>
      <c r="N1101" s="8" t="s">
        <v>22</v>
      </c>
    </row>
    <row r="1102" spans="1:14" ht="11.25" customHeight="1">
      <c r="A1102" s="5" t="s">
        <v>3028</v>
      </c>
      <c r="B1102" s="5" t="s">
        <v>3029</v>
      </c>
      <c r="C1102" s="5" t="s">
        <v>3246</v>
      </c>
      <c r="D1102" s="5" t="s">
        <v>3031</v>
      </c>
      <c r="E1102" s="5" t="s">
        <v>23</v>
      </c>
      <c r="F1102" s="5" t="s">
        <v>3032</v>
      </c>
      <c r="G1102" s="5" t="s">
        <v>3033</v>
      </c>
      <c r="H1102" s="5" t="s">
        <v>3034</v>
      </c>
      <c r="I1102" s="5" t="s">
        <v>3247</v>
      </c>
      <c r="J1102" s="5" t="s">
        <v>3248</v>
      </c>
      <c r="K1102" s="7" t="str">
        <f ca="1">IFERROR(__xludf.DUMMYFUNCTION("GOOGLETRANSLATE(H1102,""EN"",""ES"")"),"CHINA, CRISTALERÍA, VAJILLAS Y OTROS ARTÍCULOS DE NATURALEZA SIMILAR")</f>
        <v>CHINA, CRISTALERÍA, VAJILLAS Y OTROS ARTÍCULOS DE NATURALEZA SIMILAR</v>
      </c>
      <c r="L1102" s="5" t="str">
        <f ca="1">IFERROR(__xludf.DUMMYFUNCTION("GOOGLETRANSLATE(J1102,""EN"",""ES"")"),"azucareros")</f>
        <v>azucareros</v>
      </c>
      <c r="M1102" s="8" t="s">
        <v>22</v>
      </c>
      <c r="N1102" s="8" t="s">
        <v>22</v>
      </c>
    </row>
    <row r="1103" spans="1:14" ht="11.25" customHeight="1">
      <c r="A1103" s="5" t="s">
        <v>3028</v>
      </c>
      <c r="B1103" s="5" t="s">
        <v>3029</v>
      </c>
      <c r="C1103" s="5" t="s">
        <v>3249</v>
      </c>
      <c r="D1103" s="5" t="s">
        <v>3031</v>
      </c>
      <c r="E1103" s="5" t="s">
        <v>23</v>
      </c>
      <c r="F1103" s="5" t="s">
        <v>3032</v>
      </c>
      <c r="G1103" s="5" t="s">
        <v>3033</v>
      </c>
      <c r="H1103" s="5" t="s">
        <v>3034</v>
      </c>
      <c r="I1103" s="5" t="s">
        <v>3250</v>
      </c>
      <c r="J1103" s="5" t="s">
        <v>3251</v>
      </c>
      <c r="K1103" s="7" t="str">
        <f ca="1">IFERROR(__xludf.DUMMYFUNCTION("GOOGLETRANSLATE(H1103,""EN"",""ES"")"),"CHINA, CRISTALERÍA, VAJILLAS Y OTROS ARTÍCULOS DE NATURALEZA SIMILAR")</f>
        <v>CHINA, CRISTALERÍA, VAJILLAS Y OTROS ARTÍCULOS DE NATURALEZA SIMILAR</v>
      </c>
      <c r="L1103" s="5" t="str">
        <f ca="1">IFERROR(__xludf.DUMMYFUNCTION("GOOGLETRANSLATE(J1103,""EN"",""ES"")"),"Decantadores de vino")</f>
        <v>Decantadores de vino</v>
      </c>
      <c r="M1103" s="8" t="s">
        <v>22</v>
      </c>
      <c r="N1103" s="8" t="s">
        <v>22</v>
      </c>
    </row>
    <row r="1104" spans="1:14" ht="11.25" customHeight="1">
      <c r="A1104" s="5" t="s">
        <v>3028</v>
      </c>
      <c r="B1104" s="5" t="s">
        <v>3029</v>
      </c>
      <c r="C1104" s="5" t="s">
        <v>3252</v>
      </c>
      <c r="D1104" s="5" t="s">
        <v>3031</v>
      </c>
      <c r="E1104" s="5" t="s">
        <v>23</v>
      </c>
      <c r="F1104" s="5" t="s">
        <v>3032</v>
      </c>
      <c r="G1104" s="5" t="s">
        <v>3033</v>
      </c>
      <c r="H1104" s="5" t="s">
        <v>3034</v>
      </c>
      <c r="I1104" s="5" t="s">
        <v>3253</v>
      </c>
      <c r="J1104" s="5" t="s">
        <v>3254</v>
      </c>
      <c r="K1104" s="7" t="str">
        <f ca="1">IFERROR(__xludf.DUMMYFUNCTION("GOOGLETRANSLATE(H1104,""EN"",""ES"")"),"CHINA, CRISTALERÍA, VAJILLAS Y OTROS ARTÍCULOS DE NATURALEZA SIMILAR")</f>
        <v>CHINA, CRISTALERÍA, VAJILLAS Y OTROS ARTÍCULOS DE NATURALEZA SIMILAR</v>
      </c>
      <c r="L1104" s="5" t="str">
        <f ca="1">IFERROR(__xludf.DUMMYFUNCTION("GOOGLETRANSLATE(J1104,""EN"",""ES"")"),"Jarras con filtro de agua")</f>
        <v>Jarras con filtro de agua</v>
      </c>
      <c r="M1104" s="8" t="s">
        <v>22</v>
      </c>
      <c r="N1104" s="8" t="s">
        <v>22</v>
      </c>
    </row>
    <row r="1105" spans="1:14" ht="11.25" customHeight="1">
      <c r="A1105" s="5" t="s">
        <v>3028</v>
      </c>
      <c r="B1105" s="5" t="s">
        <v>3255</v>
      </c>
      <c r="C1105" s="5" t="s">
        <v>3256</v>
      </c>
      <c r="D1105" s="5" t="s">
        <v>3031</v>
      </c>
      <c r="E1105" s="5" t="s">
        <v>23</v>
      </c>
      <c r="F1105" s="5" t="s">
        <v>3032</v>
      </c>
      <c r="G1105" s="5" t="s">
        <v>3033</v>
      </c>
      <c r="H1105" s="5" t="s">
        <v>3257</v>
      </c>
      <c r="I1105" s="5" t="s">
        <v>3258</v>
      </c>
      <c r="J1105" s="5" t="s">
        <v>3259</v>
      </c>
      <c r="K1105" s="7" t="str">
        <f ca="1">IFERROR(__xludf.DUMMYFUNCTION("GOOGLETRANSLATE(H1105,""EN"",""ES"")"),"APARATOS, UTENSILIOS Y RECIPIENTES PARA COCINA")</f>
        <v>APARATOS, UTENSILIOS Y RECIPIENTES PARA COCINA</v>
      </c>
      <c r="L1105" s="5" t="str">
        <f ca="1">IFERROR(__xludf.DUMMYFUNCTION("GOOGLETRANSLATE(J1105,""EN"",""ES"")"),"Quemadores de alcohol para cocinar.")</f>
        <v>Quemadores de alcohol para cocinar.</v>
      </c>
      <c r="M1105" s="8" t="s">
        <v>22</v>
      </c>
      <c r="N1105" s="8" t="s">
        <v>22</v>
      </c>
    </row>
    <row r="1106" spans="1:14" ht="11.25" customHeight="1">
      <c r="A1106" s="5" t="s">
        <v>3028</v>
      </c>
      <c r="B1106" s="5" t="s">
        <v>3255</v>
      </c>
      <c r="C1106" s="5" t="s">
        <v>3260</v>
      </c>
      <c r="D1106" s="5" t="s">
        <v>3031</v>
      </c>
      <c r="E1106" s="5" t="s">
        <v>23</v>
      </c>
      <c r="F1106" s="5" t="s">
        <v>3032</v>
      </c>
      <c r="G1106" s="5" t="s">
        <v>3033</v>
      </c>
      <c r="H1106" s="5" t="s">
        <v>3257</v>
      </c>
      <c r="I1106" s="5" t="s">
        <v>3261</v>
      </c>
      <c r="J1106" s="5" t="s">
        <v>3262</v>
      </c>
      <c r="K1106" s="7" t="str">
        <f ca="1">IFERROR(__xludf.DUMMYFUNCTION("GOOGLETRANSLATE(H1106,""EN"",""ES"")"),"APARATOS, UTENSILIOS Y RECIPIENTES PARA COCINA")</f>
        <v>APARATOS, UTENSILIOS Y RECIPIENTES PARA COCINA</v>
      </c>
      <c r="L1106" s="5" t="str">
        <f ca="1">IFERROR(__xludf.DUMMYFUNCTION("GOOGLETRANSLATE(J1106,""EN"",""ES"")"),"Hervidores")</f>
        <v>Hervidores</v>
      </c>
      <c r="M1106" s="8" t="s">
        <v>22</v>
      </c>
      <c r="N1106" s="8" t="s">
        <v>22</v>
      </c>
    </row>
    <row r="1107" spans="1:14" ht="11.25" customHeight="1">
      <c r="A1107" s="5" t="s">
        <v>3028</v>
      </c>
      <c r="B1107" s="5" t="s">
        <v>3255</v>
      </c>
      <c r="C1107" s="5" t="s">
        <v>3263</v>
      </c>
      <c r="D1107" s="5" t="s">
        <v>3031</v>
      </c>
      <c r="E1107" s="5" t="s">
        <v>23</v>
      </c>
      <c r="F1107" s="5" t="s">
        <v>3032</v>
      </c>
      <c r="G1107" s="5" t="s">
        <v>3033</v>
      </c>
      <c r="H1107" s="5" t="s">
        <v>3257</v>
      </c>
      <c r="I1107" s="5" t="s">
        <v>3264</v>
      </c>
      <c r="J1107" s="5" t="s">
        <v>3265</v>
      </c>
      <c r="K1107" s="7" t="str">
        <f ca="1">IFERROR(__xludf.DUMMYFUNCTION("GOOGLETRANSLATE(H1107,""EN"",""ES"")"),"APARATOS, UTENSILIOS Y RECIPIENTES PARA COCINA")</f>
        <v>APARATOS, UTENSILIOS Y RECIPIENTES PARA COCINA</v>
      </c>
      <c r="L1107" s="5" t="str">
        <f ca="1">IFERROR(__xludf.DUMMYFUNCTION("GOOGLETRANSLATE(J1107,""EN"",""ES"")"),"Infusores de té")</f>
        <v>Infusores de té</v>
      </c>
      <c r="M1107" s="8" t="s">
        <v>22</v>
      </c>
      <c r="N1107" s="8" t="s">
        <v>22</v>
      </c>
    </row>
    <row r="1108" spans="1:14" ht="11.25" customHeight="1">
      <c r="A1108" s="5" t="s">
        <v>3028</v>
      </c>
      <c r="B1108" s="5" t="s">
        <v>3255</v>
      </c>
      <c r="C1108" s="5" t="s">
        <v>3263</v>
      </c>
      <c r="D1108" s="5" t="s">
        <v>3031</v>
      </c>
      <c r="E1108" s="5" t="s">
        <v>23</v>
      </c>
      <c r="F1108" s="5" t="s">
        <v>3032</v>
      </c>
      <c r="G1108" s="5" t="s">
        <v>3033</v>
      </c>
      <c r="H1108" s="5" t="s">
        <v>3257</v>
      </c>
      <c r="I1108" s="5" t="s">
        <v>152</v>
      </c>
      <c r="J1108" s="5" t="s">
        <v>3266</v>
      </c>
      <c r="K1108" s="7" t="str">
        <f ca="1">IFERROR(__xludf.DUMMYFUNCTION("GOOGLETRANSLATE(H1108,""EN"",""ES"")"),"APARATOS, UTENSILIOS Y RECIPIENTES PARA COCINA")</f>
        <v>APARATOS, UTENSILIOS Y RECIPIENTES PARA COCINA</v>
      </c>
      <c r="L1108" s="5" t="str">
        <f ca="1">IFERROR(__xludf.DUMMYFUNCTION("GOOGLETRANSLATE(J1108,""EN"",""ES"")"),"N / A")</f>
        <v>N / A</v>
      </c>
      <c r="M1108" s="8" t="s">
        <v>22</v>
      </c>
      <c r="N1108" s="8" t="s">
        <v>22</v>
      </c>
    </row>
    <row r="1109" spans="1:14" ht="11.25" customHeight="1">
      <c r="A1109" s="5" t="s">
        <v>3028</v>
      </c>
      <c r="B1109" s="5" t="s">
        <v>3255</v>
      </c>
      <c r="C1109" s="5" t="s">
        <v>3267</v>
      </c>
      <c r="D1109" s="5" t="s">
        <v>3031</v>
      </c>
      <c r="E1109" s="5" t="s">
        <v>23</v>
      </c>
      <c r="F1109" s="5" t="s">
        <v>3032</v>
      </c>
      <c r="G1109" s="5" t="s">
        <v>3033</v>
      </c>
      <c r="H1109" s="5" t="s">
        <v>3257</v>
      </c>
      <c r="I1109" s="5" t="s">
        <v>3268</v>
      </c>
      <c r="J1109" s="5" t="s">
        <v>3269</v>
      </c>
      <c r="K1109" s="7" t="str">
        <f ca="1">IFERROR(__xludf.DUMMYFUNCTION("GOOGLETRANSLATE(H1109,""EN"",""ES"")"),"APARATOS, UTENSILIOS Y RECIPIENTES PARA COCINA")</f>
        <v>APARATOS, UTENSILIOS Y RECIPIENTES PARA COCINA</v>
      </c>
      <c r="L1109" s="5" t="str">
        <f ca="1">IFERROR(__xludf.DUMMYFUNCTION("GOOGLETRANSLATE(J1109,""EN"",""ES"")"),"brochetas de carne")</f>
        <v>brochetas de carne</v>
      </c>
      <c r="M1109" s="8" t="s">
        <v>22</v>
      </c>
      <c r="N1109" s="8" t="s">
        <v>22</v>
      </c>
    </row>
    <row r="1110" spans="1:14" ht="11.25" customHeight="1">
      <c r="A1110" s="5" t="s">
        <v>3028</v>
      </c>
      <c r="B1110" s="5" t="s">
        <v>3255</v>
      </c>
      <c r="C1110" s="5" t="s">
        <v>3270</v>
      </c>
      <c r="D1110" s="5" t="s">
        <v>3031</v>
      </c>
      <c r="E1110" s="5" t="s">
        <v>23</v>
      </c>
      <c r="F1110" s="5" t="s">
        <v>3032</v>
      </c>
      <c r="G1110" s="5" t="s">
        <v>3033</v>
      </c>
      <c r="H1110" s="5" t="s">
        <v>3257</v>
      </c>
      <c r="I1110" s="5" t="s">
        <v>3271</v>
      </c>
      <c r="J1110" s="5" t="s">
        <v>3272</v>
      </c>
      <c r="K1110" s="7" t="str">
        <f ca="1">IFERROR(__xludf.DUMMYFUNCTION("GOOGLETRANSLATE(H1110,""EN"",""ES"")"),"APARATOS, UTENSILIOS Y RECIPIENTES PARA COCINA")</f>
        <v>APARATOS, UTENSILIOS Y RECIPIENTES PARA COCINA</v>
      </c>
      <c r="L1110" s="5" t="str">
        <f ca="1">IFERROR(__xludf.DUMMYFUNCTION("GOOGLETRANSLATE(J1110,""EN"",""ES"")"),"Tostadores de café [hogar]")</f>
        <v>Tostadores de café [hogar]</v>
      </c>
      <c r="M1110" s="8" t="s">
        <v>22</v>
      </c>
      <c r="N1110" s="8" t="s">
        <v>25</v>
      </c>
    </row>
    <row r="1111" spans="1:14" ht="11.25" customHeight="1">
      <c r="A1111" s="5" t="s">
        <v>3028</v>
      </c>
      <c r="B1111" s="5" t="s">
        <v>3255</v>
      </c>
      <c r="C1111" s="5" t="s">
        <v>3273</v>
      </c>
      <c r="D1111" s="5" t="s">
        <v>3031</v>
      </c>
      <c r="E1111" s="5" t="s">
        <v>23</v>
      </c>
      <c r="F1111" s="5" t="s">
        <v>3032</v>
      </c>
      <c r="G1111" s="5" t="s">
        <v>3033</v>
      </c>
      <c r="H1111" s="5" t="s">
        <v>3257</v>
      </c>
      <c r="I1111" s="5" t="s">
        <v>3274</v>
      </c>
      <c r="J1111" s="5" t="s">
        <v>3275</v>
      </c>
      <c r="K1111" s="7" t="str">
        <f ca="1">IFERROR(__xludf.DUMMYFUNCTION("GOOGLETRANSLATE(H1111,""EN"",""ES"")"),"APARATOS, UTENSILIOS Y RECIPIENTES PARA COCINA")</f>
        <v>APARATOS, UTENSILIOS Y RECIPIENTES PARA COCINA</v>
      </c>
      <c r="L1111" s="5" t="str">
        <f ca="1">IFERROR(__xludf.DUMMYFUNCTION("GOOGLETRANSLATE(J1111,""EN"",""ES"")"),"Cafeteras expreso")</f>
        <v>Cafeteras expreso</v>
      </c>
      <c r="M1111" s="8" t="s">
        <v>22</v>
      </c>
      <c r="N1111" s="8" t="s">
        <v>25</v>
      </c>
    </row>
    <row r="1112" spans="1:14" ht="11.25" customHeight="1">
      <c r="A1112" s="5" t="s">
        <v>3028</v>
      </c>
      <c r="B1112" s="5" t="s">
        <v>3255</v>
      </c>
      <c r="C1112" s="5" t="s">
        <v>3276</v>
      </c>
      <c r="D1112" s="5" t="s">
        <v>3031</v>
      </c>
      <c r="E1112" s="5" t="s">
        <v>23</v>
      </c>
      <c r="F1112" s="5" t="s">
        <v>3032</v>
      </c>
      <c r="G1112" s="5" t="s">
        <v>3033</v>
      </c>
      <c r="H1112" s="5" t="s">
        <v>3257</v>
      </c>
      <c r="I1112" s="5" t="s">
        <v>3277</v>
      </c>
      <c r="J1112" s="5" t="s">
        <v>3278</v>
      </c>
      <c r="K1112" s="7" t="str">
        <f ca="1">IFERROR(__xludf.DUMMYFUNCTION("GOOGLETRANSLATE(H1112,""EN"",""ES"")"),"APARATOS, UTENSILIOS Y RECIPIENTES PARA COCINA")</f>
        <v>APARATOS, UTENSILIOS Y RECIPIENTES PARA COCINA</v>
      </c>
      <c r="L1112" s="5" t="str">
        <f ca="1">IFERROR(__xludf.DUMMYFUNCTION("GOOGLETRANSLATE(J1112,""EN"",""ES"")"),"Cacerolas")</f>
        <v>Cacerolas</v>
      </c>
      <c r="M1112" s="8" t="s">
        <v>22</v>
      </c>
      <c r="N1112" s="8" t="s">
        <v>22</v>
      </c>
    </row>
    <row r="1113" spans="1:14" ht="11.25" customHeight="1">
      <c r="A1113" s="5" t="s">
        <v>3028</v>
      </c>
      <c r="B1113" s="5" t="s">
        <v>3255</v>
      </c>
      <c r="C1113" s="5" t="s">
        <v>3279</v>
      </c>
      <c r="D1113" s="5" t="s">
        <v>3031</v>
      </c>
      <c r="E1113" s="5" t="s">
        <v>23</v>
      </c>
      <c r="F1113" s="5" t="s">
        <v>3032</v>
      </c>
      <c r="G1113" s="5" t="s">
        <v>3033</v>
      </c>
      <c r="H1113" s="5" t="s">
        <v>3257</v>
      </c>
      <c r="I1113" s="5" t="s">
        <v>3280</v>
      </c>
      <c r="J1113" s="5" t="s">
        <v>3281</v>
      </c>
      <c r="K1113" s="7" t="str">
        <f ca="1">IFERROR(__xludf.DUMMYFUNCTION("GOOGLETRANSLATE(H1113,""EN"",""ES"")"),"APARATOS, UTENSILIOS Y RECIPIENTES PARA COCINA")</f>
        <v>APARATOS, UTENSILIOS Y RECIPIENTES PARA COCINA</v>
      </c>
      <c r="L1113" s="5" t="str">
        <f ca="1">IFERROR(__xludf.DUMMYFUNCTION("GOOGLETRANSLATE(J1113,""EN"",""ES"")"),"calderos")</f>
        <v>calderos</v>
      </c>
      <c r="M1113" s="8" t="s">
        <v>22</v>
      </c>
      <c r="N1113" s="8" t="s">
        <v>22</v>
      </c>
    </row>
    <row r="1114" spans="1:14" ht="11.25" customHeight="1">
      <c r="A1114" s="5" t="s">
        <v>3028</v>
      </c>
      <c r="B1114" s="5" t="s">
        <v>3255</v>
      </c>
      <c r="C1114" s="5" t="s">
        <v>3282</v>
      </c>
      <c r="D1114" s="5" t="s">
        <v>3031</v>
      </c>
      <c r="E1114" s="5" t="s">
        <v>23</v>
      </c>
      <c r="F1114" s="5" t="s">
        <v>3032</v>
      </c>
      <c r="G1114" s="5" t="s">
        <v>3033</v>
      </c>
      <c r="H1114" s="5" t="s">
        <v>3257</v>
      </c>
      <c r="I1114" s="5" t="s">
        <v>3283</v>
      </c>
      <c r="J1114" s="5" t="s">
        <v>3284</v>
      </c>
      <c r="K1114" s="7" t="str">
        <f ca="1">IFERROR(__xludf.DUMMYFUNCTION("GOOGLETRANSLATE(H1114,""EN"",""ES"")"),"APARATOS, UTENSILIOS Y RECIPIENTES PARA COCINA")</f>
        <v>APARATOS, UTENSILIOS Y RECIPIENTES PARA COCINA</v>
      </c>
      <c r="L1114" s="5" t="str">
        <f ca="1">IFERROR(__xludf.DUMMYFUNCTION("GOOGLETRANSLATE(J1114,""EN"",""ES"")"),"Sartenes para cocinar")</f>
        <v>Sartenes para cocinar</v>
      </c>
      <c r="M1114" s="8" t="s">
        <v>22</v>
      </c>
      <c r="N1114" s="8" t="s">
        <v>22</v>
      </c>
    </row>
    <row r="1115" spans="1:14" ht="11.25" customHeight="1">
      <c r="A1115" s="5" t="s">
        <v>3028</v>
      </c>
      <c r="B1115" s="5" t="s">
        <v>3255</v>
      </c>
      <c r="C1115" s="5" t="s">
        <v>3285</v>
      </c>
      <c r="D1115" s="5" t="s">
        <v>3031</v>
      </c>
      <c r="E1115" s="5" t="s">
        <v>23</v>
      </c>
      <c r="F1115" s="5" t="s">
        <v>3032</v>
      </c>
      <c r="G1115" s="5" t="s">
        <v>3033</v>
      </c>
      <c r="H1115" s="5" t="s">
        <v>3257</v>
      </c>
      <c r="I1115" s="5" t="s">
        <v>3286</v>
      </c>
      <c r="J1115" s="5" t="s">
        <v>3287</v>
      </c>
      <c r="K1115" s="7" t="str">
        <f ca="1">IFERROR(__xludf.DUMMYFUNCTION("GOOGLETRANSLATE(H1115,""EN"",""ES"")"),"APARATOS, UTENSILIOS Y RECIPIENTES PARA COCINA")</f>
        <v>APARATOS, UTENSILIOS Y RECIPIENTES PARA COCINA</v>
      </c>
      <c r="L1115" s="5" t="str">
        <f ca="1">IFERROR(__xludf.DUMMYFUNCTION("GOOGLETRANSLATE(J1115,""EN"",""ES"")"),"Tapas para utensilios de cocina.")</f>
        <v>Tapas para utensilios de cocina.</v>
      </c>
      <c r="M1115" s="8" t="s">
        <v>22</v>
      </c>
      <c r="N1115" s="8" t="s">
        <v>22</v>
      </c>
    </row>
    <row r="1116" spans="1:14" ht="11.25" customHeight="1">
      <c r="A1116" s="5" t="s">
        <v>3028</v>
      </c>
      <c r="B1116" s="5" t="s">
        <v>3255</v>
      </c>
      <c r="C1116" s="5" t="s">
        <v>3288</v>
      </c>
      <c r="D1116" s="5" t="s">
        <v>3031</v>
      </c>
      <c r="E1116" s="5" t="s">
        <v>23</v>
      </c>
      <c r="F1116" s="5" t="s">
        <v>3032</v>
      </c>
      <c r="G1116" s="5" t="s">
        <v>3033</v>
      </c>
      <c r="H1116" s="5" t="s">
        <v>3257</v>
      </c>
      <c r="I1116" s="5" t="s">
        <v>3289</v>
      </c>
      <c r="J1116" s="5" t="s">
        <v>3290</v>
      </c>
      <c r="K1116" s="7" t="str">
        <f ca="1">IFERROR(__xludf.DUMMYFUNCTION("GOOGLETRANSLATE(H1116,""EN"",""ES"")"),"APARATOS, UTENSILIOS Y RECIPIENTES PARA COCINA")</f>
        <v>APARATOS, UTENSILIOS Y RECIPIENTES PARA COCINA</v>
      </c>
      <c r="L1116" s="5" t="str">
        <f ca="1">IFERROR(__xludf.DUMMYFUNCTION("GOOGLETRANSLATE(J1116,""EN"",""ES"")"),"Estufas de cocina")</f>
        <v>Estufas de cocina</v>
      </c>
      <c r="M1116" s="8" t="s">
        <v>22</v>
      </c>
      <c r="N1116" s="8" t="s">
        <v>22</v>
      </c>
    </row>
    <row r="1117" spans="1:14" ht="11.25" customHeight="1">
      <c r="A1117" s="5" t="s">
        <v>3028</v>
      </c>
      <c r="B1117" s="5" t="s">
        <v>3255</v>
      </c>
      <c r="C1117" s="5" t="s">
        <v>3288</v>
      </c>
      <c r="D1117" s="5" t="s">
        <v>3031</v>
      </c>
      <c r="E1117" s="5" t="s">
        <v>23</v>
      </c>
      <c r="F1117" s="5" t="s">
        <v>3032</v>
      </c>
      <c r="G1117" s="5" t="s">
        <v>3033</v>
      </c>
      <c r="H1117" s="5" t="s">
        <v>3257</v>
      </c>
      <c r="I1117" s="5" t="s">
        <v>3291</v>
      </c>
      <c r="J1117" s="5" t="s">
        <v>152</v>
      </c>
      <c r="K1117" s="7" t="str">
        <f ca="1">IFERROR(__xludf.DUMMYFUNCTION("GOOGLETRANSLATE(H1117,""EN"",""ES"")"),"APARATOS, UTENSILIOS Y RECIPIENTES PARA COCINA")</f>
        <v>APARATOS, UTENSILIOS Y RECIPIENTES PARA COCINA</v>
      </c>
      <c r="L1117" s="5" t="str">
        <f ca="1">IFERROR(__xludf.DUMMYFUNCTION("GOOGLETRANSLATE(J1117,""EN"",""ES"")"),"Cocinas")</f>
        <v>Cocinas</v>
      </c>
      <c r="M1117" s="8" t="s">
        <v>22</v>
      </c>
      <c r="N1117" s="8" t="s">
        <v>22</v>
      </c>
    </row>
    <row r="1118" spans="1:14" ht="11.25" customHeight="1">
      <c r="A1118" s="5" t="s">
        <v>3028</v>
      </c>
      <c r="B1118" s="5" t="s">
        <v>3255</v>
      </c>
      <c r="C1118" s="5" t="s">
        <v>3292</v>
      </c>
      <c r="D1118" s="5" t="s">
        <v>3031</v>
      </c>
      <c r="E1118" s="5" t="s">
        <v>23</v>
      </c>
      <c r="F1118" s="5" t="s">
        <v>3032</v>
      </c>
      <c r="G1118" s="5" t="s">
        <v>3033</v>
      </c>
      <c r="H1118" s="5" t="s">
        <v>3257</v>
      </c>
      <c r="I1118" s="5" t="s">
        <v>3293</v>
      </c>
      <c r="J1118" s="5" t="s">
        <v>3294</v>
      </c>
      <c r="K1118" s="7" t="str">
        <f ca="1">IFERROR(__xludf.DUMMYFUNCTION("GOOGLETRANSLATE(H1118,""EN"",""ES"")"),"APARATOS, UTENSILIOS Y RECIPIENTES PARA COCINA")</f>
        <v>APARATOS, UTENSILIOS Y RECIPIENTES PARA COCINA</v>
      </c>
      <c r="L1118" s="5" t="str">
        <f ca="1">IFERROR(__xludf.DUMMYFUNCTION("GOOGLETRANSLATE(J1118,""EN"",""ES"")"),"Estufas para acampar")</f>
        <v>Estufas para acampar</v>
      </c>
      <c r="M1118" s="8" t="s">
        <v>22</v>
      </c>
      <c r="N1118" s="8" t="s">
        <v>22</v>
      </c>
    </row>
    <row r="1119" spans="1:14" ht="11.25" customHeight="1">
      <c r="A1119" s="5" t="s">
        <v>3028</v>
      </c>
      <c r="B1119" s="5" t="s">
        <v>3255</v>
      </c>
      <c r="C1119" s="5" t="s">
        <v>3295</v>
      </c>
      <c r="D1119" s="5" t="s">
        <v>3031</v>
      </c>
      <c r="E1119" s="5" t="s">
        <v>23</v>
      </c>
      <c r="F1119" s="5" t="s">
        <v>3032</v>
      </c>
      <c r="G1119" s="5" t="s">
        <v>3033</v>
      </c>
      <c r="H1119" s="5" t="s">
        <v>3257</v>
      </c>
      <c r="I1119" s="5" t="s">
        <v>3296</v>
      </c>
      <c r="J1119" s="5" t="s">
        <v>3297</v>
      </c>
      <c r="K1119" s="7" t="str">
        <f ca="1">IFERROR(__xludf.DUMMYFUNCTION("GOOGLETRANSLATE(H1119,""EN"",""ES"")"),"APARATOS, UTENSILIOS Y RECIPIENTES PARA COCINA")</f>
        <v>APARATOS, UTENSILIOS Y RECIPIENTES PARA COCINA</v>
      </c>
      <c r="L1119" s="5" t="str">
        <f ca="1">IFERROR(__xludf.DUMMYFUNCTION("GOOGLETRANSLATE(J1119,""EN"",""ES"")"),"Aparatos, utensilios y recipientes de cocina.")</f>
        <v>Aparatos, utensilios y recipientes de cocina.</v>
      </c>
      <c r="M1119" s="8" t="s">
        <v>22</v>
      </c>
      <c r="N1119" s="8" t="s">
        <v>22</v>
      </c>
    </row>
    <row r="1120" spans="1:14" ht="11.25" customHeight="1">
      <c r="A1120" s="5" t="s">
        <v>3028</v>
      </c>
      <c r="B1120" s="5" t="s">
        <v>3255</v>
      </c>
      <c r="C1120" s="5" t="s">
        <v>3298</v>
      </c>
      <c r="D1120" s="5" t="s">
        <v>3031</v>
      </c>
      <c r="E1120" s="5" t="s">
        <v>23</v>
      </c>
      <c r="F1120" s="5" t="s">
        <v>3032</v>
      </c>
      <c r="G1120" s="5" t="s">
        <v>3033</v>
      </c>
      <c r="H1120" s="5" t="s">
        <v>3257</v>
      </c>
      <c r="I1120" s="5" t="s">
        <v>3299</v>
      </c>
      <c r="J1120" s="5" t="s">
        <v>3300</v>
      </c>
      <c r="K1120" s="7" t="str">
        <f ca="1">IFERROR(__xludf.DUMMYFUNCTION("GOOGLETRANSLATE(H1120,""EN"",""ES"")"),"APARATOS, UTENSILIOS Y RECIPIENTES PARA COCINA")</f>
        <v>APARATOS, UTENSILIOS Y RECIPIENTES PARA COCINA</v>
      </c>
      <c r="L1120" s="5" t="str">
        <f ca="1">IFERROR(__xludf.DUMMYFUNCTION("GOOGLETRANSLATE(J1120,""EN"",""ES"")"),"Cacerolas")</f>
        <v>Cacerolas</v>
      </c>
      <c r="M1120" s="8" t="s">
        <v>22</v>
      </c>
      <c r="N1120" s="8" t="s">
        <v>22</v>
      </c>
    </row>
    <row r="1121" spans="1:14" ht="11.25" customHeight="1">
      <c r="A1121" s="5" t="s">
        <v>3028</v>
      </c>
      <c r="B1121" s="5" t="s">
        <v>3255</v>
      </c>
      <c r="C1121" s="5" t="s">
        <v>3301</v>
      </c>
      <c r="D1121" s="5" t="s">
        <v>3031</v>
      </c>
      <c r="E1121" s="5" t="s">
        <v>23</v>
      </c>
      <c r="F1121" s="5" t="s">
        <v>3032</v>
      </c>
      <c r="G1121" s="5" t="s">
        <v>3033</v>
      </c>
      <c r="H1121" s="5" t="s">
        <v>3257</v>
      </c>
      <c r="I1121" s="5" t="s">
        <v>3302</v>
      </c>
      <c r="J1121" s="5" t="s">
        <v>3303</v>
      </c>
      <c r="K1121" s="7" t="str">
        <f ca="1">IFERROR(__xludf.DUMMYFUNCTION("GOOGLETRANSLATE(H1121,""EN"",""ES"")"),"APARATOS, UTENSILIOS Y RECIPIENTES PARA COCINA")</f>
        <v>APARATOS, UTENSILIOS Y RECIPIENTES PARA COCINA</v>
      </c>
      <c r="L1121" s="5" t="str">
        <f ca="1">IFERROR(__xludf.DUMMYFUNCTION("GOOGLETRANSLATE(J1121,""EN"",""ES"")"),"Bandejas para hornear")</f>
        <v>Bandejas para hornear</v>
      </c>
      <c r="M1121" s="8" t="s">
        <v>22</v>
      </c>
      <c r="N1121" s="8" t="s">
        <v>22</v>
      </c>
    </row>
    <row r="1122" spans="1:14" ht="11.25" customHeight="1">
      <c r="A1122" s="5" t="s">
        <v>3028</v>
      </c>
      <c r="B1122" s="5" t="s">
        <v>3255</v>
      </c>
      <c r="C1122" s="5" t="s">
        <v>3304</v>
      </c>
      <c r="D1122" s="5" t="s">
        <v>3031</v>
      </c>
      <c r="E1122" s="5" t="s">
        <v>23</v>
      </c>
      <c r="F1122" s="5" t="s">
        <v>3032</v>
      </c>
      <c r="G1122" s="5" t="s">
        <v>3033</v>
      </c>
      <c r="H1122" s="5" t="s">
        <v>3257</v>
      </c>
      <c r="I1122" s="5" t="s">
        <v>3305</v>
      </c>
      <c r="J1122" s="5" t="s">
        <v>3306</v>
      </c>
      <c r="K1122" s="7" t="str">
        <f ca="1">IFERROR(__xludf.DUMMYFUNCTION("GOOGLETRANSLATE(H1122,""EN"",""ES"")"),"APARATOS, UTENSILIOS Y RECIPIENTES PARA COCINA")</f>
        <v>APARATOS, UTENSILIOS Y RECIPIENTES PARA COCINA</v>
      </c>
      <c r="L1122" s="5" t="str">
        <f ca="1">IFERROR(__xludf.DUMMYFUNCTION("GOOGLETRANSLATE(J1122,""EN"",""ES"")"),"Moldes para repostería o repostería.")</f>
        <v>Moldes para repostería o repostería.</v>
      </c>
      <c r="M1122" s="8" t="s">
        <v>22</v>
      </c>
      <c r="N1122" s="8" t="s">
        <v>22</v>
      </c>
    </row>
    <row r="1123" spans="1:14" ht="11.25" customHeight="1">
      <c r="A1123" s="5" t="s">
        <v>3028</v>
      </c>
      <c r="B1123" s="5" t="s">
        <v>3255</v>
      </c>
      <c r="C1123" s="5" t="s">
        <v>3304</v>
      </c>
      <c r="D1123" s="5" t="s">
        <v>3031</v>
      </c>
      <c r="E1123" s="5" t="s">
        <v>23</v>
      </c>
      <c r="F1123" s="5" t="s">
        <v>3032</v>
      </c>
      <c r="G1123" s="5" t="s">
        <v>3033</v>
      </c>
      <c r="H1123" s="5" t="s">
        <v>3257</v>
      </c>
      <c r="I1123" s="5" t="s">
        <v>3307</v>
      </c>
      <c r="J1123" s="5" t="s">
        <v>152</v>
      </c>
      <c r="K1123" s="7" t="str">
        <f ca="1">IFERROR(__xludf.DUMMYFUNCTION("GOOGLETRANSLATE(H1123,""EN"",""ES"")"),"APARATOS, UTENSILIOS Y RECIPIENTES PARA COCINA")</f>
        <v>APARATOS, UTENSILIOS Y RECIPIENTES PARA COCINA</v>
      </c>
      <c r="L1123" s="5" t="str">
        <f ca="1">IFERROR(__xludf.DUMMYFUNCTION("GOOGLETRANSLATE(J1123,""EN"",""ES"")"),"Moldes para repostería o repostería.")</f>
        <v>Moldes para repostería o repostería.</v>
      </c>
      <c r="M1123" s="8" t="s">
        <v>22</v>
      </c>
      <c r="N1123" s="8" t="s">
        <v>22</v>
      </c>
    </row>
    <row r="1124" spans="1:14" ht="11.25" customHeight="1">
      <c r="A1124" s="5" t="s">
        <v>3028</v>
      </c>
      <c r="B1124" s="5" t="s">
        <v>3255</v>
      </c>
      <c r="C1124" s="5" t="s">
        <v>3308</v>
      </c>
      <c r="D1124" s="5" t="s">
        <v>3031</v>
      </c>
      <c r="E1124" s="5" t="s">
        <v>23</v>
      </c>
      <c r="F1124" s="5" t="s">
        <v>3032</v>
      </c>
      <c r="G1124" s="5" t="s">
        <v>3033</v>
      </c>
      <c r="H1124" s="5" t="s">
        <v>3257</v>
      </c>
      <c r="I1124" s="5" t="s">
        <v>3309</v>
      </c>
      <c r="J1124" s="5" t="s">
        <v>3310</v>
      </c>
      <c r="K1124" s="7" t="str">
        <f ca="1">IFERROR(__xludf.DUMMYFUNCTION("GOOGLETRANSLATE(H1124,""EN"",""ES"")"),"APARATOS, UTENSILIOS Y RECIPIENTES PARA COCINA")</f>
        <v>APARATOS, UTENSILIOS Y RECIPIENTES PARA COCINA</v>
      </c>
      <c r="L1124" s="5" t="str">
        <f ca="1">IFERROR(__xludf.DUMMYFUNCTION("GOOGLETRANSLATE(J1124,""EN"",""ES"")"),"Estufas de cocina")</f>
        <v>Estufas de cocina</v>
      </c>
      <c r="M1124" s="8" t="s">
        <v>22</v>
      </c>
      <c r="N1124" s="8" t="s">
        <v>25</v>
      </c>
    </row>
    <row r="1125" spans="1:14" ht="11.25" customHeight="1">
      <c r="A1125" s="5" t="s">
        <v>3028</v>
      </c>
      <c r="B1125" s="5" t="s">
        <v>3255</v>
      </c>
      <c r="C1125" s="5" t="s">
        <v>3311</v>
      </c>
      <c r="D1125" s="5" t="s">
        <v>3031</v>
      </c>
      <c r="E1125" s="5" t="s">
        <v>23</v>
      </c>
      <c r="F1125" s="5" t="s">
        <v>3032</v>
      </c>
      <c r="G1125" s="5" t="s">
        <v>3033</v>
      </c>
      <c r="H1125" s="5" t="s">
        <v>3257</v>
      </c>
      <c r="I1125" s="5" t="s">
        <v>3312</v>
      </c>
      <c r="J1125" s="5" t="s">
        <v>3313</v>
      </c>
      <c r="K1125" s="7" t="str">
        <f ca="1">IFERROR(__xludf.DUMMYFUNCTION("GOOGLETRANSLATE(H1125,""EN"",""ES"")"),"APARATOS, UTENSILIOS Y RECIPIENTES PARA COCINA")</f>
        <v>APARATOS, UTENSILIOS Y RECIPIENTES PARA COCINA</v>
      </c>
      <c r="L1125" s="5" t="str">
        <f ca="1">IFERROR(__xludf.DUMMYFUNCTION("GOOGLETRANSLATE(J1125,""EN"",""ES"")"),"Hornos [cocinar]")</f>
        <v>Hornos [cocinar]</v>
      </c>
      <c r="M1125" s="8" t="s">
        <v>22</v>
      </c>
      <c r="N1125" s="8" t="s">
        <v>25</v>
      </c>
    </row>
    <row r="1126" spans="1:14" ht="11.25" customHeight="1">
      <c r="A1126" s="5" t="s">
        <v>3028</v>
      </c>
      <c r="B1126" s="5" t="s">
        <v>3255</v>
      </c>
      <c r="C1126" s="5" t="s">
        <v>3314</v>
      </c>
      <c r="D1126" s="5" t="s">
        <v>3031</v>
      </c>
      <c r="E1126" s="5" t="s">
        <v>23</v>
      </c>
      <c r="F1126" s="5" t="s">
        <v>3032</v>
      </c>
      <c r="G1126" s="5" t="s">
        <v>3033</v>
      </c>
      <c r="H1126" s="5" t="s">
        <v>3257</v>
      </c>
      <c r="I1126" s="5" t="s">
        <v>3315</v>
      </c>
      <c r="J1126" s="5" t="s">
        <v>3316</v>
      </c>
      <c r="K1126" s="7" t="str">
        <f ca="1">IFERROR(__xludf.DUMMYFUNCTION("GOOGLETRANSLATE(H1126,""EN"",""ES"")"),"APARATOS, UTENSILIOS Y RECIPIENTES PARA COCINA")</f>
        <v>APARATOS, UTENSILIOS Y RECIPIENTES PARA COCINA</v>
      </c>
      <c r="L1126" s="5" t="str">
        <f ca="1">IFERROR(__xludf.DUMMYFUNCTION("GOOGLETRANSLATE(J1126,""EN"",""ES"")"),"Planchas para gofres")</f>
        <v>Planchas para gofres</v>
      </c>
      <c r="M1126" s="8" t="s">
        <v>22</v>
      </c>
      <c r="N1126" s="8" t="s">
        <v>22</v>
      </c>
    </row>
    <row r="1127" spans="1:14" ht="11.25" customHeight="1">
      <c r="A1127" s="5" t="s">
        <v>3028</v>
      </c>
      <c r="B1127" s="5" t="s">
        <v>3255</v>
      </c>
      <c r="C1127" s="5" t="s">
        <v>3317</v>
      </c>
      <c r="D1127" s="5" t="s">
        <v>3031</v>
      </c>
      <c r="E1127" s="5" t="s">
        <v>23</v>
      </c>
      <c r="F1127" s="5" t="s">
        <v>3032</v>
      </c>
      <c r="G1127" s="5" t="s">
        <v>3033</v>
      </c>
      <c r="H1127" s="5" t="s">
        <v>3257</v>
      </c>
      <c r="I1127" s="5" t="s">
        <v>3318</v>
      </c>
      <c r="J1127" s="5" t="s">
        <v>3319</v>
      </c>
      <c r="K1127" s="7" t="str">
        <f ca="1">IFERROR(__xludf.DUMMYFUNCTION("GOOGLETRANSLATE(H1127,""EN"",""ES"")"),"APARATOS, UTENSILIOS Y RECIPIENTES PARA COCINA")</f>
        <v>APARATOS, UTENSILIOS Y RECIPIENTES PARA COCINA</v>
      </c>
      <c r="L1127" s="5" t="str">
        <f ca="1">IFERROR(__xludf.DUMMYFUNCTION("GOOGLETRANSLATE(J1127,""EN"",""ES"")"),"tostadores de nueces")</f>
        <v>tostadores de nueces</v>
      </c>
      <c r="M1127" s="8" t="s">
        <v>22</v>
      </c>
      <c r="N1127" s="8" t="s">
        <v>22</v>
      </c>
    </row>
    <row r="1128" spans="1:14" ht="11.25" customHeight="1">
      <c r="A1128" s="5" t="s">
        <v>3028</v>
      </c>
      <c r="B1128" s="5" t="s">
        <v>3255</v>
      </c>
      <c r="C1128" s="5" t="s">
        <v>3320</v>
      </c>
      <c r="D1128" s="5" t="s">
        <v>3031</v>
      </c>
      <c r="E1128" s="5" t="s">
        <v>23</v>
      </c>
      <c r="F1128" s="5" t="s">
        <v>3032</v>
      </c>
      <c r="G1128" s="5" t="s">
        <v>3033</v>
      </c>
      <c r="H1128" s="5" t="s">
        <v>3257</v>
      </c>
      <c r="I1128" s="5" t="s">
        <v>3321</v>
      </c>
      <c r="J1128" s="5" t="s">
        <v>3322</v>
      </c>
      <c r="K1128" s="7" t="str">
        <f ca="1">IFERROR(__xludf.DUMMYFUNCTION("GOOGLETRANSLATE(H1128,""EN"",""ES"")"),"APARATOS, UTENSILIOS Y RECIPIENTES PARA COCINA")</f>
        <v>APARATOS, UTENSILIOS Y RECIPIENTES PARA COCINA</v>
      </c>
      <c r="L1128" s="5" t="str">
        <f ca="1">IFERROR(__xludf.DUMMYFUNCTION("GOOGLETRANSLATE(J1128,""EN"",""ES"")"),"Tostadoras")</f>
        <v>Tostadoras</v>
      </c>
      <c r="M1128" s="8" t="s">
        <v>22</v>
      </c>
      <c r="N1128" s="8" t="s">
        <v>25</v>
      </c>
    </row>
    <row r="1129" spans="1:14" ht="11.25" customHeight="1">
      <c r="A1129" s="5" t="s">
        <v>3028</v>
      </c>
      <c r="B1129" s="5" t="s">
        <v>3255</v>
      </c>
      <c r="C1129" s="5" t="s">
        <v>3320</v>
      </c>
      <c r="D1129" s="5" t="s">
        <v>3031</v>
      </c>
      <c r="E1129" s="5" t="s">
        <v>23</v>
      </c>
      <c r="F1129" s="5" t="s">
        <v>3032</v>
      </c>
      <c r="G1129" s="5" t="s">
        <v>3033</v>
      </c>
      <c r="H1129" s="5" t="s">
        <v>3257</v>
      </c>
      <c r="I1129" s="5" t="s">
        <v>152</v>
      </c>
      <c r="J1129" s="5" t="s">
        <v>3323</v>
      </c>
      <c r="K1129" s="7" t="str">
        <f ca="1">IFERROR(__xludf.DUMMYFUNCTION("GOOGLETRANSLATE(H1129,""EN"",""ES"")"),"APARATOS, UTENSILIOS Y RECIPIENTES PARA COCINA")</f>
        <v>APARATOS, UTENSILIOS Y RECIPIENTES PARA COCINA</v>
      </c>
      <c r="L1129" s="5" t="str">
        <f ca="1">IFERROR(__xludf.DUMMYFUNCTION("GOOGLETRANSLATE(J1129,""EN"",""ES"")"),"N / A")</f>
        <v>N / A</v>
      </c>
      <c r="M1129" s="8" t="s">
        <v>22</v>
      </c>
      <c r="N1129" s="8" t="s">
        <v>25</v>
      </c>
    </row>
    <row r="1130" spans="1:14" ht="11.25" customHeight="1">
      <c r="A1130" s="5" t="s">
        <v>3028</v>
      </c>
      <c r="B1130" s="5" t="s">
        <v>3255</v>
      </c>
      <c r="C1130" s="5" t="s">
        <v>3324</v>
      </c>
      <c r="D1130" s="5" t="s">
        <v>3031</v>
      </c>
      <c r="E1130" s="5" t="s">
        <v>23</v>
      </c>
      <c r="F1130" s="5" t="s">
        <v>3032</v>
      </c>
      <c r="G1130" s="5" t="s">
        <v>3033</v>
      </c>
      <c r="H1130" s="5" t="s">
        <v>3257</v>
      </c>
      <c r="I1130" s="5" t="s">
        <v>3325</v>
      </c>
      <c r="J1130" s="5" t="s">
        <v>3326</v>
      </c>
      <c r="K1130" s="7" t="str">
        <f ca="1">IFERROR(__xludf.DUMMYFUNCTION("GOOGLETRANSLATE(H1130,""EN"",""ES"")"),"APARATOS, UTENSILIOS Y RECIPIENTES PARA COCINA")</f>
        <v>APARATOS, UTENSILIOS Y RECIPIENTES PARA COCINA</v>
      </c>
      <c r="L1130" s="5" t="str">
        <f ca="1">IFERROR(__xludf.DUMMYFUNCTION("GOOGLETRANSLATE(J1130,""EN"",""ES"")"),"parrillas electricas")</f>
        <v>parrillas electricas</v>
      </c>
      <c r="M1130" s="8" t="s">
        <v>22</v>
      </c>
      <c r="N1130" s="8" t="s">
        <v>25</v>
      </c>
    </row>
    <row r="1131" spans="1:14" ht="11.25" customHeight="1">
      <c r="A1131" s="5" t="s">
        <v>3028</v>
      </c>
      <c r="B1131" s="5" t="s">
        <v>3255</v>
      </c>
      <c r="C1131" s="5" t="s">
        <v>3327</v>
      </c>
      <c r="D1131" s="5" t="s">
        <v>3031</v>
      </c>
      <c r="E1131" s="5" t="s">
        <v>23</v>
      </c>
      <c r="F1131" s="5" t="s">
        <v>3032</v>
      </c>
      <c r="G1131" s="5" t="s">
        <v>3033</v>
      </c>
      <c r="H1131" s="5" t="s">
        <v>3257</v>
      </c>
      <c r="I1131" s="5" t="s">
        <v>3328</v>
      </c>
      <c r="J1131" s="5" t="s">
        <v>3329</v>
      </c>
      <c r="K1131" s="7" t="str">
        <f ca="1">IFERROR(__xludf.DUMMYFUNCTION("GOOGLETRANSLATE(H1131,""EN"",""ES"")"),"APARATOS, UTENSILIOS Y RECIPIENTES PARA COCINA")</f>
        <v>APARATOS, UTENSILIOS Y RECIPIENTES PARA COCINA</v>
      </c>
      <c r="L1131" s="5" t="str">
        <f ca="1">IFERROR(__xludf.DUMMYFUNCTION("GOOGLETRANSLATE(J1131,""EN"",""ES"")"),"Parrillas")</f>
        <v>Parrillas</v>
      </c>
      <c r="M1131" s="8" t="s">
        <v>22</v>
      </c>
      <c r="N1131" s="8" t="s">
        <v>22</v>
      </c>
    </row>
    <row r="1132" spans="1:14" ht="11.25" customHeight="1">
      <c r="A1132" s="5" t="s">
        <v>3028</v>
      </c>
      <c r="B1132" s="5" t="s">
        <v>3255</v>
      </c>
      <c r="C1132" s="5" t="s">
        <v>3330</v>
      </c>
      <c r="D1132" s="5" t="s">
        <v>3031</v>
      </c>
      <c r="E1132" s="5" t="s">
        <v>23</v>
      </c>
      <c r="F1132" s="5" t="s">
        <v>3032</v>
      </c>
      <c r="G1132" s="5" t="s">
        <v>3033</v>
      </c>
      <c r="H1132" s="5" t="s">
        <v>3257</v>
      </c>
      <c r="I1132" s="5" t="s">
        <v>3331</v>
      </c>
      <c r="J1132" s="5" t="s">
        <v>3332</v>
      </c>
      <c r="K1132" s="7" t="str">
        <f ca="1">IFERROR(__xludf.DUMMYFUNCTION("GOOGLETRANSLATE(H1132,""EN"",""ES"")"),"APARATOS, UTENSILIOS Y RECIPIENTES PARA COCINA")</f>
        <v>APARATOS, UTENSILIOS Y RECIPIENTES PARA COCINA</v>
      </c>
      <c r="L1132" s="5" t="str">
        <f ca="1">IFERROR(__xludf.DUMMYFUNCTION("GOOGLETRANSLATE(J1132,""EN"",""ES"")"),"Bandejas de goteo")</f>
        <v>Bandejas de goteo</v>
      </c>
      <c r="M1132" s="8" t="s">
        <v>22</v>
      </c>
      <c r="N1132" s="8" t="s">
        <v>22</v>
      </c>
    </row>
    <row r="1133" spans="1:14" ht="11.25" customHeight="1">
      <c r="A1133" s="5" t="s">
        <v>3028</v>
      </c>
      <c r="B1133" s="5" t="s">
        <v>3255</v>
      </c>
      <c r="C1133" s="5" t="s">
        <v>3333</v>
      </c>
      <c r="D1133" s="5" t="s">
        <v>3031</v>
      </c>
      <c r="E1133" s="5" t="s">
        <v>23</v>
      </c>
      <c r="F1133" s="5" t="s">
        <v>3032</v>
      </c>
      <c r="G1133" s="5" t="s">
        <v>3033</v>
      </c>
      <c r="H1133" s="5" t="s">
        <v>3257</v>
      </c>
      <c r="I1133" s="5" t="s">
        <v>3334</v>
      </c>
      <c r="J1133" s="5" t="s">
        <v>3335</v>
      </c>
      <c r="K1133" s="7" t="str">
        <f ca="1">IFERROR(__xludf.DUMMYFUNCTION("GOOGLETRANSLATE(H1133,""EN"",""ES"")"),"APARATOS, UTENSILIOS Y RECIPIENTES PARA COCINA")</f>
        <v>APARATOS, UTENSILIOS Y RECIPIENTES PARA COCINA</v>
      </c>
      <c r="L1133" s="5" t="str">
        <f ca="1">IFERROR(__xludf.DUMMYFUNCTION("GOOGLETRANSLATE(J1133,""EN"",""ES"")"),"Cucharones para uso en cocina")</f>
        <v>Cucharones para uso en cocina</v>
      </c>
      <c r="M1133" s="8" t="s">
        <v>22</v>
      </c>
      <c r="N1133" s="8" t="s">
        <v>22</v>
      </c>
    </row>
    <row r="1134" spans="1:14" ht="11.25" customHeight="1">
      <c r="A1134" s="5" t="s">
        <v>3028</v>
      </c>
      <c r="B1134" s="5" t="s">
        <v>3255</v>
      </c>
      <c r="C1134" s="5" t="s">
        <v>3336</v>
      </c>
      <c r="D1134" s="5" t="s">
        <v>3031</v>
      </c>
      <c r="E1134" s="5" t="s">
        <v>23</v>
      </c>
      <c r="F1134" s="5" t="s">
        <v>3032</v>
      </c>
      <c r="G1134" s="5" t="s">
        <v>3033</v>
      </c>
      <c r="H1134" s="5" t="s">
        <v>3257</v>
      </c>
      <c r="I1134" s="5" t="s">
        <v>3337</v>
      </c>
      <c r="J1134" s="5" t="s">
        <v>3338</v>
      </c>
      <c r="K1134" s="7" t="str">
        <f ca="1">IFERROR(__xludf.DUMMYFUNCTION("GOOGLETRANSLATE(H1134,""EN"",""ES"")"),"APARATOS, UTENSILIOS Y RECIPIENTES PARA COCINA")</f>
        <v>APARATOS, UTENSILIOS Y RECIPIENTES PARA COCINA</v>
      </c>
      <c r="L1134" s="5" t="str">
        <f ca="1">IFERROR(__xludf.DUMMYFUNCTION("GOOGLETRANSLATE(J1134,""EN"",""ES"")"),"Ollas a presión [autoclaves]")</f>
        <v>Ollas a presión [autoclaves]</v>
      </c>
      <c r="M1134" s="8" t="s">
        <v>22</v>
      </c>
      <c r="N1134" s="8" t="s">
        <v>22</v>
      </c>
    </row>
    <row r="1135" spans="1:14" ht="11.25" customHeight="1">
      <c r="A1135" s="5" t="s">
        <v>3028</v>
      </c>
      <c r="B1135" s="5" t="s">
        <v>3255</v>
      </c>
      <c r="C1135" s="5" t="s">
        <v>3336</v>
      </c>
      <c r="D1135" s="5" t="s">
        <v>3031</v>
      </c>
      <c r="E1135" s="5" t="s">
        <v>23</v>
      </c>
      <c r="F1135" s="5" t="s">
        <v>3032</v>
      </c>
      <c r="G1135" s="5" t="s">
        <v>3033</v>
      </c>
      <c r="H1135" s="5" t="s">
        <v>3257</v>
      </c>
      <c r="I1135" s="5" t="s">
        <v>152</v>
      </c>
      <c r="J1135" s="5" t="s">
        <v>3339</v>
      </c>
      <c r="K1135" s="7" t="str">
        <f ca="1">IFERROR(__xludf.DUMMYFUNCTION("GOOGLETRANSLATE(H1135,""EN"",""ES"")"),"APARATOS, UTENSILIOS Y RECIPIENTES PARA COCINA")</f>
        <v>APARATOS, UTENSILIOS Y RECIPIENTES PARA COCINA</v>
      </c>
      <c r="L1135" s="5" t="str">
        <f ca="1">IFERROR(__xludf.DUMMYFUNCTION("GOOGLETRANSLATE(J1135,""EN"",""ES"")"),"N / A")</f>
        <v>N / A</v>
      </c>
      <c r="M1135" s="8" t="s">
        <v>22</v>
      </c>
      <c r="N1135" s="8" t="s">
        <v>22</v>
      </c>
    </row>
    <row r="1136" spans="1:14" ht="11.25" customHeight="1">
      <c r="A1136" s="5" t="s">
        <v>3028</v>
      </c>
      <c r="B1136" s="5" t="s">
        <v>3255</v>
      </c>
      <c r="C1136" s="5" t="s">
        <v>3340</v>
      </c>
      <c r="D1136" s="5" t="s">
        <v>3031</v>
      </c>
      <c r="E1136" s="5" t="s">
        <v>23</v>
      </c>
      <c r="F1136" s="5" t="s">
        <v>3032</v>
      </c>
      <c r="G1136" s="5" t="s">
        <v>3033</v>
      </c>
      <c r="H1136" s="5" t="s">
        <v>3257</v>
      </c>
      <c r="I1136" s="5" t="s">
        <v>3341</v>
      </c>
      <c r="J1136" s="5" t="s">
        <v>3342</v>
      </c>
      <c r="K1136" s="7" t="str">
        <f ca="1">IFERROR(__xludf.DUMMYFUNCTION("GOOGLETRANSLATE(H1136,""EN"",""ES"")"),"APARATOS, UTENSILIOS Y RECIPIENTES PARA COCINA")</f>
        <v>APARATOS, UTENSILIOS Y RECIPIENTES PARA COCINA</v>
      </c>
      <c r="L1136" s="5" t="str">
        <f ca="1">IFERROR(__xludf.DUMMYFUNCTION("GOOGLETRANSLATE(J1136,""EN"",""ES"")"),"Ollas para cocinar [incluso para acampar]")</f>
        <v>Ollas para cocinar [incluso para acampar]</v>
      </c>
      <c r="M1136" s="8" t="s">
        <v>22</v>
      </c>
      <c r="N1136" s="8" t="s">
        <v>22</v>
      </c>
    </row>
    <row r="1137" spans="1:14" ht="11.25" customHeight="1">
      <c r="A1137" s="5" t="s">
        <v>3028</v>
      </c>
      <c r="B1137" s="5" t="s">
        <v>3255</v>
      </c>
      <c r="C1137" s="5" t="s">
        <v>3343</v>
      </c>
      <c r="D1137" s="5" t="s">
        <v>3031</v>
      </c>
      <c r="E1137" s="5" t="s">
        <v>23</v>
      </c>
      <c r="F1137" s="5" t="s">
        <v>3032</v>
      </c>
      <c r="G1137" s="5" t="s">
        <v>3033</v>
      </c>
      <c r="H1137" s="5" t="s">
        <v>3257</v>
      </c>
      <c r="I1137" s="5" t="s">
        <v>3344</v>
      </c>
      <c r="J1137" s="5" t="s">
        <v>3345</v>
      </c>
      <c r="K1137" s="7" t="str">
        <f ca="1">IFERROR(__xludf.DUMMYFUNCTION("GOOGLETRANSLATE(H1137,""EN"",""ES"")"),"APARATOS, UTENSILIOS Y RECIPIENTES PARA COCINA")</f>
        <v>APARATOS, UTENSILIOS Y RECIPIENTES PARA COCINA</v>
      </c>
      <c r="L1137" s="5" t="str">
        <f ca="1">IFERROR(__xludf.DUMMYFUNCTION("GOOGLETRANSLATE(J1137,""EN"",""ES"")"),"cafeteras eléctricas")</f>
        <v>cafeteras eléctricas</v>
      </c>
      <c r="M1137" s="8" t="s">
        <v>22</v>
      </c>
      <c r="N1137" s="8" t="s">
        <v>25</v>
      </c>
    </row>
    <row r="1138" spans="1:14" ht="11.25" customHeight="1">
      <c r="A1138" s="5" t="s">
        <v>3028</v>
      </c>
      <c r="B1138" s="5" t="s">
        <v>3255</v>
      </c>
      <c r="C1138" s="5" t="s">
        <v>3346</v>
      </c>
      <c r="D1138" s="5" t="s">
        <v>3031</v>
      </c>
      <c r="E1138" s="5" t="s">
        <v>23</v>
      </c>
      <c r="F1138" s="5" t="s">
        <v>3032</v>
      </c>
      <c r="G1138" s="5" t="s">
        <v>3033</v>
      </c>
      <c r="H1138" s="5" t="s">
        <v>3257</v>
      </c>
      <c r="I1138" s="5" t="s">
        <v>3347</v>
      </c>
      <c r="J1138" s="5" t="s">
        <v>3348</v>
      </c>
      <c r="K1138" s="7" t="str">
        <f ca="1">IFERROR(__xludf.DUMMYFUNCTION("GOOGLETRANSLATE(H1138,""EN"",""ES"")"),"APARATOS, UTENSILIOS Y RECIPIENTES PARA COCINA")</f>
        <v>APARATOS, UTENSILIOS Y RECIPIENTES PARA COCINA</v>
      </c>
      <c r="L1138" s="5" t="str">
        <f ca="1">IFERROR(__xludf.DUMMYFUNCTION("GOOGLETRANSLATE(J1138,""EN"",""ES"")"),"Placas calefactoras para cocinas.")</f>
        <v>Placas calefactoras para cocinas.</v>
      </c>
      <c r="M1138" s="8" t="s">
        <v>22</v>
      </c>
      <c r="N1138" s="8" t="s">
        <v>22</v>
      </c>
    </row>
    <row r="1139" spans="1:14" ht="11.25" customHeight="1">
      <c r="A1139" s="5" t="s">
        <v>3028</v>
      </c>
      <c r="B1139" s="5" t="s">
        <v>3255</v>
      </c>
      <c r="C1139" s="5" t="s">
        <v>3349</v>
      </c>
      <c r="D1139" s="5" t="s">
        <v>3031</v>
      </c>
      <c r="E1139" s="5" t="s">
        <v>23</v>
      </c>
      <c r="F1139" s="5" t="s">
        <v>3032</v>
      </c>
      <c r="G1139" s="5" t="s">
        <v>3033</v>
      </c>
      <c r="H1139" s="5" t="s">
        <v>3257</v>
      </c>
      <c r="I1139" s="5" t="s">
        <v>3278</v>
      </c>
      <c r="J1139" s="5" t="s">
        <v>3350</v>
      </c>
      <c r="K1139" s="7" t="str">
        <f ca="1">IFERROR(__xludf.DUMMYFUNCTION("GOOGLETRANSLATE(H1139,""EN"",""ES"")"),"APARATOS, UTENSILIOS Y RECIPIENTES PARA COCINA")</f>
        <v>APARATOS, UTENSILIOS Y RECIPIENTES PARA COCINA</v>
      </c>
      <c r="L1139" s="5" t="str">
        <f ca="1">IFERROR(__xludf.DUMMYFUNCTION("GOOGLETRANSLATE(J1139,""EN"",""ES"")"),"Cazuelas")</f>
        <v>Cazuelas</v>
      </c>
      <c r="M1139" s="8" t="s">
        <v>22</v>
      </c>
      <c r="N1139" s="8" t="s">
        <v>22</v>
      </c>
    </row>
    <row r="1140" spans="1:14" ht="11.25" customHeight="1">
      <c r="A1140" s="5" t="s">
        <v>3028</v>
      </c>
      <c r="B1140" s="5" t="s">
        <v>3255</v>
      </c>
      <c r="C1140" s="5" t="s">
        <v>3351</v>
      </c>
      <c r="D1140" s="5" t="s">
        <v>3031</v>
      </c>
      <c r="E1140" s="5" t="s">
        <v>23</v>
      </c>
      <c r="F1140" s="5" t="s">
        <v>3032</v>
      </c>
      <c r="G1140" s="5" t="s">
        <v>3033</v>
      </c>
      <c r="H1140" s="5" t="s">
        <v>3257</v>
      </c>
      <c r="I1140" s="5" t="s">
        <v>3352</v>
      </c>
      <c r="J1140" s="5" t="s">
        <v>3353</v>
      </c>
      <c r="K1140" s="7" t="str">
        <f ca="1">IFERROR(__xludf.DUMMYFUNCTION("GOOGLETRANSLATE(H1140,""EN"",""ES"")"),"APARATOS, UTENSILIOS Y RECIPIENTES PARA COCINA")</f>
        <v>APARATOS, UTENSILIOS Y RECIPIENTES PARA COCINA</v>
      </c>
      <c r="L1140" s="5" t="str">
        <f ca="1">IFERROR(__xludf.DUMMYFUNCTION("GOOGLETRANSLATE(J1140,""EN"",""ES"")"),"sartenes para palomitas de maíz")</f>
        <v>sartenes para palomitas de maíz</v>
      </c>
      <c r="M1140" s="8" t="s">
        <v>22</v>
      </c>
      <c r="N1140" s="8" t="s">
        <v>22</v>
      </c>
    </row>
    <row r="1141" spans="1:14" ht="11.25" customHeight="1">
      <c r="A1141" s="5" t="s">
        <v>3028</v>
      </c>
      <c r="B1141" s="5" t="s">
        <v>3255</v>
      </c>
      <c r="C1141" s="5" t="s">
        <v>3354</v>
      </c>
      <c r="D1141" s="5" t="s">
        <v>3031</v>
      </c>
      <c r="E1141" s="5" t="s">
        <v>23</v>
      </c>
      <c r="F1141" s="5" t="s">
        <v>3032</v>
      </c>
      <c r="G1141" s="5" t="s">
        <v>3033</v>
      </c>
      <c r="H1141" s="5" t="s">
        <v>3257</v>
      </c>
      <c r="I1141" s="5" t="s">
        <v>3355</v>
      </c>
      <c r="J1141" s="5" t="s">
        <v>3356</v>
      </c>
      <c r="K1141" s="7" t="str">
        <f ca="1">IFERROR(__xludf.DUMMYFUNCTION("GOOGLETRANSLATE(H1141,""EN"",""ES"")"),"APARATOS, UTENSILIOS Y RECIPIENTES PARA COCINA")</f>
        <v>APARATOS, UTENSILIOS Y RECIPIENTES PARA COCINA</v>
      </c>
      <c r="L1141" s="5" t="str">
        <f ca="1">IFERROR(__xludf.DUMMYFUNCTION("GOOGLETRANSLATE(J1141,""EN"",""ES"")"),"Platos de cocina")</f>
        <v>Platos de cocina</v>
      </c>
      <c r="M1141" s="8" t="s">
        <v>22</v>
      </c>
      <c r="N1141" s="8" t="s">
        <v>22</v>
      </c>
    </row>
    <row r="1142" spans="1:14" ht="11.25" customHeight="1">
      <c r="A1142" s="5" t="s">
        <v>3028</v>
      </c>
      <c r="B1142" s="5" t="s">
        <v>3255</v>
      </c>
      <c r="C1142" s="5" t="s">
        <v>3357</v>
      </c>
      <c r="D1142" s="5" t="s">
        <v>3031</v>
      </c>
      <c r="E1142" s="5" t="s">
        <v>23</v>
      </c>
      <c r="F1142" s="5" t="s">
        <v>3032</v>
      </c>
      <c r="G1142" s="5" t="s">
        <v>3033</v>
      </c>
      <c r="H1142" s="5" t="s">
        <v>3257</v>
      </c>
      <c r="I1142" s="5" t="s">
        <v>3358</v>
      </c>
      <c r="J1142" s="5" t="s">
        <v>3359</v>
      </c>
      <c r="K1142" s="7" t="str">
        <f ca="1">IFERROR(__xludf.DUMMYFUNCTION("GOOGLETRANSLATE(H1142,""EN"",""ES"")"),"APARATOS, UTENSILIOS Y RECIPIENTES PARA COCINA")</f>
        <v>APARATOS, UTENSILIOS Y RECIPIENTES PARA COCINA</v>
      </c>
      <c r="L1142" s="5" t="str">
        <f ca="1">IFERROR(__xludf.DUMMYFUNCTION("GOOGLETRANSLATE(J1142,""EN"",""ES"")"),"Aparato para asar")</f>
        <v>Aparato para asar</v>
      </c>
      <c r="M1142" s="8" t="s">
        <v>22</v>
      </c>
      <c r="N1142" s="8" t="s">
        <v>22</v>
      </c>
    </row>
    <row r="1143" spans="1:14" ht="11.25" customHeight="1">
      <c r="A1143" s="5" t="s">
        <v>3028</v>
      </c>
      <c r="B1143" s="5" t="s">
        <v>3255</v>
      </c>
      <c r="C1143" s="5" t="s">
        <v>3360</v>
      </c>
      <c r="D1143" s="5" t="s">
        <v>3031</v>
      </c>
      <c r="E1143" s="5" t="s">
        <v>23</v>
      </c>
      <c r="F1143" s="5" t="s">
        <v>3032</v>
      </c>
      <c r="G1143" s="5" t="s">
        <v>3033</v>
      </c>
      <c r="H1143" s="5" t="s">
        <v>3257</v>
      </c>
      <c r="I1143" s="5" t="s">
        <v>3361</v>
      </c>
      <c r="J1143" s="5" t="s">
        <v>3362</v>
      </c>
      <c r="K1143" s="7" t="str">
        <f ca="1">IFERROR(__xludf.DUMMYFUNCTION("GOOGLETRANSLATE(H1143,""EN"",""ES"")"),"APARATOS, UTENSILIOS Y RECIPIENTES PARA COCINA")</f>
        <v>APARATOS, UTENSILIOS Y RECIPIENTES PARA COCINA</v>
      </c>
      <c r="L1143" s="5" t="str">
        <f ca="1">IFERROR(__xludf.DUMMYFUNCTION("GOOGLETRANSLATE(J1143,""EN"",""ES"")"),"sartenes")</f>
        <v>sartenes</v>
      </c>
      <c r="M1143" s="8" t="s">
        <v>22</v>
      </c>
      <c r="N1143" s="8" t="s">
        <v>22</v>
      </c>
    </row>
    <row r="1144" spans="1:14" ht="11.25" customHeight="1">
      <c r="A1144" s="5" t="s">
        <v>3028</v>
      </c>
      <c r="B1144" s="5" t="s">
        <v>3255</v>
      </c>
      <c r="C1144" s="5" t="s">
        <v>3360</v>
      </c>
      <c r="D1144" s="5" t="s">
        <v>3031</v>
      </c>
      <c r="E1144" s="5" t="s">
        <v>23</v>
      </c>
      <c r="F1144" s="5" t="s">
        <v>3032</v>
      </c>
      <c r="G1144" s="5" t="s">
        <v>3033</v>
      </c>
      <c r="H1144" s="5" t="s">
        <v>3257</v>
      </c>
      <c r="I1144" s="5" t="s">
        <v>3363</v>
      </c>
      <c r="J1144" s="5" t="s">
        <v>3364</v>
      </c>
      <c r="K1144" s="7" t="str">
        <f ca="1">IFERROR(__xludf.DUMMYFUNCTION("GOOGLETRANSLATE(H1144,""EN"",""ES"")"),"APARATOS, UTENSILIOS Y RECIPIENTES PARA COCINA")</f>
        <v>APARATOS, UTENSILIOS Y RECIPIENTES PARA COCINA</v>
      </c>
      <c r="L1144" s="5" t="str">
        <f ca="1">IFERROR(__xludf.DUMMYFUNCTION("GOOGLETRANSLATE(J1144,""EN"",""ES"")"),"Sartenes para saltear")</f>
        <v>Sartenes para saltear</v>
      </c>
      <c r="M1144" s="8" t="s">
        <v>22</v>
      </c>
      <c r="N1144" s="8" t="s">
        <v>22</v>
      </c>
    </row>
    <row r="1145" spans="1:14" ht="11.25" customHeight="1">
      <c r="A1145" s="5" t="s">
        <v>3028</v>
      </c>
      <c r="B1145" s="5" t="s">
        <v>3255</v>
      </c>
      <c r="C1145" s="5" t="s">
        <v>3365</v>
      </c>
      <c r="D1145" s="5" t="s">
        <v>3031</v>
      </c>
      <c r="E1145" s="5" t="s">
        <v>23</v>
      </c>
      <c r="F1145" s="5" t="s">
        <v>3032</v>
      </c>
      <c r="G1145" s="5" t="s">
        <v>3033</v>
      </c>
      <c r="H1145" s="5" t="s">
        <v>3257</v>
      </c>
      <c r="I1145" s="5" t="s">
        <v>3366</v>
      </c>
      <c r="J1145" s="5" t="s">
        <v>3367</v>
      </c>
      <c r="K1145" s="7" t="str">
        <f ca="1">IFERROR(__xludf.DUMMYFUNCTION("GOOGLETRANSLATE(H1145,""EN"",""ES"")"),"APARATOS, UTENSILIOS Y RECIPIENTES PARA COCINA")</f>
        <v>APARATOS, UTENSILIOS Y RECIPIENTES PARA COCINA</v>
      </c>
      <c r="L1145" s="5" t="str">
        <f ca="1">IFERROR(__xludf.DUMMYFUNCTION("GOOGLETRANSLATE(J1145,""EN"",""ES"")"),"asadores")</f>
        <v>asadores</v>
      </c>
      <c r="M1145" s="8" t="s">
        <v>22</v>
      </c>
      <c r="N1145" s="8" t="s">
        <v>22</v>
      </c>
    </row>
    <row r="1146" spans="1:14" ht="11.25" customHeight="1">
      <c r="A1146" s="5" t="s">
        <v>3028</v>
      </c>
      <c r="B1146" s="5" t="s">
        <v>3255</v>
      </c>
      <c r="C1146" s="5" t="s">
        <v>3368</v>
      </c>
      <c r="D1146" s="5" t="s">
        <v>3031</v>
      </c>
      <c r="E1146" s="5" t="s">
        <v>23</v>
      </c>
      <c r="F1146" s="5" t="s">
        <v>3032</v>
      </c>
      <c r="G1146" s="5" t="s">
        <v>3033</v>
      </c>
      <c r="H1146" s="5" t="s">
        <v>3257</v>
      </c>
      <c r="I1146" s="5" t="s">
        <v>3369</v>
      </c>
      <c r="J1146" s="5" t="s">
        <v>3370</v>
      </c>
      <c r="K1146" s="7" t="str">
        <f ca="1">IFERROR(__xludf.DUMMYFUNCTION("GOOGLETRANSLATE(H1146,""EN"",""ES"")"),"APARATOS, UTENSILIOS Y RECIPIENTES PARA COCINA")</f>
        <v>APARATOS, UTENSILIOS Y RECIPIENTES PARA COCINA</v>
      </c>
      <c r="L1146" s="5" t="str">
        <f ca="1">IFERROR(__xludf.DUMMYFUNCTION("GOOGLETRANSLATE(J1146,""EN"",""ES"")"),"Asas para cacerolas [extraíbles]")</f>
        <v>Asas para cacerolas [extraíbles]</v>
      </c>
      <c r="M1146" s="8" t="s">
        <v>22</v>
      </c>
      <c r="N1146" s="8" t="s">
        <v>22</v>
      </c>
    </row>
    <row r="1147" spans="1:14" ht="11.25" customHeight="1">
      <c r="A1147" s="5" t="s">
        <v>3028</v>
      </c>
      <c r="B1147" s="5" t="s">
        <v>3255</v>
      </c>
      <c r="C1147" s="5" t="s">
        <v>3371</v>
      </c>
      <c r="D1147" s="5" t="s">
        <v>3031</v>
      </c>
      <c r="E1147" s="5" t="s">
        <v>23</v>
      </c>
      <c r="F1147" s="5" t="s">
        <v>3032</v>
      </c>
      <c r="G1147" s="5" t="s">
        <v>3033</v>
      </c>
      <c r="H1147" s="5" t="s">
        <v>3257</v>
      </c>
      <c r="I1147" s="5" t="s">
        <v>3372</v>
      </c>
      <c r="J1147" s="5" t="s">
        <v>3373</v>
      </c>
      <c r="K1147" s="7" t="str">
        <f ca="1">IFERROR(__xludf.DUMMYFUNCTION("GOOGLETRANSLATE(H1147,""EN"",""ES"")"),"APARATOS, UTENSILIOS Y RECIPIENTES PARA COCINA")</f>
        <v>APARATOS, UTENSILIOS Y RECIPIENTES PARA COCINA</v>
      </c>
      <c r="L1147" s="5" t="str">
        <f ca="1">IFERROR(__xludf.DUMMYFUNCTION("GOOGLETRANSLATE(J1147,""EN"",""ES"")"),"Calentadores de biberones")</f>
        <v>Calentadores de biberones</v>
      </c>
      <c r="M1147" s="8" t="s">
        <v>22</v>
      </c>
      <c r="N1147" s="8" t="s">
        <v>22</v>
      </c>
    </row>
    <row r="1148" spans="1:14" ht="11.25" customHeight="1">
      <c r="A1148" s="5" t="s">
        <v>3028</v>
      </c>
      <c r="B1148" s="5" t="s">
        <v>3255</v>
      </c>
      <c r="C1148" s="5" t="s">
        <v>3374</v>
      </c>
      <c r="D1148" s="5" t="s">
        <v>3031</v>
      </c>
      <c r="E1148" s="5" t="s">
        <v>23</v>
      </c>
      <c r="F1148" s="5" t="s">
        <v>3032</v>
      </c>
      <c r="G1148" s="5" t="s">
        <v>3033</v>
      </c>
      <c r="H1148" s="5" t="s">
        <v>3257</v>
      </c>
      <c r="I1148" s="5" t="s">
        <v>3375</v>
      </c>
      <c r="J1148" s="5" t="s">
        <v>3376</v>
      </c>
      <c r="K1148" s="7" t="str">
        <f ca="1">IFERROR(__xludf.DUMMYFUNCTION("GOOGLETRANSLATE(H1148,""EN"",""ES"")"),"APARATOS, UTENSILIOS Y RECIPIENTES PARA COCINA")</f>
        <v>APARATOS, UTENSILIOS Y RECIPIENTES PARA COCINA</v>
      </c>
      <c r="L1148" s="5" t="str">
        <f ca="1">IFERROR(__xludf.DUMMYFUNCTION("GOOGLETRANSLATE(J1148,""EN"",""ES"")"),"Calentadores de biberones")</f>
        <v>Calentadores de biberones</v>
      </c>
      <c r="M1148" s="8" t="s">
        <v>22</v>
      </c>
      <c r="N1148" s="8" t="s">
        <v>22</v>
      </c>
    </row>
    <row r="1149" spans="1:14" ht="11.25" customHeight="1">
      <c r="A1149" s="5" t="s">
        <v>3028</v>
      </c>
      <c r="B1149" s="5" t="s">
        <v>3255</v>
      </c>
      <c r="C1149" s="5" t="s">
        <v>3377</v>
      </c>
      <c r="D1149" s="5" t="s">
        <v>3031</v>
      </c>
      <c r="E1149" s="5" t="s">
        <v>23</v>
      </c>
      <c r="F1149" s="5" t="s">
        <v>3032</v>
      </c>
      <c r="G1149" s="5" t="s">
        <v>3033</v>
      </c>
      <c r="H1149" s="5" t="s">
        <v>3257</v>
      </c>
      <c r="I1149" s="5" t="s">
        <v>3378</v>
      </c>
      <c r="J1149" s="5" t="s">
        <v>3379</v>
      </c>
      <c r="K1149" s="7" t="str">
        <f ca="1">IFERROR(__xludf.DUMMYFUNCTION("GOOGLETRANSLATE(H1149,""EN"",""ES"")"),"APARATOS, UTENSILIOS Y RECIPIENTES PARA COCINA")</f>
        <v>APARATOS, UTENSILIOS Y RECIPIENTES PARA COCINA</v>
      </c>
      <c r="L1149" s="5" t="str">
        <f ca="1">IFERROR(__xludf.DUMMYFUNCTION("GOOGLETRANSLATE(J1149,""EN"",""ES"")"),"Discos para evitar que la leche hierva")</f>
        <v>Discos para evitar que la leche hierva</v>
      </c>
      <c r="M1149" s="8" t="s">
        <v>22</v>
      </c>
      <c r="N1149" s="8" t="s">
        <v>22</v>
      </c>
    </row>
    <row r="1150" spans="1:14" ht="11.25" customHeight="1">
      <c r="A1150" s="5" t="s">
        <v>3028</v>
      </c>
      <c r="B1150" s="5" t="s">
        <v>3255</v>
      </c>
      <c r="C1150" s="5" t="s">
        <v>3380</v>
      </c>
      <c r="D1150" s="5" t="s">
        <v>3031</v>
      </c>
      <c r="E1150" s="5" t="s">
        <v>23</v>
      </c>
      <c r="F1150" s="5" t="s">
        <v>3032</v>
      </c>
      <c r="G1150" s="5" t="s">
        <v>3033</v>
      </c>
      <c r="H1150" s="5" t="s">
        <v>3257</v>
      </c>
      <c r="I1150" s="5" t="s">
        <v>3381</v>
      </c>
      <c r="J1150" s="5" t="s">
        <v>3382</v>
      </c>
      <c r="K1150" s="7" t="str">
        <f ca="1">IFERROR(__xludf.DUMMYFUNCTION("GOOGLETRANSLATE(H1150,""EN"",""ES"")"),"APARATOS, UTENSILIOS Y RECIPIENTES PARA COCINA")</f>
        <v>APARATOS, UTENSILIOS Y RECIPIENTES PARA COCINA</v>
      </c>
      <c r="L1150" s="5" t="str">
        <f ca="1">IFERROR(__xludf.DUMMYFUNCTION("GOOGLETRANSLATE(J1150,""EN"",""ES"")"),"freidoras")</f>
        <v>freidoras</v>
      </c>
      <c r="M1150" s="8" t="s">
        <v>22</v>
      </c>
      <c r="N1150" s="8" t="s">
        <v>22</v>
      </c>
    </row>
    <row r="1151" spans="1:14" ht="11.25" customHeight="1">
      <c r="A1151" s="5" t="s">
        <v>3028</v>
      </c>
      <c r="B1151" s="5" t="s">
        <v>3255</v>
      </c>
      <c r="C1151" s="5" t="s">
        <v>3383</v>
      </c>
      <c r="D1151" s="5" t="s">
        <v>3031</v>
      </c>
      <c r="E1151" s="5" t="s">
        <v>23</v>
      </c>
      <c r="F1151" s="5" t="s">
        <v>3032</v>
      </c>
      <c r="G1151" s="5" t="s">
        <v>3033</v>
      </c>
      <c r="H1151" s="5" t="s">
        <v>3257</v>
      </c>
      <c r="I1151" s="5" t="s">
        <v>3384</v>
      </c>
      <c r="J1151" s="5" t="s">
        <v>3385</v>
      </c>
      <c r="K1151" s="7" t="str">
        <f ca="1">IFERROR(__xludf.DUMMYFUNCTION("GOOGLETRANSLATE(H1151,""EN"",""ES"")"),"APARATOS, UTENSILIOS Y RECIPIENTES PARA COCINA")</f>
        <v>APARATOS, UTENSILIOS Y RECIPIENTES PARA COCINA</v>
      </c>
      <c r="L1151" s="5" t="str">
        <f ca="1">IFERROR(__xludf.DUMMYFUNCTION("GOOGLETRANSLATE(J1151,""EN"",""ES"")"),"Puertas transparentes para hornos")</f>
        <v>Puertas transparentes para hornos</v>
      </c>
      <c r="M1151" s="8" t="s">
        <v>22</v>
      </c>
      <c r="N1151" s="8" t="s">
        <v>22</v>
      </c>
    </row>
    <row r="1152" spans="1:14" ht="11.25" customHeight="1">
      <c r="A1152" s="5" t="s">
        <v>3028</v>
      </c>
      <c r="B1152" s="5" t="s">
        <v>3255</v>
      </c>
      <c r="C1152" s="5" t="s">
        <v>3386</v>
      </c>
      <c r="D1152" s="5" t="s">
        <v>3031</v>
      </c>
      <c r="E1152" s="5" t="s">
        <v>23</v>
      </c>
      <c r="F1152" s="5" t="s">
        <v>3032</v>
      </c>
      <c r="G1152" s="5" t="s">
        <v>3033</v>
      </c>
      <c r="H1152" s="5" t="s">
        <v>3257</v>
      </c>
      <c r="I1152" s="5" t="s">
        <v>3387</v>
      </c>
      <c r="J1152" s="5" t="s">
        <v>3388</v>
      </c>
      <c r="K1152" s="7" t="str">
        <f ca="1">IFERROR(__xludf.DUMMYFUNCTION("GOOGLETRANSLATE(H1152,""EN"",""ES"")"),"APARATOS, UTENSILIOS Y RECIPIENTES PARA COCINA")</f>
        <v>APARATOS, UTENSILIOS Y RECIPIENTES PARA COCINA</v>
      </c>
      <c r="L1152" s="5" t="str">
        <f ca="1">IFERROR(__xludf.DUMMYFUNCTION("GOOGLETRANSLATE(J1152,""EN"",""ES"")"),"Mangos de cacerola")</f>
        <v>Mangos de cacerola</v>
      </c>
      <c r="M1152" s="8" t="s">
        <v>22</v>
      </c>
      <c r="N1152" s="8" t="s">
        <v>22</v>
      </c>
    </row>
    <row r="1153" spans="1:14" ht="11.25" customHeight="1">
      <c r="A1153" s="5" t="s">
        <v>3028</v>
      </c>
      <c r="B1153" s="5" t="s">
        <v>3255</v>
      </c>
      <c r="C1153" s="5" t="s">
        <v>3389</v>
      </c>
      <c r="D1153" s="5" t="s">
        <v>3031</v>
      </c>
      <c r="E1153" s="5" t="s">
        <v>23</v>
      </c>
      <c r="F1153" s="5" t="s">
        <v>3032</v>
      </c>
      <c r="G1153" s="5" t="s">
        <v>3033</v>
      </c>
      <c r="H1153" s="5" t="s">
        <v>3257</v>
      </c>
      <c r="I1153" s="5" t="s">
        <v>3390</v>
      </c>
      <c r="J1153" s="5" t="s">
        <v>3391</v>
      </c>
      <c r="K1153" s="7" t="str">
        <f ca="1">IFERROR(__xludf.DUMMYFUNCTION("GOOGLETRANSLATE(H1153,""EN"",""ES"")"),"APARATOS, UTENSILIOS Y RECIPIENTES PARA COCINA")</f>
        <v>APARATOS, UTENSILIOS Y RECIPIENTES PARA COCINA</v>
      </c>
      <c r="L1153" s="5" t="str">
        <f ca="1">IFERROR(__xludf.DUMMYFUNCTION("GOOGLETRANSLATE(J1153,""EN"",""ES"")"),"moldes de cocina")</f>
        <v>moldes de cocina</v>
      </c>
      <c r="M1153" s="8" t="s">
        <v>22</v>
      </c>
      <c r="N1153" s="8" t="s">
        <v>22</v>
      </c>
    </row>
    <row r="1154" spans="1:14" ht="11.25" customHeight="1">
      <c r="A1154" s="5" t="s">
        <v>3028</v>
      </c>
      <c r="B1154" s="5" t="s">
        <v>3255</v>
      </c>
      <c r="C1154" s="5" t="s">
        <v>3389</v>
      </c>
      <c r="D1154" s="5" t="s">
        <v>3031</v>
      </c>
      <c r="E1154" s="5" t="s">
        <v>23</v>
      </c>
      <c r="F1154" s="5" t="s">
        <v>3032</v>
      </c>
      <c r="G1154" s="5" t="s">
        <v>3033</v>
      </c>
      <c r="H1154" s="5" t="s">
        <v>3257</v>
      </c>
      <c r="I1154" s="5" t="s">
        <v>3392</v>
      </c>
      <c r="J1154" s="5" t="s">
        <v>152</v>
      </c>
      <c r="K1154" s="7" t="str">
        <f ca="1">IFERROR(__xludf.DUMMYFUNCTION("GOOGLETRANSLATE(H1154,""EN"",""ES"")"),"APARATOS, UTENSILIOS Y RECIPIENTES PARA COCINA")</f>
        <v>APARATOS, UTENSILIOS Y RECIPIENTES PARA COCINA</v>
      </c>
      <c r="L1154" s="5" t="str">
        <f ca="1">IFERROR(__xludf.DUMMYFUNCTION("GOOGLETRANSLATE(J1154,""EN"",""ES"")"),"moldes de cocina")</f>
        <v>moldes de cocina</v>
      </c>
      <c r="M1154" s="8" t="s">
        <v>22</v>
      </c>
      <c r="N1154" s="8" t="s">
        <v>22</v>
      </c>
    </row>
    <row r="1155" spans="1:14" ht="11.25" customHeight="1">
      <c r="A1155" s="5" t="s">
        <v>3028</v>
      </c>
      <c r="B1155" s="5" t="s">
        <v>3255</v>
      </c>
      <c r="C1155" s="5" t="s">
        <v>3393</v>
      </c>
      <c r="D1155" s="5" t="s">
        <v>3031</v>
      </c>
      <c r="E1155" s="5" t="s">
        <v>23</v>
      </c>
      <c r="F1155" s="5" t="s">
        <v>3032</v>
      </c>
      <c r="G1155" s="5" t="s">
        <v>3033</v>
      </c>
      <c r="H1155" s="5" t="s">
        <v>3257</v>
      </c>
      <c r="I1155" s="5" t="s">
        <v>3394</v>
      </c>
      <c r="J1155" s="5" t="s">
        <v>3395</v>
      </c>
      <c r="K1155" s="7" t="str">
        <f ca="1">IFERROR(__xludf.DUMMYFUNCTION("GOOGLETRANSLATE(H1155,""EN"",""ES"")"),"APARATOS, UTENSILIOS Y RECIPIENTES PARA COCINA")</f>
        <v>APARATOS, UTENSILIOS Y RECIPIENTES PARA COCINA</v>
      </c>
      <c r="L1155" s="5" t="str">
        <f ca="1">IFERROR(__xludf.DUMMYFUNCTION("GOOGLETRANSLATE(J1155,""EN"",""ES"")"),"Calentadores de inmersión")</f>
        <v>Calentadores de inmersión</v>
      </c>
      <c r="M1155" s="8" t="s">
        <v>22</v>
      </c>
      <c r="N1155" s="8" t="s">
        <v>22</v>
      </c>
    </row>
    <row r="1156" spans="1:14" ht="11.25" customHeight="1">
      <c r="A1156" s="5" t="s">
        <v>3028</v>
      </c>
      <c r="B1156" s="5" t="s">
        <v>3255</v>
      </c>
      <c r="C1156" s="5" t="s">
        <v>3396</v>
      </c>
      <c r="D1156" s="5" t="s">
        <v>3031</v>
      </c>
      <c r="E1156" s="5" t="s">
        <v>23</v>
      </c>
      <c r="F1156" s="5" t="s">
        <v>3032</v>
      </c>
      <c r="G1156" s="5" t="s">
        <v>3033</v>
      </c>
      <c r="H1156" s="5" t="s">
        <v>3257</v>
      </c>
      <c r="I1156" s="5" t="s">
        <v>3397</v>
      </c>
      <c r="J1156" s="5" t="s">
        <v>3398</v>
      </c>
      <c r="K1156" s="7" t="str">
        <f ca="1">IFERROR(__xludf.DUMMYFUNCTION("GOOGLETRANSLATE(H1156,""EN"",""ES"")"),"APARATOS, UTENSILIOS Y RECIPIENTES PARA COCINA")</f>
        <v>APARATOS, UTENSILIOS Y RECIPIENTES PARA COCINA</v>
      </c>
      <c r="L1156" s="5" t="str">
        <f ca="1">IFERROR(__xludf.DUMMYFUNCTION("GOOGLETRANSLATE(J1156,""EN"",""ES"")"),"moldes para tartas")</f>
        <v>moldes para tartas</v>
      </c>
      <c r="M1156" s="8" t="s">
        <v>22</v>
      </c>
      <c r="N1156" s="8" t="s">
        <v>22</v>
      </c>
    </row>
    <row r="1157" spans="1:14" ht="11.25" customHeight="1">
      <c r="A1157" s="5" t="s">
        <v>3028</v>
      </c>
      <c r="B1157" s="5" t="s">
        <v>3255</v>
      </c>
      <c r="C1157" s="5" t="s">
        <v>3399</v>
      </c>
      <c r="D1157" s="5" t="s">
        <v>3031</v>
      </c>
      <c r="E1157" s="5" t="s">
        <v>23</v>
      </c>
      <c r="F1157" s="5" t="s">
        <v>3032</v>
      </c>
      <c r="G1157" s="5" t="s">
        <v>3033</v>
      </c>
      <c r="H1157" s="5" t="s">
        <v>3257</v>
      </c>
      <c r="I1157" s="5" t="s">
        <v>3400</v>
      </c>
      <c r="J1157" s="5" t="s">
        <v>3401</v>
      </c>
      <c r="K1157" s="7" t="str">
        <f ca="1">IFERROR(__xludf.DUMMYFUNCTION("GOOGLETRANSLATE(H1157,""EN"",""ES"")"),"APARATOS, UTENSILIOS Y RECIPIENTES PARA COCINA")</f>
        <v>APARATOS, UTENSILIOS Y RECIPIENTES PARA COCINA</v>
      </c>
      <c r="L1157" s="5" t="str">
        <f ca="1">IFERROR(__xludf.DUMMYFUNCTION("GOOGLETRANSLATE(J1157,""EN"",""ES"")"),"Calentadores de comida para uso en mesa.")</f>
        <v>Calentadores de comida para uso en mesa.</v>
      </c>
      <c r="M1157" s="8" t="s">
        <v>22</v>
      </c>
      <c r="N1157" s="8" t="s">
        <v>22</v>
      </c>
    </row>
    <row r="1158" spans="1:14" ht="11.25" customHeight="1">
      <c r="A1158" s="5" t="s">
        <v>3028</v>
      </c>
      <c r="B1158" s="5" t="s">
        <v>3255</v>
      </c>
      <c r="C1158" s="5" t="s">
        <v>3402</v>
      </c>
      <c r="D1158" s="5" t="s">
        <v>3031</v>
      </c>
      <c r="E1158" s="5" t="s">
        <v>23</v>
      </c>
      <c r="F1158" s="5" t="s">
        <v>3032</v>
      </c>
      <c r="G1158" s="5" t="s">
        <v>3033</v>
      </c>
      <c r="H1158" s="5" t="s">
        <v>3257</v>
      </c>
      <c r="I1158" s="5" t="s">
        <v>3403</v>
      </c>
      <c r="J1158" s="5" t="s">
        <v>3404</v>
      </c>
      <c r="K1158" s="7" t="str">
        <f ca="1">IFERROR(__xludf.DUMMYFUNCTION("GOOGLETRANSLATE(H1158,""EN"",""ES"")"),"APARATOS, UTENSILIOS Y RECIPIENTES PARA COCINA")</f>
        <v>APARATOS, UTENSILIOS Y RECIPIENTES PARA COCINA</v>
      </c>
      <c r="L1158" s="5" t="str">
        <f ca="1">IFERROR(__xludf.DUMMYFUNCTION("GOOGLETRANSLATE(J1158,""EN"",""ES"")"),"hornos microondas")</f>
        <v>hornos microondas</v>
      </c>
      <c r="M1158" s="8" t="s">
        <v>22</v>
      </c>
      <c r="N1158" s="8" t="s">
        <v>25</v>
      </c>
    </row>
    <row r="1159" spans="1:14" ht="11.25" customHeight="1">
      <c r="A1159" s="5" t="s">
        <v>3028</v>
      </c>
      <c r="B1159" s="5" t="s">
        <v>3255</v>
      </c>
      <c r="C1159" s="5" t="s">
        <v>3405</v>
      </c>
      <c r="D1159" s="5" t="s">
        <v>3031</v>
      </c>
      <c r="E1159" s="5" t="s">
        <v>23</v>
      </c>
      <c r="F1159" s="5" t="s">
        <v>3032</v>
      </c>
      <c r="G1159" s="5" t="s">
        <v>3033</v>
      </c>
      <c r="H1159" s="5" t="s">
        <v>3257</v>
      </c>
      <c r="I1159" s="5" t="s">
        <v>3406</v>
      </c>
      <c r="J1159" s="5" t="s">
        <v>3407</v>
      </c>
      <c r="K1159" s="7" t="str">
        <f ca="1">IFERROR(__xludf.DUMMYFUNCTION("GOOGLETRANSLATE(H1159,""EN"",""ES"")"),"APARATOS, UTENSILIOS Y RECIPIENTES PARA COCINA")</f>
        <v>APARATOS, UTENSILIOS Y RECIPIENTES PARA COCINA</v>
      </c>
      <c r="L1159" s="5" t="str">
        <f ca="1">IFERROR(__xludf.DUMMYFUNCTION("GOOGLETRANSLATE(J1159,""EN"",""ES"")"),"Filtros de té [excepto piezas de máquinas]")</f>
        <v>Filtros de té [excepto piezas de máquinas]</v>
      </c>
      <c r="M1159" s="8" t="s">
        <v>22</v>
      </c>
      <c r="N1159" s="8" t="s">
        <v>22</v>
      </c>
    </row>
    <row r="1160" spans="1:14" ht="11.25" customHeight="1">
      <c r="A1160" s="5" t="s">
        <v>3028</v>
      </c>
      <c r="B1160" s="5" t="s">
        <v>3255</v>
      </c>
      <c r="C1160" s="5" t="s">
        <v>3408</v>
      </c>
      <c r="D1160" s="5" t="s">
        <v>3031</v>
      </c>
      <c r="E1160" s="5" t="s">
        <v>23</v>
      </c>
      <c r="F1160" s="5" t="s">
        <v>3032</v>
      </c>
      <c r="G1160" s="5" t="s">
        <v>3033</v>
      </c>
      <c r="H1160" s="5" t="s">
        <v>3257</v>
      </c>
      <c r="I1160" s="5" t="s">
        <v>3409</v>
      </c>
      <c r="J1160" s="5" t="s">
        <v>3410</v>
      </c>
      <c r="K1160" s="7" t="str">
        <f ca="1">IFERROR(__xludf.DUMMYFUNCTION("GOOGLETRANSLATE(H1160,""EN"",""ES"")"),"APARATOS, UTENSILIOS Y RECIPIENTES PARA COCINA")</f>
        <v>APARATOS, UTENSILIOS Y RECIPIENTES PARA COCINA</v>
      </c>
      <c r="L1160" s="5" t="str">
        <f ca="1">IFERROR(__xludf.DUMMYFUNCTION("GOOGLETRANSLATE(J1160,""EN"",""ES"")"),"cafeteras")</f>
        <v>cafeteras</v>
      </c>
      <c r="M1160" s="8" t="s">
        <v>22</v>
      </c>
      <c r="N1160" s="8" t="s">
        <v>25</v>
      </c>
    </row>
    <row r="1161" spans="1:14" ht="11.25" customHeight="1">
      <c r="A1161" s="5" t="s">
        <v>3028</v>
      </c>
      <c r="B1161" s="5" t="s">
        <v>3255</v>
      </c>
      <c r="C1161" s="5" t="s">
        <v>3411</v>
      </c>
      <c r="D1161" s="5" t="s">
        <v>3031</v>
      </c>
      <c r="E1161" s="5" t="s">
        <v>23</v>
      </c>
      <c r="F1161" s="5" t="s">
        <v>3032</v>
      </c>
      <c r="G1161" s="5" t="s">
        <v>3033</v>
      </c>
      <c r="H1161" s="5" t="s">
        <v>3257</v>
      </c>
      <c r="I1161" s="5" t="s">
        <v>3412</v>
      </c>
      <c r="J1161" s="5" t="s">
        <v>3413</v>
      </c>
      <c r="K1161" s="7" t="str">
        <f ca="1">IFERROR(__xludf.DUMMYFUNCTION("GOOGLETRANSLATE(H1161,""EN"",""ES"")"),"APARATOS, UTENSILIOS Y RECIPIENTES PARA COCINA")</f>
        <v>APARATOS, UTENSILIOS Y RECIPIENTES PARA COCINA</v>
      </c>
      <c r="L1161" s="5" t="str">
        <f ca="1">IFERROR(__xludf.DUMMYFUNCTION("GOOGLETRANSLATE(J1161,""EN"",""ES"")"),"Filtros de café [excepto piezas de máquinas]")</f>
        <v>Filtros de café [excepto piezas de máquinas]</v>
      </c>
      <c r="M1161" s="8" t="s">
        <v>22</v>
      </c>
      <c r="N1161" s="8" t="s">
        <v>22</v>
      </c>
    </row>
    <row r="1162" spans="1:14" ht="11.25" customHeight="1">
      <c r="A1162" s="5" t="s">
        <v>3028</v>
      </c>
      <c r="B1162" s="5" t="s">
        <v>3255</v>
      </c>
      <c r="C1162" s="5" t="s">
        <v>3414</v>
      </c>
      <c r="D1162" s="5" t="s">
        <v>3031</v>
      </c>
      <c r="E1162" s="5" t="s">
        <v>23</v>
      </c>
      <c r="F1162" s="5" t="s">
        <v>3032</v>
      </c>
      <c r="G1162" s="5" t="s">
        <v>3033</v>
      </c>
      <c r="H1162" s="5" t="s">
        <v>3257</v>
      </c>
      <c r="I1162" s="5" t="s">
        <v>3415</v>
      </c>
      <c r="J1162" s="5" t="s">
        <v>3415</v>
      </c>
      <c r="K1162" s="7" t="str">
        <f ca="1">IFERROR(__xludf.DUMMYFUNCTION("GOOGLETRANSLATE(H1162,""EN"",""ES"")"),"APARATOS, UTENSILIOS Y RECIPIENTES PARA COCINA")</f>
        <v>APARATOS, UTENSILIOS Y RECIPIENTES PARA COCINA</v>
      </c>
      <c r="L1162" s="5" t="str">
        <f ca="1">IFERROR(__xludf.DUMMYFUNCTION("GOOGLETRANSLATE(J1162,""EN"",""ES"")"),"Barbacoas")</f>
        <v>Barbacoas</v>
      </c>
      <c r="M1162" s="8" t="s">
        <v>22</v>
      </c>
      <c r="N1162" s="8" t="s">
        <v>22</v>
      </c>
    </row>
    <row r="1163" spans="1:14" ht="11.25" customHeight="1">
      <c r="A1163" s="5" t="s">
        <v>3028</v>
      </c>
      <c r="B1163" s="5" t="s">
        <v>3255</v>
      </c>
      <c r="C1163" s="5" t="s">
        <v>3416</v>
      </c>
      <c r="D1163" s="5" t="s">
        <v>3031</v>
      </c>
      <c r="E1163" s="5" t="s">
        <v>23</v>
      </c>
      <c r="F1163" s="5" t="s">
        <v>3032</v>
      </c>
      <c r="G1163" s="5" t="s">
        <v>3033</v>
      </c>
      <c r="H1163" s="5" t="s">
        <v>3257</v>
      </c>
      <c r="I1163" s="5" t="s">
        <v>3417</v>
      </c>
      <c r="J1163" s="5" t="s">
        <v>3418</v>
      </c>
      <c r="K1163" s="7" t="str">
        <f ca="1">IFERROR(__xludf.DUMMYFUNCTION("GOOGLETRANSLATE(H1163,""EN"",""ES"")"),"APARATOS, UTENSILIOS Y RECIPIENTES PARA COCINA")</f>
        <v>APARATOS, UTENSILIOS Y RECIPIENTES PARA COCINA</v>
      </c>
      <c r="L1163" s="5" t="str">
        <f ca="1">IFERROR(__xludf.DUMMYFUNCTION("GOOGLETRANSLATE(J1163,""EN"",""ES"")"),"Teteras electricas")</f>
        <v>Teteras electricas</v>
      </c>
      <c r="M1163" s="8" t="s">
        <v>22</v>
      </c>
      <c r="N1163" s="8" t="s">
        <v>25</v>
      </c>
    </row>
    <row r="1164" spans="1:14" ht="11.25" customHeight="1">
      <c r="A1164" s="5" t="s">
        <v>3028</v>
      </c>
      <c r="B1164" s="5" t="s">
        <v>3255</v>
      </c>
      <c r="C1164" s="5" t="s">
        <v>3419</v>
      </c>
      <c r="D1164" s="5" t="s">
        <v>3031</v>
      </c>
      <c r="E1164" s="5" t="s">
        <v>23</v>
      </c>
      <c r="F1164" s="5" t="s">
        <v>3032</v>
      </c>
      <c r="G1164" s="5" t="s">
        <v>3033</v>
      </c>
      <c r="H1164" s="5" t="s">
        <v>3257</v>
      </c>
      <c r="I1164" s="5" t="s">
        <v>3420</v>
      </c>
      <c r="J1164" s="5" t="s">
        <v>3420</v>
      </c>
      <c r="K1164" s="7" t="str">
        <f ca="1">IFERROR(__xludf.DUMMYFUNCTION("GOOGLETRANSLATE(H1164,""EN"",""ES"")"),"APARATOS, UTENSILIOS Y RECIPIENTES PARA COCINA")</f>
        <v>APARATOS, UTENSILIOS Y RECIPIENTES PARA COCINA</v>
      </c>
      <c r="L1164" s="5" t="str">
        <f ca="1">IFERROR(__xludf.DUMMYFUNCTION("GOOGLETRANSLATE(J1164,""EN"",""ES"")"),"wok")</f>
        <v>wok</v>
      </c>
      <c r="M1164" s="8" t="s">
        <v>22</v>
      </c>
      <c r="N1164" s="8" t="s">
        <v>22</v>
      </c>
    </row>
    <row r="1165" spans="1:14" ht="11.25" customHeight="1">
      <c r="A1165" s="5" t="s">
        <v>3028</v>
      </c>
      <c r="B1165" s="5" t="s">
        <v>3255</v>
      </c>
      <c r="C1165" s="5" t="s">
        <v>3421</v>
      </c>
      <c r="D1165" s="5" t="s">
        <v>3031</v>
      </c>
      <c r="E1165" s="5" t="s">
        <v>23</v>
      </c>
      <c r="F1165" s="5" t="s">
        <v>3032</v>
      </c>
      <c r="G1165" s="5" t="s">
        <v>3033</v>
      </c>
      <c r="H1165" s="5" t="s">
        <v>3257</v>
      </c>
      <c r="I1165" s="5" t="s">
        <v>3422</v>
      </c>
      <c r="J1165" s="5" t="s">
        <v>3423</v>
      </c>
      <c r="K1165" s="7" t="str">
        <f ca="1">IFERROR(__xludf.DUMMYFUNCTION("GOOGLETRANSLATE(H1165,""EN"",""ES"")"),"APARATOS, UTENSILIOS Y RECIPIENTES PARA COCINA")</f>
        <v>APARATOS, UTENSILIOS Y RECIPIENTES PARA COCINA</v>
      </c>
      <c r="L1165" s="5" t="str">
        <f ca="1">IFERROR(__xludf.DUMMYFUNCTION("GOOGLETRANSLATE(J1165,""EN"",""ES"")"),"Juegos de herramientas para barbacoa")</f>
        <v>Juegos de herramientas para barbacoa</v>
      </c>
      <c r="M1165" s="8" t="s">
        <v>22</v>
      </c>
      <c r="N1165" s="8" t="s">
        <v>22</v>
      </c>
    </row>
    <row r="1166" spans="1:14" ht="11.25" customHeight="1">
      <c r="A1166" s="5" t="s">
        <v>3028</v>
      </c>
      <c r="B1166" s="5" t="s">
        <v>3255</v>
      </c>
      <c r="C1166" s="5" t="s">
        <v>3424</v>
      </c>
      <c r="D1166" s="5" t="s">
        <v>3031</v>
      </c>
      <c r="E1166" s="5" t="s">
        <v>23</v>
      </c>
      <c r="F1166" s="5" t="s">
        <v>3032</v>
      </c>
      <c r="G1166" s="5" t="s">
        <v>3033</v>
      </c>
      <c r="H1166" s="5" t="s">
        <v>3257</v>
      </c>
      <c r="I1166" s="5" t="s">
        <v>3425</v>
      </c>
      <c r="J1166" s="5" t="s">
        <v>3426</v>
      </c>
      <c r="K1166" s="7" t="str">
        <f ca="1">IFERROR(__xludf.DUMMYFUNCTION("GOOGLETRANSLATE(H1166,""EN"",""ES"")"),"APARATOS, UTENSILIOS Y RECIPIENTES PARA COCINA")</f>
        <v>APARATOS, UTENSILIOS Y RECIPIENTES PARA COCINA</v>
      </c>
      <c r="L1166" s="5" t="str">
        <f ca="1">IFERROR(__xludf.DUMMYFUNCTION("GOOGLETRANSLATE(J1166,""EN"",""ES"")"),"Calderas de huevos")</f>
        <v>Calderas de huevos</v>
      </c>
      <c r="M1166" s="8" t="s">
        <v>22</v>
      </c>
      <c r="N1166" s="8" t="s">
        <v>25</v>
      </c>
    </row>
    <row r="1167" spans="1:14" ht="11.25" customHeight="1">
      <c r="A1167" s="5" t="s">
        <v>3028</v>
      </c>
      <c r="B1167" s="5" t="s">
        <v>3255</v>
      </c>
      <c r="C1167" s="5" t="s">
        <v>3427</v>
      </c>
      <c r="D1167" s="5" t="s">
        <v>3031</v>
      </c>
      <c r="E1167" s="5" t="s">
        <v>23</v>
      </c>
      <c r="F1167" s="5" t="s">
        <v>3032</v>
      </c>
      <c r="G1167" s="5" t="s">
        <v>3033</v>
      </c>
      <c r="H1167" s="5" t="s">
        <v>3257</v>
      </c>
      <c r="I1167" s="5" t="s">
        <v>3428</v>
      </c>
      <c r="J1167" s="5" t="s">
        <v>3429</v>
      </c>
      <c r="K1167" s="7" t="str">
        <f ca="1">IFERROR(__xludf.DUMMYFUNCTION("GOOGLETRANSLATE(H1167,""EN"",""ES"")"),"APARATOS, UTENSILIOS Y RECIPIENTES PARA COCINA")</f>
        <v>APARATOS, UTENSILIOS Y RECIPIENTES PARA COCINA</v>
      </c>
      <c r="L1167" s="5" t="str">
        <f ca="1">IFERROR(__xludf.DUMMYFUNCTION("GOOGLETRANSLATE(J1167,""EN"",""ES"")"),"ollas para fondue")</f>
        <v>ollas para fondue</v>
      </c>
      <c r="M1167" s="8" t="s">
        <v>22</v>
      </c>
      <c r="N1167" s="8" t="s">
        <v>22</v>
      </c>
    </row>
    <row r="1168" spans="1:14" ht="11.25" customHeight="1">
      <c r="A1168" s="5" t="s">
        <v>3028</v>
      </c>
      <c r="B1168" s="5" t="s">
        <v>3255</v>
      </c>
      <c r="C1168" s="5" t="s">
        <v>3430</v>
      </c>
      <c r="D1168" s="5" t="s">
        <v>3031</v>
      </c>
      <c r="E1168" s="5" t="s">
        <v>23</v>
      </c>
      <c r="F1168" s="5" t="s">
        <v>3032</v>
      </c>
      <c r="G1168" s="5" t="s">
        <v>3033</v>
      </c>
      <c r="H1168" s="5" t="s">
        <v>3257</v>
      </c>
      <c r="I1168" s="5" t="s">
        <v>3431</v>
      </c>
      <c r="J1168" s="5" t="s">
        <v>3432</v>
      </c>
      <c r="K1168" s="7" t="str">
        <f ca="1">IFERROR(__xludf.DUMMYFUNCTION("GOOGLETRANSLATE(H1168,""EN"",""ES"")"),"APARATOS, UTENSILIOS Y RECIPIENTES PARA COCINA")</f>
        <v>APARATOS, UTENSILIOS Y RECIPIENTES PARA COCINA</v>
      </c>
      <c r="L1168" s="5" t="str">
        <f ca="1">IFERROR(__xludf.DUMMYFUNCTION("GOOGLETRANSLATE(J1168,""EN"",""ES"")"),"platos de cocina")</f>
        <v>platos de cocina</v>
      </c>
      <c r="M1168" s="8" t="s">
        <v>22</v>
      </c>
      <c r="N1168" s="8" t="s">
        <v>22</v>
      </c>
    </row>
    <row r="1169" spans="1:14" ht="11.25" customHeight="1">
      <c r="A1169" s="5" t="s">
        <v>3028</v>
      </c>
      <c r="B1169" s="5" t="s">
        <v>3255</v>
      </c>
      <c r="C1169" s="5" t="s">
        <v>3433</v>
      </c>
      <c r="D1169" s="5" t="s">
        <v>3031</v>
      </c>
      <c r="E1169" s="5" t="s">
        <v>23</v>
      </c>
      <c r="F1169" s="5" t="s">
        <v>3032</v>
      </c>
      <c r="G1169" s="5" t="s">
        <v>3033</v>
      </c>
      <c r="H1169" s="5" t="s">
        <v>3257</v>
      </c>
      <c r="I1169" s="5" t="s">
        <v>3434</v>
      </c>
      <c r="J1169" s="5" t="s">
        <v>3435</v>
      </c>
      <c r="K1169" s="7" t="str">
        <f ca="1">IFERROR(__xludf.DUMMYFUNCTION("GOOGLETRANSLATE(H1169,""EN"",""ES"")"),"APARATOS, UTENSILIOS Y RECIPIENTES PARA COCINA")</f>
        <v>APARATOS, UTENSILIOS Y RECIPIENTES PARA COCINA</v>
      </c>
      <c r="L1169" s="5" t="str">
        <f ca="1">IFERROR(__xludf.DUMMYFUNCTION("GOOGLETRANSLATE(J1169,""EN"",""ES"")"),"ollas arroceras")</f>
        <v>ollas arroceras</v>
      </c>
      <c r="M1169" s="8" t="s">
        <v>22</v>
      </c>
      <c r="N1169" s="8" t="s">
        <v>25</v>
      </c>
    </row>
    <row r="1170" spans="1:14" ht="11.25" customHeight="1">
      <c r="A1170" s="5" t="s">
        <v>3028</v>
      </c>
      <c r="B1170" s="5" t="s">
        <v>3255</v>
      </c>
      <c r="C1170" s="5" t="s">
        <v>3436</v>
      </c>
      <c r="D1170" s="5" t="s">
        <v>3031</v>
      </c>
      <c r="E1170" s="5" t="s">
        <v>23</v>
      </c>
      <c r="F1170" s="5" t="s">
        <v>3032</v>
      </c>
      <c r="G1170" s="5" t="s">
        <v>3033</v>
      </c>
      <c r="H1170" s="5" t="s">
        <v>3257</v>
      </c>
      <c r="I1170" s="5" t="s">
        <v>3437</v>
      </c>
      <c r="J1170" s="5" t="s">
        <v>3438</v>
      </c>
      <c r="K1170" s="7" t="str">
        <f ca="1">IFERROR(__xludf.DUMMYFUNCTION("GOOGLETRANSLATE(H1170,""EN"",""ES"")"),"APARATOS, UTENSILIOS Y RECIPIENTES PARA COCINA")</f>
        <v>APARATOS, UTENSILIOS Y RECIPIENTES PARA COCINA</v>
      </c>
      <c r="L1170" s="5" t="str">
        <f ca="1">IFERROR(__xludf.DUMMYFUNCTION("GOOGLETRANSLATE(J1170,""EN"",""ES"")"),"Cucharas para rociar [utensilios de cocina]")</f>
        <v>Cucharas para rociar [utensilios de cocina]</v>
      </c>
      <c r="M1170" s="8" t="s">
        <v>22</v>
      </c>
      <c r="N1170" s="8" t="s">
        <v>22</v>
      </c>
    </row>
    <row r="1171" spans="1:14" ht="11.25" customHeight="1">
      <c r="A1171" s="5" t="s">
        <v>3028</v>
      </c>
      <c r="B1171" s="5" t="s">
        <v>3255</v>
      </c>
      <c r="C1171" s="5" t="s">
        <v>3439</v>
      </c>
      <c r="D1171" s="5" t="s">
        <v>3031</v>
      </c>
      <c r="E1171" s="5" t="s">
        <v>23</v>
      </c>
      <c r="F1171" s="5" t="s">
        <v>3032</v>
      </c>
      <c r="G1171" s="5" t="s">
        <v>3033</v>
      </c>
      <c r="H1171" s="5" t="s">
        <v>3257</v>
      </c>
      <c r="I1171" s="5" t="s">
        <v>3440</v>
      </c>
      <c r="J1171" s="5" t="s">
        <v>3441</v>
      </c>
      <c r="K1171" s="7" t="str">
        <f ca="1">IFERROR(__xludf.DUMMYFUNCTION("GOOGLETRANSLATE(H1171,""EN"",""ES"")"),"APARATOS, UTENSILIOS Y RECIPIENTES PARA COCINA")</f>
        <v>APARATOS, UTENSILIOS Y RECIPIENTES PARA COCINA</v>
      </c>
      <c r="L1171" s="5" t="str">
        <f ca="1">IFERROR(__xludf.DUMMYFUNCTION("GOOGLETRANSLATE(J1171,""EN"",""ES"")"),"Filtros de café desechables")</f>
        <v>Filtros de café desechables</v>
      </c>
      <c r="M1171" s="8" t="s">
        <v>22</v>
      </c>
      <c r="N1171" s="8" t="s">
        <v>22</v>
      </c>
    </row>
    <row r="1172" spans="1:14" ht="11.25" customHeight="1">
      <c r="A1172" s="5" t="s">
        <v>3028</v>
      </c>
      <c r="B1172" s="5" t="s">
        <v>3255</v>
      </c>
      <c r="C1172" s="5" t="s">
        <v>3442</v>
      </c>
      <c r="D1172" s="5" t="s">
        <v>3031</v>
      </c>
      <c r="E1172" s="5" t="s">
        <v>23</v>
      </c>
      <c r="F1172" s="5" t="s">
        <v>3032</v>
      </c>
      <c r="G1172" s="5" t="s">
        <v>3033</v>
      </c>
      <c r="H1172" s="5" t="s">
        <v>3257</v>
      </c>
      <c r="I1172" s="5" t="s">
        <v>3443</v>
      </c>
      <c r="J1172" s="5" t="s">
        <v>3444</v>
      </c>
      <c r="K1172" s="7" t="str">
        <f ca="1">IFERROR(__xludf.DUMMYFUNCTION("GOOGLETRANSLATE(H1172,""EN"",""ES"")"),"APARATOS, UTENSILIOS Y RECIPIENTES PARA COCINA")</f>
        <v>APARATOS, UTENSILIOS Y RECIPIENTES PARA COCINA</v>
      </c>
      <c r="L1172" s="5" t="str">
        <f ca="1">IFERROR(__xludf.DUMMYFUNCTION("GOOGLETRANSLATE(J1172,""EN"",""ES"")"),"freidoras de aire")</f>
        <v>freidoras de aire</v>
      </c>
      <c r="M1172" s="8" t="s">
        <v>22</v>
      </c>
      <c r="N1172" s="8" t="s">
        <v>25</v>
      </c>
    </row>
    <row r="1173" spans="1:14" ht="11.25" customHeight="1">
      <c r="A1173" s="5" t="s">
        <v>3028</v>
      </c>
      <c r="B1173" s="5" t="s">
        <v>3255</v>
      </c>
      <c r="C1173" s="5" t="s">
        <v>3445</v>
      </c>
      <c r="D1173" s="5" t="s">
        <v>3031</v>
      </c>
      <c r="E1173" s="5" t="s">
        <v>23</v>
      </c>
      <c r="F1173" s="5" t="s">
        <v>3032</v>
      </c>
      <c r="G1173" s="5" t="s">
        <v>3033</v>
      </c>
      <c r="H1173" s="5" t="s">
        <v>3257</v>
      </c>
      <c r="I1173" s="5" t="s">
        <v>3446</v>
      </c>
      <c r="J1173" s="5" t="s">
        <v>3447</v>
      </c>
      <c r="K1173" s="7" t="str">
        <f ca="1">IFERROR(__xludf.DUMMYFUNCTION("GOOGLETRANSLATE(H1173,""EN"",""ES"")"),"APARATOS, UTENSILIOS Y RECIPIENTES PARA COCINA")</f>
        <v>APARATOS, UTENSILIOS Y RECIPIENTES PARA COCINA</v>
      </c>
      <c r="L1173" s="5" t="str">
        <f ca="1">IFERROR(__xludf.DUMMYFUNCTION("GOOGLETRANSLATE(J1173,""EN"",""ES"")"),"Bombillas")</f>
        <v>Bombillas</v>
      </c>
      <c r="M1173" s="8" t="s">
        <v>22</v>
      </c>
      <c r="N1173" s="8" t="s">
        <v>22</v>
      </c>
    </row>
    <row r="1174" spans="1:14" ht="11.25" customHeight="1">
      <c r="A1174" s="5" t="s">
        <v>3028</v>
      </c>
      <c r="B1174" s="5" t="s">
        <v>3448</v>
      </c>
      <c r="C1174" s="5" t="s">
        <v>3449</v>
      </c>
      <c r="D1174" s="5" t="s">
        <v>3031</v>
      </c>
      <c r="E1174" s="5" t="s">
        <v>23</v>
      </c>
      <c r="F1174" s="5" t="s">
        <v>3032</v>
      </c>
      <c r="G1174" s="5" t="s">
        <v>3033</v>
      </c>
      <c r="H1174" s="5" t="s">
        <v>3450</v>
      </c>
      <c r="I1174" s="5" t="s">
        <v>3451</v>
      </c>
      <c r="J1174" s="5" t="s">
        <v>3452</v>
      </c>
      <c r="K1174" s="7" t="str">
        <f ca="1">IFERROR(__xludf.DUMMYFUNCTION("GOOGLETRANSLATE(H1174,""EN"",""ES"")"),"cubiertos de mesa")</f>
        <v>cubiertos de mesa</v>
      </c>
      <c r="L1174" s="5" t="str">
        <f ca="1">IFERROR(__xludf.DUMMYFUNCTION("GOOGLETRANSLATE(J1174,""EN"",""ES"")"),"Cucharas")</f>
        <v>Cucharas</v>
      </c>
      <c r="M1174" s="8" t="s">
        <v>22</v>
      </c>
      <c r="N1174" s="8" t="s">
        <v>22</v>
      </c>
    </row>
    <row r="1175" spans="1:14" ht="11.25" customHeight="1">
      <c r="A1175" s="5" t="s">
        <v>3028</v>
      </c>
      <c r="B1175" s="5" t="s">
        <v>3448</v>
      </c>
      <c r="C1175" s="5" t="s">
        <v>3453</v>
      </c>
      <c r="D1175" s="5" t="s">
        <v>3031</v>
      </c>
      <c r="E1175" s="5" t="s">
        <v>23</v>
      </c>
      <c r="F1175" s="5" t="s">
        <v>3032</v>
      </c>
      <c r="G1175" s="5" t="s">
        <v>3033</v>
      </c>
      <c r="H1175" s="5" t="s">
        <v>3450</v>
      </c>
      <c r="I1175" s="5" t="s">
        <v>3454</v>
      </c>
      <c r="J1175" s="5" t="s">
        <v>3455</v>
      </c>
      <c r="K1175" s="7" t="str">
        <f ca="1">IFERROR(__xludf.DUMMYFUNCTION("GOOGLETRANSLATE(H1175,""EN"",""ES"")"),"cubiertos de mesa")</f>
        <v>cubiertos de mesa</v>
      </c>
      <c r="L1175" s="5" t="str">
        <f ca="1">IFERROR(__xludf.DUMMYFUNCTION("GOOGLETRANSLATE(J1175,""EN"",""ES"")"),"tenedores de mesa")</f>
        <v>tenedores de mesa</v>
      </c>
      <c r="M1175" s="8" t="s">
        <v>22</v>
      </c>
      <c r="N1175" s="8" t="s">
        <v>22</v>
      </c>
    </row>
    <row r="1176" spans="1:14" ht="11.25" customHeight="1">
      <c r="A1176" s="5" t="s">
        <v>3028</v>
      </c>
      <c r="B1176" s="5" t="s">
        <v>3448</v>
      </c>
      <c r="C1176" s="5" t="s">
        <v>3456</v>
      </c>
      <c r="D1176" s="5" t="s">
        <v>3031</v>
      </c>
      <c r="E1176" s="5" t="s">
        <v>23</v>
      </c>
      <c r="F1176" s="5" t="s">
        <v>3032</v>
      </c>
      <c r="G1176" s="5" t="s">
        <v>3033</v>
      </c>
      <c r="H1176" s="5" t="s">
        <v>3450</v>
      </c>
      <c r="I1176" s="5" t="s">
        <v>3457</v>
      </c>
      <c r="J1176" s="5" t="s">
        <v>3458</v>
      </c>
      <c r="K1176" s="7" t="str">
        <f ca="1">IFERROR(__xludf.DUMMYFUNCTION("GOOGLETRANSLATE(H1176,""EN"",""ES"")"),"cubiertos de mesa")</f>
        <v>cubiertos de mesa</v>
      </c>
      <c r="L1176" s="5" t="str">
        <f ca="1">IFERROR(__xludf.DUMMYFUNCTION("GOOGLETRANSLATE(J1176,""EN"",""ES"")"),"Mangos para cubiertos de mesa.")</f>
        <v>Mangos para cubiertos de mesa.</v>
      </c>
      <c r="M1176" s="8" t="s">
        <v>22</v>
      </c>
      <c r="N1176" s="8" t="s">
        <v>22</v>
      </c>
    </row>
    <row r="1177" spans="1:14" ht="11.25" customHeight="1">
      <c r="A1177" s="5" t="s">
        <v>3028</v>
      </c>
      <c r="B1177" s="5" t="s">
        <v>3448</v>
      </c>
      <c r="C1177" s="5" t="s">
        <v>3459</v>
      </c>
      <c r="D1177" s="5" t="s">
        <v>3031</v>
      </c>
      <c r="E1177" s="5" t="s">
        <v>23</v>
      </c>
      <c r="F1177" s="5" t="s">
        <v>3032</v>
      </c>
      <c r="G1177" s="5" t="s">
        <v>3033</v>
      </c>
      <c r="H1177" s="5" t="s">
        <v>3450</v>
      </c>
      <c r="I1177" s="5" t="s">
        <v>3460</v>
      </c>
      <c r="J1177" s="5" t="s">
        <v>3461</v>
      </c>
      <c r="K1177" s="7" t="str">
        <f ca="1">IFERROR(__xludf.DUMMYFUNCTION("GOOGLETRANSLATE(H1177,""EN"",""ES"")"),"cubiertos de mesa")</f>
        <v>cubiertos de mesa</v>
      </c>
      <c r="L1177" s="5" t="str">
        <f ca="1">IFERROR(__xludf.DUMMYFUNCTION("GOOGLETRANSLATE(J1177,""EN"",""ES"")"),"Juegos de talla")</f>
        <v>Juegos de talla</v>
      </c>
      <c r="M1177" s="8" t="s">
        <v>22</v>
      </c>
      <c r="N1177" s="8" t="s">
        <v>22</v>
      </c>
    </row>
    <row r="1178" spans="1:14" ht="11.25" customHeight="1">
      <c r="A1178" s="5" t="s">
        <v>3028</v>
      </c>
      <c r="B1178" s="5" t="s">
        <v>3448</v>
      </c>
      <c r="C1178" s="5" t="s">
        <v>3462</v>
      </c>
      <c r="D1178" s="5" t="s">
        <v>3031</v>
      </c>
      <c r="E1178" s="5" t="s">
        <v>23</v>
      </c>
      <c r="F1178" s="5" t="s">
        <v>3032</v>
      </c>
      <c r="G1178" s="5" t="s">
        <v>3033</v>
      </c>
      <c r="H1178" s="5" t="s">
        <v>3450</v>
      </c>
      <c r="I1178" s="5" t="s">
        <v>3463</v>
      </c>
      <c r="J1178" s="5" t="s">
        <v>3464</v>
      </c>
      <c r="K1178" s="7" t="str">
        <f ca="1">IFERROR(__xludf.DUMMYFUNCTION("GOOGLETRANSLATE(H1178,""EN"",""ES"")"),"cubiertos de mesa")</f>
        <v>cubiertos de mesa</v>
      </c>
      <c r="L1178" s="5" t="str">
        <f ca="1">IFERROR(__xludf.DUMMYFUNCTION("GOOGLETRANSLATE(J1178,""EN"",""ES"")"),"cuchillos de mesa")</f>
        <v>cuchillos de mesa</v>
      </c>
      <c r="M1178" s="8" t="s">
        <v>22</v>
      </c>
      <c r="N1178" s="8" t="s">
        <v>22</v>
      </c>
    </row>
    <row r="1179" spans="1:14" ht="11.25" customHeight="1">
      <c r="A1179" s="5" t="s">
        <v>3028</v>
      </c>
      <c r="B1179" s="5" t="s">
        <v>3448</v>
      </c>
      <c r="C1179" s="5" t="s">
        <v>3465</v>
      </c>
      <c r="D1179" s="5" t="s">
        <v>3031</v>
      </c>
      <c r="E1179" s="5" t="s">
        <v>23</v>
      </c>
      <c r="F1179" s="5" t="s">
        <v>3032</v>
      </c>
      <c r="G1179" s="5" t="s">
        <v>3033</v>
      </c>
      <c r="H1179" s="5" t="s">
        <v>3450</v>
      </c>
      <c r="I1179" s="5" t="s">
        <v>3466</v>
      </c>
      <c r="J1179" s="5" t="s">
        <v>3467</v>
      </c>
      <c r="K1179" s="7" t="str">
        <f ca="1">IFERROR(__xludf.DUMMYFUNCTION("GOOGLETRANSLATE(H1179,""EN"",""ES"")"),"cubiertos de mesa")</f>
        <v>cubiertos de mesa</v>
      </c>
      <c r="L1179" s="5" t="str">
        <f ca="1">IFERROR(__xludf.DUMMYFUNCTION("GOOGLETRANSLATE(J1179,""EN"",""ES"")"),"Abridores de ostras")</f>
        <v>Abridores de ostras</v>
      </c>
      <c r="M1179" s="8" t="s">
        <v>22</v>
      </c>
      <c r="N1179" s="8" t="s">
        <v>22</v>
      </c>
    </row>
    <row r="1180" spans="1:14" ht="11.25" customHeight="1">
      <c r="A1180" s="5" t="s">
        <v>3028</v>
      </c>
      <c r="B1180" s="5" t="s">
        <v>3448</v>
      </c>
      <c r="C1180" s="5" t="s">
        <v>3468</v>
      </c>
      <c r="D1180" s="5" t="s">
        <v>3031</v>
      </c>
      <c r="E1180" s="5" t="s">
        <v>23</v>
      </c>
      <c r="F1180" s="5" t="s">
        <v>3032</v>
      </c>
      <c r="G1180" s="5" t="s">
        <v>3033</v>
      </c>
      <c r="H1180" s="5" t="s">
        <v>3450</v>
      </c>
      <c r="I1180" s="5" t="s">
        <v>3469</v>
      </c>
      <c r="J1180" s="5" t="s">
        <v>3470</v>
      </c>
      <c r="K1180" s="7" t="str">
        <f ca="1">IFERROR(__xludf.DUMMYFUNCTION("GOOGLETRANSLATE(H1180,""EN"",""ES"")"),"cubiertos de mesa")</f>
        <v>cubiertos de mesa</v>
      </c>
      <c r="L1180" s="5" t="str">
        <f ca="1">IFERROR(__xludf.DUMMYFUNCTION("GOOGLETRANSLATE(J1180,""EN"",""ES"")"),"Servidores de ensaladas")</f>
        <v>Servidores de ensaladas</v>
      </c>
      <c r="M1180" s="8" t="s">
        <v>22</v>
      </c>
      <c r="N1180" s="8" t="s">
        <v>22</v>
      </c>
    </row>
    <row r="1181" spans="1:14" ht="11.25" customHeight="1">
      <c r="A1181" s="5" t="s">
        <v>3028</v>
      </c>
      <c r="B1181" s="5" t="s">
        <v>3448</v>
      </c>
      <c r="C1181" s="5" t="s">
        <v>3471</v>
      </c>
      <c r="D1181" s="5" t="s">
        <v>3031</v>
      </c>
      <c r="E1181" s="5" t="s">
        <v>23</v>
      </c>
      <c r="F1181" s="5" t="s">
        <v>3032</v>
      </c>
      <c r="G1181" s="5" t="s">
        <v>3033</v>
      </c>
      <c r="H1181" s="5" t="s">
        <v>3450</v>
      </c>
      <c r="I1181" s="5" t="s">
        <v>3472</v>
      </c>
      <c r="J1181" s="5" t="s">
        <v>3473</v>
      </c>
      <c r="K1181" s="7" t="str">
        <f ca="1">IFERROR(__xludf.DUMMYFUNCTION("GOOGLETRANSLATE(H1181,""EN"",""ES"")"),"cubiertos de mesa")</f>
        <v>cubiertos de mesa</v>
      </c>
      <c r="L1181" s="5" t="str">
        <f ca="1">IFERROR(__xludf.DUMMYFUNCTION("GOOGLETRANSLATE(J1181,""EN"",""ES"")"),"cuchillos de mantequilla")</f>
        <v>cuchillos de mantequilla</v>
      </c>
      <c r="M1181" s="8" t="s">
        <v>22</v>
      </c>
      <c r="N1181" s="8" t="s">
        <v>22</v>
      </c>
    </row>
    <row r="1182" spans="1:14" ht="11.25" customHeight="1">
      <c r="A1182" s="5" t="s">
        <v>3028</v>
      </c>
      <c r="B1182" s="5" t="s">
        <v>3448</v>
      </c>
      <c r="C1182" s="5" t="s">
        <v>3474</v>
      </c>
      <c r="D1182" s="5" t="s">
        <v>3031</v>
      </c>
      <c r="E1182" s="5" t="s">
        <v>23</v>
      </c>
      <c r="F1182" s="5" t="s">
        <v>3032</v>
      </c>
      <c r="G1182" s="5" t="s">
        <v>3033</v>
      </c>
      <c r="H1182" s="5" t="s">
        <v>3450</v>
      </c>
      <c r="I1182" s="5" t="s">
        <v>3475</v>
      </c>
      <c r="J1182" s="5" t="s">
        <v>3476</v>
      </c>
      <c r="K1182" s="7" t="str">
        <f ca="1">IFERROR(__xludf.DUMMYFUNCTION("GOOGLETRANSLATE(H1182,""EN"",""ES"")"),"cubiertos de mesa")</f>
        <v>cubiertos de mesa</v>
      </c>
      <c r="L1182" s="5" t="str">
        <f ca="1">IFERROR(__xludf.DUMMYFUNCTION("GOOGLETRANSLATE(J1182,""EN"",""ES"")"),"cuchillos para queso")</f>
        <v>cuchillos para queso</v>
      </c>
      <c r="M1182" s="8" t="s">
        <v>22</v>
      </c>
      <c r="N1182" s="8" t="s">
        <v>22</v>
      </c>
    </row>
    <row r="1183" spans="1:14" ht="11.25" customHeight="1">
      <c r="A1183" s="5" t="s">
        <v>3028</v>
      </c>
      <c r="B1183" s="5" t="s">
        <v>3448</v>
      </c>
      <c r="C1183" s="5" t="s">
        <v>3477</v>
      </c>
      <c r="D1183" s="5" t="s">
        <v>3031</v>
      </c>
      <c r="E1183" s="5" t="s">
        <v>23</v>
      </c>
      <c r="F1183" s="5" t="s">
        <v>3032</v>
      </c>
      <c r="G1183" s="5" t="s">
        <v>3033</v>
      </c>
      <c r="H1183" s="5" t="s">
        <v>3450</v>
      </c>
      <c r="I1183" s="5" t="s">
        <v>3478</v>
      </c>
      <c r="J1183" s="5" t="s">
        <v>3479</v>
      </c>
      <c r="K1183" s="7" t="str">
        <f ca="1">IFERROR(__xludf.DUMMYFUNCTION("GOOGLETRANSLATE(H1183,""EN"",""ES"")"),"cubiertos de mesa")</f>
        <v>cubiertos de mesa</v>
      </c>
      <c r="L1183" s="5" t="str">
        <f ca="1">IFERROR(__xludf.DUMMYFUNCTION("GOOGLETRANSLATE(J1183,""EN"",""ES"")"),"Casquillos para cuchillos de mesa.")</f>
        <v>Casquillos para cuchillos de mesa.</v>
      </c>
      <c r="M1183" s="8" t="s">
        <v>22</v>
      </c>
      <c r="N1183" s="8" t="s">
        <v>22</v>
      </c>
    </row>
    <row r="1184" spans="1:14" ht="11.25" customHeight="1">
      <c r="A1184" s="5" t="s">
        <v>3028</v>
      </c>
      <c r="B1184" s="5" t="s">
        <v>3448</v>
      </c>
      <c r="C1184" s="5" t="s">
        <v>3480</v>
      </c>
      <c r="D1184" s="5" t="s">
        <v>3031</v>
      </c>
      <c r="E1184" s="5" t="s">
        <v>23</v>
      </c>
      <c r="F1184" s="5" t="s">
        <v>3032</v>
      </c>
      <c r="G1184" s="5" t="s">
        <v>3033</v>
      </c>
      <c r="H1184" s="5" t="s">
        <v>3450</v>
      </c>
      <c r="I1184" s="5" t="s">
        <v>3481</v>
      </c>
      <c r="J1184" s="5" t="s">
        <v>3482</v>
      </c>
      <c r="K1184" s="7" t="str">
        <f ca="1">IFERROR(__xludf.DUMMYFUNCTION("GOOGLETRANSLATE(H1184,""EN"",""ES"")"),"cubiertos de mesa")</f>
        <v>cubiertos de mesa</v>
      </c>
      <c r="L1184" s="5" t="str">
        <f ca="1">IFERROR(__xludf.DUMMYFUNCTION("GOOGLETRANSLATE(J1184,""EN"",""ES"")"),"Palillos")</f>
        <v>Palillos</v>
      </c>
      <c r="M1184" s="8" t="s">
        <v>22</v>
      </c>
      <c r="N1184" s="8" t="s">
        <v>22</v>
      </c>
    </row>
    <row r="1185" spans="1:14" ht="11.25" customHeight="1">
      <c r="A1185" s="5" t="s">
        <v>3028</v>
      </c>
      <c r="B1185" s="5" t="s">
        <v>3448</v>
      </c>
      <c r="C1185" s="5" t="s">
        <v>3483</v>
      </c>
      <c r="D1185" s="5" t="s">
        <v>3031</v>
      </c>
      <c r="E1185" s="5" t="s">
        <v>23</v>
      </c>
      <c r="F1185" s="5" t="s">
        <v>3032</v>
      </c>
      <c r="G1185" s="5" t="s">
        <v>3033</v>
      </c>
      <c r="H1185" s="5" t="s">
        <v>3450</v>
      </c>
      <c r="I1185" s="5" t="s">
        <v>3484</v>
      </c>
      <c r="J1185" s="5" t="s">
        <v>3485</v>
      </c>
      <c r="K1185" s="7" t="str">
        <f ca="1">IFERROR(__xludf.DUMMYFUNCTION("GOOGLETRANSLATE(H1185,""EN"",""ES"")"),"cubiertos de mesa")</f>
        <v>cubiertos de mesa</v>
      </c>
      <c r="L1185" s="5" t="str">
        <f ca="1">IFERROR(__xludf.DUMMYFUNCTION("GOOGLETRANSLATE(J1185,""EN"",""ES"")"),"cubiertos de cangrejo")</f>
        <v>cubiertos de cangrejo</v>
      </c>
      <c r="M1185" s="8" t="s">
        <v>22</v>
      </c>
      <c r="N1185" s="8" t="s">
        <v>22</v>
      </c>
    </row>
    <row r="1186" spans="1:14" ht="11.25" customHeight="1">
      <c r="A1186" s="5" t="s">
        <v>3028</v>
      </c>
      <c r="B1186" s="5" t="s">
        <v>3486</v>
      </c>
      <c r="C1186" s="5" t="s">
        <v>3487</v>
      </c>
      <c r="D1186" s="5" t="s">
        <v>3031</v>
      </c>
      <c r="E1186" s="5" t="s">
        <v>23</v>
      </c>
      <c r="F1186" s="5" t="s">
        <v>3032</v>
      </c>
      <c r="G1186" s="5" t="s">
        <v>3033</v>
      </c>
      <c r="H1186" s="5" t="s">
        <v>3488</v>
      </c>
      <c r="I1186" s="5" t="s">
        <v>3489</v>
      </c>
      <c r="J1186" s="5" t="s">
        <v>3490</v>
      </c>
      <c r="K1186" s="7" t="str">
        <f ca="1">IFERROR(__xludf.DUMMYFUNCTION("GOOGLETRANSLATE(H1186,""EN"",""ES"")"),"APARATOS Y UTENSILIOS MANUALES PARA PREPARAR COMIDA O BEBIDA")</f>
        <v>APARATOS Y UTENSILIOS MANUALES PARA PREPARAR COMIDA O BEBIDA</v>
      </c>
      <c r="L1186" s="5" t="str">
        <f ca="1">IFERROR(__xludf.DUMMYFUNCTION("GOOGLETRANSLATE(J1186,""EN"",""ES"")"),"Molinillos de especias, no eléctricos")</f>
        <v>Molinillos de especias, no eléctricos</v>
      </c>
      <c r="M1186" s="8" t="s">
        <v>22</v>
      </c>
      <c r="N1186" s="8" t="s">
        <v>22</v>
      </c>
    </row>
    <row r="1187" spans="1:14" ht="11.25" customHeight="1">
      <c r="A1187" s="5" t="s">
        <v>3028</v>
      </c>
      <c r="B1187" s="5" t="s">
        <v>3486</v>
      </c>
      <c r="C1187" s="5" t="s">
        <v>3491</v>
      </c>
      <c r="D1187" s="5" t="s">
        <v>3031</v>
      </c>
      <c r="E1187" s="5" t="s">
        <v>23</v>
      </c>
      <c r="F1187" s="5" t="s">
        <v>3032</v>
      </c>
      <c r="G1187" s="5" t="s">
        <v>3033</v>
      </c>
      <c r="H1187" s="5" t="s">
        <v>3488</v>
      </c>
      <c r="I1187" s="5" t="s">
        <v>3492</v>
      </c>
      <c r="J1187" s="5" t="s">
        <v>3493</v>
      </c>
      <c r="K1187" s="7" t="str">
        <f ca="1">IFERROR(__xludf.DUMMYFUNCTION("GOOGLETRANSLATE(H1187,""EN"",""ES"")"),"APARATOS Y UTENSILIOS MANUALES PARA PREPARAR COMIDA O BEBIDA")</f>
        <v>APARATOS Y UTENSILIOS MANUALES PARA PREPARAR COMIDA O BEBIDA</v>
      </c>
      <c r="L1187" s="5" t="str">
        <f ca="1">IFERROR(__xludf.DUMMYFUNCTION("GOOGLETRANSLATE(J1187,""EN"",""ES"")"),"Espátulas para cocinar")</f>
        <v>Espátulas para cocinar</v>
      </c>
      <c r="M1187" s="8" t="s">
        <v>22</v>
      </c>
      <c r="N1187" s="8" t="s">
        <v>22</v>
      </c>
    </row>
    <row r="1188" spans="1:14" ht="11.25" customHeight="1">
      <c r="A1188" s="5" t="s">
        <v>3028</v>
      </c>
      <c r="B1188" s="5" t="s">
        <v>3486</v>
      </c>
      <c r="C1188" s="5" t="s">
        <v>3494</v>
      </c>
      <c r="D1188" s="5" t="s">
        <v>3031</v>
      </c>
      <c r="E1188" s="5" t="s">
        <v>23</v>
      </c>
      <c r="F1188" s="5" t="s">
        <v>3032</v>
      </c>
      <c r="G1188" s="5" t="s">
        <v>3033</v>
      </c>
      <c r="H1188" s="5" t="s">
        <v>3488</v>
      </c>
      <c r="I1188" s="5" t="s">
        <v>3495</v>
      </c>
      <c r="J1188" s="5" t="s">
        <v>3496</v>
      </c>
      <c r="K1188" s="7" t="str">
        <f ca="1">IFERROR(__xludf.DUMMYFUNCTION("GOOGLETRANSLATE(H1188,""EN"",""ES"")"),"APARATOS Y UTENSILIOS MANUALES PARA PREPARAR COMIDA O BEBIDA")</f>
        <v>APARATOS Y UTENSILIOS MANUALES PARA PREPARAR COMIDA O BEBIDA</v>
      </c>
      <c r="L1188" s="5" t="str">
        <f ca="1">IFERROR(__xludf.DUMMYFUNCTION("GOOGLETRANSLATE(J1188,""EN"",""ES"")"),"Fabricantes de yogur [hogar]")</f>
        <v>Fabricantes de yogur [hogar]</v>
      </c>
      <c r="M1188" s="8" t="s">
        <v>22</v>
      </c>
      <c r="N1188" s="8" t="s">
        <v>22</v>
      </c>
    </row>
    <row r="1189" spans="1:14" ht="11.25" customHeight="1">
      <c r="A1189" s="5" t="s">
        <v>3028</v>
      </c>
      <c r="B1189" s="5" t="s">
        <v>3486</v>
      </c>
      <c r="C1189" s="5" t="s">
        <v>3494</v>
      </c>
      <c r="D1189" s="5" t="s">
        <v>3031</v>
      </c>
      <c r="E1189" s="5" t="s">
        <v>23</v>
      </c>
      <c r="F1189" s="5" t="s">
        <v>3032</v>
      </c>
      <c r="G1189" s="5" t="s">
        <v>3033</v>
      </c>
      <c r="H1189" s="5" t="s">
        <v>3488</v>
      </c>
      <c r="I1189" s="5" t="s">
        <v>3497</v>
      </c>
      <c r="J1189" s="5" t="s">
        <v>152</v>
      </c>
      <c r="K1189" s="7" t="str">
        <f ca="1">IFERROR(__xludf.DUMMYFUNCTION("GOOGLETRANSLATE(H1189,""EN"",""ES"")"),"APARATOS Y UTENSILIOS MANUALES PARA PREPARAR COMIDA O BEBIDA")</f>
        <v>APARATOS Y UTENSILIOS MANUALES PARA PREPARAR COMIDA O BEBIDA</v>
      </c>
      <c r="L1189" s="5" t="str">
        <f ca="1">IFERROR(__xludf.DUMMYFUNCTION("GOOGLETRANSLATE(J1189,""EN"",""ES"")"),"Fabricantes de yogur [hogar]")</f>
        <v>Fabricantes de yogur [hogar]</v>
      </c>
      <c r="M1189" s="8" t="s">
        <v>22</v>
      </c>
      <c r="N1189" s="8" t="s">
        <v>22</v>
      </c>
    </row>
    <row r="1190" spans="1:14" ht="11.25" customHeight="1">
      <c r="A1190" s="5" t="s">
        <v>3028</v>
      </c>
      <c r="B1190" s="5" t="s">
        <v>3486</v>
      </c>
      <c r="C1190" s="5" t="s">
        <v>3498</v>
      </c>
      <c r="D1190" s="5" t="s">
        <v>3031</v>
      </c>
      <c r="E1190" s="5" t="s">
        <v>23</v>
      </c>
      <c r="F1190" s="5" t="s">
        <v>3032</v>
      </c>
      <c r="G1190" s="5" t="s">
        <v>3033</v>
      </c>
      <c r="H1190" s="5" t="s">
        <v>3488</v>
      </c>
      <c r="I1190" s="5" t="s">
        <v>3499</v>
      </c>
      <c r="J1190" s="5" t="s">
        <v>3500</v>
      </c>
      <c r="K1190" s="7" t="str">
        <f ca="1">IFERROR(__xludf.DUMMYFUNCTION("GOOGLETRANSLATE(H1190,""EN"",""ES"")"),"APARATOS Y UTENSILIOS MANUALES PARA PREPARAR COMIDA O BEBIDA")</f>
        <v>APARATOS Y UTENSILIOS MANUALES PARA PREPARAR COMIDA O BEBIDA</v>
      </c>
      <c r="L1190" s="5" t="str">
        <f ca="1">IFERROR(__xludf.DUMMYFUNCTION("GOOGLETRANSLATE(J1190,""EN"",""ES"")"),"Ablandadores de carne")</f>
        <v>Ablandadores de carne</v>
      </c>
      <c r="M1190" s="8" t="s">
        <v>22</v>
      </c>
      <c r="N1190" s="8" t="s">
        <v>22</v>
      </c>
    </row>
    <row r="1191" spans="1:14" ht="11.25" customHeight="1">
      <c r="A1191" s="5" t="s">
        <v>3028</v>
      </c>
      <c r="B1191" s="5" t="s">
        <v>3486</v>
      </c>
      <c r="C1191" s="5" t="s">
        <v>3501</v>
      </c>
      <c r="D1191" s="5" t="s">
        <v>3031</v>
      </c>
      <c r="E1191" s="5" t="s">
        <v>23</v>
      </c>
      <c r="F1191" s="5" t="s">
        <v>3032</v>
      </c>
      <c r="G1191" s="5" t="s">
        <v>3033</v>
      </c>
      <c r="H1191" s="5" t="s">
        <v>3488</v>
      </c>
      <c r="I1191" s="5" t="s">
        <v>3502</v>
      </c>
      <c r="J1191" s="5" t="s">
        <v>3503</v>
      </c>
      <c r="K1191" s="7" t="str">
        <f ca="1">IFERROR(__xludf.DUMMYFUNCTION("GOOGLETRANSLATE(H1191,""EN"",""ES"")"),"APARATOS Y UTENSILIOS MANUALES PARA PREPARAR COMIDA O BEBIDA")</f>
        <v>APARATOS Y UTENSILIOS MANUALES PARA PREPARAR COMIDA O BEBIDA</v>
      </c>
      <c r="L1191" s="5" t="str">
        <f ca="1">IFERROR(__xludf.DUMMYFUNCTION("GOOGLETRANSLATE(J1191,""EN"",""ES"")"),"mantequeras")</f>
        <v>mantequeras</v>
      </c>
      <c r="M1191" s="8" t="s">
        <v>22</v>
      </c>
      <c r="N1191" s="8" t="s">
        <v>22</v>
      </c>
    </row>
    <row r="1192" spans="1:14" ht="11.25" customHeight="1">
      <c r="A1192" s="5" t="s">
        <v>3028</v>
      </c>
      <c r="B1192" s="5" t="s">
        <v>3486</v>
      </c>
      <c r="C1192" s="5" t="s">
        <v>3504</v>
      </c>
      <c r="D1192" s="5" t="s">
        <v>3031</v>
      </c>
      <c r="E1192" s="5" t="s">
        <v>23</v>
      </c>
      <c r="F1192" s="5" t="s">
        <v>3032</v>
      </c>
      <c r="G1192" s="5" t="s">
        <v>3033</v>
      </c>
      <c r="H1192" s="5" t="s">
        <v>3488</v>
      </c>
      <c r="I1192" s="5" t="s">
        <v>3505</v>
      </c>
      <c r="J1192" s="5" t="s">
        <v>3506</v>
      </c>
      <c r="K1192" s="7" t="str">
        <f ca="1">IFERROR(__xludf.DUMMYFUNCTION("GOOGLETRANSLATE(H1192,""EN"",""ES"")"),"APARATOS Y UTENSILIOS MANUALES PARA PREPARAR COMIDA O BEBIDA")</f>
        <v>APARATOS Y UTENSILIOS MANUALES PARA PREPARAR COMIDA O BEBIDA</v>
      </c>
      <c r="L1192" s="5" t="str">
        <f ca="1">IFERROR(__xludf.DUMMYFUNCTION("GOOGLETRANSLATE(J1192,""EN"",""ES"")"),"Batidores para uso en cocina, no eléctricos")</f>
        <v>Batidores para uso en cocina, no eléctricos</v>
      </c>
      <c r="M1192" s="8" t="s">
        <v>22</v>
      </c>
      <c r="N1192" s="8" t="s">
        <v>22</v>
      </c>
    </row>
    <row r="1193" spans="1:14" ht="11.25" customHeight="1">
      <c r="A1193" s="5" t="s">
        <v>3028</v>
      </c>
      <c r="B1193" s="5" t="s">
        <v>3486</v>
      </c>
      <c r="C1193" s="5" t="s">
        <v>3507</v>
      </c>
      <c r="D1193" s="5" t="s">
        <v>3031</v>
      </c>
      <c r="E1193" s="5" t="s">
        <v>23</v>
      </c>
      <c r="F1193" s="5" t="s">
        <v>3032</v>
      </c>
      <c r="G1193" s="5" t="s">
        <v>3033</v>
      </c>
      <c r="H1193" s="5" t="s">
        <v>3488</v>
      </c>
      <c r="I1193" s="5" t="s">
        <v>3508</v>
      </c>
      <c r="J1193" s="5" t="s">
        <v>3509</v>
      </c>
      <c r="K1193" s="7" t="str">
        <f ca="1">IFERROR(__xludf.DUMMYFUNCTION("GOOGLETRANSLATE(H1193,""EN"",""ES"")"),"APARATOS Y UTENSILIOS MANUALES PARA PREPARAR COMIDA O BEBIDA")</f>
        <v>APARATOS Y UTENSILIOS MANUALES PARA PREPARAR COMIDA O BEBIDA</v>
      </c>
      <c r="L1193" s="5" t="str">
        <f ca="1">IFERROR(__xludf.DUMMYFUNCTION("GOOGLETRANSLATE(J1193,""EN"",""ES"")"),"Aparatos accionados manualmente para preparar bebidas.")</f>
        <v>Aparatos accionados manualmente para preparar bebidas.</v>
      </c>
      <c r="M1193" s="8" t="s">
        <v>22</v>
      </c>
      <c r="N1193" s="8" t="s">
        <v>22</v>
      </c>
    </row>
    <row r="1194" spans="1:14" ht="11.25" customHeight="1">
      <c r="A1194" s="5" t="s">
        <v>3028</v>
      </c>
      <c r="B1194" s="5" t="s">
        <v>3486</v>
      </c>
      <c r="C1194" s="5" t="s">
        <v>3510</v>
      </c>
      <c r="D1194" s="5" t="s">
        <v>3031</v>
      </c>
      <c r="E1194" s="5" t="s">
        <v>23</v>
      </c>
      <c r="F1194" s="5" t="s">
        <v>3032</v>
      </c>
      <c r="G1194" s="5" t="s">
        <v>3033</v>
      </c>
      <c r="H1194" s="5" t="s">
        <v>3488</v>
      </c>
      <c r="I1194" s="5" t="s">
        <v>3511</v>
      </c>
      <c r="J1194" s="5" t="s">
        <v>3512</v>
      </c>
      <c r="K1194" s="7" t="str">
        <f ca="1">IFERROR(__xludf.DUMMYFUNCTION("GOOGLETRANSLATE(H1194,""EN"",""ES"")"),"APARATOS Y UTENSILIOS MANUALES PARA PREPARAR COMIDA O BEBIDA")</f>
        <v>APARATOS Y UTENSILIOS MANUALES PARA PREPARAR COMIDA O BEBIDA</v>
      </c>
      <c r="L1194" s="5" t="str">
        <f ca="1">IFERROR(__xludf.DUMMYFUNCTION("GOOGLETRANSLATE(J1194,""EN"",""ES"")"),"Molinillos de cocina, no eléctricos")</f>
        <v>Molinillos de cocina, no eléctricos</v>
      </c>
      <c r="M1194" s="8" t="s">
        <v>22</v>
      </c>
      <c r="N1194" s="8" t="s">
        <v>22</v>
      </c>
    </row>
    <row r="1195" spans="1:14" ht="11.25" customHeight="1">
      <c r="A1195" s="5" t="s">
        <v>3028</v>
      </c>
      <c r="B1195" s="5" t="s">
        <v>3486</v>
      </c>
      <c r="C1195" s="5" t="s">
        <v>3513</v>
      </c>
      <c r="D1195" s="5" t="s">
        <v>3031</v>
      </c>
      <c r="E1195" s="5" t="s">
        <v>23</v>
      </c>
      <c r="F1195" s="5" t="s">
        <v>3032</v>
      </c>
      <c r="G1195" s="5" t="s">
        <v>3033</v>
      </c>
      <c r="H1195" s="5" t="s">
        <v>3488</v>
      </c>
      <c r="I1195" s="5" t="s">
        <v>3514</v>
      </c>
      <c r="J1195" s="5" t="s">
        <v>3515</v>
      </c>
      <c r="K1195" s="7" t="str">
        <f ca="1">IFERROR(__xludf.DUMMYFUNCTION("GOOGLETRANSLATE(H1195,""EN"",""ES"")"),"APARATOS Y UTENSILIOS MANUALES PARA PREPARAR COMIDA O BEBIDA")</f>
        <v>APARATOS Y UTENSILIOS MANUALES PARA PREPARAR COMIDA O BEBIDA</v>
      </c>
      <c r="L1195" s="5" t="str">
        <f ca="1">IFERROR(__xludf.DUMMYFUNCTION("GOOGLETRANSLATE(J1195,""EN"",""ES"")"),"Deshuesadores de frutas [hogar]")</f>
        <v>Deshuesadores de frutas [hogar]</v>
      </c>
      <c r="M1195" s="8" t="s">
        <v>22</v>
      </c>
      <c r="N1195" s="8" t="s">
        <v>22</v>
      </c>
    </row>
    <row r="1196" spans="1:14" ht="11.25" customHeight="1">
      <c r="A1196" s="5" t="s">
        <v>3028</v>
      </c>
      <c r="B1196" s="5" t="s">
        <v>3486</v>
      </c>
      <c r="C1196" s="5" t="s">
        <v>3516</v>
      </c>
      <c r="D1196" s="5" t="s">
        <v>3031</v>
      </c>
      <c r="E1196" s="5" t="s">
        <v>23</v>
      </c>
      <c r="F1196" s="5" t="s">
        <v>3032</v>
      </c>
      <c r="G1196" s="5" t="s">
        <v>3033</v>
      </c>
      <c r="H1196" s="5" t="s">
        <v>3488</v>
      </c>
      <c r="I1196" s="5" t="s">
        <v>3517</v>
      </c>
      <c r="J1196" s="5" t="s">
        <v>3518</v>
      </c>
      <c r="K1196" s="7" t="str">
        <f ca="1">IFERROR(__xludf.DUMMYFUNCTION("GOOGLETRANSLATE(H1196,""EN"",""ES"")"),"APARATOS Y UTENSILIOS MANUALES PARA PREPARAR COMIDA O BEBIDA")</f>
        <v>APARATOS Y UTENSILIOS MANUALES PARA PREPARAR COMIDA O BEBIDA</v>
      </c>
      <c r="L1196" s="5" t="str">
        <f ca="1">IFERROR(__xludf.DUMMYFUNCTION("GOOGLETRANSLATE(J1196,""EN"",""ES"")"),"Tijeras para aves")</f>
        <v>Tijeras para aves</v>
      </c>
      <c r="M1196" s="8" t="s">
        <v>22</v>
      </c>
      <c r="N1196" s="8" t="s">
        <v>22</v>
      </c>
    </row>
    <row r="1197" spans="1:14" ht="11.25" customHeight="1">
      <c r="A1197" s="5" t="s">
        <v>3028</v>
      </c>
      <c r="B1197" s="5" t="s">
        <v>3486</v>
      </c>
      <c r="C1197" s="5" t="s">
        <v>3519</v>
      </c>
      <c r="D1197" s="5" t="s">
        <v>3031</v>
      </c>
      <c r="E1197" s="5" t="s">
        <v>23</v>
      </c>
      <c r="F1197" s="5" t="s">
        <v>3032</v>
      </c>
      <c r="G1197" s="5" t="s">
        <v>3033</v>
      </c>
      <c r="H1197" s="5" t="s">
        <v>3488</v>
      </c>
      <c r="I1197" s="5" t="s">
        <v>3520</v>
      </c>
      <c r="J1197" s="5" t="s">
        <v>3521</v>
      </c>
      <c r="K1197" s="7" t="str">
        <f ca="1">IFERROR(__xludf.DUMMYFUNCTION("GOOGLETRANSLATE(H1197,""EN"",""ES"")"),"APARATOS Y UTENSILIOS MANUALES PARA PREPARAR COMIDA O BEBIDA")</f>
        <v>APARATOS Y UTENSILIOS MANUALES PARA PREPARAR COMIDA O BEBIDA</v>
      </c>
      <c r="L1197" s="5" t="str">
        <f ca="1">IFERROR(__xludf.DUMMYFUNCTION("GOOGLETRANSLATE(J1197,""EN"",""ES"")"),"Trituradoras de patatas, no eléctricas")</f>
        <v>Trituradoras de patatas, no eléctricas</v>
      </c>
      <c r="M1197" s="8" t="s">
        <v>22</v>
      </c>
      <c r="N1197" s="8" t="s">
        <v>22</v>
      </c>
    </row>
    <row r="1198" spans="1:14" ht="11.25" customHeight="1">
      <c r="A1198" s="5" t="s">
        <v>3028</v>
      </c>
      <c r="B1198" s="5" t="s">
        <v>3486</v>
      </c>
      <c r="C1198" s="5" t="s">
        <v>3519</v>
      </c>
      <c r="D1198" s="5" t="s">
        <v>3031</v>
      </c>
      <c r="E1198" s="5" t="s">
        <v>23</v>
      </c>
      <c r="F1198" s="5" t="s">
        <v>3032</v>
      </c>
      <c r="G1198" s="5" t="s">
        <v>3033</v>
      </c>
      <c r="H1198" s="5" t="s">
        <v>3488</v>
      </c>
      <c r="I1198" s="5" t="s">
        <v>3522</v>
      </c>
      <c r="J1198" s="5" t="s">
        <v>152</v>
      </c>
      <c r="K1198" s="7" t="str">
        <f ca="1">IFERROR(__xludf.DUMMYFUNCTION("GOOGLETRANSLATE(H1198,""EN"",""ES"")"),"APARATOS Y UTENSILIOS MANUALES PARA PREPARAR COMIDA O BEBIDA")</f>
        <v>APARATOS Y UTENSILIOS MANUALES PARA PREPARAR COMIDA O BEBIDA</v>
      </c>
      <c r="L1198" s="5" t="str">
        <f ca="1">IFERROR(__xludf.DUMMYFUNCTION("GOOGLETRANSLATE(J1198,""EN"",""ES"")"),"Cortadores de patatas fritas, no eléctricos")</f>
        <v>Cortadores de patatas fritas, no eléctricos</v>
      </c>
      <c r="M1198" s="8" t="s">
        <v>22</v>
      </c>
      <c r="N1198" s="8" t="s">
        <v>22</v>
      </c>
    </row>
    <row r="1199" spans="1:14" ht="11.25" customHeight="1">
      <c r="A1199" s="5" t="s">
        <v>3028</v>
      </c>
      <c r="B1199" s="5" t="s">
        <v>3486</v>
      </c>
      <c r="C1199" s="5" t="s">
        <v>3523</v>
      </c>
      <c r="D1199" s="5" t="s">
        <v>3031</v>
      </c>
      <c r="E1199" s="5" t="s">
        <v>23</v>
      </c>
      <c r="F1199" s="5" t="s">
        <v>3032</v>
      </c>
      <c r="G1199" s="5" t="s">
        <v>3033</v>
      </c>
      <c r="H1199" s="5" t="s">
        <v>3488</v>
      </c>
      <c r="I1199" s="5" t="s">
        <v>3524</v>
      </c>
      <c r="J1199" s="5" t="s">
        <v>3525</v>
      </c>
      <c r="K1199" s="7" t="str">
        <f ca="1">IFERROR(__xludf.DUMMYFUNCTION("GOOGLETRANSLATE(H1199,""EN"",""ES"")"),"APARATOS Y UTENSILIOS MANUALES PARA PREPARAR COMIDA O BEBIDA")</f>
        <v>APARATOS Y UTENSILIOS MANUALES PARA PREPARAR COMIDA O BEBIDA</v>
      </c>
      <c r="L1199" s="5" t="str">
        <f ca="1">IFERROR(__xludf.DUMMYFUNCTION("GOOGLETRANSLATE(J1199,""EN"",""ES"")"),"Cortadoras de verduras, no eléctricas [domésticas]")</f>
        <v>Cortadoras de verduras, no eléctricas [domésticas]</v>
      </c>
      <c r="M1199" s="8" t="s">
        <v>22</v>
      </c>
      <c r="N1199" s="8" t="s">
        <v>22</v>
      </c>
    </row>
    <row r="1200" spans="1:14" ht="11.25" customHeight="1">
      <c r="A1200" s="5" t="s">
        <v>3028</v>
      </c>
      <c r="B1200" s="5" t="s">
        <v>3486</v>
      </c>
      <c r="C1200" s="5" t="s">
        <v>3526</v>
      </c>
      <c r="D1200" s="5" t="s">
        <v>3031</v>
      </c>
      <c r="E1200" s="5" t="s">
        <v>23</v>
      </c>
      <c r="F1200" s="5" t="s">
        <v>3032</v>
      </c>
      <c r="G1200" s="5" t="s">
        <v>3033</v>
      </c>
      <c r="H1200" s="5" t="s">
        <v>3488</v>
      </c>
      <c r="I1200" s="5" t="s">
        <v>3527</v>
      </c>
      <c r="J1200" s="5" t="s">
        <v>3528</v>
      </c>
      <c r="K1200" s="7" t="str">
        <f ca="1">IFERROR(__xludf.DUMMYFUNCTION("GOOGLETRANSLATE(H1200,""EN"",""ES"")"),"APARATOS Y UTENSILIOS MANUALES PARA PREPARAR COMIDA O BEBIDA")</f>
        <v>APARATOS Y UTENSILIOS MANUALES PARA PREPARAR COMIDA O BEBIDA</v>
      </c>
      <c r="L1200" s="5" t="str">
        <f ca="1">IFERROR(__xludf.DUMMYFUNCTION("GOOGLETRANSLATE(J1200,""EN"",""ES"")"),"rebanadores de huevos")</f>
        <v>rebanadores de huevos</v>
      </c>
      <c r="M1200" s="8" t="s">
        <v>22</v>
      </c>
      <c r="N1200" s="8" t="s">
        <v>22</v>
      </c>
    </row>
    <row r="1201" spans="1:14" ht="11.25" customHeight="1">
      <c r="A1201" s="5" t="s">
        <v>3028</v>
      </c>
      <c r="B1201" s="5" t="s">
        <v>3486</v>
      </c>
      <c r="C1201" s="5" t="s">
        <v>3529</v>
      </c>
      <c r="D1201" s="5" t="s">
        <v>3031</v>
      </c>
      <c r="E1201" s="5" t="s">
        <v>23</v>
      </c>
      <c r="F1201" s="5" t="s">
        <v>3032</v>
      </c>
      <c r="G1201" s="5" t="s">
        <v>3033</v>
      </c>
      <c r="H1201" s="5" t="s">
        <v>3488</v>
      </c>
      <c r="I1201" s="5" t="s">
        <v>3530</v>
      </c>
      <c r="J1201" s="5" t="s">
        <v>3531</v>
      </c>
      <c r="K1201" s="7" t="str">
        <f ca="1">IFERROR(__xludf.DUMMYFUNCTION("GOOGLETRANSLATE(H1201,""EN"",""ES"")"),"APARATOS Y UTENSILIOS MANUALES PARA PREPARAR COMIDA O BEBIDA")</f>
        <v>APARATOS Y UTENSILIOS MANUALES PARA PREPARAR COMIDA O BEBIDA</v>
      </c>
      <c r="L1201" s="5" t="str">
        <f ca="1">IFERROR(__xludf.DUMMYFUNCTION("GOOGLETRANSLATE(J1201,""EN"",""ES"")"),"Picadores de cebolla, no eléctricos")</f>
        <v>Picadores de cebolla, no eléctricos</v>
      </c>
      <c r="M1201" s="8" t="s">
        <v>22</v>
      </c>
      <c r="N1201" s="8" t="s">
        <v>22</v>
      </c>
    </row>
    <row r="1202" spans="1:14" ht="11.25" customHeight="1">
      <c r="A1202" s="5" t="s">
        <v>3028</v>
      </c>
      <c r="B1202" s="5" t="s">
        <v>3486</v>
      </c>
      <c r="C1202" s="5" t="s">
        <v>3532</v>
      </c>
      <c r="D1202" s="5" t="s">
        <v>3031</v>
      </c>
      <c r="E1202" s="5" t="s">
        <v>23</v>
      </c>
      <c r="F1202" s="5" t="s">
        <v>3032</v>
      </c>
      <c r="G1202" s="5" t="s">
        <v>3033</v>
      </c>
      <c r="H1202" s="5" t="s">
        <v>3488</v>
      </c>
      <c r="I1202" s="5" t="s">
        <v>3533</v>
      </c>
      <c r="J1202" s="5" t="s">
        <v>3534</v>
      </c>
      <c r="K1202" s="7" t="str">
        <f ca="1">IFERROR(__xludf.DUMMYFUNCTION("GOOGLETRANSLATE(H1202,""EN"",""ES"")"),"APARATOS Y UTENSILIOS MANUALES PARA PREPARAR COMIDA O BEBIDA")</f>
        <v>APARATOS Y UTENSILIOS MANUALES PARA PREPARAR COMIDA O BEBIDA</v>
      </c>
      <c r="L1202" s="5" t="str">
        <f ca="1">IFERROR(__xludf.DUMMYFUNCTION("GOOGLETRANSLATE(J1202,""EN"",""ES"")"),"Cortadoras de pan, no eléctricas")</f>
        <v>Cortadoras de pan, no eléctricas</v>
      </c>
      <c r="M1202" s="8" t="s">
        <v>22</v>
      </c>
      <c r="N1202" s="8" t="s">
        <v>22</v>
      </c>
    </row>
    <row r="1203" spans="1:14" ht="11.25" customHeight="1">
      <c r="A1203" s="5" t="s">
        <v>3028</v>
      </c>
      <c r="B1203" s="5" t="s">
        <v>3486</v>
      </c>
      <c r="C1203" s="5" t="s">
        <v>3535</v>
      </c>
      <c r="D1203" s="5" t="s">
        <v>3031</v>
      </c>
      <c r="E1203" s="5" t="s">
        <v>23</v>
      </c>
      <c r="F1203" s="5" t="s">
        <v>3032</v>
      </c>
      <c r="G1203" s="5" t="s">
        <v>3033</v>
      </c>
      <c r="H1203" s="5" t="s">
        <v>3488</v>
      </c>
      <c r="I1203" s="5" t="s">
        <v>3536</v>
      </c>
      <c r="J1203" s="5" t="s">
        <v>3537</v>
      </c>
      <c r="K1203" s="7" t="str">
        <f ca="1">IFERROR(__xludf.DUMMYFUNCTION("GOOGLETRANSLATE(H1203,""EN"",""ES"")"),"APARATOS Y UTENSILIOS MANUALES PARA PREPARAR COMIDA O BEBIDA")</f>
        <v>APARATOS Y UTENSILIOS MANUALES PARA PREPARAR COMIDA O BEBIDA</v>
      </c>
      <c r="L1203" s="5" t="str">
        <f ca="1">IFERROR(__xludf.DUMMYFUNCTION("GOOGLETRANSLATE(J1203,""EN"",""ES"")"),"Descorazonadores accionados manualmente")</f>
        <v>Descorazonadores accionados manualmente</v>
      </c>
      <c r="M1203" s="8" t="s">
        <v>22</v>
      </c>
      <c r="N1203" s="8" t="s">
        <v>22</v>
      </c>
    </row>
    <row r="1204" spans="1:14" ht="11.25" customHeight="1">
      <c r="A1204" s="5" t="s">
        <v>3028</v>
      </c>
      <c r="B1204" s="5" t="s">
        <v>3486</v>
      </c>
      <c r="C1204" s="5" t="s">
        <v>3538</v>
      </c>
      <c r="D1204" s="5" t="s">
        <v>3031</v>
      </c>
      <c r="E1204" s="5" t="s">
        <v>23</v>
      </c>
      <c r="F1204" s="5" t="s">
        <v>3032</v>
      </c>
      <c r="G1204" s="5" t="s">
        <v>3033</v>
      </c>
      <c r="H1204" s="5" t="s">
        <v>3488</v>
      </c>
      <c r="I1204" s="5" t="s">
        <v>3539</v>
      </c>
      <c r="J1204" s="5" t="s">
        <v>3540</v>
      </c>
      <c r="K1204" s="7" t="str">
        <f ca="1">IFERROR(__xludf.DUMMYFUNCTION("GOOGLETRANSLATE(H1204,""EN"",""ES"")"),"APARATOS Y UTENSILIOS MANUALES PARA PREPARAR COMIDA O BEBIDA")</f>
        <v>APARATOS Y UTENSILIOS MANUALES PARA PREPARAR COMIDA O BEBIDA</v>
      </c>
      <c r="L1204" s="5" t="str">
        <f ca="1">IFERROR(__xludf.DUMMYFUNCTION("GOOGLETRANSLATE(J1204,""EN"",""ES"")"),"Escamadores de pescado")</f>
        <v>Escamadores de pescado</v>
      </c>
      <c r="M1204" s="8" t="s">
        <v>22</v>
      </c>
      <c r="N1204" s="8" t="s">
        <v>22</v>
      </c>
    </row>
    <row r="1205" spans="1:14" ht="11.25" customHeight="1">
      <c r="A1205" s="5" t="s">
        <v>3028</v>
      </c>
      <c r="B1205" s="5" t="s">
        <v>3486</v>
      </c>
      <c r="C1205" s="5" t="s">
        <v>3541</v>
      </c>
      <c r="D1205" s="5" t="s">
        <v>3031</v>
      </c>
      <c r="E1205" s="5" t="s">
        <v>23</v>
      </c>
      <c r="F1205" s="5" t="s">
        <v>3032</v>
      </c>
      <c r="G1205" s="5" t="s">
        <v>3033</v>
      </c>
      <c r="H1205" s="5" t="s">
        <v>3488</v>
      </c>
      <c r="I1205" s="5" t="s">
        <v>3542</v>
      </c>
      <c r="J1205" s="5" t="s">
        <v>3543</v>
      </c>
      <c r="K1205" s="7" t="str">
        <f ca="1">IFERROR(__xludf.DUMMYFUNCTION("GOOGLETRANSLATE(H1205,""EN"",""ES"")"),"APARATOS Y UTENSILIOS MANUALES PARA PREPARAR COMIDA O BEBIDA")</f>
        <v>APARATOS Y UTENSILIOS MANUALES PARA PREPARAR COMIDA O BEBIDA</v>
      </c>
      <c r="L1205" s="5" t="str">
        <f ca="1">IFERROR(__xludf.DUMMYFUNCTION("GOOGLETRANSLATE(J1205,""EN"",""ES"")"),"Emulsionantes no eléctricos para nata")</f>
        <v>Emulsionantes no eléctricos para nata</v>
      </c>
      <c r="M1205" s="8" t="s">
        <v>22</v>
      </c>
      <c r="N1205" s="8" t="s">
        <v>22</v>
      </c>
    </row>
    <row r="1206" spans="1:14" ht="11.25" customHeight="1">
      <c r="A1206" s="5" t="s">
        <v>3028</v>
      </c>
      <c r="B1206" s="5" t="s">
        <v>3486</v>
      </c>
      <c r="C1206" s="5" t="s">
        <v>3544</v>
      </c>
      <c r="D1206" s="5" t="s">
        <v>3031</v>
      </c>
      <c r="E1206" s="5" t="s">
        <v>23</v>
      </c>
      <c r="F1206" s="5" t="s">
        <v>3032</v>
      </c>
      <c r="G1206" s="5" t="s">
        <v>3033</v>
      </c>
      <c r="H1206" s="5" t="s">
        <v>3488</v>
      </c>
      <c r="I1206" s="5" t="s">
        <v>3545</v>
      </c>
      <c r="J1206" s="5" t="s">
        <v>3546</v>
      </c>
      <c r="K1206" s="7" t="str">
        <f ca="1">IFERROR(__xludf.DUMMYFUNCTION("GOOGLETRANSLATE(H1206,""EN"",""ES"")"),"APARATOS Y UTENSILIOS MANUALES PARA PREPARAR COMIDA O BEBIDA")</f>
        <v>APARATOS Y UTENSILIOS MANUALES PARA PREPARAR COMIDA O BEBIDA</v>
      </c>
      <c r="L1206" s="5" t="str">
        <f ca="1">IFERROR(__xludf.DUMMYFUNCTION("GOOGLETRANSLATE(J1206,""EN"",""ES"")"),"Peladoras manuales [domésticas]")</f>
        <v>Peladoras manuales [domésticas]</v>
      </c>
      <c r="M1206" s="8" t="s">
        <v>22</v>
      </c>
      <c r="N1206" s="8" t="s">
        <v>22</v>
      </c>
    </row>
    <row r="1207" spans="1:14" ht="11.25" customHeight="1">
      <c r="A1207" s="5" t="s">
        <v>3028</v>
      </c>
      <c r="B1207" s="5" t="s">
        <v>3486</v>
      </c>
      <c r="C1207" s="5" t="s">
        <v>3547</v>
      </c>
      <c r="D1207" s="5" t="s">
        <v>3031</v>
      </c>
      <c r="E1207" s="5" t="s">
        <v>23</v>
      </c>
      <c r="F1207" s="5" t="s">
        <v>3032</v>
      </c>
      <c r="G1207" s="5" t="s">
        <v>3033</v>
      </c>
      <c r="H1207" s="5" t="s">
        <v>3488</v>
      </c>
      <c r="I1207" s="5" t="s">
        <v>3548</v>
      </c>
      <c r="J1207" s="5" t="s">
        <v>3549</v>
      </c>
      <c r="K1207" s="7" t="str">
        <f ca="1">IFERROR(__xludf.DUMMYFUNCTION("GOOGLETRANSLATE(H1207,""EN"",""ES"")"),"APARATOS Y UTENSILIOS MANUALES PARA PREPARAR COMIDA O BEBIDA")</f>
        <v>APARATOS Y UTENSILIOS MANUALES PARA PREPARAR COMIDA O BEBIDA</v>
      </c>
      <c r="L1207" s="5" t="str">
        <f ca="1">IFERROR(__xludf.DUMMYFUNCTION("GOOGLETRANSLATE(J1207,""EN"",""ES"")"),"Ensaladeras")</f>
        <v>Ensaladeras</v>
      </c>
      <c r="M1207" s="8" t="s">
        <v>22</v>
      </c>
      <c r="N1207" s="8" t="s">
        <v>22</v>
      </c>
    </row>
    <row r="1208" spans="1:14" ht="11.25" customHeight="1">
      <c r="A1208" s="5" t="s">
        <v>3028</v>
      </c>
      <c r="B1208" s="5" t="s">
        <v>3486</v>
      </c>
      <c r="C1208" s="5" t="s">
        <v>3550</v>
      </c>
      <c r="D1208" s="5" t="s">
        <v>3031</v>
      </c>
      <c r="E1208" s="5" t="s">
        <v>23</v>
      </c>
      <c r="F1208" s="5" t="s">
        <v>3032</v>
      </c>
      <c r="G1208" s="5" t="s">
        <v>3033</v>
      </c>
      <c r="H1208" s="5" t="s">
        <v>3488</v>
      </c>
      <c r="I1208" s="5" t="s">
        <v>3551</v>
      </c>
      <c r="J1208" s="5" t="s">
        <v>3552</v>
      </c>
      <c r="K1208" s="7" t="str">
        <f ca="1">IFERROR(__xludf.DUMMYFUNCTION("GOOGLETRANSLATE(H1208,""EN"",""ES"")"),"APARATOS Y UTENSILIOS MANUALES PARA PREPARAR COMIDA O BEBIDA")</f>
        <v>APARATOS Y UTENSILIOS MANUALES PARA PREPARAR COMIDA O BEBIDA</v>
      </c>
      <c r="L1208" s="5" t="str">
        <f ca="1">IFERROR(__xludf.DUMMYFUNCTION("GOOGLETRANSLATE(J1208,""EN"",""ES"")"),"Extractores de zumo de frutas no eléctricos [domésticos]")</f>
        <v>Extractores de zumo de frutas no eléctricos [domésticos]</v>
      </c>
      <c r="M1208" s="8" t="s">
        <v>22</v>
      </c>
      <c r="N1208" s="8" t="s">
        <v>22</v>
      </c>
    </row>
    <row r="1209" spans="1:14" ht="11.25" customHeight="1">
      <c r="A1209" s="5" t="s">
        <v>3028</v>
      </c>
      <c r="B1209" s="5" t="s">
        <v>3486</v>
      </c>
      <c r="C1209" s="5" t="s">
        <v>3553</v>
      </c>
      <c r="D1209" s="5" t="s">
        <v>3031</v>
      </c>
      <c r="E1209" s="5" t="s">
        <v>23</v>
      </c>
      <c r="F1209" s="5" t="s">
        <v>3032</v>
      </c>
      <c r="G1209" s="5" t="s">
        <v>3033</v>
      </c>
      <c r="H1209" s="5" t="s">
        <v>3488</v>
      </c>
      <c r="I1209" s="5" t="s">
        <v>3554</v>
      </c>
      <c r="J1209" s="5" t="s">
        <v>3555</v>
      </c>
      <c r="K1209" s="7" t="str">
        <f ca="1">IFERROR(__xludf.DUMMYFUNCTION("GOOGLETRANSLATE(H1209,""EN"",""ES"")"),"APARATOS Y UTENSILIOS MANUALES PARA PREPARAR COMIDA O BEBIDA")</f>
        <v>APARATOS Y UTENSILIOS MANUALES PARA PREPARAR COMIDA O BEBIDA</v>
      </c>
      <c r="L1209" s="5" t="str">
        <f ca="1">IFERROR(__xludf.DUMMYFUNCTION("GOOGLETRANSLATE(J1209,""EN"",""ES"")"),"Batidores [utensilios de cocina]")</f>
        <v>Batidores [utensilios de cocina]</v>
      </c>
      <c r="M1209" s="8" t="s">
        <v>22</v>
      </c>
      <c r="N1209" s="8" t="s">
        <v>22</v>
      </c>
    </row>
    <row r="1210" spans="1:14" ht="11.25" customHeight="1">
      <c r="A1210" s="5" t="s">
        <v>3028</v>
      </c>
      <c r="B1210" s="5" t="s">
        <v>3486</v>
      </c>
      <c r="C1210" s="5" t="s">
        <v>3556</v>
      </c>
      <c r="D1210" s="5" t="s">
        <v>3031</v>
      </c>
      <c r="E1210" s="5" t="s">
        <v>23</v>
      </c>
      <c r="F1210" s="5" t="s">
        <v>3032</v>
      </c>
      <c r="G1210" s="5" t="s">
        <v>3033</v>
      </c>
      <c r="H1210" s="5" t="s">
        <v>3488</v>
      </c>
      <c r="I1210" s="5" t="s">
        <v>3557</v>
      </c>
      <c r="J1210" s="5" t="s">
        <v>3558</v>
      </c>
      <c r="K1210" s="7" t="str">
        <f ca="1">IFERROR(__xludf.DUMMYFUNCTION("GOOGLETRANSLATE(H1210,""EN"",""ES"")"),"APARATOS Y UTENSILIOS MANUALES PARA PREPARAR COMIDA O BEBIDA")</f>
        <v>APARATOS Y UTENSILIOS MANUALES PARA PREPARAR COMIDA O BEBIDA</v>
      </c>
      <c r="L1210" s="5" t="str">
        <f ca="1">IFERROR(__xludf.DUMMYFUNCTION("GOOGLETRANSLATE(J1210,""EN"",""ES"")"),"Dispositivos para picar, no eléctricos [domésticos]")</f>
        <v>Dispositivos para picar, no eléctricos [domésticos]</v>
      </c>
      <c r="M1210" s="8" t="s">
        <v>22</v>
      </c>
      <c r="N1210" s="8" t="s">
        <v>22</v>
      </c>
    </row>
    <row r="1211" spans="1:14" ht="11.25" customHeight="1">
      <c r="A1211" s="5" t="s">
        <v>3028</v>
      </c>
      <c r="B1211" s="5" t="s">
        <v>3486</v>
      </c>
      <c r="C1211" s="5" t="s">
        <v>3556</v>
      </c>
      <c r="D1211" s="5" t="s">
        <v>3031</v>
      </c>
      <c r="E1211" s="5" t="s">
        <v>23</v>
      </c>
      <c r="F1211" s="5" t="s">
        <v>3032</v>
      </c>
      <c r="G1211" s="5" t="s">
        <v>3033</v>
      </c>
      <c r="H1211" s="5" t="s">
        <v>3488</v>
      </c>
      <c r="I1211" s="5" t="s">
        <v>3559</v>
      </c>
      <c r="J1211" s="5" t="s">
        <v>3560</v>
      </c>
      <c r="K1211" s="7" t="str">
        <f ca="1">IFERROR(__xludf.DUMMYFUNCTION("GOOGLETRANSLATE(H1211,""EN"",""ES"")"),"APARATOS Y UTENSILIOS MANUALES PARA PREPARAR COMIDA O BEBIDA")</f>
        <v>APARATOS Y UTENSILIOS MANUALES PARA PREPARAR COMIDA O BEBIDA</v>
      </c>
      <c r="L1211" s="5" t="str">
        <f ca="1">IFERROR(__xludf.DUMMYFUNCTION("GOOGLETRANSLATE(J1211,""EN"",""ES"")"),"Dispositivos para picar, no eléctricos [domésticos]")</f>
        <v>Dispositivos para picar, no eléctricos [domésticos]</v>
      </c>
      <c r="M1211" s="8" t="s">
        <v>22</v>
      </c>
      <c r="N1211" s="8" t="s">
        <v>22</v>
      </c>
    </row>
    <row r="1212" spans="1:14" ht="11.25" customHeight="1">
      <c r="A1212" s="5" t="s">
        <v>3028</v>
      </c>
      <c r="B1212" s="5" t="s">
        <v>3486</v>
      </c>
      <c r="C1212" s="5" t="s">
        <v>3561</v>
      </c>
      <c r="D1212" s="5" t="s">
        <v>3031</v>
      </c>
      <c r="E1212" s="5" t="s">
        <v>23</v>
      </c>
      <c r="F1212" s="5" t="s">
        <v>3032</v>
      </c>
      <c r="G1212" s="5" t="s">
        <v>3033</v>
      </c>
      <c r="H1212" s="5" t="s">
        <v>3488</v>
      </c>
      <c r="I1212" s="5" t="s">
        <v>3562</v>
      </c>
      <c r="J1212" s="5" t="s">
        <v>3563</v>
      </c>
      <c r="K1212" s="7" t="str">
        <f ca="1">IFERROR(__xludf.DUMMYFUNCTION("GOOGLETRANSLATE(H1212,""EN"",""ES"")"),"APARATOS Y UTENSILIOS MANUALES PARA PREPARAR COMIDA O BEBIDA")</f>
        <v>APARATOS Y UTENSILIOS MANUALES PARA PREPARAR COMIDA O BEBIDA</v>
      </c>
      <c r="L1212" s="5" t="str">
        <f ca="1">IFERROR(__xludf.DUMMYFUNCTION("GOOGLETRANSLATE(J1212,""EN"",""ES"")"),"Batidoras manuales [domésticas]")</f>
        <v>Batidoras manuales [domésticas]</v>
      </c>
      <c r="M1212" s="8" t="s">
        <v>22</v>
      </c>
      <c r="N1212" s="8" t="s">
        <v>22</v>
      </c>
    </row>
    <row r="1213" spans="1:14" ht="11.25" customHeight="1">
      <c r="A1213" s="5" t="s">
        <v>3028</v>
      </c>
      <c r="B1213" s="5" t="s">
        <v>3486</v>
      </c>
      <c r="C1213" s="5" t="s">
        <v>3561</v>
      </c>
      <c r="D1213" s="5" t="s">
        <v>3031</v>
      </c>
      <c r="E1213" s="5" t="s">
        <v>23</v>
      </c>
      <c r="F1213" s="5" t="s">
        <v>3032</v>
      </c>
      <c r="G1213" s="5" t="s">
        <v>3033</v>
      </c>
      <c r="H1213" s="5" t="s">
        <v>3488</v>
      </c>
      <c r="I1213" s="5" t="s">
        <v>152</v>
      </c>
      <c r="J1213" s="5" t="s">
        <v>3564</v>
      </c>
      <c r="K1213" s="7" t="str">
        <f ca="1">IFERROR(__xludf.DUMMYFUNCTION("GOOGLETRANSLATE(H1213,""EN"",""ES"")"),"APARATOS Y UTENSILIOS MANUALES PARA PREPARAR COMIDA O BEBIDA")</f>
        <v>APARATOS Y UTENSILIOS MANUALES PARA PREPARAR COMIDA O BEBIDA</v>
      </c>
      <c r="L1213" s="5" t="str">
        <f ca="1">IFERROR(__xludf.DUMMYFUNCTION("GOOGLETRANSLATE(J1213,""EN"",""ES"")"),"N / A")</f>
        <v>N / A</v>
      </c>
      <c r="M1213" s="8" t="s">
        <v>22</v>
      </c>
      <c r="N1213" s="8" t="s">
        <v>22</v>
      </c>
    </row>
    <row r="1214" spans="1:14" ht="11.25" customHeight="1">
      <c r="A1214" s="5" t="s">
        <v>3028</v>
      </c>
      <c r="B1214" s="5" t="s">
        <v>3486</v>
      </c>
      <c r="C1214" s="5" t="s">
        <v>3561</v>
      </c>
      <c r="D1214" s="5" t="s">
        <v>3031</v>
      </c>
      <c r="E1214" s="5" t="s">
        <v>23</v>
      </c>
      <c r="F1214" s="5" t="s">
        <v>3032</v>
      </c>
      <c r="G1214" s="5" t="s">
        <v>3033</v>
      </c>
      <c r="H1214" s="5" t="s">
        <v>3488</v>
      </c>
      <c r="I1214" s="5" t="s">
        <v>152</v>
      </c>
      <c r="J1214" s="5" t="s">
        <v>3565</v>
      </c>
      <c r="K1214" s="7" t="str">
        <f ca="1">IFERROR(__xludf.DUMMYFUNCTION("GOOGLETRANSLATE(H1214,""EN"",""ES"")"),"APARATOS Y UTENSILIOS MANUALES PARA PREPARAR COMIDA O BEBIDA")</f>
        <v>APARATOS Y UTENSILIOS MANUALES PARA PREPARAR COMIDA O BEBIDA</v>
      </c>
      <c r="L1214" s="5" t="str">
        <f ca="1">IFERROR(__xludf.DUMMYFUNCTION("GOOGLETRANSLATE(J1214,""EN"",""ES"")"),"N / A")</f>
        <v>N / A</v>
      </c>
      <c r="M1214" s="8" t="s">
        <v>22</v>
      </c>
      <c r="N1214" s="8" t="s">
        <v>22</v>
      </c>
    </row>
    <row r="1215" spans="1:14" ht="11.25" customHeight="1">
      <c r="A1215" s="5" t="s">
        <v>3028</v>
      </c>
      <c r="B1215" s="5" t="s">
        <v>3486</v>
      </c>
      <c r="C1215" s="5" t="s">
        <v>3566</v>
      </c>
      <c r="D1215" s="5" t="s">
        <v>3031</v>
      </c>
      <c r="E1215" s="5" t="s">
        <v>23</v>
      </c>
      <c r="F1215" s="5" t="s">
        <v>3032</v>
      </c>
      <c r="G1215" s="5" t="s">
        <v>3033</v>
      </c>
      <c r="H1215" s="5" t="s">
        <v>3488</v>
      </c>
      <c r="I1215" s="5" t="s">
        <v>3567</v>
      </c>
      <c r="J1215" s="5" t="s">
        <v>3568</v>
      </c>
      <c r="K1215" s="7" t="str">
        <f ca="1">IFERROR(__xludf.DUMMYFUNCTION("GOOGLETRANSLATE(H1215,""EN"",""ES"")"),"APARATOS Y UTENSILIOS MANUALES PARA PREPARAR COMIDA O BEBIDA")</f>
        <v>APARATOS Y UTENSILIOS MANUALES PARA PREPARAR COMIDA O BEBIDA</v>
      </c>
      <c r="L1215" s="5" t="str">
        <f ca="1">IFERROR(__xludf.DUMMYFUNCTION("GOOGLETRANSLATE(J1215,""EN"",""ES"")"),"Martillos para ablandar la carne.")</f>
        <v>Martillos para ablandar la carne.</v>
      </c>
      <c r="M1215" s="8" t="s">
        <v>22</v>
      </c>
      <c r="N1215" s="8" t="s">
        <v>22</v>
      </c>
    </row>
    <row r="1216" spans="1:14" ht="11.25" customHeight="1">
      <c r="A1216" s="5" t="s">
        <v>3028</v>
      </c>
      <c r="B1216" s="5" t="s">
        <v>3486</v>
      </c>
      <c r="C1216" s="5" t="s">
        <v>3569</v>
      </c>
      <c r="D1216" s="5" t="s">
        <v>3031</v>
      </c>
      <c r="E1216" s="5" t="s">
        <v>23</v>
      </c>
      <c r="F1216" s="5" t="s">
        <v>3032</v>
      </c>
      <c r="G1216" s="5" t="s">
        <v>3033</v>
      </c>
      <c r="H1216" s="5" t="s">
        <v>3488</v>
      </c>
      <c r="I1216" s="5" t="s">
        <v>3570</v>
      </c>
      <c r="J1216" s="5" t="s">
        <v>3571</v>
      </c>
      <c r="K1216" s="7" t="str">
        <f ca="1">IFERROR(__xludf.DUMMYFUNCTION("GOOGLETRANSLATE(H1216,""EN"",""ES"")"),"APARATOS Y UTENSILIOS MANUALES PARA PREPARAR COMIDA O BEBIDA")</f>
        <v>APARATOS Y UTENSILIOS MANUALES PARA PREPARAR COMIDA O BEBIDA</v>
      </c>
      <c r="L1216" s="5" t="str">
        <f ca="1">IFERROR(__xludf.DUMMYFUNCTION("GOOGLETRANSLATE(J1216,""EN"",""ES"")"),"Molinillos de café, no eléctricos [domésticos]")</f>
        <v>Molinillos de café, no eléctricos [domésticos]</v>
      </c>
      <c r="M1216" s="8" t="s">
        <v>22</v>
      </c>
      <c r="N1216" s="8" t="s">
        <v>22</v>
      </c>
    </row>
    <row r="1217" spans="1:14" ht="11.25" customHeight="1">
      <c r="A1217" s="5" t="s">
        <v>3028</v>
      </c>
      <c r="B1217" s="5" t="s">
        <v>3486</v>
      </c>
      <c r="C1217" s="5" t="s">
        <v>3572</v>
      </c>
      <c r="D1217" s="5" t="s">
        <v>3031</v>
      </c>
      <c r="E1217" s="5" t="s">
        <v>23</v>
      </c>
      <c r="F1217" s="5" t="s">
        <v>3032</v>
      </c>
      <c r="G1217" s="5" t="s">
        <v>3033</v>
      </c>
      <c r="H1217" s="5" t="s">
        <v>3488</v>
      </c>
      <c r="I1217" s="5" t="s">
        <v>3573</v>
      </c>
      <c r="J1217" s="5" t="s">
        <v>3574</v>
      </c>
      <c r="K1217" s="7" t="str">
        <f ca="1">IFERROR(__xludf.DUMMYFUNCTION("GOOGLETRANSLATE(H1217,""EN"",""ES"")"),"APARATOS Y UTENSILIOS MANUALES PARA PREPARAR COMIDA O BEBIDA")</f>
        <v>APARATOS Y UTENSILIOS MANUALES PARA PREPARAR COMIDA O BEBIDA</v>
      </c>
      <c r="L1217" s="5" t="str">
        <f ca="1">IFERROR(__xludf.DUMMYFUNCTION("GOOGLETRANSLATE(J1217,""EN"",""ES"")"),"Trituradoras para uso en cocina, no eléctricas")</f>
        <v>Trituradoras para uso en cocina, no eléctricas</v>
      </c>
      <c r="M1217" s="8" t="s">
        <v>22</v>
      </c>
      <c r="N1217" s="8" t="s">
        <v>22</v>
      </c>
    </row>
    <row r="1218" spans="1:14" ht="11.25" customHeight="1">
      <c r="A1218" s="5" t="s">
        <v>3028</v>
      </c>
      <c r="B1218" s="5" t="s">
        <v>3486</v>
      </c>
      <c r="C1218" s="5" t="s">
        <v>3575</v>
      </c>
      <c r="D1218" s="5" t="s">
        <v>3031</v>
      </c>
      <c r="E1218" s="5" t="s">
        <v>23</v>
      </c>
      <c r="F1218" s="5" t="s">
        <v>3032</v>
      </c>
      <c r="G1218" s="5" t="s">
        <v>3033</v>
      </c>
      <c r="H1218" s="5" t="s">
        <v>3488</v>
      </c>
      <c r="I1218" s="5" t="s">
        <v>3576</v>
      </c>
      <c r="J1218" s="5" t="s">
        <v>3577</v>
      </c>
      <c r="K1218" s="7" t="str">
        <f ca="1">IFERROR(__xludf.DUMMYFUNCTION("GOOGLETRANSLATE(H1218,""EN"",""ES"")"),"APARATOS Y UTENSILIOS MANUALES PARA PREPARAR COMIDA O BEBIDA")</f>
        <v>APARATOS Y UTENSILIOS MANUALES PARA PREPARAR COMIDA O BEBIDA</v>
      </c>
      <c r="L1218" s="5" t="str">
        <f ca="1">IFERROR(__xludf.DUMMYFUNCTION("GOOGLETRANSLATE(J1218,""EN"",""ES"")"),"coladores")</f>
        <v>coladores</v>
      </c>
      <c r="M1218" s="8" t="s">
        <v>22</v>
      </c>
      <c r="N1218" s="8" t="s">
        <v>22</v>
      </c>
    </row>
    <row r="1219" spans="1:14" ht="11.25" customHeight="1">
      <c r="A1219" s="5" t="s">
        <v>3028</v>
      </c>
      <c r="B1219" s="5" t="s">
        <v>3486</v>
      </c>
      <c r="C1219" s="5" t="s">
        <v>3578</v>
      </c>
      <c r="D1219" s="5" t="s">
        <v>3031</v>
      </c>
      <c r="E1219" s="5" t="s">
        <v>23</v>
      </c>
      <c r="F1219" s="5" t="s">
        <v>3032</v>
      </c>
      <c r="G1219" s="5" t="s">
        <v>3033</v>
      </c>
      <c r="H1219" s="5" t="s">
        <v>3488</v>
      </c>
      <c r="I1219" s="5" t="s">
        <v>3579</v>
      </c>
      <c r="J1219" s="5" t="s">
        <v>3580</v>
      </c>
      <c r="K1219" s="7" t="str">
        <f ca="1">IFERROR(__xludf.DUMMYFUNCTION("GOOGLETRANSLATE(H1219,""EN"",""ES"")"),"APARATOS Y UTENSILIOS MANUALES PARA PREPARAR COMIDA O BEBIDA")</f>
        <v>APARATOS Y UTENSILIOS MANUALES PARA PREPARAR COMIDA O BEBIDA</v>
      </c>
      <c r="L1219" s="5" t="str">
        <f ca="1">IFERROR(__xludf.DUMMYFUNCTION("GOOGLETRANSLATE(J1219,""EN"",""ES"")"),"Tablas de cortar [hogar]")</f>
        <v>Tablas de cortar [hogar]</v>
      </c>
      <c r="M1219" s="8" t="s">
        <v>22</v>
      </c>
      <c r="N1219" s="8" t="s">
        <v>22</v>
      </c>
    </row>
    <row r="1220" spans="1:14" ht="11.25" customHeight="1">
      <c r="A1220" s="5" t="s">
        <v>3028</v>
      </c>
      <c r="B1220" s="5" t="s">
        <v>3486</v>
      </c>
      <c r="C1220" s="5" t="s">
        <v>3581</v>
      </c>
      <c r="D1220" s="5" t="s">
        <v>3031</v>
      </c>
      <c r="E1220" s="5" t="s">
        <v>23</v>
      </c>
      <c r="F1220" s="5" t="s">
        <v>3032</v>
      </c>
      <c r="G1220" s="5" t="s">
        <v>3033</v>
      </c>
      <c r="H1220" s="5" t="s">
        <v>3488</v>
      </c>
      <c r="I1220" s="5" t="s">
        <v>3582</v>
      </c>
      <c r="J1220" s="5" t="s">
        <v>3583</v>
      </c>
      <c r="K1220" s="7" t="str">
        <f ca="1">IFERROR(__xludf.DUMMYFUNCTION("GOOGLETRANSLATE(H1220,""EN"",""ES"")"),"APARATOS Y UTENSILIOS MANUALES PARA PREPARAR COMIDA O BEBIDA")</f>
        <v>APARATOS Y UTENSILIOS MANUALES PARA PREPARAR COMIDA O BEBIDA</v>
      </c>
      <c r="L1220" s="5" t="str">
        <f ca="1">IFERROR(__xludf.DUMMYFUNCTION("GOOGLETRANSLATE(J1220,""EN"",""ES"")"),"Tablas de pan")</f>
        <v>Tablas de pan</v>
      </c>
      <c r="M1220" s="8" t="s">
        <v>22</v>
      </c>
      <c r="N1220" s="8" t="s">
        <v>22</v>
      </c>
    </row>
    <row r="1221" spans="1:14" ht="11.25" customHeight="1">
      <c r="A1221" s="5" t="s">
        <v>3028</v>
      </c>
      <c r="B1221" s="5" t="s">
        <v>3486</v>
      </c>
      <c r="C1221" s="5" t="s">
        <v>3584</v>
      </c>
      <c r="D1221" s="5" t="s">
        <v>3031</v>
      </c>
      <c r="E1221" s="5" t="s">
        <v>23</v>
      </c>
      <c r="F1221" s="5" t="s">
        <v>3032</v>
      </c>
      <c r="G1221" s="5" t="s">
        <v>3033</v>
      </c>
      <c r="H1221" s="5" t="s">
        <v>3488</v>
      </c>
      <c r="I1221" s="5" t="s">
        <v>3585</v>
      </c>
      <c r="J1221" s="5" t="s">
        <v>3586</v>
      </c>
      <c r="K1221" s="7" t="str">
        <f ca="1">IFERROR(__xludf.DUMMYFUNCTION("GOOGLETRANSLATE(H1221,""EN"",""ES"")"),"APARATOS Y UTENSILIOS MANUALES PARA PREPARAR COMIDA O BEBIDA")</f>
        <v>APARATOS Y UTENSILIOS MANUALES PARA PREPARAR COMIDA O BEBIDA</v>
      </c>
      <c r="L1221" s="5" t="str">
        <f ca="1">IFERROR(__xludf.DUMMYFUNCTION("GOOGLETRANSLATE(J1221,""EN"",""ES"")"),"exprimidores de limon")</f>
        <v>exprimidores de limon</v>
      </c>
      <c r="M1221" s="8" t="s">
        <v>22</v>
      </c>
      <c r="N1221" s="8" t="s">
        <v>22</v>
      </c>
    </row>
    <row r="1222" spans="1:14" ht="11.25" customHeight="1">
      <c r="A1222" s="5" t="s">
        <v>3028</v>
      </c>
      <c r="B1222" s="5" t="s">
        <v>3486</v>
      </c>
      <c r="C1222" s="5" t="s">
        <v>3587</v>
      </c>
      <c r="D1222" s="5" t="s">
        <v>3031</v>
      </c>
      <c r="E1222" s="5" t="s">
        <v>23</v>
      </c>
      <c r="F1222" s="5" t="s">
        <v>3032</v>
      </c>
      <c r="G1222" s="5" t="s">
        <v>3033</v>
      </c>
      <c r="H1222" s="5" t="s">
        <v>3488</v>
      </c>
      <c r="I1222" s="5" t="s">
        <v>3588</v>
      </c>
      <c r="J1222" s="5" t="s">
        <v>3589</v>
      </c>
      <c r="K1222" s="7" t="str">
        <f ca="1">IFERROR(__xludf.DUMMYFUNCTION("GOOGLETRANSLATE(H1222,""EN"",""ES"")"),"APARATOS Y UTENSILIOS MANUALES PARA PREPARAR COMIDA O BEBIDA")</f>
        <v>APARATOS Y UTENSILIOS MANUALES PARA PREPARAR COMIDA O BEBIDA</v>
      </c>
      <c r="L1222" s="5" t="str">
        <f ca="1">IFERROR(__xludf.DUMMYFUNCTION("GOOGLETRANSLATE(J1222,""EN"",""ES"")"),"Exprimidores de frutas, accionados manualmente")</f>
        <v>Exprimidores de frutas, accionados manualmente</v>
      </c>
      <c r="M1222" s="8" t="s">
        <v>22</v>
      </c>
      <c r="N1222" s="8" t="s">
        <v>22</v>
      </c>
    </row>
    <row r="1223" spans="1:14" ht="11.25" customHeight="1">
      <c r="A1223" s="5" t="s">
        <v>3028</v>
      </c>
      <c r="B1223" s="5" t="s">
        <v>3486</v>
      </c>
      <c r="C1223" s="5" t="s">
        <v>3590</v>
      </c>
      <c r="D1223" s="5" t="s">
        <v>3031</v>
      </c>
      <c r="E1223" s="5" t="s">
        <v>23</v>
      </c>
      <c r="F1223" s="5" t="s">
        <v>3032</v>
      </c>
      <c r="G1223" s="5" t="s">
        <v>3033</v>
      </c>
      <c r="H1223" s="5" t="s">
        <v>3488</v>
      </c>
      <c r="I1223" s="5" t="s">
        <v>3591</v>
      </c>
      <c r="J1223" s="5" t="s">
        <v>3592</v>
      </c>
      <c r="K1223" s="7" t="str">
        <f ca="1">IFERROR(__xludf.DUMMYFUNCTION("GOOGLETRANSLATE(H1223,""EN"",""ES"")"),"APARATOS Y UTENSILIOS MANUALES PARA PREPARAR COMIDA O BEBIDA")</f>
        <v>APARATOS Y UTENSILIOS MANUALES PARA PREPARAR COMIDA O BEBIDA</v>
      </c>
      <c r="L1223" s="5" t="str">
        <f ca="1">IFERROR(__xludf.DUMMYFUNCTION("GOOGLETRANSLATE(J1223,""EN"",""ES"")"),"Extractores de zumo de frutas o verduras, accionados manualmente [domésticos]")</f>
        <v>Extractores de zumo de frutas o verduras, accionados manualmente [domésticos]</v>
      </c>
      <c r="M1223" s="8" t="s">
        <v>22</v>
      </c>
      <c r="N1223" s="8" t="s">
        <v>22</v>
      </c>
    </row>
    <row r="1224" spans="1:14" ht="11.25" customHeight="1">
      <c r="A1224" s="5" t="s">
        <v>3028</v>
      </c>
      <c r="B1224" s="5" t="s">
        <v>3486</v>
      </c>
      <c r="C1224" s="5" t="s">
        <v>3593</v>
      </c>
      <c r="D1224" s="5" t="s">
        <v>3031</v>
      </c>
      <c r="E1224" s="5" t="s">
        <v>23</v>
      </c>
      <c r="F1224" s="5" t="s">
        <v>3032</v>
      </c>
      <c r="G1224" s="5" t="s">
        <v>3033</v>
      </c>
      <c r="H1224" s="5" t="s">
        <v>3488</v>
      </c>
      <c r="I1224" s="5" t="s">
        <v>3594</v>
      </c>
      <c r="J1224" s="5" t="s">
        <v>3595</v>
      </c>
      <c r="K1224" s="7" t="str">
        <f ca="1">IFERROR(__xludf.DUMMYFUNCTION("GOOGLETRANSLATE(H1224,""EN"",""ES"")"),"APARATOS Y UTENSILIOS MANUALES PARA PREPARAR COMIDA O BEBIDA")</f>
        <v>APARATOS Y UTENSILIOS MANUALES PARA PREPARAR COMIDA O BEBIDA</v>
      </c>
      <c r="L1224" s="5" t="str">
        <f ca="1">IFERROR(__xludf.DUMMYFUNCTION("GOOGLETRANSLATE(J1224,""EN"",""ES"")"),"Ralladores [hogar]")</f>
        <v>Ralladores [hogar]</v>
      </c>
      <c r="M1224" s="8" t="s">
        <v>22</v>
      </c>
      <c r="N1224" s="8" t="s">
        <v>22</v>
      </c>
    </row>
    <row r="1225" spans="1:14" ht="11.25" customHeight="1">
      <c r="A1225" s="5" t="s">
        <v>3028</v>
      </c>
      <c r="B1225" s="5" t="s">
        <v>3486</v>
      </c>
      <c r="C1225" s="5" t="s">
        <v>3596</v>
      </c>
      <c r="D1225" s="5" t="s">
        <v>3031</v>
      </c>
      <c r="E1225" s="5" t="s">
        <v>23</v>
      </c>
      <c r="F1225" s="5" t="s">
        <v>3032</v>
      </c>
      <c r="G1225" s="5" t="s">
        <v>3033</v>
      </c>
      <c r="H1225" s="5" t="s">
        <v>3488</v>
      </c>
      <c r="I1225" s="5" t="s">
        <v>3597</v>
      </c>
      <c r="J1225" s="5" t="s">
        <v>3598</v>
      </c>
      <c r="K1225" s="7" t="str">
        <f ca="1">IFERROR(__xludf.DUMMYFUNCTION("GOOGLETRANSLATE(H1225,""EN"",""ES"")"),"APARATOS Y UTENSILIOS MANUALES PARA PREPARAR COMIDA O BEBIDA")</f>
        <v>APARATOS Y UTENSILIOS MANUALES PARA PREPARAR COMIDA O BEBIDA</v>
      </c>
      <c r="L1225" s="5" t="str">
        <f ca="1">IFERROR(__xludf.DUMMYFUNCTION("GOOGLETRANSLATE(J1225,""EN"",""ES"")"),"Recipientes para hacer helados, no eléctricos")</f>
        <v>Recipientes para hacer helados, no eléctricos</v>
      </c>
      <c r="M1225" s="8" t="s">
        <v>22</v>
      </c>
      <c r="N1225" s="8" t="s">
        <v>22</v>
      </c>
    </row>
    <row r="1226" spans="1:14" ht="11.25" customHeight="1">
      <c r="A1226" s="5" t="s">
        <v>3028</v>
      </c>
      <c r="B1226" s="5" t="s">
        <v>3486</v>
      </c>
      <c r="C1226" s="5" t="s">
        <v>3599</v>
      </c>
      <c r="D1226" s="5" t="s">
        <v>3031</v>
      </c>
      <c r="E1226" s="5" t="s">
        <v>23</v>
      </c>
      <c r="F1226" s="5" t="s">
        <v>3032</v>
      </c>
      <c r="G1226" s="5" t="s">
        <v>3033</v>
      </c>
      <c r="H1226" s="5" t="s">
        <v>3488</v>
      </c>
      <c r="I1226" s="5" t="s">
        <v>3600</v>
      </c>
      <c r="J1226" s="5" t="s">
        <v>3601</v>
      </c>
      <c r="K1226" s="7" t="str">
        <f ca="1">IFERROR(__xludf.DUMMYFUNCTION("GOOGLETRANSLATE(H1226,""EN"",""ES"")"),"APARATOS Y UTENSILIOS MANUALES PARA PREPARAR COMIDA O BEBIDA")</f>
        <v>APARATOS Y UTENSILIOS MANUALES PARA PREPARAR COMIDA O BEBIDA</v>
      </c>
      <c r="L1226" s="5" t="str">
        <f ca="1">IFERROR(__xludf.DUMMYFUNCTION("GOOGLETRANSLATE(J1226,""EN"",""ES"")"),"Tablas de cortar [hogar]")</f>
        <v>Tablas de cortar [hogar]</v>
      </c>
      <c r="M1226" s="8" t="s">
        <v>22</v>
      </c>
      <c r="N1226" s="8" t="s">
        <v>22</v>
      </c>
    </row>
    <row r="1227" spans="1:14" ht="11.25" customHeight="1">
      <c r="A1227" s="5" t="s">
        <v>3028</v>
      </c>
      <c r="B1227" s="5" t="s">
        <v>3486</v>
      </c>
      <c r="C1227" s="5" t="s">
        <v>3602</v>
      </c>
      <c r="D1227" s="5" t="s">
        <v>3031</v>
      </c>
      <c r="E1227" s="5" t="s">
        <v>23</v>
      </c>
      <c r="F1227" s="5" t="s">
        <v>3032</v>
      </c>
      <c r="G1227" s="5" t="s">
        <v>3033</v>
      </c>
      <c r="H1227" s="5" t="s">
        <v>3488</v>
      </c>
      <c r="I1227" s="5" t="s">
        <v>3603</v>
      </c>
      <c r="J1227" s="5" t="s">
        <v>3604</v>
      </c>
      <c r="K1227" s="7" t="str">
        <f ca="1">IFERROR(__xludf.DUMMYFUNCTION("GOOGLETRANSLATE(H1227,""EN"",""ES"")"),"APARATOS Y UTENSILIOS MANUALES PARA PREPARAR COMIDA O BEBIDA")</f>
        <v>APARATOS Y UTENSILIOS MANUALES PARA PREPARAR COMIDA O BEBIDA</v>
      </c>
      <c r="L1227" s="5" t="str">
        <f ca="1">IFERROR(__xludf.DUMMYFUNCTION("GOOGLETRANSLATE(J1227,""EN"",""ES"")"),"Coladores [hogar]")</f>
        <v>Coladores [hogar]</v>
      </c>
      <c r="M1227" s="8" t="s">
        <v>22</v>
      </c>
      <c r="N1227" s="8" t="s">
        <v>22</v>
      </c>
    </row>
    <row r="1228" spans="1:14" ht="11.25" customHeight="1">
      <c r="A1228" s="5" t="s">
        <v>3028</v>
      </c>
      <c r="B1228" s="5" t="s">
        <v>3486</v>
      </c>
      <c r="C1228" s="5" t="s">
        <v>3605</v>
      </c>
      <c r="D1228" s="5" t="s">
        <v>3031</v>
      </c>
      <c r="E1228" s="5" t="s">
        <v>23</v>
      </c>
      <c r="F1228" s="5" t="s">
        <v>3032</v>
      </c>
      <c r="G1228" s="5" t="s">
        <v>3033</v>
      </c>
      <c r="H1228" s="5" t="s">
        <v>3488</v>
      </c>
      <c r="I1228" s="5" t="s">
        <v>3606</v>
      </c>
      <c r="J1228" s="5" t="s">
        <v>3607</v>
      </c>
      <c r="K1228" s="7" t="str">
        <f ca="1">IFERROR(__xludf.DUMMYFUNCTION("GOOGLETRANSLATE(H1228,""EN"",""ES"")"),"APARATOS Y UTENSILIOS MANUALES PARA PREPARAR COMIDA O BEBIDA")</f>
        <v>APARATOS Y UTENSILIOS MANUALES PARA PREPARAR COMIDA O BEBIDA</v>
      </c>
      <c r="L1228" s="5" t="str">
        <f ca="1">IFERROR(__xludf.DUMMYFUNCTION("GOOGLETRANSLATE(J1228,""EN"",""ES"")"),"Bloques para picar carne")</f>
        <v>Bloques para picar carne</v>
      </c>
      <c r="M1228" s="8" t="s">
        <v>22</v>
      </c>
      <c r="N1228" s="8" t="s">
        <v>22</v>
      </c>
    </row>
    <row r="1229" spans="1:14" ht="11.25" customHeight="1">
      <c r="A1229" s="5" t="s">
        <v>3028</v>
      </c>
      <c r="B1229" s="5" t="s">
        <v>3486</v>
      </c>
      <c r="C1229" s="5" t="s">
        <v>3608</v>
      </c>
      <c r="D1229" s="5" t="s">
        <v>3031</v>
      </c>
      <c r="E1229" s="5" t="s">
        <v>23</v>
      </c>
      <c r="F1229" s="5" t="s">
        <v>3032</v>
      </c>
      <c r="G1229" s="5" t="s">
        <v>3033</v>
      </c>
      <c r="H1229" s="5" t="s">
        <v>3488</v>
      </c>
      <c r="I1229" s="5" t="s">
        <v>3609</v>
      </c>
      <c r="J1229" s="5" t="s">
        <v>3610</v>
      </c>
      <c r="K1229" s="7" t="str">
        <f ca="1">IFERROR(__xludf.DUMMYFUNCTION("GOOGLETRANSLATE(H1229,""EN"",""ES"")"),"APARATOS Y UTENSILIOS MANUALES PARA PREPARAR COMIDA O BEBIDA")</f>
        <v>APARATOS Y UTENSILIOS MANUALES PARA PREPARAR COMIDA O BEBIDA</v>
      </c>
      <c r="L1229" s="5" t="str">
        <f ca="1">IFERROR(__xludf.DUMMYFUNCTION("GOOGLETRANSLATE(J1229,""EN"",""ES"")"),"Tamices [hogar]")</f>
        <v>Tamices [hogar]</v>
      </c>
      <c r="M1229" s="8" t="s">
        <v>22</v>
      </c>
      <c r="N1229" s="8" t="s">
        <v>22</v>
      </c>
    </row>
    <row r="1230" spans="1:14" ht="11.25" customHeight="1">
      <c r="A1230" s="5" t="s">
        <v>3028</v>
      </c>
      <c r="B1230" s="5" t="s">
        <v>3486</v>
      </c>
      <c r="C1230" s="5" t="s">
        <v>3611</v>
      </c>
      <c r="D1230" s="5" t="s">
        <v>3031</v>
      </c>
      <c r="E1230" s="5" t="s">
        <v>23</v>
      </c>
      <c r="F1230" s="5" t="s">
        <v>3032</v>
      </c>
      <c r="G1230" s="5" t="s">
        <v>3033</v>
      </c>
      <c r="H1230" s="5" t="s">
        <v>3488</v>
      </c>
      <c r="I1230" s="5" t="s">
        <v>3612</v>
      </c>
      <c r="J1230" s="5" t="s">
        <v>3613</v>
      </c>
      <c r="K1230" s="7" t="str">
        <f ca="1">IFERROR(__xludf.DUMMYFUNCTION("GOOGLETRANSLATE(H1230,""EN"",""ES"")"),"APARATOS Y UTENSILIOS MANUALES PARA PREPARAR COMIDA O BEBIDA")</f>
        <v>APARATOS Y UTENSILIOS MANUALES PARA PREPARAR COMIDA O BEBIDA</v>
      </c>
      <c r="L1230" s="5" t="str">
        <f ca="1">IFERROR(__xludf.DUMMYFUNCTION("GOOGLETRANSLATE(J1230,""EN"",""ES"")"),"cortadores de galletas")</f>
        <v>cortadores de galletas</v>
      </c>
      <c r="M1230" s="8" t="s">
        <v>22</v>
      </c>
      <c r="N1230" s="8" t="s">
        <v>22</v>
      </c>
    </row>
    <row r="1231" spans="1:14" ht="11.25" customHeight="1">
      <c r="A1231" s="5" t="s">
        <v>3028</v>
      </c>
      <c r="B1231" s="5" t="s">
        <v>3486</v>
      </c>
      <c r="C1231" s="5" t="s">
        <v>3614</v>
      </c>
      <c r="D1231" s="5" t="s">
        <v>3031</v>
      </c>
      <c r="E1231" s="5" t="s">
        <v>23</v>
      </c>
      <c r="F1231" s="5" t="s">
        <v>3032</v>
      </c>
      <c r="G1231" s="5" t="s">
        <v>3033</v>
      </c>
      <c r="H1231" s="5" t="s">
        <v>3488</v>
      </c>
      <c r="I1231" s="5" t="s">
        <v>3615</v>
      </c>
      <c r="J1231" s="5" t="s">
        <v>3616</v>
      </c>
      <c r="K1231" s="7" t="str">
        <f ca="1">IFERROR(__xludf.DUMMYFUNCTION("GOOGLETRANSLATE(H1231,""EN"",""ES"")"),"APARATOS Y UTENSILIOS MANUALES PARA PREPARAR COMIDA O BEBIDA")</f>
        <v>APARATOS Y UTENSILIOS MANUALES PARA PREPARAR COMIDA O BEBIDA</v>
      </c>
      <c r="L1231" s="5" t="str">
        <f ca="1">IFERROR(__xludf.DUMMYFUNCTION("GOOGLETRANSLATE(J1231,""EN"",""ES"")"),"Cestas para lavar verduras.")</f>
        <v>Cestas para lavar verduras.</v>
      </c>
      <c r="M1231" s="8" t="s">
        <v>22</v>
      </c>
      <c r="N1231" s="8" t="s">
        <v>22</v>
      </c>
    </row>
    <row r="1232" spans="1:14" ht="11.25" customHeight="1">
      <c r="A1232" s="5" t="s">
        <v>3028</v>
      </c>
      <c r="B1232" s="5" t="s">
        <v>3486</v>
      </c>
      <c r="C1232" s="5" t="s">
        <v>3617</v>
      </c>
      <c r="D1232" s="5" t="s">
        <v>3031</v>
      </c>
      <c r="E1232" s="5" t="s">
        <v>23</v>
      </c>
      <c r="F1232" s="5" t="s">
        <v>3032</v>
      </c>
      <c r="G1232" s="5" t="s">
        <v>3033</v>
      </c>
      <c r="H1232" s="5" t="s">
        <v>3488</v>
      </c>
      <c r="I1232" s="5" t="s">
        <v>3618</v>
      </c>
      <c r="J1232" s="5" t="s">
        <v>3619</v>
      </c>
      <c r="K1232" s="7" t="str">
        <f ca="1">IFERROR(__xludf.DUMMYFUNCTION("GOOGLETRANSLATE(H1232,""EN"",""ES"")"),"APARATOS Y UTENSILIOS MANUALES PARA PREPARAR COMIDA O BEBIDA")</f>
        <v>APARATOS Y UTENSILIOS MANUALES PARA PREPARAR COMIDA O BEBIDA</v>
      </c>
      <c r="L1232" s="5" t="str">
        <f ca="1">IFERROR(__xludf.DUMMYFUNCTION("GOOGLETRANSLATE(J1232,""EN"",""ES"")"),"Jeringas para glaseado [confitería]")</f>
        <v>Jeringas para glaseado [confitería]</v>
      </c>
      <c r="M1232" s="8" t="s">
        <v>22</v>
      </c>
      <c r="N1232" s="8" t="s">
        <v>22</v>
      </c>
    </row>
    <row r="1233" spans="1:14" ht="11.25" customHeight="1">
      <c r="A1233" s="5" t="s">
        <v>3028</v>
      </c>
      <c r="B1233" s="5" t="s">
        <v>3486</v>
      </c>
      <c r="C1233" s="5" t="s">
        <v>3620</v>
      </c>
      <c r="D1233" s="5" t="s">
        <v>3031</v>
      </c>
      <c r="E1233" s="5" t="s">
        <v>23</v>
      </c>
      <c r="F1233" s="5" t="s">
        <v>3032</v>
      </c>
      <c r="G1233" s="5" t="s">
        <v>3033</v>
      </c>
      <c r="H1233" s="5" t="s">
        <v>3488</v>
      </c>
      <c r="I1233" s="5" t="s">
        <v>3621</v>
      </c>
      <c r="J1233" s="5" t="s">
        <v>3622</v>
      </c>
      <c r="K1233" s="7" t="str">
        <f ca="1">IFERROR(__xludf.DUMMYFUNCTION("GOOGLETRANSLATE(H1233,""EN"",""ES"")"),"APARATOS Y UTENSILIOS MANUALES PARA PREPARAR COMIDA O BEBIDA")</f>
        <v>APARATOS Y UTENSILIOS MANUALES PARA PREPARAR COMIDA O BEBIDA</v>
      </c>
      <c r="L1233" s="5" t="str">
        <f ca="1">IFERROR(__xludf.DUMMYFUNCTION("GOOGLETRANSLATE(J1233,""EN"",""ES"")"),"Trituradoras de repollo manuales [domésticas]")</f>
        <v>Trituradoras de repollo manuales [domésticas]</v>
      </c>
      <c r="M1233" s="8" t="s">
        <v>22</v>
      </c>
      <c r="N1233" s="8" t="s">
        <v>22</v>
      </c>
    </row>
    <row r="1234" spans="1:14" ht="11.25" customHeight="1">
      <c r="A1234" s="5" t="s">
        <v>3028</v>
      </c>
      <c r="B1234" s="5" t="s">
        <v>3486</v>
      </c>
      <c r="C1234" s="5" t="s">
        <v>3623</v>
      </c>
      <c r="D1234" s="5" t="s">
        <v>3031</v>
      </c>
      <c r="E1234" s="5" t="s">
        <v>23</v>
      </c>
      <c r="F1234" s="5" t="s">
        <v>3032</v>
      </c>
      <c r="G1234" s="5" t="s">
        <v>3033</v>
      </c>
      <c r="H1234" s="5" t="s">
        <v>3488</v>
      </c>
      <c r="I1234" s="5" t="s">
        <v>3624</v>
      </c>
      <c r="J1234" s="5" t="s">
        <v>3625</v>
      </c>
      <c r="K1234" s="7" t="str">
        <f ca="1">IFERROR(__xludf.DUMMYFUNCTION("GOOGLETRANSLATE(H1234,""EN"",""ES"")"),"APARATOS Y UTENSILIOS MANUALES PARA PREPARAR COMIDA O BEBIDA")</f>
        <v>APARATOS Y UTENSILIOS MANUALES PARA PREPARAR COMIDA O BEBIDA</v>
      </c>
      <c r="L1234" s="5" t="str">
        <f ca="1">IFERROR(__xludf.DUMMYFUNCTION("GOOGLETRANSLATE(J1234,""EN"",""ES"")"),"rodillos")</f>
        <v>rodillos</v>
      </c>
      <c r="M1234" s="8" t="s">
        <v>22</v>
      </c>
      <c r="N1234" s="8" t="s">
        <v>22</v>
      </c>
    </row>
    <row r="1235" spans="1:14" ht="11.25" customHeight="1">
      <c r="A1235" s="5" t="s">
        <v>3028</v>
      </c>
      <c r="B1235" s="5" t="s">
        <v>3486</v>
      </c>
      <c r="C1235" s="5" t="s">
        <v>3626</v>
      </c>
      <c r="D1235" s="5" t="s">
        <v>3031</v>
      </c>
      <c r="E1235" s="5" t="s">
        <v>23</v>
      </c>
      <c r="F1235" s="5" t="s">
        <v>3032</v>
      </c>
      <c r="G1235" s="5" t="s">
        <v>3033</v>
      </c>
      <c r="H1235" s="5" t="s">
        <v>3488</v>
      </c>
      <c r="I1235" s="5" t="s">
        <v>3627</v>
      </c>
      <c r="J1235" s="5" t="s">
        <v>3628</v>
      </c>
      <c r="K1235" s="7" t="str">
        <f ca="1">IFERROR(__xludf.DUMMYFUNCTION("GOOGLETRANSLATE(H1235,""EN"",""ES"")"),"APARATOS Y UTENSILIOS MANUALES PARA PREPARAR COMIDA O BEBIDA")</f>
        <v>APARATOS Y UTENSILIOS MANUALES PARA PREPARAR COMIDA O BEBIDA</v>
      </c>
      <c r="L1235" s="5" t="str">
        <f ca="1">IFERROR(__xludf.DUMMYFUNCTION("GOOGLETRANSLATE(J1235,""EN"",""ES"")"),"raspadores de masa")</f>
        <v>raspadores de masa</v>
      </c>
      <c r="M1235" s="8" t="s">
        <v>22</v>
      </c>
      <c r="N1235" s="8" t="s">
        <v>22</v>
      </c>
    </row>
    <row r="1236" spans="1:14" ht="11.25" customHeight="1">
      <c r="A1236" s="5" t="s">
        <v>3028</v>
      </c>
      <c r="B1236" s="5" t="s">
        <v>3486</v>
      </c>
      <c r="C1236" s="5" t="s">
        <v>3629</v>
      </c>
      <c r="D1236" s="5" t="s">
        <v>3031</v>
      </c>
      <c r="E1236" s="5" t="s">
        <v>23</v>
      </c>
      <c r="F1236" s="5" t="s">
        <v>3032</v>
      </c>
      <c r="G1236" s="5" t="s">
        <v>3033</v>
      </c>
      <c r="H1236" s="5" t="s">
        <v>3488</v>
      </c>
      <c r="I1236" s="5" t="s">
        <v>3630</v>
      </c>
      <c r="J1236" s="5" t="s">
        <v>3631</v>
      </c>
      <c r="K1236" s="7" t="str">
        <f ca="1">IFERROR(__xludf.DUMMYFUNCTION("GOOGLETRANSLATE(H1236,""EN"",""ES"")"),"APARATOS Y UTENSILIOS MANUALES PARA PREPARAR COMIDA O BEBIDA")</f>
        <v>APARATOS Y UTENSILIOS MANUALES PARA PREPARAR COMIDA O BEBIDA</v>
      </c>
      <c r="L1236" s="5" t="str">
        <f ca="1">IFERROR(__xludf.DUMMYFUNCTION("GOOGLETRANSLATE(J1236,""EN"",""ES"")"),"Cortadoras de queso, no eléctricas")</f>
        <v>Cortadoras de queso, no eléctricas</v>
      </c>
      <c r="M1236" s="8" t="s">
        <v>22</v>
      </c>
      <c r="N1236" s="8" t="s">
        <v>22</v>
      </c>
    </row>
    <row r="1237" spans="1:14" ht="11.25" customHeight="1">
      <c r="A1237" s="5" t="s">
        <v>3028</v>
      </c>
      <c r="B1237" s="5" t="s">
        <v>3486</v>
      </c>
      <c r="C1237" s="5" t="s">
        <v>3632</v>
      </c>
      <c r="D1237" s="5" t="s">
        <v>3031</v>
      </c>
      <c r="E1237" s="5" t="s">
        <v>23</v>
      </c>
      <c r="F1237" s="5" t="s">
        <v>3032</v>
      </c>
      <c r="G1237" s="5" t="s">
        <v>3033</v>
      </c>
      <c r="H1237" s="5" t="s">
        <v>3488</v>
      </c>
      <c r="I1237" s="5" t="s">
        <v>3633</v>
      </c>
      <c r="J1237" s="5" t="s">
        <v>3634</v>
      </c>
      <c r="K1237" s="7" t="str">
        <f ca="1">IFERROR(__xludf.DUMMYFUNCTION("GOOGLETRANSLATE(H1237,""EN"",""ES"")"),"APARATOS Y UTENSILIOS MANUALES PARA PREPARAR COMIDA O BEBIDA")</f>
        <v>APARATOS Y UTENSILIOS MANUALES PARA PREPARAR COMIDA O BEBIDA</v>
      </c>
      <c r="L1237" s="5" t="str">
        <f ca="1">IFERROR(__xludf.DUMMYFUNCTION("GOOGLETRANSLATE(J1237,""EN"",""ES"")"),"Morteros [hogar]")</f>
        <v>Morteros [hogar]</v>
      </c>
      <c r="M1237" s="8" t="s">
        <v>22</v>
      </c>
      <c r="N1237" s="8" t="s">
        <v>22</v>
      </c>
    </row>
    <row r="1238" spans="1:14" ht="11.25" customHeight="1">
      <c r="A1238" s="5" t="s">
        <v>3028</v>
      </c>
      <c r="B1238" s="5" t="s">
        <v>3486</v>
      </c>
      <c r="C1238" s="5" t="s">
        <v>3635</v>
      </c>
      <c r="D1238" s="5" t="s">
        <v>3031</v>
      </c>
      <c r="E1238" s="5" t="s">
        <v>23</v>
      </c>
      <c r="F1238" s="5" t="s">
        <v>3032</v>
      </c>
      <c r="G1238" s="5" t="s">
        <v>3033</v>
      </c>
      <c r="H1238" s="5" t="s">
        <v>3488</v>
      </c>
      <c r="I1238" s="5" t="s">
        <v>3636</v>
      </c>
      <c r="J1238" s="5" t="s">
        <v>3637</v>
      </c>
      <c r="K1238" s="7" t="str">
        <f ca="1">IFERROR(__xludf.DUMMYFUNCTION("GOOGLETRANSLATE(H1238,""EN"",""ES"")"),"APARATOS Y UTENSILIOS MANUALES PARA PREPARAR COMIDA O BEBIDA")</f>
        <v>APARATOS Y UTENSILIOS MANUALES PARA PREPARAR COMIDA O BEBIDA</v>
      </c>
      <c r="L1238" s="5" t="str">
        <f ca="1">IFERROR(__xludf.DUMMYFUNCTION("GOOGLETRANSLATE(J1238,""EN"",""ES"")"),"Coladores de té")</f>
        <v>Coladores de té</v>
      </c>
      <c r="M1238" s="8" t="s">
        <v>22</v>
      </c>
      <c r="N1238" s="8" t="s">
        <v>22</v>
      </c>
    </row>
    <row r="1239" spans="1:14" ht="11.25" customHeight="1">
      <c r="A1239" s="5" t="s">
        <v>3028</v>
      </c>
      <c r="B1239" s="5" t="s">
        <v>3486</v>
      </c>
      <c r="C1239" s="5" t="s">
        <v>3638</v>
      </c>
      <c r="D1239" s="5" t="s">
        <v>3031</v>
      </c>
      <c r="E1239" s="5" t="s">
        <v>23</v>
      </c>
      <c r="F1239" s="5" t="s">
        <v>3032</v>
      </c>
      <c r="G1239" s="5" t="s">
        <v>3033</v>
      </c>
      <c r="H1239" s="5" t="s">
        <v>3488</v>
      </c>
      <c r="I1239" s="5" t="s">
        <v>3639</v>
      </c>
      <c r="J1239" s="5" t="s">
        <v>3640</v>
      </c>
      <c r="K1239" s="7" t="str">
        <f ca="1">IFERROR(__xludf.DUMMYFUNCTION("GOOGLETRANSLATE(H1239,""EN"",""ES"")"),"APARATOS Y UTENSILIOS MANUALES PARA PREPARAR COMIDA O BEBIDA")</f>
        <v>APARATOS Y UTENSILIOS MANUALES PARA PREPARAR COMIDA O BEBIDA</v>
      </c>
      <c r="L1239" s="5" t="str">
        <f ca="1">IFERROR(__xludf.DUMMYFUNCTION("GOOGLETRANSLATE(J1239,""EN"",""ES"")"),"Molinos de cereales, no eléctricos")</f>
        <v>Molinos de cereales, no eléctricos</v>
      </c>
      <c r="M1239" s="8" t="s">
        <v>22</v>
      </c>
      <c r="N1239" s="8" t="s">
        <v>22</v>
      </c>
    </row>
    <row r="1240" spans="1:14" ht="11.25" customHeight="1">
      <c r="A1240" s="5" t="s">
        <v>3028</v>
      </c>
      <c r="B1240" s="5" t="s">
        <v>3486</v>
      </c>
      <c r="C1240" s="5" t="s">
        <v>3641</v>
      </c>
      <c r="D1240" s="5" t="s">
        <v>3031</v>
      </c>
      <c r="E1240" s="5" t="s">
        <v>23</v>
      </c>
      <c r="F1240" s="5" t="s">
        <v>3032</v>
      </c>
      <c r="G1240" s="5" t="s">
        <v>3033</v>
      </c>
      <c r="H1240" s="5" t="s">
        <v>3488</v>
      </c>
      <c r="I1240" s="5" t="s">
        <v>3642</v>
      </c>
      <c r="J1240" s="5" t="s">
        <v>3643</v>
      </c>
      <c r="K1240" s="7" t="str">
        <f ca="1">IFERROR(__xludf.DUMMYFUNCTION("GOOGLETRANSLATE(H1240,""EN"",""ES"")"),"APARATOS Y UTENSILIOS MANUALES PARA PREPARAR COMIDA O BEBIDA")</f>
        <v>APARATOS Y UTENSILIOS MANUALES PARA PREPARAR COMIDA O BEBIDA</v>
      </c>
      <c r="L1240" s="5" t="str">
        <f ca="1">IFERROR(__xludf.DUMMYFUNCTION("GOOGLETRANSLATE(J1240,""EN"",""ES"")"),"prensas de ajo")</f>
        <v>prensas de ajo</v>
      </c>
      <c r="M1240" s="8" t="s">
        <v>22</v>
      </c>
      <c r="N1240" s="8" t="s">
        <v>22</v>
      </c>
    </row>
    <row r="1241" spans="1:14" ht="11.25" customHeight="1">
      <c r="A1241" s="5" t="s">
        <v>3028</v>
      </c>
      <c r="B1241" s="5" t="s">
        <v>3486</v>
      </c>
      <c r="C1241" s="5" t="s">
        <v>3644</v>
      </c>
      <c r="D1241" s="5" t="s">
        <v>3031</v>
      </c>
      <c r="E1241" s="5" t="s">
        <v>23</v>
      </c>
      <c r="F1241" s="5" t="s">
        <v>3032</v>
      </c>
      <c r="G1241" s="5" t="s">
        <v>3033</v>
      </c>
      <c r="H1241" s="5" t="s">
        <v>3488</v>
      </c>
      <c r="I1241" s="5" t="s">
        <v>3645</v>
      </c>
      <c r="J1241" s="5" t="s">
        <v>3646</v>
      </c>
      <c r="K1241" s="7" t="str">
        <f ca="1">IFERROR(__xludf.DUMMYFUNCTION("GOOGLETRANSLATE(H1241,""EN"",""ES"")"),"APARATOS Y UTENSILIOS MANUALES PARA PREPARAR COMIDA O BEBIDA")</f>
        <v>APARATOS Y UTENSILIOS MANUALES PARA PREPARAR COMIDA O BEBIDA</v>
      </c>
      <c r="L1241" s="5" t="str">
        <f ca="1">IFERROR(__xludf.DUMMYFUNCTION("GOOGLETRANSLATE(J1241,""EN"",""ES"")"),"Bolsas decorativas para pasteleros")</f>
        <v>Bolsas decorativas para pasteleros</v>
      </c>
      <c r="M1241" s="8" t="s">
        <v>22</v>
      </c>
      <c r="N1241" s="8" t="s">
        <v>22</v>
      </c>
    </row>
    <row r="1242" spans="1:14" ht="11.25" customHeight="1">
      <c r="A1242" s="5" t="s">
        <v>3028</v>
      </c>
      <c r="B1242" s="5" t="s">
        <v>3486</v>
      </c>
      <c r="C1242" s="5" t="s">
        <v>3644</v>
      </c>
      <c r="D1242" s="5" t="s">
        <v>3031</v>
      </c>
      <c r="E1242" s="5" t="s">
        <v>23</v>
      </c>
      <c r="F1242" s="5" t="s">
        <v>3032</v>
      </c>
      <c r="G1242" s="5" t="s">
        <v>3033</v>
      </c>
      <c r="H1242" s="5" t="s">
        <v>3488</v>
      </c>
      <c r="I1242" s="5" t="s">
        <v>3647</v>
      </c>
      <c r="J1242" s="5" t="s">
        <v>152</v>
      </c>
      <c r="K1242" s="7" t="str">
        <f ca="1">IFERROR(__xludf.DUMMYFUNCTION("GOOGLETRANSLATE(H1242,""EN"",""ES"")"),"APARATOS Y UTENSILIOS MANUALES PARA PREPARAR COMIDA O BEBIDA")</f>
        <v>APARATOS Y UTENSILIOS MANUALES PARA PREPARAR COMIDA O BEBIDA</v>
      </c>
      <c r="L1242" s="5" t="str">
        <f ca="1">IFERROR(__xludf.DUMMYFUNCTION("GOOGLETRANSLATE(J1242,""EN"",""ES"")"),"Mangas pasteleras")</f>
        <v>Mangas pasteleras</v>
      </c>
      <c r="M1242" s="8" t="s">
        <v>22</v>
      </c>
      <c r="N1242" s="8" t="s">
        <v>22</v>
      </c>
    </row>
    <row r="1243" spans="1:14" ht="11.25" customHeight="1">
      <c r="A1243" s="5" t="s">
        <v>3028</v>
      </c>
      <c r="B1243" s="5" t="s">
        <v>3486</v>
      </c>
      <c r="C1243" s="5" t="s">
        <v>3648</v>
      </c>
      <c r="D1243" s="5" t="s">
        <v>3031</v>
      </c>
      <c r="E1243" s="5" t="s">
        <v>23</v>
      </c>
      <c r="F1243" s="5" t="s">
        <v>3032</v>
      </c>
      <c r="G1243" s="5" t="s">
        <v>3033</v>
      </c>
      <c r="H1243" s="5" t="s">
        <v>3488</v>
      </c>
      <c r="I1243" s="5" t="s">
        <v>3649</v>
      </c>
      <c r="J1243" s="5" t="s">
        <v>3650</v>
      </c>
      <c r="K1243" s="7" t="str">
        <f ca="1">IFERROR(__xludf.DUMMYFUNCTION("GOOGLETRANSLATE(H1243,""EN"",""ES"")"),"APARATOS Y UTENSILIOS MANUALES PARA PREPARAR COMIDA O BEBIDA")</f>
        <v>APARATOS Y UTENSILIOS MANUALES PARA PREPARAR COMIDA O BEBIDA</v>
      </c>
      <c r="L1243" s="5" t="str">
        <f ca="1">IFERROR(__xludf.DUMMYFUNCTION("GOOGLETRANSLATE(J1243,""EN"",""ES"")"),"Manipuladores de café")</f>
        <v>Manipuladores de café</v>
      </c>
      <c r="M1243" s="8" t="s">
        <v>22</v>
      </c>
      <c r="N1243" s="8" t="s">
        <v>22</v>
      </c>
    </row>
    <row r="1244" spans="1:14" ht="11.25" customHeight="1">
      <c r="A1244" s="5" t="s">
        <v>3028</v>
      </c>
      <c r="B1244" s="5" t="s">
        <v>3651</v>
      </c>
      <c r="C1244" s="5" t="s">
        <v>3652</v>
      </c>
      <c r="D1244" s="5" t="s">
        <v>3031</v>
      </c>
      <c r="E1244" s="5" t="s">
        <v>23</v>
      </c>
      <c r="F1244" s="5" t="s">
        <v>3032</v>
      </c>
      <c r="G1244" s="5" t="s">
        <v>3033</v>
      </c>
      <c r="H1244" s="5" t="s">
        <v>3653</v>
      </c>
      <c r="I1244" s="5" t="s">
        <v>3654</v>
      </c>
      <c r="J1244" s="5" t="s">
        <v>3655</v>
      </c>
      <c r="K1244" s="7" t="str">
        <f ca="1">IFERROR(__xludf.DUMMYFUNCTION("GOOGLETRANSLATE(H1244,""EN"",""ES"")"),"PLANCHAS Y EQUIPOS DE LAVADO, LIMPIEZA Y SECADO")</f>
        <v>PLANCHAS Y EQUIPOS DE LAVADO, LIMPIEZA Y SECADO</v>
      </c>
      <c r="L1244" s="5" t="str">
        <f ca="1">IFERROR(__xludf.DUMMYFUNCTION("GOOGLETRANSLATE(J1244,""EN"",""ES"")"),"Bolas de lavandería")</f>
        <v>Bolas de lavandería</v>
      </c>
      <c r="M1244" s="8" t="s">
        <v>22</v>
      </c>
      <c r="N1244" s="8" t="s">
        <v>22</v>
      </c>
    </row>
    <row r="1245" spans="1:14" ht="11.25" customHeight="1">
      <c r="A1245" s="5" t="s">
        <v>3028</v>
      </c>
      <c r="B1245" s="5" t="s">
        <v>3651</v>
      </c>
      <c r="C1245" s="5" t="s">
        <v>3656</v>
      </c>
      <c r="D1245" s="5" t="s">
        <v>3031</v>
      </c>
      <c r="E1245" s="5" t="s">
        <v>23</v>
      </c>
      <c r="F1245" s="5" t="s">
        <v>3032</v>
      </c>
      <c r="G1245" s="5" t="s">
        <v>3033</v>
      </c>
      <c r="H1245" s="5" t="s">
        <v>3653</v>
      </c>
      <c r="I1245" s="5" t="s">
        <v>3657</v>
      </c>
      <c r="J1245" s="5" t="s">
        <v>3658</v>
      </c>
      <c r="K1245" s="7" t="str">
        <f ca="1">IFERROR(__xludf.DUMMYFUNCTION("GOOGLETRANSLATE(H1245,""EN"",""ES"")"),"PLANCHAS Y EQUIPOS DE LAVADO, LIMPIEZA Y SECADO")</f>
        <v>PLANCHAS Y EQUIPOS DE LAVADO, LIMPIEZA Y SECADO</v>
      </c>
      <c r="L1245" s="5" t="str">
        <f ca="1">IFERROR(__xludf.DUMMYFUNCTION("GOOGLETRANSLATE(J1245,""EN"",""ES"")"),"Plumeros para limpieza")</f>
        <v>Plumeros para limpieza</v>
      </c>
      <c r="M1245" s="8" t="s">
        <v>22</v>
      </c>
      <c r="N1245" s="8" t="s">
        <v>22</v>
      </c>
    </row>
    <row r="1246" spans="1:14" ht="11.25" customHeight="1">
      <c r="A1246" s="5" t="s">
        <v>3028</v>
      </c>
      <c r="B1246" s="5" t="s">
        <v>3651</v>
      </c>
      <c r="C1246" s="5" t="s">
        <v>3659</v>
      </c>
      <c r="D1246" s="5" t="s">
        <v>3031</v>
      </c>
      <c r="E1246" s="5" t="s">
        <v>23</v>
      </c>
      <c r="F1246" s="5" t="s">
        <v>3032</v>
      </c>
      <c r="G1246" s="5" t="s">
        <v>3033</v>
      </c>
      <c r="H1246" s="5" t="s">
        <v>3653</v>
      </c>
      <c r="I1246" s="5" t="s">
        <v>3660</v>
      </c>
      <c r="J1246" s="5" t="s">
        <v>3661</v>
      </c>
      <c r="K1246" s="7" t="str">
        <f ca="1">IFERROR(__xludf.DUMMYFUNCTION("GOOGLETRANSLATE(H1246,""EN"",""ES"")"),"PLANCHAS Y EQUIPOS DE LAVADO, LIMPIEZA Y SECADO")</f>
        <v>PLANCHAS Y EQUIPOS DE LAVADO, LIMPIEZA Y SECADO</v>
      </c>
      <c r="L1246" s="5" t="str">
        <f ca="1">IFERROR(__xludf.DUMMYFUNCTION("GOOGLETRANSLATE(J1246,""EN"",""ES"")"),"Lavabos")</f>
        <v>Lavabos</v>
      </c>
      <c r="M1246" s="8" t="s">
        <v>22</v>
      </c>
      <c r="N1246" s="8" t="s">
        <v>22</v>
      </c>
    </row>
    <row r="1247" spans="1:14" ht="11.25" customHeight="1">
      <c r="A1247" s="5" t="s">
        <v>3028</v>
      </c>
      <c r="B1247" s="5" t="s">
        <v>3651</v>
      </c>
      <c r="C1247" s="5" t="s">
        <v>3662</v>
      </c>
      <c r="D1247" s="5" t="s">
        <v>3031</v>
      </c>
      <c r="E1247" s="5" t="s">
        <v>23</v>
      </c>
      <c r="F1247" s="5" t="s">
        <v>3032</v>
      </c>
      <c r="G1247" s="5" t="s">
        <v>3033</v>
      </c>
      <c r="H1247" s="5" t="s">
        <v>3653</v>
      </c>
      <c r="I1247" s="5" t="s">
        <v>3663</v>
      </c>
      <c r="J1247" s="5" t="s">
        <v>3664</v>
      </c>
      <c r="K1247" s="7" t="str">
        <f ca="1">IFERROR(__xludf.DUMMYFUNCTION("GOOGLETRANSLATE(H1247,""EN"",""ES"")"),"PLANCHAS Y EQUIPOS DE LAVADO, LIMPIEZA Y SECADO")</f>
        <v>PLANCHAS Y EQUIPOS DE LAVADO, LIMPIEZA Y SECADO</v>
      </c>
      <c r="L1247" s="5" t="str">
        <f ca="1">IFERROR(__xludf.DUMMYFUNCTION("GOOGLETRANSLATE(J1247,""EN"",""ES"")"),"Rejillas para escurrir platos")</f>
        <v>Rejillas para escurrir platos</v>
      </c>
      <c r="M1247" s="8" t="s">
        <v>22</v>
      </c>
      <c r="N1247" s="8" t="s">
        <v>22</v>
      </c>
    </row>
    <row r="1248" spans="1:14" ht="11.25" customHeight="1">
      <c r="A1248" s="5" t="s">
        <v>3028</v>
      </c>
      <c r="B1248" s="5" t="s">
        <v>3651</v>
      </c>
      <c r="C1248" s="5" t="s">
        <v>3665</v>
      </c>
      <c r="D1248" s="5" t="s">
        <v>3031</v>
      </c>
      <c r="E1248" s="5" t="s">
        <v>23</v>
      </c>
      <c r="F1248" s="5" t="s">
        <v>3032</v>
      </c>
      <c r="G1248" s="5" t="s">
        <v>3033</v>
      </c>
      <c r="H1248" s="5" t="s">
        <v>3653</v>
      </c>
      <c r="I1248" s="5" t="s">
        <v>3666</v>
      </c>
      <c r="J1248" s="5" t="s">
        <v>3667</v>
      </c>
      <c r="K1248" s="7" t="str">
        <f ca="1">IFERROR(__xludf.DUMMYFUNCTION("GOOGLETRANSLATE(H1248,""EN"",""ES"")"),"PLANCHAS Y EQUIPOS DE LAVADO, LIMPIEZA Y SECADO")</f>
        <v>PLANCHAS Y EQUIPOS DE LAVADO, LIMPIEZA Y SECADO</v>
      </c>
      <c r="L1248" s="5" t="str">
        <f ca="1">IFERROR(__xludf.DUMMYFUNCTION("GOOGLETRANSLATE(J1248,""EN"",""ES"")"),"planchas")</f>
        <v>planchas</v>
      </c>
      <c r="M1248" s="8" t="s">
        <v>22</v>
      </c>
      <c r="N1248" s="8" t="s">
        <v>22</v>
      </c>
    </row>
    <row r="1249" spans="1:14" ht="11.25" customHeight="1">
      <c r="A1249" s="5" t="s">
        <v>3028</v>
      </c>
      <c r="B1249" s="5" t="s">
        <v>3651</v>
      </c>
      <c r="C1249" s="5" t="s">
        <v>3668</v>
      </c>
      <c r="D1249" s="5" t="s">
        <v>3031</v>
      </c>
      <c r="E1249" s="5" t="s">
        <v>23</v>
      </c>
      <c r="F1249" s="5" t="s">
        <v>3032</v>
      </c>
      <c r="G1249" s="5" t="s">
        <v>3033</v>
      </c>
      <c r="H1249" s="5" t="s">
        <v>3653</v>
      </c>
      <c r="I1249" s="5" t="s">
        <v>3669</v>
      </c>
      <c r="J1249" s="5" t="s">
        <v>3670</v>
      </c>
      <c r="K1249" s="7" t="str">
        <f ca="1">IFERROR(__xludf.DUMMYFUNCTION("GOOGLETRANSLATE(H1249,""EN"",""ES"")"),"PLANCHAS Y EQUIPOS DE LAVADO, LIMPIEZA Y SECADO")</f>
        <v>PLANCHAS Y EQUIPOS DE LAVADO, LIMPIEZA Y SECADO</v>
      </c>
      <c r="L1249" s="5" t="str">
        <f ca="1">IFERROR(__xludf.DUMMYFUNCTION("GOOGLETRANSLATE(J1249,""EN"",""ES"")"),"Pinzas para la ropa")</f>
        <v>Pinzas para la ropa</v>
      </c>
      <c r="M1249" s="8" t="s">
        <v>22</v>
      </c>
      <c r="N1249" s="8" t="s">
        <v>22</v>
      </c>
    </row>
    <row r="1250" spans="1:14" ht="11.25" customHeight="1">
      <c r="A1250" s="5" t="s">
        <v>3028</v>
      </c>
      <c r="B1250" s="5" t="s">
        <v>3651</v>
      </c>
      <c r="C1250" s="5" t="s">
        <v>3668</v>
      </c>
      <c r="D1250" s="5" t="s">
        <v>3031</v>
      </c>
      <c r="E1250" s="5" t="s">
        <v>23</v>
      </c>
      <c r="F1250" s="5" t="s">
        <v>3032</v>
      </c>
      <c r="G1250" s="5" t="s">
        <v>3033</v>
      </c>
      <c r="H1250" s="5" t="s">
        <v>3653</v>
      </c>
      <c r="I1250" s="5" t="s">
        <v>3671</v>
      </c>
      <c r="J1250" s="5" t="s">
        <v>152</v>
      </c>
      <c r="K1250" s="7" t="str">
        <f ca="1">IFERROR(__xludf.DUMMYFUNCTION("GOOGLETRANSLATE(H1250,""EN"",""ES"")"),"PLANCHAS Y EQUIPOS DE LAVADO, LIMPIEZA Y SECADO")</f>
        <v>PLANCHAS Y EQUIPOS DE LAVADO, LIMPIEZA Y SECADO</v>
      </c>
      <c r="L1250" s="5" t="str">
        <f ca="1">IFERROR(__xludf.DUMMYFUNCTION("GOOGLETRANSLATE(J1250,""EN"",""ES"")"),"alfileres de ropa")</f>
        <v>alfileres de ropa</v>
      </c>
      <c r="M1250" s="8" t="s">
        <v>22</v>
      </c>
      <c r="N1250" s="8" t="s">
        <v>22</v>
      </c>
    </row>
    <row r="1251" spans="1:14" ht="11.25" customHeight="1">
      <c r="A1251" s="5" t="s">
        <v>3028</v>
      </c>
      <c r="B1251" s="5" t="s">
        <v>3651</v>
      </c>
      <c r="C1251" s="5" t="s">
        <v>3672</v>
      </c>
      <c r="D1251" s="5" t="s">
        <v>3031</v>
      </c>
      <c r="E1251" s="5" t="s">
        <v>23</v>
      </c>
      <c r="F1251" s="5" t="s">
        <v>3032</v>
      </c>
      <c r="G1251" s="5" t="s">
        <v>3033</v>
      </c>
      <c r="H1251" s="5" t="s">
        <v>3653</v>
      </c>
      <c r="I1251" s="5" t="s">
        <v>3673</v>
      </c>
      <c r="J1251" s="5" t="s">
        <v>3674</v>
      </c>
      <c r="K1251" s="7" t="str">
        <f ca="1">IFERROR(__xludf.DUMMYFUNCTION("GOOGLETRANSLATE(H1251,""EN"",""ES"")"),"PLANCHAS Y EQUIPOS DE LAVADO, LIMPIEZA Y SECADO")</f>
        <v>PLANCHAS Y EQUIPOS DE LAVADO, LIMPIEZA Y SECADO</v>
      </c>
      <c r="L1251" s="5" t="str">
        <f ca="1">IFERROR(__xludf.DUMMYFUNCTION("GOOGLETRANSLATE(J1251,""EN"",""ES"")"),"Tablas de planchar con mangas")</f>
        <v>Tablas de planchar con mangas</v>
      </c>
      <c r="M1251" s="8" t="s">
        <v>22</v>
      </c>
      <c r="N1251" s="8" t="s">
        <v>22</v>
      </c>
    </row>
    <row r="1252" spans="1:14" ht="11.25" customHeight="1">
      <c r="A1252" s="5" t="s">
        <v>3028</v>
      </c>
      <c r="B1252" s="5" t="s">
        <v>3651</v>
      </c>
      <c r="C1252" s="5" t="s">
        <v>3675</v>
      </c>
      <c r="D1252" s="5" t="s">
        <v>3031</v>
      </c>
      <c r="E1252" s="5" t="s">
        <v>23</v>
      </c>
      <c r="F1252" s="5" t="s">
        <v>3032</v>
      </c>
      <c r="G1252" s="5" t="s">
        <v>3033</v>
      </c>
      <c r="H1252" s="5" t="s">
        <v>3653</v>
      </c>
      <c r="I1252" s="5" t="s">
        <v>3676</v>
      </c>
      <c r="J1252" s="5" t="s">
        <v>3677</v>
      </c>
      <c r="K1252" s="7" t="str">
        <f ca="1">IFERROR(__xludf.DUMMYFUNCTION("GOOGLETRANSLATE(H1252,""EN"",""ES"")"),"PLANCHAS Y EQUIPOS DE LAVADO, LIMPIEZA Y SECADO")</f>
        <v>PLANCHAS Y EQUIPOS DE LAVADO, LIMPIEZA Y SECADO</v>
      </c>
      <c r="L1252" s="5" t="str">
        <f ca="1">IFERROR(__xludf.DUMMYFUNCTION("GOOGLETRANSLATE(J1252,""EN"",""ES"")"),"Tinas de lavado")</f>
        <v>Tinas de lavado</v>
      </c>
      <c r="M1252" s="8" t="s">
        <v>22</v>
      </c>
      <c r="N1252" s="8" t="s">
        <v>22</v>
      </c>
    </row>
    <row r="1253" spans="1:14" ht="11.25" customHeight="1">
      <c r="A1253" s="5" t="s">
        <v>3028</v>
      </c>
      <c r="B1253" s="5" t="s">
        <v>3651</v>
      </c>
      <c r="C1253" s="5" t="s">
        <v>3678</v>
      </c>
      <c r="D1253" s="5" t="s">
        <v>3031</v>
      </c>
      <c r="E1253" s="5" t="s">
        <v>23</v>
      </c>
      <c r="F1253" s="5" t="s">
        <v>3032</v>
      </c>
      <c r="G1253" s="5" t="s">
        <v>3033</v>
      </c>
      <c r="H1253" s="5" t="s">
        <v>3653</v>
      </c>
      <c r="I1253" s="5" t="s">
        <v>3679</v>
      </c>
      <c r="J1253" s="5" t="s">
        <v>3680</v>
      </c>
      <c r="K1253" s="7" t="str">
        <f ca="1">IFERROR(__xludf.DUMMYFUNCTION("GOOGLETRANSLATE(H1253,""EN"",""ES"")"),"PLANCHAS Y EQUIPOS DE LAVADO, LIMPIEZA Y SECADO")</f>
        <v>PLANCHAS Y EQUIPOS DE LAVADO, LIMPIEZA Y SECADO</v>
      </c>
      <c r="L1253" s="5" t="str">
        <f ca="1">IFERROR(__xludf.DUMMYFUNCTION("GOOGLETRANSLATE(J1253,""EN"",""ES"")"),"Limpiadores de peine")</f>
        <v>Limpiadores de peine</v>
      </c>
      <c r="M1253" s="8" t="s">
        <v>22</v>
      </c>
      <c r="N1253" s="8" t="s">
        <v>22</v>
      </c>
    </row>
    <row r="1254" spans="1:14" ht="11.25" customHeight="1">
      <c r="A1254" s="5" t="s">
        <v>3028</v>
      </c>
      <c r="B1254" s="5" t="s">
        <v>3651</v>
      </c>
      <c r="C1254" s="5" t="s">
        <v>3681</v>
      </c>
      <c r="D1254" s="5" t="s">
        <v>3031</v>
      </c>
      <c r="E1254" s="5" t="s">
        <v>23</v>
      </c>
      <c r="F1254" s="5" t="s">
        <v>3032</v>
      </c>
      <c r="G1254" s="5" t="s">
        <v>3033</v>
      </c>
      <c r="H1254" s="5" t="s">
        <v>3653</v>
      </c>
      <c r="I1254" s="5" t="s">
        <v>3682</v>
      </c>
      <c r="J1254" s="5" t="s">
        <v>3683</v>
      </c>
      <c r="K1254" s="7" t="str">
        <f ca="1">IFERROR(__xludf.DUMMYFUNCTION("GOOGLETRANSLATE(H1254,""EN"",""ES"")"),"PLANCHAS Y EQUIPOS DE LAVADO, LIMPIEZA Y SECADO")</f>
        <v>PLANCHAS Y EQUIPOS DE LAVADO, LIMPIEZA Y SECADO</v>
      </c>
      <c r="L1254" s="5" t="str">
        <f ca="1">IFERROR(__xludf.DUMMYFUNCTION("GOOGLETRANSLATE(J1254,""EN"",""ES"")"),"Peines para escobas")</f>
        <v>Peines para escobas</v>
      </c>
      <c r="M1254" s="8" t="s">
        <v>22</v>
      </c>
      <c r="N1254" s="8" t="s">
        <v>22</v>
      </c>
    </row>
    <row r="1255" spans="1:14" ht="11.25" customHeight="1">
      <c r="A1255" s="5" t="s">
        <v>3028</v>
      </c>
      <c r="B1255" s="5" t="s">
        <v>3651</v>
      </c>
      <c r="C1255" s="5" t="s">
        <v>3684</v>
      </c>
      <c r="D1255" s="5" t="s">
        <v>3031</v>
      </c>
      <c r="E1255" s="5" t="s">
        <v>23</v>
      </c>
      <c r="F1255" s="5" t="s">
        <v>3032</v>
      </c>
      <c r="G1255" s="5" t="s">
        <v>3033</v>
      </c>
      <c r="H1255" s="5" t="s">
        <v>3653</v>
      </c>
      <c r="I1255" s="5" t="s">
        <v>3685</v>
      </c>
      <c r="J1255" s="5" t="s">
        <v>3686</v>
      </c>
      <c r="K1255" s="7" t="str">
        <f ca="1">IFERROR(__xludf.DUMMYFUNCTION("GOOGLETRANSLATE(H1255,""EN"",""ES"")"),"PLANCHAS Y EQUIPOS DE LAVADO, LIMPIEZA Y SECADO")</f>
        <v>PLANCHAS Y EQUIPOS DE LAVADO, LIMPIEZA Y SECADO</v>
      </c>
      <c r="L1255" s="5" t="str">
        <f ca="1">IFERROR(__xludf.DUMMYFUNCTION("GOOGLETRANSLATE(J1255,""EN"",""ES"")"),"tablas de lavar")</f>
        <v>tablas de lavar</v>
      </c>
      <c r="M1255" s="8" t="s">
        <v>22</v>
      </c>
      <c r="N1255" s="8" t="s">
        <v>22</v>
      </c>
    </row>
    <row r="1256" spans="1:14" ht="11.25" customHeight="1">
      <c r="A1256" s="5" t="s">
        <v>3028</v>
      </c>
      <c r="B1256" s="5" t="s">
        <v>3651</v>
      </c>
      <c r="C1256" s="5" t="s">
        <v>3687</v>
      </c>
      <c r="D1256" s="5" t="s">
        <v>3031</v>
      </c>
      <c r="E1256" s="5" t="s">
        <v>23</v>
      </c>
      <c r="F1256" s="5" t="s">
        <v>3032</v>
      </c>
      <c r="G1256" s="5" t="s">
        <v>3033</v>
      </c>
      <c r="H1256" s="5" t="s">
        <v>3653</v>
      </c>
      <c r="I1256" s="5" t="s">
        <v>3688</v>
      </c>
      <c r="J1256" s="5" t="s">
        <v>3689</v>
      </c>
      <c r="K1256" s="7" t="str">
        <f ca="1">IFERROR(__xludf.DUMMYFUNCTION("GOOGLETRANSLATE(H1256,""EN"",""ES"")"),"PLANCHAS Y EQUIPOS DE LAVADO, LIMPIEZA Y SECADO")</f>
        <v>PLANCHAS Y EQUIPOS DE LAVADO, LIMPIEZA Y SECADO</v>
      </c>
      <c r="L1256" s="5" t="str">
        <f ca="1">IFERROR(__xludf.DUMMYFUNCTION("GOOGLETRANSLATE(J1256,""EN"",""ES"")"),"Soportes para planchas")</f>
        <v>Soportes para planchas</v>
      </c>
      <c r="M1256" s="8" t="s">
        <v>22</v>
      </c>
      <c r="N1256" s="8" t="s">
        <v>22</v>
      </c>
    </row>
    <row r="1257" spans="1:14" ht="11.25" customHeight="1">
      <c r="A1257" s="5" t="s">
        <v>3028</v>
      </c>
      <c r="B1257" s="5" t="s">
        <v>3651</v>
      </c>
      <c r="C1257" s="5" t="s">
        <v>3690</v>
      </c>
      <c r="D1257" s="5" t="s">
        <v>3031</v>
      </c>
      <c r="E1257" s="5" t="s">
        <v>23</v>
      </c>
      <c r="F1257" s="5" t="s">
        <v>3032</v>
      </c>
      <c r="G1257" s="5" t="s">
        <v>3033</v>
      </c>
      <c r="H1257" s="5" t="s">
        <v>3653</v>
      </c>
      <c r="I1257" s="5" t="s">
        <v>3691</v>
      </c>
      <c r="J1257" s="5" t="s">
        <v>3692</v>
      </c>
      <c r="K1257" s="7" t="str">
        <f ca="1">IFERROR(__xludf.DUMMYFUNCTION("GOOGLETRANSLATE(H1257,""EN"",""ES"")"),"PLANCHAS Y EQUIPOS DE LAVADO, LIMPIEZA Y SECADO")</f>
        <v>PLANCHAS Y EQUIPOS DE LAVADO, LIMPIEZA Y SECADO</v>
      </c>
      <c r="L1257" s="5" t="str">
        <f ca="1">IFERROR(__xludf.DUMMYFUNCTION("GOOGLETRANSLATE(J1257,""EN"",""ES"")"),"Tendedero para ropa")</f>
        <v>Tendedero para ropa</v>
      </c>
      <c r="M1257" s="8" t="s">
        <v>22</v>
      </c>
      <c r="N1257" s="8" t="s">
        <v>22</v>
      </c>
    </row>
    <row r="1258" spans="1:14" ht="11.25" customHeight="1">
      <c r="A1258" s="5" t="s">
        <v>3028</v>
      </c>
      <c r="B1258" s="5" t="s">
        <v>3651</v>
      </c>
      <c r="C1258" s="5" t="s">
        <v>3690</v>
      </c>
      <c r="D1258" s="5" t="s">
        <v>3031</v>
      </c>
      <c r="E1258" s="5" t="s">
        <v>23</v>
      </c>
      <c r="F1258" s="5" t="s">
        <v>3032</v>
      </c>
      <c r="G1258" s="5" t="s">
        <v>3033</v>
      </c>
      <c r="H1258" s="5" t="s">
        <v>3653</v>
      </c>
      <c r="I1258" s="5" t="s">
        <v>3693</v>
      </c>
      <c r="J1258" s="5" t="s">
        <v>3694</v>
      </c>
      <c r="K1258" s="7" t="str">
        <f ca="1">IFERROR(__xludf.DUMMYFUNCTION("GOOGLETRANSLATE(H1258,""EN"",""ES"")"),"PLANCHAS Y EQUIPOS DE LAVADO, LIMPIEZA Y SECADO")</f>
        <v>PLANCHAS Y EQUIPOS DE LAVADO, LIMPIEZA Y SECADO</v>
      </c>
      <c r="L1258" s="5" t="str">
        <f ca="1">IFERROR(__xludf.DUMMYFUNCTION("GOOGLETRANSLATE(J1258,""EN"",""ES"")"),"Tendederos")</f>
        <v>Tendederos</v>
      </c>
      <c r="M1258" s="8" t="s">
        <v>22</v>
      </c>
      <c r="N1258" s="8" t="s">
        <v>22</v>
      </c>
    </row>
    <row r="1259" spans="1:14" ht="11.25" customHeight="1">
      <c r="A1259" s="5" t="s">
        <v>3028</v>
      </c>
      <c r="B1259" s="5" t="s">
        <v>3651</v>
      </c>
      <c r="C1259" s="5" t="s">
        <v>3695</v>
      </c>
      <c r="D1259" s="5" t="s">
        <v>3031</v>
      </c>
      <c r="E1259" s="5" t="s">
        <v>23</v>
      </c>
      <c r="F1259" s="5" t="s">
        <v>3032</v>
      </c>
      <c r="G1259" s="5" t="s">
        <v>3033</v>
      </c>
      <c r="H1259" s="5" t="s">
        <v>3653</v>
      </c>
      <c r="I1259" s="5" t="s">
        <v>3696</v>
      </c>
      <c r="J1259" s="5" t="s">
        <v>3697</v>
      </c>
      <c r="K1259" s="7" t="str">
        <f ca="1">IFERROR(__xludf.DUMMYFUNCTION("GOOGLETRANSLATE(H1259,""EN"",""ES"")"),"PLANCHAS Y EQUIPOS DE LAVADO, LIMPIEZA Y SECADO")</f>
        <v>PLANCHAS Y EQUIPOS DE LAVADO, LIMPIEZA Y SECADO</v>
      </c>
      <c r="L1259" s="5" t="str">
        <f ca="1">IFERROR(__xludf.DUMMYFUNCTION("GOOGLETRANSLATE(J1259,""EN"",""ES"")"),"Esponjas [hogar]")</f>
        <v>Esponjas [hogar]</v>
      </c>
      <c r="M1259" s="8" t="s">
        <v>22</v>
      </c>
      <c r="N1259" s="8" t="s">
        <v>22</v>
      </c>
    </row>
    <row r="1260" spans="1:14" ht="11.25" customHeight="1">
      <c r="A1260" s="5" t="s">
        <v>3028</v>
      </c>
      <c r="B1260" s="5" t="s">
        <v>3651</v>
      </c>
      <c r="C1260" s="5" t="s">
        <v>3698</v>
      </c>
      <c r="D1260" s="5" t="s">
        <v>3031</v>
      </c>
      <c r="E1260" s="5" t="s">
        <v>23</v>
      </c>
      <c r="F1260" s="5" t="s">
        <v>3032</v>
      </c>
      <c r="G1260" s="5" t="s">
        <v>3033</v>
      </c>
      <c r="H1260" s="5" t="s">
        <v>3653</v>
      </c>
      <c r="I1260" s="5" t="s">
        <v>3699</v>
      </c>
      <c r="J1260" s="5" t="s">
        <v>3700</v>
      </c>
      <c r="K1260" s="7" t="str">
        <f ca="1">IFERROR(__xludf.DUMMYFUNCTION("GOOGLETRANSLATE(H1260,""EN"",""ES"")"),"PLANCHAS Y EQUIPOS DE LAVADO, LIMPIEZA Y SECADO")</f>
        <v>PLANCHAS Y EQUIPOS DE LAVADO, LIMPIEZA Y SECADO</v>
      </c>
      <c r="L1260" s="5" t="str">
        <f ca="1">IFERROR(__xludf.DUMMYFUNCTION("GOOGLETRANSLATE(J1260,""EN"",""ES"")"),"Aplicadores de cera líquida [domésticos]")</f>
        <v>Aplicadores de cera líquida [domésticos]</v>
      </c>
      <c r="M1260" s="8" t="s">
        <v>22</v>
      </c>
      <c r="N1260" s="8" t="s">
        <v>22</v>
      </c>
    </row>
    <row r="1261" spans="1:14" ht="11.25" customHeight="1">
      <c r="A1261" s="5" t="s">
        <v>3028</v>
      </c>
      <c r="B1261" s="5" t="s">
        <v>3651</v>
      </c>
      <c r="C1261" s="5" t="s">
        <v>3698</v>
      </c>
      <c r="D1261" s="5" t="s">
        <v>3031</v>
      </c>
      <c r="E1261" s="5" t="s">
        <v>23</v>
      </c>
      <c r="F1261" s="5" t="s">
        <v>3032</v>
      </c>
      <c r="G1261" s="5" t="s">
        <v>3033</v>
      </c>
      <c r="H1261" s="5" t="s">
        <v>3653</v>
      </c>
      <c r="I1261" s="5" t="s">
        <v>3701</v>
      </c>
      <c r="J1261" s="5" t="s">
        <v>152</v>
      </c>
      <c r="K1261" s="7" t="str">
        <f ca="1">IFERROR(__xludf.DUMMYFUNCTION("GOOGLETRANSLATE(H1261,""EN"",""ES"")"),"PLANCHAS Y EQUIPOS DE LAVADO, LIMPIEZA Y SECADO")</f>
        <v>PLANCHAS Y EQUIPOS DE LAVADO, LIMPIEZA Y SECADO</v>
      </c>
      <c r="L1261" s="5" t="str">
        <f ca="1">IFERROR(__xludf.DUMMYFUNCTION("GOOGLETRANSLATE(J1261,""EN"",""ES"")"),"Aplicadores de cera líquida [domésticos]")</f>
        <v>Aplicadores de cera líquida [domésticos]</v>
      </c>
      <c r="M1261" s="8" t="s">
        <v>22</v>
      </c>
      <c r="N1261" s="8" t="s">
        <v>22</v>
      </c>
    </row>
    <row r="1262" spans="1:14" ht="11.25" customHeight="1">
      <c r="A1262" s="5" t="s">
        <v>3028</v>
      </c>
      <c r="B1262" s="5" t="s">
        <v>3651</v>
      </c>
      <c r="C1262" s="5" t="s">
        <v>3702</v>
      </c>
      <c r="D1262" s="5" t="s">
        <v>3031</v>
      </c>
      <c r="E1262" s="5" t="s">
        <v>23</v>
      </c>
      <c r="F1262" s="5" t="s">
        <v>3032</v>
      </c>
      <c r="G1262" s="5" t="s">
        <v>3033</v>
      </c>
      <c r="H1262" s="5" t="s">
        <v>3653</v>
      </c>
      <c r="I1262" s="5" t="s">
        <v>3703</v>
      </c>
      <c r="J1262" s="5" t="s">
        <v>3704</v>
      </c>
      <c r="K1262" s="7" t="str">
        <f ca="1">IFERROR(__xludf.DUMMYFUNCTION("GOOGLETRANSLATE(H1262,""EN"",""ES"")"),"PLANCHAS Y EQUIPOS DE LAVADO, LIMPIEZA Y SECADO")</f>
        <v>PLANCHAS Y EQUIPOS DE LAVADO, LIMPIEZA Y SECADO</v>
      </c>
      <c r="L1262" s="5" t="str">
        <f ca="1">IFERROR(__xludf.DUMMYFUNCTION("GOOGLETRANSLATE(J1262,""EN"",""ES"")"),"Líneas de lavado rotativas")</f>
        <v>Líneas de lavado rotativas</v>
      </c>
      <c r="M1262" s="8" t="s">
        <v>22</v>
      </c>
      <c r="N1262" s="8" t="s">
        <v>22</v>
      </c>
    </row>
    <row r="1263" spans="1:14" ht="11.25" customHeight="1">
      <c r="A1263" s="5" t="s">
        <v>3028</v>
      </c>
      <c r="B1263" s="5" t="s">
        <v>3651</v>
      </c>
      <c r="C1263" s="5" t="s">
        <v>3702</v>
      </c>
      <c r="D1263" s="5" t="s">
        <v>3031</v>
      </c>
      <c r="E1263" s="5" t="s">
        <v>23</v>
      </c>
      <c r="F1263" s="5" t="s">
        <v>3032</v>
      </c>
      <c r="G1263" s="5" t="s">
        <v>3033</v>
      </c>
      <c r="H1263" s="5" t="s">
        <v>3653</v>
      </c>
      <c r="I1263" s="5" t="s">
        <v>3705</v>
      </c>
      <c r="J1263" s="5" t="s">
        <v>3706</v>
      </c>
      <c r="K1263" s="7" t="str">
        <f ca="1">IFERROR(__xludf.DUMMYFUNCTION("GOOGLETRANSLATE(H1263,""EN"",""ES"")"),"PLANCHAS Y EQUIPOS DE LAVADO, LIMPIEZA Y SECADO")</f>
        <v>PLANCHAS Y EQUIPOS DE LAVADO, LIMPIEZA Y SECADO</v>
      </c>
      <c r="L1263" s="5" t="str">
        <f ca="1">IFERROR(__xludf.DUMMYFUNCTION("GOOGLETRANSLATE(J1263,""EN"",""ES"")"),"Secadoras de ropa rotativas")</f>
        <v>Secadoras de ropa rotativas</v>
      </c>
      <c r="M1263" s="8" t="s">
        <v>22</v>
      </c>
      <c r="N1263" s="8" t="s">
        <v>22</v>
      </c>
    </row>
    <row r="1264" spans="1:14" ht="11.25" customHeight="1">
      <c r="A1264" s="5" t="s">
        <v>3028</v>
      </c>
      <c r="B1264" s="5" t="s">
        <v>3651</v>
      </c>
      <c r="C1264" s="5" t="s">
        <v>3707</v>
      </c>
      <c r="D1264" s="5" t="s">
        <v>3031</v>
      </c>
      <c r="E1264" s="5" t="s">
        <v>23</v>
      </c>
      <c r="F1264" s="5" t="s">
        <v>3032</v>
      </c>
      <c r="G1264" s="5" t="s">
        <v>3033</v>
      </c>
      <c r="H1264" s="5" t="s">
        <v>3653</v>
      </c>
      <c r="I1264" s="5" t="s">
        <v>3708</v>
      </c>
      <c r="J1264" s="5" t="s">
        <v>3709</v>
      </c>
      <c r="K1264" s="7" t="str">
        <f ca="1">IFERROR(__xludf.DUMMYFUNCTION("GOOGLETRANSLATE(H1264,""EN"",""ES"")"),"PLANCHAS Y EQUIPOS DE LAVADO, LIMPIEZA Y SECADO")</f>
        <v>PLANCHAS Y EQUIPOS DE LAVADO, LIMPIEZA Y SECADO</v>
      </c>
      <c r="L1264" s="5" t="str">
        <f ca="1">IFERROR(__xludf.DUMMYFUNCTION("GOOGLETRANSLATE(J1264,""EN"",""ES"")"),"Tapetes para escurreplatos")</f>
        <v>Tapetes para escurreplatos</v>
      </c>
      <c r="M1264" s="8" t="s">
        <v>22</v>
      </c>
      <c r="N1264" s="8" t="s">
        <v>22</v>
      </c>
    </row>
    <row r="1265" spans="1:14" ht="11.25" customHeight="1">
      <c r="A1265" s="5" t="s">
        <v>3028</v>
      </c>
      <c r="B1265" s="5" t="s">
        <v>3651</v>
      </c>
      <c r="C1265" s="5" t="s">
        <v>3710</v>
      </c>
      <c r="D1265" s="5" t="s">
        <v>3031</v>
      </c>
      <c r="E1265" s="5" t="s">
        <v>23</v>
      </c>
      <c r="F1265" s="5" t="s">
        <v>3032</v>
      </c>
      <c r="G1265" s="5" t="s">
        <v>3033</v>
      </c>
      <c r="H1265" s="5" t="s">
        <v>3653</v>
      </c>
      <c r="I1265" s="5" t="s">
        <v>3711</v>
      </c>
      <c r="J1265" s="5" t="s">
        <v>3712</v>
      </c>
      <c r="K1265" s="7" t="str">
        <f ca="1">IFERROR(__xludf.DUMMYFUNCTION("GOOGLETRANSLATE(H1265,""EN"",""ES"")"),"PLANCHAS Y EQUIPOS DE LAVADO, LIMPIEZA Y SECADO")</f>
        <v>PLANCHAS Y EQUIPOS DE LAVADO, LIMPIEZA Y SECADO</v>
      </c>
      <c r="L1265" s="5" t="str">
        <f ca="1">IFERROR(__xludf.DUMMYFUNCTION("GOOGLETRANSLATE(J1265,""EN"",""ES"")"),"Aparatos para limpiar cristales")</f>
        <v>Aparatos para limpiar cristales</v>
      </c>
      <c r="M1265" s="8" t="s">
        <v>22</v>
      </c>
      <c r="N1265" s="8" t="s">
        <v>22</v>
      </c>
    </row>
    <row r="1266" spans="1:14" ht="11.25" customHeight="1">
      <c r="A1266" s="5" t="s">
        <v>3028</v>
      </c>
      <c r="B1266" s="5" t="s">
        <v>3651</v>
      </c>
      <c r="C1266" s="5" t="s">
        <v>3713</v>
      </c>
      <c r="D1266" s="5" t="s">
        <v>3031</v>
      </c>
      <c r="E1266" s="5" t="s">
        <v>23</v>
      </c>
      <c r="F1266" s="5" t="s">
        <v>3032</v>
      </c>
      <c r="G1266" s="5" t="s">
        <v>3033</v>
      </c>
      <c r="H1266" s="5" t="s">
        <v>3653</v>
      </c>
      <c r="I1266" s="5" t="s">
        <v>3714</v>
      </c>
      <c r="J1266" s="5" t="s">
        <v>3715</v>
      </c>
      <c r="K1266" s="7" t="str">
        <f ca="1">IFERROR(__xludf.DUMMYFUNCTION("GOOGLETRANSLATE(H1266,""EN"",""ES"")"),"PLANCHAS Y EQUIPOS DE LAVADO, LIMPIEZA Y SECADO")</f>
        <v>PLANCHAS Y EQUIPOS DE LAVADO, LIMPIEZA Y SECADO</v>
      </c>
      <c r="L1266" s="5" t="str">
        <f ca="1">IFERROR(__xludf.DUMMYFUNCTION("GOOGLETRANSLATE(J1266,""EN"",""ES"")"),"recogedores")</f>
        <v>recogedores</v>
      </c>
      <c r="M1266" s="8" t="s">
        <v>22</v>
      </c>
      <c r="N1266" s="8" t="s">
        <v>22</v>
      </c>
    </row>
    <row r="1267" spans="1:14" ht="11.25" customHeight="1">
      <c r="A1267" s="5" t="s">
        <v>3028</v>
      </c>
      <c r="B1267" s="5" t="s">
        <v>3651</v>
      </c>
      <c r="C1267" s="5" t="s">
        <v>3716</v>
      </c>
      <c r="D1267" s="5" t="s">
        <v>3031</v>
      </c>
      <c r="E1267" s="5" t="s">
        <v>23</v>
      </c>
      <c r="F1267" s="5" t="s">
        <v>3032</v>
      </c>
      <c r="G1267" s="5" t="s">
        <v>3033</v>
      </c>
      <c r="H1267" s="5" t="s">
        <v>3653</v>
      </c>
      <c r="I1267" s="5" t="s">
        <v>3717</v>
      </c>
      <c r="J1267" s="5" t="s">
        <v>3718</v>
      </c>
      <c r="K1267" s="7" t="str">
        <f ca="1">IFERROR(__xludf.DUMMYFUNCTION("GOOGLETRANSLATE(H1267,""EN"",""ES"")"),"PLANCHAS Y EQUIPOS DE LAVADO, LIMPIEZA Y SECADO")</f>
        <v>PLANCHAS Y EQUIPOS DE LAVADO, LIMPIEZA Y SECADO</v>
      </c>
      <c r="L1267" s="5" t="str">
        <f ca="1">IFERROR(__xludf.DUMMYFUNCTION("GOOGLETRANSLATE(J1267,""EN"",""ES"")"),"Soportes flexibles para planchas")</f>
        <v>Soportes flexibles para planchas</v>
      </c>
      <c r="M1267" s="8" t="s">
        <v>22</v>
      </c>
      <c r="N1267" s="8" t="s">
        <v>22</v>
      </c>
    </row>
    <row r="1268" spans="1:14" ht="11.25" customHeight="1">
      <c r="A1268" s="5" t="s">
        <v>3028</v>
      </c>
      <c r="B1268" s="5" t="s">
        <v>3651</v>
      </c>
      <c r="C1268" s="5" t="s">
        <v>3719</v>
      </c>
      <c r="D1268" s="5" t="s">
        <v>3031</v>
      </c>
      <c r="E1268" s="5" t="s">
        <v>23</v>
      </c>
      <c r="F1268" s="5" t="s">
        <v>3032</v>
      </c>
      <c r="G1268" s="5" t="s">
        <v>3033</v>
      </c>
      <c r="H1268" s="5" t="s">
        <v>3653</v>
      </c>
      <c r="I1268" s="5" t="s">
        <v>3720</v>
      </c>
      <c r="J1268" s="5" t="s">
        <v>3721</v>
      </c>
      <c r="K1268" s="7" t="str">
        <f ca="1">IFERROR(__xludf.DUMMYFUNCTION("GOOGLETRANSLATE(H1268,""EN"",""ES"")"),"PLANCHAS Y EQUIPOS DE LAVADO, LIMPIEZA Y SECADO")</f>
        <v>PLANCHAS Y EQUIPOS DE LAVADO, LIMPIEZA Y SECADO</v>
      </c>
      <c r="L1268" s="5" t="str">
        <f ca="1">IFERROR(__xludf.DUMMYFUNCTION("GOOGLETRANSLATE(J1268,""EN"",""ES"")"),"Limpiacristales")</f>
        <v>Limpiacristales</v>
      </c>
      <c r="M1268" s="8" t="s">
        <v>22</v>
      </c>
      <c r="N1268" s="8" t="s">
        <v>22</v>
      </c>
    </row>
    <row r="1269" spans="1:14" ht="11.25" customHeight="1">
      <c r="A1269" s="5" t="s">
        <v>3028</v>
      </c>
      <c r="B1269" s="5" t="s">
        <v>3651</v>
      </c>
      <c r="C1269" s="5" t="s">
        <v>3722</v>
      </c>
      <c r="D1269" s="5" t="s">
        <v>3031</v>
      </c>
      <c r="E1269" s="5" t="s">
        <v>23</v>
      </c>
      <c r="F1269" s="5" t="s">
        <v>3032</v>
      </c>
      <c r="G1269" s="5" t="s">
        <v>3033</v>
      </c>
      <c r="H1269" s="5" t="s">
        <v>3653</v>
      </c>
      <c r="I1269" s="5" t="s">
        <v>3723</v>
      </c>
      <c r="J1269" s="5" t="s">
        <v>3724</v>
      </c>
      <c r="K1269" s="7" t="str">
        <f ca="1">IFERROR(__xludf.DUMMYFUNCTION("GOOGLETRANSLATE(H1269,""EN"",""ES"")"),"PLANCHAS Y EQUIPOS DE LAVADO, LIMPIEZA Y SECADO")</f>
        <v>PLANCHAS Y EQUIPOS DE LAVADO, LIMPIEZA Y SECADO</v>
      </c>
      <c r="L1269" s="5" t="str">
        <f ca="1">IFERROR(__xludf.DUMMYFUNCTION("GOOGLETRANSLATE(J1269,""EN"",""ES"")"),"Bandejas recogemigas")</f>
        <v>Bandejas recogemigas</v>
      </c>
      <c r="M1269" s="8" t="s">
        <v>22</v>
      </c>
      <c r="N1269" s="8" t="s">
        <v>22</v>
      </c>
    </row>
    <row r="1270" spans="1:14" ht="11.25" customHeight="1">
      <c r="A1270" s="5" t="s">
        <v>3028</v>
      </c>
      <c r="B1270" s="5" t="s">
        <v>3651</v>
      </c>
      <c r="C1270" s="5" t="s">
        <v>3725</v>
      </c>
      <c r="D1270" s="5" t="s">
        <v>3031</v>
      </c>
      <c r="E1270" s="5" t="s">
        <v>23</v>
      </c>
      <c r="F1270" s="5" t="s">
        <v>3032</v>
      </c>
      <c r="G1270" s="5" t="s">
        <v>3033</v>
      </c>
      <c r="H1270" s="5" t="s">
        <v>3653</v>
      </c>
      <c r="I1270" s="5" t="s">
        <v>3726</v>
      </c>
      <c r="J1270" s="5" t="s">
        <v>3727</v>
      </c>
      <c r="K1270" s="7" t="str">
        <f ca="1">IFERROR(__xludf.DUMMYFUNCTION("GOOGLETRANSLATE(H1270,""EN"",""ES"")"),"PLANCHAS Y EQUIPOS DE LAVADO, LIMPIEZA Y SECADO")</f>
        <v>PLANCHAS Y EQUIPOS DE LAVADO, LIMPIEZA Y SECADO</v>
      </c>
      <c r="L1270" s="5" t="str">
        <f ca="1">IFERROR(__xludf.DUMMYFUNCTION("GOOGLETRANSLATE(J1270,""EN"",""ES"")"),"tablas de planchar")</f>
        <v>tablas de planchar</v>
      </c>
      <c r="M1270" s="8" t="s">
        <v>22</v>
      </c>
      <c r="N1270" s="8" t="s">
        <v>22</v>
      </c>
    </row>
    <row r="1271" spans="1:14" ht="11.25" customHeight="1">
      <c r="A1271" s="5" t="s">
        <v>3028</v>
      </c>
      <c r="B1271" s="5" t="s">
        <v>3651</v>
      </c>
      <c r="C1271" s="5" t="s">
        <v>3728</v>
      </c>
      <c r="D1271" s="5" t="s">
        <v>3031</v>
      </c>
      <c r="E1271" s="5" t="s">
        <v>23</v>
      </c>
      <c r="F1271" s="5" t="s">
        <v>3032</v>
      </c>
      <c r="G1271" s="5" t="s">
        <v>3033</v>
      </c>
      <c r="H1271" s="5" t="s">
        <v>3653</v>
      </c>
      <c r="I1271" s="5" t="s">
        <v>3729</v>
      </c>
      <c r="J1271" s="5" t="s">
        <v>3730</v>
      </c>
      <c r="K1271" s="7" t="str">
        <f ca="1">IFERROR(__xludf.DUMMYFUNCTION("GOOGLETRANSLATE(H1271,""EN"",""ES"")"),"PLANCHAS Y EQUIPOS DE LAVADO, LIMPIEZA Y SECADO")</f>
        <v>PLANCHAS Y EQUIPOS DE LAVADO, LIMPIEZA Y SECADO</v>
      </c>
      <c r="L1271" s="5" t="str">
        <f ca="1">IFERROR(__xludf.DUMMYFUNCTION("GOOGLETRANSLATE(J1271,""EN"",""ES"")"),"Fundas para tablas de planchar")</f>
        <v>Fundas para tablas de planchar</v>
      </c>
      <c r="M1271" s="8" t="s">
        <v>22</v>
      </c>
      <c r="N1271" s="8" t="s">
        <v>22</v>
      </c>
    </row>
    <row r="1272" spans="1:14" ht="11.25" customHeight="1">
      <c r="A1272" s="5" t="s">
        <v>3028</v>
      </c>
      <c r="B1272" s="5" t="s">
        <v>3651</v>
      </c>
      <c r="C1272" s="5" t="s">
        <v>3731</v>
      </c>
      <c r="D1272" s="5" t="s">
        <v>3031</v>
      </c>
      <c r="E1272" s="5" t="s">
        <v>23</v>
      </c>
      <c r="F1272" s="5" t="s">
        <v>3032</v>
      </c>
      <c r="G1272" s="5" t="s">
        <v>3033</v>
      </c>
      <c r="H1272" s="5" t="s">
        <v>3653</v>
      </c>
      <c r="I1272" s="5" t="s">
        <v>3732</v>
      </c>
      <c r="J1272" s="5" t="s">
        <v>3733</v>
      </c>
      <c r="K1272" s="7" t="str">
        <f ca="1">IFERROR(__xludf.DUMMYFUNCTION("GOOGLETRANSLATE(H1272,""EN"",""ES"")"),"PLANCHAS Y EQUIPOS DE LAVADO, LIMPIEZA Y SECADO")</f>
        <v>PLANCHAS Y EQUIPOS DE LAVADO, LIMPIEZA Y SECADO</v>
      </c>
      <c r="L1272" s="5" t="str">
        <f ca="1">IFERROR(__xludf.DUMMYFUNCTION("GOOGLETRANSLATE(J1272,""EN"",""ES"")"),"Tinas de enjuague")</f>
        <v>Tinas de enjuague</v>
      </c>
      <c r="M1272" s="8" t="s">
        <v>22</v>
      </c>
      <c r="N1272" s="8" t="s">
        <v>22</v>
      </c>
    </row>
    <row r="1273" spans="1:14" ht="11.25" customHeight="1">
      <c r="A1273" s="5" t="s">
        <v>3028</v>
      </c>
      <c r="B1273" s="5" t="s">
        <v>3651</v>
      </c>
      <c r="C1273" s="5" t="s">
        <v>3734</v>
      </c>
      <c r="D1273" s="5" t="s">
        <v>3031</v>
      </c>
      <c r="E1273" s="5" t="s">
        <v>23</v>
      </c>
      <c r="F1273" s="5" t="s">
        <v>3032</v>
      </c>
      <c r="G1273" s="5" t="s">
        <v>3033</v>
      </c>
      <c r="H1273" s="5" t="s">
        <v>3653</v>
      </c>
      <c r="I1273" s="5" t="s">
        <v>3735</v>
      </c>
      <c r="J1273" s="5" t="s">
        <v>3736</v>
      </c>
      <c r="K1273" s="7" t="str">
        <f ca="1">IFERROR(__xludf.DUMMYFUNCTION("GOOGLETRANSLATE(H1273,""EN"",""ES"")"),"PLANCHAS Y EQUIPOS DE LAVADO, LIMPIEZA Y SECADO")</f>
        <v>PLANCHAS Y EQUIPOS DE LAVADO, LIMPIEZA Y SECADO</v>
      </c>
      <c r="L1273" s="5" t="str">
        <f ca="1">IFERROR(__xludf.DUMMYFUNCTION("GOOGLETRANSLATE(J1273,""EN"",""ES"")"),"Tinas con escurridores incorporados")</f>
        <v>Tinas con escurridores incorporados</v>
      </c>
      <c r="M1273" s="8" t="s">
        <v>22</v>
      </c>
      <c r="N1273" s="8" t="s">
        <v>22</v>
      </c>
    </row>
    <row r="1274" spans="1:14" ht="11.25" customHeight="1">
      <c r="A1274" s="5" t="s">
        <v>3028</v>
      </c>
      <c r="B1274" s="5" t="s">
        <v>3651</v>
      </c>
      <c r="C1274" s="5" t="s">
        <v>3737</v>
      </c>
      <c r="D1274" s="5" t="s">
        <v>3031</v>
      </c>
      <c r="E1274" s="5" t="s">
        <v>23</v>
      </c>
      <c r="F1274" s="5" t="s">
        <v>3032</v>
      </c>
      <c r="G1274" s="5" t="s">
        <v>3033</v>
      </c>
      <c r="H1274" s="5" t="s">
        <v>3653</v>
      </c>
      <c r="I1274" s="5" t="s">
        <v>3738</v>
      </c>
      <c r="J1274" s="5" t="s">
        <v>3739</v>
      </c>
      <c r="K1274" s="7" t="str">
        <f ca="1">IFERROR(__xludf.DUMMYFUNCTION("GOOGLETRANSLATE(H1274,""EN"",""ES"")"),"PLANCHAS Y EQUIPOS DE LAVADO, LIMPIEZA Y SECADO")</f>
        <v>PLANCHAS Y EQUIPOS DE LAVADO, LIMPIEZA Y SECADO</v>
      </c>
      <c r="L1274" s="5" t="str">
        <f ca="1">IFERROR(__xludf.DUMMYFUNCTION("GOOGLETRANSLATE(J1274,""EN"",""ES"")"),"Soportes para tendederos")</f>
        <v>Soportes para tendederos</v>
      </c>
      <c r="M1274" s="8" t="s">
        <v>22</v>
      </c>
      <c r="N1274" s="8" t="s">
        <v>22</v>
      </c>
    </row>
    <row r="1275" spans="1:14" ht="11.25" customHeight="1">
      <c r="A1275" s="5" t="s">
        <v>3028</v>
      </c>
      <c r="B1275" s="5" t="s">
        <v>3651</v>
      </c>
      <c r="C1275" s="5" t="s">
        <v>3740</v>
      </c>
      <c r="D1275" s="5" t="s">
        <v>3031</v>
      </c>
      <c r="E1275" s="5" t="s">
        <v>23</v>
      </c>
      <c r="F1275" s="5" t="s">
        <v>3032</v>
      </c>
      <c r="G1275" s="5" t="s">
        <v>3033</v>
      </c>
      <c r="H1275" s="5" t="s">
        <v>3653</v>
      </c>
      <c r="I1275" s="5" t="s">
        <v>3741</v>
      </c>
      <c r="J1275" s="5" t="s">
        <v>3742</v>
      </c>
      <c r="K1275" s="7" t="str">
        <f ca="1">IFERROR(__xludf.DUMMYFUNCTION("GOOGLETRANSLATE(H1275,""EN"",""ES"")"),"PLANCHAS Y EQUIPOS DE LAVADO, LIMPIEZA Y SECADO")</f>
        <v>PLANCHAS Y EQUIPOS DE LAVADO, LIMPIEZA Y SECADO</v>
      </c>
      <c r="L1275" s="5" t="str">
        <f ca="1">IFERROR(__xludf.DUMMYFUNCTION("GOOGLETRANSLATE(J1275,""EN"",""ES"")"),"Batidores de alfombras [instrumentos de mano]")</f>
        <v>Batidores de alfombras [instrumentos de mano]</v>
      </c>
      <c r="M1275" s="8" t="s">
        <v>22</v>
      </c>
      <c r="N1275" s="8" t="s">
        <v>22</v>
      </c>
    </row>
    <row r="1276" spans="1:14" ht="11.25" customHeight="1">
      <c r="A1276" s="5" t="s">
        <v>3028</v>
      </c>
      <c r="B1276" s="5" t="s">
        <v>3651</v>
      </c>
      <c r="C1276" s="5" t="s">
        <v>3743</v>
      </c>
      <c r="D1276" s="5" t="s">
        <v>3031</v>
      </c>
      <c r="E1276" s="5" t="s">
        <v>23</v>
      </c>
      <c r="F1276" s="5" t="s">
        <v>3032</v>
      </c>
      <c r="G1276" s="5" t="s">
        <v>3033</v>
      </c>
      <c r="H1276" s="5" t="s">
        <v>3653</v>
      </c>
      <c r="I1276" s="5" t="s">
        <v>3744</v>
      </c>
      <c r="J1276" s="5" t="s">
        <v>3745</v>
      </c>
      <c r="K1276" s="7" t="str">
        <f ca="1">IFERROR(__xludf.DUMMYFUNCTION("GOOGLETRANSLATE(H1276,""EN"",""ES"")"),"PLANCHAS Y EQUIPOS DE LAVADO, LIMPIEZA Y SECADO")</f>
        <v>PLANCHAS Y EQUIPOS DE LAVADO, LIMPIEZA Y SECADO</v>
      </c>
      <c r="L1276" s="5" t="str">
        <f ca="1">IFERROR(__xludf.DUMMYFUNCTION("GOOGLETRANSLATE(J1276,""EN"",""ES"")"),"Paños de limpieza absorbentes")</f>
        <v>Paños de limpieza absorbentes</v>
      </c>
      <c r="M1276" s="8" t="s">
        <v>22</v>
      </c>
      <c r="N1276" s="8" t="s">
        <v>22</v>
      </c>
    </row>
    <row r="1277" spans="1:14" ht="11.25" customHeight="1">
      <c r="A1277" s="5" t="s">
        <v>3028</v>
      </c>
      <c r="B1277" s="5" t="s">
        <v>3651</v>
      </c>
      <c r="C1277" s="5" t="s">
        <v>3746</v>
      </c>
      <c r="D1277" s="5" t="s">
        <v>3031</v>
      </c>
      <c r="E1277" s="5" t="s">
        <v>23</v>
      </c>
      <c r="F1277" s="5" t="s">
        <v>3032</v>
      </c>
      <c r="G1277" s="5" t="s">
        <v>3033</v>
      </c>
      <c r="H1277" s="5" t="s">
        <v>3653</v>
      </c>
      <c r="I1277" s="5" t="s">
        <v>3747</v>
      </c>
      <c r="J1277" s="5" t="s">
        <v>3748</v>
      </c>
      <c r="K1277" s="7" t="str">
        <f ca="1">IFERROR(__xludf.DUMMYFUNCTION("GOOGLETRANSLATE(H1277,""EN"",""ES"")"),"PLANCHAS Y EQUIPOS DE LAVADO, LIMPIEZA Y SECADO")</f>
        <v>PLANCHAS Y EQUIPOS DE LAVADO, LIMPIEZA Y SECADO</v>
      </c>
      <c r="L1277" s="5" t="str">
        <f ca="1">IFERROR(__xludf.DUMMYFUNCTION("GOOGLETRANSLATE(J1277,""EN"",""ES"")"),"Recipientes dosificadores para añadir un agente de lavado.")</f>
        <v>Recipientes dosificadores para añadir un agente de lavado.</v>
      </c>
      <c r="M1277" s="8" t="s">
        <v>22</v>
      </c>
      <c r="N1277" s="8" t="s">
        <v>22</v>
      </c>
    </row>
    <row r="1278" spans="1:14" ht="11.25" customHeight="1">
      <c r="A1278" s="5" t="s">
        <v>3028</v>
      </c>
      <c r="B1278" s="5" t="s">
        <v>3651</v>
      </c>
      <c r="C1278" s="5" t="s">
        <v>3749</v>
      </c>
      <c r="D1278" s="5" t="s">
        <v>3031</v>
      </c>
      <c r="E1278" s="5" t="s">
        <v>23</v>
      </c>
      <c r="F1278" s="5" t="s">
        <v>3032</v>
      </c>
      <c r="G1278" s="5" t="s">
        <v>3033</v>
      </c>
      <c r="H1278" s="5" t="s">
        <v>3653</v>
      </c>
      <c r="I1278" s="5" t="s">
        <v>3750</v>
      </c>
      <c r="J1278" s="5" t="s">
        <v>3751</v>
      </c>
      <c r="K1278" s="7" t="str">
        <f ca="1">IFERROR(__xludf.DUMMYFUNCTION("GOOGLETRANSLATE(H1278,""EN"",""ES"")"),"PLANCHAS Y EQUIPOS DE LAVADO, LIMPIEZA Y SECADO")</f>
        <v>PLANCHAS Y EQUIPOS DE LAVADO, LIMPIEZA Y SECADO</v>
      </c>
      <c r="L1278" s="5" t="str">
        <f ca="1">IFERROR(__xludf.DUMMYFUNCTION("GOOGLETRANSLATE(J1278,""EN"",""ES"")"),"Escobillas de goma para retirar los residuos del fregadero de la cocina")</f>
        <v>Escobillas de goma para retirar los residuos del fregadero de la cocina</v>
      </c>
      <c r="M1278" s="8" t="s">
        <v>22</v>
      </c>
      <c r="N1278" s="8" t="s">
        <v>22</v>
      </c>
    </row>
    <row r="1279" spans="1:14" ht="11.25" customHeight="1">
      <c r="A1279" s="5" t="s">
        <v>3028</v>
      </c>
      <c r="B1279" s="5" t="s">
        <v>3651</v>
      </c>
      <c r="C1279" s="5" t="s">
        <v>3752</v>
      </c>
      <c r="D1279" s="5" t="s">
        <v>3031</v>
      </c>
      <c r="E1279" s="5" t="s">
        <v>23</v>
      </c>
      <c r="F1279" s="5" t="s">
        <v>3032</v>
      </c>
      <c r="G1279" s="5" t="s">
        <v>3033</v>
      </c>
      <c r="H1279" s="5" t="s">
        <v>3653</v>
      </c>
      <c r="I1279" s="5" t="s">
        <v>3753</v>
      </c>
      <c r="J1279" s="5" t="s">
        <v>3754</v>
      </c>
      <c r="K1279" s="7" t="str">
        <f ca="1">IFERROR(__xludf.DUMMYFUNCTION("GOOGLETRANSLATE(H1279,""EN"",""ES"")"),"PLANCHAS Y EQUIPOS DE LAVADO, LIMPIEZA Y SECADO")</f>
        <v>PLANCHAS Y EQUIPOS DE LAVADO, LIMPIEZA Y SECADO</v>
      </c>
      <c r="L1279" s="5" t="str">
        <f ca="1">IFERROR(__xludf.DUMMYFUNCTION("GOOGLETRANSLATE(J1279,""EN"",""ES"")"),"Generadores de vapor para planchas")</f>
        <v>Generadores de vapor para planchas</v>
      </c>
      <c r="M1279" s="8" t="s">
        <v>22</v>
      </c>
      <c r="N1279" s="8" t="s">
        <v>22</v>
      </c>
    </row>
    <row r="1280" spans="1:14" ht="11.25" customHeight="1">
      <c r="A1280" s="5" t="s">
        <v>3028</v>
      </c>
      <c r="B1280" s="5" t="s">
        <v>3651</v>
      </c>
      <c r="C1280" s="5" t="s">
        <v>3755</v>
      </c>
      <c r="D1280" s="5" t="s">
        <v>3031</v>
      </c>
      <c r="E1280" s="5" t="s">
        <v>23</v>
      </c>
      <c r="F1280" s="5" t="s">
        <v>3032</v>
      </c>
      <c r="G1280" s="5" t="s">
        <v>3033</v>
      </c>
      <c r="H1280" s="5" t="s">
        <v>3653</v>
      </c>
      <c r="I1280" s="5" t="s">
        <v>3756</v>
      </c>
      <c r="J1280" s="5" t="s">
        <v>3757</v>
      </c>
      <c r="K1280" s="7" t="str">
        <f ca="1">IFERROR(__xludf.DUMMYFUNCTION("GOOGLETRANSLATE(H1280,""EN"",""ES"")"),"PLANCHAS Y EQUIPOS DE LAVADO, LIMPIEZA Y SECADO")</f>
        <v>PLANCHAS Y EQUIPOS DE LAVADO, LIMPIEZA Y SECADO</v>
      </c>
      <c r="L1280" s="5" t="str">
        <f ca="1">IFERROR(__xludf.DUMMYFUNCTION("GOOGLETRANSLATE(J1280,""EN"",""ES"")"),"guantes para quitar el polvo")</f>
        <v>guantes para quitar el polvo</v>
      </c>
      <c r="M1280" s="8" t="s">
        <v>22</v>
      </c>
      <c r="N1280" s="8" t="s">
        <v>22</v>
      </c>
    </row>
    <row r="1281" spans="1:14" ht="11.25" customHeight="1">
      <c r="A1281" s="5" t="s">
        <v>3028</v>
      </c>
      <c r="B1281" s="5" t="s">
        <v>3651</v>
      </c>
      <c r="C1281" s="5" t="s">
        <v>3758</v>
      </c>
      <c r="D1281" s="5" t="s">
        <v>3031</v>
      </c>
      <c r="E1281" s="5" t="s">
        <v>23</v>
      </c>
      <c r="F1281" s="5" t="s">
        <v>3032</v>
      </c>
      <c r="G1281" s="5" t="s">
        <v>3033</v>
      </c>
      <c r="H1281" s="5" t="s">
        <v>3653</v>
      </c>
      <c r="I1281" s="5" t="s">
        <v>3759</v>
      </c>
      <c r="J1281" s="5" t="s">
        <v>3760</v>
      </c>
      <c r="K1281" s="7" t="str">
        <f ca="1">IFERROR(__xludf.DUMMYFUNCTION("GOOGLETRANSLATE(H1281,""EN"",""ES"")"),"PLANCHAS Y EQUIPOS DE LAVADO, LIMPIEZA Y SECADO")</f>
        <v>PLANCHAS Y EQUIPOS DE LAVADO, LIMPIEZA Y SECADO</v>
      </c>
      <c r="L1281" s="5" t="str">
        <f ca="1">IFERROR(__xludf.DUMMYFUNCTION("GOOGLETRANSLATE(J1281,""EN"",""ES"")"),"Paños para el suelo")</f>
        <v>Paños para el suelo</v>
      </c>
      <c r="M1281" s="8" t="s">
        <v>22</v>
      </c>
      <c r="N1281" s="8" t="s">
        <v>22</v>
      </c>
    </row>
    <row r="1282" spans="1:14" ht="11.25" customHeight="1">
      <c r="A1282" s="5" t="s">
        <v>3028</v>
      </c>
      <c r="B1282" s="5" t="s">
        <v>3651</v>
      </c>
      <c r="C1282" s="5" t="s">
        <v>3761</v>
      </c>
      <c r="D1282" s="5" t="s">
        <v>3031</v>
      </c>
      <c r="E1282" s="5" t="s">
        <v>23</v>
      </c>
      <c r="F1282" s="5" t="s">
        <v>3032</v>
      </c>
      <c r="G1282" s="5" t="s">
        <v>3033</v>
      </c>
      <c r="H1282" s="5" t="s">
        <v>3653</v>
      </c>
      <c r="I1282" s="5" t="s">
        <v>3762</v>
      </c>
      <c r="J1282" s="5" t="s">
        <v>3763</v>
      </c>
      <c r="K1282" s="7" t="str">
        <f ca="1">IFERROR(__xludf.DUMMYFUNCTION("GOOGLETRANSLATE(H1282,""EN"",""ES"")"),"PLANCHAS Y EQUIPOS DE LAVADO, LIMPIEZA Y SECADO")</f>
        <v>PLANCHAS Y EQUIPOS DE LAVADO, LIMPIEZA Y SECADO</v>
      </c>
      <c r="L1282" s="5" t="str">
        <f ca="1">IFERROR(__xludf.DUMMYFUNCTION("GOOGLETRANSLATE(J1282,""EN"",""ES"")"),"Suelas para planchas")</f>
        <v>Suelas para planchas</v>
      </c>
      <c r="M1282" s="8" t="s">
        <v>22</v>
      </c>
      <c r="N1282" s="8" t="s">
        <v>22</v>
      </c>
    </row>
    <row r="1283" spans="1:14" ht="11.25" customHeight="1">
      <c r="A1283" s="5" t="s">
        <v>3028</v>
      </c>
      <c r="B1283" s="5" t="s">
        <v>3651</v>
      </c>
      <c r="C1283" s="5" t="s">
        <v>3764</v>
      </c>
      <c r="D1283" s="5" t="s">
        <v>3031</v>
      </c>
      <c r="E1283" s="5" t="s">
        <v>23</v>
      </c>
      <c r="F1283" s="5" t="s">
        <v>3032</v>
      </c>
      <c r="G1283" s="5" t="s">
        <v>3033</v>
      </c>
      <c r="H1283" s="5" t="s">
        <v>3653</v>
      </c>
      <c r="I1283" s="5" t="s">
        <v>3765</v>
      </c>
      <c r="J1283" s="5" t="s">
        <v>3766</v>
      </c>
      <c r="K1283" s="7" t="str">
        <f ca="1">IFERROR(__xludf.DUMMYFUNCTION("GOOGLETRANSLATE(H1283,""EN"",""ES"")"),"PLANCHAS Y EQUIPOS DE LAVADO, LIMPIEZA Y SECADO")</f>
        <v>PLANCHAS Y EQUIPOS DE LAVADO, LIMPIEZA Y SECADO</v>
      </c>
      <c r="L1283" s="5" t="str">
        <f ca="1">IFERROR(__xludf.DUMMYFUNCTION("GOOGLETRANSLATE(J1283,""EN"",""ES"")"),"Limpiadores de suelo")</f>
        <v>Limpiadores de suelo</v>
      </c>
      <c r="M1283" s="8" t="s">
        <v>22</v>
      </c>
      <c r="N1283" s="8" t="s">
        <v>22</v>
      </c>
    </row>
    <row r="1284" spans="1:14" ht="11.25" customHeight="1">
      <c r="A1284" s="5" t="s">
        <v>3028</v>
      </c>
      <c r="B1284" s="5" t="s">
        <v>3651</v>
      </c>
      <c r="C1284" s="5" t="s">
        <v>3767</v>
      </c>
      <c r="D1284" s="5" t="s">
        <v>3031</v>
      </c>
      <c r="E1284" s="5" t="s">
        <v>23</v>
      </c>
      <c r="F1284" s="5" t="s">
        <v>3032</v>
      </c>
      <c r="G1284" s="5" t="s">
        <v>3033</v>
      </c>
      <c r="H1284" s="5" t="s">
        <v>3653</v>
      </c>
      <c r="I1284" s="5" t="s">
        <v>3768</v>
      </c>
      <c r="J1284" s="5" t="s">
        <v>3769</v>
      </c>
      <c r="K1284" s="7" t="str">
        <f ca="1">IFERROR(__xludf.DUMMYFUNCTION("GOOGLETRANSLATE(H1284,""EN"",""ES"")"),"PLANCHAS Y EQUIPOS DE LAVADO, LIMPIEZA Y SECADO")</f>
        <v>PLANCHAS Y EQUIPOS DE LAVADO, LIMPIEZA Y SECADO</v>
      </c>
      <c r="L1284" s="5" t="str">
        <f ca="1">IFERROR(__xludf.DUMMYFUNCTION("GOOGLETRANSLATE(J1284,""EN"",""ES"")"),"Perchas")</f>
        <v>Perchas</v>
      </c>
      <c r="M1284" s="8" t="s">
        <v>22</v>
      </c>
      <c r="N1284" s="8" t="s">
        <v>22</v>
      </c>
    </row>
    <row r="1285" spans="1:14" ht="11.25" customHeight="1">
      <c r="A1285" s="5" t="s">
        <v>3028</v>
      </c>
      <c r="B1285" s="5" t="s">
        <v>3651</v>
      </c>
      <c r="C1285" s="5" t="s">
        <v>3770</v>
      </c>
      <c r="D1285" s="5" t="s">
        <v>3031</v>
      </c>
      <c r="E1285" s="5" t="s">
        <v>23</v>
      </c>
      <c r="F1285" s="5" t="s">
        <v>3032</v>
      </c>
      <c r="G1285" s="5" t="s">
        <v>3033</v>
      </c>
      <c r="H1285" s="5" t="s">
        <v>3653</v>
      </c>
      <c r="I1285" s="5" t="s">
        <v>3771</v>
      </c>
      <c r="J1285" s="5" t="s">
        <v>3772</v>
      </c>
      <c r="K1285" s="7" t="str">
        <f ca="1">IFERROR(__xludf.DUMMYFUNCTION("GOOGLETRANSLATE(H1285,""EN"",""ES"")"),"PLANCHAS Y EQUIPOS DE LAVADO, LIMPIEZA Y SECADO")</f>
        <v>PLANCHAS Y EQUIPOS DE LAVADO, LIMPIEZA Y SECADO</v>
      </c>
      <c r="L1285" s="5" t="str">
        <f ca="1">IFERROR(__xludf.DUMMYFUNCTION("GOOGLETRANSLATE(J1285,""EN"",""ES"")"),"Rodillos de pelusa")</f>
        <v>Rodillos de pelusa</v>
      </c>
      <c r="M1285" s="8" t="s">
        <v>22</v>
      </c>
      <c r="N1285" s="8" t="s">
        <v>22</v>
      </c>
    </row>
    <row r="1286" spans="1:14" ht="11.25" customHeight="1">
      <c r="A1286" s="5" t="s">
        <v>3028</v>
      </c>
      <c r="B1286" s="5" t="s">
        <v>3651</v>
      </c>
      <c r="C1286" s="5" t="s">
        <v>3773</v>
      </c>
      <c r="D1286" s="5" t="s">
        <v>3031</v>
      </c>
      <c r="E1286" s="5" t="s">
        <v>23</v>
      </c>
      <c r="F1286" s="5" t="s">
        <v>3032</v>
      </c>
      <c r="G1286" s="5" t="s">
        <v>3033</v>
      </c>
      <c r="H1286" s="5" t="s">
        <v>3653</v>
      </c>
      <c r="I1286" s="5" t="s">
        <v>3774</v>
      </c>
      <c r="J1286" s="5" t="s">
        <v>3775</v>
      </c>
      <c r="K1286" s="7" t="str">
        <f ca="1">IFERROR(__xludf.DUMMYFUNCTION("GOOGLETRANSLATE(H1286,""EN"",""ES"")"),"PLANCHAS Y EQUIPOS DE LAVADO, LIMPIEZA Y SECADO")</f>
        <v>PLANCHAS Y EQUIPOS DE LAVADO, LIMPIEZA Y SECADO</v>
      </c>
      <c r="L1286" s="5" t="str">
        <f ca="1">IFERROR(__xludf.DUMMYFUNCTION("GOOGLETRANSLATE(J1286,""EN"",""ES"")"),"Quitapelusas")</f>
        <v>Quitapelusas</v>
      </c>
      <c r="M1286" s="8" t="s">
        <v>22</v>
      </c>
      <c r="N1286" s="8" t="s">
        <v>22</v>
      </c>
    </row>
    <row r="1287" spans="1:14" ht="11.25" customHeight="1">
      <c r="A1287" s="5" t="s">
        <v>3028</v>
      </c>
      <c r="B1287" s="5" t="s">
        <v>3776</v>
      </c>
      <c r="C1287" s="5" t="s">
        <v>3777</v>
      </c>
      <c r="D1287" s="5" t="s">
        <v>3031</v>
      </c>
      <c r="E1287" s="5" t="s">
        <v>23</v>
      </c>
      <c r="F1287" s="5" t="s">
        <v>3032</v>
      </c>
      <c r="G1287" s="5" t="s">
        <v>3033</v>
      </c>
      <c r="H1287" s="5" t="s">
        <v>3778</v>
      </c>
      <c r="I1287" s="5" t="s">
        <v>3779</v>
      </c>
      <c r="J1287" s="5" t="s">
        <v>3780</v>
      </c>
      <c r="K1287" s="7" t="str">
        <f ca="1">IFERROR(__xludf.DUMMYFUNCTION("GOOGLETRANSLATE(H1287,""EN"",""ES"")"),"OTROS UTENSILIOS DE COCINA Y MESA")</f>
        <v>OTROS UTENSILIOS DE COCINA Y MESA</v>
      </c>
      <c r="L1287" s="5" t="str">
        <f ca="1">IFERROR(__xludf.DUMMYFUNCTION("GOOGLETRANSLATE(J1287,""EN"",""ES"")"),"ollas de mostaza")</f>
        <v>ollas de mostaza</v>
      </c>
      <c r="M1287" s="8" t="s">
        <v>22</v>
      </c>
      <c r="N1287" s="8" t="s">
        <v>22</v>
      </c>
    </row>
    <row r="1288" spans="1:14" ht="11.25" customHeight="1">
      <c r="A1288" s="5" t="s">
        <v>3028</v>
      </c>
      <c r="B1288" s="5" t="s">
        <v>3776</v>
      </c>
      <c r="C1288" s="5" t="s">
        <v>3781</v>
      </c>
      <c r="D1288" s="5" t="s">
        <v>3031</v>
      </c>
      <c r="E1288" s="5" t="s">
        <v>23</v>
      </c>
      <c r="F1288" s="5" t="s">
        <v>3032</v>
      </c>
      <c r="G1288" s="5" t="s">
        <v>3033</v>
      </c>
      <c r="H1288" s="5" t="s">
        <v>3778</v>
      </c>
      <c r="I1288" s="5" t="s">
        <v>3782</v>
      </c>
      <c r="J1288" s="5" t="s">
        <v>3783</v>
      </c>
      <c r="K1288" s="7" t="str">
        <f ca="1">IFERROR(__xludf.DUMMYFUNCTION("GOOGLETRANSLATE(H1288,""EN"",""ES"")"),"OTROS UTENSILIOS DE COCINA Y MESA")</f>
        <v>OTROS UTENSILIOS DE COCINA Y MESA</v>
      </c>
      <c r="L1288" s="5" t="str">
        <f ca="1">IFERROR(__xludf.DUMMYFUNCTION("GOOGLETRANSLATE(J1288,""EN"",""ES"")"),"posavasos para vasos")</f>
        <v>posavasos para vasos</v>
      </c>
      <c r="M1288" s="8" t="s">
        <v>22</v>
      </c>
      <c r="N1288" s="8" t="s">
        <v>22</v>
      </c>
    </row>
    <row r="1289" spans="1:14" ht="11.25" customHeight="1">
      <c r="A1289" s="5" t="s">
        <v>3028</v>
      </c>
      <c r="B1289" s="5" t="s">
        <v>3776</v>
      </c>
      <c r="C1289" s="5" t="s">
        <v>3784</v>
      </c>
      <c r="D1289" s="5" t="s">
        <v>3031</v>
      </c>
      <c r="E1289" s="5" t="s">
        <v>23</v>
      </c>
      <c r="F1289" s="5" t="s">
        <v>3032</v>
      </c>
      <c r="G1289" s="5" t="s">
        <v>3033</v>
      </c>
      <c r="H1289" s="5" t="s">
        <v>3778</v>
      </c>
      <c r="I1289" s="5" t="s">
        <v>3785</v>
      </c>
      <c r="J1289" s="5" t="s">
        <v>3786</v>
      </c>
      <c r="K1289" s="7" t="str">
        <f ca="1">IFERROR(__xludf.DUMMYFUNCTION("GOOGLETRANSLATE(H1289,""EN"",""ES"")"),"OTROS UTENSILIOS DE COCINA Y MESA")</f>
        <v>OTROS UTENSILIOS DE COCINA Y MESA</v>
      </c>
      <c r="L1289" s="5" t="str">
        <f ca="1">IFERROR(__xludf.DUMMYFUNCTION("GOOGLETRANSLATE(J1289,""EN"",""ES"")"),"Anillos antigoteo para botellas")</f>
        <v>Anillos antigoteo para botellas</v>
      </c>
      <c r="M1289" s="8" t="s">
        <v>22</v>
      </c>
      <c r="N1289" s="8" t="s">
        <v>22</v>
      </c>
    </row>
    <row r="1290" spans="1:14" ht="11.25" customHeight="1">
      <c r="A1290" s="5" t="s">
        <v>3028</v>
      </c>
      <c r="B1290" s="5" t="s">
        <v>3776</v>
      </c>
      <c r="C1290" s="5" t="s">
        <v>3787</v>
      </c>
      <c r="D1290" s="5" t="s">
        <v>3031</v>
      </c>
      <c r="E1290" s="5" t="s">
        <v>23</v>
      </c>
      <c r="F1290" s="5" t="s">
        <v>3032</v>
      </c>
      <c r="G1290" s="5" t="s">
        <v>3033</v>
      </c>
      <c r="H1290" s="5" t="s">
        <v>3778</v>
      </c>
      <c r="I1290" s="5" t="s">
        <v>3788</v>
      </c>
      <c r="J1290" s="5" t="s">
        <v>3789</v>
      </c>
      <c r="K1290" s="7" t="str">
        <f ca="1">IFERROR(__xludf.DUMMYFUNCTION("GOOGLETRANSLATE(H1290,""EN"",""ES"")"),"OTROS UTENSILIOS DE COCINA Y MESA")</f>
        <v>OTROS UTENSILIOS DE COCINA Y MESA</v>
      </c>
      <c r="L1290" s="5" t="str">
        <f ca="1">IFERROR(__xludf.DUMMYFUNCTION("GOOGLETRANSLATE(J1290,""EN"",""ES"")"),"Vinagreras")</f>
        <v>Vinagreras</v>
      </c>
      <c r="M1290" s="8" t="s">
        <v>22</v>
      </c>
      <c r="N1290" s="8" t="s">
        <v>22</v>
      </c>
    </row>
    <row r="1291" spans="1:14" ht="11.25" customHeight="1">
      <c r="A1291" s="5" t="s">
        <v>3028</v>
      </c>
      <c r="B1291" s="5" t="s">
        <v>3776</v>
      </c>
      <c r="C1291" s="5" t="s">
        <v>3790</v>
      </c>
      <c r="D1291" s="5" t="s">
        <v>3031</v>
      </c>
      <c r="E1291" s="5" t="s">
        <v>23</v>
      </c>
      <c r="F1291" s="5" t="s">
        <v>3032</v>
      </c>
      <c r="G1291" s="5" t="s">
        <v>3033</v>
      </c>
      <c r="H1291" s="5" t="s">
        <v>3778</v>
      </c>
      <c r="I1291" s="5" t="s">
        <v>3791</v>
      </c>
      <c r="J1291" s="5" t="s">
        <v>3792</v>
      </c>
      <c r="K1291" s="7" t="str">
        <f ca="1">IFERROR(__xludf.DUMMYFUNCTION("GOOGLETRANSLATE(H1291,""EN"",""ES"")"),"OTROS UTENSILIOS DE COCINA Y MESA")</f>
        <v>OTROS UTENSILIOS DE COCINA Y MESA</v>
      </c>
      <c r="L1291" s="5" t="str">
        <f ca="1">IFERROR(__xludf.DUMMYFUNCTION("GOOGLETRANSLATE(J1291,""EN"",""ES"")"),"cascanueces")</f>
        <v>cascanueces</v>
      </c>
      <c r="M1291" s="8" t="s">
        <v>22</v>
      </c>
      <c r="N1291" s="8" t="s">
        <v>22</v>
      </c>
    </row>
    <row r="1292" spans="1:14" ht="11.25" customHeight="1">
      <c r="A1292" s="5" t="s">
        <v>3028</v>
      </c>
      <c r="B1292" s="5" t="s">
        <v>3776</v>
      </c>
      <c r="C1292" s="5" t="s">
        <v>3793</v>
      </c>
      <c r="D1292" s="5" t="s">
        <v>3031</v>
      </c>
      <c r="E1292" s="5" t="s">
        <v>23</v>
      </c>
      <c r="F1292" s="5" t="s">
        <v>3032</v>
      </c>
      <c r="G1292" s="5" t="s">
        <v>3033</v>
      </c>
      <c r="H1292" s="5" t="s">
        <v>3778</v>
      </c>
      <c r="I1292" s="5" t="s">
        <v>3794</v>
      </c>
      <c r="J1292" s="5" t="s">
        <v>3795</v>
      </c>
      <c r="K1292" s="7" t="str">
        <f ca="1">IFERROR(__xludf.DUMMYFUNCTION("GOOGLETRANSLATE(H1292,""EN"",""ES"")"),"OTROS UTENSILIOS DE COCINA Y MESA")</f>
        <v>OTROS UTENSILIOS DE COCINA Y MESA</v>
      </c>
      <c r="L1292" s="5" t="str">
        <f ca="1">IFERROR(__xludf.DUMMYFUNCTION("GOOGLETRANSLATE(J1292,""EN"",""ES"")"),"Dispositivos antigoteo para cuellos de envases")</f>
        <v>Dispositivos antigoteo para cuellos de envases</v>
      </c>
      <c r="M1292" s="8" t="s">
        <v>22</v>
      </c>
      <c r="N1292" s="8" t="s">
        <v>22</v>
      </c>
    </row>
    <row r="1293" spans="1:14" ht="11.25" customHeight="1">
      <c r="A1293" s="5" t="s">
        <v>3028</v>
      </c>
      <c r="B1293" s="5" t="s">
        <v>3776</v>
      </c>
      <c r="C1293" s="5" t="s">
        <v>3796</v>
      </c>
      <c r="D1293" s="5" t="s">
        <v>3031</v>
      </c>
      <c r="E1293" s="5" t="s">
        <v>23</v>
      </c>
      <c r="F1293" s="5" t="s">
        <v>3032</v>
      </c>
      <c r="G1293" s="5" t="s">
        <v>3033</v>
      </c>
      <c r="H1293" s="5" t="s">
        <v>3778</v>
      </c>
      <c r="I1293" s="5" t="s">
        <v>3797</v>
      </c>
      <c r="J1293" s="5" t="s">
        <v>3798</v>
      </c>
      <c r="K1293" s="7" t="str">
        <f ca="1">IFERROR(__xludf.DUMMYFUNCTION("GOOGLETRANSLATE(H1293,""EN"",""ES"")"),"OTROS UTENSILIOS DE COCINA Y MESA")</f>
        <v>OTROS UTENSILIOS DE COCINA Y MESA</v>
      </c>
      <c r="L1293" s="5" t="str">
        <f ca="1">IFERROR(__xludf.DUMMYFUNCTION("GOOGLETRANSLATE(J1293,""EN"",""ES"")"),"Calentadores de platos")</f>
        <v>Calentadores de platos</v>
      </c>
      <c r="M1293" s="8" t="s">
        <v>22</v>
      </c>
      <c r="N1293" s="8" t="s">
        <v>22</v>
      </c>
    </row>
    <row r="1294" spans="1:14" ht="11.25" customHeight="1">
      <c r="A1294" s="5" t="s">
        <v>3028</v>
      </c>
      <c r="B1294" s="5" t="s">
        <v>3776</v>
      </c>
      <c r="C1294" s="5" t="s">
        <v>3799</v>
      </c>
      <c r="D1294" s="5" t="s">
        <v>3031</v>
      </c>
      <c r="E1294" s="5" t="s">
        <v>23</v>
      </c>
      <c r="F1294" s="5" t="s">
        <v>3032</v>
      </c>
      <c r="G1294" s="5" t="s">
        <v>3033</v>
      </c>
      <c r="H1294" s="5" t="s">
        <v>3778</v>
      </c>
      <c r="I1294" s="5" t="s">
        <v>3800</v>
      </c>
      <c r="J1294" s="5" t="s">
        <v>3801</v>
      </c>
      <c r="K1294" s="7" t="str">
        <f ca="1">IFERROR(__xludf.DUMMYFUNCTION("GOOGLETRANSLATE(H1294,""EN"",""ES"")"),"OTROS UTENSILIOS DE COCINA Y MESA")</f>
        <v>OTROS UTENSILIOS DE COCINA Y MESA</v>
      </c>
      <c r="L1294" s="5" t="str">
        <f ca="1">IFERROR(__xludf.DUMMYFUNCTION("GOOGLETRANSLATE(J1294,""EN"",""ES"")"),"Cestas de pan")</f>
        <v>Cestas de pan</v>
      </c>
      <c r="M1294" s="8" t="s">
        <v>22</v>
      </c>
      <c r="N1294" s="8" t="s">
        <v>22</v>
      </c>
    </row>
    <row r="1295" spans="1:14" ht="11.25" customHeight="1">
      <c r="A1295" s="5" t="s">
        <v>3028</v>
      </c>
      <c r="B1295" s="5" t="s">
        <v>3776</v>
      </c>
      <c r="C1295" s="5" t="s">
        <v>3802</v>
      </c>
      <c r="D1295" s="5" t="s">
        <v>3031</v>
      </c>
      <c r="E1295" s="5" t="s">
        <v>23</v>
      </c>
      <c r="F1295" s="5" t="s">
        <v>3032</v>
      </c>
      <c r="G1295" s="5" t="s">
        <v>3033</v>
      </c>
      <c r="H1295" s="5" t="s">
        <v>3778</v>
      </c>
      <c r="I1295" s="5" t="s">
        <v>3803</v>
      </c>
      <c r="J1295" s="5" t="s">
        <v>3804</v>
      </c>
      <c r="K1295" s="7" t="str">
        <f ca="1">IFERROR(__xludf.DUMMYFUNCTION("GOOGLETRANSLATE(H1295,""EN"",""ES"")"),"OTROS UTENSILIOS DE COCINA Y MESA")</f>
        <v>OTROS UTENSILIOS DE COCINA Y MESA</v>
      </c>
      <c r="L1295" s="5" t="str">
        <f ca="1">IFERROR(__xludf.DUMMYFUNCTION("GOOGLETRANSLATE(J1295,""EN"",""ES"")"),"Calentadores de té")</f>
        <v>Calentadores de té</v>
      </c>
      <c r="M1295" s="8" t="s">
        <v>22</v>
      </c>
      <c r="N1295" s="8" t="s">
        <v>22</v>
      </c>
    </row>
    <row r="1296" spans="1:14" ht="11.25" customHeight="1">
      <c r="A1296" s="5" t="s">
        <v>3028</v>
      </c>
      <c r="B1296" s="5" t="s">
        <v>3776</v>
      </c>
      <c r="C1296" s="5" t="s">
        <v>3805</v>
      </c>
      <c r="D1296" s="5" t="s">
        <v>3031</v>
      </c>
      <c r="E1296" s="5" t="s">
        <v>23</v>
      </c>
      <c r="F1296" s="5" t="s">
        <v>3032</v>
      </c>
      <c r="G1296" s="5" t="s">
        <v>3033</v>
      </c>
      <c r="H1296" s="5" t="s">
        <v>3778</v>
      </c>
      <c r="I1296" s="5" t="s">
        <v>3806</v>
      </c>
      <c r="J1296" s="5" t="s">
        <v>3807</v>
      </c>
      <c r="K1296" s="7" t="str">
        <f ca="1">IFERROR(__xludf.DUMMYFUNCTION("GOOGLETRANSLATE(H1296,""EN"",""ES"")"),"OTROS UTENSILIOS DE COCINA Y MESA")</f>
        <v>OTROS UTENSILIOS DE COCINA Y MESA</v>
      </c>
      <c r="L1296" s="5" t="str">
        <f ca="1">IFERROR(__xludf.DUMMYFUNCTION("GOOGLETRANSLATE(J1296,""EN"",""ES"")"),"Adornos para huevos")</f>
        <v>Adornos para huevos</v>
      </c>
      <c r="M1296" s="8" t="s">
        <v>22</v>
      </c>
      <c r="N1296" s="8" t="s">
        <v>22</v>
      </c>
    </row>
    <row r="1297" spans="1:14" ht="11.25" customHeight="1">
      <c r="A1297" s="5" t="s">
        <v>3028</v>
      </c>
      <c r="B1297" s="5" t="s">
        <v>3776</v>
      </c>
      <c r="C1297" s="5" t="s">
        <v>3808</v>
      </c>
      <c r="D1297" s="5" t="s">
        <v>3031</v>
      </c>
      <c r="E1297" s="5" t="s">
        <v>23</v>
      </c>
      <c r="F1297" s="5" t="s">
        <v>3032</v>
      </c>
      <c r="G1297" s="5" t="s">
        <v>3033</v>
      </c>
      <c r="H1297" s="5" t="s">
        <v>3778</v>
      </c>
      <c r="I1297" s="5" t="s">
        <v>3809</v>
      </c>
      <c r="J1297" s="5" t="s">
        <v>3810</v>
      </c>
      <c r="K1297" s="7" t="str">
        <f ca="1">IFERROR(__xludf.DUMMYFUNCTION("GOOGLETRANSLATE(H1297,""EN"",""ES"")"),"OTROS UTENSILIOS DE COCINA Y MESA")</f>
        <v>OTROS UTENSILIOS DE COCINA Y MESA</v>
      </c>
      <c r="L1297" s="5" t="str">
        <f ca="1">IFERROR(__xludf.DUMMYFUNCTION("GOOGLETRANSLATE(J1297,""EN"",""ES"")"),"Removedores de tapas de botellas")</f>
        <v>Removedores de tapas de botellas</v>
      </c>
      <c r="M1297" s="8" t="s">
        <v>22</v>
      </c>
      <c r="N1297" s="8" t="s">
        <v>22</v>
      </c>
    </row>
    <row r="1298" spans="1:14" ht="11.25" customHeight="1">
      <c r="A1298" s="5" t="s">
        <v>3028</v>
      </c>
      <c r="B1298" s="5" t="s">
        <v>3776</v>
      </c>
      <c r="C1298" s="5" t="s">
        <v>3811</v>
      </c>
      <c r="D1298" s="5" t="s">
        <v>3031</v>
      </c>
      <c r="E1298" s="5" t="s">
        <v>23</v>
      </c>
      <c r="F1298" s="5" t="s">
        <v>3032</v>
      </c>
      <c r="G1298" s="5" t="s">
        <v>3033</v>
      </c>
      <c r="H1298" s="5" t="s">
        <v>3778</v>
      </c>
      <c r="I1298" s="5" t="s">
        <v>3812</v>
      </c>
      <c r="J1298" s="5" t="s">
        <v>3813</v>
      </c>
      <c r="K1298" s="7" t="str">
        <f ca="1">IFERROR(__xludf.DUMMYFUNCTION("GOOGLETRANSLATE(H1298,""EN"",""ES"")"),"OTROS UTENSILIOS DE COCINA Y MESA")</f>
        <v>OTROS UTENSILIOS DE COCINA Y MESA</v>
      </c>
      <c r="L1298" s="5" t="str">
        <f ca="1">IFERROR(__xludf.DUMMYFUNCTION("GOOGLETRANSLATE(J1298,""EN"",""ES"")"),"Posavasos para jarras y botellas.")</f>
        <v>Posavasos para jarras y botellas.</v>
      </c>
      <c r="M1298" s="8" t="s">
        <v>22</v>
      </c>
      <c r="N1298" s="8" t="s">
        <v>22</v>
      </c>
    </row>
    <row r="1299" spans="1:14" ht="11.25" customHeight="1">
      <c r="A1299" s="5" t="s">
        <v>3028</v>
      </c>
      <c r="B1299" s="5" t="s">
        <v>3776</v>
      </c>
      <c r="C1299" s="5" t="s">
        <v>3814</v>
      </c>
      <c r="D1299" s="5" t="s">
        <v>3031</v>
      </c>
      <c r="E1299" s="5" t="s">
        <v>23</v>
      </c>
      <c r="F1299" s="5" t="s">
        <v>3032</v>
      </c>
      <c r="G1299" s="5" t="s">
        <v>3033</v>
      </c>
      <c r="H1299" s="5" t="s">
        <v>3778</v>
      </c>
      <c r="I1299" s="5" t="s">
        <v>3815</v>
      </c>
      <c r="J1299" s="5" t="s">
        <v>3816</v>
      </c>
      <c r="K1299" s="7" t="str">
        <f ca="1">IFERROR(__xludf.DUMMYFUNCTION("GOOGLETRANSLATE(H1299,""EN"",""ES"")"),"OTROS UTENSILIOS DE COCINA Y MESA")</f>
        <v>OTROS UTENSILIOS DE COCINA Y MESA</v>
      </c>
      <c r="L1299" s="5" t="str">
        <f ca="1">IFERROR(__xludf.DUMMYFUNCTION("GOOGLETRANSLATE(J1299,""EN"",""ES"")"),"Salvamanteles [utensilios de mesa]")</f>
        <v>Salvamanteles [utensilios de mesa]</v>
      </c>
      <c r="M1299" s="8" t="s">
        <v>22</v>
      </c>
      <c r="N1299" s="8" t="s">
        <v>22</v>
      </c>
    </row>
    <row r="1300" spans="1:14" ht="11.25" customHeight="1">
      <c r="A1300" s="5" t="s">
        <v>3028</v>
      </c>
      <c r="B1300" s="5" t="s">
        <v>3776</v>
      </c>
      <c r="C1300" s="5" t="s">
        <v>3817</v>
      </c>
      <c r="D1300" s="5" t="s">
        <v>3031</v>
      </c>
      <c r="E1300" s="5" t="s">
        <v>23</v>
      </c>
      <c r="F1300" s="5" t="s">
        <v>3032</v>
      </c>
      <c r="G1300" s="5" t="s">
        <v>3033</v>
      </c>
      <c r="H1300" s="5" t="s">
        <v>3778</v>
      </c>
      <c r="I1300" s="5" t="s">
        <v>3818</v>
      </c>
      <c r="J1300" s="5" t="s">
        <v>3819</v>
      </c>
      <c r="K1300" s="7" t="str">
        <f ca="1">IFERROR(__xludf.DUMMYFUNCTION("GOOGLETRANSLATE(H1300,""EN"",""ES"")"),"OTROS UTENSILIOS DE COCINA Y MESA")</f>
        <v>OTROS UTENSILIOS DE COCINA Y MESA</v>
      </c>
      <c r="L1300" s="5" t="str">
        <f ca="1">IFERROR(__xludf.DUMMYFUNCTION("GOOGLETRANSLATE(J1300,""EN"",""ES"")"),"Palitos batidores para champán")</f>
        <v>Palitos batidores para champán</v>
      </c>
      <c r="M1300" s="8" t="s">
        <v>22</v>
      </c>
      <c r="N1300" s="8" t="s">
        <v>22</v>
      </c>
    </row>
    <row r="1301" spans="1:14" ht="11.25" customHeight="1">
      <c r="A1301" s="5" t="s">
        <v>3028</v>
      </c>
      <c r="B1301" s="5" t="s">
        <v>3776</v>
      </c>
      <c r="C1301" s="5" t="s">
        <v>3820</v>
      </c>
      <c r="D1301" s="5" t="s">
        <v>3031</v>
      </c>
      <c r="E1301" s="5" t="s">
        <v>23</v>
      </c>
      <c r="F1301" s="5" t="s">
        <v>3032</v>
      </c>
      <c r="G1301" s="5" t="s">
        <v>3033</v>
      </c>
      <c r="H1301" s="5" t="s">
        <v>3778</v>
      </c>
      <c r="I1301" s="5" t="s">
        <v>3821</v>
      </c>
      <c r="J1301" s="5" t="s">
        <v>3822</v>
      </c>
      <c r="K1301" s="7" t="str">
        <f ca="1">IFERROR(__xludf.DUMMYFUNCTION("GOOGLETRANSLATE(H1301,""EN"",""ES"")"),"OTROS UTENSILIOS DE COCINA Y MESA")</f>
        <v>OTROS UTENSILIOS DE COCINA Y MESA</v>
      </c>
      <c r="L1301" s="5" t="str">
        <f ca="1">IFERROR(__xludf.DUMMYFUNCTION("GOOGLETRANSLATE(J1301,""EN"",""ES"")"),"Cuchillas para cubrir huevos")</f>
        <v>Cuchillas para cubrir huevos</v>
      </c>
      <c r="M1301" s="8" t="s">
        <v>22</v>
      </c>
      <c r="N1301" s="8" t="s">
        <v>22</v>
      </c>
    </row>
    <row r="1302" spans="1:14" ht="11.25" customHeight="1">
      <c r="A1302" s="5" t="s">
        <v>3028</v>
      </c>
      <c r="B1302" s="5" t="s">
        <v>3776</v>
      </c>
      <c r="C1302" s="5" t="s">
        <v>3823</v>
      </c>
      <c r="D1302" s="5" t="s">
        <v>3031</v>
      </c>
      <c r="E1302" s="5" t="s">
        <v>23</v>
      </c>
      <c r="F1302" s="5" t="s">
        <v>3032</v>
      </c>
      <c r="G1302" s="5" t="s">
        <v>3033</v>
      </c>
      <c r="H1302" s="5" t="s">
        <v>3778</v>
      </c>
      <c r="I1302" s="5" t="s">
        <v>3824</v>
      </c>
      <c r="J1302" s="5" t="s">
        <v>3825</v>
      </c>
      <c r="K1302" s="7" t="str">
        <f ca="1">IFERROR(__xludf.DUMMYFUNCTION("GOOGLETRANSLATE(H1302,""EN"",""ES"")"),"OTROS UTENSILIOS DE COCINA Y MESA")</f>
        <v>OTROS UTENSILIOS DE COCINA Y MESA</v>
      </c>
      <c r="L1302" s="5" t="str">
        <f ca="1">IFERROR(__xludf.DUMMYFUNCTION("GOOGLETRANSLATE(J1302,""EN"",""ES"")"),"pinzas para hielo")</f>
        <v>pinzas para hielo</v>
      </c>
      <c r="M1302" s="8" t="s">
        <v>22</v>
      </c>
      <c r="N1302" s="8" t="s">
        <v>22</v>
      </c>
    </row>
    <row r="1303" spans="1:14" ht="11.25" customHeight="1">
      <c r="A1303" s="5" t="s">
        <v>3028</v>
      </c>
      <c r="B1303" s="5" t="s">
        <v>3776</v>
      </c>
      <c r="C1303" s="5" t="s">
        <v>3826</v>
      </c>
      <c r="D1303" s="5" t="s">
        <v>3031</v>
      </c>
      <c r="E1303" s="5" t="s">
        <v>23</v>
      </c>
      <c r="F1303" s="5" t="s">
        <v>3032</v>
      </c>
      <c r="G1303" s="5" t="s">
        <v>3033</v>
      </c>
      <c r="H1303" s="5" t="s">
        <v>3778</v>
      </c>
      <c r="I1303" s="5" t="s">
        <v>3827</v>
      </c>
      <c r="J1303" s="5" t="s">
        <v>3828</v>
      </c>
      <c r="K1303" s="7" t="str">
        <f ca="1">IFERROR(__xludf.DUMMYFUNCTION("GOOGLETRANSLATE(H1303,""EN"",""ES"")"),"OTROS UTENSILIOS DE COCINA Y MESA")</f>
        <v>OTROS UTENSILIOS DE COCINA Y MESA</v>
      </c>
      <c r="L1303" s="5" t="str">
        <f ca="1">IFERROR(__xludf.DUMMYFUNCTION("GOOGLETRANSLATE(J1303,""EN"",""ES"")"),"Pinzas para repostería")</f>
        <v>Pinzas para repostería</v>
      </c>
      <c r="M1303" s="8" t="s">
        <v>22</v>
      </c>
      <c r="N1303" s="8" t="s">
        <v>22</v>
      </c>
    </row>
    <row r="1304" spans="1:14" ht="11.25" customHeight="1">
      <c r="A1304" s="5" t="s">
        <v>3028</v>
      </c>
      <c r="B1304" s="5" t="s">
        <v>3776</v>
      </c>
      <c r="C1304" s="5" t="s">
        <v>3829</v>
      </c>
      <c r="D1304" s="5" t="s">
        <v>3031</v>
      </c>
      <c r="E1304" s="5" t="s">
        <v>23</v>
      </c>
      <c r="F1304" s="5" t="s">
        <v>3032</v>
      </c>
      <c r="G1304" s="5" t="s">
        <v>3033</v>
      </c>
      <c r="H1304" s="5" t="s">
        <v>3778</v>
      </c>
      <c r="I1304" s="5" t="s">
        <v>3830</v>
      </c>
      <c r="J1304" s="5" t="s">
        <v>3831</v>
      </c>
      <c r="K1304" s="7" t="str">
        <f ca="1">IFERROR(__xludf.DUMMYFUNCTION("GOOGLETRANSLATE(H1304,""EN"",""ES"")"),"OTROS UTENSILIOS DE COCINA Y MESA")</f>
        <v>OTROS UTENSILIOS DE COCINA Y MESA</v>
      </c>
      <c r="L1304" s="5" t="str">
        <f ca="1">IFERROR(__xludf.DUMMYFUNCTION("GOOGLETRANSLATE(J1304,""EN"",""ES"")"),"Pinzas para espaguetis")</f>
        <v>Pinzas para espaguetis</v>
      </c>
      <c r="M1304" s="8" t="s">
        <v>22</v>
      </c>
      <c r="N1304" s="8" t="s">
        <v>22</v>
      </c>
    </row>
    <row r="1305" spans="1:14" ht="11.25" customHeight="1">
      <c r="A1305" s="5" t="s">
        <v>3028</v>
      </c>
      <c r="B1305" s="5" t="s">
        <v>3776</v>
      </c>
      <c r="C1305" s="5" t="s">
        <v>3832</v>
      </c>
      <c r="D1305" s="5" t="s">
        <v>3031</v>
      </c>
      <c r="E1305" s="5" t="s">
        <v>23</v>
      </c>
      <c r="F1305" s="5" t="s">
        <v>3032</v>
      </c>
      <c r="G1305" s="5" t="s">
        <v>3033</v>
      </c>
      <c r="H1305" s="5" t="s">
        <v>3778</v>
      </c>
      <c r="I1305" s="5" t="s">
        <v>3833</v>
      </c>
      <c r="J1305" s="5" t="s">
        <v>3834</v>
      </c>
      <c r="K1305" s="7" t="str">
        <f ca="1">IFERROR(__xludf.DUMMYFUNCTION("GOOGLETRANSLATE(H1305,""EN"",""ES"")"),"OTROS UTENSILIOS DE COCINA Y MESA")</f>
        <v>OTROS UTENSILIOS DE COCINA Y MESA</v>
      </c>
      <c r="L1305" s="5" t="str">
        <f ca="1">IFERROR(__xludf.DUMMYFUNCTION("GOOGLETRANSLATE(J1305,""EN"",""ES"")"),"pinzas para azúcar")</f>
        <v>pinzas para azúcar</v>
      </c>
      <c r="M1305" s="8" t="s">
        <v>22</v>
      </c>
      <c r="N1305" s="8" t="s">
        <v>22</v>
      </c>
    </row>
    <row r="1306" spans="1:14" ht="11.25" customHeight="1">
      <c r="A1306" s="5" t="s">
        <v>3028</v>
      </c>
      <c r="B1306" s="5" t="s">
        <v>3776</v>
      </c>
      <c r="C1306" s="5" t="s">
        <v>3835</v>
      </c>
      <c r="D1306" s="5" t="s">
        <v>3031</v>
      </c>
      <c r="E1306" s="5" t="s">
        <v>23</v>
      </c>
      <c r="F1306" s="5" t="s">
        <v>3032</v>
      </c>
      <c r="G1306" s="5" t="s">
        <v>3033</v>
      </c>
      <c r="H1306" s="5" t="s">
        <v>3778</v>
      </c>
      <c r="I1306" s="5" t="s">
        <v>3836</v>
      </c>
      <c r="J1306" s="5" t="s">
        <v>3837</v>
      </c>
      <c r="K1306" s="7" t="str">
        <f ca="1">IFERROR(__xludf.DUMMYFUNCTION("GOOGLETRANSLATE(H1306,""EN"",""ES"")"),"OTROS UTENSILIOS DE COCINA Y MESA")</f>
        <v>OTROS UTENSILIOS DE COCINA Y MESA</v>
      </c>
      <c r="L1306" s="5" t="str">
        <f ca="1">IFERROR(__xludf.DUMMYFUNCTION("GOOGLETRANSLATE(J1306,""EN"",""ES"")"),"Selecciones de sándwich")</f>
        <v>Selecciones de sándwich</v>
      </c>
      <c r="M1306" s="8" t="s">
        <v>22</v>
      </c>
      <c r="N1306" s="8" t="s">
        <v>22</v>
      </c>
    </row>
    <row r="1307" spans="1:14" ht="11.25" customHeight="1">
      <c r="A1307" s="5" t="s">
        <v>3028</v>
      </c>
      <c r="B1307" s="5" t="s">
        <v>3776</v>
      </c>
      <c r="C1307" s="5" t="s">
        <v>3838</v>
      </c>
      <c r="D1307" s="5" t="s">
        <v>3031</v>
      </c>
      <c r="E1307" s="5" t="s">
        <v>23</v>
      </c>
      <c r="F1307" s="5" t="s">
        <v>3032</v>
      </c>
      <c r="G1307" s="5" t="s">
        <v>3033</v>
      </c>
      <c r="H1307" s="5" t="s">
        <v>3778</v>
      </c>
      <c r="I1307" s="5" t="s">
        <v>3839</v>
      </c>
      <c r="J1307" s="5" t="s">
        <v>3840</v>
      </c>
      <c r="K1307" s="7" t="str">
        <f ca="1">IFERROR(__xludf.DUMMYFUNCTION("GOOGLETRANSLATE(H1307,""EN"",""ES"")"),"OTROS UTENSILIOS DE COCINA Y MESA")</f>
        <v>OTROS UTENSILIOS DE COCINA Y MESA</v>
      </c>
      <c r="L1307" s="5" t="str">
        <f ca="1">IFERROR(__xludf.DUMMYFUNCTION("GOOGLETRANSLATE(J1307,""EN"",""ES"")"),"Ruedas de pimienta")</f>
        <v>Ruedas de pimienta</v>
      </c>
      <c r="M1307" s="8" t="s">
        <v>22</v>
      </c>
      <c r="N1307" s="8" t="s">
        <v>22</v>
      </c>
    </row>
    <row r="1308" spans="1:14" ht="11.25" customHeight="1">
      <c r="A1308" s="5" t="s">
        <v>3028</v>
      </c>
      <c r="B1308" s="5" t="s">
        <v>3776</v>
      </c>
      <c r="C1308" s="5" t="s">
        <v>3838</v>
      </c>
      <c r="D1308" s="5" t="s">
        <v>3031</v>
      </c>
      <c r="E1308" s="5" t="s">
        <v>23</v>
      </c>
      <c r="F1308" s="5" t="s">
        <v>3032</v>
      </c>
      <c r="G1308" s="5" t="s">
        <v>3033</v>
      </c>
      <c r="H1308" s="5" t="s">
        <v>3778</v>
      </c>
      <c r="I1308" s="5" t="s">
        <v>3841</v>
      </c>
      <c r="J1308" s="5" t="s">
        <v>152</v>
      </c>
      <c r="K1308" s="7" t="str">
        <f ca="1">IFERROR(__xludf.DUMMYFUNCTION("GOOGLETRANSLATE(H1308,""EN"",""ES"")"),"OTROS UTENSILIOS DE COCINA Y MESA")</f>
        <v>OTROS UTENSILIOS DE COCINA Y MESA</v>
      </c>
      <c r="L1308" s="5" t="str">
        <f ca="1">IFERROR(__xludf.DUMMYFUNCTION("GOOGLETRANSLATE(J1308,""EN"",""ES"")"),"pimenteros")</f>
        <v>pimenteros</v>
      </c>
      <c r="M1308" s="8" t="s">
        <v>22</v>
      </c>
      <c r="N1308" s="8" t="s">
        <v>22</v>
      </c>
    </row>
    <row r="1309" spans="1:14" ht="11.25" customHeight="1">
      <c r="A1309" s="5" t="s">
        <v>3028</v>
      </c>
      <c r="B1309" s="5" t="s">
        <v>3776</v>
      </c>
      <c r="C1309" s="5" t="s">
        <v>3842</v>
      </c>
      <c r="D1309" s="5" t="s">
        <v>3031</v>
      </c>
      <c r="E1309" s="5" t="s">
        <v>23</v>
      </c>
      <c r="F1309" s="5" t="s">
        <v>3032</v>
      </c>
      <c r="G1309" s="5" t="s">
        <v>3033</v>
      </c>
      <c r="H1309" s="5" t="s">
        <v>3778</v>
      </c>
      <c r="I1309" s="5" t="s">
        <v>3843</v>
      </c>
      <c r="J1309" s="5" t="s">
        <v>3844</v>
      </c>
      <c r="K1309" s="7" t="str">
        <f ca="1">IFERROR(__xludf.DUMMYFUNCTION("GOOGLETRANSLATE(H1309,""EN"",""ES"")"),"OTROS UTENSILIOS DE COCINA Y MESA")</f>
        <v>OTROS UTENSILIOS DE COCINA Y MESA</v>
      </c>
      <c r="L1309" s="5" t="str">
        <f ca="1">IFERROR(__xludf.DUMMYFUNCTION("GOOGLETRANSLATE(J1309,""EN"",""ES"")"),"Anillos de servilleta")</f>
        <v>Anillos de servilleta</v>
      </c>
      <c r="M1309" s="8" t="s">
        <v>22</v>
      </c>
      <c r="N1309" s="8" t="s">
        <v>22</v>
      </c>
    </row>
    <row r="1310" spans="1:14" ht="11.25" customHeight="1">
      <c r="A1310" s="5" t="s">
        <v>3028</v>
      </c>
      <c r="B1310" s="5" t="s">
        <v>3776</v>
      </c>
      <c r="C1310" s="5" t="s">
        <v>3842</v>
      </c>
      <c r="D1310" s="5" t="s">
        <v>3031</v>
      </c>
      <c r="E1310" s="5" t="s">
        <v>23</v>
      </c>
      <c r="F1310" s="5" t="s">
        <v>3032</v>
      </c>
      <c r="G1310" s="5" t="s">
        <v>3033</v>
      </c>
      <c r="H1310" s="5" t="s">
        <v>3778</v>
      </c>
      <c r="I1310" s="5" t="s">
        <v>3845</v>
      </c>
      <c r="J1310" s="5" t="s">
        <v>152</v>
      </c>
      <c r="K1310" s="7" t="str">
        <f ca="1">IFERROR(__xludf.DUMMYFUNCTION("GOOGLETRANSLATE(H1310,""EN"",""ES"")"),"OTROS UTENSILIOS DE COCINA Y MESA")</f>
        <v>OTROS UTENSILIOS DE COCINA Y MESA</v>
      </c>
      <c r="L1310" s="5" t="str">
        <f ca="1">IFERROR(__xludf.DUMMYFUNCTION("GOOGLETRANSLATE(J1310,""EN"",""ES"")"),"anillos de servilleta")</f>
        <v>anillos de servilleta</v>
      </c>
      <c r="M1310" s="8" t="s">
        <v>22</v>
      </c>
      <c r="N1310" s="8" t="s">
        <v>22</v>
      </c>
    </row>
    <row r="1311" spans="1:14" ht="11.25" customHeight="1">
      <c r="A1311" s="5" t="s">
        <v>3028</v>
      </c>
      <c r="B1311" s="5" t="s">
        <v>3776</v>
      </c>
      <c r="C1311" s="5" t="s">
        <v>3846</v>
      </c>
      <c r="D1311" s="5" t="s">
        <v>3031</v>
      </c>
      <c r="E1311" s="5" t="s">
        <v>23</v>
      </c>
      <c r="F1311" s="5" t="s">
        <v>3032</v>
      </c>
      <c r="G1311" s="5" t="s">
        <v>3033</v>
      </c>
      <c r="H1311" s="5" t="s">
        <v>3778</v>
      </c>
      <c r="I1311" s="5" t="s">
        <v>3847</v>
      </c>
      <c r="J1311" s="5" t="s">
        <v>3848</v>
      </c>
      <c r="K1311" s="7" t="str">
        <f ca="1">IFERROR(__xludf.DUMMYFUNCTION("GOOGLETRANSLATE(H1311,""EN"",""ES"")"),"OTROS UTENSILIOS DE COCINA Y MESA")</f>
        <v>OTROS UTENSILIOS DE COCINA Y MESA</v>
      </c>
      <c r="L1311" s="5" t="str">
        <f ca="1">IFERROR(__xludf.DUMMYFUNCTION("GOOGLETRANSLATE(J1311,""EN"",""ES"")"),"Saleros")</f>
        <v>Saleros</v>
      </c>
      <c r="M1311" s="8" t="s">
        <v>22</v>
      </c>
      <c r="N1311" s="8" t="s">
        <v>22</v>
      </c>
    </row>
    <row r="1312" spans="1:14" ht="11.25" customHeight="1">
      <c r="A1312" s="5" t="s">
        <v>3028</v>
      </c>
      <c r="B1312" s="5" t="s">
        <v>3776</v>
      </c>
      <c r="C1312" s="5" t="s">
        <v>3849</v>
      </c>
      <c r="D1312" s="5" t="s">
        <v>3031</v>
      </c>
      <c r="E1312" s="5" t="s">
        <v>23</v>
      </c>
      <c r="F1312" s="5" t="s">
        <v>3032</v>
      </c>
      <c r="G1312" s="5" t="s">
        <v>3033</v>
      </c>
      <c r="H1312" s="5" t="s">
        <v>3778</v>
      </c>
      <c r="I1312" s="5" t="s">
        <v>3850</v>
      </c>
      <c r="J1312" s="5" t="s">
        <v>3851</v>
      </c>
      <c r="K1312" s="7" t="str">
        <f ca="1">IFERROR(__xludf.DUMMYFUNCTION("GOOGLETRANSLATE(H1312,""EN"",""ES"")"),"OTROS UTENSILIOS DE COCINA Y MESA")</f>
        <v>OTROS UTENSILIOS DE COCINA Y MESA</v>
      </c>
      <c r="L1312" s="5" t="str">
        <f ca="1">IFERROR(__xludf.DUMMYFUNCTION("GOOGLETRANSLATE(J1312,""EN"",""ES"")"),"Ruedas [utensilios de mesa]")</f>
        <v>Ruedas [utensilios de mesa]</v>
      </c>
      <c r="M1312" s="8" t="s">
        <v>22</v>
      </c>
      <c r="N1312" s="8" t="s">
        <v>22</v>
      </c>
    </row>
    <row r="1313" spans="1:14" ht="11.25" customHeight="1">
      <c r="A1313" s="5" t="s">
        <v>3028</v>
      </c>
      <c r="B1313" s="5" t="s">
        <v>3776</v>
      </c>
      <c r="C1313" s="5" t="s">
        <v>3852</v>
      </c>
      <c r="D1313" s="5" t="s">
        <v>3031</v>
      </c>
      <c r="E1313" s="5" t="s">
        <v>23</v>
      </c>
      <c r="F1313" s="5" t="s">
        <v>3032</v>
      </c>
      <c r="G1313" s="5" t="s">
        <v>3033</v>
      </c>
      <c r="H1313" s="5" t="s">
        <v>3778</v>
      </c>
      <c r="I1313" s="5" t="s">
        <v>3853</v>
      </c>
      <c r="J1313" s="5" t="s">
        <v>3854</v>
      </c>
      <c r="K1313" s="7" t="str">
        <f ca="1">IFERROR(__xludf.DUMMYFUNCTION("GOOGLETRANSLATE(H1313,""EN"",""ES"")"),"OTROS UTENSILIOS DE COCINA Y MESA")</f>
        <v>OTROS UTENSILIOS DE COCINA Y MESA</v>
      </c>
      <c r="L1313" s="5" t="str">
        <f ca="1">IFERROR(__xludf.DUMMYFUNCTION("GOOGLETRANSLATE(J1313,""EN"",""ES"")"),"Sacacorchos")</f>
        <v>Sacacorchos</v>
      </c>
      <c r="M1313" s="8" t="s">
        <v>22</v>
      </c>
      <c r="N1313" s="8" t="s">
        <v>22</v>
      </c>
    </row>
    <row r="1314" spans="1:14" ht="11.25" customHeight="1">
      <c r="A1314" s="5" t="s">
        <v>3028</v>
      </c>
      <c r="B1314" s="5" t="s">
        <v>3776</v>
      </c>
      <c r="C1314" s="5" t="s">
        <v>3855</v>
      </c>
      <c r="D1314" s="5" t="s">
        <v>3031</v>
      </c>
      <c r="E1314" s="5" t="s">
        <v>23</v>
      </c>
      <c r="F1314" s="5" t="s">
        <v>3032</v>
      </c>
      <c r="G1314" s="5" t="s">
        <v>3033</v>
      </c>
      <c r="H1314" s="5" t="s">
        <v>3778</v>
      </c>
      <c r="I1314" s="5" t="s">
        <v>3856</v>
      </c>
      <c r="J1314" s="5" t="s">
        <v>3857</v>
      </c>
      <c r="K1314" s="7" t="str">
        <f ca="1">IFERROR(__xludf.DUMMYFUNCTION("GOOGLETRANSLATE(H1314,""EN"",""ES"")"),"OTROS UTENSILIOS DE COCINA Y MESA")</f>
        <v>OTROS UTENSILIOS DE COCINA Y MESA</v>
      </c>
      <c r="L1314" s="5" t="str">
        <f ca="1">IFERROR(__xludf.DUMMYFUNCTION("GOOGLETRANSLATE(J1314,""EN"",""ES"")"),"Servidores de pasteles")</f>
        <v>Servidores de pasteles</v>
      </c>
      <c r="M1314" s="8" t="s">
        <v>22</v>
      </c>
      <c r="N1314" s="8" t="s">
        <v>22</v>
      </c>
    </row>
    <row r="1315" spans="1:14" ht="11.25" customHeight="1">
      <c r="A1315" s="5" t="s">
        <v>3028</v>
      </c>
      <c r="B1315" s="5" t="s">
        <v>3776</v>
      </c>
      <c r="C1315" s="5" t="s">
        <v>3858</v>
      </c>
      <c r="D1315" s="5" t="s">
        <v>3031</v>
      </c>
      <c r="E1315" s="5" t="s">
        <v>23</v>
      </c>
      <c r="F1315" s="5" t="s">
        <v>3032</v>
      </c>
      <c r="G1315" s="5" t="s">
        <v>3033</v>
      </c>
      <c r="H1315" s="5" t="s">
        <v>3778</v>
      </c>
      <c r="I1315" s="5" t="s">
        <v>3859</v>
      </c>
      <c r="J1315" s="5" t="s">
        <v>3860</v>
      </c>
      <c r="K1315" s="7" t="str">
        <f ca="1">IFERROR(__xludf.DUMMYFUNCTION("GOOGLETRANSLATE(H1315,""EN"",""ES"")"),"OTROS UTENSILIOS DE COCINA Y MESA")</f>
        <v>OTROS UTENSILIOS DE COCINA Y MESA</v>
      </c>
      <c r="L1315" s="5" t="str">
        <f ca="1">IFERROR(__xludf.DUMMYFUNCTION("GOOGLETRANSLATE(J1315,""EN"",""ES"")"),"Portacondimentos y dispensadores")</f>
        <v>Portacondimentos y dispensadores</v>
      </c>
      <c r="M1315" s="8" t="s">
        <v>22</v>
      </c>
      <c r="N1315" s="8" t="s">
        <v>22</v>
      </c>
    </row>
    <row r="1316" spans="1:14" ht="11.25" customHeight="1">
      <c r="A1316" s="5" t="s">
        <v>3028</v>
      </c>
      <c r="B1316" s="5" t="s">
        <v>3776</v>
      </c>
      <c r="C1316" s="5" t="s">
        <v>3861</v>
      </c>
      <c r="D1316" s="5" t="s">
        <v>3031</v>
      </c>
      <c r="E1316" s="5" t="s">
        <v>23</v>
      </c>
      <c r="F1316" s="5" t="s">
        <v>3032</v>
      </c>
      <c r="G1316" s="5" t="s">
        <v>3033</v>
      </c>
      <c r="H1316" s="5" t="s">
        <v>3778</v>
      </c>
      <c r="I1316" s="5" t="s">
        <v>3862</v>
      </c>
      <c r="J1316" s="5" t="s">
        <v>3863</v>
      </c>
      <c r="K1316" s="7" t="str">
        <f ca="1">IFERROR(__xludf.DUMMYFUNCTION("GOOGLETRANSLATE(H1316,""EN"",""ES"")"),"OTROS UTENSILIOS DE COCINA Y MESA")</f>
        <v>OTROS UTENSILIOS DE COCINA Y MESA</v>
      </c>
      <c r="L1316" s="5" t="str">
        <f ca="1">IFERROR(__xludf.DUMMYFUNCTION("GOOGLETRANSLATE(J1316,""EN"",""ES"")"),"Raspadores de espuma de cerveza")</f>
        <v>Raspadores de espuma de cerveza</v>
      </c>
      <c r="M1316" s="8" t="s">
        <v>22</v>
      </c>
      <c r="N1316" s="8" t="s">
        <v>22</v>
      </c>
    </row>
    <row r="1317" spans="1:14" ht="11.25" customHeight="1">
      <c r="A1317" s="5" t="s">
        <v>3028</v>
      </c>
      <c r="B1317" s="5" t="s">
        <v>3776</v>
      </c>
      <c r="C1317" s="5" t="s">
        <v>3864</v>
      </c>
      <c r="D1317" s="5" t="s">
        <v>3031</v>
      </c>
      <c r="E1317" s="5" t="s">
        <v>23</v>
      </c>
      <c r="F1317" s="5" t="s">
        <v>3032</v>
      </c>
      <c r="G1317" s="5" t="s">
        <v>3033</v>
      </c>
      <c r="H1317" s="5" t="s">
        <v>3778</v>
      </c>
      <c r="I1317" s="5" t="s">
        <v>3865</v>
      </c>
      <c r="J1317" s="5" t="s">
        <v>3866</v>
      </c>
      <c r="K1317" s="7" t="str">
        <f ca="1">IFERROR(__xludf.DUMMYFUNCTION("GOOGLETRANSLATE(H1317,""EN"",""ES"")"),"OTROS UTENSILIOS DE COCINA Y MESA")</f>
        <v>OTROS UTENSILIOS DE COCINA Y MESA</v>
      </c>
      <c r="L1317" s="5" t="str">
        <f ca="1">IFERROR(__xludf.DUMMYFUNCTION("GOOGLETRANSLATE(J1317,""EN"",""ES"")"),"Abridores de botellas")</f>
        <v>Abridores de botellas</v>
      </c>
      <c r="M1317" s="8" t="s">
        <v>22</v>
      </c>
      <c r="N1317" s="8" t="s">
        <v>22</v>
      </c>
    </row>
    <row r="1318" spans="1:14" ht="11.25" customHeight="1">
      <c r="A1318" s="5" t="s">
        <v>3028</v>
      </c>
      <c r="B1318" s="5" t="s">
        <v>3776</v>
      </c>
      <c r="C1318" s="5" t="s">
        <v>3867</v>
      </c>
      <c r="D1318" s="5" t="s">
        <v>3031</v>
      </c>
      <c r="E1318" s="5" t="s">
        <v>23</v>
      </c>
      <c r="F1318" s="5" t="s">
        <v>3032</v>
      </c>
      <c r="G1318" s="5" t="s">
        <v>3033</v>
      </c>
      <c r="H1318" s="5" t="s">
        <v>3778</v>
      </c>
      <c r="I1318" s="5" t="s">
        <v>3868</v>
      </c>
      <c r="J1318" s="5" t="s">
        <v>3869</v>
      </c>
      <c r="K1318" s="7" t="str">
        <f ca="1">IFERROR(__xludf.DUMMYFUNCTION("GOOGLETRANSLATE(H1318,""EN"",""ES"")"),"OTROS UTENSILIOS DE COCINA Y MESA")</f>
        <v>OTROS UTENSILIOS DE COCINA Y MESA</v>
      </c>
      <c r="L1318" s="5" t="str">
        <f ca="1">IFERROR(__xludf.DUMMYFUNCTION("GOOGLETRANSLATE(J1318,""EN"",""ES"")"),"Clips para manteles")</f>
        <v>Clips para manteles</v>
      </c>
      <c r="M1318" s="8" t="s">
        <v>22</v>
      </c>
      <c r="N1318" s="8" t="s">
        <v>22</v>
      </c>
    </row>
    <row r="1319" spans="1:14" ht="11.25" customHeight="1">
      <c r="A1319" s="5" t="s">
        <v>3028</v>
      </c>
      <c r="B1319" s="5" t="s">
        <v>3776</v>
      </c>
      <c r="C1319" s="5" t="s">
        <v>3870</v>
      </c>
      <c r="D1319" s="5" t="s">
        <v>3031</v>
      </c>
      <c r="E1319" s="5" t="s">
        <v>23</v>
      </c>
      <c r="F1319" s="5" t="s">
        <v>3032</v>
      </c>
      <c r="G1319" s="5" t="s">
        <v>3033</v>
      </c>
      <c r="H1319" s="5" t="s">
        <v>3778</v>
      </c>
      <c r="I1319" s="5" t="s">
        <v>3871</v>
      </c>
      <c r="J1319" s="5" t="s">
        <v>3872</v>
      </c>
      <c r="K1319" s="7" t="str">
        <f ca="1">IFERROR(__xludf.DUMMYFUNCTION("GOOGLETRANSLATE(H1319,""EN"",""ES"")"),"OTROS UTENSILIOS DE COCINA Y MESA")</f>
        <v>OTROS UTENSILIOS DE COCINA Y MESA</v>
      </c>
      <c r="L1319" s="5" t="str">
        <f ca="1">IFERROR(__xludf.DUMMYFUNCTION("GOOGLETRANSLATE(J1319,""EN"",""ES"")"),"Reposacuchillos, tenedores y cucharas")</f>
        <v>Reposacuchillos, tenedores y cucharas</v>
      </c>
      <c r="M1319" s="8" t="s">
        <v>22</v>
      </c>
      <c r="N1319" s="8" t="s">
        <v>22</v>
      </c>
    </row>
    <row r="1320" spans="1:14" ht="11.25" customHeight="1">
      <c r="A1320" s="5" t="s">
        <v>3028</v>
      </c>
      <c r="B1320" s="5" t="s">
        <v>3776</v>
      </c>
      <c r="C1320" s="5" t="s">
        <v>3873</v>
      </c>
      <c r="D1320" s="5" t="s">
        <v>3031</v>
      </c>
      <c r="E1320" s="5" t="s">
        <v>23</v>
      </c>
      <c r="F1320" s="5" t="s">
        <v>3032</v>
      </c>
      <c r="G1320" s="5" t="s">
        <v>3033</v>
      </c>
      <c r="H1320" s="5" t="s">
        <v>3778</v>
      </c>
      <c r="I1320" s="5" t="s">
        <v>3874</v>
      </c>
      <c r="J1320" s="5" t="s">
        <v>3875</v>
      </c>
      <c r="K1320" s="7" t="str">
        <f ca="1">IFERROR(__xludf.DUMMYFUNCTION("GOOGLETRANSLATE(H1320,""EN"",""ES"")"),"OTROS UTENSILIOS DE COCINA Y MESA")</f>
        <v>OTROS UTENSILIOS DE COCINA Y MESA</v>
      </c>
      <c r="L1320" s="5" t="str">
        <f ca="1">IFERROR(__xludf.DUMMYFUNCTION("GOOGLETRANSLATE(J1320,""EN"",""ES"")"),"pajitas para beber")</f>
        <v>pajitas para beber</v>
      </c>
      <c r="M1320" s="8" t="s">
        <v>22</v>
      </c>
      <c r="N1320" s="8" t="s">
        <v>22</v>
      </c>
    </row>
    <row r="1321" spans="1:14" ht="11.25" customHeight="1">
      <c r="A1321" s="5" t="s">
        <v>3028</v>
      </c>
      <c r="B1321" s="5" t="s">
        <v>3776</v>
      </c>
      <c r="C1321" s="5" t="s">
        <v>3873</v>
      </c>
      <c r="D1321" s="5" t="s">
        <v>3031</v>
      </c>
      <c r="E1321" s="5" t="s">
        <v>23</v>
      </c>
      <c r="F1321" s="5" t="s">
        <v>3032</v>
      </c>
      <c r="G1321" s="5" t="s">
        <v>3033</v>
      </c>
      <c r="H1321" s="5" t="s">
        <v>3778</v>
      </c>
      <c r="I1321" s="5" t="s">
        <v>152</v>
      </c>
      <c r="J1321" s="5" t="s">
        <v>3876</v>
      </c>
      <c r="K1321" s="7" t="str">
        <f ca="1">IFERROR(__xludf.DUMMYFUNCTION("GOOGLETRANSLATE(H1321,""EN"",""ES"")"),"OTROS UTENSILIOS DE COCINA Y MESA")</f>
        <v>OTROS UTENSILIOS DE COCINA Y MESA</v>
      </c>
      <c r="L1321" s="5" t="str">
        <f ca="1">IFERROR(__xludf.DUMMYFUNCTION("GOOGLETRANSLATE(J1321,""EN"",""ES"")"),"N / A")</f>
        <v>N / A</v>
      </c>
      <c r="M1321" s="8" t="s">
        <v>22</v>
      </c>
      <c r="N1321" s="8" t="s">
        <v>22</v>
      </c>
    </row>
    <row r="1322" spans="1:14" ht="11.25" customHeight="1">
      <c r="A1322" s="5" t="s">
        <v>3028</v>
      </c>
      <c r="B1322" s="5" t="s">
        <v>3776</v>
      </c>
      <c r="C1322" s="5" t="s">
        <v>3877</v>
      </c>
      <c r="D1322" s="5" t="s">
        <v>3031</v>
      </c>
      <c r="E1322" s="5" t="s">
        <v>23</v>
      </c>
      <c r="F1322" s="5" t="s">
        <v>3032</v>
      </c>
      <c r="G1322" s="5" t="s">
        <v>3033</v>
      </c>
      <c r="H1322" s="5" t="s">
        <v>3778</v>
      </c>
      <c r="I1322" s="5" t="s">
        <v>3878</v>
      </c>
      <c r="J1322" s="5" t="s">
        <v>3879</v>
      </c>
      <c r="K1322" s="7" t="str">
        <f ca="1">IFERROR(__xludf.DUMMYFUNCTION("GOOGLETRANSLATE(H1322,""EN"",""ES"")"),"OTROS UTENSILIOS DE COCINA Y MESA")</f>
        <v>OTROS UTENSILIOS DE COCINA Y MESA</v>
      </c>
      <c r="L1322" s="5" t="str">
        <f ca="1">IFERROR(__xludf.DUMMYFUNCTION("GOOGLETRANSLATE(J1322,""EN"",""ES"")"),"Soportes para mazorcas de maíz [para mazorcas de maíz]")</f>
        <v>Soportes para mazorcas de maíz [para mazorcas de maíz]</v>
      </c>
      <c r="M1322" s="8" t="s">
        <v>22</v>
      </c>
      <c r="N1322" s="8" t="s">
        <v>22</v>
      </c>
    </row>
    <row r="1323" spans="1:14" ht="11.25" customHeight="1">
      <c r="A1323" s="5" t="s">
        <v>3028</v>
      </c>
      <c r="B1323" s="5" t="s">
        <v>3776</v>
      </c>
      <c r="C1323" s="5" t="s">
        <v>3880</v>
      </c>
      <c r="D1323" s="5" t="s">
        <v>3031</v>
      </c>
      <c r="E1323" s="5" t="s">
        <v>23</v>
      </c>
      <c r="F1323" s="5" t="s">
        <v>3032</v>
      </c>
      <c r="G1323" s="5" t="s">
        <v>3033</v>
      </c>
      <c r="H1323" s="5" t="s">
        <v>3778</v>
      </c>
      <c r="I1323" s="5" t="s">
        <v>3881</v>
      </c>
      <c r="J1323" s="5" t="s">
        <v>3882</v>
      </c>
      <c r="K1323" s="7" t="str">
        <f ca="1">IFERROR(__xludf.DUMMYFUNCTION("GOOGLETRANSLATE(H1323,""EN"",""ES"")"),"OTROS UTENSILIOS DE COCINA Y MESA")</f>
        <v>OTROS UTENSILIOS DE COCINA Y MESA</v>
      </c>
      <c r="L1323" s="5" t="str">
        <f ca="1">IFERROR(__xludf.DUMMYFUNCTION("GOOGLETRANSLATE(J1323,""EN"",""ES"")"),"Cortadoras de pastel")</f>
        <v>Cortadoras de pastel</v>
      </c>
      <c r="M1323" s="8" t="s">
        <v>22</v>
      </c>
      <c r="N1323" s="8" t="s">
        <v>22</v>
      </c>
    </row>
    <row r="1324" spans="1:14" ht="11.25" customHeight="1">
      <c r="A1324" s="5" t="s">
        <v>3028</v>
      </c>
      <c r="B1324" s="5" t="s">
        <v>3776</v>
      </c>
      <c r="C1324" s="5" t="s">
        <v>3883</v>
      </c>
      <c r="D1324" s="5" t="s">
        <v>3031</v>
      </c>
      <c r="E1324" s="5" t="s">
        <v>23</v>
      </c>
      <c r="F1324" s="5" t="s">
        <v>3032</v>
      </c>
      <c r="G1324" s="5" t="s">
        <v>3033</v>
      </c>
      <c r="H1324" s="5" t="s">
        <v>3778</v>
      </c>
      <c r="I1324" s="5" t="s">
        <v>3884</v>
      </c>
      <c r="J1324" s="5" t="s">
        <v>3885</v>
      </c>
      <c r="K1324" s="7" t="str">
        <f ca="1">IFERROR(__xludf.DUMMYFUNCTION("GOOGLETRANSLATE(H1324,""EN"",""ES"")"),"OTROS UTENSILIOS DE COCINA Y MESA")</f>
        <v>OTROS UTENSILIOS DE COCINA Y MESA</v>
      </c>
      <c r="L1324" s="5" t="str">
        <f ca="1">IFERROR(__xludf.DUMMYFUNCTION("GOOGLETRANSLATE(J1324,""EN"",""ES"")"),"Parrillas para tostadas")</f>
        <v>Parrillas para tostadas</v>
      </c>
      <c r="M1324" s="8" t="s">
        <v>22</v>
      </c>
      <c r="N1324" s="8" t="s">
        <v>22</v>
      </c>
    </row>
    <row r="1325" spans="1:14" ht="11.25" customHeight="1">
      <c r="A1325" s="5" t="s">
        <v>3028</v>
      </c>
      <c r="B1325" s="5" t="s">
        <v>3776</v>
      </c>
      <c r="C1325" s="5" t="s">
        <v>3886</v>
      </c>
      <c r="D1325" s="5" t="s">
        <v>3031</v>
      </c>
      <c r="E1325" s="5" t="s">
        <v>23</v>
      </c>
      <c r="F1325" s="5" t="s">
        <v>3032</v>
      </c>
      <c r="G1325" s="5" t="s">
        <v>3033</v>
      </c>
      <c r="H1325" s="5" t="s">
        <v>3778</v>
      </c>
      <c r="I1325" s="5" t="s">
        <v>3887</v>
      </c>
      <c r="J1325" s="5" t="s">
        <v>3888</v>
      </c>
      <c r="K1325" s="7" t="str">
        <f ca="1">IFERROR(__xludf.DUMMYFUNCTION("GOOGLETRANSLATE(H1325,""EN"",""ES"")"),"OTROS UTENSILIOS DE COCINA Y MESA")</f>
        <v>OTROS UTENSILIOS DE COCINA Y MESA</v>
      </c>
      <c r="L1325" s="5" t="str">
        <f ca="1">IFERROR(__xludf.DUMMYFUNCTION("GOOGLETRANSLATE(J1325,""EN"",""ES"")"),"Contenedores de mesa")</f>
        <v>Contenedores de mesa</v>
      </c>
      <c r="M1325" s="8" t="s">
        <v>22</v>
      </c>
      <c r="N1325" s="8" t="s">
        <v>22</v>
      </c>
    </row>
    <row r="1326" spans="1:14" ht="11.25" customHeight="1">
      <c r="A1326" s="5" t="s">
        <v>3028</v>
      </c>
      <c r="B1326" s="5" t="s">
        <v>3776</v>
      </c>
      <c r="C1326" s="5" t="s">
        <v>3889</v>
      </c>
      <c r="D1326" s="5" t="s">
        <v>3031</v>
      </c>
      <c r="E1326" s="5" t="s">
        <v>23</v>
      </c>
      <c r="F1326" s="5" t="s">
        <v>3032</v>
      </c>
      <c r="G1326" s="5" t="s">
        <v>3033</v>
      </c>
      <c r="H1326" s="5" t="s">
        <v>3778</v>
      </c>
      <c r="I1326" s="5" t="s">
        <v>3890</v>
      </c>
      <c r="J1326" s="5" t="s">
        <v>3891</v>
      </c>
      <c r="K1326" s="7" t="str">
        <f ca="1">IFERROR(__xludf.DUMMYFUNCTION("GOOGLETRANSLATE(H1326,""EN"",""ES"")"),"OTROS UTENSILIOS DE COCINA Y MESA")</f>
        <v>OTROS UTENSILIOS DE COCINA Y MESA</v>
      </c>
      <c r="L1326" s="5" t="str">
        <f ca="1">IFERROR(__xludf.DUMMYFUNCTION("GOOGLETRANSLATE(J1326,""EN"",""ES"")"),"Dispositivos para sujetar servilletas que se llevan alrededor del cuello.")</f>
        <v>Dispositivos para sujetar servilletas que se llevan alrededor del cuello.</v>
      </c>
      <c r="M1326" s="8" t="s">
        <v>22</v>
      </c>
      <c r="N1326" s="8" t="s">
        <v>22</v>
      </c>
    </row>
    <row r="1327" spans="1:14" ht="11.25" customHeight="1">
      <c r="A1327" s="5" t="s">
        <v>3028</v>
      </c>
      <c r="B1327" s="5" t="s">
        <v>3776</v>
      </c>
      <c r="C1327" s="5" t="s">
        <v>3892</v>
      </c>
      <c r="D1327" s="5" t="s">
        <v>3031</v>
      </c>
      <c r="E1327" s="5" t="s">
        <v>23</v>
      </c>
      <c r="F1327" s="5" t="s">
        <v>3032</v>
      </c>
      <c r="G1327" s="5" t="s">
        <v>3033</v>
      </c>
      <c r="H1327" s="5" t="s">
        <v>3778</v>
      </c>
      <c r="I1327" s="5" t="s">
        <v>3893</v>
      </c>
      <c r="J1327" s="5" t="s">
        <v>3894</v>
      </c>
      <c r="K1327" s="7" t="str">
        <f ca="1">IFERROR(__xludf.DUMMYFUNCTION("GOOGLETRANSLATE(H1327,""EN"",""ES"")"),"OTROS UTENSILIOS DE COCINA Y MESA")</f>
        <v>OTROS UTENSILIOS DE COCINA Y MESA</v>
      </c>
      <c r="L1327" s="5" t="str">
        <f ca="1">IFERROR(__xludf.DUMMYFUNCTION("GOOGLETRANSLATE(J1327,""EN"",""ES"")"),"Calentadores de tortillas")</f>
        <v>Calentadores de tortillas</v>
      </c>
      <c r="M1327" s="8" t="s">
        <v>22</v>
      </c>
      <c r="N1327" s="8" t="s">
        <v>22</v>
      </c>
    </row>
    <row r="1328" spans="1:14" ht="11.25" customHeight="1">
      <c r="A1328" s="5" t="s">
        <v>3028</v>
      </c>
      <c r="B1328" s="5" t="s">
        <v>3776</v>
      </c>
      <c r="C1328" s="5" t="s">
        <v>3895</v>
      </c>
      <c r="D1328" s="5" t="s">
        <v>3031</v>
      </c>
      <c r="E1328" s="5" t="s">
        <v>23</v>
      </c>
      <c r="F1328" s="5" t="s">
        <v>3032</v>
      </c>
      <c r="G1328" s="5" t="s">
        <v>3033</v>
      </c>
      <c r="H1328" s="5" t="s">
        <v>3778</v>
      </c>
      <c r="I1328" s="5" t="s">
        <v>3896</v>
      </c>
      <c r="J1328" s="5" t="s">
        <v>3897</v>
      </c>
      <c r="K1328" s="7" t="str">
        <f ca="1">IFERROR(__xludf.DUMMYFUNCTION("GOOGLETRANSLATE(H1328,""EN"",""ES"")"),"OTROS UTENSILIOS DE COCINA Y MESA")</f>
        <v>OTROS UTENSILIOS DE COCINA Y MESA</v>
      </c>
      <c r="L1328" s="5" t="str">
        <f ca="1">IFERROR(__xludf.DUMMYFUNCTION("GOOGLETRANSLATE(J1328,""EN"",""ES"")"),"Cortadores de láminas para botellas.")</f>
        <v>Cortadores de láminas para botellas.</v>
      </c>
      <c r="M1328" s="8" t="s">
        <v>22</v>
      </c>
      <c r="N1328" s="8" t="s">
        <v>22</v>
      </c>
    </row>
    <row r="1329" spans="1:14" ht="11.25" customHeight="1">
      <c r="A1329" s="5" t="s">
        <v>3028</v>
      </c>
      <c r="B1329" s="5" t="s">
        <v>3776</v>
      </c>
      <c r="C1329" s="5" t="s">
        <v>3898</v>
      </c>
      <c r="D1329" s="5" t="s">
        <v>3031</v>
      </c>
      <c r="E1329" s="5" t="s">
        <v>23</v>
      </c>
      <c r="F1329" s="5" t="s">
        <v>3032</v>
      </c>
      <c r="G1329" s="5" t="s">
        <v>3033</v>
      </c>
      <c r="H1329" s="5" t="s">
        <v>3778</v>
      </c>
      <c r="I1329" s="5" t="s">
        <v>3899</v>
      </c>
      <c r="J1329" s="5" t="s">
        <v>3900</v>
      </c>
      <c r="K1329" s="7" t="str">
        <f ca="1">IFERROR(__xludf.DUMMYFUNCTION("GOOGLETRANSLATE(H1329,""EN"",""ES"")"),"OTROS UTENSILIOS DE COCINA Y MESA")</f>
        <v>OTROS UTENSILIOS DE COCINA Y MESA</v>
      </c>
      <c r="L1329" s="5" t="str">
        <f ca="1">IFERROR(__xludf.DUMMYFUNCTION("GOOGLETRANSLATE(J1329,""EN"",""ES"")"),"Abridores de tarros")</f>
        <v>Abridores de tarros</v>
      </c>
      <c r="M1329" s="8" t="s">
        <v>22</v>
      </c>
      <c r="N1329" s="8" t="s">
        <v>22</v>
      </c>
    </row>
    <row r="1330" spans="1:14" ht="11.25" customHeight="1">
      <c r="A1330" s="5" t="s">
        <v>3028</v>
      </c>
      <c r="B1330" s="5" t="s">
        <v>3776</v>
      </c>
      <c r="C1330" s="5" t="s">
        <v>3901</v>
      </c>
      <c r="D1330" s="5" t="s">
        <v>3031</v>
      </c>
      <c r="E1330" s="5" t="s">
        <v>23</v>
      </c>
      <c r="F1330" s="5" t="s">
        <v>3032</v>
      </c>
      <c r="G1330" s="5" t="s">
        <v>3033</v>
      </c>
      <c r="H1330" s="5" t="s">
        <v>3778</v>
      </c>
      <c r="I1330" s="5" t="s">
        <v>3902</v>
      </c>
      <c r="J1330" s="5" t="s">
        <v>3903</v>
      </c>
      <c r="K1330" s="7" t="str">
        <f ca="1">IFERROR(__xludf.DUMMYFUNCTION("GOOGLETRANSLATE(H1330,""EN"",""ES"")"),"OTROS UTENSILIOS DE COCINA Y MESA")</f>
        <v>OTROS UTENSILIOS DE COCINA Y MESA</v>
      </c>
      <c r="L1330" s="5" t="str">
        <f ca="1">IFERROR(__xludf.DUMMYFUNCTION("GOOGLETRANSLATE(J1330,""EN"",""ES"")"),"Tapones de vino [utensilios de mesa]")</f>
        <v>Tapones de vino [utensilios de mesa]</v>
      </c>
      <c r="M1330" s="8" t="s">
        <v>22</v>
      </c>
      <c r="N1330" s="8" t="s">
        <v>22</v>
      </c>
    </row>
    <row r="1331" spans="1:14" ht="11.25" customHeight="1">
      <c r="A1331" s="5" t="s">
        <v>3028</v>
      </c>
      <c r="B1331" s="5" t="s">
        <v>3776</v>
      </c>
      <c r="C1331" s="5" t="s">
        <v>3904</v>
      </c>
      <c r="D1331" s="5" t="s">
        <v>3031</v>
      </c>
      <c r="E1331" s="5" t="s">
        <v>23</v>
      </c>
      <c r="F1331" s="5" t="s">
        <v>3032</v>
      </c>
      <c r="G1331" s="5" t="s">
        <v>3033</v>
      </c>
      <c r="H1331" s="5" t="s">
        <v>3778</v>
      </c>
      <c r="I1331" s="5" t="s">
        <v>3905</v>
      </c>
      <c r="J1331" s="5" t="s">
        <v>3906</v>
      </c>
      <c r="K1331" s="7" t="str">
        <f ca="1">IFERROR(__xludf.DUMMYFUNCTION("GOOGLETRANSLATE(H1331,""EN"",""ES"")"),"OTROS UTENSILIOS DE COCINA Y MESA")</f>
        <v>OTROS UTENSILIOS DE COCINA Y MESA</v>
      </c>
      <c r="L1331" s="5" t="str">
        <f ca="1">IFERROR(__xludf.DUMMYFUNCTION("GOOGLETRANSLATE(J1331,""EN"",""ES"")"),"galletas de cangrejo")</f>
        <v>galletas de cangrejo</v>
      </c>
      <c r="M1331" s="8" t="s">
        <v>22</v>
      </c>
      <c r="N1331" s="8" t="s">
        <v>22</v>
      </c>
    </row>
    <row r="1332" spans="1:14" ht="11.25" customHeight="1">
      <c r="A1332" s="5" t="s">
        <v>3028</v>
      </c>
      <c r="B1332" s="5" t="s">
        <v>3776</v>
      </c>
      <c r="C1332" s="5" t="s">
        <v>3907</v>
      </c>
      <c r="D1332" s="5" t="s">
        <v>3031</v>
      </c>
      <c r="E1332" s="5" t="s">
        <v>23</v>
      </c>
      <c r="F1332" s="5" t="s">
        <v>3032</v>
      </c>
      <c r="G1332" s="5" t="s">
        <v>3033</v>
      </c>
      <c r="H1332" s="5" t="s">
        <v>3778</v>
      </c>
      <c r="I1332" s="5" t="s">
        <v>3908</v>
      </c>
      <c r="J1332" s="5" t="s">
        <v>3909</v>
      </c>
      <c r="K1332" s="7" t="str">
        <f ca="1">IFERROR(__xludf.DUMMYFUNCTION("GOOGLETRANSLATE(H1332,""EN"",""ES"")"),"OTROS UTENSILIOS DE COCINA Y MESA")</f>
        <v>OTROS UTENSILIOS DE COCINA Y MESA</v>
      </c>
      <c r="L1332" s="5" t="str">
        <f ca="1">IFERROR(__xludf.DUMMYFUNCTION("GOOGLETRANSLATE(J1332,""EN"",""ES"")"),"Abrelatas")</f>
        <v>Abrelatas</v>
      </c>
      <c r="M1332" s="8" t="s">
        <v>22</v>
      </c>
      <c r="N1332" s="8" t="s">
        <v>22</v>
      </c>
    </row>
    <row r="1333" spans="1:14" ht="11.25" customHeight="1">
      <c r="A1333" s="5" t="s">
        <v>3028</v>
      </c>
      <c r="B1333" s="5" t="s">
        <v>3776</v>
      </c>
      <c r="C1333" s="5" t="s">
        <v>3907</v>
      </c>
      <c r="D1333" s="5" t="s">
        <v>3031</v>
      </c>
      <c r="E1333" s="5" t="s">
        <v>23</v>
      </c>
      <c r="F1333" s="5" t="s">
        <v>3032</v>
      </c>
      <c r="G1333" s="5" t="s">
        <v>3033</v>
      </c>
      <c r="H1333" s="5" t="s">
        <v>3778</v>
      </c>
      <c r="I1333" s="5" t="s">
        <v>3910</v>
      </c>
      <c r="J1333" s="5" t="s">
        <v>152</v>
      </c>
      <c r="K1333" s="7" t="str">
        <f ca="1">IFERROR(__xludf.DUMMYFUNCTION("GOOGLETRANSLATE(H1333,""EN"",""ES"")"),"OTROS UTENSILIOS DE COCINA Y MESA")</f>
        <v>OTROS UTENSILIOS DE COCINA Y MESA</v>
      </c>
      <c r="L1333" s="5" t="str">
        <f ca="1">IFERROR(__xludf.DUMMYFUNCTION("GOOGLETRANSLATE(J1333,""EN"",""ES"")"),"abrelatas")</f>
        <v>abrelatas</v>
      </c>
      <c r="M1333" s="8" t="s">
        <v>22</v>
      </c>
      <c r="N1333" s="8" t="s">
        <v>22</v>
      </c>
    </row>
    <row r="1334" spans="1:14" ht="11.25" customHeight="1">
      <c r="A1334" s="5" t="s">
        <v>3028</v>
      </c>
      <c r="B1334" s="5" t="s">
        <v>3776</v>
      </c>
      <c r="C1334" s="5" t="s">
        <v>3911</v>
      </c>
      <c r="D1334" s="5" t="s">
        <v>3031</v>
      </c>
      <c r="E1334" s="5" t="s">
        <v>23</v>
      </c>
      <c r="F1334" s="5" t="s">
        <v>3032</v>
      </c>
      <c r="G1334" s="5" t="s">
        <v>3033</v>
      </c>
      <c r="H1334" s="5" t="s">
        <v>3778</v>
      </c>
      <c r="I1334" s="5" t="s">
        <v>3912</v>
      </c>
      <c r="J1334" s="5" t="s">
        <v>3913</v>
      </c>
      <c r="K1334" s="7" t="str">
        <f ca="1">IFERROR(__xludf.DUMMYFUNCTION("GOOGLETRANSLATE(H1334,""EN"",""ES"")"),"OTROS UTENSILIOS DE COCINA Y MESA")</f>
        <v>OTROS UTENSILIOS DE COCINA Y MESA</v>
      </c>
      <c r="L1334" s="5" t="str">
        <f ca="1">IFERROR(__xludf.DUMMYFUNCTION("GOOGLETRANSLATE(J1334,""EN"",""ES"")"),"Exprimidores de tubos")</f>
        <v>Exprimidores de tubos</v>
      </c>
      <c r="M1334" s="8" t="s">
        <v>22</v>
      </c>
      <c r="N1334" s="8" t="s">
        <v>22</v>
      </c>
    </row>
    <row r="1335" spans="1:14" ht="11.25" customHeight="1">
      <c r="A1335" s="5" t="s">
        <v>3028</v>
      </c>
      <c r="B1335" s="5" t="s">
        <v>3776</v>
      </c>
      <c r="C1335" s="5" t="s">
        <v>3914</v>
      </c>
      <c r="D1335" s="5" t="s">
        <v>3031</v>
      </c>
      <c r="E1335" s="5" t="s">
        <v>23</v>
      </c>
      <c r="F1335" s="5" t="s">
        <v>3032</v>
      </c>
      <c r="G1335" s="5" t="s">
        <v>3033</v>
      </c>
      <c r="H1335" s="5" t="s">
        <v>3778</v>
      </c>
      <c r="I1335" s="5" t="s">
        <v>3915</v>
      </c>
      <c r="J1335" s="5" t="s">
        <v>3916</v>
      </c>
      <c r="K1335" s="7" t="str">
        <f ca="1">IFERROR(__xludf.DUMMYFUNCTION("GOOGLETRANSLATE(H1335,""EN"",""ES"")"),"OTROS UTENSILIOS DE COCINA Y MESA")</f>
        <v>OTROS UTENSILIOS DE COCINA Y MESA</v>
      </c>
      <c r="L1335" s="5" t="str">
        <f ca="1">IFERROR(__xludf.DUMMYFUNCTION("GOOGLETRANSLATE(J1335,""EN"",""ES"")"),"Aireadores de vino [utensilios de mesa]")</f>
        <v>Aireadores de vino [utensilios de mesa]</v>
      </c>
      <c r="M1335" s="8" t="s">
        <v>22</v>
      </c>
      <c r="N1335" s="8" t="s">
        <v>22</v>
      </c>
    </row>
    <row r="1336" spans="1:14" ht="11.25" customHeight="1">
      <c r="A1336" s="5" t="s">
        <v>3028</v>
      </c>
      <c r="B1336" s="5" t="s">
        <v>3917</v>
      </c>
      <c r="C1336" s="5" t="s">
        <v>3918</v>
      </c>
      <c r="D1336" s="5" t="s">
        <v>3031</v>
      </c>
      <c r="E1336" s="5" t="s">
        <v>23</v>
      </c>
      <c r="F1336" s="5" t="s">
        <v>3032</v>
      </c>
      <c r="G1336" s="5" t="s">
        <v>3033</v>
      </c>
      <c r="H1336" s="5" t="s">
        <v>3919</v>
      </c>
      <c r="I1336" s="5" t="s">
        <v>3920</v>
      </c>
      <c r="J1336" s="5" t="s">
        <v>3921</v>
      </c>
      <c r="K1336" s="7" t="str">
        <f ca="1">IFERROR(__xludf.DUMMYFUNCTION("GOOGLETRANSLATE(H1336,""EN"",""ES"")"),"OTROS RECEPTÁCULOS DOMÉSTICOS")</f>
        <v>OTROS RECEPTÁCULOS DOMÉSTICOS</v>
      </c>
      <c r="L1336" s="5" t="str">
        <f ca="1">IFERROR(__xludf.DUMMYFUNCTION("GOOGLETRANSLATE(J1336,""EN"",""ES"")"),"Cajas de especias")</f>
        <v>Cajas de especias</v>
      </c>
      <c r="M1336" s="8" t="s">
        <v>22</v>
      </c>
      <c r="N1336" s="8" t="s">
        <v>22</v>
      </c>
    </row>
    <row r="1337" spans="1:14" ht="11.25" customHeight="1">
      <c r="A1337" s="5" t="s">
        <v>3028</v>
      </c>
      <c r="B1337" s="5" t="s">
        <v>3917</v>
      </c>
      <c r="C1337" s="5" t="s">
        <v>3922</v>
      </c>
      <c r="D1337" s="5" t="s">
        <v>3031</v>
      </c>
      <c r="E1337" s="5" t="s">
        <v>23</v>
      </c>
      <c r="F1337" s="5" t="s">
        <v>3032</v>
      </c>
      <c r="G1337" s="5" t="s">
        <v>3033</v>
      </c>
      <c r="H1337" s="5" t="s">
        <v>3919</v>
      </c>
      <c r="I1337" s="5" t="s">
        <v>3923</v>
      </c>
      <c r="J1337" s="5" t="s">
        <v>3924</v>
      </c>
      <c r="K1337" s="7" t="str">
        <f ca="1">IFERROR(__xludf.DUMMYFUNCTION("GOOGLETRANSLATE(H1337,""EN"",""ES"")"),"OTROS RECEPTÁCULOS DOMÉSTICOS")</f>
        <v>OTROS RECEPTÁCULOS DOMÉSTICOS</v>
      </c>
      <c r="L1337" s="5" t="str">
        <f ca="1">IFERROR(__xludf.DUMMYFUNCTION("GOOGLETRANSLATE(J1337,""EN"",""ES"")"),"Contenedores de almacenamiento para uso en refrigeradores.")</f>
        <v>Contenedores de almacenamiento para uso en refrigeradores.</v>
      </c>
      <c r="M1337" s="8" t="s">
        <v>22</v>
      </c>
      <c r="N1337" s="8" t="s">
        <v>22</v>
      </c>
    </row>
    <row r="1338" spans="1:14" ht="11.25" customHeight="1">
      <c r="A1338" s="5" t="s">
        <v>3028</v>
      </c>
      <c r="B1338" s="5" t="s">
        <v>3917</v>
      </c>
      <c r="C1338" s="5" t="s">
        <v>3925</v>
      </c>
      <c r="D1338" s="5" t="s">
        <v>3031</v>
      </c>
      <c r="E1338" s="5" t="s">
        <v>23</v>
      </c>
      <c r="F1338" s="5" t="s">
        <v>3032</v>
      </c>
      <c r="G1338" s="5" t="s">
        <v>3033</v>
      </c>
      <c r="H1338" s="5" t="s">
        <v>3919</v>
      </c>
      <c r="I1338" s="5" t="s">
        <v>3926</v>
      </c>
      <c r="J1338" s="5" t="s">
        <v>3927</v>
      </c>
      <c r="K1338" s="7" t="str">
        <f ca="1">IFERROR(__xludf.DUMMYFUNCTION("GOOGLETRANSLATE(H1338,""EN"",""ES"")"),"OTROS RECEPTÁCULOS DOMÉSTICOS")</f>
        <v>OTROS RECEPTÁCULOS DOMÉSTICOS</v>
      </c>
      <c r="L1338" s="5" t="str">
        <f ca="1">IFERROR(__xludf.DUMMYFUNCTION("GOOGLETRANSLATE(J1338,""EN"",""ES"")"),"Tinas")</f>
        <v>Tinas</v>
      </c>
      <c r="M1338" s="8" t="s">
        <v>22</v>
      </c>
      <c r="N1338" s="8" t="s">
        <v>22</v>
      </c>
    </row>
    <row r="1339" spans="1:14" ht="11.25" customHeight="1">
      <c r="A1339" s="5" t="s">
        <v>3028</v>
      </c>
      <c r="B1339" s="5" t="s">
        <v>3917</v>
      </c>
      <c r="C1339" s="5" t="s">
        <v>3928</v>
      </c>
      <c r="D1339" s="5" t="s">
        <v>3031</v>
      </c>
      <c r="E1339" s="5" t="s">
        <v>23</v>
      </c>
      <c r="F1339" s="5" t="s">
        <v>3032</v>
      </c>
      <c r="G1339" s="5" t="s">
        <v>3033</v>
      </c>
      <c r="H1339" s="5" t="s">
        <v>3919</v>
      </c>
      <c r="I1339" s="5" t="s">
        <v>3929</v>
      </c>
      <c r="J1339" s="5" t="s">
        <v>3930</v>
      </c>
      <c r="K1339" s="7" t="str">
        <f ca="1">IFERROR(__xludf.DUMMYFUNCTION("GOOGLETRANSLATE(H1339,""EN"",""ES"")"),"OTROS RECEPTÁCULOS DOMÉSTICOS")</f>
        <v>OTROS RECEPTÁCULOS DOMÉSTICOS</v>
      </c>
      <c r="L1339" s="5" t="str">
        <f ca="1">IFERROR(__xludf.DUMMYFUNCTION("GOOGLETRANSLATE(J1339,""EN"",""ES"")"),"contenedores de pan")</f>
        <v>contenedores de pan</v>
      </c>
      <c r="M1339" s="8" t="s">
        <v>22</v>
      </c>
      <c r="N1339" s="8" t="s">
        <v>22</v>
      </c>
    </row>
    <row r="1340" spans="1:14" ht="11.25" customHeight="1">
      <c r="A1340" s="5" t="s">
        <v>3028</v>
      </c>
      <c r="B1340" s="5" t="s">
        <v>3917</v>
      </c>
      <c r="C1340" s="5" t="s">
        <v>3931</v>
      </c>
      <c r="D1340" s="5" t="s">
        <v>3031</v>
      </c>
      <c r="E1340" s="5" t="s">
        <v>23</v>
      </c>
      <c r="F1340" s="5" t="s">
        <v>3032</v>
      </c>
      <c r="G1340" s="5" t="s">
        <v>3033</v>
      </c>
      <c r="H1340" s="5" t="s">
        <v>3919</v>
      </c>
      <c r="I1340" s="5" t="s">
        <v>3932</v>
      </c>
      <c r="J1340" s="5" t="s">
        <v>3933</v>
      </c>
      <c r="K1340" s="7" t="str">
        <f ca="1">IFERROR(__xludf.DUMMYFUNCTION("GOOGLETRANSLATE(H1340,""EN"",""ES"")"),"OTROS RECEPTÁCULOS DOMÉSTICOS")</f>
        <v>OTROS RECEPTÁCULOS DOMÉSTICOS</v>
      </c>
      <c r="L1340" s="5" t="str">
        <f ca="1">IFERROR(__xludf.DUMMYFUNCTION("GOOGLETRANSLATE(J1340,""EN"",""ES"")"),"Cestas de lavandería")</f>
        <v>Cestas de lavandería</v>
      </c>
      <c r="M1340" s="8" t="s">
        <v>22</v>
      </c>
      <c r="N1340" s="8" t="s">
        <v>22</v>
      </c>
    </row>
    <row r="1341" spans="1:14" ht="11.25" customHeight="1">
      <c r="A1341" s="5" t="s">
        <v>3028</v>
      </c>
      <c r="B1341" s="5" t="s">
        <v>3917</v>
      </c>
      <c r="C1341" s="5" t="s">
        <v>3934</v>
      </c>
      <c r="D1341" s="5" t="s">
        <v>3031</v>
      </c>
      <c r="E1341" s="5" t="s">
        <v>23</v>
      </c>
      <c r="F1341" s="5" t="s">
        <v>3032</v>
      </c>
      <c r="G1341" s="5" t="s">
        <v>3033</v>
      </c>
      <c r="H1341" s="5" t="s">
        <v>3919</v>
      </c>
      <c r="I1341" s="5" t="s">
        <v>3935</v>
      </c>
      <c r="J1341" s="5" t="s">
        <v>3936</v>
      </c>
      <c r="K1341" s="7" t="str">
        <f ca="1">IFERROR(__xludf.DUMMYFUNCTION("GOOGLETRANSLATE(H1341,""EN"",""ES"")"),"OTROS RECEPTÁCULOS DOMÉSTICOS")</f>
        <v>OTROS RECEPTÁCULOS DOMÉSTICOS</v>
      </c>
      <c r="L1341" s="5" t="str">
        <f ca="1">IFERROR(__xludf.DUMMYFUNCTION("GOOGLETRANSLATE(J1341,""EN"",""ES"")"),"Baldes [hogar]")</f>
        <v>Baldes [hogar]</v>
      </c>
      <c r="M1341" s="8" t="s">
        <v>22</v>
      </c>
      <c r="N1341" s="8" t="s">
        <v>22</v>
      </c>
    </row>
    <row r="1342" spans="1:14" ht="11.25" customHeight="1">
      <c r="A1342" s="5" t="s">
        <v>3028</v>
      </c>
      <c r="B1342" s="5" t="s">
        <v>3917</v>
      </c>
      <c r="C1342" s="5" t="s">
        <v>3937</v>
      </c>
      <c r="D1342" s="5" t="s">
        <v>3031</v>
      </c>
      <c r="E1342" s="5" t="s">
        <v>23</v>
      </c>
      <c r="F1342" s="5" t="s">
        <v>3032</v>
      </c>
      <c r="G1342" s="5" t="s">
        <v>3033</v>
      </c>
      <c r="H1342" s="5" t="s">
        <v>3919</v>
      </c>
      <c r="I1342" s="5" t="s">
        <v>3938</v>
      </c>
      <c r="J1342" s="5" t="s">
        <v>3939</v>
      </c>
      <c r="K1342" s="7" t="str">
        <f ca="1">IFERROR(__xludf.DUMMYFUNCTION("GOOGLETRANSLATE(H1342,""EN"",""ES"")"),"OTROS RECEPTÁCULOS DOMÉSTICOS")</f>
        <v>OTROS RECEPTÁCULOS DOMÉSTICOS</v>
      </c>
      <c r="L1342" s="5" t="str">
        <f ca="1">IFERROR(__xludf.DUMMYFUNCTION("GOOGLETRANSLATE(J1342,""EN"",""ES"")"),"cubos")</f>
        <v>cubos</v>
      </c>
      <c r="M1342" s="8" t="s">
        <v>22</v>
      </c>
      <c r="N1342" s="8" t="s">
        <v>22</v>
      </c>
    </row>
    <row r="1343" spans="1:14" ht="11.25" customHeight="1">
      <c r="A1343" s="5" t="s">
        <v>3028</v>
      </c>
      <c r="B1343" s="5" t="s">
        <v>3917</v>
      </c>
      <c r="C1343" s="5" t="s">
        <v>3940</v>
      </c>
      <c r="D1343" s="5" t="s">
        <v>3031</v>
      </c>
      <c r="E1343" s="5" t="s">
        <v>23</v>
      </c>
      <c r="F1343" s="5" t="s">
        <v>3032</v>
      </c>
      <c r="G1343" s="5" t="s">
        <v>3033</v>
      </c>
      <c r="H1343" s="5" t="s">
        <v>3919</v>
      </c>
      <c r="I1343" s="5" t="s">
        <v>3941</v>
      </c>
      <c r="J1343" s="5" t="s">
        <v>3942</v>
      </c>
      <c r="K1343" s="7" t="str">
        <f ca="1">IFERROR(__xludf.DUMMYFUNCTION("GOOGLETRANSLATE(H1343,""EN"",""ES"")"),"OTROS RECEPTÁCULOS DOMÉSTICOS")</f>
        <v>OTROS RECEPTÁCULOS DOMÉSTICOS</v>
      </c>
      <c r="L1343" s="5" t="str">
        <f ca="1">IFERROR(__xludf.DUMMYFUNCTION("GOOGLETRANSLATE(J1343,""EN"",""ES"")"),"cubos de carbón")</f>
        <v>cubos de carbón</v>
      </c>
      <c r="M1343" s="8" t="s">
        <v>22</v>
      </c>
      <c r="N1343" s="8" t="s">
        <v>22</v>
      </c>
    </row>
    <row r="1344" spans="1:14" ht="11.25" customHeight="1">
      <c r="A1344" s="5" t="s">
        <v>3028</v>
      </c>
      <c r="B1344" s="5" t="s">
        <v>3917</v>
      </c>
      <c r="C1344" s="5" t="s">
        <v>3943</v>
      </c>
      <c r="D1344" s="5" t="s">
        <v>3031</v>
      </c>
      <c r="E1344" s="5" t="s">
        <v>23</v>
      </c>
      <c r="F1344" s="5" t="s">
        <v>3032</v>
      </c>
      <c r="G1344" s="5" t="s">
        <v>3033</v>
      </c>
      <c r="H1344" s="5" t="s">
        <v>3919</v>
      </c>
      <c r="I1344" s="5" t="s">
        <v>3944</v>
      </c>
      <c r="J1344" s="5" t="s">
        <v>3945</v>
      </c>
      <c r="K1344" s="7" t="str">
        <f ca="1">IFERROR(__xludf.DUMMYFUNCTION("GOOGLETRANSLATE(H1344,""EN"",""ES"")"),"OTROS RECEPTÁCULOS DOMÉSTICOS")</f>
        <v>OTROS RECEPTÁCULOS DOMÉSTICOS</v>
      </c>
      <c r="L1344" s="5" t="str">
        <f ca="1">IFERROR(__xludf.DUMMYFUNCTION("GOOGLETRANSLATE(J1344,""EN"",""ES"")"),"Transportadores de agua plegables para acampar.")</f>
        <v>Transportadores de agua plegables para acampar.</v>
      </c>
      <c r="M1344" s="8" t="s">
        <v>22</v>
      </c>
      <c r="N1344" s="8" t="s">
        <v>22</v>
      </c>
    </row>
    <row r="1345" spans="1:14" ht="11.25" customHeight="1">
      <c r="A1345" s="5" t="s">
        <v>3028</v>
      </c>
      <c r="B1345" s="5" t="s">
        <v>3917</v>
      </c>
      <c r="C1345" s="5" t="s">
        <v>3946</v>
      </c>
      <c r="D1345" s="5" t="s">
        <v>3031</v>
      </c>
      <c r="E1345" s="5" t="s">
        <v>23</v>
      </c>
      <c r="F1345" s="5" t="s">
        <v>3032</v>
      </c>
      <c r="G1345" s="5" t="s">
        <v>3033</v>
      </c>
      <c r="H1345" s="5" t="s">
        <v>3919</v>
      </c>
      <c r="I1345" s="5" t="s">
        <v>3947</v>
      </c>
      <c r="J1345" s="5" t="s">
        <v>3948</v>
      </c>
      <c r="K1345" s="7" t="str">
        <f ca="1">IFERROR(__xludf.DUMMYFUNCTION("GOOGLETRANSLATE(H1345,""EN"",""ES"")"),"OTROS RECEPTÁCULOS DOMÉSTICOS")</f>
        <v>OTROS RECEPTÁCULOS DOMÉSTICOS</v>
      </c>
      <c r="L1345" s="5" t="str">
        <f ca="1">IFERROR(__xludf.DUMMYFUNCTION("GOOGLETRANSLATE(J1345,""EN"",""ES"")"),"Cajas de cubiertos")</f>
        <v>Cajas de cubiertos</v>
      </c>
      <c r="M1345" s="8" t="s">
        <v>22</v>
      </c>
      <c r="N1345" s="8" t="s">
        <v>22</v>
      </c>
    </row>
    <row r="1346" spans="1:14" ht="11.25" customHeight="1">
      <c r="A1346" s="5" t="s">
        <v>3028</v>
      </c>
      <c r="B1346" s="5" t="s">
        <v>3917</v>
      </c>
      <c r="C1346" s="5" t="s">
        <v>3949</v>
      </c>
      <c r="D1346" s="5" t="s">
        <v>3031</v>
      </c>
      <c r="E1346" s="5" t="s">
        <v>23</v>
      </c>
      <c r="F1346" s="5" t="s">
        <v>3032</v>
      </c>
      <c r="G1346" s="5" t="s">
        <v>3033</v>
      </c>
      <c r="H1346" s="5" t="s">
        <v>3919</v>
      </c>
      <c r="I1346" s="5" t="s">
        <v>3950</v>
      </c>
      <c r="J1346" s="5" t="s">
        <v>3951</v>
      </c>
      <c r="K1346" s="7" t="str">
        <f ca="1">IFERROR(__xludf.DUMMYFUNCTION("GOOGLETRANSLATE(H1346,""EN"",""ES"")"),"OTROS RECEPTÁCULOS DOMÉSTICOS")</f>
        <v>OTROS RECEPTÁCULOS DOMÉSTICOS</v>
      </c>
      <c r="L1346" s="5" t="str">
        <f ca="1">IFERROR(__xludf.DUMMYFUNCTION("GOOGLETRANSLATE(J1346,""EN"",""ES"")"),"Loncheras")</f>
        <v>Loncheras</v>
      </c>
      <c r="M1346" s="8" t="s">
        <v>22</v>
      </c>
      <c r="N1346" s="8" t="s">
        <v>22</v>
      </c>
    </row>
    <row r="1347" spans="1:14" ht="11.25" customHeight="1">
      <c r="A1347" s="5" t="s">
        <v>3028</v>
      </c>
      <c r="B1347" s="5" t="s">
        <v>3917</v>
      </c>
      <c r="C1347" s="5" t="s">
        <v>3952</v>
      </c>
      <c r="D1347" s="5" t="s">
        <v>3031</v>
      </c>
      <c r="E1347" s="5" t="s">
        <v>23</v>
      </c>
      <c r="F1347" s="5" t="s">
        <v>3032</v>
      </c>
      <c r="G1347" s="5" t="s">
        <v>3033</v>
      </c>
      <c r="H1347" s="5" t="s">
        <v>3919</v>
      </c>
      <c r="I1347" s="5" t="s">
        <v>3953</v>
      </c>
      <c r="J1347" s="5" t="s">
        <v>3954</v>
      </c>
      <c r="K1347" s="7" t="str">
        <f ca="1">IFERROR(__xludf.DUMMYFUNCTION("GOOGLETRANSLATE(H1347,""EN"",""ES"")"),"OTROS RECEPTÁCULOS DOMÉSTICOS")</f>
        <v>OTROS RECEPTÁCULOS DOMÉSTICOS</v>
      </c>
      <c r="L1347" s="5" t="str">
        <f ca="1">IFERROR(__xludf.DUMMYFUNCTION("GOOGLETRANSLATE(J1347,""EN"",""ES"")"),"Contenedores de almacenamiento de alimentos para uso doméstico.")</f>
        <v>Contenedores de almacenamiento de alimentos para uso doméstico.</v>
      </c>
      <c r="M1347" s="8" t="s">
        <v>22</v>
      </c>
      <c r="N1347" s="8" t="s">
        <v>22</v>
      </c>
    </row>
    <row r="1348" spans="1:14" ht="11.25" customHeight="1">
      <c r="A1348" s="5" t="s">
        <v>3028</v>
      </c>
      <c r="B1348" s="5" t="s">
        <v>3955</v>
      </c>
      <c r="C1348" s="5" t="s">
        <v>3956</v>
      </c>
      <c r="D1348" s="5" t="s">
        <v>3031</v>
      </c>
      <c r="E1348" s="5" t="s">
        <v>23</v>
      </c>
      <c r="F1348" s="5" t="s">
        <v>3032</v>
      </c>
      <c r="G1348" s="5" t="s">
        <v>3033</v>
      </c>
      <c r="H1348" s="5" t="s">
        <v>3957</v>
      </c>
      <c r="I1348" s="5" t="s">
        <v>3958</v>
      </c>
      <c r="J1348" s="5" t="s">
        <v>3959</v>
      </c>
      <c r="K1348" s="7" t="str">
        <f ca="1">IFERROR(__xludf.DUMMYFUNCTION("GOOGLETRANSLATE(H1348,""EN"",""ES"")"),"IMPLEMENTOS PARA CHIMENEA")</f>
        <v>IMPLEMENTOS PARA CHIMENEA</v>
      </c>
      <c r="L1348" s="5" t="str">
        <f ca="1">IFERROR(__xludf.DUMMYFUNCTION("GOOGLETRANSLATE(J1348,""EN"",""ES"")"),"Implementos para chimenea")</f>
        <v>Implementos para chimenea</v>
      </c>
      <c r="M1348" s="8" t="s">
        <v>22</v>
      </c>
      <c r="N1348" s="8" t="s">
        <v>22</v>
      </c>
    </row>
    <row r="1349" spans="1:14" ht="11.25" customHeight="1">
      <c r="A1349" s="5" t="s">
        <v>3028</v>
      </c>
      <c r="B1349" s="5" t="s">
        <v>3955</v>
      </c>
      <c r="C1349" s="5" t="s">
        <v>3960</v>
      </c>
      <c r="D1349" s="5" t="s">
        <v>3031</v>
      </c>
      <c r="E1349" s="5" t="s">
        <v>23</v>
      </c>
      <c r="F1349" s="5" t="s">
        <v>3032</v>
      </c>
      <c r="G1349" s="5" t="s">
        <v>3033</v>
      </c>
      <c r="H1349" s="5" t="s">
        <v>3957</v>
      </c>
      <c r="I1349" s="5" t="s">
        <v>3961</v>
      </c>
      <c r="J1349" s="5" t="s">
        <v>3962</v>
      </c>
      <c r="K1349" s="7" t="str">
        <f ca="1">IFERROR(__xludf.DUMMYFUNCTION("GOOGLETRANSLATE(H1349,""EN"",""ES"")"),"IMPLEMENTOS PARA CHIMENEA")</f>
        <v>IMPLEMENTOS PARA CHIMENEA</v>
      </c>
      <c r="L1349" s="5" t="str">
        <f ca="1">IFERROR(__xludf.DUMMYFUNCTION("GOOGLETRANSLATE(J1349,""EN"",""ES"")"),"morillos")</f>
        <v>morillos</v>
      </c>
      <c r="M1349" s="8" t="s">
        <v>22</v>
      </c>
      <c r="N1349" s="8" t="s">
        <v>22</v>
      </c>
    </row>
    <row r="1350" spans="1:14" ht="11.25" customHeight="1">
      <c r="A1350" s="5" t="s">
        <v>3028</v>
      </c>
      <c r="B1350" s="5" t="s">
        <v>3955</v>
      </c>
      <c r="C1350" s="5" t="s">
        <v>3960</v>
      </c>
      <c r="D1350" s="5" t="s">
        <v>3031</v>
      </c>
      <c r="E1350" s="5" t="s">
        <v>23</v>
      </c>
      <c r="F1350" s="5" t="s">
        <v>3032</v>
      </c>
      <c r="G1350" s="5" t="s">
        <v>3033</v>
      </c>
      <c r="H1350" s="5" t="s">
        <v>3957</v>
      </c>
      <c r="I1350" s="5" t="s">
        <v>3963</v>
      </c>
      <c r="J1350" s="5" t="s">
        <v>152</v>
      </c>
      <c r="K1350" s="7" t="str">
        <f ca="1">IFERROR(__xludf.DUMMYFUNCTION("GOOGLETRANSLATE(H1350,""EN"",""ES"")"),"IMPLEMENTOS PARA CHIMENEA")</f>
        <v>IMPLEMENTOS PARA CHIMENEA</v>
      </c>
      <c r="L1350" s="5" t="str">
        <f ca="1">IFERROR(__xludf.DUMMYFUNCTION("GOOGLETRANSLATE(J1350,""EN"",""ES"")"),"Perros de fuego")</f>
        <v>Perros de fuego</v>
      </c>
      <c r="M1350" s="8" t="s">
        <v>22</v>
      </c>
      <c r="N1350" s="8" t="s">
        <v>22</v>
      </c>
    </row>
    <row r="1351" spans="1:14" ht="11.25" customHeight="1">
      <c r="A1351" s="5" t="s">
        <v>3028</v>
      </c>
      <c r="B1351" s="5" t="s">
        <v>3955</v>
      </c>
      <c r="C1351" s="5" t="s">
        <v>3964</v>
      </c>
      <c r="D1351" s="5" t="s">
        <v>3031</v>
      </c>
      <c r="E1351" s="5" t="s">
        <v>23</v>
      </c>
      <c r="F1351" s="5" t="s">
        <v>3032</v>
      </c>
      <c r="G1351" s="5" t="s">
        <v>3033</v>
      </c>
      <c r="H1351" s="5" t="s">
        <v>3957</v>
      </c>
      <c r="I1351" s="5" t="s">
        <v>3965</v>
      </c>
      <c r="J1351" s="5" t="s">
        <v>3966</v>
      </c>
      <c r="K1351" s="7" t="str">
        <f ca="1">IFERROR(__xludf.DUMMYFUNCTION("GOOGLETRANSLATE(H1351,""EN"",""ES"")"),"IMPLEMENTOS PARA CHIMENEA")</f>
        <v>IMPLEMENTOS PARA CHIMENEA</v>
      </c>
      <c r="L1351" s="5" t="str">
        <f ca="1">IFERROR(__xludf.DUMMYFUNCTION("GOOGLETRANSLATE(J1351,""EN"",""ES"")"),"Bomberos [hogar]")</f>
        <v>Bomberos [hogar]</v>
      </c>
      <c r="M1351" s="8" t="s">
        <v>22</v>
      </c>
      <c r="N1351" s="8" t="s">
        <v>22</v>
      </c>
    </row>
    <row r="1352" spans="1:14" ht="11.25" customHeight="1">
      <c r="A1352" s="5" t="s">
        <v>3028</v>
      </c>
      <c r="B1352" s="5" t="s">
        <v>3955</v>
      </c>
      <c r="C1352" s="5" t="s">
        <v>3967</v>
      </c>
      <c r="D1352" s="5" t="s">
        <v>3031</v>
      </c>
      <c r="E1352" s="5" t="s">
        <v>23</v>
      </c>
      <c r="F1352" s="5" t="s">
        <v>3032</v>
      </c>
      <c r="G1352" s="5" t="s">
        <v>3033</v>
      </c>
      <c r="H1352" s="5" t="s">
        <v>3957</v>
      </c>
      <c r="I1352" s="5" t="s">
        <v>3968</v>
      </c>
      <c r="J1352" s="5" t="s">
        <v>3969</v>
      </c>
      <c r="K1352" s="7" t="str">
        <f ca="1">IFERROR(__xludf.DUMMYFUNCTION("GOOGLETRANSLATE(H1352,""EN"",""ES"")"),"IMPLEMENTOS PARA CHIMENEA")</f>
        <v>IMPLEMENTOS PARA CHIMENEA</v>
      </c>
      <c r="L1352" s="5" t="str">
        <f ca="1">IFERROR(__xludf.DUMMYFUNCTION("GOOGLETRANSLATE(J1352,""EN"",""ES"")"),"Póquer")</f>
        <v>Póquer</v>
      </c>
      <c r="M1352" s="8" t="s">
        <v>22</v>
      </c>
      <c r="N1352" s="8" t="s">
        <v>22</v>
      </c>
    </row>
    <row r="1353" spans="1:14" ht="11.25" customHeight="1">
      <c r="A1353" s="5" t="s">
        <v>3028</v>
      </c>
      <c r="B1353" s="5" t="s">
        <v>3955</v>
      </c>
      <c r="C1353" s="5" t="s">
        <v>3967</v>
      </c>
      <c r="D1353" s="5" t="s">
        <v>3031</v>
      </c>
      <c r="E1353" s="5" t="s">
        <v>23</v>
      </c>
      <c r="F1353" s="5" t="s">
        <v>3032</v>
      </c>
      <c r="G1353" s="5" t="s">
        <v>3033</v>
      </c>
      <c r="H1353" s="5" t="s">
        <v>3957</v>
      </c>
      <c r="I1353" s="5" t="s">
        <v>152</v>
      </c>
      <c r="J1353" s="5" t="s">
        <v>3970</v>
      </c>
      <c r="K1353" s="7" t="str">
        <f ca="1">IFERROR(__xludf.DUMMYFUNCTION("GOOGLETRANSLATE(H1353,""EN"",""ES"")"),"IMPLEMENTOS PARA CHIMENEA")</f>
        <v>IMPLEMENTOS PARA CHIMENEA</v>
      </c>
      <c r="L1353" s="5" t="str">
        <f ca="1">IFERROR(__xludf.DUMMYFUNCTION("GOOGLETRANSLATE(J1353,""EN"",""ES"")"),"N / A")</f>
        <v>N / A</v>
      </c>
      <c r="M1353" s="8" t="s">
        <v>22</v>
      </c>
      <c r="N1353" s="8" t="s">
        <v>22</v>
      </c>
    </row>
    <row r="1354" spans="1:14" ht="11.25" customHeight="1">
      <c r="A1354" s="5" t="s">
        <v>3028</v>
      </c>
      <c r="B1354" s="5" t="s">
        <v>3955</v>
      </c>
      <c r="C1354" s="5" t="s">
        <v>3971</v>
      </c>
      <c r="D1354" s="5" t="s">
        <v>3031</v>
      </c>
      <c r="E1354" s="5" t="s">
        <v>23</v>
      </c>
      <c r="F1354" s="5" t="s">
        <v>3032</v>
      </c>
      <c r="G1354" s="5" t="s">
        <v>3033</v>
      </c>
      <c r="H1354" s="5" t="s">
        <v>3957</v>
      </c>
      <c r="I1354" s="5" t="s">
        <v>3972</v>
      </c>
      <c r="J1354" s="5" t="s">
        <v>3973</v>
      </c>
      <c r="K1354" s="7" t="str">
        <f ca="1">IFERROR(__xludf.DUMMYFUNCTION("GOOGLETRANSLATE(H1354,""EN"",""ES"")"),"IMPLEMENTOS PARA CHIMENEA")</f>
        <v>IMPLEMENTOS PARA CHIMENEA</v>
      </c>
      <c r="L1354" s="5" t="str">
        <f ca="1">IFERROR(__xludf.DUMMYFUNCTION("GOOGLETRANSLATE(J1354,""EN"",""ES"")"),"Mamparas de chimenea")</f>
        <v>Mamparas de chimenea</v>
      </c>
      <c r="M1354" s="8" t="s">
        <v>22</v>
      </c>
      <c r="N1354" s="8" t="s">
        <v>22</v>
      </c>
    </row>
    <row r="1355" spans="1:14" ht="11.25" customHeight="1">
      <c r="A1355" s="5" t="s">
        <v>3028</v>
      </c>
      <c r="B1355" s="5" t="s">
        <v>3955</v>
      </c>
      <c r="C1355" s="5" t="s">
        <v>3974</v>
      </c>
      <c r="D1355" s="5" t="s">
        <v>3031</v>
      </c>
      <c r="E1355" s="5" t="s">
        <v>23</v>
      </c>
      <c r="F1355" s="5" t="s">
        <v>3032</v>
      </c>
      <c r="G1355" s="5" t="s">
        <v>3033</v>
      </c>
      <c r="H1355" s="5" t="s">
        <v>3957</v>
      </c>
      <c r="I1355" s="5" t="s">
        <v>3975</v>
      </c>
      <c r="J1355" s="5" t="s">
        <v>3976</v>
      </c>
      <c r="K1355" s="7" t="str">
        <f ca="1">IFERROR(__xludf.DUMMYFUNCTION("GOOGLETRANSLATE(H1355,""EN"",""ES"")"),"IMPLEMENTOS PARA CHIMENEA")</f>
        <v>IMPLEMENTOS PARA CHIMENEA</v>
      </c>
      <c r="L1355" s="5" t="str">
        <f ca="1">IFERROR(__xludf.DUMMYFUNCTION("GOOGLETRANSLATE(J1355,""EN"",""ES"")"),"pinzas de fuego")</f>
        <v>pinzas de fuego</v>
      </c>
      <c r="M1355" s="8" t="s">
        <v>22</v>
      </c>
      <c r="N1355" s="8" t="s">
        <v>22</v>
      </c>
    </row>
    <row r="1356" spans="1:14" ht="11.25" customHeight="1">
      <c r="A1356" s="5" t="s">
        <v>3028</v>
      </c>
      <c r="B1356" s="5" t="s">
        <v>3955</v>
      </c>
      <c r="C1356" s="5" t="s">
        <v>3977</v>
      </c>
      <c r="D1356" s="5" t="s">
        <v>3031</v>
      </c>
      <c r="E1356" s="5" t="s">
        <v>23</v>
      </c>
      <c r="F1356" s="5" t="s">
        <v>3032</v>
      </c>
      <c r="G1356" s="5" t="s">
        <v>3033</v>
      </c>
      <c r="H1356" s="5" t="s">
        <v>3957</v>
      </c>
      <c r="I1356" s="5" t="s">
        <v>3978</v>
      </c>
      <c r="J1356" s="5" t="s">
        <v>3979</v>
      </c>
      <c r="K1356" s="7" t="str">
        <f ca="1">IFERROR(__xludf.DUMMYFUNCTION("GOOGLETRANSLATE(H1356,""EN"",""ES"")"),"IMPLEMENTOS PARA CHIMENEA")</f>
        <v>IMPLEMENTOS PARA CHIMENEA</v>
      </c>
      <c r="L1356" s="5" t="str">
        <f ca="1">IFERROR(__xludf.DUMMYFUNCTION("GOOGLETRANSLATE(J1356,""EN"",""ES"")"),"Fuelles de chimenea")</f>
        <v>Fuelles de chimenea</v>
      </c>
      <c r="M1356" s="8" t="s">
        <v>22</v>
      </c>
      <c r="N1356" s="8" t="s">
        <v>22</v>
      </c>
    </row>
    <row r="1357" spans="1:14" ht="11.25" customHeight="1">
      <c r="A1357" s="5" t="s">
        <v>3028</v>
      </c>
      <c r="B1357" s="5" t="s">
        <v>3955</v>
      </c>
      <c r="C1357" s="5" t="s">
        <v>3980</v>
      </c>
      <c r="D1357" s="5" t="s">
        <v>3031</v>
      </c>
      <c r="E1357" s="5" t="s">
        <v>23</v>
      </c>
      <c r="F1357" s="5" t="s">
        <v>3032</v>
      </c>
      <c r="G1357" s="5" t="s">
        <v>3033</v>
      </c>
      <c r="H1357" s="5" t="s">
        <v>3957</v>
      </c>
      <c r="I1357" s="5" t="s">
        <v>3981</v>
      </c>
      <c r="J1357" s="5" t="s">
        <v>3982</v>
      </c>
      <c r="K1357" s="7" t="str">
        <f ca="1">IFERROR(__xludf.DUMMYFUNCTION("GOOGLETRANSLATE(H1357,""EN"",""ES"")"),"IMPLEMENTOS PARA CHIMENEA")</f>
        <v>IMPLEMENTOS PARA CHIMENEA</v>
      </c>
      <c r="L1357" s="5" t="str">
        <f ca="1">IFERROR(__xludf.DUMMYFUNCTION("GOOGLETRANSLATE(J1357,""EN"",""ES"")"),"Soportes para leña [implementos para chimenea]")</f>
        <v>Soportes para leña [implementos para chimenea]</v>
      </c>
      <c r="M1357" s="8" t="s">
        <v>22</v>
      </c>
      <c r="N1357" s="8" t="s">
        <v>22</v>
      </c>
    </row>
    <row r="1358" spans="1:14" ht="11.25" customHeight="1">
      <c r="A1358" s="5" t="s">
        <v>3028</v>
      </c>
      <c r="B1358" s="5" t="s">
        <v>3955</v>
      </c>
      <c r="C1358" s="5" t="s">
        <v>3983</v>
      </c>
      <c r="D1358" s="5" t="s">
        <v>3031</v>
      </c>
      <c r="E1358" s="5" t="s">
        <v>23</v>
      </c>
      <c r="F1358" s="5" t="s">
        <v>3032</v>
      </c>
      <c r="G1358" s="5" t="s">
        <v>3033</v>
      </c>
      <c r="H1358" s="5" t="s">
        <v>3957</v>
      </c>
      <c r="I1358" s="5" t="s">
        <v>3984</v>
      </c>
      <c r="J1358" s="5" t="s">
        <v>3985</v>
      </c>
      <c r="K1358" s="7" t="str">
        <f ca="1">IFERROR(__xludf.DUMMYFUNCTION("GOOGLETRANSLATE(H1358,""EN"",""ES"")"),"IMPLEMENTOS PARA CHIMENEA")</f>
        <v>IMPLEMENTOS PARA CHIMENEA</v>
      </c>
      <c r="L1358" s="5" t="str">
        <f ca="1">IFERROR(__xludf.DUMMYFUNCTION("GOOGLETRANSLATE(J1358,""EN"",""ES"")"),"Cestas de leña")</f>
        <v>Cestas de leña</v>
      </c>
      <c r="M1358" s="8" t="s">
        <v>22</v>
      </c>
      <c r="N1358" s="8" t="s">
        <v>22</v>
      </c>
    </row>
    <row r="1359" spans="1:14" ht="11.25" customHeight="1">
      <c r="A1359" s="5" t="s">
        <v>3028</v>
      </c>
      <c r="B1359" s="5" t="s">
        <v>3955</v>
      </c>
      <c r="C1359" s="5" t="s">
        <v>3986</v>
      </c>
      <c r="D1359" s="5" t="s">
        <v>3031</v>
      </c>
      <c r="E1359" s="5" t="s">
        <v>23</v>
      </c>
      <c r="F1359" s="5" t="s">
        <v>3032</v>
      </c>
      <c r="G1359" s="5" t="s">
        <v>3033</v>
      </c>
      <c r="H1359" s="5" t="s">
        <v>3957</v>
      </c>
      <c r="I1359" s="5" t="s">
        <v>3987</v>
      </c>
      <c r="J1359" s="5" t="s">
        <v>3988</v>
      </c>
      <c r="K1359" s="7" t="str">
        <f ca="1">IFERROR(__xludf.DUMMYFUNCTION("GOOGLETRANSLATE(H1359,""EN"",""ES"")"),"IMPLEMENTOS PARA CHIMENEA")</f>
        <v>IMPLEMENTOS PARA CHIMENEA</v>
      </c>
      <c r="L1359" s="5" t="str">
        <f ca="1">IFERROR(__xludf.DUMMYFUNCTION("GOOGLETRANSLATE(J1359,""EN"",""ES"")"),"Porta leña")</f>
        <v>Porta leña</v>
      </c>
      <c r="M1359" s="8" t="s">
        <v>22</v>
      </c>
      <c r="N1359" s="8" t="s">
        <v>22</v>
      </c>
    </row>
    <row r="1360" spans="1:14" ht="11.25" customHeight="1">
      <c r="A1360" s="5" t="s">
        <v>3028</v>
      </c>
      <c r="B1360" s="5" t="s">
        <v>3989</v>
      </c>
      <c r="C1360" s="5" t="s">
        <v>3990</v>
      </c>
      <c r="D1360" s="5" t="s">
        <v>3031</v>
      </c>
      <c r="E1360" s="5" t="s">
        <v>23</v>
      </c>
      <c r="F1360" s="5" t="s">
        <v>3032</v>
      </c>
      <c r="G1360" s="5" t="s">
        <v>3033</v>
      </c>
      <c r="H1360" s="5" t="s">
        <v>3991</v>
      </c>
      <c r="I1360" s="5" t="s">
        <v>3992</v>
      </c>
      <c r="J1360" s="5" t="s">
        <v>3993</v>
      </c>
      <c r="K1360" s="7" t="str">
        <f ca="1">IFERROR(__xludf.DUMMYFUNCTION("GOOGLETRANSLATE(H1360,""EN"",""ES"")"),"Soportes y soportes para electrodomésticos y utensilios")</f>
        <v>Soportes y soportes para electrodomésticos y utensilios</v>
      </c>
      <c r="L1360" s="5" t="str">
        <f ca="1">IFERROR(__xludf.DUMMYFUNCTION("GOOGLETRANSLATE(J1360,""EN"",""ES"")"),"Porta cápsulas de bebidas")</f>
        <v>Porta cápsulas de bebidas</v>
      </c>
      <c r="M1360" s="8" t="s">
        <v>22</v>
      </c>
      <c r="N1360" s="8" t="s">
        <v>22</v>
      </c>
    </row>
    <row r="1361" spans="1:14" ht="11.25" customHeight="1">
      <c r="A1361" s="5" t="s">
        <v>3028</v>
      </c>
      <c r="B1361" s="5" t="s">
        <v>3989</v>
      </c>
      <c r="C1361" s="5" t="s">
        <v>3994</v>
      </c>
      <c r="D1361" s="5" t="s">
        <v>3031</v>
      </c>
      <c r="E1361" s="5" t="s">
        <v>23</v>
      </c>
      <c r="F1361" s="5" t="s">
        <v>3032</v>
      </c>
      <c r="G1361" s="5" t="s">
        <v>3033</v>
      </c>
      <c r="H1361" s="5" t="s">
        <v>3991</v>
      </c>
      <c r="I1361" s="5" t="s">
        <v>3995</v>
      </c>
      <c r="J1361" s="5" t="s">
        <v>3996</v>
      </c>
      <c r="K1361" s="7" t="str">
        <f ca="1">IFERROR(__xludf.DUMMYFUNCTION("GOOGLETRANSLATE(H1361,""EN"",""ES"")"),"Soportes y soportes para electrodomésticos y utensilios")</f>
        <v>Soportes y soportes para electrodomésticos y utensilios</v>
      </c>
      <c r="L1361" s="5" t="str">
        <f ca="1">IFERROR(__xludf.DUMMYFUNCTION("GOOGLETRANSLATE(J1361,""EN"",""ES"")"),"Portaescobillas")</f>
        <v>Portaescobillas</v>
      </c>
      <c r="M1361" s="8" t="s">
        <v>22</v>
      </c>
      <c r="N1361" s="8" t="s">
        <v>22</v>
      </c>
    </row>
    <row r="1362" spans="1:14" ht="11.25" customHeight="1">
      <c r="A1362" s="5" t="s">
        <v>3028</v>
      </c>
      <c r="B1362" s="5" t="s">
        <v>3989</v>
      </c>
      <c r="C1362" s="5" t="s">
        <v>3997</v>
      </c>
      <c r="D1362" s="5" t="s">
        <v>3031</v>
      </c>
      <c r="E1362" s="5" t="s">
        <v>23</v>
      </c>
      <c r="F1362" s="5" t="s">
        <v>3032</v>
      </c>
      <c r="G1362" s="5" t="s">
        <v>3033</v>
      </c>
      <c r="H1362" s="5" t="s">
        <v>3991</v>
      </c>
      <c r="I1362" s="5" t="s">
        <v>3998</v>
      </c>
      <c r="J1362" s="5" t="s">
        <v>3999</v>
      </c>
      <c r="K1362" s="7" t="str">
        <f ca="1">IFERROR(__xludf.DUMMYFUNCTION("GOOGLETRANSLATE(H1362,""EN"",""ES"")"),"Soportes y soportes para electrodomésticos y utensilios")</f>
        <v>Soportes y soportes para electrodomésticos y utensilios</v>
      </c>
      <c r="L1362" s="5" t="str">
        <f ca="1">IFERROR(__xludf.DUMMYFUNCTION("GOOGLETRANSLATE(J1362,""EN"",""ES"")"),"Soportes para tapas de cacerolas y tarros.")</f>
        <v>Soportes para tapas de cacerolas y tarros.</v>
      </c>
      <c r="M1362" s="8" t="s">
        <v>22</v>
      </c>
      <c r="N1362" s="8" t="s">
        <v>22</v>
      </c>
    </row>
    <row r="1363" spans="1:14" ht="11.25" customHeight="1">
      <c r="A1363" s="5" t="s">
        <v>3028</v>
      </c>
      <c r="B1363" s="5" t="s">
        <v>3989</v>
      </c>
      <c r="C1363" s="5" t="s">
        <v>4000</v>
      </c>
      <c r="D1363" s="5" t="s">
        <v>3031</v>
      </c>
      <c r="E1363" s="5" t="s">
        <v>23</v>
      </c>
      <c r="F1363" s="5" t="s">
        <v>3032</v>
      </c>
      <c r="G1363" s="5" t="s">
        <v>3033</v>
      </c>
      <c r="H1363" s="5" t="s">
        <v>3991</v>
      </c>
      <c r="I1363" s="5" t="s">
        <v>4001</v>
      </c>
      <c r="J1363" s="5" t="s">
        <v>4002</v>
      </c>
      <c r="K1363" s="7" t="str">
        <f ca="1">IFERROR(__xludf.DUMMYFUNCTION("GOOGLETRANSLATE(H1363,""EN"",""ES"")"),"Soportes y soportes para electrodomésticos y utensilios")</f>
        <v>Soportes y soportes para electrodomésticos y utensilios</v>
      </c>
      <c r="L1363" s="5" t="str">
        <f ca="1">IFERROR(__xludf.DUMMYFUNCTION("GOOGLETRANSLATE(J1363,""EN"",""ES"")"),"Soportes para rollos de papel de cocina.")</f>
        <v>Soportes para rollos de papel de cocina.</v>
      </c>
      <c r="M1363" s="8" t="s">
        <v>22</v>
      </c>
      <c r="N1363" s="8" t="s">
        <v>22</v>
      </c>
    </row>
    <row r="1364" spans="1:14" ht="11.25" customHeight="1">
      <c r="A1364" s="5" t="s">
        <v>3028</v>
      </c>
      <c r="B1364" s="5" t="s">
        <v>3989</v>
      </c>
      <c r="C1364" s="5" t="s">
        <v>4003</v>
      </c>
      <c r="D1364" s="5" t="s">
        <v>3031</v>
      </c>
      <c r="E1364" s="5" t="s">
        <v>23</v>
      </c>
      <c r="F1364" s="5" t="s">
        <v>3032</v>
      </c>
      <c r="G1364" s="5" t="s">
        <v>3033</v>
      </c>
      <c r="H1364" s="5" t="s">
        <v>3991</v>
      </c>
      <c r="I1364" s="5" t="s">
        <v>4004</v>
      </c>
      <c r="J1364" s="5" t="s">
        <v>4005</v>
      </c>
      <c r="K1364" s="7" t="str">
        <f ca="1">IFERROR(__xludf.DUMMYFUNCTION("GOOGLETRANSLATE(H1364,""EN"",""ES"")"),"Soportes y soportes para electrodomésticos y utensilios")</f>
        <v>Soportes y soportes para electrodomésticos y utensilios</v>
      </c>
      <c r="L1364" s="5" t="str">
        <f ca="1">IFERROR(__xludf.DUMMYFUNCTION("GOOGLETRANSLATE(J1364,""EN"",""ES"")"),"Porta cuchillos")</f>
        <v>Porta cuchillos</v>
      </c>
      <c r="M1364" s="8" t="s">
        <v>22</v>
      </c>
      <c r="N1364" s="8" t="s">
        <v>22</v>
      </c>
    </row>
    <row r="1365" spans="1:14" ht="11.25" customHeight="1">
      <c r="A1365" s="5" t="s">
        <v>3028</v>
      </c>
      <c r="B1365" s="5" t="s">
        <v>3989</v>
      </c>
      <c r="C1365" s="5" t="s">
        <v>4006</v>
      </c>
      <c r="D1365" s="5" t="s">
        <v>3031</v>
      </c>
      <c r="E1365" s="5" t="s">
        <v>23</v>
      </c>
      <c r="F1365" s="5" t="s">
        <v>3032</v>
      </c>
      <c r="G1365" s="5" t="s">
        <v>3033</v>
      </c>
      <c r="H1365" s="5" t="s">
        <v>3991</v>
      </c>
      <c r="I1365" s="5" t="s">
        <v>4007</v>
      </c>
      <c r="J1365" s="5" t="s">
        <v>4008</v>
      </c>
      <c r="K1365" s="7" t="str">
        <f ca="1">IFERROR(__xludf.DUMMYFUNCTION("GOOGLETRANSLATE(H1365,""EN"",""ES"")"),"Soportes y soportes para electrodomésticos y utensilios")</f>
        <v>Soportes y soportes para electrodomésticos y utensilios</v>
      </c>
      <c r="L1365" s="5" t="str">
        <f ca="1">IFERROR(__xludf.DUMMYFUNCTION("GOOGLETRANSLATE(J1365,""EN"",""ES"")"),"Bandejas portavasos")</f>
        <v>Bandejas portavasos</v>
      </c>
      <c r="M1365" s="8" t="s">
        <v>22</v>
      </c>
      <c r="N1365" s="8" t="s">
        <v>22</v>
      </c>
    </row>
    <row r="1366" spans="1:14" ht="11.25" customHeight="1">
      <c r="A1366" s="5" t="s">
        <v>3028</v>
      </c>
      <c r="B1366" s="5" t="s">
        <v>3989</v>
      </c>
      <c r="C1366" s="5" t="s">
        <v>4009</v>
      </c>
      <c r="D1366" s="5" t="s">
        <v>3031</v>
      </c>
      <c r="E1366" s="5" t="s">
        <v>23</v>
      </c>
      <c r="F1366" s="5" t="s">
        <v>3032</v>
      </c>
      <c r="G1366" s="5" t="s">
        <v>3033</v>
      </c>
      <c r="H1366" s="5" t="s">
        <v>3991</v>
      </c>
      <c r="I1366" s="5" t="s">
        <v>4010</v>
      </c>
      <c r="J1366" s="5" t="s">
        <v>4011</v>
      </c>
      <c r="K1366" s="7" t="str">
        <f ca="1">IFERROR(__xludf.DUMMYFUNCTION("GOOGLETRANSLATE(H1366,""EN"",""ES"")"),"Soportes y soportes para electrodomésticos y utensilios")</f>
        <v>Soportes y soportes para electrodomésticos y utensilios</v>
      </c>
      <c r="L1366" s="5" t="str">
        <f ca="1">IFERROR(__xludf.DUMMYFUNCTION("GOOGLETRANSLATE(J1366,""EN"",""ES"")"),"Soportes o soportes para tubos [hogar]")</f>
        <v>Soportes o soportes para tubos [hogar]</v>
      </c>
      <c r="M1366" s="8" t="s">
        <v>22</v>
      </c>
      <c r="N1366" s="8" t="s">
        <v>22</v>
      </c>
    </row>
    <row r="1367" spans="1:14" ht="11.25" customHeight="1">
      <c r="A1367" s="5" t="s">
        <v>3028</v>
      </c>
      <c r="B1367" s="5" t="s">
        <v>3989</v>
      </c>
      <c r="C1367" s="5" t="s">
        <v>4012</v>
      </c>
      <c r="D1367" s="5" t="s">
        <v>3031</v>
      </c>
      <c r="E1367" s="5" t="s">
        <v>23</v>
      </c>
      <c r="F1367" s="5" t="s">
        <v>3032</v>
      </c>
      <c r="G1367" s="5" t="s">
        <v>3033</v>
      </c>
      <c r="H1367" s="5" t="s">
        <v>3991</v>
      </c>
      <c r="I1367" s="5" t="s">
        <v>4013</v>
      </c>
      <c r="J1367" s="5" t="s">
        <v>4014</v>
      </c>
      <c r="K1367" s="7" t="str">
        <f ca="1">IFERROR(__xludf.DUMMYFUNCTION("GOOGLETRANSLATE(H1367,""EN"",""ES"")"),"Soportes y soportes para electrodomésticos y utensilios")</f>
        <v>Soportes y soportes para electrodomésticos y utensilios</v>
      </c>
      <c r="L1367" s="5" t="str">
        <f ca="1">IFERROR(__xludf.DUMMYFUNCTION("GOOGLETRANSLATE(J1367,""EN"",""ES"")"),"Soportes para botellas [utensilios de mesa]")</f>
        <v>Soportes para botellas [utensilios de mesa]</v>
      </c>
      <c r="M1367" s="8" t="s">
        <v>22</v>
      </c>
      <c r="N1367" s="8" t="s">
        <v>22</v>
      </c>
    </row>
    <row r="1368" spans="1:14" ht="11.25" customHeight="1">
      <c r="A1368" s="5" t="s">
        <v>3028</v>
      </c>
      <c r="B1368" s="5" t="s">
        <v>3989</v>
      </c>
      <c r="C1368" s="5" t="s">
        <v>4015</v>
      </c>
      <c r="D1368" s="5" t="s">
        <v>3031</v>
      </c>
      <c r="E1368" s="5" t="s">
        <v>23</v>
      </c>
      <c r="F1368" s="5" t="s">
        <v>3032</v>
      </c>
      <c r="G1368" s="5" t="s">
        <v>3033</v>
      </c>
      <c r="H1368" s="5" t="s">
        <v>3991</v>
      </c>
      <c r="I1368" s="5" t="s">
        <v>4016</v>
      </c>
      <c r="J1368" s="5" t="s">
        <v>4017</v>
      </c>
      <c r="K1368" s="7" t="str">
        <f ca="1">IFERROR(__xludf.DUMMYFUNCTION("GOOGLETRANSLATE(H1368,""EN"",""ES"")"),"Soportes y soportes para electrodomésticos y utensilios")</f>
        <v>Soportes y soportes para electrodomésticos y utensilios</v>
      </c>
      <c r="L1368" s="5" t="str">
        <f ca="1">IFERROR(__xludf.DUMMYFUNCTION("GOOGLETRANSLATE(J1368,""EN"",""ES"")"),"Soportes para cajas de vino [utensilios de mesa]")</f>
        <v>Soportes para cajas de vino [utensilios de mesa]</v>
      </c>
      <c r="M1368" s="8" t="s">
        <v>22</v>
      </c>
      <c r="N1368" s="8" t="s">
        <v>22</v>
      </c>
    </row>
    <row r="1369" spans="1:14" ht="11.25" customHeight="1">
      <c r="A1369" s="5" t="s">
        <v>3028</v>
      </c>
      <c r="B1369" s="5" t="s">
        <v>3989</v>
      </c>
      <c r="C1369" s="5" t="s">
        <v>4018</v>
      </c>
      <c r="D1369" s="5" t="s">
        <v>3031</v>
      </c>
      <c r="E1369" s="5" t="s">
        <v>23</v>
      </c>
      <c r="F1369" s="5" t="s">
        <v>3032</v>
      </c>
      <c r="G1369" s="5" t="s">
        <v>3033</v>
      </c>
      <c r="H1369" s="5" t="s">
        <v>3991</v>
      </c>
      <c r="I1369" s="5" t="s">
        <v>4019</v>
      </c>
      <c r="J1369" s="5" t="s">
        <v>4020</v>
      </c>
      <c r="K1369" s="7" t="str">
        <f ca="1">IFERROR(__xludf.DUMMYFUNCTION("GOOGLETRANSLATE(H1369,""EN"",""ES"")"),"Soportes y soportes para electrodomésticos y utensilios")</f>
        <v>Soportes y soportes para electrodomésticos y utensilios</v>
      </c>
      <c r="L1369" s="5" t="str">
        <f ca="1">IFERROR(__xludf.DUMMYFUNCTION("GOOGLETRANSLATE(J1369,""EN"",""ES"")"),"Portabotellas [utensilios de mesa]")</f>
        <v>Portabotellas [utensilios de mesa]</v>
      </c>
      <c r="M1369" s="8" t="s">
        <v>22</v>
      </c>
      <c r="N1369" s="8" t="s">
        <v>22</v>
      </c>
    </row>
    <row r="1370" spans="1:14" ht="11.25" customHeight="1">
      <c r="A1370" s="5" t="s">
        <v>3028</v>
      </c>
      <c r="B1370" s="5" t="s">
        <v>3989</v>
      </c>
      <c r="C1370" s="5" t="s">
        <v>4021</v>
      </c>
      <c r="D1370" s="5" t="s">
        <v>3031</v>
      </c>
      <c r="E1370" s="5" t="s">
        <v>23</v>
      </c>
      <c r="F1370" s="5" t="s">
        <v>3032</v>
      </c>
      <c r="G1370" s="5" t="s">
        <v>3033</v>
      </c>
      <c r="H1370" s="5" t="s">
        <v>3991</v>
      </c>
      <c r="I1370" s="5" t="s">
        <v>4022</v>
      </c>
      <c r="J1370" s="5" t="s">
        <v>4023</v>
      </c>
      <c r="K1370" s="7" t="str">
        <f ca="1">IFERROR(__xludf.DUMMYFUNCTION("GOOGLETRANSLATE(H1370,""EN"",""ES"")"),"Soportes y soportes para electrodomésticos y utensilios")</f>
        <v>Soportes y soportes para electrodomésticos y utensilios</v>
      </c>
      <c r="L1370" s="5" t="str">
        <f ca="1">IFERROR(__xludf.DUMMYFUNCTION("GOOGLETRANSLATE(J1370,""EN"",""ES"")"),"Tarjeteros de menú")</f>
        <v>Tarjeteros de menú</v>
      </c>
      <c r="M1370" s="8" t="s">
        <v>22</v>
      </c>
      <c r="N1370" s="8" t="s">
        <v>22</v>
      </c>
    </row>
    <row r="1371" spans="1:14" ht="11.25" customHeight="1">
      <c r="A1371" s="5" t="s">
        <v>3028</v>
      </c>
      <c r="B1371" s="5" t="s">
        <v>3989</v>
      </c>
      <c r="C1371" s="5" t="s">
        <v>4024</v>
      </c>
      <c r="D1371" s="5" t="s">
        <v>3031</v>
      </c>
      <c r="E1371" s="5" t="s">
        <v>23</v>
      </c>
      <c r="F1371" s="5" t="s">
        <v>3032</v>
      </c>
      <c r="G1371" s="5" t="s">
        <v>3033</v>
      </c>
      <c r="H1371" s="5" t="s">
        <v>3991</v>
      </c>
      <c r="I1371" s="5" t="s">
        <v>4025</v>
      </c>
      <c r="J1371" s="5" t="s">
        <v>4026</v>
      </c>
      <c r="K1371" s="7" t="str">
        <f ca="1">IFERROR(__xludf.DUMMYFUNCTION("GOOGLETRANSLATE(H1371,""EN"",""ES"")"),"Soportes y soportes para electrodomésticos y utensilios")</f>
        <v>Soportes y soportes para electrodomésticos y utensilios</v>
      </c>
      <c r="L1371" s="5" t="str">
        <f ca="1">IFERROR(__xludf.DUMMYFUNCTION("GOOGLETRANSLATE(J1371,""EN"",""ES"")"),"Servilleteros")</f>
        <v>Servilleteros</v>
      </c>
      <c r="M1371" s="8" t="s">
        <v>22</v>
      </c>
      <c r="N1371" s="8" t="s">
        <v>22</v>
      </c>
    </row>
    <row r="1372" spans="1:14" ht="11.25" customHeight="1">
      <c r="A1372" s="5" t="s">
        <v>3028</v>
      </c>
      <c r="B1372" s="5" t="s">
        <v>3989</v>
      </c>
      <c r="C1372" s="5" t="s">
        <v>4024</v>
      </c>
      <c r="D1372" s="5" t="s">
        <v>3031</v>
      </c>
      <c r="E1372" s="5" t="s">
        <v>23</v>
      </c>
      <c r="F1372" s="5" t="s">
        <v>3032</v>
      </c>
      <c r="G1372" s="5" t="s">
        <v>3033</v>
      </c>
      <c r="H1372" s="5" t="s">
        <v>3991</v>
      </c>
      <c r="I1372" s="5" t="s">
        <v>4027</v>
      </c>
      <c r="J1372" s="5" t="s">
        <v>152</v>
      </c>
      <c r="K1372" s="7" t="str">
        <f ca="1">IFERROR(__xludf.DUMMYFUNCTION("GOOGLETRANSLATE(H1372,""EN"",""ES"")"),"Soportes y soportes para electrodomésticos y utensilios")</f>
        <v>Soportes y soportes para electrodomésticos y utensilios</v>
      </c>
      <c r="L1372" s="5" t="str">
        <f ca="1">IFERROR(__xludf.DUMMYFUNCTION("GOOGLETRANSLATE(J1372,""EN"",""ES"")"),"Servilleteros")</f>
        <v>Servilleteros</v>
      </c>
      <c r="M1372" s="8" t="s">
        <v>22</v>
      </c>
      <c r="N1372" s="8" t="s">
        <v>22</v>
      </c>
    </row>
    <row r="1373" spans="1:14" ht="11.25" customHeight="1">
      <c r="A1373" s="5" t="s">
        <v>3028</v>
      </c>
      <c r="B1373" s="5" t="s">
        <v>3989</v>
      </c>
      <c r="C1373" s="5" t="s">
        <v>4028</v>
      </c>
      <c r="D1373" s="5" t="s">
        <v>3031</v>
      </c>
      <c r="E1373" s="5" t="s">
        <v>23</v>
      </c>
      <c r="F1373" s="5" t="s">
        <v>3032</v>
      </c>
      <c r="G1373" s="5" t="s">
        <v>3033</v>
      </c>
      <c r="H1373" s="5" t="s">
        <v>3991</v>
      </c>
      <c r="I1373" s="5" t="s">
        <v>4029</v>
      </c>
      <c r="J1373" s="5" t="s">
        <v>4030</v>
      </c>
      <c r="K1373" s="7" t="str">
        <f ca="1">IFERROR(__xludf.DUMMYFUNCTION("GOOGLETRANSLATE(H1373,""EN"",""ES"")"),"Soportes y soportes para electrodomésticos y utensilios")</f>
        <v>Soportes y soportes para electrodomésticos y utensilios</v>
      </c>
      <c r="L1373" s="5" t="str">
        <f ca="1">IFERROR(__xludf.DUMMYFUNCTION("GOOGLETRANSLATE(J1373,""EN"",""ES"")"),"Soportes para vasos [excepto dispensadores]")</f>
        <v>Soportes para vasos [excepto dispensadores]</v>
      </c>
      <c r="M1373" s="8" t="s">
        <v>22</v>
      </c>
      <c r="N1373" s="8" t="s">
        <v>22</v>
      </c>
    </row>
    <row r="1374" spans="1:14" ht="11.25" customHeight="1">
      <c r="A1374" s="5" t="s">
        <v>3028</v>
      </c>
      <c r="B1374" s="5" t="s">
        <v>3989</v>
      </c>
      <c r="C1374" s="5" t="s">
        <v>4028</v>
      </c>
      <c r="D1374" s="5" t="s">
        <v>3031</v>
      </c>
      <c r="E1374" s="5" t="s">
        <v>23</v>
      </c>
      <c r="F1374" s="5" t="s">
        <v>3032</v>
      </c>
      <c r="G1374" s="5" t="s">
        <v>3033</v>
      </c>
      <c r="H1374" s="5" t="s">
        <v>3991</v>
      </c>
      <c r="I1374" s="5" t="s">
        <v>4031</v>
      </c>
      <c r="J1374" s="5" t="s">
        <v>152</v>
      </c>
      <c r="K1374" s="7" t="str">
        <f ca="1">IFERROR(__xludf.DUMMYFUNCTION("GOOGLETRANSLATE(H1374,""EN"",""ES"")"),"Soportes y soportes para electrodomésticos y utensilios")</f>
        <v>Soportes y soportes para electrodomésticos y utensilios</v>
      </c>
      <c r="L1374" s="5" t="str">
        <f ca="1">IFERROR(__xludf.DUMMYFUNCTION("GOOGLETRANSLATE(J1374,""EN"",""ES"")"),"Soportes para vasos [excepto dispensadores]")</f>
        <v>Soportes para vasos [excepto dispensadores]</v>
      </c>
      <c r="M1374" s="8" t="s">
        <v>22</v>
      </c>
      <c r="N1374" s="8" t="s">
        <v>22</v>
      </c>
    </row>
    <row r="1375" spans="1:14" ht="11.25" customHeight="1">
      <c r="A1375" s="5" t="s">
        <v>3028</v>
      </c>
      <c r="B1375" s="5" t="s">
        <v>3989</v>
      </c>
      <c r="C1375" s="5" t="s">
        <v>4032</v>
      </c>
      <c r="D1375" s="5" t="s">
        <v>3031</v>
      </c>
      <c r="E1375" s="5" t="s">
        <v>23</v>
      </c>
      <c r="F1375" s="5" t="s">
        <v>3032</v>
      </c>
      <c r="G1375" s="5" t="s">
        <v>3033</v>
      </c>
      <c r="H1375" s="5" t="s">
        <v>3991</v>
      </c>
      <c r="I1375" s="5" t="s">
        <v>4033</v>
      </c>
      <c r="J1375" s="5" t="s">
        <v>4034</v>
      </c>
      <c r="K1375" s="7" t="str">
        <f ca="1">IFERROR(__xludf.DUMMYFUNCTION("GOOGLETRANSLATE(H1375,""EN"",""ES"")"),"Soportes y soportes para electrodomésticos y utensilios")</f>
        <v>Soportes y soportes para electrodomésticos y utensilios</v>
      </c>
      <c r="L1375" s="5" t="str">
        <f ca="1">IFERROR(__xludf.DUMMYFUNCTION("GOOGLETRANSLATE(J1375,""EN"",""ES"")"),"Porta palillos")</f>
        <v>Porta palillos</v>
      </c>
      <c r="M1375" s="8" t="s">
        <v>22</v>
      </c>
      <c r="N1375" s="8" t="s">
        <v>22</v>
      </c>
    </row>
    <row r="1376" spans="1:14" ht="11.25" customHeight="1">
      <c r="A1376" s="5" t="s">
        <v>3028</v>
      </c>
      <c r="B1376" s="5" t="s">
        <v>3989</v>
      </c>
      <c r="C1376" s="5" t="s">
        <v>4035</v>
      </c>
      <c r="D1376" s="5" t="s">
        <v>3031</v>
      </c>
      <c r="E1376" s="5" t="s">
        <v>23</v>
      </c>
      <c r="F1376" s="5" t="s">
        <v>3032</v>
      </c>
      <c r="G1376" s="5" t="s">
        <v>3033</v>
      </c>
      <c r="H1376" s="5" t="s">
        <v>3991</v>
      </c>
      <c r="I1376" s="5" t="s">
        <v>4036</v>
      </c>
      <c r="J1376" s="5" t="s">
        <v>4037</v>
      </c>
      <c r="K1376" s="7" t="str">
        <f ca="1">IFERROR(__xludf.DUMMYFUNCTION("GOOGLETRANSLATE(H1376,""EN"",""ES"")"),"Soportes y soportes para electrodomésticos y utensilios")</f>
        <v>Soportes y soportes para electrodomésticos y utensilios</v>
      </c>
      <c r="L1376" s="5" t="str">
        <f ca="1">IFERROR(__xludf.DUMMYFUNCTION("GOOGLETRANSLATE(J1376,""EN"",""ES"")"),"Cruet significa aceite y vinagre.")</f>
        <v>Cruet significa aceite y vinagre.</v>
      </c>
      <c r="M1376" s="8" t="s">
        <v>22</v>
      </c>
      <c r="N1376" s="8" t="s">
        <v>22</v>
      </c>
    </row>
    <row r="1377" spans="1:14" ht="11.25" customHeight="1">
      <c r="A1377" s="5" t="s">
        <v>3028</v>
      </c>
      <c r="B1377" s="5" t="s">
        <v>4038</v>
      </c>
      <c r="C1377" s="5" t="s">
        <v>4039</v>
      </c>
      <c r="D1377" s="5" t="s">
        <v>3031</v>
      </c>
      <c r="E1377" s="5" t="s">
        <v>23</v>
      </c>
      <c r="F1377" s="5" t="s">
        <v>3032</v>
      </c>
      <c r="G1377" s="5" t="s">
        <v>3033</v>
      </c>
      <c r="H1377" s="5" t="s">
        <v>4040</v>
      </c>
      <c r="I1377" s="5" t="s">
        <v>4041</v>
      </c>
      <c r="J1377" s="5" t="s">
        <v>4042</v>
      </c>
      <c r="K1377" s="7" t="str">
        <f ca="1">IFERROR(__xludf.DUMMYFUNCTION("GOOGLETRANSLATE(H1377,""EN"",""ES"")"),"Dispositivos de refrigeración y congelación, contenedores AISLANTES")</f>
        <v>Dispositivos de refrigeración y congelación, contenedores AISLANTES</v>
      </c>
      <c r="L1377" s="5" t="str">
        <f ca="1">IFERROR(__xludf.DUMMYFUNCTION("GOOGLETRANSLATE(J1377,""EN"",""ES"")"),"compresas frías flexibles")</f>
        <v>compresas frías flexibles</v>
      </c>
      <c r="M1377" s="8" t="s">
        <v>22</v>
      </c>
      <c r="N1377" s="8" t="s">
        <v>22</v>
      </c>
    </row>
    <row r="1378" spans="1:14" ht="11.25" customHeight="1">
      <c r="A1378" s="5" t="s">
        <v>3028</v>
      </c>
      <c r="B1378" s="5" t="s">
        <v>4038</v>
      </c>
      <c r="C1378" s="5" t="s">
        <v>4043</v>
      </c>
      <c r="D1378" s="5" t="s">
        <v>3031</v>
      </c>
      <c r="E1378" s="5" t="s">
        <v>23</v>
      </c>
      <c r="F1378" s="5" t="s">
        <v>3032</v>
      </c>
      <c r="G1378" s="5" t="s">
        <v>3033</v>
      </c>
      <c r="H1378" s="5" t="s">
        <v>4040</v>
      </c>
      <c r="I1378" s="5" t="s">
        <v>4044</v>
      </c>
      <c r="J1378" s="5" t="s">
        <v>4045</v>
      </c>
      <c r="K1378" s="7" t="str">
        <f ca="1">IFERROR(__xludf.DUMMYFUNCTION("GOOGLETRANSLATE(H1378,""EN"",""ES"")"),"Dispositivos de refrigeración y congelación, contenedores AISLANTES")</f>
        <v>Dispositivos de refrigeración y congelación, contenedores AISLANTES</v>
      </c>
      <c r="L1378" s="5" t="str">
        <f ca="1">IFERROR(__xludf.DUMMYFUNCTION("GOOGLETRANSLATE(J1378,""EN"",""ES"")"),"Cubitos de hielo reutilizables")</f>
        <v>Cubitos de hielo reutilizables</v>
      </c>
      <c r="M1378" s="8" t="s">
        <v>22</v>
      </c>
      <c r="N1378" s="8" t="s">
        <v>22</v>
      </c>
    </row>
    <row r="1379" spans="1:14" ht="11.25" customHeight="1">
      <c r="A1379" s="5" t="s">
        <v>3028</v>
      </c>
      <c r="B1379" s="5" t="s">
        <v>4038</v>
      </c>
      <c r="C1379" s="5" t="s">
        <v>4046</v>
      </c>
      <c r="D1379" s="5" t="s">
        <v>3031</v>
      </c>
      <c r="E1379" s="5" t="s">
        <v>23</v>
      </c>
      <c r="F1379" s="5" t="s">
        <v>3032</v>
      </c>
      <c r="G1379" s="5" t="s">
        <v>3033</v>
      </c>
      <c r="H1379" s="5" t="s">
        <v>4040</v>
      </c>
      <c r="I1379" s="5" t="s">
        <v>4047</v>
      </c>
      <c r="J1379" s="5" t="s">
        <v>4048</v>
      </c>
      <c r="K1379" s="7" t="str">
        <f ca="1">IFERROR(__xludf.DUMMYFUNCTION("GOOGLETRANSLATE(H1379,""EN"",""ES"")"),"Dispositivos de refrigeración y congelación, contenedores AISLANTES")</f>
        <v>Dispositivos de refrigeración y congelación, contenedores AISLANTES</v>
      </c>
      <c r="L1379" s="5" t="str">
        <f ca="1">IFERROR(__xludf.DUMMYFUNCTION("GOOGLETRANSLATE(J1379,""EN"",""ES"")"),"Bloques congeladores")</f>
        <v>Bloques congeladores</v>
      </c>
      <c r="M1379" s="8" t="s">
        <v>22</v>
      </c>
      <c r="N1379" s="8" t="s">
        <v>22</v>
      </c>
    </row>
    <row r="1380" spans="1:14" ht="11.25" customHeight="1">
      <c r="A1380" s="5" t="s">
        <v>3028</v>
      </c>
      <c r="B1380" s="5" t="s">
        <v>4038</v>
      </c>
      <c r="C1380" s="5" t="s">
        <v>4049</v>
      </c>
      <c r="D1380" s="5" t="s">
        <v>3031</v>
      </c>
      <c r="E1380" s="5" t="s">
        <v>23</v>
      </c>
      <c r="F1380" s="5" t="s">
        <v>3032</v>
      </c>
      <c r="G1380" s="5" t="s">
        <v>3033</v>
      </c>
      <c r="H1380" s="5" t="s">
        <v>4040</v>
      </c>
      <c r="I1380" s="5" t="s">
        <v>4050</v>
      </c>
      <c r="J1380" s="5" t="s">
        <v>4051</v>
      </c>
      <c r="K1380" s="7" t="str">
        <f ca="1">IFERROR(__xludf.DUMMYFUNCTION("GOOGLETRANSLATE(H1380,""EN"",""ES"")"),"Dispositivos de refrigeración y congelación, contenedores AISLANTES")</f>
        <v>Dispositivos de refrigeración y congelación, contenedores AISLANTES</v>
      </c>
      <c r="L1380" s="5" t="str">
        <f ca="1">IFERROR(__xludf.DUMMYFUNCTION("GOOGLETRANSLATE(J1380,""EN"",""ES"")"),"Palos de enfriamiento")</f>
        <v>Palos de enfriamiento</v>
      </c>
      <c r="M1380" s="8" t="s">
        <v>22</v>
      </c>
      <c r="N1380" s="8" t="s">
        <v>22</v>
      </c>
    </row>
    <row r="1381" spans="1:14" ht="11.25" customHeight="1">
      <c r="A1381" s="5" t="s">
        <v>3028</v>
      </c>
      <c r="B1381" s="5" t="s">
        <v>4038</v>
      </c>
      <c r="C1381" s="5" t="s">
        <v>4052</v>
      </c>
      <c r="D1381" s="5" t="s">
        <v>3031</v>
      </c>
      <c r="E1381" s="5" t="s">
        <v>23</v>
      </c>
      <c r="F1381" s="5" t="s">
        <v>3032</v>
      </c>
      <c r="G1381" s="5" t="s">
        <v>3033</v>
      </c>
      <c r="H1381" s="5" t="s">
        <v>4040</v>
      </c>
      <c r="I1381" s="5" t="s">
        <v>4053</v>
      </c>
      <c r="J1381" s="5" t="s">
        <v>4054</v>
      </c>
      <c r="K1381" s="7" t="str">
        <f ca="1">IFERROR(__xludf.DUMMYFUNCTION("GOOGLETRANSLATE(H1381,""EN"",""ES"")"),"Dispositivos de refrigeración y congelación, contenedores AISLANTES")</f>
        <v>Dispositivos de refrigeración y congelación, contenedores AISLANTES</v>
      </c>
      <c r="L1381" s="5" t="str">
        <f ca="1">IFERROR(__xludf.DUMMYFUNCTION("GOOGLETRANSLATE(J1381,""EN"",""ES"")"),"Bandejas para cubitos de hielo")</f>
        <v>Bandejas para cubitos de hielo</v>
      </c>
      <c r="M1381" s="8" t="s">
        <v>22</v>
      </c>
      <c r="N1381" s="8" t="s">
        <v>22</v>
      </c>
    </row>
    <row r="1382" spans="1:14" ht="11.25" customHeight="1">
      <c r="A1382" s="5" t="s">
        <v>3028</v>
      </c>
      <c r="B1382" s="5" t="s">
        <v>4038</v>
      </c>
      <c r="C1382" s="5" t="s">
        <v>4055</v>
      </c>
      <c r="D1382" s="5" t="s">
        <v>3031</v>
      </c>
      <c r="E1382" s="5" t="s">
        <v>23</v>
      </c>
      <c r="F1382" s="5" t="s">
        <v>3032</v>
      </c>
      <c r="G1382" s="5" t="s">
        <v>3033</v>
      </c>
      <c r="H1382" s="5" t="s">
        <v>4040</v>
      </c>
      <c r="I1382" s="5" t="s">
        <v>4056</v>
      </c>
      <c r="J1382" s="5" t="s">
        <v>4057</v>
      </c>
      <c r="K1382" s="7" t="str">
        <f ca="1">IFERROR(__xludf.DUMMYFUNCTION("GOOGLETRANSLATE(H1382,""EN"",""ES"")"),"Dispositivos de refrigeración y congelación, contenedores AISLANTES")</f>
        <v>Dispositivos de refrigeración y congelación, contenedores AISLANTES</v>
      </c>
      <c r="L1382" s="5" t="str">
        <f ca="1">IFERROR(__xludf.DUMMYFUNCTION("GOOGLETRANSLATE(J1382,""EN"",""ES"")"),"neveras portátiles")</f>
        <v>neveras portátiles</v>
      </c>
      <c r="M1382" s="8" t="s">
        <v>22</v>
      </c>
      <c r="N1382" s="8" t="s">
        <v>22</v>
      </c>
    </row>
    <row r="1383" spans="1:14" ht="11.25" customHeight="1">
      <c r="A1383" s="5" t="s">
        <v>3028</v>
      </c>
      <c r="B1383" s="5" t="s">
        <v>4038</v>
      </c>
      <c r="C1383" s="5" t="s">
        <v>4058</v>
      </c>
      <c r="D1383" s="5" t="s">
        <v>3031</v>
      </c>
      <c r="E1383" s="5" t="s">
        <v>23</v>
      </c>
      <c r="F1383" s="5" t="s">
        <v>3032</v>
      </c>
      <c r="G1383" s="5" t="s">
        <v>3033</v>
      </c>
      <c r="H1383" s="5" t="s">
        <v>4040</v>
      </c>
      <c r="I1383" s="5" t="s">
        <v>4059</v>
      </c>
      <c r="J1383" s="5" t="s">
        <v>4060</v>
      </c>
      <c r="K1383" s="7" t="str">
        <f ca="1">IFERROR(__xludf.DUMMYFUNCTION("GOOGLETRANSLATE(H1383,""EN"",""ES"")"),"Dispositivos de refrigeración y congelación, contenedores AISLANTES")</f>
        <v>Dispositivos de refrigeración y congelación, contenedores AISLANTES</v>
      </c>
      <c r="L1383" s="5" t="str">
        <f ca="1">IFERROR(__xludf.DUMMYFUNCTION("GOOGLETRANSLATE(J1383,""EN"",""ES"")"),"Cajas aislantes [hogar]")</f>
        <v>Cajas aislantes [hogar]</v>
      </c>
      <c r="M1383" s="8" t="s">
        <v>22</v>
      </c>
      <c r="N1383" s="8" t="s">
        <v>22</v>
      </c>
    </row>
    <row r="1384" spans="1:14" ht="11.25" customHeight="1">
      <c r="A1384" s="5" t="s">
        <v>3028</v>
      </c>
      <c r="B1384" s="5" t="s">
        <v>4038</v>
      </c>
      <c r="C1384" s="5" t="s">
        <v>4061</v>
      </c>
      <c r="D1384" s="5" t="s">
        <v>3031</v>
      </c>
      <c r="E1384" s="5" t="s">
        <v>23</v>
      </c>
      <c r="F1384" s="5" t="s">
        <v>3032</v>
      </c>
      <c r="G1384" s="5" t="s">
        <v>3033</v>
      </c>
      <c r="H1384" s="5" t="s">
        <v>4040</v>
      </c>
      <c r="I1384" s="5" t="s">
        <v>4062</v>
      </c>
      <c r="J1384" s="5" t="s">
        <v>4063</v>
      </c>
      <c r="K1384" s="7" t="str">
        <f ca="1">IFERROR(__xludf.DUMMYFUNCTION("GOOGLETRANSLATE(H1384,""EN"",""ES"")"),"Dispositivos de refrigeración y congelación, contenedores AISLANTES")</f>
        <v>Dispositivos de refrigeración y congelación, contenedores AISLANTES</v>
      </c>
      <c r="L1384" s="5" t="str">
        <f ca="1">IFERROR(__xludf.DUMMYFUNCTION("GOOGLETRANSLATE(J1384,""EN"",""ES"")"),"Matraces de vacío")</f>
        <v>Matraces de vacío</v>
      </c>
      <c r="M1384" s="8" t="s">
        <v>22</v>
      </c>
      <c r="N1384" s="8" t="s">
        <v>22</v>
      </c>
    </row>
    <row r="1385" spans="1:14" ht="11.25" customHeight="1">
      <c r="A1385" s="5" t="s">
        <v>3028</v>
      </c>
      <c r="B1385" s="5" t="s">
        <v>4038</v>
      </c>
      <c r="C1385" s="5" t="s">
        <v>4061</v>
      </c>
      <c r="D1385" s="5" t="s">
        <v>3031</v>
      </c>
      <c r="E1385" s="5" t="s">
        <v>23</v>
      </c>
      <c r="F1385" s="5" t="s">
        <v>3032</v>
      </c>
      <c r="G1385" s="5" t="s">
        <v>3033</v>
      </c>
      <c r="H1385" s="5" t="s">
        <v>4040</v>
      </c>
      <c r="I1385" s="5" t="s">
        <v>4064</v>
      </c>
      <c r="J1385" s="5" t="s">
        <v>152</v>
      </c>
      <c r="K1385" s="7" t="str">
        <f ca="1">IFERROR(__xludf.DUMMYFUNCTION("GOOGLETRANSLATE(H1385,""EN"",""ES"")"),"Dispositivos de refrigeración y congelación, contenedores AISLANTES")</f>
        <v>Dispositivos de refrigeración y congelación, contenedores AISLANTES</v>
      </c>
      <c r="L1385" s="5" t="str">
        <f ca="1">IFERROR(__xludf.DUMMYFUNCTION("GOOGLETRANSLATE(J1385,""EN"",""ES"")"),"botellas aislantes")</f>
        <v>botellas aislantes</v>
      </c>
      <c r="M1385" s="8" t="s">
        <v>22</v>
      </c>
      <c r="N1385" s="8" t="s">
        <v>22</v>
      </c>
    </row>
    <row r="1386" spans="1:14" ht="11.25" customHeight="1">
      <c r="A1386" s="5" t="s">
        <v>3028</v>
      </c>
      <c r="B1386" s="5" t="s">
        <v>4038</v>
      </c>
      <c r="C1386" s="5" t="s">
        <v>4065</v>
      </c>
      <c r="D1386" s="5" t="s">
        <v>3031</v>
      </c>
      <c r="E1386" s="5" t="s">
        <v>23</v>
      </c>
      <c r="F1386" s="5" t="s">
        <v>3032</v>
      </c>
      <c r="G1386" s="5" t="s">
        <v>3033</v>
      </c>
      <c r="H1386" s="5" t="s">
        <v>4040</v>
      </c>
      <c r="I1386" s="5" t="s">
        <v>4066</v>
      </c>
      <c r="J1386" s="5" t="s">
        <v>4067</v>
      </c>
      <c r="K1386" s="7" t="str">
        <f ca="1">IFERROR(__xludf.DUMMYFUNCTION("GOOGLETRANSLATE(H1386,""EN"",""ES"")"),"Dispositivos de refrigeración y congelación, contenedores AISLANTES")</f>
        <v>Dispositivos de refrigeración y congelación, contenedores AISLANTES</v>
      </c>
      <c r="L1386" s="5" t="str">
        <f ca="1">IFERROR(__xludf.DUMMYFUNCTION("GOOGLETRANSLATE(J1386,""EN"",""ES"")"),"Macetas aislantes")</f>
        <v>Macetas aislantes</v>
      </c>
      <c r="M1386" s="8" t="s">
        <v>22</v>
      </c>
      <c r="N1386" s="8" t="s">
        <v>22</v>
      </c>
    </row>
    <row r="1387" spans="1:14" ht="11.25" customHeight="1">
      <c r="A1387" s="5" t="s">
        <v>3028</v>
      </c>
      <c r="B1387" s="5" t="s">
        <v>4068</v>
      </c>
      <c r="C1387" s="5" t="s">
        <v>4069</v>
      </c>
      <c r="D1387" s="5" t="s">
        <v>3031</v>
      </c>
      <c r="E1387" s="5" t="s">
        <v>23</v>
      </c>
      <c r="F1387" s="5" t="s">
        <v>3032</v>
      </c>
      <c r="G1387" s="5" t="s">
        <v>3033</v>
      </c>
      <c r="H1387" s="5" t="s">
        <v>330</v>
      </c>
      <c r="I1387" s="5" t="s">
        <v>4070</v>
      </c>
      <c r="J1387" s="5" t="s">
        <v>4071</v>
      </c>
      <c r="K1387" s="7" t="str">
        <f ca="1">IFERROR(__xludf.DUMMYFUNCTION("GOOGLETRANSLATE(H1387,""EN"",""ES"")"),"MISCELÁNEAS")</f>
        <v>MISCELÁNEAS</v>
      </c>
      <c r="L1387" s="5" t="str">
        <f ca="1">IFERROR(__xludf.DUMMYFUNCTION("GOOGLETRANSLATE(J1387,""EN"",""ES"")"),"encendedores de gas")</f>
        <v>encendedores de gas</v>
      </c>
      <c r="M1387" s="8" t="s">
        <v>22</v>
      </c>
      <c r="N1387" s="8" t="s">
        <v>22</v>
      </c>
    </row>
    <row r="1388" spans="1:14" ht="11.25" customHeight="1">
      <c r="A1388" s="5" t="s">
        <v>3028</v>
      </c>
      <c r="B1388" s="5" t="s">
        <v>4068</v>
      </c>
      <c r="C1388" s="5" t="s">
        <v>4072</v>
      </c>
      <c r="D1388" s="5" t="s">
        <v>3031</v>
      </c>
      <c r="E1388" s="5" t="s">
        <v>23</v>
      </c>
      <c r="F1388" s="5" t="s">
        <v>3032</v>
      </c>
      <c r="G1388" s="5" t="s">
        <v>3033</v>
      </c>
      <c r="H1388" s="5" t="s">
        <v>330</v>
      </c>
      <c r="I1388" s="5" t="s">
        <v>4073</v>
      </c>
      <c r="J1388" s="5" t="s">
        <v>4074</v>
      </c>
      <c r="K1388" s="7" t="str">
        <f ca="1">IFERROR(__xludf.DUMMYFUNCTION("GOOGLETRANSLATE(H1388,""EN"",""ES"")"),"MISCELÁNEAS")</f>
        <v>MISCELÁNEAS</v>
      </c>
      <c r="L1388" s="5" t="str">
        <f ca="1">IFERROR(__xludf.DUMMYFUNCTION("GOOGLETRANSLATE(J1388,""EN"",""ES"")"),"Sartenes calentadoras para camas")</f>
        <v>Sartenes calentadoras para camas</v>
      </c>
      <c r="M1388" s="8" t="s">
        <v>22</v>
      </c>
      <c r="N1388" s="8" t="s">
        <v>22</v>
      </c>
    </row>
    <row r="1389" spans="1:14" ht="11.25" customHeight="1">
      <c r="A1389" s="5" t="s">
        <v>3028</v>
      </c>
      <c r="B1389" s="5" t="s">
        <v>4068</v>
      </c>
      <c r="C1389" s="5" t="s">
        <v>4075</v>
      </c>
      <c r="D1389" s="5" t="s">
        <v>3031</v>
      </c>
      <c r="E1389" s="5" t="s">
        <v>23</v>
      </c>
      <c r="F1389" s="5" t="s">
        <v>3032</v>
      </c>
      <c r="G1389" s="5" t="s">
        <v>3033</v>
      </c>
      <c r="H1389" s="5" t="s">
        <v>330</v>
      </c>
      <c r="I1389" s="5" t="s">
        <v>4076</v>
      </c>
      <c r="J1389" s="5" t="s">
        <v>4077</v>
      </c>
      <c r="K1389" s="7" t="str">
        <f ca="1">IFERROR(__xludf.DUMMYFUNCTION("GOOGLETRANSLATE(H1389,""EN"",""ES"")"),"MISCELÁNEAS")</f>
        <v>MISCELÁNEAS</v>
      </c>
      <c r="L1389" s="5" t="str">
        <f ca="1">IFERROR(__xludf.DUMMYFUNCTION("GOOGLETRANSLATE(J1389,""EN"",""ES"")"),"Calentadores de cama, no eléctricos")</f>
        <v>Calentadores de cama, no eléctricos</v>
      </c>
      <c r="M1389" s="8" t="s">
        <v>22</v>
      </c>
      <c r="N1389" s="8" t="s">
        <v>22</v>
      </c>
    </row>
    <row r="1390" spans="1:14" ht="11.25" customHeight="1">
      <c r="A1390" s="5" t="s">
        <v>3028</v>
      </c>
      <c r="B1390" s="5" t="s">
        <v>4068</v>
      </c>
      <c r="C1390" s="5" t="s">
        <v>4078</v>
      </c>
      <c r="D1390" s="5" t="s">
        <v>3031</v>
      </c>
      <c r="E1390" s="5" t="s">
        <v>23</v>
      </c>
      <c r="F1390" s="5" t="s">
        <v>3032</v>
      </c>
      <c r="G1390" s="5" t="s">
        <v>3033</v>
      </c>
      <c r="H1390" s="5" t="s">
        <v>330</v>
      </c>
      <c r="I1390" s="5" t="s">
        <v>4079</v>
      </c>
      <c r="J1390" s="5" t="s">
        <v>4080</v>
      </c>
      <c r="K1390" s="7" t="str">
        <f ca="1">IFERROR(__xludf.DUMMYFUNCTION("GOOGLETRANSLATE(H1390,""EN"",""ES"")"),"MISCELÁNEAS")</f>
        <v>MISCELÁNEAS</v>
      </c>
      <c r="L1390" s="5" t="str">
        <f ca="1">IFERROR(__xludf.DUMMYFUNCTION("GOOGLETRANSLATE(J1390,""EN"",""ES"")"),"Calzadores")</f>
        <v>Calzadores</v>
      </c>
      <c r="M1390" s="8" t="s">
        <v>22</v>
      </c>
      <c r="N1390" s="8" t="s">
        <v>22</v>
      </c>
    </row>
    <row r="1391" spans="1:14" ht="11.25" customHeight="1">
      <c r="A1391" s="5" t="s">
        <v>3028</v>
      </c>
      <c r="B1391" s="5" t="s">
        <v>4068</v>
      </c>
      <c r="C1391" s="5" t="s">
        <v>4081</v>
      </c>
      <c r="D1391" s="5" t="s">
        <v>3031</v>
      </c>
      <c r="E1391" s="5" t="s">
        <v>23</v>
      </c>
      <c r="F1391" s="5" t="s">
        <v>3032</v>
      </c>
      <c r="G1391" s="5" t="s">
        <v>3033</v>
      </c>
      <c r="H1391" s="5" t="s">
        <v>330</v>
      </c>
      <c r="I1391" s="5" t="s">
        <v>4082</v>
      </c>
      <c r="J1391" s="5" t="s">
        <v>4083</v>
      </c>
      <c r="K1391" s="7" t="str">
        <f ca="1">IFERROR(__xludf.DUMMYFUNCTION("GOOGLETRANSLATE(H1391,""EN"",""ES"")"),"MISCELÁNEAS")</f>
        <v>MISCELÁNEAS</v>
      </c>
      <c r="L1391" s="5" t="str">
        <f ca="1">IFERROR(__xludf.DUMMYFUNCTION("GOOGLETRANSLATE(J1391,""EN"",""ES"")"),"Embudos [utensilios domésticos]")</f>
        <v>Embudos [utensilios domésticos]</v>
      </c>
      <c r="M1391" s="8" t="s">
        <v>22</v>
      </c>
      <c r="N1391" s="8" t="s">
        <v>22</v>
      </c>
    </row>
    <row r="1392" spans="1:14" ht="11.25" customHeight="1">
      <c r="A1392" s="5" t="s">
        <v>3028</v>
      </c>
      <c r="B1392" s="5" t="s">
        <v>4068</v>
      </c>
      <c r="C1392" s="5" t="s">
        <v>4084</v>
      </c>
      <c r="D1392" s="5" t="s">
        <v>3031</v>
      </c>
      <c r="E1392" s="5" t="s">
        <v>23</v>
      </c>
      <c r="F1392" s="5" t="s">
        <v>3032</v>
      </c>
      <c r="G1392" s="5" t="s">
        <v>3033</v>
      </c>
      <c r="H1392" s="5" t="s">
        <v>330</v>
      </c>
      <c r="I1392" s="5" t="s">
        <v>4085</v>
      </c>
      <c r="J1392" s="5" t="s">
        <v>4086</v>
      </c>
      <c r="K1392" s="7" t="str">
        <f ca="1">IFERROR(__xludf.DUMMYFUNCTION("GOOGLETRANSLATE(H1392,""EN"",""ES"")"),"MISCELÁNEAS")</f>
        <v>MISCELÁNEAS</v>
      </c>
      <c r="L1392" s="5" t="str">
        <f ca="1">IFERROR(__xludf.DUMMYFUNCTION("GOOGLETRANSLATE(J1392,""EN"",""ES"")"),"hormas")</f>
        <v>hormas</v>
      </c>
      <c r="M1392" s="8" t="s">
        <v>22</v>
      </c>
      <c r="N1392" s="8" t="s">
        <v>22</v>
      </c>
    </row>
    <row r="1393" spans="1:14" ht="11.25" customHeight="1">
      <c r="A1393" s="5" t="s">
        <v>3028</v>
      </c>
      <c r="B1393" s="5" t="s">
        <v>4068</v>
      </c>
      <c r="C1393" s="5" t="s">
        <v>4084</v>
      </c>
      <c r="D1393" s="5" t="s">
        <v>3031</v>
      </c>
      <c r="E1393" s="5" t="s">
        <v>23</v>
      </c>
      <c r="F1393" s="5" t="s">
        <v>3032</v>
      </c>
      <c r="G1393" s="5" t="s">
        <v>3033</v>
      </c>
      <c r="H1393" s="5" t="s">
        <v>330</v>
      </c>
      <c r="I1393" s="5" t="s">
        <v>152</v>
      </c>
      <c r="J1393" s="5" t="s">
        <v>4087</v>
      </c>
      <c r="K1393" s="7" t="str">
        <f ca="1">IFERROR(__xludf.DUMMYFUNCTION("GOOGLETRANSLATE(H1393,""EN"",""ES"")"),"MISCELÁNEAS")</f>
        <v>MISCELÁNEAS</v>
      </c>
      <c r="L1393" s="5" t="str">
        <f ca="1">IFERROR(__xludf.DUMMYFUNCTION("GOOGLETRANSLATE(J1393,""EN"",""ES"")"),"N / A")</f>
        <v>N / A</v>
      </c>
      <c r="M1393" s="8" t="s">
        <v>22</v>
      </c>
      <c r="N1393" s="8" t="s">
        <v>22</v>
      </c>
    </row>
    <row r="1394" spans="1:14" ht="11.25" customHeight="1">
      <c r="A1394" s="5" t="s">
        <v>3028</v>
      </c>
      <c r="B1394" s="5" t="s">
        <v>4068</v>
      </c>
      <c r="C1394" s="5" t="s">
        <v>4088</v>
      </c>
      <c r="D1394" s="5" t="s">
        <v>3031</v>
      </c>
      <c r="E1394" s="5" t="s">
        <v>23</v>
      </c>
      <c r="F1394" s="5" t="s">
        <v>3032</v>
      </c>
      <c r="G1394" s="5" t="s">
        <v>3033</v>
      </c>
      <c r="H1394" s="5" t="s">
        <v>330</v>
      </c>
      <c r="I1394" s="5" t="s">
        <v>4089</v>
      </c>
      <c r="J1394" s="5" t="s">
        <v>4090</v>
      </c>
      <c r="K1394" s="7" t="str">
        <f ca="1">IFERROR(__xludf.DUMMYFUNCTION("GOOGLETRANSLATE(H1394,""EN"",""ES"")"),"MISCELÁNEAS")</f>
        <v>MISCELÁNEAS</v>
      </c>
      <c r="L1394" s="5" t="str">
        <f ca="1">IFERROR(__xludf.DUMMYFUNCTION("GOOGLETRANSLATE(J1394,""EN"",""ES"")"),"Dispositivos de riego para plantas.")</f>
        <v>Dispositivos de riego para plantas.</v>
      </c>
      <c r="M1394" s="8" t="s">
        <v>22</v>
      </c>
      <c r="N1394" s="8" t="s">
        <v>22</v>
      </c>
    </row>
    <row r="1395" spans="1:14" ht="11.25" customHeight="1">
      <c r="A1395" s="5" t="s">
        <v>3028</v>
      </c>
      <c r="B1395" s="5" t="s">
        <v>4068</v>
      </c>
      <c r="C1395" s="5" t="s">
        <v>4091</v>
      </c>
      <c r="D1395" s="5" t="s">
        <v>3031</v>
      </c>
      <c r="E1395" s="5" t="s">
        <v>23</v>
      </c>
      <c r="F1395" s="5" t="s">
        <v>3032</v>
      </c>
      <c r="G1395" s="5" t="s">
        <v>3033</v>
      </c>
      <c r="H1395" s="5" t="s">
        <v>330</v>
      </c>
      <c r="I1395" s="5" t="s">
        <v>4092</v>
      </c>
      <c r="J1395" s="5" t="s">
        <v>4093</v>
      </c>
      <c r="K1395" s="7" t="str">
        <f ca="1">IFERROR(__xludf.DUMMYFUNCTION("GOOGLETRANSLATE(H1395,""EN"",""ES"")"),"MISCELÁNEAS")</f>
        <v>MISCELÁNEAS</v>
      </c>
      <c r="L1395" s="5" t="str">
        <f ca="1">IFERROR(__xludf.DUMMYFUNCTION("GOOGLETRANSLATE(J1395,""EN"",""ES"")"),"Aparatos manuales para enrollar ovillos de lana.")</f>
        <v>Aparatos manuales para enrollar ovillos de lana.</v>
      </c>
      <c r="M1395" s="8" t="s">
        <v>22</v>
      </c>
      <c r="N1395" s="8" t="s">
        <v>22</v>
      </c>
    </row>
    <row r="1396" spans="1:14" ht="11.25" customHeight="1">
      <c r="A1396" s="5" t="s">
        <v>3028</v>
      </c>
      <c r="B1396" s="5" t="s">
        <v>4068</v>
      </c>
      <c r="C1396" s="5" t="s">
        <v>4094</v>
      </c>
      <c r="D1396" s="5" t="s">
        <v>3031</v>
      </c>
      <c r="E1396" s="5" t="s">
        <v>23</v>
      </c>
      <c r="F1396" s="5" t="s">
        <v>3032</v>
      </c>
      <c r="G1396" s="5" t="s">
        <v>3033</v>
      </c>
      <c r="H1396" s="5" t="s">
        <v>330</v>
      </c>
      <c r="I1396" s="5" t="s">
        <v>4095</v>
      </c>
      <c r="J1396" s="5" t="s">
        <v>4096</v>
      </c>
      <c r="K1396" s="7" t="str">
        <f ca="1">IFERROR(__xludf.DUMMYFUNCTION("GOOGLETRANSLATE(H1396,""EN"",""ES"")"),"MISCELÁNEAS")</f>
        <v>MISCELÁNEAS</v>
      </c>
      <c r="L1396" s="5" t="str">
        <f ca="1">IFERROR(__xludf.DUMMYFUNCTION("GOOGLETRANSLATE(J1396,""EN"",""ES"")"),"Bandejas para servir [hogar]")</f>
        <v>Bandejas para servir [hogar]</v>
      </c>
      <c r="M1396" s="8" t="s">
        <v>22</v>
      </c>
      <c r="N1396" s="8" t="s">
        <v>22</v>
      </c>
    </row>
    <row r="1397" spans="1:14" ht="11.25" customHeight="1">
      <c r="A1397" s="5" t="s">
        <v>3028</v>
      </c>
      <c r="B1397" s="5" t="s">
        <v>4068</v>
      </c>
      <c r="C1397" s="5" t="s">
        <v>4097</v>
      </c>
      <c r="D1397" s="5" t="s">
        <v>3031</v>
      </c>
      <c r="E1397" s="5" t="s">
        <v>23</v>
      </c>
      <c r="F1397" s="5" t="s">
        <v>3032</v>
      </c>
      <c r="G1397" s="5" t="s">
        <v>3033</v>
      </c>
      <c r="H1397" s="5" t="s">
        <v>330</v>
      </c>
      <c r="I1397" s="5" t="s">
        <v>4098</v>
      </c>
      <c r="J1397" s="5" t="s">
        <v>4099</v>
      </c>
      <c r="K1397" s="7" t="str">
        <f ca="1">IFERROR(__xludf.DUMMYFUNCTION("GOOGLETRANSLATE(H1397,""EN"",""ES"")"),"MISCELÁNEAS")</f>
        <v>MISCELÁNEAS</v>
      </c>
      <c r="L1397" s="5" t="str">
        <f ca="1">IFERROR(__xludf.DUMMYFUNCTION("GOOGLETRANSLATE(J1397,""EN"",""ES"")"),"Bolas para helado")</f>
        <v>Bolas para helado</v>
      </c>
      <c r="M1397" s="8" t="s">
        <v>22</v>
      </c>
      <c r="N1397" s="8" t="s">
        <v>22</v>
      </c>
    </row>
    <row r="1398" spans="1:14" ht="11.25" customHeight="1">
      <c r="A1398" s="5" t="s">
        <v>3028</v>
      </c>
      <c r="B1398" s="5" t="s">
        <v>4068</v>
      </c>
      <c r="C1398" s="5" t="s">
        <v>4100</v>
      </c>
      <c r="D1398" s="5" t="s">
        <v>3031</v>
      </c>
      <c r="E1398" s="5" t="s">
        <v>23</v>
      </c>
      <c r="F1398" s="5" t="s">
        <v>3032</v>
      </c>
      <c r="G1398" s="5" t="s">
        <v>3033</v>
      </c>
      <c r="H1398" s="5" t="s">
        <v>330</v>
      </c>
      <c r="I1398" s="5" t="s">
        <v>4101</v>
      </c>
      <c r="J1398" s="5" t="s">
        <v>4102</v>
      </c>
      <c r="K1398" s="7" t="str">
        <f ca="1">IFERROR(__xludf.DUMMYFUNCTION("GOOGLETRANSLATE(H1398,""EN"",""ES"")"),"MISCELÁNEAS")</f>
        <v>MISCELÁNEAS</v>
      </c>
      <c r="L1398" s="5" t="str">
        <f ca="1">IFERROR(__xludf.DUMMYFUNCTION("GOOGLETRANSLATE(J1398,""EN"",""ES"")"),"Camillas para botas y zapatos.")</f>
        <v>Camillas para botas y zapatos.</v>
      </c>
      <c r="M1398" s="8" t="s">
        <v>22</v>
      </c>
      <c r="N1398" s="8" t="s">
        <v>22</v>
      </c>
    </row>
    <row r="1399" spans="1:14" ht="11.25" customHeight="1">
      <c r="A1399" s="5" t="s">
        <v>3028</v>
      </c>
      <c r="B1399" s="5" t="s">
        <v>4068</v>
      </c>
      <c r="C1399" s="5" t="s">
        <v>4103</v>
      </c>
      <c r="D1399" s="5" t="s">
        <v>3031</v>
      </c>
      <c r="E1399" s="5" t="s">
        <v>23</v>
      </c>
      <c r="F1399" s="5" t="s">
        <v>3032</v>
      </c>
      <c r="G1399" s="5" t="s">
        <v>3033</v>
      </c>
      <c r="H1399" s="5" t="s">
        <v>330</v>
      </c>
      <c r="I1399" s="5" t="s">
        <v>4104</v>
      </c>
      <c r="J1399" s="5" t="s">
        <v>4105</v>
      </c>
      <c r="K1399" s="7" t="str">
        <f ca="1">IFERROR(__xludf.DUMMYFUNCTION("GOOGLETRANSLATE(H1399,""EN"",""ES"")"),"MISCELÁNEAS")</f>
        <v>MISCELÁNEAS</v>
      </c>
      <c r="L1399" s="5" t="str">
        <f ca="1">IFERROR(__xludf.DUMMYFUNCTION("GOOGLETRANSLATE(J1399,""EN"",""ES"")"),"Gatos de arranque")</f>
        <v>Gatos de arranque</v>
      </c>
      <c r="M1399" s="8" t="s">
        <v>22</v>
      </c>
      <c r="N1399" s="8" t="s">
        <v>22</v>
      </c>
    </row>
    <row r="1400" spans="1:14" ht="11.25" customHeight="1">
      <c r="A1400" s="5" t="s">
        <v>3028</v>
      </c>
      <c r="B1400" s="5" t="s">
        <v>4068</v>
      </c>
      <c r="C1400" s="5" t="s">
        <v>4106</v>
      </c>
      <c r="D1400" s="5" t="s">
        <v>3031</v>
      </c>
      <c r="E1400" s="5" t="s">
        <v>23</v>
      </c>
      <c r="F1400" s="5" t="s">
        <v>3032</v>
      </c>
      <c r="G1400" s="5" t="s">
        <v>3033</v>
      </c>
      <c r="H1400" s="5" t="s">
        <v>330</v>
      </c>
      <c r="I1400" s="5" t="s">
        <v>4107</v>
      </c>
      <c r="J1400" s="5" t="s">
        <v>4108</v>
      </c>
      <c r="K1400" s="7" t="str">
        <f ca="1">IFERROR(__xludf.DUMMYFUNCTION("GOOGLETRANSLATE(H1400,""EN"",""ES"")"),"MISCELÁNEAS")</f>
        <v>MISCELÁNEAS</v>
      </c>
      <c r="L1400" s="5" t="str">
        <f ca="1">IFERROR(__xludf.DUMMYFUNCTION("GOOGLETRANSLATE(J1400,""EN"",""ES"")"),"Ojales")</f>
        <v>Ojales</v>
      </c>
      <c r="M1400" s="8" t="s">
        <v>22</v>
      </c>
      <c r="N1400" s="8" t="s">
        <v>22</v>
      </c>
    </row>
    <row r="1401" spans="1:14" ht="11.25" customHeight="1">
      <c r="A1401" s="5" t="s">
        <v>3028</v>
      </c>
      <c r="B1401" s="5" t="s">
        <v>4068</v>
      </c>
      <c r="C1401" s="5" t="s">
        <v>4109</v>
      </c>
      <c r="D1401" s="5" t="s">
        <v>3031</v>
      </c>
      <c r="E1401" s="5" t="s">
        <v>23</v>
      </c>
      <c r="F1401" s="5" t="s">
        <v>3032</v>
      </c>
      <c r="G1401" s="5" t="s">
        <v>3033</v>
      </c>
      <c r="H1401" s="5" t="s">
        <v>330</v>
      </c>
      <c r="I1401" s="5" t="s">
        <v>4110</v>
      </c>
      <c r="J1401" s="5" t="s">
        <v>4111</v>
      </c>
      <c r="K1401" s="7" t="str">
        <f ca="1">IFERROR(__xludf.DUMMYFUNCTION("GOOGLETRANSLATE(H1401,""EN"",""ES"")"),"MISCELÁNEAS")</f>
        <v>MISCELÁNEAS</v>
      </c>
      <c r="L1401" s="5" t="str">
        <f ca="1">IFERROR(__xludf.DUMMYFUNCTION("GOOGLETRANSLATE(J1401,""EN"",""ES"")"),"bolsas de agua caliente")</f>
        <v>bolsas de agua caliente</v>
      </c>
      <c r="M1401" s="8" t="s">
        <v>22</v>
      </c>
      <c r="N1401" s="8" t="s">
        <v>22</v>
      </c>
    </row>
    <row r="1402" spans="1:14" ht="11.25" customHeight="1">
      <c r="A1402" s="5" t="s">
        <v>3028</v>
      </c>
      <c r="B1402" s="5" t="s">
        <v>4068</v>
      </c>
      <c r="C1402" s="5" t="s">
        <v>4112</v>
      </c>
      <c r="D1402" s="5" t="s">
        <v>3031</v>
      </c>
      <c r="E1402" s="5" t="s">
        <v>23</v>
      </c>
      <c r="F1402" s="5" t="s">
        <v>3032</v>
      </c>
      <c r="G1402" s="5" t="s">
        <v>3033</v>
      </c>
      <c r="H1402" s="5" t="s">
        <v>330</v>
      </c>
      <c r="I1402" s="5" t="s">
        <v>4113</v>
      </c>
      <c r="J1402" s="5" t="s">
        <v>4114</v>
      </c>
      <c r="K1402" s="7" t="str">
        <f ca="1">IFERROR(__xludf.DUMMYFUNCTION("GOOGLETRANSLATE(H1402,""EN"",""ES"")"),"MISCELÁNEAS")</f>
        <v>MISCELÁNEAS</v>
      </c>
      <c r="L1402" s="5" t="str">
        <f ca="1">IFERROR(__xludf.DUMMYFUNCTION("GOOGLETRANSLATE(J1402,""EN"",""ES"")"),"Aparatos para aspirar líquidos y llenar botellas, accionados manualmente")</f>
        <v>Aparatos para aspirar líquidos y llenar botellas, accionados manualmente</v>
      </c>
      <c r="M1402" s="8" t="s">
        <v>22</v>
      </c>
      <c r="N1402" s="8" t="s">
        <v>22</v>
      </c>
    </row>
    <row r="1403" spans="1:14" ht="11.25" customHeight="1">
      <c r="A1403" s="5" t="s">
        <v>3028</v>
      </c>
      <c r="B1403" s="5" t="s">
        <v>4068</v>
      </c>
      <c r="C1403" s="5" t="s">
        <v>4115</v>
      </c>
      <c r="D1403" s="5" t="s">
        <v>3031</v>
      </c>
      <c r="E1403" s="5" t="s">
        <v>23</v>
      </c>
      <c r="F1403" s="5" t="s">
        <v>3032</v>
      </c>
      <c r="G1403" s="5" t="s">
        <v>3033</v>
      </c>
      <c r="H1403" s="5" t="s">
        <v>330</v>
      </c>
      <c r="I1403" s="5" t="s">
        <v>4116</v>
      </c>
      <c r="J1403" s="5" t="s">
        <v>4117</v>
      </c>
      <c r="K1403" s="7" t="str">
        <f ca="1">IFERROR(__xludf.DUMMYFUNCTION("GOOGLETRANSLATE(H1403,""EN"",""ES"")"),"MISCELÁNEAS")</f>
        <v>MISCELÁNEAS</v>
      </c>
      <c r="L1403" s="5" t="str">
        <f ca="1">IFERROR(__xludf.DUMMYFUNCTION("GOOGLETRANSLATE(J1403,""EN"",""ES"")"),"Dispensadores para envasar bolsitas [domésticos]")</f>
        <v>Dispensadores para envasar bolsitas [domésticos]</v>
      </c>
      <c r="M1403" s="8" t="s">
        <v>22</v>
      </c>
      <c r="N1403" s="8" t="s">
        <v>22</v>
      </c>
    </row>
    <row r="1404" spans="1:14" ht="11.25" customHeight="1">
      <c r="A1404" s="5" t="s">
        <v>3028</v>
      </c>
      <c r="B1404" s="5" t="s">
        <v>4068</v>
      </c>
      <c r="C1404" s="5" t="s">
        <v>4118</v>
      </c>
      <c r="D1404" s="5" t="s">
        <v>3031</v>
      </c>
      <c r="E1404" s="5" t="s">
        <v>23</v>
      </c>
      <c r="F1404" s="5" t="s">
        <v>3032</v>
      </c>
      <c r="G1404" s="5" t="s">
        <v>3033</v>
      </c>
      <c r="H1404" s="5" t="s">
        <v>330</v>
      </c>
      <c r="I1404" s="5" t="s">
        <v>4119</v>
      </c>
      <c r="J1404" s="5" t="s">
        <v>4120</v>
      </c>
      <c r="K1404" s="7" t="str">
        <f ca="1">IFERROR(__xludf.DUMMYFUNCTION("GOOGLETRANSLATE(H1404,""EN"",""ES"")"),"MISCELÁNEAS")</f>
        <v>MISCELÁNEAS</v>
      </c>
      <c r="L1404" s="5" t="str">
        <f ca="1">IFERROR(__xludf.DUMMYFUNCTION("GOOGLETRANSLATE(J1404,""EN"",""ES"")"),"Dispensadores para vasos")</f>
        <v>Dispensadores para vasos</v>
      </c>
      <c r="M1404" s="8" t="s">
        <v>22</v>
      </c>
      <c r="N1404" s="8" t="s">
        <v>22</v>
      </c>
    </row>
    <row r="1405" spans="1:14" ht="11.25" customHeight="1">
      <c r="A1405" s="5" t="s">
        <v>3028</v>
      </c>
      <c r="B1405" s="5" t="s">
        <v>4068</v>
      </c>
      <c r="C1405" s="5" t="s">
        <v>4121</v>
      </c>
      <c r="D1405" s="5" t="s">
        <v>3031</v>
      </c>
      <c r="E1405" s="5" t="s">
        <v>23</v>
      </c>
      <c r="F1405" s="5" t="s">
        <v>3032</v>
      </c>
      <c r="G1405" s="5" t="s">
        <v>3033</v>
      </c>
      <c r="H1405" s="5" t="s">
        <v>330</v>
      </c>
      <c r="I1405" s="5" t="s">
        <v>4122</v>
      </c>
      <c r="J1405" s="5" t="s">
        <v>4123</v>
      </c>
      <c r="K1405" s="7" t="str">
        <f ca="1">IFERROR(__xludf.DUMMYFUNCTION("GOOGLETRANSLATE(H1405,""EN"",""ES"")"),"MISCELÁNEAS")</f>
        <v>MISCELÁNEAS</v>
      </c>
      <c r="L1405" s="5" t="str">
        <f ca="1">IFERROR(__xludf.DUMMYFUNCTION("GOOGLETRANSLATE(J1405,""EN"",""ES"")"),"Aparatos para encender fuegos.")</f>
        <v>Aparatos para encender fuegos.</v>
      </c>
      <c r="M1405" s="8" t="s">
        <v>22</v>
      </c>
      <c r="N1405" s="8" t="s">
        <v>22</v>
      </c>
    </row>
    <row r="1406" spans="1:14" ht="11.25" customHeight="1">
      <c r="A1406" s="5" t="s">
        <v>3028</v>
      </c>
      <c r="B1406" s="5" t="s">
        <v>4068</v>
      </c>
      <c r="C1406" s="5" t="s">
        <v>4124</v>
      </c>
      <c r="D1406" s="5" t="s">
        <v>3031</v>
      </c>
      <c r="E1406" s="5" t="s">
        <v>23</v>
      </c>
      <c r="F1406" s="5" t="s">
        <v>3032</v>
      </c>
      <c r="G1406" s="5" t="s">
        <v>3033</v>
      </c>
      <c r="H1406" s="5" t="s">
        <v>330</v>
      </c>
      <c r="I1406" s="5" t="s">
        <v>4125</v>
      </c>
      <c r="J1406" s="5" t="s">
        <v>4126</v>
      </c>
      <c r="K1406" s="7" t="str">
        <f ca="1">IFERROR(__xludf.DUMMYFUNCTION("GOOGLETRANSLATE(H1406,""EN"",""ES"")"),"MISCELÁNEAS")</f>
        <v>MISCELÁNEAS</v>
      </c>
      <c r="L1406" s="5" t="str">
        <f ca="1">IFERROR(__xludf.DUMMYFUNCTION("GOOGLETRANSLATE(J1406,""EN"",""ES"")"),"Aparatos para sellar bolsas [hogar]")</f>
        <v>Aparatos para sellar bolsas [hogar]</v>
      </c>
      <c r="M1406" s="8" t="s">
        <v>22</v>
      </c>
      <c r="N1406" s="8" t="s">
        <v>22</v>
      </c>
    </row>
    <row r="1407" spans="1:14" ht="11.25" customHeight="1">
      <c r="A1407" s="5" t="s">
        <v>3028</v>
      </c>
      <c r="B1407" s="5" t="s">
        <v>4068</v>
      </c>
      <c r="C1407" s="5" t="s">
        <v>4127</v>
      </c>
      <c r="D1407" s="5" t="s">
        <v>3031</v>
      </c>
      <c r="E1407" s="5" t="s">
        <v>23</v>
      </c>
      <c r="F1407" s="5" t="s">
        <v>3032</v>
      </c>
      <c r="G1407" s="5" t="s">
        <v>3033</v>
      </c>
      <c r="H1407" s="5" t="s">
        <v>330</v>
      </c>
      <c r="I1407" s="5" t="s">
        <v>4128</v>
      </c>
      <c r="J1407" s="5" t="s">
        <v>4129</v>
      </c>
      <c r="K1407" s="7" t="str">
        <f ca="1">IFERROR(__xludf.DUMMYFUNCTION("GOOGLETRANSLATE(H1407,""EN"",""ES"")"),"MISCELÁNEAS")</f>
        <v>MISCELÁNEAS</v>
      </c>
      <c r="L1407" s="5" t="str">
        <f ca="1">IFERROR(__xludf.DUMMYFUNCTION("GOOGLETRANSLATE(J1407,""EN"",""ES"")"),"Cucharones para tarros")</f>
        <v>Cucharones para tarros</v>
      </c>
      <c r="M1407" s="8" t="s">
        <v>22</v>
      </c>
      <c r="N1407" s="8" t="s">
        <v>22</v>
      </c>
    </row>
    <row r="1408" spans="1:14" ht="11.25" customHeight="1">
      <c r="A1408" s="5" t="s">
        <v>3028</v>
      </c>
      <c r="B1408" s="5" t="s">
        <v>4068</v>
      </c>
      <c r="C1408" s="5" t="s">
        <v>4130</v>
      </c>
      <c r="D1408" s="5" t="s">
        <v>3031</v>
      </c>
      <c r="E1408" s="5" t="s">
        <v>23</v>
      </c>
      <c r="F1408" s="5" t="s">
        <v>3032</v>
      </c>
      <c r="G1408" s="5" t="s">
        <v>3033</v>
      </c>
      <c r="H1408" s="5" t="s">
        <v>330</v>
      </c>
      <c r="I1408" s="5" t="s">
        <v>4131</v>
      </c>
      <c r="J1408" s="5" t="s">
        <v>4132</v>
      </c>
      <c r="K1408" s="7" t="str">
        <f ca="1">IFERROR(__xludf.DUMMYFUNCTION("GOOGLETRANSLATE(H1408,""EN"",""ES"")"),"MISCELÁNEAS")</f>
        <v>MISCELÁNEAS</v>
      </c>
      <c r="L1408" s="5" t="str">
        <f ca="1">IFERROR(__xludf.DUMMYFUNCTION("GOOGLETRANSLATE(J1408,""EN"",""ES"")"),"Dispositivos para ponerse los calcetines.")</f>
        <v>Dispositivos para ponerse los calcetines.</v>
      </c>
      <c r="M1408" s="8" t="s">
        <v>22</v>
      </c>
      <c r="N1408" s="8" t="s">
        <v>22</v>
      </c>
    </row>
    <row r="1409" spans="1:14" ht="11.25" customHeight="1">
      <c r="A1409" s="5" t="s">
        <v>3028</v>
      </c>
      <c r="B1409" s="5" t="s">
        <v>4068</v>
      </c>
      <c r="C1409" s="5" t="s">
        <v>4133</v>
      </c>
      <c r="D1409" s="5" t="s">
        <v>3031</v>
      </c>
      <c r="E1409" s="5" t="s">
        <v>23</v>
      </c>
      <c r="F1409" s="5" t="s">
        <v>3032</v>
      </c>
      <c r="G1409" s="5" t="s">
        <v>3033</v>
      </c>
      <c r="H1409" s="5" t="s">
        <v>330</v>
      </c>
      <c r="I1409" s="5" t="s">
        <v>4134</v>
      </c>
      <c r="J1409" s="5" t="s">
        <v>4135</v>
      </c>
      <c r="K1409" s="7" t="str">
        <f ca="1">IFERROR(__xludf.DUMMYFUNCTION("GOOGLETRANSLATE(H1409,""EN"",""ES"")"),"MISCELÁNEAS")</f>
        <v>MISCELÁNEAS</v>
      </c>
      <c r="L1409" s="5" t="str">
        <f ca="1">IFERROR(__xludf.DUMMYFUNCTION("GOOGLETRANSLATE(J1409,""EN"",""ES"")"),"Cubiertas para alimentos [domos]")</f>
        <v>Cubiertas para alimentos [domos]</v>
      </c>
      <c r="M1409" s="8" t="s">
        <v>22</v>
      </c>
      <c r="N1409" s="8" t="s">
        <v>22</v>
      </c>
    </row>
    <row r="1410" spans="1:14" ht="11.25" customHeight="1">
      <c r="A1410" s="5" t="s">
        <v>3028</v>
      </c>
      <c r="B1410" s="5" t="s">
        <v>4068</v>
      </c>
      <c r="C1410" s="5" t="s">
        <v>4136</v>
      </c>
      <c r="D1410" s="5" t="s">
        <v>3031</v>
      </c>
      <c r="E1410" s="5" t="s">
        <v>23</v>
      </c>
      <c r="F1410" s="5" t="s">
        <v>3032</v>
      </c>
      <c r="G1410" s="5" t="s">
        <v>3033</v>
      </c>
      <c r="H1410" s="5" t="s">
        <v>330</v>
      </c>
      <c r="I1410" s="5" t="s">
        <v>4137</v>
      </c>
      <c r="J1410" s="5" t="s">
        <v>4138</v>
      </c>
      <c r="K1410" s="7" t="str">
        <f ca="1">IFERROR(__xludf.DUMMYFUNCTION("GOOGLETRANSLATE(H1410,""EN"",""ES"")"),"MISCELÁNEAS")</f>
        <v>MISCELÁNEAS</v>
      </c>
      <c r="L1410" s="5" t="str">
        <f ca="1">IFERROR(__xludf.DUMMYFUNCTION("GOOGLETRANSLATE(J1410,""EN"",""ES"")"),"Clips para levantar platos calientes.")</f>
        <v>Clips para levantar platos calientes.</v>
      </c>
      <c r="M1410" s="8" t="s">
        <v>22</v>
      </c>
      <c r="N1410" s="8" t="s">
        <v>22</v>
      </c>
    </row>
    <row r="1411" spans="1:14" ht="11.25" customHeight="1">
      <c r="A1411" s="5" t="s">
        <v>4139</v>
      </c>
      <c r="B1411" s="5" t="s">
        <v>4140</v>
      </c>
      <c r="C1411" s="5" t="s">
        <v>4141</v>
      </c>
      <c r="D1411" s="5" t="s">
        <v>4142</v>
      </c>
      <c r="E1411" s="5" t="s">
        <v>27</v>
      </c>
      <c r="F1411" s="5" t="s">
        <v>4143</v>
      </c>
      <c r="G1411" s="5" t="s">
        <v>4144</v>
      </c>
      <c r="H1411" s="5" t="s">
        <v>4145</v>
      </c>
      <c r="I1411" s="5" t="s">
        <v>4146</v>
      </c>
      <c r="J1411" s="5" t="s">
        <v>4147</v>
      </c>
      <c r="K1411" s="7" t="str">
        <f ca="1">IFERROR(__xludf.DUMMYFUNCTION("GOOGLETRANSLATE(H1411,""EN"",""ES"")"),"HERRAMIENTAS E IMPLEMENTOS PARA PERFORAR, FRESAR O EXCAVAR")</f>
        <v>HERRAMIENTAS E IMPLEMENTOS PARA PERFORAR, FRESAR O EXCAVAR</v>
      </c>
      <c r="L1411" s="5" t="str">
        <f ca="1">IFERROR(__xludf.DUMMYFUNCTION("GOOGLETRANSLATE(J1411,""EN"",""ES"")"),"Escariadores")</f>
        <v>Escariadores</v>
      </c>
      <c r="M1411" s="8" t="s">
        <v>26</v>
      </c>
      <c r="N1411" s="8"/>
    </row>
    <row r="1412" spans="1:14" ht="11.25" customHeight="1">
      <c r="A1412" s="5" t="s">
        <v>4139</v>
      </c>
      <c r="B1412" s="5" t="s">
        <v>4140</v>
      </c>
      <c r="C1412" s="5" t="s">
        <v>4148</v>
      </c>
      <c r="D1412" s="5" t="s">
        <v>4142</v>
      </c>
      <c r="E1412" s="5" t="s">
        <v>27</v>
      </c>
      <c r="F1412" s="5" t="s">
        <v>4143</v>
      </c>
      <c r="G1412" s="5" t="s">
        <v>4144</v>
      </c>
      <c r="H1412" s="5" t="s">
        <v>4145</v>
      </c>
      <c r="I1412" s="5" t="s">
        <v>4149</v>
      </c>
      <c r="J1412" s="5" t="s">
        <v>4150</v>
      </c>
      <c r="K1412" s="7" t="str">
        <f ca="1">IFERROR(__xludf.DUMMYFUNCTION("GOOGLETRANSLATE(H1412,""EN"",""ES"")"),"HERRAMIENTAS E IMPLEMENTOS PARA PERFORAR, FRESAR O EXCAVAR")</f>
        <v>HERRAMIENTAS E IMPLEMENTOS PARA PERFORAR, FRESAR O EXCAVAR</v>
      </c>
      <c r="L1412" s="5" t="str">
        <f ca="1">IFERROR(__xludf.DUMMYFUNCTION("GOOGLETRANSLATE(J1412,""EN"",""ES"")"),"barrenadores")</f>
        <v>barrenadores</v>
      </c>
      <c r="M1412" s="8" t="s">
        <v>26</v>
      </c>
      <c r="N1412" s="8"/>
    </row>
    <row r="1413" spans="1:14" ht="11.25" customHeight="1">
      <c r="A1413" s="5" t="s">
        <v>4139</v>
      </c>
      <c r="B1413" s="5" t="s">
        <v>4140</v>
      </c>
      <c r="C1413" s="5" t="s">
        <v>4151</v>
      </c>
      <c r="D1413" s="5" t="s">
        <v>4142</v>
      </c>
      <c r="E1413" s="5" t="s">
        <v>27</v>
      </c>
      <c r="F1413" s="5" t="s">
        <v>4143</v>
      </c>
      <c r="G1413" s="5" t="s">
        <v>4144</v>
      </c>
      <c r="H1413" s="5" t="s">
        <v>4145</v>
      </c>
      <c r="I1413" s="5" t="s">
        <v>4152</v>
      </c>
      <c r="J1413" s="5" t="s">
        <v>4153</v>
      </c>
      <c r="K1413" s="7" t="str">
        <f ca="1">IFERROR(__xludf.DUMMYFUNCTION("GOOGLETRANSLATE(H1413,""EN"",""ES"")"),"HERRAMIENTAS E IMPLEMENTOS PARA PERFORAR, FRESAR O EXCAVAR")</f>
        <v>HERRAMIENTAS E IMPLEMENTOS PARA PERFORAR, FRESAR O EXCAVAR</v>
      </c>
      <c r="L1413" s="5" t="str">
        <f ca="1">IFERROR(__xludf.DUMMYFUNCTION("GOOGLETRANSLATE(J1413,""EN"",""ES"")"),"Saltadores [perforaciones mineras]")</f>
        <v>Saltadores [perforaciones mineras]</v>
      </c>
      <c r="M1413" s="8" t="s">
        <v>26</v>
      </c>
      <c r="N1413" s="8"/>
    </row>
    <row r="1414" spans="1:14" ht="11.25" customHeight="1">
      <c r="A1414" s="5" t="s">
        <v>4139</v>
      </c>
      <c r="B1414" s="5" t="s">
        <v>4140</v>
      </c>
      <c r="C1414" s="5" t="s">
        <v>4154</v>
      </c>
      <c r="D1414" s="5" t="s">
        <v>4142</v>
      </c>
      <c r="E1414" s="5" t="s">
        <v>27</v>
      </c>
      <c r="F1414" s="5" t="s">
        <v>4143</v>
      </c>
      <c r="G1414" s="5" t="s">
        <v>4144</v>
      </c>
      <c r="H1414" s="5" t="s">
        <v>4145</v>
      </c>
      <c r="I1414" s="5" t="s">
        <v>4155</v>
      </c>
      <c r="J1414" s="5" t="s">
        <v>4156</v>
      </c>
      <c r="K1414" s="7" t="str">
        <f ca="1">IFERROR(__xludf.DUMMYFUNCTION("GOOGLETRANSLATE(H1414,""EN"",""ES"")"),"HERRAMIENTAS E IMPLEMENTOS PARA PERFORAR, FRESAR O EXCAVAR")</f>
        <v>HERRAMIENTAS E IMPLEMENTOS PARA PERFORAR, FRESAR O EXCAVAR</v>
      </c>
      <c r="L1414" s="5" t="str">
        <f ca="1">IFERROR(__xludf.DUMMYFUNCTION("GOOGLETRANSLATE(J1414,""EN"",""ES"")"),"Espadas [herramientas manuales]")</f>
        <v>Espadas [herramientas manuales]</v>
      </c>
      <c r="M1414" s="8" t="s">
        <v>26</v>
      </c>
      <c r="N1414" s="8"/>
    </row>
    <row r="1415" spans="1:14" ht="11.25" customHeight="1">
      <c r="A1415" s="5" t="s">
        <v>4139</v>
      </c>
      <c r="B1415" s="5" t="s">
        <v>4140</v>
      </c>
      <c r="C1415" s="5" t="s">
        <v>4157</v>
      </c>
      <c r="D1415" s="5" t="s">
        <v>4142</v>
      </c>
      <c r="E1415" s="5" t="s">
        <v>27</v>
      </c>
      <c r="F1415" s="5" t="s">
        <v>4143</v>
      </c>
      <c r="G1415" s="5" t="s">
        <v>4144</v>
      </c>
      <c r="H1415" s="5" t="s">
        <v>4145</v>
      </c>
      <c r="I1415" s="5" t="s">
        <v>4158</v>
      </c>
      <c r="J1415" s="5" t="s">
        <v>4159</v>
      </c>
      <c r="K1415" s="7" t="str">
        <f ca="1">IFERROR(__xludf.DUMMYFUNCTION("GOOGLETRANSLATE(H1415,""EN"",""ES"")"),"HERRAMIENTAS E IMPLEMENTOS PARA PERFORAR, FRESAR O EXCAVAR")</f>
        <v>HERRAMIENTAS E IMPLEMENTOS PARA PERFORAR, FRESAR O EXCAVAR</v>
      </c>
      <c r="L1415" s="5" t="str">
        <f ca="1">IFERROR(__xludf.DUMMYFUNCTION("GOOGLETRANSLATE(J1415,""EN"",""ES"")"),"Azadas [herramientas manuales]")</f>
        <v>Azadas [herramientas manuales]</v>
      </c>
      <c r="M1415" s="8" t="s">
        <v>26</v>
      </c>
      <c r="N1415" s="8"/>
    </row>
    <row r="1416" spans="1:14" ht="11.25" customHeight="1">
      <c r="A1416" s="5" t="s">
        <v>4139</v>
      </c>
      <c r="B1416" s="5" t="s">
        <v>4140</v>
      </c>
      <c r="C1416" s="5" t="s">
        <v>4157</v>
      </c>
      <c r="D1416" s="5" t="s">
        <v>4142</v>
      </c>
      <c r="E1416" s="5" t="s">
        <v>27</v>
      </c>
      <c r="F1416" s="5" t="s">
        <v>4143</v>
      </c>
      <c r="G1416" s="5" t="s">
        <v>4144</v>
      </c>
      <c r="H1416" s="5" t="s">
        <v>4145</v>
      </c>
      <c r="I1416" s="5" t="s">
        <v>152</v>
      </c>
      <c r="J1416" s="5" t="s">
        <v>4160</v>
      </c>
      <c r="K1416" s="7" t="str">
        <f ca="1">IFERROR(__xludf.DUMMYFUNCTION("GOOGLETRANSLATE(H1416,""EN"",""ES"")"),"HERRAMIENTAS E IMPLEMENTOS PARA PERFORAR, FRESAR O EXCAVAR")</f>
        <v>HERRAMIENTAS E IMPLEMENTOS PARA PERFORAR, FRESAR O EXCAVAR</v>
      </c>
      <c r="L1416" s="5" t="str">
        <f ca="1">IFERROR(__xludf.DUMMYFUNCTION("GOOGLETRANSLATE(J1416,""EN"",""ES"")"),"N / A")</f>
        <v>N / A</v>
      </c>
      <c r="M1416" s="8" t="s">
        <v>26</v>
      </c>
      <c r="N1416" s="8"/>
    </row>
    <row r="1417" spans="1:14" ht="11.25" customHeight="1">
      <c r="A1417" s="5" t="s">
        <v>4139</v>
      </c>
      <c r="B1417" s="5" t="s">
        <v>4140</v>
      </c>
      <c r="C1417" s="5" t="s">
        <v>4161</v>
      </c>
      <c r="D1417" s="5" t="s">
        <v>4142</v>
      </c>
      <c r="E1417" s="5" t="s">
        <v>27</v>
      </c>
      <c r="F1417" s="5" t="s">
        <v>4143</v>
      </c>
      <c r="G1417" s="5" t="s">
        <v>4144</v>
      </c>
      <c r="H1417" s="5" t="s">
        <v>4145</v>
      </c>
      <c r="I1417" s="5" t="s">
        <v>4162</v>
      </c>
      <c r="J1417" s="5" t="s">
        <v>4163</v>
      </c>
      <c r="K1417" s="7" t="str">
        <f ca="1">IFERROR(__xludf.DUMMYFUNCTION("GOOGLETRANSLATE(H1417,""EN"",""ES"")"),"HERRAMIENTAS E IMPLEMENTOS PARA PERFORAR, FRESAR O EXCAVAR")</f>
        <v>HERRAMIENTAS E IMPLEMENTOS PARA PERFORAR, FRESAR O EXCAVAR</v>
      </c>
      <c r="L1417" s="5" t="str">
        <f ca="1">IFERROR(__xludf.DUMMYFUNCTION("GOOGLETRANSLATE(J1417,""EN"",""ES"")"),"Selecciones de cantera")</f>
        <v>Selecciones de cantera</v>
      </c>
      <c r="M1417" s="8" t="s">
        <v>26</v>
      </c>
      <c r="N1417" s="8"/>
    </row>
    <row r="1418" spans="1:14" ht="11.25" customHeight="1">
      <c r="A1418" s="5" t="s">
        <v>4139</v>
      </c>
      <c r="B1418" s="5" t="s">
        <v>4140</v>
      </c>
      <c r="C1418" s="5" t="s">
        <v>4164</v>
      </c>
      <c r="D1418" s="5" t="s">
        <v>4142</v>
      </c>
      <c r="E1418" s="5" t="s">
        <v>27</v>
      </c>
      <c r="F1418" s="5" t="s">
        <v>4143</v>
      </c>
      <c r="G1418" s="5" t="s">
        <v>4144</v>
      </c>
      <c r="H1418" s="5" t="s">
        <v>4145</v>
      </c>
      <c r="I1418" s="5" t="s">
        <v>4165</v>
      </c>
      <c r="J1418" s="5" t="s">
        <v>4166</v>
      </c>
      <c r="K1418" s="7" t="str">
        <f ca="1">IFERROR(__xludf.DUMMYFUNCTION("GOOGLETRANSLATE(H1418,""EN"",""ES"")"),"HERRAMIENTAS E IMPLEMENTOS PARA PERFORAR, FRESAR O EXCAVAR")</f>
        <v>HERRAMIENTAS E IMPLEMENTOS PARA PERFORAR, FRESAR O EXCAVAR</v>
      </c>
      <c r="L1418" s="5" t="str">
        <f ca="1">IFERROR(__xludf.DUMMYFUNCTION("GOOGLETRANSLATE(J1418,""EN"",""ES"")"),"herramientas de excavación")</f>
        <v>herramientas de excavación</v>
      </c>
      <c r="M1418" s="8" t="s">
        <v>26</v>
      </c>
      <c r="N1418" s="8"/>
    </row>
    <row r="1419" spans="1:14" ht="11.25" customHeight="1">
      <c r="A1419" s="5" t="s">
        <v>4139</v>
      </c>
      <c r="B1419" s="5" t="s">
        <v>4140</v>
      </c>
      <c r="C1419" s="5" t="s">
        <v>4167</v>
      </c>
      <c r="D1419" s="5" t="s">
        <v>4142</v>
      </c>
      <c r="E1419" s="5" t="s">
        <v>27</v>
      </c>
      <c r="F1419" s="5" t="s">
        <v>4143</v>
      </c>
      <c r="G1419" s="5" t="s">
        <v>4144</v>
      </c>
      <c r="H1419" s="5" t="s">
        <v>4145</v>
      </c>
      <c r="I1419" s="5" t="s">
        <v>4168</v>
      </c>
      <c r="J1419" s="5" t="s">
        <v>4169</v>
      </c>
      <c r="K1419" s="7" t="str">
        <f ca="1">IFERROR(__xludf.DUMMYFUNCTION("GOOGLETRANSLATE(H1419,""EN"",""ES"")"),"HERRAMIENTAS E IMPLEMENTOS PARA PERFORAR, FRESAR O EXCAVAR")</f>
        <v>HERRAMIENTAS E IMPLEMENTOS PARA PERFORAR, FRESAR O EXCAVAR</v>
      </c>
      <c r="L1419" s="5" t="str">
        <f ca="1">IFERROR(__xludf.DUMMYFUNCTION("GOOGLETRANSLATE(J1419,""EN"",""ES"")"),"taladros manuales")</f>
        <v>taladros manuales</v>
      </c>
      <c r="M1419" s="8" t="s">
        <v>26</v>
      </c>
      <c r="N1419" s="8"/>
    </row>
    <row r="1420" spans="1:14" ht="11.25" customHeight="1">
      <c r="A1420" s="5" t="s">
        <v>4139</v>
      </c>
      <c r="B1420" s="5" t="s">
        <v>4140</v>
      </c>
      <c r="C1420" s="5" t="s">
        <v>4170</v>
      </c>
      <c r="D1420" s="5" t="s">
        <v>4142</v>
      </c>
      <c r="E1420" s="5" t="s">
        <v>27</v>
      </c>
      <c r="F1420" s="5" t="s">
        <v>4143</v>
      </c>
      <c r="G1420" s="5" t="s">
        <v>4144</v>
      </c>
      <c r="H1420" s="5" t="s">
        <v>4145</v>
      </c>
      <c r="I1420" s="5" t="s">
        <v>4171</v>
      </c>
      <c r="J1420" s="5" t="s">
        <v>4172</v>
      </c>
      <c r="K1420" s="7" t="str">
        <f ca="1">IFERROR(__xludf.DUMMYFUNCTION("GOOGLETRANSLATE(H1420,""EN"",""ES"")"),"HERRAMIENTAS E IMPLEMENTOS PARA PERFORAR, FRESAR O EXCAVAR")</f>
        <v>HERRAMIENTAS E IMPLEMENTOS PARA PERFORAR, FRESAR O EXCAVAR</v>
      </c>
      <c r="L1420" s="5" t="str">
        <f ca="1">IFERROR(__xludf.DUMMYFUNCTION("GOOGLETRANSLATE(J1420,""EN"",""ES"")"),"Herramientas de perforación")</f>
        <v>Herramientas de perforación</v>
      </c>
      <c r="M1420" s="8" t="s">
        <v>26</v>
      </c>
      <c r="N1420" s="8"/>
    </row>
    <row r="1421" spans="1:14" ht="11.25" customHeight="1">
      <c r="A1421" s="5" t="s">
        <v>4139</v>
      </c>
      <c r="B1421" s="5" t="s">
        <v>4140</v>
      </c>
      <c r="C1421" s="5" t="s">
        <v>4173</v>
      </c>
      <c r="D1421" s="5" t="s">
        <v>4142</v>
      </c>
      <c r="E1421" s="5" t="s">
        <v>27</v>
      </c>
      <c r="F1421" s="5" t="s">
        <v>4143</v>
      </c>
      <c r="G1421" s="5" t="s">
        <v>4144</v>
      </c>
      <c r="H1421" s="5" t="s">
        <v>4145</v>
      </c>
      <c r="I1421" s="5" t="s">
        <v>4174</v>
      </c>
      <c r="J1421" s="5" t="s">
        <v>4175</v>
      </c>
      <c r="K1421" s="7" t="str">
        <f ca="1">IFERROR(__xludf.DUMMYFUNCTION("GOOGLETRANSLATE(H1421,""EN"",""ES"")"),"HERRAMIENTAS E IMPLEMENTOS PARA PERFORAR, FRESAR O EXCAVAR")</f>
        <v>HERRAMIENTAS E IMPLEMENTOS PARA PERFORAR, FRESAR O EXCAVAR</v>
      </c>
      <c r="L1421" s="5" t="str">
        <f ca="1">IFERROR(__xludf.DUMMYFUNCTION("GOOGLETRANSLATE(J1421,""EN"",""ES"")"),"Aparatos de fresado accionados manualmente")</f>
        <v>Aparatos de fresado accionados manualmente</v>
      </c>
      <c r="M1421" s="8" t="s">
        <v>26</v>
      </c>
      <c r="N1421" s="8"/>
    </row>
    <row r="1422" spans="1:14" ht="11.25" customHeight="1">
      <c r="A1422" s="5" t="s">
        <v>4139</v>
      </c>
      <c r="B1422" s="5" t="s">
        <v>4140</v>
      </c>
      <c r="C1422" s="5" t="s">
        <v>4176</v>
      </c>
      <c r="D1422" s="5" t="s">
        <v>4142</v>
      </c>
      <c r="E1422" s="5" t="s">
        <v>27</v>
      </c>
      <c r="F1422" s="5" t="s">
        <v>4143</v>
      </c>
      <c r="G1422" s="5" t="s">
        <v>4144</v>
      </c>
      <c r="H1422" s="5" t="s">
        <v>4145</v>
      </c>
      <c r="I1422" s="5" t="s">
        <v>4177</v>
      </c>
      <c r="J1422" s="5" t="s">
        <v>4178</v>
      </c>
      <c r="K1422" s="7" t="str">
        <f ca="1">IFERROR(__xludf.DUMMYFUNCTION("GOOGLETRANSLATE(H1422,""EN"",""ES"")"),"HERRAMIENTAS E IMPLEMENTOS PARA PERFORAR, FRESAR O EXCAVAR")</f>
        <v>HERRAMIENTAS E IMPLEMENTOS PARA PERFORAR, FRESAR O EXCAVAR</v>
      </c>
      <c r="L1422" s="5" t="str">
        <f ca="1">IFERROR(__xludf.DUMMYFUNCTION("GOOGLETRANSLATE(J1422,""EN"",""ES"")"),"herramientas de fresado")</f>
        <v>herramientas de fresado</v>
      </c>
      <c r="M1422" s="8" t="s">
        <v>26</v>
      </c>
      <c r="N1422" s="8"/>
    </row>
    <row r="1423" spans="1:14" ht="11.25" customHeight="1">
      <c r="A1423" s="5" t="s">
        <v>4139</v>
      </c>
      <c r="B1423" s="5" t="s">
        <v>4140</v>
      </c>
      <c r="C1423" s="5" t="s">
        <v>4179</v>
      </c>
      <c r="D1423" s="5" t="s">
        <v>4142</v>
      </c>
      <c r="E1423" s="5" t="s">
        <v>27</v>
      </c>
      <c r="F1423" s="5" t="s">
        <v>4143</v>
      </c>
      <c r="G1423" s="5" t="s">
        <v>4144</v>
      </c>
      <c r="H1423" s="5" t="s">
        <v>4145</v>
      </c>
      <c r="I1423" s="5" t="s">
        <v>4180</v>
      </c>
      <c r="J1423" s="5" t="s">
        <v>4181</v>
      </c>
      <c r="K1423" s="7" t="str">
        <f ca="1">IFERROR(__xludf.DUMMYFUNCTION("GOOGLETRANSLATE(H1423,""EN"",""ES"")"),"HERRAMIENTAS E IMPLEMENTOS PARA PERFORAR, FRESAR O EXCAVAR")</f>
        <v>HERRAMIENTAS E IMPLEMENTOS PARA PERFORAR, FRESAR O EXCAVAR</v>
      </c>
      <c r="L1423" s="5" t="str">
        <f ca="1">IFERROR(__xludf.DUMMYFUNCTION("GOOGLETRANSLATE(J1423,""EN"",""ES"")"),"Fresas [herramientas]")</f>
        <v>Fresas [herramientas]</v>
      </c>
      <c r="M1423" s="8" t="s">
        <v>26</v>
      </c>
      <c r="N1423" s="8"/>
    </row>
    <row r="1424" spans="1:14" ht="11.25" customHeight="1">
      <c r="A1424" s="5" t="s">
        <v>4139</v>
      </c>
      <c r="B1424" s="5" t="s">
        <v>4140</v>
      </c>
      <c r="C1424" s="5" t="s">
        <v>4182</v>
      </c>
      <c r="D1424" s="5" t="s">
        <v>4142</v>
      </c>
      <c r="E1424" s="5" t="s">
        <v>27</v>
      </c>
      <c r="F1424" s="5" t="s">
        <v>4143</v>
      </c>
      <c r="G1424" s="5" t="s">
        <v>4144</v>
      </c>
      <c r="H1424" s="5" t="s">
        <v>4145</v>
      </c>
      <c r="I1424" s="5" t="s">
        <v>4183</v>
      </c>
      <c r="J1424" s="5" t="s">
        <v>4184</v>
      </c>
      <c r="K1424" s="7" t="str">
        <f ca="1">IFERROR(__xludf.DUMMYFUNCTION("GOOGLETRANSLATE(H1424,""EN"",""ES"")"),"HERRAMIENTAS E IMPLEMENTOS PARA PERFORAR, FRESAR O EXCAVAR")</f>
        <v>HERRAMIENTAS E IMPLEMENTOS PARA PERFORAR, FRESAR O EXCAVAR</v>
      </c>
      <c r="L1424" s="5" t="str">
        <f ca="1">IFERROR(__xludf.DUMMYFUNCTION("GOOGLETRANSLATE(J1424,""EN"",""ES"")"),"Palas de drenaje [herramientas]")</f>
        <v>Palas de drenaje [herramientas]</v>
      </c>
      <c r="M1424" s="8" t="s">
        <v>26</v>
      </c>
      <c r="N1424" s="8"/>
    </row>
    <row r="1425" spans="1:14" ht="11.25" customHeight="1">
      <c r="A1425" s="5" t="s">
        <v>4139</v>
      </c>
      <c r="B1425" s="5" t="s">
        <v>4140</v>
      </c>
      <c r="C1425" s="5" t="s">
        <v>4185</v>
      </c>
      <c r="D1425" s="5" t="s">
        <v>4142</v>
      </c>
      <c r="E1425" s="5" t="s">
        <v>27</v>
      </c>
      <c r="F1425" s="5" t="s">
        <v>4143</v>
      </c>
      <c r="G1425" s="5" t="s">
        <v>4144</v>
      </c>
      <c r="H1425" s="5" t="s">
        <v>4145</v>
      </c>
      <c r="I1425" s="5" t="s">
        <v>4186</v>
      </c>
      <c r="J1425" s="5" t="s">
        <v>4187</v>
      </c>
      <c r="K1425" s="7" t="str">
        <f ca="1">IFERROR(__xludf.DUMMYFUNCTION("GOOGLETRANSLATE(H1425,""EN"",""ES"")"),"HERRAMIENTAS E IMPLEMENTOS PARA PERFORAR, FRESAR O EXCAVAR")</f>
        <v>HERRAMIENTAS E IMPLEMENTOS PARA PERFORAR, FRESAR O EXCAVAR</v>
      </c>
      <c r="L1425" s="5" t="str">
        <f ca="1">IFERROR(__xludf.DUMMYFUNCTION("GOOGLETRANSLATE(J1425,""EN"",""ES"")"),"Brocas [herramientas]")</f>
        <v>Brocas [herramientas]</v>
      </c>
      <c r="M1425" s="8" t="s">
        <v>26</v>
      </c>
      <c r="N1425" s="8"/>
    </row>
    <row r="1426" spans="1:14" ht="11.25" customHeight="1">
      <c r="A1426" s="5" t="s">
        <v>4139</v>
      </c>
      <c r="B1426" s="5" t="s">
        <v>4140</v>
      </c>
      <c r="C1426" s="5" t="s">
        <v>4188</v>
      </c>
      <c r="D1426" s="5" t="s">
        <v>4142</v>
      </c>
      <c r="E1426" s="5" t="s">
        <v>27</v>
      </c>
      <c r="F1426" s="5" t="s">
        <v>4143</v>
      </c>
      <c r="G1426" s="5" t="s">
        <v>4144</v>
      </c>
      <c r="H1426" s="5" t="s">
        <v>4145</v>
      </c>
      <c r="I1426" s="5" t="s">
        <v>4189</v>
      </c>
      <c r="J1426" s="5" t="s">
        <v>4190</v>
      </c>
      <c r="K1426" s="7" t="str">
        <f ca="1">IFERROR(__xludf.DUMMYFUNCTION("GOOGLETRANSLATE(H1426,""EN"",""ES"")"),"HERRAMIENTAS E IMPLEMENTOS PARA PERFORAR, FRESAR O EXCAVAR")</f>
        <v>HERRAMIENTAS E IMPLEMENTOS PARA PERFORAR, FRESAR O EXCAVAR</v>
      </c>
      <c r="L1426" s="5" t="str">
        <f ca="1">IFERROR(__xludf.DUMMYFUNCTION("GOOGLETRANSLATE(J1426,""EN"",""ES"")"),"Brocas avellanadoras combinadas")</f>
        <v>Brocas avellanadoras combinadas</v>
      </c>
      <c r="M1426" s="8" t="s">
        <v>26</v>
      </c>
      <c r="N1426" s="8"/>
    </row>
    <row r="1427" spans="1:14" ht="11.25" customHeight="1">
      <c r="A1427" s="5" t="s">
        <v>4139</v>
      </c>
      <c r="B1427" s="5" t="s">
        <v>4140</v>
      </c>
      <c r="C1427" s="5" t="s">
        <v>4191</v>
      </c>
      <c r="D1427" s="5" t="s">
        <v>4142</v>
      </c>
      <c r="E1427" s="5" t="s">
        <v>27</v>
      </c>
      <c r="F1427" s="5" t="s">
        <v>4143</v>
      </c>
      <c r="G1427" s="5" t="s">
        <v>4144</v>
      </c>
      <c r="H1427" s="5" t="s">
        <v>4145</v>
      </c>
      <c r="I1427" s="5" t="s">
        <v>4192</v>
      </c>
      <c r="J1427" s="5" t="s">
        <v>4193</v>
      </c>
      <c r="K1427" s="7" t="str">
        <f ca="1">IFERROR(__xludf.DUMMYFUNCTION("GOOGLETRANSLATE(H1427,""EN"",""ES"")"),"HERRAMIENTAS E IMPLEMENTOS PARA PERFORAR, FRESAR O EXCAVAR")</f>
        <v>HERRAMIENTAS E IMPLEMENTOS PARA PERFORAR, FRESAR O EXCAVAR</v>
      </c>
      <c r="L1427" s="5" t="str">
        <f ca="1">IFERROR(__xludf.DUMMYFUNCTION("GOOGLETRANSLATE(J1427,""EN"",""ES"")"),"Palas [herramientas]")</f>
        <v>Palas [herramientas]</v>
      </c>
      <c r="M1427" s="8" t="s">
        <v>26</v>
      </c>
      <c r="N1427" s="8"/>
    </row>
    <row r="1428" spans="1:14" ht="11.25" customHeight="1">
      <c r="A1428" s="5" t="s">
        <v>4139</v>
      </c>
      <c r="B1428" s="5" t="s">
        <v>4140</v>
      </c>
      <c r="C1428" s="5" t="s">
        <v>4194</v>
      </c>
      <c r="D1428" s="5" t="s">
        <v>4142</v>
      </c>
      <c r="E1428" s="5" t="s">
        <v>27</v>
      </c>
      <c r="F1428" s="5" t="s">
        <v>4143</v>
      </c>
      <c r="G1428" s="5" t="s">
        <v>4144</v>
      </c>
      <c r="H1428" s="5" t="s">
        <v>4145</v>
      </c>
      <c r="I1428" s="5" t="s">
        <v>4195</v>
      </c>
      <c r="J1428" s="5" t="s">
        <v>4196</v>
      </c>
      <c r="K1428" s="7" t="str">
        <f ca="1">IFERROR(__xludf.DUMMYFUNCTION("GOOGLETRANSLATE(H1428,""EN"",""ES"")"),"HERRAMIENTAS E IMPLEMENTOS PARA PERFORAR, FRESAR O EXCAVAR")</f>
        <v>HERRAMIENTAS E IMPLEMENTOS PARA PERFORAR, FRESAR O EXCAVAR</v>
      </c>
      <c r="L1428" s="5" t="str">
        <f ca="1">IFERROR(__xludf.DUMMYFUNCTION("GOOGLETRANSLATE(J1428,""EN"",""ES"")"),"Sinfines")</f>
        <v>Sinfines</v>
      </c>
      <c r="M1428" s="8" t="s">
        <v>26</v>
      </c>
      <c r="N1428" s="8"/>
    </row>
    <row r="1429" spans="1:14" ht="11.25" customHeight="1">
      <c r="A1429" s="5" t="s">
        <v>4139</v>
      </c>
      <c r="B1429" s="5" t="s">
        <v>4140</v>
      </c>
      <c r="C1429" s="5" t="s">
        <v>4194</v>
      </c>
      <c r="D1429" s="5" t="s">
        <v>4142</v>
      </c>
      <c r="E1429" s="5" t="s">
        <v>27</v>
      </c>
      <c r="F1429" s="5" t="s">
        <v>4143</v>
      </c>
      <c r="G1429" s="5" t="s">
        <v>4144</v>
      </c>
      <c r="H1429" s="5" t="s">
        <v>4145</v>
      </c>
      <c r="I1429" s="5" t="s">
        <v>4197</v>
      </c>
      <c r="J1429" s="5" t="s">
        <v>4198</v>
      </c>
      <c r="K1429" s="7" t="str">
        <f ca="1">IFERROR(__xludf.DUMMYFUNCTION("GOOGLETRANSLATE(H1429,""EN"",""ES"")"),"HERRAMIENTAS E IMPLEMENTOS PARA PERFORAR, FRESAR O EXCAVAR")</f>
        <v>HERRAMIENTAS E IMPLEMENTOS PARA PERFORAR, FRESAR O EXCAVAR</v>
      </c>
      <c r="L1429" s="5" t="str">
        <f ca="1">IFERROR(__xludf.DUMMYFUNCTION("GOOGLETRANSLATE(J1429,""EN"",""ES"")"),"Taladros [herramientas]")</f>
        <v>Taladros [herramientas]</v>
      </c>
      <c r="M1429" s="8" t="s">
        <v>26</v>
      </c>
      <c r="N1429" s="8"/>
    </row>
    <row r="1430" spans="1:14" ht="11.25" customHeight="1">
      <c r="A1430" s="5" t="s">
        <v>4139</v>
      </c>
      <c r="B1430" s="5" t="s">
        <v>4140</v>
      </c>
      <c r="C1430" s="5" t="s">
        <v>4199</v>
      </c>
      <c r="D1430" s="5" t="s">
        <v>4142</v>
      </c>
      <c r="E1430" s="5" t="s">
        <v>27</v>
      </c>
      <c r="F1430" s="5" t="s">
        <v>4143</v>
      </c>
      <c r="G1430" s="5" t="s">
        <v>4144</v>
      </c>
      <c r="H1430" s="5" t="s">
        <v>4145</v>
      </c>
      <c r="I1430" s="5" t="s">
        <v>4200</v>
      </c>
      <c r="J1430" s="5" t="s">
        <v>4201</v>
      </c>
      <c r="K1430" s="7" t="str">
        <f ca="1">IFERROR(__xludf.DUMMYFUNCTION("GOOGLETRANSLATE(H1430,""EN"",""ES"")"),"HERRAMIENTAS E IMPLEMENTOS PARA PERFORAR, FRESAR O EXCAVAR")</f>
        <v>HERRAMIENTAS E IMPLEMENTOS PARA PERFORAR, FRESAR O EXCAVAR</v>
      </c>
      <c r="L1430" s="5" t="str">
        <f ca="1">IFERROR(__xludf.DUMMYFUNCTION("GOOGLETRANSLATE(J1430,""EN"",""ES"")"),"Selecciones [herramientas manuales]")</f>
        <v>Selecciones [herramientas manuales]</v>
      </c>
      <c r="M1430" s="8" t="s">
        <v>26</v>
      </c>
      <c r="N1430" s="8"/>
    </row>
    <row r="1431" spans="1:14" ht="11.25" customHeight="1">
      <c r="A1431" s="5" t="s">
        <v>4139</v>
      </c>
      <c r="B1431" s="5" t="s">
        <v>4140</v>
      </c>
      <c r="C1431" s="5" t="s">
        <v>4202</v>
      </c>
      <c r="D1431" s="5" t="s">
        <v>4142</v>
      </c>
      <c r="E1431" s="5" t="s">
        <v>27</v>
      </c>
      <c r="F1431" s="5" t="s">
        <v>4143</v>
      </c>
      <c r="G1431" s="5" t="s">
        <v>4144</v>
      </c>
      <c r="H1431" s="5" t="s">
        <v>4145</v>
      </c>
      <c r="I1431" s="5" t="s">
        <v>4203</v>
      </c>
      <c r="J1431" s="5" t="s">
        <v>4204</v>
      </c>
      <c r="K1431" s="7" t="str">
        <f ca="1">IFERROR(__xludf.DUMMYFUNCTION("GOOGLETRANSLATE(H1431,""EN"",""ES"")"),"HERRAMIENTAS E IMPLEMENTOS PARA PERFORAR, FRESAR O EXCAVAR")</f>
        <v>HERRAMIENTAS E IMPLEMENTOS PARA PERFORAR, FRESAR O EXCAVAR</v>
      </c>
      <c r="L1431" s="5" t="str">
        <f ca="1">IFERROR(__xludf.DUMMYFUNCTION("GOOGLETRANSLATE(J1431,""EN"",""ES"")"),"Azadones")</f>
        <v>Azadones</v>
      </c>
      <c r="M1431" s="8" t="s">
        <v>26</v>
      </c>
      <c r="N1431" s="8"/>
    </row>
    <row r="1432" spans="1:14" ht="11.25" customHeight="1">
      <c r="A1432" s="5" t="s">
        <v>4139</v>
      </c>
      <c r="B1432" s="5" t="s">
        <v>4140</v>
      </c>
      <c r="C1432" s="5" t="s">
        <v>4202</v>
      </c>
      <c r="D1432" s="5" t="s">
        <v>4142</v>
      </c>
      <c r="E1432" s="5" t="s">
        <v>27</v>
      </c>
      <c r="F1432" s="5" t="s">
        <v>4143</v>
      </c>
      <c r="G1432" s="5" t="s">
        <v>4144</v>
      </c>
      <c r="H1432" s="5" t="s">
        <v>4145</v>
      </c>
      <c r="I1432" s="5" t="s">
        <v>4205</v>
      </c>
      <c r="J1432" s="5" t="s">
        <v>152</v>
      </c>
      <c r="K1432" s="7" t="str">
        <f ca="1">IFERROR(__xludf.DUMMYFUNCTION("GOOGLETRANSLATE(H1432,""EN"",""ES"")"),"HERRAMIENTAS E IMPLEMENTOS PARA PERFORAR, FRESAR O EXCAVAR")</f>
        <v>HERRAMIENTAS E IMPLEMENTOS PARA PERFORAR, FRESAR O EXCAVAR</v>
      </c>
      <c r="L1432" s="5" t="str">
        <f ca="1">IFERROR(__xludf.DUMMYFUNCTION("GOOGLETRANSLATE(J1432,""EN"",""ES"")"),"picos")</f>
        <v>picos</v>
      </c>
      <c r="M1432" s="8" t="s">
        <v>26</v>
      </c>
      <c r="N1432" s="8"/>
    </row>
    <row r="1433" spans="1:14" ht="11.25" customHeight="1">
      <c r="A1433" s="5" t="s">
        <v>4139</v>
      </c>
      <c r="B1433" s="5" t="s">
        <v>4140</v>
      </c>
      <c r="C1433" s="5" t="s">
        <v>4206</v>
      </c>
      <c r="D1433" s="5" t="s">
        <v>4142</v>
      </c>
      <c r="E1433" s="5" t="s">
        <v>27</v>
      </c>
      <c r="F1433" s="5" t="s">
        <v>4143</v>
      </c>
      <c r="G1433" s="5" t="s">
        <v>4144</v>
      </c>
      <c r="H1433" s="5" t="s">
        <v>4145</v>
      </c>
      <c r="I1433" s="5" t="s">
        <v>4207</v>
      </c>
      <c r="J1433" s="5" t="s">
        <v>4208</v>
      </c>
      <c r="K1433" s="7" t="str">
        <f ca="1">IFERROR(__xludf.DUMMYFUNCTION("GOOGLETRANSLATE(H1433,""EN"",""ES"")"),"HERRAMIENTAS E IMPLEMENTOS PARA PERFORAR, FRESAR O EXCAVAR")</f>
        <v>HERRAMIENTAS E IMPLEMENTOS PARA PERFORAR, FRESAR O EXCAVAR</v>
      </c>
      <c r="L1433" s="5" t="str">
        <f ca="1">IFERROR(__xludf.DUMMYFUNCTION("GOOGLETRANSLATE(J1433,""EN"",""ES"")"),"Piolet")</f>
        <v>Piolet</v>
      </c>
      <c r="M1433" s="8" t="s">
        <v>26</v>
      </c>
      <c r="N1433" s="8"/>
    </row>
    <row r="1434" spans="1:14" ht="11.25" customHeight="1">
      <c r="A1434" s="5" t="s">
        <v>4139</v>
      </c>
      <c r="B1434" s="5" t="s">
        <v>4140</v>
      </c>
      <c r="C1434" s="5" t="s">
        <v>4209</v>
      </c>
      <c r="D1434" s="5" t="s">
        <v>4142</v>
      </c>
      <c r="E1434" s="5" t="s">
        <v>27</v>
      </c>
      <c r="F1434" s="5" t="s">
        <v>4143</v>
      </c>
      <c r="G1434" s="5" t="s">
        <v>4144</v>
      </c>
      <c r="H1434" s="5" t="s">
        <v>4145</v>
      </c>
      <c r="I1434" s="5" t="s">
        <v>4210</v>
      </c>
      <c r="J1434" s="5" t="s">
        <v>4211</v>
      </c>
      <c r="K1434" s="7" t="str">
        <f ca="1">IFERROR(__xludf.DUMMYFUNCTION("GOOGLETRANSLATE(H1434,""EN"",""ES"")"),"HERRAMIENTAS E IMPLEMENTOS PARA PERFORAR, FRESAR O EXCAVAR")</f>
        <v>HERRAMIENTAS E IMPLEMENTOS PARA PERFORAR, FRESAR O EXCAVAR</v>
      </c>
      <c r="L1434" s="5" t="str">
        <f ca="1">IFERROR(__xludf.DUMMYFUNCTION("GOOGLETRANSLATE(J1434,""EN"",""ES"")"),"dibbles")</f>
        <v>dibbles</v>
      </c>
      <c r="M1434" s="8" t="s">
        <v>26</v>
      </c>
      <c r="N1434" s="8"/>
    </row>
    <row r="1435" spans="1:14" ht="11.25" customHeight="1">
      <c r="A1435" s="5" t="s">
        <v>4139</v>
      </c>
      <c r="B1435" s="5" t="s">
        <v>4140</v>
      </c>
      <c r="C1435" s="5" t="s">
        <v>4212</v>
      </c>
      <c r="D1435" s="5" t="s">
        <v>4142</v>
      </c>
      <c r="E1435" s="5" t="s">
        <v>27</v>
      </c>
      <c r="F1435" s="5" t="s">
        <v>4143</v>
      </c>
      <c r="G1435" s="5" t="s">
        <v>4144</v>
      </c>
      <c r="H1435" s="5" t="s">
        <v>4145</v>
      </c>
      <c r="I1435" s="5" t="s">
        <v>4213</v>
      </c>
      <c r="J1435" s="5" t="s">
        <v>4214</v>
      </c>
      <c r="K1435" s="7" t="str">
        <f ca="1">IFERROR(__xludf.DUMMYFUNCTION("GOOGLETRANSLATE(H1435,""EN"",""ES"")"),"HERRAMIENTAS E IMPLEMENTOS PARA PERFORAR, FRESAR O EXCAVAR")</f>
        <v>HERRAMIENTAS E IMPLEMENTOS PARA PERFORAR, FRESAR O EXCAVAR</v>
      </c>
      <c r="L1435" s="5" t="str">
        <f ca="1">IFERROR(__xludf.DUMMYFUNCTION("GOOGLETRANSLATE(J1435,""EN"",""ES"")"),"Taladros de pared [herramientas]")</f>
        <v>Taladros de pared [herramientas]</v>
      </c>
      <c r="M1435" s="8" t="s">
        <v>26</v>
      </c>
      <c r="N1435" s="8"/>
    </row>
    <row r="1436" spans="1:14" ht="11.25" customHeight="1">
      <c r="A1436" s="5" t="s">
        <v>4139</v>
      </c>
      <c r="B1436" s="5" t="s">
        <v>4140</v>
      </c>
      <c r="C1436" s="5" t="s">
        <v>4215</v>
      </c>
      <c r="D1436" s="5" t="s">
        <v>4142</v>
      </c>
      <c r="E1436" s="5" t="s">
        <v>27</v>
      </c>
      <c r="F1436" s="5" t="s">
        <v>4143</v>
      </c>
      <c r="G1436" s="5" t="s">
        <v>4144</v>
      </c>
      <c r="H1436" s="5" t="s">
        <v>4145</v>
      </c>
      <c r="I1436" s="5" t="s">
        <v>4216</v>
      </c>
      <c r="J1436" s="5" t="s">
        <v>4217</v>
      </c>
      <c r="K1436" s="7" t="str">
        <f ca="1">IFERROR(__xludf.DUMMYFUNCTION("GOOGLETRANSLATE(H1436,""EN"",""ES"")"),"HERRAMIENTAS E IMPLEMENTOS PARA PERFORAR, FRESAR O EXCAVAR")</f>
        <v>HERRAMIENTAS E IMPLEMENTOS PARA PERFORAR, FRESAR O EXCAVAR</v>
      </c>
      <c r="L1436" s="5" t="str">
        <f ca="1">IFERROR(__xludf.DUMMYFUNCTION("GOOGLETRANSLATE(J1436,""EN"",""ES"")"),"Frenos [herramientas]")</f>
        <v>Frenos [herramientas]</v>
      </c>
      <c r="M1436" s="8" t="s">
        <v>26</v>
      </c>
      <c r="N1436" s="8"/>
    </row>
    <row r="1437" spans="1:14" ht="11.25" customHeight="1">
      <c r="A1437" s="5" t="s">
        <v>4139</v>
      </c>
      <c r="B1437" s="5" t="s">
        <v>4140</v>
      </c>
      <c r="C1437" s="5" t="s">
        <v>4218</v>
      </c>
      <c r="D1437" s="5" t="s">
        <v>4142</v>
      </c>
      <c r="E1437" s="5" t="s">
        <v>27</v>
      </c>
      <c r="F1437" s="5" t="s">
        <v>4143</v>
      </c>
      <c r="G1437" s="5" t="s">
        <v>4144</v>
      </c>
      <c r="H1437" s="5" t="s">
        <v>4145</v>
      </c>
      <c r="I1437" s="5" t="s">
        <v>4219</v>
      </c>
      <c r="J1437" s="5" t="s">
        <v>4220</v>
      </c>
      <c r="K1437" s="7" t="str">
        <f ca="1">IFERROR(__xludf.DUMMYFUNCTION("GOOGLETRANSLATE(H1437,""EN"",""ES"")"),"HERRAMIENTAS E IMPLEMENTOS PARA PERFORAR, FRESAR O EXCAVAR")</f>
        <v>HERRAMIENTAS E IMPLEMENTOS PARA PERFORAR, FRESAR O EXCAVAR</v>
      </c>
      <c r="L1437" s="5" t="str">
        <f ca="1">IFERROR(__xludf.DUMMYFUNCTION("GOOGLETRANSLATE(J1437,""EN"",""ES"")"),"barrenas")</f>
        <v>barrenas</v>
      </c>
      <c r="M1437" s="8" t="s">
        <v>26</v>
      </c>
      <c r="N1437" s="8"/>
    </row>
    <row r="1438" spans="1:14" ht="11.25" customHeight="1">
      <c r="A1438" s="5" t="s">
        <v>4139</v>
      </c>
      <c r="B1438" s="5" t="s">
        <v>4140</v>
      </c>
      <c r="C1438" s="5" t="s">
        <v>4218</v>
      </c>
      <c r="D1438" s="5" t="s">
        <v>4142</v>
      </c>
      <c r="E1438" s="5" t="s">
        <v>27</v>
      </c>
      <c r="F1438" s="5" t="s">
        <v>4143</v>
      </c>
      <c r="G1438" s="5" t="s">
        <v>4144</v>
      </c>
      <c r="H1438" s="5" t="s">
        <v>4145</v>
      </c>
      <c r="I1438" s="5" t="s">
        <v>152</v>
      </c>
      <c r="J1438" s="5" t="s">
        <v>4221</v>
      </c>
      <c r="K1438" s="7" t="str">
        <f ca="1">IFERROR(__xludf.DUMMYFUNCTION("GOOGLETRANSLATE(H1438,""EN"",""ES"")"),"HERRAMIENTAS E IMPLEMENTOS PARA PERFORAR, FRESAR O EXCAVAR")</f>
        <v>HERRAMIENTAS E IMPLEMENTOS PARA PERFORAR, FRESAR O EXCAVAR</v>
      </c>
      <c r="L1438" s="5" t="str">
        <f ca="1">IFERROR(__xludf.DUMMYFUNCTION("GOOGLETRANSLATE(J1438,""EN"",""ES"")"),"N / A")</f>
        <v>N / A</v>
      </c>
      <c r="M1438" s="8" t="s">
        <v>26</v>
      </c>
      <c r="N1438" s="8"/>
    </row>
    <row r="1439" spans="1:14" ht="11.25" customHeight="1">
      <c r="A1439" s="5" t="s">
        <v>4139</v>
      </c>
      <c r="B1439" s="5" t="s">
        <v>4140</v>
      </c>
      <c r="C1439" s="5" t="s">
        <v>4222</v>
      </c>
      <c r="D1439" s="5" t="s">
        <v>4142</v>
      </c>
      <c r="E1439" s="5" t="s">
        <v>27</v>
      </c>
      <c r="F1439" s="5" t="s">
        <v>4143</v>
      </c>
      <c r="G1439" s="5" t="s">
        <v>4144</v>
      </c>
      <c r="H1439" s="5" t="s">
        <v>4145</v>
      </c>
      <c r="I1439" s="5" t="s">
        <v>4223</v>
      </c>
      <c r="J1439" s="5" t="s">
        <v>4224</v>
      </c>
      <c r="K1439" s="7" t="str">
        <f ca="1">IFERROR(__xludf.DUMMYFUNCTION("GOOGLETRANSLATE(H1439,""EN"",""ES"")"),"HERRAMIENTAS E IMPLEMENTOS PARA PERFORAR, FRESAR O EXCAVAR")</f>
        <v>HERRAMIENTAS E IMPLEMENTOS PARA PERFORAR, FRESAR O EXCAVAR</v>
      </c>
      <c r="L1439" s="5" t="str">
        <f ca="1">IFERROR(__xludf.DUMMYFUNCTION("GOOGLETRANSLATE(J1439,""EN"",""ES"")"),"Paletas de jardín")</f>
        <v>Paletas de jardín</v>
      </c>
      <c r="M1439" s="8" t="s">
        <v>26</v>
      </c>
      <c r="N1439" s="8"/>
    </row>
    <row r="1440" spans="1:14" ht="11.25" customHeight="1">
      <c r="A1440" s="5" t="s">
        <v>4139</v>
      </c>
      <c r="B1440" s="5" t="s">
        <v>4140</v>
      </c>
      <c r="C1440" s="5" t="s">
        <v>4225</v>
      </c>
      <c r="D1440" s="5" t="s">
        <v>4142</v>
      </c>
      <c r="E1440" s="5" t="s">
        <v>27</v>
      </c>
      <c r="F1440" s="5" t="s">
        <v>4143</v>
      </c>
      <c r="G1440" s="5" t="s">
        <v>4144</v>
      </c>
      <c r="H1440" s="5" t="s">
        <v>4145</v>
      </c>
      <c r="I1440" s="5" t="s">
        <v>4226</v>
      </c>
      <c r="J1440" s="5" t="s">
        <v>4227</v>
      </c>
      <c r="K1440" s="7" t="str">
        <f ca="1">IFERROR(__xludf.DUMMYFUNCTION("GOOGLETRANSLATE(H1440,""EN"",""ES"")"),"HERRAMIENTAS E IMPLEMENTOS PARA PERFORAR, FRESAR O EXCAVAR")</f>
        <v>HERRAMIENTAS E IMPLEMENTOS PARA PERFORAR, FRESAR O EXCAVAR</v>
      </c>
      <c r="L1440" s="5" t="str">
        <f ca="1">IFERROR(__xludf.DUMMYFUNCTION("GOOGLETRANSLATE(J1440,""EN"",""ES"")"),"punzones")</f>
        <v>punzones</v>
      </c>
      <c r="M1440" s="8" t="s">
        <v>26</v>
      </c>
      <c r="N1440" s="8"/>
    </row>
    <row r="1441" spans="1:14" ht="11.25" customHeight="1">
      <c r="A1441" s="5" t="s">
        <v>4139</v>
      </c>
      <c r="B1441" s="5" t="s">
        <v>4140</v>
      </c>
      <c r="C1441" s="5" t="s">
        <v>4228</v>
      </c>
      <c r="D1441" s="5" t="s">
        <v>4142</v>
      </c>
      <c r="E1441" s="5" t="s">
        <v>27</v>
      </c>
      <c r="F1441" s="5" t="s">
        <v>4143</v>
      </c>
      <c r="G1441" s="5" t="s">
        <v>4144</v>
      </c>
      <c r="H1441" s="5" t="s">
        <v>4145</v>
      </c>
      <c r="I1441" s="5" t="s">
        <v>4229</v>
      </c>
      <c r="J1441" s="5" t="s">
        <v>4230</v>
      </c>
      <c r="K1441" s="7" t="str">
        <f ca="1">IFERROR(__xludf.DUMMYFUNCTION("GOOGLETRANSLATE(H1441,""EN"",""ES"")"),"HERRAMIENTAS E IMPLEMENTOS PARA PERFORAR, FRESAR O EXCAVAR")</f>
        <v>HERRAMIENTAS E IMPLEMENTOS PARA PERFORAR, FRESAR O EXCAVAR</v>
      </c>
      <c r="L1441" s="5" t="str">
        <f ca="1">IFERROR(__xludf.DUMMYFUNCTION("GOOGLETRANSLATE(J1441,""EN"",""ES"")"),"Azadas")</f>
        <v>Azadas</v>
      </c>
      <c r="M1441" s="8" t="s">
        <v>26</v>
      </c>
      <c r="N1441" s="8"/>
    </row>
    <row r="1442" spans="1:14" ht="11.25" customHeight="1">
      <c r="A1442" s="5" t="s">
        <v>4139</v>
      </c>
      <c r="B1442" s="5" t="s">
        <v>4140</v>
      </c>
      <c r="C1442" s="5" t="s">
        <v>4231</v>
      </c>
      <c r="D1442" s="5" t="s">
        <v>4142</v>
      </c>
      <c r="E1442" s="5" t="s">
        <v>27</v>
      </c>
      <c r="F1442" s="5" t="s">
        <v>4143</v>
      </c>
      <c r="G1442" s="5" t="s">
        <v>4144</v>
      </c>
      <c r="H1442" s="5" t="s">
        <v>4145</v>
      </c>
      <c r="I1442" s="5" t="s">
        <v>4232</v>
      </c>
      <c r="J1442" s="5" t="s">
        <v>4233</v>
      </c>
      <c r="K1442" s="7" t="str">
        <f ca="1">IFERROR(__xludf.DUMMYFUNCTION("GOOGLETRANSLATE(H1442,""EN"",""ES"")"),"HERRAMIENTAS E IMPLEMENTOS PARA PERFORAR, FRESAR O EXCAVAR")</f>
        <v>HERRAMIENTAS E IMPLEMENTOS PARA PERFORAR, FRESAR O EXCAVAR</v>
      </c>
      <c r="L1442" s="5" t="str">
        <f ca="1">IFERROR(__xludf.DUMMYFUNCTION("GOOGLETRANSLATE(J1442,""EN"",""ES"")"),"tenedores de jardín")</f>
        <v>tenedores de jardín</v>
      </c>
      <c r="M1442" s="8" t="s">
        <v>26</v>
      </c>
      <c r="N1442" s="8"/>
    </row>
    <row r="1443" spans="1:14" ht="11.25" customHeight="1">
      <c r="A1443" s="5" t="s">
        <v>4139</v>
      </c>
      <c r="B1443" s="5" t="s">
        <v>4140</v>
      </c>
      <c r="C1443" s="5" t="s">
        <v>4234</v>
      </c>
      <c r="D1443" s="5" t="s">
        <v>4142</v>
      </c>
      <c r="E1443" s="5" t="s">
        <v>27</v>
      </c>
      <c r="F1443" s="5" t="s">
        <v>4143</v>
      </c>
      <c r="G1443" s="5" t="s">
        <v>4144</v>
      </c>
      <c r="H1443" s="5" t="s">
        <v>4145</v>
      </c>
      <c r="I1443" s="5" t="s">
        <v>4235</v>
      </c>
      <c r="J1443" s="5" t="s">
        <v>4236</v>
      </c>
      <c r="K1443" s="7" t="str">
        <f ca="1">IFERROR(__xludf.DUMMYFUNCTION("GOOGLETRANSLATE(H1443,""EN"",""ES"")"),"HERRAMIENTAS E IMPLEMENTOS PARA PERFORAR, FRESAR O EXCAVAR")</f>
        <v>HERRAMIENTAS E IMPLEMENTOS PARA PERFORAR, FRESAR O EXCAVAR</v>
      </c>
      <c r="L1443" s="5" t="str">
        <f ca="1">IFERROR(__xludf.DUMMYFUNCTION("GOOGLETRANSLATE(J1443,""EN"",""ES"")"),"Arcos de perforación")</f>
        <v>Arcos de perforación</v>
      </c>
      <c r="M1443" s="8" t="s">
        <v>26</v>
      </c>
      <c r="N1443" s="8"/>
    </row>
    <row r="1444" spans="1:14" ht="11.25" customHeight="1">
      <c r="A1444" s="5" t="s">
        <v>4139</v>
      </c>
      <c r="B1444" s="5" t="s">
        <v>4140</v>
      </c>
      <c r="C1444" s="5" t="s">
        <v>4237</v>
      </c>
      <c r="D1444" s="5" t="s">
        <v>4142</v>
      </c>
      <c r="E1444" s="5" t="s">
        <v>27</v>
      </c>
      <c r="F1444" s="5" t="s">
        <v>4143</v>
      </c>
      <c r="G1444" s="5" t="s">
        <v>4144</v>
      </c>
      <c r="H1444" s="5" t="s">
        <v>4145</v>
      </c>
      <c r="I1444" s="5" t="s">
        <v>4238</v>
      </c>
      <c r="J1444" s="5" t="s">
        <v>4239</v>
      </c>
      <c r="K1444" s="7" t="str">
        <f ca="1">IFERROR(__xludf.DUMMYFUNCTION("GOOGLETRANSLATE(H1444,""EN"",""ES"")"),"HERRAMIENTAS E IMPLEMENTOS PARA PERFORAR, FRESAR O EXCAVAR")</f>
        <v>HERRAMIENTAS E IMPLEMENTOS PARA PERFORAR, FRESAR O EXCAVAR</v>
      </c>
      <c r="L1444" s="5" t="str">
        <f ca="1">IFERROR(__xludf.DUMMYFUNCTION("GOOGLETRANSLATE(J1444,""EN"",""ES"")"),"Escariadores avellanadores")</f>
        <v>Escariadores avellanadores</v>
      </c>
      <c r="M1444" s="8" t="s">
        <v>26</v>
      </c>
      <c r="N1444" s="8"/>
    </row>
    <row r="1445" spans="1:14" ht="11.25" customHeight="1">
      <c r="A1445" s="5" t="s">
        <v>4139</v>
      </c>
      <c r="B1445" s="5" t="s">
        <v>4140</v>
      </c>
      <c r="C1445" s="5" t="s">
        <v>4240</v>
      </c>
      <c r="D1445" s="5" t="s">
        <v>4142</v>
      </c>
      <c r="E1445" s="5" t="s">
        <v>27</v>
      </c>
      <c r="F1445" s="5" t="s">
        <v>4143</v>
      </c>
      <c r="G1445" s="5" t="s">
        <v>4144</v>
      </c>
      <c r="H1445" s="5" t="s">
        <v>4145</v>
      </c>
      <c r="I1445" s="5" t="s">
        <v>4241</v>
      </c>
      <c r="J1445" s="5" t="s">
        <v>4242</v>
      </c>
      <c r="K1445" s="7" t="str">
        <f ca="1">IFERROR(__xludf.DUMMYFUNCTION("GOOGLETRANSLATE(H1445,""EN"",""ES"")"),"HERRAMIENTAS E IMPLEMENTOS PARA PERFORAR, FRESAR O EXCAVAR")</f>
        <v>HERRAMIENTAS E IMPLEMENTOS PARA PERFORAR, FRESAR O EXCAVAR</v>
      </c>
      <c r="L1445" s="5" t="str">
        <f ca="1">IFERROR(__xludf.DUMMYFUNCTION("GOOGLETRANSLATE(J1445,""EN"",""ES"")"),"Cabezales de mandrinar avellanados")</f>
        <v>Cabezales de mandrinar avellanados</v>
      </c>
      <c r="M1445" s="8" t="s">
        <v>26</v>
      </c>
      <c r="N1445" s="8"/>
    </row>
    <row r="1446" spans="1:14" ht="11.25" customHeight="1">
      <c r="A1446" s="5" t="s">
        <v>4139</v>
      </c>
      <c r="B1446" s="5" t="s">
        <v>4140</v>
      </c>
      <c r="C1446" s="5" t="s">
        <v>4243</v>
      </c>
      <c r="D1446" s="5" t="s">
        <v>4142</v>
      </c>
      <c r="E1446" s="5" t="s">
        <v>27</v>
      </c>
      <c r="F1446" s="5" t="s">
        <v>4143</v>
      </c>
      <c r="G1446" s="5" t="s">
        <v>4144</v>
      </c>
      <c r="H1446" s="5" t="s">
        <v>4145</v>
      </c>
      <c r="I1446" s="5" t="s">
        <v>4244</v>
      </c>
      <c r="J1446" s="5" t="s">
        <v>4245</v>
      </c>
      <c r="K1446" s="7" t="str">
        <f ca="1">IFERROR(__xludf.DUMMYFUNCTION("GOOGLETRANSLATE(H1446,""EN"",""ES"")"),"HERRAMIENTAS E IMPLEMENTOS PARA PERFORAR, FRESAR O EXCAVAR")</f>
        <v>HERRAMIENTAS E IMPLEMENTOS PARA PERFORAR, FRESAR O EXCAVAR</v>
      </c>
      <c r="L1446" s="5" t="str">
        <f ca="1">IFERROR(__xludf.DUMMYFUNCTION("GOOGLETRANSLATE(J1446,""EN"",""ES"")"),"palas de nieve")</f>
        <v>palas de nieve</v>
      </c>
      <c r="M1446" s="8" t="s">
        <v>26</v>
      </c>
      <c r="N1446" s="8"/>
    </row>
    <row r="1447" spans="1:14" ht="11.25" customHeight="1">
      <c r="A1447" s="5" t="s">
        <v>4139</v>
      </c>
      <c r="B1447" s="5" t="s">
        <v>4140</v>
      </c>
      <c r="C1447" s="5" t="s">
        <v>4246</v>
      </c>
      <c r="D1447" s="5" t="s">
        <v>4142</v>
      </c>
      <c r="E1447" s="5" t="s">
        <v>27</v>
      </c>
      <c r="F1447" s="5" t="s">
        <v>4143</v>
      </c>
      <c r="G1447" s="5" t="s">
        <v>4144</v>
      </c>
      <c r="H1447" s="5" t="s">
        <v>4145</v>
      </c>
      <c r="I1447" s="5" t="s">
        <v>4247</v>
      </c>
      <c r="J1447" s="5" t="s">
        <v>4248</v>
      </c>
      <c r="K1447" s="7" t="str">
        <f ca="1">IFERROR(__xludf.DUMMYFUNCTION("GOOGLETRANSLATE(H1447,""EN"",""ES"")"),"HERRAMIENTAS E IMPLEMENTOS PARA PERFORAR, FRESAR O EXCAVAR")</f>
        <v>HERRAMIENTAS E IMPLEMENTOS PARA PERFORAR, FRESAR O EXCAVAR</v>
      </c>
      <c r="L1447" s="5" t="str">
        <f ca="1">IFERROR(__xludf.DUMMYFUNCTION("GOOGLETRANSLATE(J1447,""EN"",""ES"")"),"Taladros de percusión")</f>
        <v>Taladros de percusión</v>
      </c>
      <c r="M1447" s="8" t="s">
        <v>26</v>
      </c>
      <c r="N1447" s="8"/>
    </row>
    <row r="1448" spans="1:14" ht="11.25" customHeight="1">
      <c r="A1448" s="5" t="s">
        <v>4139</v>
      </c>
      <c r="B1448" s="5" t="s">
        <v>4249</v>
      </c>
      <c r="C1448" s="5" t="s">
        <v>4250</v>
      </c>
      <c r="D1448" s="5" t="s">
        <v>4142</v>
      </c>
      <c r="E1448" s="5" t="s">
        <v>27</v>
      </c>
      <c r="F1448" s="5" t="s">
        <v>4143</v>
      </c>
      <c r="G1448" s="5" t="s">
        <v>4144</v>
      </c>
      <c r="H1448" s="5" t="s">
        <v>4251</v>
      </c>
      <c r="I1448" s="5" t="s">
        <v>4252</v>
      </c>
      <c r="J1448" s="5" t="s">
        <v>4253</v>
      </c>
      <c r="K1448" s="7" t="str">
        <f ca="1">IFERROR(__xludf.DUMMYFUNCTION("GOOGLETRANSLATE(H1448,""EN"",""ES"")"),"MARTILLOS Y OTRAS HERRAMIENTAS E IMPLEMENTOS SIMILARES")</f>
        <v>MARTILLOS Y OTRAS HERRAMIENTAS E IMPLEMENTOS SIMILARES</v>
      </c>
      <c r="L1448" s="5" t="str">
        <f ca="1">IFERROR(__xludf.DUMMYFUNCTION("GOOGLETRANSLATE(J1448,""EN"",""ES"")"),"Apisonadores de tierra [herramientas manuales]")</f>
        <v>Apisonadores de tierra [herramientas manuales]</v>
      </c>
      <c r="M1448" s="8" t="s">
        <v>26</v>
      </c>
      <c r="N1448" s="8"/>
    </row>
    <row r="1449" spans="1:14" ht="11.25" customHeight="1">
      <c r="A1449" s="5" t="s">
        <v>4139</v>
      </c>
      <c r="B1449" s="5" t="s">
        <v>4249</v>
      </c>
      <c r="C1449" s="5" t="s">
        <v>4254</v>
      </c>
      <c r="D1449" s="5" t="s">
        <v>4142</v>
      </c>
      <c r="E1449" s="5" t="s">
        <v>27</v>
      </c>
      <c r="F1449" s="5" t="s">
        <v>4143</v>
      </c>
      <c r="G1449" s="5" t="s">
        <v>4144</v>
      </c>
      <c r="H1449" s="5" t="s">
        <v>4251</v>
      </c>
      <c r="I1449" s="5" t="s">
        <v>4255</v>
      </c>
      <c r="J1449" s="5" t="s">
        <v>4256</v>
      </c>
      <c r="K1449" s="7" t="str">
        <f ca="1">IFERROR(__xludf.DUMMYFUNCTION("GOOGLETRANSLATE(H1449,""EN"",""ES"")"),"MARTILLOS Y OTRAS HERRAMIENTAS E IMPLEMENTOS SIMILARES")</f>
        <v>MARTILLOS Y OTRAS HERRAMIENTAS E IMPLEMENTOS SIMILARES</v>
      </c>
      <c r="L1449" s="5" t="str">
        <f ca="1">IFERROR(__xludf.DUMMYFUNCTION("GOOGLETRANSLATE(J1449,""EN"",""ES"")"),"Apisonadores [herramientas manuales]")</f>
        <v>Apisonadores [herramientas manuales]</v>
      </c>
      <c r="M1449" s="8" t="s">
        <v>26</v>
      </c>
      <c r="N1449" s="8"/>
    </row>
    <row r="1450" spans="1:14" ht="11.25" customHeight="1">
      <c r="A1450" s="5" t="s">
        <v>4139</v>
      </c>
      <c r="B1450" s="5" t="s">
        <v>4249</v>
      </c>
      <c r="C1450" s="5" t="s">
        <v>4257</v>
      </c>
      <c r="D1450" s="5" t="s">
        <v>4142</v>
      </c>
      <c r="E1450" s="5" t="s">
        <v>27</v>
      </c>
      <c r="F1450" s="5" t="s">
        <v>4143</v>
      </c>
      <c r="G1450" s="5" t="s">
        <v>4144</v>
      </c>
      <c r="H1450" s="5" t="s">
        <v>4251</v>
      </c>
      <c r="I1450" s="5" t="s">
        <v>4258</v>
      </c>
      <c r="J1450" s="5" t="s">
        <v>4259</v>
      </c>
      <c r="K1450" s="7" t="str">
        <f ca="1">IFERROR(__xludf.DUMMYFUNCTION("GOOGLETRANSLATE(H1450,""EN"",""ES"")"),"MARTILLOS Y OTRAS HERRAMIENTAS E IMPLEMENTOS SIMILARES")</f>
        <v>MARTILLOS Y OTRAS HERRAMIENTAS E IMPLEMENTOS SIMILARES</v>
      </c>
      <c r="L1450" s="5" t="str">
        <f ca="1">IFERROR(__xludf.DUMMYFUNCTION("GOOGLETRANSLATE(J1450,""EN"",""ES"")"),"mazos")</f>
        <v>mazos</v>
      </c>
      <c r="M1450" s="8" t="s">
        <v>26</v>
      </c>
      <c r="N1450" s="8"/>
    </row>
    <row r="1451" spans="1:14" ht="11.25" customHeight="1">
      <c r="A1451" s="5" t="s">
        <v>4139</v>
      </c>
      <c r="B1451" s="5" t="s">
        <v>4249</v>
      </c>
      <c r="C1451" s="5" t="s">
        <v>4260</v>
      </c>
      <c r="D1451" s="5" t="s">
        <v>4142</v>
      </c>
      <c r="E1451" s="5" t="s">
        <v>27</v>
      </c>
      <c r="F1451" s="5" t="s">
        <v>4143</v>
      </c>
      <c r="G1451" s="5" t="s">
        <v>4144</v>
      </c>
      <c r="H1451" s="5" t="s">
        <v>4251</v>
      </c>
      <c r="I1451" s="5" t="s">
        <v>4261</v>
      </c>
      <c r="J1451" s="5" t="s">
        <v>4262</v>
      </c>
      <c r="K1451" s="7" t="str">
        <f ca="1">IFERROR(__xludf.DUMMYFUNCTION("GOOGLETRANSLATE(H1451,""EN"",""ES"")"),"MARTILLOS Y OTRAS HERRAMIENTAS E IMPLEMENTOS SIMILARES")</f>
        <v>MARTILLOS Y OTRAS HERRAMIENTAS E IMPLEMENTOS SIMILARES</v>
      </c>
      <c r="L1451" s="5" t="str">
        <f ca="1">IFERROR(__xludf.DUMMYFUNCTION("GOOGLETRANSLATE(J1451,""EN"",""ES"")"),"Martillos [herramientas]")</f>
        <v>Martillos [herramientas]</v>
      </c>
      <c r="M1451" s="8" t="s">
        <v>26</v>
      </c>
      <c r="N1451" s="8"/>
    </row>
    <row r="1452" spans="1:14" ht="11.25" customHeight="1">
      <c r="A1452" s="5" t="s">
        <v>4139</v>
      </c>
      <c r="B1452" s="5" t="s">
        <v>4249</v>
      </c>
      <c r="C1452" s="5" t="s">
        <v>4263</v>
      </c>
      <c r="D1452" s="5" t="s">
        <v>4142</v>
      </c>
      <c r="E1452" s="5" t="s">
        <v>27</v>
      </c>
      <c r="F1452" s="5" t="s">
        <v>4143</v>
      </c>
      <c r="G1452" s="5" t="s">
        <v>4144</v>
      </c>
      <c r="H1452" s="5" t="s">
        <v>4251</v>
      </c>
      <c r="I1452" s="5" t="s">
        <v>4264</v>
      </c>
      <c r="J1452" s="5" t="s">
        <v>4265</v>
      </c>
      <c r="K1452" s="7" t="str">
        <f ca="1">IFERROR(__xludf.DUMMYFUNCTION("GOOGLETRANSLATE(H1452,""EN"",""ES"")"),"MARTILLOS Y OTRAS HERRAMIENTAS E IMPLEMENTOS SIMILARES")</f>
        <v>MARTILLOS Y OTRAS HERRAMIENTAS E IMPLEMENTOS SIMILARES</v>
      </c>
      <c r="L1452" s="5" t="str">
        <f ca="1">IFERROR(__xludf.DUMMYFUNCTION("GOOGLETRANSLATE(J1452,""EN"",""ES"")"),"Martillos neumáticos")</f>
        <v>Martillos neumáticos</v>
      </c>
      <c r="M1452" s="8" t="s">
        <v>26</v>
      </c>
      <c r="N1452" s="8"/>
    </row>
    <row r="1453" spans="1:14" ht="11.25" customHeight="1">
      <c r="A1453" s="5" t="s">
        <v>4139</v>
      </c>
      <c r="B1453" s="5" t="s">
        <v>4249</v>
      </c>
      <c r="C1453" s="5" t="s">
        <v>4266</v>
      </c>
      <c r="D1453" s="5" t="s">
        <v>4142</v>
      </c>
      <c r="E1453" s="5" t="s">
        <v>27</v>
      </c>
      <c r="F1453" s="5" t="s">
        <v>4143</v>
      </c>
      <c r="G1453" s="5" t="s">
        <v>4144</v>
      </c>
      <c r="H1453" s="5" t="s">
        <v>4251</v>
      </c>
      <c r="I1453" s="5" t="s">
        <v>4267</v>
      </c>
      <c r="J1453" s="5" t="s">
        <v>4268</v>
      </c>
      <c r="K1453" s="7" t="str">
        <f ca="1">IFERROR(__xludf.DUMMYFUNCTION("GOOGLETRANSLATE(H1453,""EN"",""ES"")"),"MARTILLOS Y OTRAS HERRAMIENTAS E IMPLEMENTOS SIMILARES")</f>
        <v>MARTILLOS Y OTRAS HERRAMIENTAS E IMPLEMENTOS SIMILARES</v>
      </c>
      <c r="L1453" s="5" t="str">
        <f ca="1">IFERROR(__xludf.DUMMYFUNCTION("GOOGLETRANSLATE(J1453,""EN"",""ES"")"),"morteros")</f>
        <v>morteros</v>
      </c>
      <c r="M1453" s="8" t="s">
        <v>26</v>
      </c>
      <c r="N1453" s="8"/>
    </row>
    <row r="1454" spans="1:14" ht="11.25" customHeight="1">
      <c r="A1454" s="5" t="s">
        <v>4139</v>
      </c>
      <c r="B1454" s="5" t="s">
        <v>4249</v>
      </c>
      <c r="C1454" s="5" t="s">
        <v>4269</v>
      </c>
      <c r="D1454" s="5" t="s">
        <v>4142</v>
      </c>
      <c r="E1454" s="5" t="s">
        <v>27</v>
      </c>
      <c r="F1454" s="5" t="s">
        <v>4143</v>
      </c>
      <c r="G1454" s="5" t="s">
        <v>4144</v>
      </c>
      <c r="H1454" s="5" t="s">
        <v>4251</v>
      </c>
      <c r="I1454" s="5" t="s">
        <v>4270</v>
      </c>
      <c r="J1454" s="5" t="s">
        <v>4271</v>
      </c>
      <c r="K1454" s="7" t="str">
        <f ca="1">IFERROR(__xludf.DUMMYFUNCTION("GOOGLETRANSLATE(H1454,""EN"",""ES"")"),"MARTILLOS Y OTRAS HERRAMIENTAS E IMPLEMENTOS SIMILARES")</f>
        <v>MARTILLOS Y OTRAS HERRAMIENTAS E IMPLEMENTOS SIMILARES</v>
      </c>
      <c r="L1454" s="5" t="str">
        <f ca="1">IFERROR(__xludf.DUMMYFUNCTION("GOOGLETRANSLATE(J1454,""EN"",""ES"")"),"Martillos para golpear paneles")</f>
        <v>Martillos para golpear paneles</v>
      </c>
      <c r="M1454" s="8" t="s">
        <v>26</v>
      </c>
      <c r="N1454" s="8"/>
    </row>
    <row r="1455" spans="1:14" ht="11.25" customHeight="1">
      <c r="A1455" s="5" t="s">
        <v>4139</v>
      </c>
      <c r="B1455" s="5" t="s">
        <v>4249</v>
      </c>
      <c r="C1455" s="5" t="s">
        <v>4269</v>
      </c>
      <c r="D1455" s="5" t="s">
        <v>4142</v>
      </c>
      <c r="E1455" s="5" t="s">
        <v>27</v>
      </c>
      <c r="F1455" s="5" t="s">
        <v>4143</v>
      </c>
      <c r="G1455" s="5" t="s">
        <v>4144</v>
      </c>
      <c r="H1455" s="5" t="s">
        <v>4251</v>
      </c>
      <c r="I1455" s="5" t="s">
        <v>4272</v>
      </c>
      <c r="J1455" s="5" t="s">
        <v>152</v>
      </c>
      <c r="K1455" s="7" t="str">
        <f ca="1">IFERROR(__xludf.DUMMYFUNCTION("GOOGLETRANSLATE(H1455,""EN"",""ES"")"),"MARTILLOS Y OTRAS HERRAMIENTAS E IMPLEMENTOS SIMILARES")</f>
        <v>MARTILLOS Y OTRAS HERRAMIENTAS E IMPLEMENTOS SIMILARES</v>
      </c>
      <c r="L1455" s="5" t="str">
        <f ca="1">IFERROR(__xludf.DUMMYFUNCTION("GOOGLETRANSLATE(J1455,""EN"",""ES"")"),"Eliminadores de abolladuras de chapa")</f>
        <v>Eliminadores de abolladuras de chapa</v>
      </c>
      <c r="M1455" s="8" t="s">
        <v>26</v>
      </c>
      <c r="N1455" s="8"/>
    </row>
    <row r="1456" spans="1:14" ht="11.25" customHeight="1">
      <c r="A1456" s="5" t="s">
        <v>4139</v>
      </c>
      <c r="B1456" s="5" t="s">
        <v>4249</v>
      </c>
      <c r="C1456" s="5" t="s">
        <v>4273</v>
      </c>
      <c r="D1456" s="5" t="s">
        <v>4142</v>
      </c>
      <c r="E1456" s="5" t="s">
        <v>27</v>
      </c>
      <c r="F1456" s="5" t="s">
        <v>4143</v>
      </c>
      <c r="G1456" s="5" t="s">
        <v>4144</v>
      </c>
      <c r="H1456" s="5" t="s">
        <v>4251</v>
      </c>
      <c r="I1456" s="5" t="s">
        <v>4274</v>
      </c>
      <c r="J1456" s="5" t="s">
        <v>4275</v>
      </c>
      <c r="K1456" s="7" t="str">
        <f ca="1">IFERROR(__xludf.DUMMYFUNCTION("GOOGLETRANSLATE(H1456,""EN"",""ES"")"),"MARTILLOS Y OTRAS HERRAMIENTAS E IMPLEMENTOS SIMILARES")</f>
        <v>MARTILLOS Y OTRAS HERRAMIENTAS E IMPLEMENTOS SIMILARES</v>
      </c>
      <c r="L1456" s="5" t="str">
        <f ca="1">IFERROR(__xludf.DUMMYFUNCTION("GOOGLETRANSLATE(J1456,""EN"",""ES"")"),"Martillos de picapedreros")</f>
        <v>Martillos de picapedreros</v>
      </c>
      <c r="M1456" s="8" t="s">
        <v>26</v>
      </c>
      <c r="N1456" s="8"/>
    </row>
    <row r="1457" spans="1:14" ht="11.25" customHeight="1">
      <c r="A1457" s="5" t="s">
        <v>4139</v>
      </c>
      <c r="B1457" s="5" t="s">
        <v>4249</v>
      </c>
      <c r="C1457" s="5" t="s">
        <v>4276</v>
      </c>
      <c r="D1457" s="5" t="s">
        <v>4142</v>
      </c>
      <c r="E1457" s="5" t="s">
        <v>27</v>
      </c>
      <c r="F1457" s="5" t="s">
        <v>4143</v>
      </c>
      <c r="G1457" s="5" t="s">
        <v>4144</v>
      </c>
      <c r="H1457" s="5" t="s">
        <v>4251</v>
      </c>
      <c r="I1457" s="5" t="s">
        <v>4277</v>
      </c>
      <c r="J1457" s="5" t="s">
        <v>4278</v>
      </c>
      <c r="K1457" s="7" t="str">
        <f ca="1">IFERROR(__xludf.DUMMYFUNCTION("GOOGLETRANSLATE(H1457,""EN"",""ES"")"),"MARTILLOS Y OTRAS HERRAMIENTAS E IMPLEMENTOS SIMILARES")</f>
        <v>MARTILLOS Y OTRAS HERRAMIENTAS E IMPLEMENTOS SIMILARES</v>
      </c>
      <c r="L1457" s="5" t="str">
        <f ca="1">IFERROR(__xludf.DUMMYFUNCTION("GOOGLETRANSLATE(J1457,""EN"",""ES"")"),"Martillos remachadores")</f>
        <v>Martillos remachadores</v>
      </c>
      <c r="M1457" s="8" t="s">
        <v>26</v>
      </c>
      <c r="N1457" s="8"/>
    </row>
    <row r="1458" spans="1:14" ht="11.25" customHeight="1">
      <c r="A1458" s="5" t="s">
        <v>4139</v>
      </c>
      <c r="B1458" s="5" t="s">
        <v>4279</v>
      </c>
      <c r="C1458" s="5" t="s">
        <v>4280</v>
      </c>
      <c r="D1458" s="5" t="s">
        <v>4142</v>
      </c>
      <c r="E1458" s="5" t="s">
        <v>27</v>
      </c>
      <c r="F1458" s="5" t="s">
        <v>4143</v>
      </c>
      <c r="G1458" s="5" t="s">
        <v>4144</v>
      </c>
      <c r="H1458" s="5" t="s">
        <v>4281</v>
      </c>
      <c r="I1458" s="5" t="s">
        <v>4282</v>
      </c>
      <c r="J1458" s="5" t="s">
        <v>4283</v>
      </c>
      <c r="K1458" s="7" t="str">
        <f ca="1">IFERROR(__xludf.DUMMYFUNCTION("GOOGLETRANSLATE(H1458,""EN"",""ES"")"),"HERRAMIENTAS E IMPLEMENTOS DE CORTE")</f>
        <v>HERRAMIENTAS E IMPLEMENTOS DE CORTE</v>
      </c>
      <c r="L1458" s="5" t="str">
        <f ca="1">IFERROR(__xludf.DUMMYFUNCTION("GOOGLETRANSLATE(J1458,""EN"",""ES"")"),"navajas")</f>
        <v>navajas</v>
      </c>
      <c r="M1458" s="8" t="s">
        <v>26</v>
      </c>
      <c r="N1458" s="8"/>
    </row>
    <row r="1459" spans="1:14" ht="11.25" customHeight="1">
      <c r="A1459" s="5" t="s">
        <v>4139</v>
      </c>
      <c r="B1459" s="5" t="s">
        <v>4279</v>
      </c>
      <c r="C1459" s="5" t="s">
        <v>4284</v>
      </c>
      <c r="D1459" s="5" t="s">
        <v>4142</v>
      </c>
      <c r="E1459" s="5" t="s">
        <v>27</v>
      </c>
      <c r="F1459" s="5" t="s">
        <v>4143</v>
      </c>
      <c r="G1459" s="5" t="s">
        <v>4144</v>
      </c>
      <c r="H1459" s="5" t="s">
        <v>4281</v>
      </c>
      <c r="I1459" s="5" t="s">
        <v>4285</v>
      </c>
      <c r="J1459" s="5" t="s">
        <v>4286</v>
      </c>
      <c r="K1459" s="7" t="str">
        <f ca="1">IFERROR(__xludf.DUMMYFUNCTION("GOOGLETRANSLATE(H1459,""EN"",""ES"")"),"HERRAMIENTAS E IMPLEMENTOS DE CORTE")</f>
        <v>HERRAMIENTAS E IMPLEMENTOS DE CORTE</v>
      </c>
      <c r="L1459" s="5" t="str">
        <f ca="1">IFERROR(__xludf.DUMMYFUNCTION("GOOGLETRANSLATE(J1459,""EN"",""ES"")"),"Cuchillos para deshuesar carne")</f>
        <v>Cuchillos para deshuesar carne</v>
      </c>
      <c r="M1459" s="8" t="s">
        <v>26</v>
      </c>
      <c r="N1459" s="8"/>
    </row>
    <row r="1460" spans="1:14" ht="11.25" customHeight="1">
      <c r="A1460" s="5" t="s">
        <v>4139</v>
      </c>
      <c r="B1460" s="5" t="s">
        <v>4279</v>
      </c>
      <c r="C1460" s="5" t="s">
        <v>4287</v>
      </c>
      <c r="D1460" s="5" t="s">
        <v>4142</v>
      </c>
      <c r="E1460" s="5" t="s">
        <v>27</v>
      </c>
      <c r="F1460" s="5" t="s">
        <v>4143</v>
      </c>
      <c r="G1460" s="5" t="s">
        <v>4144</v>
      </c>
      <c r="H1460" s="5" t="s">
        <v>4281</v>
      </c>
      <c r="I1460" s="5" t="s">
        <v>4288</v>
      </c>
      <c r="J1460" s="5" t="s">
        <v>4289</v>
      </c>
      <c r="K1460" s="7" t="str">
        <f ca="1">IFERROR(__xludf.DUMMYFUNCTION("GOOGLETRANSLATE(H1460,""EN"",""ES"")"),"HERRAMIENTAS E IMPLEMENTOS DE CORTE")</f>
        <v>HERRAMIENTAS E IMPLEMENTOS DE CORTE</v>
      </c>
      <c r="L1460" s="5" t="str">
        <f ca="1">IFERROR(__xludf.DUMMYFUNCTION("GOOGLETRANSLATE(J1460,""EN"",""ES"")"),"cuchillos de cocina")</f>
        <v>cuchillos de cocina</v>
      </c>
      <c r="M1460" s="8" t="s">
        <v>26</v>
      </c>
      <c r="N1460" s="8"/>
    </row>
    <row r="1461" spans="1:14" ht="11.25" customHeight="1">
      <c r="A1461" s="5" t="s">
        <v>4139</v>
      </c>
      <c r="B1461" s="5" t="s">
        <v>4279</v>
      </c>
      <c r="C1461" s="5" t="s">
        <v>4290</v>
      </c>
      <c r="D1461" s="5" t="s">
        <v>4142</v>
      </c>
      <c r="E1461" s="5" t="s">
        <v>27</v>
      </c>
      <c r="F1461" s="5" t="s">
        <v>4143</v>
      </c>
      <c r="G1461" s="5" t="s">
        <v>4144</v>
      </c>
      <c r="H1461" s="5" t="s">
        <v>4281</v>
      </c>
      <c r="I1461" s="5" t="s">
        <v>4291</v>
      </c>
      <c r="J1461" s="5" t="s">
        <v>4292</v>
      </c>
      <c r="K1461" s="7" t="str">
        <f ca="1">IFERROR(__xludf.DUMMYFUNCTION("GOOGLETRANSLATE(H1461,""EN"",""ES"")"),"HERRAMIENTAS E IMPLEMENTOS DE CORTE")</f>
        <v>HERRAMIENTAS E IMPLEMENTOS DE CORTE</v>
      </c>
      <c r="L1461" s="5" t="str">
        <f ca="1">IFERROR(__xludf.DUMMYFUNCTION("GOOGLETRANSLATE(J1461,""EN"",""ES"")"),"Máquinas para talar árboles, accionadas manualmente")</f>
        <v>Máquinas para talar árboles, accionadas manualmente</v>
      </c>
      <c r="M1461" s="8" t="s">
        <v>26</v>
      </c>
      <c r="N1461" s="8"/>
    </row>
    <row r="1462" spans="1:14" ht="11.25" customHeight="1">
      <c r="A1462" s="5" t="s">
        <v>4139</v>
      </c>
      <c r="B1462" s="5" t="s">
        <v>4279</v>
      </c>
      <c r="C1462" s="5" t="s">
        <v>4293</v>
      </c>
      <c r="D1462" s="5" t="s">
        <v>4142</v>
      </c>
      <c r="E1462" s="5" t="s">
        <v>27</v>
      </c>
      <c r="F1462" s="5" t="s">
        <v>4143</v>
      </c>
      <c r="G1462" s="5" t="s">
        <v>4144</v>
      </c>
      <c r="H1462" s="5" t="s">
        <v>4281</v>
      </c>
      <c r="I1462" s="5" t="s">
        <v>4294</v>
      </c>
      <c r="J1462" s="5" t="s">
        <v>4295</v>
      </c>
      <c r="K1462" s="7" t="str">
        <f ca="1">IFERROR(__xludf.DUMMYFUNCTION("GOOGLETRANSLATE(H1462,""EN"",""ES"")"),"HERRAMIENTAS E IMPLEMENTOS DE CORTE")</f>
        <v>HERRAMIENTAS E IMPLEMENTOS DE CORTE</v>
      </c>
      <c r="L1462" s="5" t="str">
        <f ca="1">IFERROR(__xludf.DUMMYFUNCTION("GOOGLETRANSLATE(J1462,""EN"",""ES"")"),"Herramientas para talar árboles")</f>
        <v>Herramientas para talar árboles</v>
      </c>
      <c r="M1462" s="8" t="s">
        <v>26</v>
      </c>
      <c r="N1462" s="8"/>
    </row>
    <row r="1463" spans="1:14" ht="11.25" customHeight="1">
      <c r="A1463" s="5" t="s">
        <v>4139</v>
      </c>
      <c r="B1463" s="5" t="s">
        <v>4279</v>
      </c>
      <c r="C1463" s="5" t="s">
        <v>4296</v>
      </c>
      <c r="D1463" s="5" t="s">
        <v>4142</v>
      </c>
      <c r="E1463" s="5" t="s">
        <v>27</v>
      </c>
      <c r="F1463" s="5" t="s">
        <v>4143</v>
      </c>
      <c r="G1463" s="5" t="s">
        <v>4144</v>
      </c>
      <c r="H1463" s="5" t="s">
        <v>4281</v>
      </c>
      <c r="I1463" s="5" t="s">
        <v>4297</v>
      </c>
      <c r="J1463" s="5" t="s">
        <v>4298</v>
      </c>
      <c r="K1463" s="7" t="str">
        <f ca="1">IFERROR(__xludf.DUMMYFUNCTION("GOOGLETRANSLATE(H1463,""EN"",""ES"")"),"HERRAMIENTAS E IMPLEMENTOS DE CORTE")</f>
        <v>HERRAMIENTAS E IMPLEMENTOS DE CORTE</v>
      </c>
      <c r="L1463" s="5" t="str">
        <f ca="1">IFERROR(__xludf.DUMMYFUNCTION("GOOGLETRANSLATE(J1463,""EN"",""ES"")"),"Cinceles para embutir")</f>
        <v>Cinceles para embutir</v>
      </c>
      <c r="M1463" s="8" t="s">
        <v>26</v>
      </c>
      <c r="N1463" s="8"/>
    </row>
    <row r="1464" spans="1:14" ht="11.25" customHeight="1">
      <c r="A1464" s="5" t="s">
        <v>4139</v>
      </c>
      <c r="B1464" s="5" t="s">
        <v>4279</v>
      </c>
      <c r="C1464" s="5" t="s">
        <v>4299</v>
      </c>
      <c r="D1464" s="5" t="s">
        <v>4142</v>
      </c>
      <c r="E1464" s="5" t="s">
        <v>27</v>
      </c>
      <c r="F1464" s="5" t="s">
        <v>4143</v>
      </c>
      <c r="G1464" s="5" t="s">
        <v>4144</v>
      </c>
      <c r="H1464" s="5" t="s">
        <v>4281</v>
      </c>
      <c r="I1464" s="5" t="s">
        <v>4300</v>
      </c>
      <c r="J1464" s="5" t="s">
        <v>4301</v>
      </c>
      <c r="K1464" s="7" t="str">
        <f ca="1">IFERROR(__xludf.DUMMYFUNCTION("GOOGLETRANSLATE(H1464,""EN"",""ES"")"),"HERRAMIENTAS E IMPLEMENTOS DE CORTE")</f>
        <v>HERRAMIENTAS E IMPLEMENTOS DE CORTE</v>
      </c>
      <c r="L1464" s="5" t="str">
        <f ca="1">IFERROR(__xludf.DUMMYFUNCTION("GOOGLETRANSLATE(J1464,""EN"",""ES"")"),"cortasetos")</f>
        <v>cortasetos</v>
      </c>
      <c r="M1464" s="8" t="s">
        <v>26</v>
      </c>
      <c r="N1464" s="8"/>
    </row>
    <row r="1465" spans="1:14" ht="11.25" customHeight="1">
      <c r="A1465" s="5" t="s">
        <v>4139</v>
      </c>
      <c r="B1465" s="5" t="s">
        <v>4279</v>
      </c>
      <c r="C1465" s="5" t="s">
        <v>4302</v>
      </c>
      <c r="D1465" s="5" t="s">
        <v>4142</v>
      </c>
      <c r="E1465" s="5" t="s">
        <v>27</v>
      </c>
      <c r="F1465" s="5" t="s">
        <v>4143</v>
      </c>
      <c r="G1465" s="5" t="s">
        <v>4144</v>
      </c>
      <c r="H1465" s="5" t="s">
        <v>4281</v>
      </c>
      <c r="I1465" s="5" t="s">
        <v>4303</v>
      </c>
      <c r="J1465" s="5" t="s">
        <v>4304</v>
      </c>
      <c r="K1465" s="7" t="str">
        <f ca="1">IFERROR(__xludf.DUMMYFUNCTION("GOOGLETRANSLATE(H1465,""EN"",""ES"")"),"HERRAMIENTAS E IMPLEMENTOS DE CORTE")</f>
        <v>HERRAMIENTAS E IMPLEMENTOS DE CORTE</v>
      </c>
      <c r="L1465" s="5" t="str">
        <f ca="1">IFERROR(__xludf.DUMMYFUNCTION("GOOGLETRANSLATE(J1465,""EN"",""ES"")"),"Tijeras")</f>
        <v>Tijeras</v>
      </c>
      <c r="M1465" s="8" t="s">
        <v>26</v>
      </c>
      <c r="N1465" s="8"/>
    </row>
    <row r="1466" spans="1:14" ht="11.25" customHeight="1">
      <c r="A1466" s="5" t="s">
        <v>4139</v>
      </c>
      <c r="B1466" s="5" t="s">
        <v>4279</v>
      </c>
      <c r="C1466" s="5" t="s">
        <v>4305</v>
      </c>
      <c r="D1466" s="5" t="s">
        <v>4142</v>
      </c>
      <c r="E1466" s="5" t="s">
        <v>27</v>
      </c>
      <c r="F1466" s="5" t="s">
        <v>4143</v>
      </c>
      <c r="G1466" s="5" t="s">
        <v>4144</v>
      </c>
      <c r="H1466" s="5" t="s">
        <v>4281</v>
      </c>
      <c r="I1466" s="5" t="s">
        <v>4306</v>
      </c>
      <c r="J1466" s="5" t="s">
        <v>4307</v>
      </c>
      <c r="K1466" s="7" t="str">
        <f ca="1">IFERROR(__xludf.DUMMYFUNCTION("GOOGLETRANSLATE(H1466,""EN"",""ES"")"),"HERRAMIENTAS E IMPLEMENTOS DE CORTE")</f>
        <v>HERRAMIENTAS E IMPLEMENTOS DE CORTE</v>
      </c>
      <c r="L1466" s="5" t="str">
        <f ca="1">IFERROR(__xludf.DUMMYFUNCTION("GOOGLETRANSLATE(J1466,""EN"",""ES"")"),"Tijeras")</f>
        <v>Tijeras</v>
      </c>
      <c r="M1466" s="8" t="s">
        <v>26</v>
      </c>
      <c r="N1466" s="8"/>
    </row>
    <row r="1467" spans="1:14" ht="11.25" customHeight="1">
      <c r="A1467" s="5" t="s">
        <v>4139</v>
      </c>
      <c r="B1467" s="5" t="s">
        <v>4279</v>
      </c>
      <c r="C1467" s="5" t="s">
        <v>4308</v>
      </c>
      <c r="D1467" s="5" t="s">
        <v>4142</v>
      </c>
      <c r="E1467" s="5" t="s">
        <v>27</v>
      </c>
      <c r="F1467" s="5" t="s">
        <v>4143</v>
      </c>
      <c r="G1467" s="5" t="s">
        <v>4144</v>
      </c>
      <c r="H1467" s="5" t="s">
        <v>4281</v>
      </c>
      <c r="I1467" s="5" t="s">
        <v>4309</v>
      </c>
      <c r="J1467" s="5" t="s">
        <v>4310</v>
      </c>
      <c r="K1467" s="7" t="str">
        <f ca="1">IFERROR(__xludf.DUMMYFUNCTION("GOOGLETRANSLATE(H1467,""EN"",""ES"")"),"HERRAMIENTAS E IMPLEMENTOS DE CORTE")</f>
        <v>HERRAMIENTAS E IMPLEMENTOS DE CORTE</v>
      </c>
      <c r="L1467" s="5" t="str">
        <f ca="1">IFERROR(__xludf.DUMMYFUNCTION("GOOGLETRANSLATE(J1467,""EN"",""ES"")"),"tijeras de podar")</f>
        <v>tijeras de podar</v>
      </c>
      <c r="M1467" s="8" t="s">
        <v>26</v>
      </c>
      <c r="N1467" s="8"/>
    </row>
    <row r="1468" spans="1:14" ht="11.25" customHeight="1">
      <c r="A1468" s="5" t="s">
        <v>4139</v>
      </c>
      <c r="B1468" s="5" t="s">
        <v>4279</v>
      </c>
      <c r="C1468" s="5" t="s">
        <v>4311</v>
      </c>
      <c r="D1468" s="5" t="s">
        <v>4142</v>
      </c>
      <c r="E1468" s="5" t="s">
        <v>27</v>
      </c>
      <c r="F1468" s="5" t="s">
        <v>4143</v>
      </c>
      <c r="G1468" s="5" t="s">
        <v>4144</v>
      </c>
      <c r="H1468" s="5" t="s">
        <v>4281</v>
      </c>
      <c r="I1468" s="5" t="s">
        <v>4312</v>
      </c>
      <c r="J1468" s="5" t="s">
        <v>4313</v>
      </c>
      <c r="K1468" s="7" t="str">
        <f ca="1">IFERROR(__xludf.DUMMYFUNCTION("GOOGLETRANSLATE(H1468,""EN"",""ES"")"),"HERRAMIENTAS E IMPLEMENTOS DE CORTE")</f>
        <v>HERRAMIENTAS E IMPLEMENTOS DE CORTE</v>
      </c>
      <c r="L1468" s="5" t="str">
        <f ca="1">IFERROR(__xludf.DUMMYFUNCTION("GOOGLETRANSLATE(J1468,""EN"",""ES"")"),"Cinceles para cantería")</f>
        <v>Cinceles para cantería</v>
      </c>
      <c r="M1468" s="8" t="s">
        <v>26</v>
      </c>
      <c r="N1468" s="8"/>
    </row>
    <row r="1469" spans="1:14" ht="11.25" customHeight="1">
      <c r="A1469" s="5" t="s">
        <v>4139</v>
      </c>
      <c r="B1469" s="5" t="s">
        <v>4279</v>
      </c>
      <c r="C1469" s="5" t="s">
        <v>4314</v>
      </c>
      <c r="D1469" s="5" t="s">
        <v>4142</v>
      </c>
      <c r="E1469" s="5" t="s">
        <v>27</v>
      </c>
      <c r="F1469" s="5" t="s">
        <v>4143</v>
      </c>
      <c r="G1469" s="5" t="s">
        <v>4144</v>
      </c>
      <c r="H1469" s="5" t="s">
        <v>4281</v>
      </c>
      <c r="I1469" s="5" t="s">
        <v>4315</v>
      </c>
      <c r="J1469" s="5" t="s">
        <v>4316</v>
      </c>
      <c r="K1469" s="7" t="str">
        <f ca="1">IFERROR(__xludf.DUMMYFUNCTION("GOOGLETRANSLATE(H1469,""EN"",""ES"")"),"HERRAMIENTAS E IMPLEMENTOS DE CORTE")</f>
        <v>HERRAMIENTAS E IMPLEMENTOS DE CORTE</v>
      </c>
      <c r="L1469" s="5" t="str">
        <f ca="1">IFERROR(__xludf.DUMMYFUNCTION("GOOGLETRANSLATE(J1469,""EN"",""ES"")"),"Cinceles para ranurar")</f>
        <v>Cinceles para ranurar</v>
      </c>
      <c r="M1469" s="8" t="s">
        <v>26</v>
      </c>
      <c r="N1469" s="8"/>
    </row>
    <row r="1470" spans="1:14" ht="11.25" customHeight="1">
      <c r="A1470" s="5" t="s">
        <v>4139</v>
      </c>
      <c r="B1470" s="5" t="s">
        <v>4279</v>
      </c>
      <c r="C1470" s="5" t="s">
        <v>4317</v>
      </c>
      <c r="D1470" s="5" t="s">
        <v>4142</v>
      </c>
      <c r="E1470" s="5" t="s">
        <v>27</v>
      </c>
      <c r="F1470" s="5" t="s">
        <v>4143</v>
      </c>
      <c r="G1470" s="5" t="s">
        <v>4144</v>
      </c>
      <c r="H1470" s="5" t="s">
        <v>4281</v>
      </c>
      <c r="I1470" s="5" t="s">
        <v>4318</v>
      </c>
      <c r="J1470" s="5" t="s">
        <v>4319</v>
      </c>
      <c r="K1470" s="7" t="str">
        <f ca="1">IFERROR(__xludf.DUMMYFUNCTION("GOOGLETRANSLATE(H1470,""EN"",""ES"")"),"HERRAMIENTAS E IMPLEMENTOS DE CORTE")</f>
        <v>HERRAMIENTAS E IMPLEMENTOS DE CORTE</v>
      </c>
      <c r="L1470" s="5" t="str">
        <f ca="1">IFERROR(__xludf.DUMMYFUNCTION("GOOGLETRANSLATE(J1470,""EN"",""ES"")"),"cortadores de hilo")</f>
        <v>cortadores de hilo</v>
      </c>
      <c r="M1470" s="8" t="s">
        <v>26</v>
      </c>
      <c r="N1470" s="8"/>
    </row>
    <row r="1471" spans="1:14" ht="11.25" customHeight="1">
      <c r="A1471" s="5" t="s">
        <v>4139</v>
      </c>
      <c r="B1471" s="5" t="s">
        <v>4279</v>
      </c>
      <c r="C1471" s="5" t="s">
        <v>4320</v>
      </c>
      <c r="D1471" s="5" t="s">
        <v>4142</v>
      </c>
      <c r="E1471" s="5" t="s">
        <v>27</v>
      </c>
      <c r="F1471" s="5" t="s">
        <v>4143</v>
      </c>
      <c r="G1471" s="5" t="s">
        <v>4144</v>
      </c>
      <c r="H1471" s="5" t="s">
        <v>4281</v>
      </c>
      <c r="I1471" s="5" t="s">
        <v>4321</v>
      </c>
      <c r="J1471" s="5" t="s">
        <v>4322</v>
      </c>
      <c r="K1471" s="7" t="str">
        <f ca="1">IFERROR(__xludf.DUMMYFUNCTION("GOOGLETRANSLATE(H1471,""EN"",""ES"")"),"HERRAMIENTAS E IMPLEMENTOS DE CORTE")</f>
        <v>HERRAMIENTAS E IMPLEMENTOS DE CORTE</v>
      </c>
      <c r="L1471" s="5" t="str">
        <f ca="1">IFERROR(__xludf.DUMMYFUNCTION("GOOGLETRANSLATE(J1471,""EN"",""ES"")"),"cortatubos")</f>
        <v>cortatubos</v>
      </c>
      <c r="M1471" s="8" t="s">
        <v>26</v>
      </c>
      <c r="N1471" s="8"/>
    </row>
    <row r="1472" spans="1:14" ht="11.25" customHeight="1">
      <c r="A1472" s="5" t="s">
        <v>4139</v>
      </c>
      <c r="B1472" s="5" t="s">
        <v>4279</v>
      </c>
      <c r="C1472" s="5" t="s">
        <v>4323</v>
      </c>
      <c r="D1472" s="5" t="s">
        <v>4142</v>
      </c>
      <c r="E1472" s="5" t="s">
        <v>27</v>
      </c>
      <c r="F1472" s="5" t="s">
        <v>4143</v>
      </c>
      <c r="G1472" s="5" t="s">
        <v>4144</v>
      </c>
      <c r="H1472" s="5" t="s">
        <v>4281</v>
      </c>
      <c r="I1472" s="5" t="s">
        <v>4324</v>
      </c>
      <c r="J1472" s="5" t="s">
        <v>4325</v>
      </c>
      <c r="K1472" s="7" t="str">
        <f ca="1">IFERROR(__xludf.DUMMYFUNCTION("GOOGLETRANSLATE(H1472,""EN"",""ES"")"),"HERRAMIENTAS E IMPLEMENTOS DE CORTE")</f>
        <v>HERRAMIENTAS E IMPLEMENTOS DE CORTE</v>
      </c>
      <c r="L1472" s="5" t="str">
        <f ca="1">IFERROR(__xludf.DUMMYFUNCTION("GOOGLETRANSLATE(J1472,""EN"",""ES"")"),"cortatubos")</f>
        <v>cortatubos</v>
      </c>
      <c r="M1472" s="8" t="s">
        <v>26</v>
      </c>
      <c r="N1472" s="8"/>
    </row>
    <row r="1473" spans="1:14" ht="11.25" customHeight="1">
      <c r="A1473" s="5" t="s">
        <v>4139</v>
      </c>
      <c r="B1473" s="5" t="s">
        <v>4279</v>
      </c>
      <c r="C1473" s="5" t="s">
        <v>4326</v>
      </c>
      <c r="D1473" s="5" t="s">
        <v>4142</v>
      </c>
      <c r="E1473" s="5" t="s">
        <v>27</v>
      </c>
      <c r="F1473" s="5" t="s">
        <v>4143</v>
      </c>
      <c r="G1473" s="5" t="s">
        <v>4144</v>
      </c>
      <c r="H1473" s="5" t="s">
        <v>4281</v>
      </c>
      <c r="I1473" s="5" t="s">
        <v>4327</v>
      </c>
      <c r="J1473" s="5" t="s">
        <v>4328</v>
      </c>
      <c r="K1473" s="7" t="str">
        <f ca="1">IFERROR(__xludf.DUMMYFUNCTION("GOOGLETRANSLATE(H1473,""EN"",""ES"")"),"HERRAMIENTAS E IMPLEMENTOS DE CORTE")</f>
        <v>HERRAMIENTAS E IMPLEMENTOS DE CORTE</v>
      </c>
      <c r="L1473" s="5" t="str">
        <f ca="1">IFERROR(__xludf.DUMMYFUNCTION("GOOGLETRANSLATE(J1473,""EN"",""ES"")"),"cuchillos para hackear")</f>
        <v>cuchillos para hackear</v>
      </c>
      <c r="M1473" s="8" t="s">
        <v>26</v>
      </c>
      <c r="N1473" s="8"/>
    </row>
    <row r="1474" spans="1:14" ht="11.25" customHeight="1">
      <c r="A1474" s="5" t="s">
        <v>4139</v>
      </c>
      <c r="B1474" s="5" t="s">
        <v>4279</v>
      </c>
      <c r="C1474" s="5" t="s">
        <v>4329</v>
      </c>
      <c r="D1474" s="5" t="s">
        <v>4142</v>
      </c>
      <c r="E1474" s="5" t="s">
        <v>27</v>
      </c>
      <c r="F1474" s="5" t="s">
        <v>4143</v>
      </c>
      <c r="G1474" s="5" t="s">
        <v>4144</v>
      </c>
      <c r="H1474" s="5" t="s">
        <v>4281</v>
      </c>
      <c r="I1474" s="5" t="s">
        <v>4330</v>
      </c>
      <c r="J1474" s="5" t="s">
        <v>4331</v>
      </c>
      <c r="K1474" s="7" t="str">
        <f ca="1">IFERROR(__xludf.DUMMYFUNCTION("GOOGLETRANSLATE(H1474,""EN"",""ES"")"),"HERRAMIENTAS E IMPLEMENTOS DE CORTE")</f>
        <v>HERRAMIENTAS E IMPLEMENTOS DE CORTE</v>
      </c>
      <c r="L1474" s="5" t="str">
        <f ca="1">IFERROR(__xludf.DUMMYFUNCTION("GOOGLETRANSLATE(J1474,""EN"",""ES"")"),"Picadoras de heno [herramientas]")</f>
        <v>Picadoras de heno [herramientas]</v>
      </c>
      <c r="M1474" s="8" t="s">
        <v>26</v>
      </c>
      <c r="N1474" s="8"/>
    </row>
    <row r="1475" spans="1:14" ht="11.25" customHeight="1">
      <c r="A1475" s="5" t="s">
        <v>4139</v>
      </c>
      <c r="B1475" s="5" t="s">
        <v>4279</v>
      </c>
      <c r="C1475" s="5" t="s">
        <v>4332</v>
      </c>
      <c r="D1475" s="5" t="s">
        <v>4142</v>
      </c>
      <c r="E1475" s="5" t="s">
        <v>27</v>
      </c>
      <c r="F1475" s="5" t="s">
        <v>4143</v>
      </c>
      <c r="G1475" s="5" t="s">
        <v>4144</v>
      </c>
      <c r="H1475" s="5" t="s">
        <v>4281</v>
      </c>
      <c r="I1475" s="5" t="s">
        <v>4333</v>
      </c>
      <c r="J1475" s="5" t="s">
        <v>4334</v>
      </c>
      <c r="K1475" s="7" t="str">
        <f ca="1">IFERROR(__xludf.DUMMYFUNCTION("GOOGLETRANSLATE(H1475,""EN"",""ES"")"),"HERRAMIENTAS E IMPLEMENTOS DE CORTE")</f>
        <v>HERRAMIENTAS E IMPLEMENTOS DE CORTE</v>
      </c>
      <c r="L1475" s="5" t="str">
        <f ca="1">IFERROR(__xludf.DUMMYFUNCTION("GOOGLETRANSLATE(J1475,""EN"",""ES"")"),"navajas")</f>
        <v>navajas</v>
      </c>
      <c r="M1475" s="8" t="s">
        <v>26</v>
      </c>
      <c r="N1475" s="8"/>
    </row>
    <row r="1476" spans="1:14" ht="11.25" customHeight="1">
      <c r="A1476" s="5" t="s">
        <v>4139</v>
      </c>
      <c r="B1476" s="5" t="s">
        <v>4279</v>
      </c>
      <c r="C1476" s="5" t="s">
        <v>4332</v>
      </c>
      <c r="D1476" s="5" t="s">
        <v>4142</v>
      </c>
      <c r="E1476" s="5" t="s">
        <v>27</v>
      </c>
      <c r="F1476" s="5" t="s">
        <v>4143</v>
      </c>
      <c r="G1476" s="5" t="s">
        <v>4144</v>
      </c>
      <c r="H1476" s="5" t="s">
        <v>4281</v>
      </c>
      <c r="I1476" s="5" t="s">
        <v>4335</v>
      </c>
      <c r="J1476" s="5" t="s">
        <v>152</v>
      </c>
      <c r="K1476" s="7" t="str">
        <f ca="1">IFERROR(__xludf.DUMMYFUNCTION("GOOGLETRANSLATE(H1476,""EN"",""ES"")"),"HERRAMIENTAS E IMPLEMENTOS DE CORTE")</f>
        <v>HERRAMIENTAS E IMPLEMENTOS DE CORTE</v>
      </c>
      <c r="L1476" s="5" t="str">
        <f ca="1">IFERROR(__xludf.DUMMYFUNCTION("GOOGLETRANSLATE(J1476,""EN"",""ES"")"),"Navajas de bolsillo")</f>
        <v>Navajas de bolsillo</v>
      </c>
      <c r="M1476" s="8" t="s">
        <v>26</v>
      </c>
      <c r="N1476" s="8"/>
    </row>
    <row r="1477" spans="1:14" ht="11.25" customHeight="1">
      <c r="A1477" s="5" t="s">
        <v>4139</v>
      </c>
      <c r="B1477" s="5" t="s">
        <v>4279</v>
      </c>
      <c r="C1477" s="5" t="s">
        <v>4336</v>
      </c>
      <c r="D1477" s="5" t="s">
        <v>4142</v>
      </c>
      <c r="E1477" s="5" t="s">
        <v>27</v>
      </c>
      <c r="F1477" s="5" t="s">
        <v>4143</v>
      </c>
      <c r="G1477" s="5" t="s">
        <v>4144</v>
      </c>
      <c r="H1477" s="5" t="s">
        <v>4281</v>
      </c>
      <c r="I1477" s="5" t="s">
        <v>4337</v>
      </c>
      <c r="J1477" s="5" t="s">
        <v>4338</v>
      </c>
      <c r="K1477" s="7" t="str">
        <f ca="1">IFERROR(__xludf.DUMMYFUNCTION("GOOGLETRANSLATE(H1477,""EN"",""ES"")"),"HERRAMIENTAS E IMPLEMENTOS DE CORTE")</f>
        <v>HERRAMIENTAS E IMPLEMENTOS DE CORTE</v>
      </c>
      <c r="L1477" s="5" t="str">
        <f ca="1">IFERROR(__xludf.DUMMYFUNCTION("GOOGLETRANSLATE(J1477,""EN"",""ES"")"),"Cuchillos eléctricos")</f>
        <v>Cuchillos eléctricos</v>
      </c>
      <c r="M1477" s="8" t="s">
        <v>26</v>
      </c>
      <c r="N1477" s="8"/>
    </row>
    <row r="1478" spans="1:14" ht="11.25" customHeight="1">
      <c r="A1478" s="5" t="s">
        <v>4139</v>
      </c>
      <c r="B1478" s="5" t="s">
        <v>4279</v>
      </c>
      <c r="C1478" s="5" t="s">
        <v>4339</v>
      </c>
      <c r="D1478" s="5" t="s">
        <v>4142</v>
      </c>
      <c r="E1478" s="5" t="s">
        <v>27</v>
      </c>
      <c r="F1478" s="5" t="s">
        <v>4143</v>
      </c>
      <c r="G1478" s="5" t="s">
        <v>4144</v>
      </c>
      <c r="H1478" s="5" t="s">
        <v>4281</v>
      </c>
      <c r="I1478" s="5" t="s">
        <v>4340</v>
      </c>
      <c r="J1478" s="5" t="s">
        <v>4341</v>
      </c>
      <c r="K1478" s="7" t="str">
        <f ca="1">IFERROR(__xludf.DUMMYFUNCTION("GOOGLETRANSLATE(H1478,""EN"",""ES"")"),"HERRAMIENTAS E IMPLEMENTOS DE CORTE")</f>
        <v>HERRAMIENTAS E IMPLEMENTOS DE CORTE</v>
      </c>
      <c r="L1478" s="5" t="str">
        <f ca="1">IFERROR(__xludf.DUMMYFUNCTION("GOOGLETRANSLATE(J1478,""EN"",""ES"")"),"diamantes de vidrieros")</f>
        <v>diamantes de vidrieros</v>
      </c>
      <c r="M1478" s="8" t="s">
        <v>26</v>
      </c>
      <c r="N1478" s="8"/>
    </row>
    <row r="1479" spans="1:14" ht="11.25" customHeight="1">
      <c r="A1479" s="5" t="s">
        <v>4139</v>
      </c>
      <c r="B1479" s="5" t="s">
        <v>4279</v>
      </c>
      <c r="C1479" s="5" t="s">
        <v>4339</v>
      </c>
      <c r="D1479" s="5" t="s">
        <v>4142</v>
      </c>
      <c r="E1479" s="5" t="s">
        <v>27</v>
      </c>
      <c r="F1479" s="5" t="s">
        <v>4143</v>
      </c>
      <c r="G1479" s="5" t="s">
        <v>4144</v>
      </c>
      <c r="H1479" s="5" t="s">
        <v>4281</v>
      </c>
      <c r="I1479" s="5" t="s">
        <v>4342</v>
      </c>
      <c r="J1479" s="5" t="s">
        <v>152</v>
      </c>
      <c r="K1479" s="7" t="str">
        <f ca="1">IFERROR(__xludf.DUMMYFUNCTION("GOOGLETRANSLATE(H1479,""EN"",""ES"")"),"HERRAMIENTAS E IMPLEMENTOS DE CORTE")</f>
        <v>HERRAMIENTAS E IMPLEMENTOS DE CORTE</v>
      </c>
      <c r="L1479" s="5" t="str">
        <f ca="1">IFERROR(__xludf.DUMMYFUNCTION("GOOGLETRANSLATE(J1479,""EN"",""ES"")"),"cortadores de vidrio")</f>
        <v>cortadores de vidrio</v>
      </c>
      <c r="M1479" s="8" t="s">
        <v>26</v>
      </c>
      <c r="N1479" s="8"/>
    </row>
    <row r="1480" spans="1:14" ht="11.25" customHeight="1">
      <c r="A1480" s="5" t="s">
        <v>4139</v>
      </c>
      <c r="B1480" s="5" t="s">
        <v>4279</v>
      </c>
      <c r="C1480" s="5" t="s">
        <v>4343</v>
      </c>
      <c r="D1480" s="5" t="s">
        <v>4142</v>
      </c>
      <c r="E1480" s="5" t="s">
        <v>27</v>
      </c>
      <c r="F1480" s="5" t="s">
        <v>4143</v>
      </c>
      <c r="G1480" s="5" t="s">
        <v>4144</v>
      </c>
      <c r="H1480" s="5" t="s">
        <v>4281</v>
      </c>
      <c r="I1480" s="5" t="s">
        <v>4344</v>
      </c>
      <c r="J1480" s="5" t="s">
        <v>4345</v>
      </c>
      <c r="K1480" s="7" t="str">
        <f ca="1">IFERROR(__xludf.DUMMYFUNCTION("GOOGLETRANSLATE(H1480,""EN"",""ES"")"),"HERRAMIENTAS E IMPLEMENTOS DE CORTE")</f>
        <v>HERRAMIENTAS E IMPLEMENTOS DE CORTE</v>
      </c>
      <c r="L1480" s="5" t="str">
        <f ca="1">IFERROR(__xludf.DUMMYFUNCTION("GOOGLETRANSLATE(J1480,""EN"",""ES"")"),"tijeras de podar")</f>
        <v>tijeras de podar</v>
      </c>
      <c r="M1480" s="8" t="s">
        <v>26</v>
      </c>
      <c r="N1480" s="8"/>
    </row>
    <row r="1481" spans="1:14" ht="11.25" customHeight="1">
      <c r="A1481" s="5" t="s">
        <v>4139</v>
      </c>
      <c r="B1481" s="5" t="s">
        <v>4279</v>
      </c>
      <c r="C1481" s="5" t="s">
        <v>4346</v>
      </c>
      <c r="D1481" s="5" t="s">
        <v>4142</v>
      </c>
      <c r="E1481" s="5" t="s">
        <v>27</v>
      </c>
      <c r="F1481" s="5" t="s">
        <v>4143</v>
      </c>
      <c r="G1481" s="5" t="s">
        <v>4144</v>
      </c>
      <c r="H1481" s="5" t="s">
        <v>4281</v>
      </c>
      <c r="I1481" s="5" t="s">
        <v>4347</v>
      </c>
      <c r="J1481" s="5" t="s">
        <v>4348</v>
      </c>
      <c r="K1481" s="7" t="str">
        <f ca="1">IFERROR(__xludf.DUMMYFUNCTION("GOOGLETRANSLATE(H1481,""EN"",""ES"")"),"HERRAMIENTAS E IMPLEMENTOS DE CORTE")</f>
        <v>HERRAMIENTAS E IMPLEMENTOS DE CORTE</v>
      </c>
      <c r="L1481" s="5" t="str">
        <f ca="1">IFERROR(__xludf.DUMMYFUNCTION("GOOGLETRANSLATE(J1481,""EN"",""ES"")"),"Implementos de poda")</f>
        <v>Implementos de poda</v>
      </c>
      <c r="M1481" s="8" t="s">
        <v>26</v>
      </c>
      <c r="N1481" s="8"/>
    </row>
    <row r="1482" spans="1:14" ht="11.25" customHeight="1">
      <c r="A1482" s="5" t="s">
        <v>4139</v>
      </c>
      <c r="B1482" s="5" t="s">
        <v>4279</v>
      </c>
      <c r="C1482" s="5" t="s">
        <v>4349</v>
      </c>
      <c r="D1482" s="5" t="s">
        <v>4142</v>
      </c>
      <c r="E1482" s="5" t="s">
        <v>27</v>
      </c>
      <c r="F1482" s="5" t="s">
        <v>4143</v>
      </c>
      <c r="G1482" s="5" t="s">
        <v>4144</v>
      </c>
      <c r="H1482" s="5" t="s">
        <v>4281</v>
      </c>
      <c r="I1482" s="5" t="s">
        <v>4350</v>
      </c>
      <c r="J1482" s="5" t="s">
        <v>4351</v>
      </c>
      <c r="K1482" s="7" t="str">
        <f ca="1">IFERROR(__xludf.DUMMYFUNCTION("GOOGLETRANSLATE(H1482,""EN"",""ES"")"),"HERRAMIENTAS E IMPLEMENTOS DE CORTE")</f>
        <v>HERRAMIENTAS E IMPLEMENTOS DE CORTE</v>
      </c>
      <c r="L1482" s="5" t="str">
        <f ca="1">IFERROR(__xludf.DUMMYFUNCTION("GOOGLETRANSLATE(J1482,""EN"",""ES"")"),"podadoras para arboles")</f>
        <v>podadoras para arboles</v>
      </c>
      <c r="M1482" s="8" t="s">
        <v>26</v>
      </c>
      <c r="N1482" s="8"/>
    </row>
    <row r="1483" spans="1:14" ht="11.25" customHeight="1">
      <c r="A1483" s="5" t="s">
        <v>4139</v>
      </c>
      <c r="B1483" s="5" t="s">
        <v>4279</v>
      </c>
      <c r="C1483" s="5" t="s">
        <v>4352</v>
      </c>
      <c r="D1483" s="5" t="s">
        <v>4142</v>
      </c>
      <c r="E1483" s="5" t="s">
        <v>27</v>
      </c>
      <c r="F1483" s="5" t="s">
        <v>4143</v>
      </c>
      <c r="G1483" s="5" t="s">
        <v>4144</v>
      </c>
      <c r="H1483" s="5" t="s">
        <v>4281</v>
      </c>
      <c r="I1483" s="5" t="s">
        <v>4353</v>
      </c>
      <c r="J1483" s="5" t="s">
        <v>4354</v>
      </c>
      <c r="K1483" s="7" t="str">
        <f ca="1">IFERROR(__xludf.DUMMYFUNCTION("GOOGLETRANSLATE(H1483,""EN"",""ES"")"),"HERRAMIENTAS E IMPLEMENTOS DE CORTE")</f>
        <v>HERRAMIENTAS E IMPLEMENTOS DE CORTE</v>
      </c>
      <c r="L1483" s="5" t="str">
        <f ca="1">IFERROR(__xludf.DUMMYFUNCTION("GOOGLETRANSLATE(J1483,""EN"",""ES"")"),"hoces")</f>
        <v>hoces</v>
      </c>
      <c r="M1483" s="8" t="s">
        <v>26</v>
      </c>
      <c r="N1483" s="8"/>
    </row>
    <row r="1484" spans="1:14" ht="11.25" customHeight="1">
      <c r="A1484" s="5" t="s">
        <v>4139</v>
      </c>
      <c r="B1484" s="5" t="s">
        <v>4279</v>
      </c>
      <c r="C1484" s="5" t="s">
        <v>4355</v>
      </c>
      <c r="D1484" s="5" t="s">
        <v>4142</v>
      </c>
      <c r="E1484" s="5" t="s">
        <v>27</v>
      </c>
      <c r="F1484" s="5" t="s">
        <v>4143</v>
      </c>
      <c r="G1484" s="5" t="s">
        <v>4144</v>
      </c>
      <c r="H1484" s="5" t="s">
        <v>4281</v>
      </c>
      <c r="I1484" s="5" t="s">
        <v>4356</v>
      </c>
      <c r="J1484" s="5" t="s">
        <v>4357</v>
      </c>
      <c r="K1484" s="7" t="str">
        <f ca="1">IFERROR(__xludf.DUMMYFUNCTION("GOOGLETRANSLATE(H1484,""EN"",""ES"")"),"HERRAMIENTAS E IMPLEMENTOS DE CORTE")</f>
        <v>HERRAMIENTAS E IMPLEMENTOS DE CORTE</v>
      </c>
      <c r="L1484" s="5" t="str">
        <f ca="1">IFERROR(__xludf.DUMMYFUNCTION("GOOGLETRANSLATE(J1484,""EN"",""ES"")"),"guadañas")</f>
        <v>guadañas</v>
      </c>
      <c r="M1484" s="8" t="s">
        <v>26</v>
      </c>
      <c r="N1484" s="8"/>
    </row>
    <row r="1485" spans="1:14" ht="11.25" customHeight="1">
      <c r="A1485" s="5" t="s">
        <v>4139</v>
      </c>
      <c r="B1485" s="5" t="s">
        <v>4279</v>
      </c>
      <c r="C1485" s="5" t="s">
        <v>4358</v>
      </c>
      <c r="D1485" s="5" t="s">
        <v>4142</v>
      </c>
      <c r="E1485" s="5" t="s">
        <v>27</v>
      </c>
      <c r="F1485" s="5" t="s">
        <v>4143</v>
      </c>
      <c r="G1485" s="5" t="s">
        <v>4144</v>
      </c>
      <c r="H1485" s="5" t="s">
        <v>4281</v>
      </c>
      <c r="I1485" s="5" t="s">
        <v>4359</v>
      </c>
      <c r="J1485" s="5" t="s">
        <v>4360</v>
      </c>
      <c r="K1485" s="7" t="str">
        <f ca="1">IFERROR(__xludf.DUMMYFUNCTION("GOOGLETRANSLATE(H1485,""EN"",""ES"")"),"HERRAMIENTAS E IMPLEMENTOS DE CORTE")</f>
        <v>HERRAMIENTAS E IMPLEMENTOS DE CORTE</v>
      </c>
      <c r="L1485" s="5" t="str">
        <f ca="1">IFERROR(__xludf.DUMMYFUNCTION("GOOGLETRANSLATE(J1485,""EN"",""ES"")"),"cuchillas")</f>
        <v>cuchillas</v>
      </c>
      <c r="M1485" s="8" t="s">
        <v>26</v>
      </c>
      <c r="N1485" s="8"/>
    </row>
    <row r="1486" spans="1:14" ht="11.25" customHeight="1">
      <c r="A1486" s="5" t="s">
        <v>4139</v>
      </c>
      <c r="B1486" s="5" t="s">
        <v>4279</v>
      </c>
      <c r="C1486" s="5" t="s">
        <v>4361</v>
      </c>
      <c r="D1486" s="5" t="s">
        <v>4142</v>
      </c>
      <c r="E1486" s="5" t="s">
        <v>27</v>
      </c>
      <c r="F1486" s="5" t="s">
        <v>4143</v>
      </c>
      <c r="G1486" s="5" t="s">
        <v>4144</v>
      </c>
      <c r="H1486" s="5" t="s">
        <v>4281</v>
      </c>
      <c r="I1486" s="5" t="s">
        <v>4362</v>
      </c>
      <c r="J1486" s="5" t="s">
        <v>4363</v>
      </c>
      <c r="K1486" s="7" t="str">
        <f ca="1">IFERROR(__xludf.DUMMYFUNCTION("GOOGLETRANSLATE(H1486,""EN"",""ES"")"),"HERRAMIENTAS E IMPLEMENTOS DE CORTE")</f>
        <v>HERRAMIENTAS E IMPLEMENTOS DE CORTE</v>
      </c>
      <c r="L1486" s="5" t="str">
        <f ca="1">IFERROR(__xludf.DUMMYFUNCTION("GOOGLETRANSLATE(J1486,""EN"",""ES"")"),"Cuchillas de avión [herramientas]")</f>
        <v>Cuchillas de avión [herramientas]</v>
      </c>
      <c r="M1486" s="8" t="s">
        <v>26</v>
      </c>
      <c r="N1486" s="8"/>
    </row>
    <row r="1487" spans="1:14" ht="11.25" customHeight="1">
      <c r="A1487" s="5" t="s">
        <v>4139</v>
      </c>
      <c r="B1487" s="5" t="s">
        <v>4279</v>
      </c>
      <c r="C1487" s="5" t="s">
        <v>4364</v>
      </c>
      <c r="D1487" s="5" t="s">
        <v>4142</v>
      </c>
      <c r="E1487" s="5" t="s">
        <v>27</v>
      </c>
      <c r="F1487" s="5" t="s">
        <v>4143</v>
      </c>
      <c r="G1487" s="5" t="s">
        <v>4144</v>
      </c>
      <c r="H1487" s="5" t="s">
        <v>4281</v>
      </c>
      <c r="I1487" s="5" t="s">
        <v>4365</v>
      </c>
      <c r="J1487" s="5" t="s">
        <v>4366</v>
      </c>
      <c r="K1487" s="7" t="str">
        <f ca="1">IFERROR(__xludf.DUMMYFUNCTION("GOOGLETRANSLATE(H1487,""EN"",""ES"")"),"HERRAMIENTAS E IMPLEMENTOS DE CORTE")</f>
        <v>HERRAMIENTAS E IMPLEMENTOS DE CORTE</v>
      </c>
      <c r="L1487" s="5" t="str">
        <f ca="1">IFERROR(__xludf.DUMMYFUNCTION("GOOGLETRANSLATE(J1487,""EN"",""ES"")"),"Cortadores de dados")</f>
        <v>Cortadores de dados</v>
      </c>
      <c r="M1487" s="8" t="s">
        <v>26</v>
      </c>
      <c r="N1487" s="8"/>
    </row>
    <row r="1488" spans="1:14" ht="11.25" customHeight="1">
      <c r="A1488" s="5" t="s">
        <v>4139</v>
      </c>
      <c r="B1488" s="5" t="s">
        <v>4279</v>
      </c>
      <c r="C1488" s="5" t="s">
        <v>4367</v>
      </c>
      <c r="D1488" s="5" t="s">
        <v>4142</v>
      </c>
      <c r="E1488" s="5" t="s">
        <v>27</v>
      </c>
      <c r="F1488" s="5" t="s">
        <v>4143</v>
      </c>
      <c r="G1488" s="5" t="s">
        <v>4144</v>
      </c>
      <c r="H1488" s="5" t="s">
        <v>4281</v>
      </c>
      <c r="I1488" s="5" t="s">
        <v>4368</v>
      </c>
      <c r="J1488" s="5" t="s">
        <v>4369</v>
      </c>
      <c r="K1488" s="7" t="str">
        <f ca="1">IFERROR(__xludf.DUMMYFUNCTION("GOOGLETRANSLATE(H1488,""EN"",""ES"")"),"HERRAMIENTAS E IMPLEMENTOS DE CORTE")</f>
        <v>HERRAMIENTAS E IMPLEMENTOS DE CORTE</v>
      </c>
      <c r="L1488" s="5" t="str">
        <f ca="1">IFERROR(__xludf.DUMMYFUNCTION("GOOGLETRANSLATE(J1488,""EN"",""ES"")"),"ejes")</f>
        <v>ejes</v>
      </c>
      <c r="M1488" s="8" t="s">
        <v>26</v>
      </c>
      <c r="N1488" s="8"/>
    </row>
    <row r="1489" spans="1:14" ht="11.25" customHeight="1">
      <c r="A1489" s="5" t="s">
        <v>4139</v>
      </c>
      <c r="B1489" s="5" t="s">
        <v>4279</v>
      </c>
      <c r="C1489" s="5" t="s">
        <v>4370</v>
      </c>
      <c r="D1489" s="5" t="s">
        <v>4142</v>
      </c>
      <c r="E1489" s="5" t="s">
        <v>27</v>
      </c>
      <c r="F1489" s="5" t="s">
        <v>4143</v>
      </c>
      <c r="G1489" s="5" t="s">
        <v>4144</v>
      </c>
      <c r="H1489" s="5" t="s">
        <v>4281</v>
      </c>
      <c r="I1489" s="5" t="s">
        <v>4371</v>
      </c>
      <c r="J1489" s="5" t="s">
        <v>4372</v>
      </c>
      <c r="K1489" s="7" t="str">
        <f ca="1">IFERROR(__xludf.DUMMYFUNCTION("GOOGLETRANSLATE(H1489,""EN"",""ES"")"),"HERRAMIENTAS E IMPLEMENTOS DE CORTE")</f>
        <v>HERRAMIENTAS E IMPLEMENTOS DE CORTE</v>
      </c>
      <c r="L1489" s="5" t="str">
        <f ca="1">IFERROR(__xludf.DUMMYFUNCTION("GOOGLETRANSLATE(J1489,""EN"",""ES"")"),"Hachas")</f>
        <v>Hachas</v>
      </c>
      <c r="M1489" s="8" t="s">
        <v>26</v>
      </c>
      <c r="N1489" s="8"/>
    </row>
    <row r="1490" spans="1:14" ht="11.25" customHeight="1">
      <c r="A1490" s="5" t="s">
        <v>4139</v>
      </c>
      <c r="B1490" s="5" t="s">
        <v>4279</v>
      </c>
      <c r="C1490" s="5" t="s">
        <v>4373</v>
      </c>
      <c r="D1490" s="5" t="s">
        <v>4142</v>
      </c>
      <c r="E1490" s="5" t="s">
        <v>27</v>
      </c>
      <c r="F1490" s="5" t="s">
        <v>4143</v>
      </c>
      <c r="G1490" s="5" t="s">
        <v>4144</v>
      </c>
      <c r="H1490" s="5" t="s">
        <v>4281</v>
      </c>
      <c r="I1490" s="5" t="s">
        <v>4374</v>
      </c>
      <c r="J1490" s="5" t="s">
        <v>4375</v>
      </c>
      <c r="K1490" s="7" t="str">
        <f ca="1">IFERROR(__xludf.DUMMYFUNCTION("GOOGLETRANSLATE(H1490,""EN"",""ES"")"),"HERRAMIENTAS E IMPLEMENTOS DE CORTE")</f>
        <v>HERRAMIENTAS E IMPLEMENTOS DE CORTE</v>
      </c>
      <c r="L1490" s="5" t="str">
        <f ca="1">IFERROR(__xludf.DUMMYFUNCTION("GOOGLETRANSLATE(J1490,""EN"",""ES"")"),"azuelas")</f>
        <v>azuelas</v>
      </c>
      <c r="M1490" s="8" t="s">
        <v>26</v>
      </c>
      <c r="N1490" s="8"/>
    </row>
    <row r="1491" spans="1:14" ht="11.25" customHeight="1">
      <c r="A1491" s="5" t="s">
        <v>4139</v>
      </c>
      <c r="B1491" s="5" t="s">
        <v>4279</v>
      </c>
      <c r="C1491" s="5" t="s">
        <v>4376</v>
      </c>
      <c r="D1491" s="5" t="s">
        <v>4142</v>
      </c>
      <c r="E1491" s="5" t="s">
        <v>27</v>
      </c>
      <c r="F1491" s="5" t="s">
        <v>4143</v>
      </c>
      <c r="G1491" s="5" t="s">
        <v>4144</v>
      </c>
      <c r="H1491" s="5" t="s">
        <v>4281</v>
      </c>
      <c r="I1491" s="5" t="s">
        <v>4377</v>
      </c>
      <c r="J1491" s="5" t="s">
        <v>4378</v>
      </c>
      <c r="K1491" s="7" t="str">
        <f ca="1">IFERROR(__xludf.DUMMYFUNCTION("GOOGLETRANSLATE(H1491,""EN"",""ES"")"),"HERRAMIENTAS E IMPLEMENTOS DE CORTE")</f>
        <v>HERRAMIENTAS E IMPLEMENTOS DE CORTE</v>
      </c>
      <c r="L1491" s="5" t="str">
        <f ca="1">IFERROR(__xludf.DUMMYFUNCTION("GOOGLETRANSLATE(J1491,""EN"",""ES"")"),"hojas de sierra")</f>
        <v>hojas de sierra</v>
      </c>
      <c r="M1491" s="8" t="s">
        <v>26</v>
      </c>
      <c r="N1491" s="8"/>
    </row>
    <row r="1492" spans="1:14" ht="11.25" customHeight="1">
      <c r="A1492" s="5" t="s">
        <v>4139</v>
      </c>
      <c r="B1492" s="5" t="s">
        <v>4279</v>
      </c>
      <c r="C1492" s="5" t="s">
        <v>4379</v>
      </c>
      <c r="D1492" s="5" t="s">
        <v>4142</v>
      </c>
      <c r="E1492" s="5" t="s">
        <v>27</v>
      </c>
      <c r="F1492" s="5" t="s">
        <v>4143</v>
      </c>
      <c r="G1492" s="5" t="s">
        <v>4144</v>
      </c>
      <c r="H1492" s="5" t="s">
        <v>4281</v>
      </c>
      <c r="I1492" s="5" t="s">
        <v>4380</v>
      </c>
      <c r="J1492" s="5" t="s">
        <v>4381</v>
      </c>
      <c r="K1492" s="7" t="str">
        <f ca="1">IFERROR(__xludf.DUMMYFUNCTION("GOOGLETRANSLATE(H1492,""EN"",""ES"")"),"HERRAMIENTAS E IMPLEMENTOS DE CORTE")</f>
        <v>HERRAMIENTAS E IMPLEMENTOS DE CORTE</v>
      </c>
      <c r="L1492" s="5" t="str">
        <f ca="1">IFERROR(__xludf.DUMMYFUNCTION("GOOGLETRANSLATE(J1492,""EN"",""ES"")"),"machetes")</f>
        <v>machetes</v>
      </c>
      <c r="M1492" s="8" t="s">
        <v>26</v>
      </c>
      <c r="N1492" s="8"/>
    </row>
    <row r="1493" spans="1:14" ht="11.25" customHeight="1">
      <c r="A1493" s="5" t="s">
        <v>4139</v>
      </c>
      <c r="B1493" s="5" t="s">
        <v>4279</v>
      </c>
      <c r="C1493" s="5" t="s">
        <v>4382</v>
      </c>
      <c r="D1493" s="5" t="s">
        <v>4142</v>
      </c>
      <c r="E1493" s="5" t="s">
        <v>27</v>
      </c>
      <c r="F1493" s="5" t="s">
        <v>4143</v>
      </c>
      <c r="G1493" s="5" t="s">
        <v>4144</v>
      </c>
      <c r="H1493" s="5" t="s">
        <v>4281</v>
      </c>
      <c r="I1493" s="5" t="s">
        <v>4383</v>
      </c>
      <c r="J1493" s="5" t="s">
        <v>4384</v>
      </c>
      <c r="K1493" s="7" t="str">
        <f ca="1">IFERROR(__xludf.DUMMYFUNCTION("GOOGLETRANSLATE(H1493,""EN"",""ES"")"),"HERRAMIENTAS E IMPLEMENTOS DE CORTE")</f>
        <v>HERRAMIENTAS E IMPLEMENTOS DE CORTE</v>
      </c>
      <c r="L1493" s="5" t="str">
        <f ca="1">IFERROR(__xludf.DUMMYFUNCTION("GOOGLETRANSLATE(J1493,""EN"",""ES"")"),"navajas")</f>
        <v>navajas</v>
      </c>
      <c r="M1493" s="8" t="s">
        <v>26</v>
      </c>
      <c r="N1493" s="8"/>
    </row>
    <row r="1494" spans="1:14" ht="11.25" customHeight="1">
      <c r="A1494" s="5" t="s">
        <v>4139</v>
      </c>
      <c r="B1494" s="5" t="s">
        <v>4279</v>
      </c>
      <c r="C1494" s="5" t="s">
        <v>4385</v>
      </c>
      <c r="D1494" s="5" t="s">
        <v>4142</v>
      </c>
      <c r="E1494" s="5" t="s">
        <v>27</v>
      </c>
      <c r="F1494" s="5" t="s">
        <v>4143</v>
      </c>
      <c r="G1494" s="5" t="s">
        <v>4144</v>
      </c>
      <c r="H1494" s="5" t="s">
        <v>4281</v>
      </c>
      <c r="I1494" s="5" t="s">
        <v>4386</v>
      </c>
      <c r="J1494" s="5" t="s">
        <v>4387</v>
      </c>
      <c r="K1494" s="7" t="str">
        <f ca="1">IFERROR(__xludf.DUMMYFUNCTION("GOOGLETRANSLATE(H1494,""EN"",""ES"")"),"HERRAMIENTAS E IMPLEMENTOS DE CORTE")</f>
        <v>HERRAMIENTAS E IMPLEMENTOS DE CORTE</v>
      </c>
      <c r="L1494" s="5" t="str">
        <f ca="1">IFERROR(__xludf.DUMMYFUNCTION("GOOGLETRANSLATE(J1494,""EN"",""ES"")"),"Aviones")</f>
        <v>Aviones</v>
      </c>
      <c r="M1494" s="8" t="s">
        <v>26</v>
      </c>
      <c r="N1494" s="8"/>
    </row>
    <row r="1495" spans="1:14" ht="11.25" customHeight="1">
      <c r="A1495" s="5" t="s">
        <v>4139</v>
      </c>
      <c r="B1495" s="5" t="s">
        <v>4279</v>
      </c>
      <c r="C1495" s="5" t="s">
        <v>4388</v>
      </c>
      <c r="D1495" s="5" t="s">
        <v>4142</v>
      </c>
      <c r="E1495" s="5" t="s">
        <v>27</v>
      </c>
      <c r="F1495" s="5" t="s">
        <v>4143</v>
      </c>
      <c r="G1495" s="5" t="s">
        <v>4144</v>
      </c>
      <c r="H1495" s="5" t="s">
        <v>4281</v>
      </c>
      <c r="I1495" s="5" t="s">
        <v>4389</v>
      </c>
      <c r="J1495" s="5" t="s">
        <v>4390</v>
      </c>
      <c r="K1495" s="7" t="str">
        <f ca="1">IFERROR(__xludf.DUMMYFUNCTION("GOOGLETRANSLATE(H1495,""EN"",""ES"")"),"HERRAMIENTAS E IMPLEMENTOS DE CORTE")</f>
        <v>HERRAMIENTAS E IMPLEMENTOS DE CORTE</v>
      </c>
      <c r="L1495" s="5" t="str">
        <f ca="1">IFERROR(__xludf.DUMMYFUNCTION("GOOGLETRANSLATE(J1495,""EN"",""ES"")"),"Cortadoras de raíces, accionadas manualmente")</f>
        <v>Cortadoras de raíces, accionadas manualmente</v>
      </c>
      <c r="M1495" s="8" t="s">
        <v>26</v>
      </c>
      <c r="N1495" s="8"/>
    </row>
    <row r="1496" spans="1:14" ht="11.25" customHeight="1">
      <c r="A1496" s="5" t="s">
        <v>4139</v>
      </c>
      <c r="B1496" s="5" t="s">
        <v>4279</v>
      </c>
      <c r="C1496" s="5" t="s">
        <v>4391</v>
      </c>
      <c r="D1496" s="5" t="s">
        <v>4142</v>
      </c>
      <c r="E1496" s="5" t="s">
        <v>27</v>
      </c>
      <c r="F1496" s="5" t="s">
        <v>4143</v>
      </c>
      <c r="G1496" s="5" t="s">
        <v>4144</v>
      </c>
      <c r="H1496" s="5" t="s">
        <v>4281</v>
      </c>
      <c r="I1496" s="5" t="s">
        <v>4392</v>
      </c>
      <c r="J1496" s="5" t="s">
        <v>4393</v>
      </c>
      <c r="K1496" s="7" t="str">
        <f ca="1">IFERROR(__xludf.DUMMYFUNCTION("GOOGLETRANSLATE(H1496,""EN"",""ES"")"),"HERRAMIENTAS E IMPLEMENTOS DE CORTE")</f>
        <v>HERRAMIENTAS E IMPLEMENTOS DE CORTE</v>
      </c>
      <c r="L1496" s="5" t="str">
        <f ca="1">IFERROR(__xludf.DUMMYFUNCTION("GOOGLETRANSLATE(J1496,""EN"",""ES"")"),"raspadores")</f>
        <v>raspadores</v>
      </c>
      <c r="M1496" s="8" t="s">
        <v>26</v>
      </c>
      <c r="N1496" s="8"/>
    </row>
    <row r="1497" spans="1:14" ht="11.25" customHeight="1">
      <c r="A1497" s="5" t="s">
        <v>4139</v>
      </c>
      <c r="B1497" s="5" t="s">
        <v>4279</v>
      </c>
      <c r="C1497" s="5" t="s">
        <v>4394</v>
      </c>
      <c r="D1497" s="5" t="s">
        <v>4142</v>
      </c>
      <c r="E1497" s="5" t="s">
        <v>27</v>
      </c>
      <c r="F1497" s="5" t="s">
        <v>4143</v>
      </c>
      <c r="G1497" s="5" t="s">
        <v>4144</v>
      </c>
      <c r="H1497" s="5" t="s">
        <v>4281</v>
      </c>
      <c r="I1497" s="5" t="s">
        <v>4395</v>
      </c>
      <c r="J1497" s="5" t="s">
        <v>4396</v>
      </c>
      <c r="K1497" s="7" t="str">
        <f ca="1">IFERROR(__xludf.DUMMYFUNCTION("GOOGLETRANSLATE(H1497,""EN"",""ES"")"),"HERRAMIENTAS E IMPLEMENTOS DE CORTE")</f>
        <v>HERRAMIENTAS E IMPLEMENTOS DE CORTE</v>
      </c>
      <c r="L1497" s="5" t="str">
        <f ca="1">IFERROR(__xludf.DUMMYFUNCTION("GOOGLETRANSLATE(J1497,""EN"",""ES"")"),"Sierras de calar")</f>
        <v>Sierras de calar</v>
      </c>
      <c r="M1497" s="8" t="s">
        <v>26</v>
      </c>
      <c r="N1497" s="8"/>
    </row>
    <row r="1498" spans="1:14" ht="11.25" customHeight="1">
      <c r="A1498" s="5" t="s">
        <v>4139</v>
      </c>
      <c r="B1498" s="5" t="s">
        <v>4279</v>
      </c>
      <c r="C1498" s="5" t="s">
        <v>4397</v>
      </c>
      <c r="D1498" s="5" t="s">
        <v>4142</v>
      </c>
      <c r="E1498" s="5" t="s">
        <v>27</v>
      </c>
      <c r="F1498" s="5" t="s">
        <v>4143</v>
      </c>
      <c r="G1498" s="5" t="s">
        <v>4144</v>
      </c>
      <c r="H1498" s="5" t="s">
        <v>4281</v>
      </c>
      <c r="I1498" s="5" t="s">
        <v>4398</v>
      </c>
      <c r="J1498" s="5" t="s">
        <v>4399</v>
      </c>
      <c r="K1498" s="7" t="str">
        <f ca="1">IFERROR(__xludf.DUMMYFUNCTION("GOOGLETRANSLATE(H1498,""EN"",""ES"")"),"HERRAMIENTAS E IMPLEMENTOS DE CORTE")</f>
        <v>HERRAMIENTAS E IMPLEMENTOS DE CORTE</v>
      </c>
      <c r="L1498" s="5" t="str">
        <f ca="1">IFERROR(__xludf.DUMMYFUNCTION("GOOGLETRANSLATE(J1498,""EN"",""ES"")"),"Sierras [sierras de mano]")</f>
        <v>Sierras [sierras de mano]</v>
      </c>
      <c r="M1498" s="8" t="s">
        <v>26</v>
      </c>
      <c r="N1498" s="8"/>
    </row>
    <row r="1499" spans="1:14" ht="11.25" customHeight="1">
      <c r="A1499" s="5" t="s">
        <v>4139</v>
      </c>
      <c r="B1499" s="5" t="s">
        <v>4279</v>
      </c>
      <c r="C1499" s="5" t="s">
        <v>4400</v>
      </c>
      <c r="D1499" s="5" t="s">
        <v>4142</v>
      </c>
      <c r="E1499" s="5" t="s">
        <v>27</v>
      </c>
      <c r="F1499" s="5" t="s">
        <v>4143</v>
      </c>
      <c r="G1499" s="5" t="s">
        <v>4144</v>
      </c>
      <c r="H1499" s="5" t="s">
        <v>4281</v>
      </c>
      <c r="I1499" s="5" t="s">
        <v>4401</v>
      </c>
      <c r="J1499" s="5" t="s">
        <v>4402</v>
      </c>
      <c r="K1499" s="7" t="str">
        <f ca="1">IFERROR(__xludf.DUMMYFUNCTION("GOOGLETRANSLATE(H1499,""EN"",""ES"")"),"HERRAMIENTAS E IMPLEMENTOS DE CORTE")</f>
        <v>HERRAMIENTAS E IMPLEMENTOS DE CORTE</v>
      </c>
      <c r="L1499" s="5" t="str">
        <f ca="1">IFERROR(__xludf.DUMMYFUNCTION("GOOGLETRANSLATE(J1499,""EN"",""ES"")"),"Sierras para metales")</f>
        <v>Sierras para metales</v>
      </c>
      <c r="M1499" s="8" t="s">
        <v>26</v>
      </c>
      <c r="N1499" s="8"/>
    </row>
    <row r="1500" spans="1:14" ht="11.25" customHeight="1">
      <c r="A1500" s="5" t="s">
        <v>4139</v>
      </c>
      <c r="B1500" s="5" t="s">
        <v>4279</v>
      </c>
      <c r="C1500" s="5" t="s">
        <v>4403</v>
      </c>
      <c r="D1500" s="5" t="s">
        <v>4142</v>
      </c>
      <c r="E1500" s="5" t="s">
        <v>27</v>
      </c>
      <c r="F1500" s="5" t="s">
        <v>4143</v>
      </c>
      <c r="G1500" s="5" t="s">
        <v>4144</v>
      </c>
      <c r="H1500" s="5" t="s">
        <v>4281</v>
      </c>
      <c r="I1500" s="5" t="s">
        <v>4404</v>
      </c>
      <c r="J1500" s="5" t="s">
        <v>4405</v>
      </c>
      <c r="K1500" s="7" t="str">
        <f ca="1">IFERROR(__xludf.DUMMYFUNCTION("GOOGLETRANSLATE(H1500,""EN"",""ES"")"),"HERRAMIENTAS E IMPLEMENTOS DE CORTE")</f>
        <v>HERRAMIENTAS E IMPLEMENTOS DE CORTE</v>
      </c>
      <c r="L1500" s="5" t="str">
        <f ca="1">IFERROR(__xludf.DUMMYFUNCTION("GOOGLETRANSLATE(J1500,""EN"",""ES"")"),"sierras para huesos")</f>
        <v>sierras para huesos</v>
      </c>
      <c r="M1500" s="8" t="s">
        <v>26</v>
      </c>
      <c r="N1500" s="8"/>
    </row>
    <row r="1501" spans="1:14" ht="11.25" customHeight="1">
      <c r="A1501" s="5" t="s">
        <v>4139</v>
      </c>
      <c r="B1501" s="5" t="s">
        <v>4279</v>
      </c>
      <c r="C1501" s="5" t="s">
        <v>4406</v>
      </c>
      <c r="D1501" s="5" t="s">
        <v>4142</v>
      </c>
      <c r="E1501" s="5" t="s">
        <v>27</v>
      </c>
      <c r="F1501" s="5" t="s">
        <v>4143</v>
      </c>
      <c r="G1501" s="5" t="s">
        <v>4144</v>
      </c>
      <c r="H1501" s="5" t="s">
        <v>4281</v>
      </c>
      <c r="I1501" s="5" t="s">
        <v>4407</v>
      </c>
      <c r="J1501" s="5" t="s">
        <v>4408</v>
      </c>
      <c r="K1501" s="7" t="str">
        <f ca="1">IFERROR(__xludf.DUMMYFUNCTION("GOOGLETRANSLATE(H1501,""EN"",""ES"")"),"HERRAMIENTAS E IMPLEMENTOS DE CORTE")</f>
        <v>HERRAMIENTAS E IMPLEMENTOS DE CORTE</v>
      </c>
      <c r="L1501" s="5" t="str">
        <f ca="1">IFERROR(__xludf.DUMMYFUNCTION("GOOGLETRANSLATE(J1501,""EN"",""ES"")"),"Sierras mecánicas accionadas manualmente")</f>
        <v>Sierras mecánicas accionadas manualmente</v>
      </c>
      <c r="M1501" s="8" t="s">
        <v>26</v>
      </c>
      <c r="N1501" s="8"/>
    </row>
    <row r="1502" spans="1:14" ht="11.25" customHeight="1">
      <c r="A1502" s="5" t="s">
        <v>4139</v>
      </c>
      <c r="B1502" s="5" t="s">
        <v>4279</v>
      </c>
      <c r="C1502" s="5" t="s">
        <v>4409</v>
      </c>
      <c r="D1502" s="5" t="s">
        <v>4142</v>
      </c>
      <c r="E1502" s="5" t="s">
        <v>27</v>
      </c>
      <c r="F1502" s="5" t="s">
        <v>4143</v>
      </c>
      <c r="G1502" s="5" t="s">
        <v>4144</v>
      </c>
      <c r="H1502" s="5" t="s">
        <v>4281</v>
      </c>
      <c r="I1502" s="5" t="s">
        <v>4410</v>
      </c>
      <c r="J1502" s="5" t="s">
        <v>4411</v>
      </c>
      <c r="K1502" s="7" t="str">
        <f ca="1">IFERROR(__xludf.DUMMYFUNCTION("GOOGLETRANSLATE(H1502,""EN"",""ES"")"),"HERRAMIENTAS E IMPLEMENTOS DE CORTE")</f>
        <v>HERRAMIENTAS E IMPLEMENTOS DE CORTE</v>
      </c>
      <c r="L1502" s="5" t="str">
        <f ca="1">IFERROR(__xludf.DUMMYFUNCTION("GOOGLETRANSLATE(J1502,""EN"",""ES"")"),"motosierras")</f>
        <v>motosierras</v>
      </c>
      <c r="M1502" s="8" t="s">
        <v>26</v>
      </c>
      <c r="N1502" s="8"/>
    </row>
    <row r="1503" spans="1:14" ht="11.25" customHeight="1">
      <c r="A1503" s="5" t="s">
        <v>4139</v>
      </c>
      <c r="B1503" s="5" t="s">
        <v>4279</v>
      </c>
      <c r="C1503" s="5" t="s">
        <v>4412</v>
      </c>
      <c r="D1503" s="5" t="s">
        <v>4142</v>
      </c>
      <c r="E1503" s="5" t="s">
        <v>27</v>
      </c>
      <c r="F1503" s="5" t="s">
        <v>4143</v>
      </c>
      <c r="G1503" s="5" t="s">
        <v>4144</v>
      </c>
      <c r="H1503" s="5" t="s">
        <v>4281</v>
      </c>
      <c r="I1503" s="5" t="s">
        <v>4413</v>
      </c>
      <c r="J1503" s="5" t="s">
        <v>4414</v>
      </c>
      <c r="K1503" s="7" t="str">
        <f ca="1">IFERROR(__xludf.DUMMYFUNCTION("GOOGLETRANSLATE(H1503,""EN"",""ES"")"),"HERRAMIENTAS E IMPLEMENTOS DE CORTE")</f>
        <v>HERRAMIENTAS E IMPLEMENTOS DE CORTE</v>
      </c>
      <c r="L1503" s="5" t="str">
        <f ca="1">IFERROR(__xludf.DUMMYFUNCTION("GOOGLETRANSLATE(J1503,""EN"",""ES"")"),"cortasetos")</f>
        <v>cortasetos</v>
      </c>
      <c r="M1503" s="8" t="s">
        <v>26</v>
      </c>
      <c r="N1503" s="8"/>
    </row>
    <row r="1504" spans="1:14" ht="11.25" customHeight="1">
      <c r="A1504" s="5" t="s">
        <v>4139</v>
      </c>
      <c r="B1504" s="5" t="s">
        <v>4279</v>
      </c>
      <c r="C1504" s="5" t="s">
        <v>4412</v>
      </c>
      <c r="D1504" s="5" t="s">
        <v>4142</v>
      </c>
      <c r="E1504" s="5" t="s">
        <v>27</v>
      </c>
      <c r="F1504" s="5" t="s">
        <v>4143</v>
      </c>
      <c r="G1504" s="5" t="s">
        <v>4144</v>
      </c>
      <c r="H1504" s="5" t="s">
        <v>4281</v>
      </c>
      <c r="I1504" s="5" t="s">
        <v>4415</v>
      </c>
      <c r="J1504" s="5" t="s">
        <v>152</v>
      </c>
      <c r="K1504" s="7" t="str">
        <f ca="1">IFERROR(__xludf.DUMMYFUNCTION("GOOGLETRANSLATE(H1504,""EN"",""ES"")"),"HERRAMIENTAS E IMPLEMENTOS DE CORTE")</f>
        <v>HERRAMIENTAS E IMPLEMENTOS DE CORTE</v>
      </c>
      <c r="L1504" s="5" t="str">
        <f ca="1">IFERROR(__xludf.DUMMYFUNCTION("GOOGLETRANSLATE(J1504,""EN"",""ES"")"),"Podadera")</f>
        <v>Podadera</v>
      </c>
      <c r="M1504" s="8" t="s">
        <v>26</v>
      </c>
      <c r="N1504" s="8"/>
    </row>
    <row r="1505" spans="1:14" ht="11.25" customHeight="1">
      <c r="A1505" s="5" t="s">
        <v>4139</v>
      </c>
      <c r="B1505" s="5" t="s">
        <v>4279</v>
      </c>
      <c r="C1505" s="5" t="s">
        <v>4416</v>
      </c>
      <c r="D1505" s="5" t="s">
        <v>4142</v>
      </c>
      <c r="E1505" s="5" t="s">
        <v>27</v>
      </c>
      <c r="F1505" s="5" t="s">
        <v>4143</v>
      </c>
      <c r="G1505" s="5" t="s">
        <v>4144</v>
      </c>
      <c r="H1505" s="5" t="s">
        <v>4281</v>
      </c>
      <c r="I1505" s="5" t="s">
        <v>4417</v>
      </c>
      <c r="J1505" s="5" t="s">
        <v>4418</v>
      </c>
      <c r="K1505" s="7" t="str">
        <f ca="1">IFERROR(__xludf.DUMMYFUNCTION("GOOGLETRANSLATE(H1505,""EN"",""ES"")"),"HERRAMIENTAS E IMPLEMENTOS DE CORTE")</f>
        <v>HERRAMIENTAS E IMPLEMENTOS DE CORTE</v>
      </c>
      <c r="L1505" s="5" t="str">
        <f ca="1">IFERROR(__xludf.DUMMYFUNCTION("GOOGLETRANSLATE(J1505,""EN"",""ES"")"),"ganchos")</f>
        <v>ganchos</v>
      </c>
      <c r="M1505" s="8" t="s">
        <v>26</v>
      </c>
      <c r="N1505" s="8"/>
    </row>
    <row r="1506" spans="1:14" ht="11.25" customHeight="1">
      <c r="A1506" s="5" t="s">
        <v>4139</v>
      </c>
      <c r="B1506" s="5" t="s">
        <v>4279</v>
      </c>
      <c r="C1506" s="5" t="s">
        <v>4419</v>
      </c>
      <c r="D1506" s="5" t="s">
        <v>4142</v>
      </c>
      <c r="E1506" s="5" t="s">
        <v>27</v>
      </c>
      <c r="F1506" s="5" t="s">
        <v>4143</v>
      </c>
      <c r="G1506" s="5" t="s">
        <v>4144</v>
      </c>
      <c r="H1506" s="5" t="s">
        <v>4281</v>
      </c>
      <c r="I1506" s="5" t="s">
        <v>4420</v>
      </c>
      <c r="J1506" s="5" t="s">
        <v>4421</v>
      </c>
      <c r="K1506" s="7" t="str">
        <f ca="1">IFERROR(__xludf.DUMMYFUNCTION("GOOGLETRANSLATE(H1506,""EN"",""ES"")"),"HERRAMIENTAS E IMPLEMENTOS DE CORTE")</f>
        <v>HERRAMIENTAS E IMPLEMENTOS DE CORTE</v>
      </c>
      <c r="L1506" s="5" t="str">
        <f ca="1">IFERROR(__xludf.DUMMYFUNCTION("GOOGLETRANSLATE(J1506,""EN"",""ES"")"),"ganchos de poda")</f>
        <v>ganchos de poda</v>
      </c>
      <c r="M1506" s="8" t="s">
        <v>26</v>
      </c>
      <c r="N1506" s="8"/>
    </row>
    <row r="1507" spans="1:14" ht="11.25" customHeight="1">
      <c r="A1507" s="5" t="s">
        <v>4139</v>
      </c>
      <c r="B1507" s="5" t="s">
        <v>4279</v>
      </c>
      <c r="C1507" s="5" t="s">
        <v>4422</v>
      </c>
      <c r="D1507" s="5" t="s">
        <v>4142</v>
      </c>
      <c r="E1507" s="5" t="s">
        <v>27</v>
      </c>
      <c r="F1507" s="5" t="s">
        <v>4143</v>
      </c>
      <c r="G1507" s="5" t="s">
        <v>4144</v>
      </c>
      <c r="H1507" s="5" t="s">
        <v>4281</v>
      </c>
      <c r="I1507" s="5" t="s">
        <v>4423</v>
      </c>
      <c r="J1507" s="5" t="s">
        <v>4423</v>
      </c>
      <c r="K1507" s="7" t="str">
        <f ca="1">IFERROR(__xludf.DUMMYFUNCTION("GOOGLETRANSLATE(H1507,""EN"",""ES"")"),"HERRAMIENTAS E IMPLEMENTOS DE CORTE")</f>
        <v>HERRAMIENTAS E IMPLEMENTOS DE CORTE</v>
      </c>
      <c r="L1507" s="5" t="str">
        <f ca="1">IFERROR(__xludf.DUMMYFUNCTION("GOOGLETRANSLATE(J1507,""EN"",""ES"")"),"gubias")</f>
        <v>gubias</v>
      </c>
      <c r="M1507" s="8" t="s">
        <v>26</v>
      </c>
      <c r="N1507" s="8"/>
    </row>
    <row r="1508" spans="1:14" ht="11.25" customHeight="1">
      <c r="A1508" s="5" t="s">
        <v>4139</v>
      </c>
      <c r="B1508" s="5" t="s">
        <v>4279</v>
      </c>
      <c r="C1508" s="5" t="s">
        <v>4422</v>
      </c>
      <c r="D1508" s="5" t="s">
        <v>4142</v>
      </c>
      <c r="E1508" s="5" t="s">
        <v>27</v>
      </c>
      <c r="F1508" s="5" t="s">
        <v>4143</v>
      </c>
      <c r="G1508" s="5" t="s">
        <v>4144</v>
      </c>
      <c r="H1508" s="5" t="s">
        <v>4281</v>
      </c>
      <c r="I1508" s="5" t="s">
        <v>152</v>
      </c>
      <c r="J1508" s="5" t="s">
        <v>4424</v>
      </c>
      <c r="K1508" s="7" t="str">
        <f ca="1">IFERROR(__xludf.DUMMYFUNCTION("GOOGLETRANSLATE(H1508,""EN"",""ES"")"),"HERRAMIENTAS E IMPLEMENTOS DE CORTE")</f>
        <v>HERRAMIENTAS E IMPLEMENTOS DE CORTE</v>
      </c>
      <c r="L1508" s="5" t="str">
        <f ca="1">IFERROR(__xludf.DUMMYFUNCTION("GOOGLETRANSLATE(J1508,""EN"",""ES"")"),"N / A")</f>
        <v>N / A</v>
      </c>
      <c r="M1508" s="8" t="s">
        <v>26</v>
      </c>
      <c r="N1508" s="8"/>
    </row>
    <row r="1509" spans="1:14" ht="11.25" customHeight="1">
      <c r="A1509" s="5" t="s">
        <v>4139</v>
      </c>
      <c r="B1509" s="5" t="s">
        <v>4279</v>
      </c>
      <c r="C1509" s="5" t="s">
        <v>4425</v>
      </c>
      <c r="D1509" s="5" t="s">
        <v>4142</v>
      </c>
      <c r="E1509" s="5" t="s">
        <v>27</v>
      </c>
      <c r="F1509" s="5" t="s">
        <v>4143</v>
      </c>
      <c r="G1509" s="5" t="s">
        <v>4144</v>
      </c>
      <c r="H1509" s="5" t="s">
        <v>4281</v>
      </c>
      <c r="I1509" s="5" t="s">
        <v>4426</v>
      </c>
      <c r="J1509" s="5" t="s">
        <v>4427</v>
      </c>
      <c r="K1509" s="7" t="str">
        <f ca="1">IFERROR(__xludf.DUMMYFUNCTION("GOOGLETRANSLATE(H1509,""EN"",""ES"")"),"HERRAMIENTAS E IMPLEMENTOS DE CORTE")</f>
        <v>HERRAMIENTAS E IMPLEMENTOS DE CORTE</v>
      </c>
      <c r="L1509" s="5" t="str">
        <f ca="1">IFERROR(__xludf.DUMMYFUNCTION("GOOGLETRANSLATE(J1509,""EN"",""ES"")"),"cuchillos de injerto")</f>
        <v>cuchillos de injerto</v>
      </c>
      <c r="M1509" s="8" t="s">
        <v>26</v>
      </c>
      <c r="N1509" s="8"/>
    </row>
    <row r="1510" spans="1:14" ht="11.25" customHeight="1">
      <c r="A1510" s="5" t="s">
        <v>4139</v>
      </c>
      <c r="B1510" s="5" t="s">
        <v>4279</v>
      </c>
      <c r="C1510" s="5" t="s">
        <v>4428</v>
      </c>
      <c r="D1510" s="5" t="s">
        <v>4142</v>
      </c>
      <c r="E1510" s="5" t="s">
        <v>27</v>
      </c>
      <c r="F1510" s="5" t="s">
        <v>4143</v>
      </c>
      <c r="G1510" s="5" t="s">
        <v>4144</v>
      </c>
      <c r="H1510" s="5" t="s">
        <v>4281</v>
      </c>
      <c r="I1510" s="5" t="s">
        <v>4429</v>
      </c>
      <c r="J1510" s="5" t="s">
        <v>4430</v>
      </c>
      <c r="K1510" s="7" t="str">
        <f ca="1">IFERROR(__xludf.DUMMYFUNCTION("GOOGLETRANSLATE(H1510,""EN"",""ES"")"),"HERRAMIENTAS E IMPLEMENTOS DE CORTE")</f>
        <v>HERRAMIENTAS E IMPLEMENTOS DE CORTE</v>
      </c>
      <c r="L1510" s="5" t="str">
        <f ca="1">IFERROR(__xludf.DUMMYFUNCTION("GOOGLETRANSLATE(J1510,""EN"",""ES"")"),"Soportes para cuchillos eléctricos.")</f>
        <v>Soportes para cuchillos eléctricos.</v>
      </c>
      <c r="M1510" s="8" t="s">
        <v>26</v>
      </c>
      <c r="N1510" s="8"/>
    </row>
    <row r="1511" spans="1:14" ht="11.25" customHeight="1">
      <c r="A1511" s="5" t="s">
        <v>4139</v>
      </c>
      <c r="B1511" s="5" t="s">
        <v>4279</v>
      </c>
      <c r="C1511" s="5" t="s">
        <v>4431</v>
      </c>
      <c r="D1511" s="5" t="s">
        <v>4142</v>
      </c>
      <c r="E1511" s="5" t="s">
        <v>27</v>
      </c>
      <c r="F1511" s="5" t="s">
        <v>4143</v>
      </c>
      <c r="G1511" s="5" t="s">
        <v>4144</v>
      </c>
      <c r="H1511" s="5" t="s">
        <v>4281</v>
      </c>
      <c r="I1511" s="5" t="s">
        <v>4432</v>
      </c>
      <c r="J1511" s="5" t="s">
        <v>4433</v>
      </c>
      <c r="K1511" s="7" t="str">
        <f ca="1">IFERROR(__xludf.DUMMYFUNCTION("GOOGLETRANSLATE(H1511,""EN"",""ES"")"),"HERRAMIENTAS E IMPLEMENTOS DE CORTE")</f>
        <v>HERRAMIENTAS E IMPLEMENTOS DE CORTE</v>
      </c>
      <c r="L1511" s="5" t="str">
        <f ca="1">IFERROR(__xludf.DUMMYFUNCTION("GOOGLETRANSLATE(J1511,""EN"",""ES"")"),"Cuñas para partir madera")</f>
        <v>Cuñas para partir madera</v>
      </c>
      <c r="M1511" s="8" t="s">
        <v>26</v>
      </c>
      <c r="N1511" s="8"/>
    </row>
    <row r="1512" spans="1:14" ht="11.25" customHeight="1">
      <c r="A1512" s="5" t="s">
        <v>4139</v>
      </c>
      <c r="B1512" s="5" t="s">
        <v>4279</v>
      </c>
      <c r="C1512" s="5" t="s">
        <v>4434</v>
      </c>
      <c r="D1512" s="5" t="s">
        <v>4142</v>
      </c>
      <c r="E1512" s="5" t="s">
        <v>27</v>
      </c>
      <c r="F1512" s="5" t="s">
        <v>4143</v>
      </c>
      <c r="G1512" s="5" t="s">
        <v>4144</v>
      </c>
      <c r="H1512" s="5" t="s">
        <v>4281</v>
      </c>
      <c r="I1512" s="5" t="s">
        <v>4435</v>
      </c>
      <c r="J1512" s="5" t="s">
        <v>4436</v>
      </c>
      <c r="K1512" s="7" t="str">
        <f ca="1">IFERROR(__xludf.DUMMYFUNCTION("GOOGLETRANSLATE(H1512,""EN"",""ES"")"),"HERRAMIENTAS E IMPLEMENTOS DE CORTE")</f>
        <v>HERRAMIENTAS E IMPLEMENTOS DE CORTE</v>
      </c>
      <c r="L1512" s="5" t="str">
        <f ca="1">IFERROR(__xludf.DUMMYFUNCTION("GOOGLETRANSLATE(J1512,""EN"",""ES"")"),"Cinceles de carrocero")</f>
        <v>Cinceles de carrocero</v>
      </c>
      <c r="M1512" s="8" t="s">
        <v>26</v>
      </c>
      <c r="N1512" s="8"/>
    </row>
    <row r="1513" spans="1:14" ht="11.25" customHeight="1">
      <c r="A1513" s="5" t="s">
        <v>4139</v>
      </c>
      <c r="B1513" s="5" t="s">
        <v>4279</v>
      </c>
      <c r="C1513" s="5" t="s">
        <v>4437</v>
      </c>
      <c r="D1513" s="5" t="s">
        <v>4142</v>
      </c>
      <c r="E1513" s="5" t="s">
        <v>27</v>
      </c>
      <c r="F1513" s="5" t="s">
        <v>4143</v>
      </c>
      <c r="G1513" s="5" t="s">
        <v>4144</v>
      </c>
      <c r="H1513" s="5" t="s">
        <v>4281</v>
      </c>
      <c r="I1513" s="5" t="s">
        <v>4438</v>
      </c>
      <c r="J1513" s="5" t="s">
        <v>4439</v>
      </c>
      <c r="K1513" s="7" t="str">
        <f ca="1">IFERROR(__xludf.DUMMYFUNCTION("GOOGLETRANSLATE(H1513,""EN"",""ES"")"),"HERRAMIENTAS E IMPLEMENTOS DE CORTE")</f>
        <v>HERRAMIENTAS E IMPLEMENTOS DE CORTE</v>
      </c>
      <c r="L1513" s="5" t="str">
        <f ca="1">IFERROR(__xludf.DUMMYFUNCTION("GOOGLETRANSLATE(J1513,""EN"",""ES"")"),"Cortadores de heno [cuchillos de mano]")</f>
        <v>Cortadores de heno [cuchillos de mano]</v>
      </c>
      <c r="M1513" s="8" t="s">
        <v>26</v>
      </c>
      <c r="N1513" s="8"/>
    </row>
    <row r="1514" spans="1:14" ht="11.25" customHeight="1">
      <c r="A1514" s="5" t="s">
        <v>4139</v>
      </c>
      <c r="B1514" s="5" t="s">
        <v>4279</v>
      </c>
      <c r="C1514" s="5" t="s">
        <v>4440</v>
      </c>
      <c r="D1514" s="5" t="s">
        <v>4142</v>
      </c>
      <c r="E1514" s="5" t="s">
        <v>27</v>
      </c>
      <c r="F1514" s="5" t="s">
        <v>4143</v>
      </c>
      <c r="G1514" s="5" t="s">
        <v>4144</v>
      </c>
      <c r="H1514" s="5" t="s">
        <v>4281</v>
      </c>
      <c r="I1514" s="5" t="s">
        <v>4441</v>
      </c>
      <c r="J1514" s="5" t="s">
        <v>4442</v>
      </c>
      <c r="K1514" s="7" t="str">
        <f ca="1">IFERROR(__xludf.DUMMYFUNCTION("GOOGLETRANSLATE(H1514,""EN"",""ES"")"),"HERRAMIENTAS E IMPLEMENTOS DE CORTE")</f>
        <v>HERRAMIENTAS E IMPLEMENTOS DE CORTE</v>
      </c>
      <c r="L1514" s="5" t="str">
        <f ca="1">IFERROR(__xludf.DUMMYFUNCTION("GOOGLETRANSLATE(J1514,""EN"",""ES"")"),"cuchillos para picar")</f>
        <v>cuchillos para picar</v>
      </c>
      <c r="M1514" s="8" t="s">
        <v>26</v>
      </c>
      <c r="N1514" s="8"/>
    </row>
    <row r="1515" spans="1:14" ht="11.25" customHeight="1">
      <c r="A1515" s="5" t="s">
        <v>4139</v>
      </c>
      <c r="B1515" s="5" t="s">
        <v>4279</v>
      </c>
      <c r="C1515" s="5" t="s">
        <v>4443</v>
      </c>
      <c r="D1515" s="5" t="s">
        <v>4142</v>
      </c>
      <c r="E1515" s="5" t="s">
        <v>27</v>
      </c>
      <c r="F1515" s="5" t="s">
        <v>4143</v>
      </c>
      <c r="G1515" s="5" t="s">
        <v>4144</v>
      </c>
      <c r="H1515" s="5" t="s">
        <v>4281</v>
      </c>
      <c r="I1515" s="5" t="s">
        <v>4444</v>
      </c>
      <c r="J1515" s="5" t="s">
        <v>4445</v>
      </c>
      <c r="K1515" s="7" t="str">
        <f ca="1">IFERROR(__xludf.DUMMYFUNCTION("GOOGLETRANSLATE(H1515,""EN"",""ES"")"),"HERRAMIENTAS E IMPLEMENTOS DE CORTE")</f>
        <v>HERRAMIENTAS E IMPLEMENTOS DE CORTE</v>
      </c>
      <c r="L1515" s="5" t="str">
        <f ca="1">IFERROR(__xludf.DUMMYFUNCTION("GOOGLETRANSLATE(J1515,""EN"",""ES"")"),"pinzas de corte")</f>
        <v>pinzas de corte</v>
      </c>
      <c r="M1515" s="8" t="s">
        <v>26</v>
      </c>
      <c r="N1515" s="8"/>
    </row>
    <row r="1516" spans="1:14" ht="11.25" customHeight="1">
      <c r="A1516" s="5" t="s">
        <v>4139</v>
      </c>
      <c r="B1516" s="5" t="s">
        <v>4279</v>
      </c>
      <c r="C1516" s="5" t="s">
        <v>4446</v>
      </c>
      <c r="D1516" s="5" t="s">
        <v>4142</v>
      </c>
      <c r="E1516" s="5" t="s">
        <v>27</v>
      </c>
      <c r="F1516" s="5" t="s">
        <v>4143</v>
      </c>
      <c r="G1516" s="5" t="s">
        <v>4144</v>
      </c>
      <c r="H1516" s="5" t="s">
        <v>4281</v>
      </c>
      <c r="I1516" s="5" t="s">
        <v>4447</v>
      </c>
      <c r="J1516" s="5" t="s">
        <v>4448</v>
      </c>
      <c r="K1516" s="7" t="str">
        <f ca="1">IFERROR(__xludf.DUMMYFUNCTION("GOOGLETRANSLATE(H1516,""EN"",""ES"")"),"HERRAMIENTAS E IMPLEMENTOS DE CORTE")</f>
        <v>HERRAMIENTAS E IMPLEMENTOS DE CORTE</v>
      </c>
      <c r="L1516" s="5" t="str">
        <f ca="1">IFERROR(__xludf.DUMMYFUNCTION("GOOGLETRANSLATE(J1516,""EN"",""ES"")"),"Cortadoras de césped [herramientas]")</f>
        <v>Cortadoras de césped [herramientas]</v>
      </c>
      <c r="M1516" s="8" t="s">
        <v>26</v>
      </c>
      <c r="N1516" s="8"/>
    </row>
    <row r="1517" spans="1:14" ht="11.25" customHeight="1">
      <c r="A1517" s="5" t="s">
        <v>4139</v>
      </c>
      <c r="B1517" s="5" t="s">
        <v>4279</v>
      </c>
      <c r="C1517" s="5" t="s">
        <v>4449</v>
      </c>
      <c r="D1517" s="5" t="s">
        <v>4142</v>
      </c>
      <c r="E1517" s="5" t="s">
        <v>27</v>
      </c>
      <c r="F1517" s="5" t="s">
        <v>4143</v>
      </c>
      <c r="G1517" s="5" t="s">
        <v>4144</v>
      </c>
      <c r="H1517" s="5" t="s">
        <v>4281</v>
      </c>
      <c r="I1517" s="5" t="s">
        <v>4450</v>
      </c>
      <c r="J1517" s="5" t="s">
        <v>4451</v>
      </c>
      <c r="K1517" s="7" t="str">
        <f ca="1">IFERROR(__xludf.DUMMYFUNCTION("GOOGLETRANSLATE(H1517,""EN"",""ES"")"),"HERRAMIENTAS E IMPLEMENTOS DE CORTE")</f>
        <v>HERRAMIENTAS E IMPLEMENTOS DE CORTE</v>
      </c>
      <c r="L1517" s="5" t="str">
        <f ca="1">IFERROR(__xludf.DUMMYFUNCTION("GOOGLETRANSLATE(J1517,""EN"",""ES"")"),"Herramientas para cortar vidrio")</f>
        <v>Herramientas para cortar vidrio</v>
      </c>
      <c r="M1517" s="8" t="s">
        <v>26</v>
      </c>
      <c r="N1517" s="8"/>
    </row>
    <row r="1518" spans="1:14" ht="11.25" customHeight="1">
      <c r="A1518" s="5" t="s">
        <v>4139</v>
      </c>
      <c r="B1518" s="5" t="s">
        <v>4279</v>
      </c>
      <c r="C1518" s="5" t="s">
        <v>4452</v>
      </c>
      <c r="D1518" s="5" t="s">
        <v>4142</v>
      </c>
      <c r="E1518" s="5" t="s">
        <v>27</v>
      </c>
      <c r="F1518" s="5" t="s">
        <v>4143</v>
      </c>
      <c r="G1518" s="5" t="s">
        <v>4144</v>
      </c>
      <c r="H1518" s="5" t="s">
        <v>4281</v>
      </c>
      <c r="I1518" s="5" t="s">
        <v>4453</v>
      </c>
      <c r="J1518" s="5" t="s">
        <v>4454</v>
      </c>
      <c r="K1518" s="7" t="str">
        <f ca="1">IFERROR(__xludf.DUMMYFUNCTION("GOOGLETRANSLATE(H1518,""EN"",""ES"")"),"HERRAMIENTAS E IMPLEMENTOS DE CORTE")</f>
        <v>HERRAMIENTAS E IMPLEMENTOS DE CORTE</v>
      </c>
      <c r="L1518" s="5" t="str">
        <f ca="1">IFERROR(__xludf.DUMMYFUNCTION("GOOGLETRANSLATE(J1518,""EN"",""ES"")"),"cuchillos de vaina")</f>
        <v>cuchillos de vaina</v>
      </c>
      <c r="M1518" s="8" t="s">
        <v>26</v>
      </c>
      <c r="N1518" s="8"/>
    </row>
    <row r="1519" spans="1:14" ht="11.25" customHeight="1">
      <c r="A1519" s="5" t="s">
        <v>4139</v>
      </c>
      <c r="B1519" s="5" t="s">
        <v>4279</v>
      </c>
      <c r="C1519" s="5" t="s">
        <v>4455</v>
      </c>
      <c r="D1519" s="5" t="s">
        <v>4142</v>
      </c>
      <c r="E1519" s="5" t="s">
        <v>27</v>
      </c>
      <c r="F1519" s="5" t="s">
        <v>4143</v>
      </c>
      <c r="G1519" s="5" t="s">
        <v>4144</v>
      </c>
      <c r="H1519" s="5" t="s">
        <v>4281</v>
      </c>
      <c r="I1519" s="5" t="s">
        <v>4456</v>
      </c>
      <c r="J1519" s="5" t="s">
        <v>4457</v>
      </c>
      <c r="K1519" s="7" t="str">
        <f ca="1">IFERROR(__xludf.DUMMYFUNCTION("GOOGLETRANSLATE(H1519,""EN"",""ES"")"),"HERRAMIENTAS E IMPLEMENTOS DE CORTE")</f>
        <v>HERRAMIENTAS E IMPLEMENTOS DE CORTE</v>
      </c>
      <c r="L1519" s="5" t="str">
        <f ca="1">IFERROR(__xludf.DUMMYFUNCTION("GOOGLETRANSLATE(J1519,""EN"",""ES"")"),"Cuchillos para verduras [herramientas de jardinería]")</f>
        <v>Cuchillos para verduras [herramientas de jardinería]</v>
      </c>
      <c r="M1519" s="8" t="s">
        <v>26</v>
      </c>
      <c r="N1519" s="8"/>
    </row>
    <row r="1520" spans="1:14" ht="11.25" customHeight="1">
      <c r="A1520" s="5" t="s">
        <v>4139</v>
      </c>
      <c r="B1520" s="5" t="s">
        <v>4279</v>
      </c>
      <c r="C1520" s="5" t="s">
        <v>4458</v>
      </c>
      <c r="D1520" s="5" t="s">
        <v>4142</v>
      </c>
      <c r="E1520" s="5" t="s">
        <v>27</v>
      </c>
      <c r="F1520" s="5" t="s">
        <v>4143</v>
      </c>
      <c r="G1520" s="5" t="s">
        <v>4144</v>
      </c>
      <c r="H1520" s="5" t="s">
        <v>4281</v>
      </c>
      <c r="I1520" s="5" t="s">
        <v>4459</v>
      </c>
      <c r="J1520" s="5" t="s">
        <v>4460</v>
      </c>
      <c r="K1520" s="7" t="str">
        <f ca="1">IFERROR(__xludf.DUMMYFUNCTION("GOOGLETRANSLATE(H1520,""EN"",""ES"")"),"HERRAMIENTAS E IMPLEMENTOS DE CORTE")</f>
        <v>HERRAMIENTAS E IMPLEMENTOS DE CORTE</v>
      </c>
      <c r="L1520" s="5" t="str">
        <f ca="1">IFERROR(__xludf.DUMMYFUNCTION("GOOGLETRANSLATE(J1520,""EN"",""ES"")"),"Sierras de calar")</f>
        <v>Sierras de calar</v>
      </c>
      <c r="M1520" s="8" t="s">
        <v>26</v>
      </c>
      <c r="N1520" s="8"/>
    </row>
    <row r="1521" spans="1:14" ht="11.25" customHeight="1">
      <c r="A1521" s="5" t="s">
        <v>4139</v>
      </c>
      <c r="B1521" s="5" t="s">
        <v>4279</v>
      </c>
      <c r="C1521" s="5" t="s">
        <v>4461</v>
      </c>
      <c r="D1521" s="5" t="s">
        <v>4142</v>
      </c>
      <c r="E1521" s="5" t="s">
        <v>27</v>
      </c>
      <c r="F1521" s="5" t="s">
        <v>4143</v>
      </c>
      <c r="G1521" s="5" t="s">
        <v>4144</v>
      </c>
      <c r="H1521" s="5" t="s">
        <v>4281</v>
      </c>
      <c r="I1521" s="5" t="s">
        <v>4462</v>
      </c>
      <c r="J1521" s="5" t="s">
        <v>4463</v>
      </c>
      <c r="K1521" s="7" t="str">
        <f ca="1">IFERROR(__xludf.DUMMYFUNCTION("GOOGLETRANSLATE(H1521,""EN"",""ES"")"),"HERRAMIENTAS E IMPLEMENTOS DE CORTE")</f>
        <v>HERRAMIENTAS E IMPLEMENTOS DE CORTE</v>
      </c>
      <c r="L1521" s="5" t="str">
        <f ca="1">IFERROR(__xludf.DUMMYFUNCTION("GOOGLETRANSLATE(J1521,""EN"",""ES"")"),"Cadenas de motosierra")</f>
        <v>Cadenas de motosierra</v>
      </c>
      <c r="M1521" s="8" t="s">
        <v>26</v>
      </c>
      <c r="N1521" s="8"/>
    </row>
    <row r="1522" spans="1:14" ht="11.25" customHeight="1">
      <c r="A1522" s="5" t="s">
        <v>4139</v>
      </c>
      <c r="B1522" s="5" t="s">
        <v>4279</v>
      </c>
      <c r="C1522" s="5" t="s">
        <v>4464</v>
      </c>
      <c r="D1522" s="5" t="s">
        <v>4142</v>
      </c>
      <c r="E1522" s="5" t="s">
        <v>27</v>
      </c>
      <c r="F1522" s="5" t="s">
        <v>4143</v>
      </c>
      <c r="G1522" s="5" t="s">
        <v>4144</v>
      </c>
      <c r="H1522" s="5" t="s">
        <v>4281</v>
      </c>
      <c r="I1522" s="5" t="s">
        <v>4465</v>
      </c>
      <c r="J1522" s="5" t="s">
        <v>4466</v>
      </c>
      <c r="K1522" s="7" t="str">
        <f ca="1">IFERROR(__xludf.DUMMYFUNCTION("GOOGLETRANSLATE(H1522,""EN"",""ES"")"),"HERRAMIENTAS E IMPLEMENTOS DE CORTE")</f>
        <v>HERRAMIENTAS E IMPLEMENTOS DE CORTE</v>
      </c>
      <c r="L1522" s="5" t="str">
        <f ca="1">IFERROR(__xludf.DUMMYFUNCTION("GOOGLETRANSLATE(J1522,""EN"",""ES"")"),"sierras circulares")</f>
        <v>sierras circulares</v>
      </c>
      <c r="M1522" s="8" t="s">
        <v>26</v>
      </c>
      <c r="N1522" s="8"/>
    </row>
    <row r="1523" spans="1:14" ht="11.25" customHeight="1">
      <c r="A1523" s="5" t="s">
        <v>4139</v>
      </c>
      <c r="B1523" s="5" t="s">
        <v>4279</v>
      </c>
      <c r="C1523" s="5" t="s">
        <v>4467</v>
      </c>
      <c r="D1523" s="5" t="s">
        <v>4142</v>
      </c>
      <c r="E1523" s="5" t="s">
        <v>27</v>
      </c>
      <c r="F1523" s="5" t="s">
        <v>4143</v>
      </c>
      <c r="G1523" s="5" t="s">
        <v>4144</v>
      </c>
      <c r="H1523" s="5" t="s">
        <v>4281</v>
      </c>
      <c r="I1523" s="5" t="s">
        <v>4468</v>
      </c>
      <c r="J1523" s="5" t="s">
        <v>4469</v>
      </c>
      <c r="K1523" s="7" t="str">
        <f ca="1">IFERROR(__xludf.DUMMYFUNCTION("GOOGLETRANSLATE(H1523,""EN"",""ES"")"),"HERRAMIENTAS E IMPLEMENTOS DE CORTE")</f>
        <v>HERRAMIENTAS E IMPLEMENTOS DE CORTE</v>
      </c>
      <c r="L1523" s="5" t="str">
        <f ca="1">IFERROR(__xludf.DUMMYFUNCTION("GOOGLETRANSLATE(J1523,""EN"",""ES"")"),"Mangos para cuchillos de cocina.")</f>
        <v>Mangos para cuchillos de cocina.</v>
      </c>
      <c r="M1523" s="8" t="s">
        <v>26</v>
      </c>
      <c r="N1523" s="8"/>
    </row>
    <row r="1524" spans="1:14" ht="11.25" customHeight="1">
      <c r="A1524" s="5" t="s">
        <v>4139</v>
      </c>
      <c r="B1524" s="5" t="s">
        <v>4279</v>
      </c>
      <c r="C1524" s="5" t="s">
        <v>4470</v>
      </c>
      <c r="D1524" s="5" t="s">
        <v>4142</v>
      </c>
      <c r="E1524" s="5" t="s">
        <v>27</v>
      </c>
      <c r="F1524" s="5" t="s">
        <v>4143</v>
      </c>
      <c r="G1524" s="5" t="s">
        <v>4144</v>
      </c>
      <c r="H1524" s="5" t="s">
        <v>4281</v>
      </c>
      <c r="I1524" s="5" t="s">
        <v>4471</v>
      </c>
      <c r="J1524" s="5" t="s">
        <v>4472</v>
      </c>
      <c r="K1524" s="7" t="str">
        <f ca="1">IFERROR(__xludf.DUMMYFUNCTION("GOOGLETRANSLATE(H1524,""EN"",""ES"")"),"HERRAMIENTAS E IMPLEMENTOS DE CORTE")</f>
        <v>HERRAMIENTAS E IMPLEMENTOS DE CORTE</v>
      </c>
      <c r="L1524" s="5" t="str">
        <f ca="1">IFERROR(__xludf.DUMMYFUNCTION("GOOGLETRANSLATE(J1524,""EN"",""ES"")"),"Cuchillos multiherramienta")</f>
        <v>Cuchillos multiherramienta</v>
      </c>
      <c r="M1524" s="8" t="s">
        <v>26</v>
      </c>
      <c r="N1524" s="8"/>
    </row>
    <row r="1525" spans="1:14" ht="11.25" customHeight="1">
      <c r="A1525" s="5" t="s">
        <v>4139</v>
      </c>
      <c r="B1525" s="5" t="s">
        <v>4473</v>
      </c>
      <c r="C1525" s="5" t="s">
        <v>4474</v>
      </c>
      <c r="D1525" s="5" t="s">
        <v>4142</v>
      </c>
      <c r="E1525" s="5" t="s">
        <v>27</v>
      </c>
      <c r="F1525" s="5" t="s">
        <v>4143</v>
      </c>
      <c r="G1525" s="5" t="s">
        <v>4144</v>
      </c>
      <c r="H1525" s="5" t="s">
        <v>4475</v>
      </c>
      <c r="I1525" s="5" t="s">
        <v>4476</v>
      </c>
      <c r="J1525" s="5" t="s">
        <v>4477</v>
      </c>
      <c r="K1525" s="7" t="str">
        <f ca="1">IFERROR(__xludf.DUMMYFUNCTION("GOOGLETRANSLATE(H1525,""EN"",""ES"")"),"DESTORNILLADORES Y OTRAS HERRAMIENTAS E IMPLEMENTOS SIMILARES")</f>
        <v>DESTORNILLADORES Y OTRAS HERRAMIENTAS E IMPLEMENTOS SIMILARES</v>
      </c>
      <c r="L1525" s="5" t="str">
        <f ca="1">IFERROR(__xludf.DUMMYFUNCTION("GOOGLETRANSLATE(J1525,""EN"",""ES"")"),"Destornilladores")</f>
        <v>Destornilladores</v>
      </c>
      <c r="M1525" s="8" t="s">
        <v>26</v>
      </c>
      <c r="N1525" s="8"/>
    </row>
    <row r="1526" spans="1:14" ht="11.25" customHeight="1">
      <c r="A1526" s="5" t="s">
        <v>4139</v>
      </c>
      <c r="B1526" s="5" t="s">
        <v>4478</v>
      </c>
      <c r="C1526" s="5" t="s">
        <v>4479</v>
      </c>
      <c r="D1526" s="5" t="s">
        <v>4142</v>
      </c>
      <c r="E1526" s="5" t="s">
        <v>27</v>
      </c>
      <c r="F1526" s="5" t="s">
        <v>4143</v>
      </c>
      <c r="G1526" s="5" t="s">
        <v>4144</v>
      </c>
      <c r="H1526" s="5" t="s">
        <v>4480</v>
      </c>
      <c r="I1526" s="5" t="s">
        <v>4481</v>
      </c>
      <c r="J1526" s="5" t="s">
        <v>4482</v>
      </c>
      <c r="K1526" s="7" t="str">
        <f ca="1">IFERROR(__xludf.DUMMYFUNCTION("GOOGLETRANSLATE(H1526,""EN"",""ES"")"),"OTRAS HERRAMIENTAS E IMPLEMENTOS")</f>
        <v>OTRAS HERRAMIENTAS E IMPLEMENTOS</v>
      </c>
      <c r="L1526" s="5" t="str">
        <f ca="1">IFERROR(__xludf.DUMMYFUNCTION("GOOGLETRANSLATE(J1526,""EN"",""ES"")"),"planchas para calafatear")</f>
        <v>planchas para calafatear</v>
      </c>
      <c r="M1526" s="8" t="s">
        <v>26</v>
      </c>
      <c r="N1526" s="8"/>
    </row>
    <row r="1527" spans="1:14" ht="11.25" customHeight="1">
      <c r="A1527" s="5" t="s">
        <v>4139</v>
      </c>
      <c r="B1527" s="5" t="s">
        <v>4478</v>
      </c>
      <c r="C1527" s="5" t="s">
        <v>4483</v>
      </c>
      <c r="D1527" s="5" t="s">
        <v>4142</v>
      </c>
      <c r="E1527" s="5" t="s">
        <v>27</v>
      </c>
      <c r="F1527" s="5" t="s">
        <v>4143</v>
      </c>
      <c r="G1527" s="5" t="s">
        <v>4144</v>
      </c>
      <c r="H1527" s="5" t="s">
        <v>4480</v>
      </c>
      <c r="I1527" s="5" t="s">
        <v>4484</v>
      </c>
      <c r="J1527" s="5" t="s">
        <v>4485</v>
      </c>
      <c r="K1527" s="7" t="str">
        <f ca="1">IFERROR(__xludf.DUMMYFUNCTION("GOOGLETRANSLATE(H1527,""EN"",""ES"")"),"OTRAS HERRAMIENTAS E IMPLEMENTOS")</f>
        <v>OTRAS HERRAMIENTAS E IMPLEMENTOS</v>
      </c>
      <c r="L1527" s="5" t="str">
        <f ca="1">IFERROR(__xludf.DUMMYFUNCTION("GOOGLETRANSLATE(J1527,""EN"",""ES"")"),"Aparatos de carnicería para el sacrificio de animales.")</f>
        <v>Aparatos de carnicería para el sacrificio de animales.</v>
      </c>
      <c r="M1527" s="8" t="s">
        <v>26</v>
      </c>
      <c r="N1527" s="8"/>
    </row>
    <row r="1528" spans="1:14" ht="11.25" customHeight="1">
      <c r="A1528" s="5" t="s">
        <v>4139</v>
      </c>
      <c r="B1528" s="5" t="s">
        <v>4478</v>
      </c>
      <c r="C1528" s="5" t="s">
        <v>4486</v>
      </c>
      <c r="D1528" s="5" t="s">
        <v>4142</v>
      </c>
      <c r="E1528" s="5" t="s">
        <v>27</v>
      </c>
      <c r="F1528" s="5" t="s">
        <v>4143</v>
      </c>
      <c r="G1528" s="5" t="s">
        <v>4144</v>
      </c>
      <c r="H1528" s="5" t="s">
        <v>4480</v>
      </c>
      <c r="I1528" s="5" t="s">
        <v>4487</v>
      </c>
      <c r="J1528" s="5" t="s">
        <v>4488</v>
      </c>
      <c r="K1528" s="7" t="str">
        <f ca="1">IFERROR(__xludf.DUMMYFUNCTION("GOOGLETRANSLATE(H1528,""EN"",""ES"")"),"OTRAS HERRAMIENTAS E IMPLEMENTOS")</f>
        <v>OTRAS HERRAMIENTAS E IMPLEMENTOS</v>
      </c>
      <c r="L1528" s="5" t="str">
        <f ca="1">IFERROR(__xludf.DUMMYFUNCTION("GOOGLETRANSLATE(J1528,""EN"",""ES"")"),"Afiladores de cuchillos")</f>
        <v>Afiladores de cuchillos</v>
      </c>
      <c r="M1528" s="8" t="s">
        <v>26</v>
      </c>
      <c r="N1528" s="8"/>
    </row>
    <row r="1529" spans="1:14" ht="11.25" customHeight="1">
      <c r="A1529" s="5" t="s">
        <v>4139</v>
      </c>
      <c r="B1529" s="5" t="s">
        <v>4478</v>
      </c>
      <c r="C1529" s="5" t="s">
        <v>4486</v>
      </c>
      <c r="D1529" s="5" t="s">
        <v>4142</v>
      </c>
      <c r="E1529" s="5" t="s">
        <v>27</v>
      </c>
      <c r="F1529" s="5" t="s">
        <v>4143</v>
      </c>
      <c r="G1529" s="5" t="s">
        <v>4144</v>
      </c>
      <c r="H1529" s="5" t="s">
        <v>4480</v>
      </c>
      <c r="I1529" s="5" t="s">
        <v>152</v>
      </c>
      <c r="J1529" s="5" t="s">
        <v>4489</v>
      </c>
      <c r="K1529" s="7" t="str">
        <f ca="1">IFERROR(__xludf.DUMMYFUNCTION("GOOGLETRANSLATE(H1529,""EN"",""ES"")"),"OTRAS HERRAMIENTAS E IMPLEMENTOS")</f>
        <v>OTRAS HERRAMIENTAS E IMPLEMENTOS</v>
      </c>
      <c r="L1529" s="5" t="str">
        <f ca="1">IFERROR(__xludf.DUMMYFUNCTION("GOOGLETRANSLATE(J1529,""EN"",""ES"")"),"N / A")</f>
        <v>N / A</v>
      </c>
      <c r="M1529" s="8" t="s">
        <v>26</v>
      </c>
      <c r="N1529" s="8"/>
    </row>
    <row r="1530" spans="1:14" ht="11.25" customHeight="1">
      <c r="A1530" s="5" t="s">
        <v>4139</v>
      </c>
      <c r="B1530" s="5" t="s">
        <v>4478</v>
      </c>
      <c r="C1530" s="5" t="s">
        <v>4490</v>
      </c>
      <c r="D1530" s="5" t="s">
        <v>4142</v>
      </c>
      <c r="E1530" s="5" t="s">
        <v>27</v>
      </c>
      <c r="F1530" s="5" t="s">
        <v>4143</v>
      </c>
      <c r="G1530" s="5" t="s">
        <v>4144</v>
      </c>
      <c r="H1530" s="5" t="s">
        <v>4480</v>
      </c>
      <c r="I1530" s="5" t="s">
        <v>4491</v>
      </c>
      <c r="J1530" s="5" t="s">
        <v>4492</v>
      </c>
      <c r="K1530" s="7" t="str">
        <f ca="1">IFERROR(__xludf.DUMMYFUNCTION("GOOGLETRANSLATE(H1530,""EN"",""ES"")"),"OTRAS HERRAMIENTAS E IMPLEMENTOS")</f>
        <v>OTRAS HERRAMIENTAS E IMPLEMENTOS</v>
      </c>
      <c r="L1530" s="5" t="str">
        <f ca="1">IFERROR(__xludf.DUMMYFUNCTION("GOOGLETRANSLATE(J1530,""EN"",""ES"")"),"Pistolas grapadoras")</f>
        <v>Pistolas grapadoras</v>
      </c>
      <c r="M1530" s="8" t="s">
        <v>26</v>
      </c>
      <c r="N1530" s="8"/>
    </row>
    <row r="1531" spans="1:14" ht="11.25" customHeight="1">
      <c r="A1531" s="5" t="s">
        <v>4139</v>
      </c>
      <c r="B1531" s="5" t="s">
        <v>4478</v>
      </c>
      <c r="C1531" s="5" t="s">
        <v>4493</v>
      </c>
      <c r="D1531" s="5" t="s">
        <v>4142</v>
      </c>
      <c r="E1531" s="5" t="s">
        <v>27</v>
      </c>
      <c r="F1531" s="5" t="s">
        <v>4143</v>
      </c>
      <c r="G1531" s="5" t="s">
        <v>4144</v>
      </c>
      <c r="H1531" s="5" t="s">
        <v>4480</v>
      </c>
      <c r="I1531" s="5" t="s">
        <v>4494</v>
      </c>
      <c r="J1531" s="5" t="s">
        <v>4495</v>
      </c>
      <c r="K1531" s="7" t="str">
        <f ca="1">IFERROR(__xludf.DUMMYFUNCTION("GOOGLETRANSLATE(H1531,""EN"",""ES"")"),"OTRAS HERRAMIENTAS E IMPLEMENTOS")</f>
        <v>OTRAS HERRAMIENTAS E IMPLEMENTOS</v>
      </c>
      <c r="L1531" s="5" t="str">
        <f ca="1">IFERROR(__xludf.DUMMYFUNCTION("GOOGLETRANSLATE(J1531,""EN"",""ES"")"),"Aparatos de afilado para sierras de cinta.")</f>
        <v>Aparatos de afilado para sierras de cinta.</v>
      </c>
      <c r="M1531" s="8" t="s">
        <v>26</v>
      </c>
      <c r="N1531" s="8"/>
    </row>
    <row r="1532" spans="1:14" ht="11.25" customHeight="1">
      <c r="A1532" s="5" t="s">
        <v>4139</v>
      </c>
      <c r="B1532" s="5" t="s">
        <v>4478</v>
      </c>
      <c r="C1532" s="5" t="s">
        <v>4496</v>
      </c>
      <c r="D1532" s="5" t="s">
        <v>4142</v>
      </c>
      <c r="E1532" s="5" t="s">
        <v>27</v>
      </c>
      <c r="F1532" s="5" t="s">
        <v>4143</v>
      </c>
      <c r="G1532" s="5" t="s">
        <v>4144</v>
      </c>
      <c r="H1532" s="5" t="s">
        <v>4480</v>
      </c>
      <c r="I1532" s="5" t="s">
        <v>4497</v>
      </c>
      <c r="J1532" s="5" t="s">
        <v>4498</v>
      </c>
      <c r="K1532" s="7" t="str">
        <f ca="1">IFERROR(__xludf.DUMMYFUNCTION("GOOGLETRANSLATE(H1532,""EN"",""ES"")"),"OTRAS HERRAMIENTAS E IMPLEMENTOS")</f>
        <v>OTRAS HERRAMIENTAS E IMPLEMENTOS</v>
      </c>
      <c r="L1532" s="5" t="str">
        <f ca="1">IFERROR(__xludf.DUMMYFUNCTION("GOOGLETRANSLATE(J1532,""EN"",""ES"")"),"Piedras de afilar")</f>
        <v>Piedras de afilar</v>
      </c>
      <c r="M1532" s="8" t="s">
        <v>26</v>
      </c>
      <c r="N1532" s="8"/>
    </row>
    <row r="1533" spans="1:14" ht="11.25" customHeight="1">
      <c r="A1533" s="5" t="s">
        <v>4139</v>
      </c>
      <c r="B1533" s="5" t="s">
        <v>4478</v>
      </c>
      <c r="C1533" s="5" t="s">
        <v>4496</v>
      </c>
      <c r="D1533" s="5" t="s">
        <v>4142</v>
      </c>
      <c r="E1533" s="5" t="s">
        <v>27</v>
      </c>
      <c r="F1533" s="5" t="s">
        <v>4143</v>
      </c>
      <c r="G1533" s="5" t="s">
        <v>4144</v>
      </c>
      <c r="H1533" s="5" t="s">
        <v>4480</v>
      </c>
      <c r="I1533" s="5" t="s">
        <v>4499</v>
      </c>
      <c r="J1533" s="5" t="s">
        <v>152</v>
      </c>
      <c r="K1533" s="7" t="str">
        <f ca="1">IFERROR(__xludf.DUMMYFUNCTION("GOOGLETRANSLATE(H1533,""EN"",""ES"")"),"OTRAS HERRAMIENTAS E IMPLEMENTOS")</f>
        <v>OTRAS HERRAMIENTAS E IMPLEMENTOS</v>
      </c>
      <c r="L1533" s="5" t="str">
        <f ca="1">IFERROR(__xludf.DUMMYFUNCTION("GOOGLETRANSLATE(J1533,""EN"",""ES"")"),"perfeccionar")</f>
        <v>perfeccionar</v>
      </c>
      <c r="M1533" s="8" t="s">
        <v>26</v>
      </c>
      <c r="N1533" s="8"/>
    </row>
    <row r="1534" spans="1:14" ht="11.25" customHeight="1">
      <c r="A1534" s="5" t="s">
        <v>4139</v>
      </c>
      <c r="B1534" s="5" t="s">
        <v>4478</v>
      </c>
      <c r="C1534" s="5" t="s">
        <v>4500</v>
      </c>
      <c r="D1534" s="5" t="s">
        <v>4142</v>
      </c>
      <c r="E1534" s="5" t="s">
        <v>27</v>
      </c>
      <c r="F1534" s="5" t="s">
        <v>4143</v>
      </c>
      <c r="G1534" s="5" t="s">
        <v>4144</v>
      </c>
      <c r="H1534" s="5" t="s">
        <v>4480</v>
      </c>
      <c r="I1534" s="5" t="s">
        <v>4501</v>
      </c>
      <c r="J1534" s="5" t="s">
        <v>4502</v>
      </c>
      <c r="K1534" s="7" t="str">
        <f ca="1">IFERROR(__xludf.DUMMYFUNCTION("GOOGLETRANSLATE(H1534,""EN"",""ES"")"),"OTRAS HERRAMIENTAS E IMPLEMENTOS")</f>
        <v>OTRAS HERRAMIENTAS E IMPLEMENTOS</v>
      </c>
      <c r="L1534" s="5" t="str">
        <f ca="1">IFERROR(__xludf.DUMMYFUNCTION("GOOGLETRANSLATE(J1534,""EN"",""ES"")"),"Extractores de uñas")</f>
        <v>Extractores de uñas</v>
      </c>
      <c r="M1534" s="8" t="s">
        <v>26</v>
      </c>
      <c r="N1534" s="8"/>
    </row>
    <row r="1535" spans="1:14" ht="11.25" customHeight="1">
      <c r="A1535" s="5" t="s">
        <v>4139</v>
      </c>
      <c r="B1535" s="5" t="s">
        <v>4478</v>
      </c>
      <c r="C1535" s="5" t="s">
        <v>4500</v>
      </c>
      <c r="D1535" s="5" t="s">
        <v>4142</v>
      </c>
      <c r="E1535" s="5" t="s">
        <v>27</v>
      </c>
      <c r="F1535" s="5" t="s">
        <v>4143</v>
      </c>
      <c r="G1535" s="5" t="s">
        <v>4144</v>
      </c>
      <c r="H1535" s="5" t="s">
        <v>4480</v>
      </c>
      <c r="I1535" s="5" t="s">
        <v>4503</v>
      </c>
      <c r="J1535" s="5" t="s">
        <v>152</v>
      </c>
      <c r="K1535" s="7" t="str">
        <f ca="1">IFERROR(__xludf.DUMMYFUNCTION("GOOGLETRANSLATE(H1535,""EN"",""ES"")"),"OTRAS HERRAMIENTAS E IMPLEMENTOS")</f>
        <v>OTRAS HERRAMIENTAS E IMPLEMENTOS</v>
      </c>
      <c r="L1535" s="5" t="str">
        <f ca="1">IFERROR(__xludf.DUMMYFUNCTION("GOOGLETRANSLATE(J1535,""EN"",""ES"")"),"Tiradores de tachuelas")</f>
        <v>Tiradores de tachuelas</v>
      </c>
      <c r="M1535" s="8" t="s">
        <v>26</v>
      </c>
      <c r="N1535" s="8"/>
    </row>
    <row r="1536" spans="1:14" ht="11.25" customHeight="1">
      <c r="A1536" s="5" t="s">
        <v>4139</v>
      </c>
      <c r="B1536" s="5" t="s">
        <v>4478</v>
      </c>
      <c r="C1536" s="5" t="s">
        <v>4500</v>
      </c>
      <c r="D1536" s="5" t="s">
        <v>4142</v>
      </c>
      <c r="E1536" s="5" t="s">
        <v>27</v>
      </c>
      <c r="F1536" s="5" t="s">
        <v>4143</v>
      </c>
      <c r="G1536" s="5" t="s">
        <v>4144</v>
      </c>
      <c r="H1536" s="5" t="s">
        <v>4480</v>
      </c>
      <c r="I1536" s="5" t="s">
        <v>4504</v>
      </c>
      <c r="J1536" s="5" t="s">
        <v>152</v>
      </c>
      <c r="K1536" s="7" t="str">
        <f ca="1">IFERROR(__xludf.DUMMYFUNCTION("GOOGLETRANSLATE(H1536,""EN"",""ES"")"),"OTRAS HERRAMIENTAS E IMPLEMENTOS")</f>
        <v>OTRAS HERRAMIENTAS E IMPLEMENTOS</v>
      </c>
      <c r="L1536" s="5" t="str">
        <f ca="1">IFERROR(__xludf.DUMMYFUNCTION("GOOGLETRANSLATE(J1536,""EN"",""ES"")"),"barras de demolición")</f>
        <v>barras de demolición</v>
      </c>
      <c r="M1536" s="8" t="s">
        <v>26</v>
      </c>
      <c r="N1536" s="8"/>
    </row>
    <row r="1537" spans="1:14" ht="11.25" customHeight="1">
      <c r="A1537" s="5" t="s">
        <v>4139</v>
      </c>
      <c r="B1537" s="5" t="s">
        <v>4478</v>
      </c>
      <c r="C1537" s="5" t="s">
        <v>4505</v>
      </c>
      <c r="D1537" s="5" t="s">
        <v>4142</v>
      </c>
      <c r="E1537" s="5" t="s">
        <v>27</v>
      </c>
      <c r="F1537" s="5" t="s">
        <v>4143</v>
      </c>
      <c r="G1537" s="5" t="s">
        <v>4144</v>
      </c>
      <c r="H1537" s="5" t="s">
        <v>4480</v>
      </c>
      <c r="I1537" s="5" t="s">
        <v>4506</v>
      </c>
      <c r="J1537" s="5" t="s">
        <v>4507</v>
      </c>
      <c r="K1537" s="7" t="str">
        <f ca="1">IFERROR(__xludf.DUMMYFUNCTION("GOOGLETRANSLATE(H1537,""EN"",""ES"")"),"OTRAS HERRAMIENTAS E IMPLEMENTOS")</f>
        <v>OTRAS HERRAMIENTAS E IMPLEMENTOS</v>
      </c>
      <c r="L1537" s="5" t="str">
        <f ca="1">IFERROR(__xludf.DUMMYFUNCTION("GOOGLETRANSLATE(J1537,""EN"",""ES"")"),"Extractores de pasadores")</f>
        <v>Extractores de pasadores</v>
      </c>
      <c r="M1537" s="8" t="s">
        <v>26</v>
      </c>
      <c r="N1537" s="8"/>
    </row>
    <row r="1538" spans="1:14" ht="11.25" customHeight="1">
      <c r="A1538" s="5" t="s">
        <v>4139</v>
      </c>
      <c r="B1538" s="5" t="s">
        <v>4478</v>
      </c>
      <c r="C1538" s="5" t="s">
        <v>4508</v>
      </c>
      <c r="D1538" s="5" t="s">
        <v>4142</v>
      </c>
      <c r="E1538" s="5" t="s">
        <v>27</v>
      </c>
      <c r="F1538" s="5" t="s">
        <v>4143</v>
      </c>
      <c r="G1538" s="5" t="s">
        <v>4144</v>
      </c>
      <c r="H1538" s="5" t="s">
        <v>4480</v>
      </c>
      <c r="I1538" s="5" t="s">
        <v>4509</v>
      </c>
      <c r="J1538" s="5" t="s">
        <v>4510</v>
      </c>
      <c r="K1538" s="7" t="str">
        <f ca="1">IFERROR(__xludf.DUMMYFUNCTION("GOOGLETRANSLATE(H1538,""EN"",""ES"")"),"OTRAS HERRAMIENTAS E IMPLEMENTOS")</f>
        <v>OTRAS HERRAMIENTAS E IMPLEMENTOS</v>
      </c>
      <c r="L1538" s="5" t="str">
        <f ca="1">IFERROR(__xludf.DUMMYFUNCTION("GOOGLETRANSLATE(J1538,""EN"",""ES"")"),"regaderas")</f>
        <v>regaderas</v>
      </c>
      <c r="M1538" s="8" t="s">
        <v>26</v>
      </c>
      <c r="N1538" s="8"/>
    </row>
    <row r="1539" spans="1:14" ht="11.25" customHeight="1">
      <c r="A1539" s="5" t="s">
        <v>4139</v>
      </c>
      <c r="B1539" s="5" t="s">
        <v>4478</v>
      </c>
      <c r="C1539" s="5" t="s">
        <v>4511</v>
      </c>
      <c r="D1539" s="5" t="s">
        <v>4142</v>
      </c>
      <c r="E1539" s="5" t="s">
        <v>27</v>
      </c>
      <c r="F1539" s="5" t="s">
        <v>4143</v>
      </c>
      <c r="G1539" s="5" t="s">
        <v>4144</v>
      </c>
      <c r="H1539" s="5" t="s">
        <v>4480</v>
      </c>
      <c r="I1539" s="5" t="s">
        <v>4512</v>
      </c>
      <c r="J1539" s="5" t="s">
        <v>4513</v>
      </c>
      <c r="K1539" s="7" t="str">
        <f ca="1">IFERROR(__xludf.DUMMYFUNCTION("GOOGLETRANSLATE(H1539,""EN"",""ES"")"),"OTRAS HERRAMIENTAS E IMPLEMENTOS")</f>
        <v>OTRAS HERRAMIENTAS E IMPLEMENTOS</v>
      </c>
      <c r="L1539" s="5" t="str">
        <f ca="1">IFERROR(__xludf.DUMMYFUNCTION("GOOGLETRANSLATE(J1539,""EN"",""ES"")"),"Atomizadores para barniz [excepto dispensadores de aerosol]")</f>
        <v>Atomizadores para barniz [excepto dispensadores de aerosol]</v>
      </c>
      <c r="M1539" s="8" t="s">
        <v>26</v>
      </c>
      <c r="N1539" s="8"/>
    </row>
    <row r="1540" spans="1:14" ht="11.25" customHeight="1">
      <c r="A1540" s="5" t="s">
        <v>4139</v>
      </c>
      <c r="B1540" s="5" t="s">
        <v>4478</v>
      </c>
      <c r="C1540" s="5" t="s">
        <v>4514</v>
      </c>
      <c r="D1540" s="5" t="s">
        <v>4142</v>
      </c>
      <c r="E1540" s="5" t="s">
        <v>27</v>
      </c>
      <c r="F1540" s="5" t="s">
        <v>4143</v>
      </c>
      <c r="G1540" s="5" t="s">
        <v>4144</v>
      </c>
      <c r="H1540" s="5" t="s">
        <v>4480</v>
      </c>
      <c r="I1540" s="5" t="s">
        <v>4515</v>
      </c>
      <c r="J1540" s="5" t="s">
        <v>4516</v>
      </c>
      <c r="K1540" s="7" t="str">
        <f ca="1">IFERROR(__xludf.DUMMYFUNCTION("GOOGLETRANSLATE(H1540,""EN"",""ES"")"),"OTRAS HERRAMIENTAS E IMPLEMENTOS")</f>
        <v>OTRAS HERRAMIENTAS E IMPLEMENTOS</v>
      </c>
      <c r="L1540" s="5" t="str">
        <f ca="1">IFERROR(__xludf.DUMMYFUNCTION("GOOGLETRANSLATE(J1540,""EN"",""ES"")"),"Cascos de albañil")</f>
        <v>Cascos de albañil</v>
      </c>
      <c r="M1540" s="8" t="s">
        <v>26</v>
      </c>
      <c r="N1540" s="8"/>
    </row>
    <row r="1541" spans="1:14" ht="11.25" customHeight="1">
      <c r="A1541" s="5" t="s">
        <v>4139</v>
      </c>
      <c r="B1541" s="5" t="s">
        <v>4478</v>
      </c>
      <c r="C1541" s="5" t="s">
        <v>4517</v>
      </c>
      <c r="D1541" s="5" t="s">
        <v>4142</v>
      </c>
      <c r="E1541" s="5" t="s">
        <v>27</v>
      </c>
      <c r="F1541" s="5" t="s">
        <v>4143</v>
      </c>
      <c r="G1541" s="5" t="s">
        <v>4144</v>
      </c>
      <c r="H1541" s="5" t="s">
        <v>4480</v>
      </c>
      <c r="I1541" s="5" t="s">
        <v>4518</v>
      </c>
      <c r="J1541" s="5" t="s">
        <v>4519</v>
      </c>
      <c r="K1541" s="7" t="str">
        <f ca="1">IFERROR(__xludf.DUMMYFUNCTION("GOOGLETRANSLATE(H1541,""EN"",""ES"")"),"OTRAS HERRAMIENTAS E IMPLEMENTOS")</f>
        <v>OTRAS HERRAMIENTAS E IMPLEMENTOS</v>
      </c>
      <c r="L1541" s="5" t="str">
        <f ca="1">IFERROR(__xludf.DUMMYFUNCTION("GOOGLETRANSLATE(J1541,""EN"",""ES"")"),"Bloques de lijado")</f>
        <v>Bloques de lijado</v>
      </c>
      <c r="M1541" s="8" t="s">
        <v>26</v>
      </c>
      <c r="N1541" s="8"/>
    </row>
    <row r="1542" spans="1:14" ht="11.25" customHeight="1">
      <c r="A1542" s="5" t="s">
        <v>4139</v>
      </c>
      <c r="B1542" s="5" t="s">
        <v>4478</v>
      </c>
      <c r="C1542" s="5" t="s">
        <v>4520</v>
      </c>
      <c r="D1542" s="5" t="s">
        <v>4142</v>
      </c>
      <c r="E1542" s="5" t="s">
        <v>27</v>
      </c>
      <c r="F1542" s="5" t="s">
        <v>4143</v>
      </c>
      <c r="G1542" s="5" t="s">
        <v>4144</v>
      </c>
      <c r="H1542" s="5" t="s">
        <v>4480</v>
      </c>
      <c r="I1542" s="5" t="s">
        <v>4521</v>
      </c>
      <c r="J1542" s="5" t="s">
        <v>4522</v>
      </c>
      <c r="K1542" s="7" t="str">
        <f ca="1">IFERROR(__xludf.DUMMYFUNCTION("GOOGLETRANSLATE(H1542,""EN"",""ES"")"),"OTRAS HERRAMIENTAS E IMPLEMENTOS")</f>
        <v>OTRAS HERRAMIENTAS E IMPLEMENTOS</v>
      </c>
      <c r="L1542" s="5" t="str">
        <f ca="1">IFERROR(__xludf.DUMMYFUNCTION("GOOGLETRANSLATE(J1542,""EN"",""ES"")"),"Picos de yunque para ribetear")</f>
        <v>Picos de yunque para ribetear</v>
      </c>
      <c r="M1542" s="8" t="s">
        <v>26</v>
      </c>
      <c r="N1542" s="8"/>
    </row>
    <row r="1543" spans="1:14" ht="11.25" customHeight="1">
      <c r="A1543" s="5" t="s">
        <v>4139</v>
      </c>
      <c r="B1543" s="5" t="s">
        <v>4478</v>
      </c>
      <c r="C1543" s="5" t="s">
        <v>4523</v>
      </c>
      <c r="D1543" s="5" t="s">
        <v>4142</v>
      </c>
      <c r="E1543" s="5" t="s">
        <v>27</v>
      </c>
      <c r="F1543" s="5" t="s">
        <v>4143</v>
      </c>
      <c r="G1543" s="5" t="s">
        <v>4144</v>
      </c>
      <c r="H1543" s="5" t="s">
        <v>4480</v>
      </c>
      <c r="I1543" s="5" t="s">
        <v>4524</v>
      </c>
      <c r="J1543" s="5" t="s">
        <v>4525</v>
      </c>
      <c r="K1543" s="7" t="str">
        <f ca="1">IFERROR(__xludf.DUMMYFUNCTION("GOOGLETRANSLATE(H1543,""EN"",""ES"")"),"OTRAS HERRAMIENTAS E IMPLEMENTOS")</f>
        <v>OTRAS HERRAMIENTAS E IMPLEMENTOS</v>
      </c>
      <c r="L1543" s="5" t="str">
        <f ca="1">IFERROR(__xludf.DUMMYFUNCTION("GOOGLETRANSLATE(J1543,""EN"",""ES"")"),"Pinzas")</f>
        <v>Pinzas</v>
      </c>
      <c r="M1543" s="8" t="s">
        <v>26</v>
      </c>
      <c r="N1543" s="8"/>
    </row>
    <row r="1544" spans="1:14" ht="11.25" customHeight="1">
      <c r="A1544" s="5" t="s">
        <v>4139</v>
      </c>
      <c r="B1544" s="5" t="s">
        <v>4478</v>
      </c>
      <c r="C1544" s="5" t="s">
        <v>4526</v>
      </c>
      <c r="D1544" s="5" t="s">
        <v>4142</v>
      </c>
      <c r="E1544" s="5" t="s">
        <v>27</v>
      </c>
      <c r="F1544" s="5" t="s">
        <v>4143</v>
      </c>
      <c r="G1544" s="5" t="s">
        <v>4144</v>
      </c>
      <c r="H1544" s="5" t="s">
        <v>4480</v>
      </c>
      <c r="I1544" s="5" t="s">
        <v>4527</v>
      </c>
      <c r="J1544" s="5" t="s">
        <v>4528</v>
      </c>
      <c r="K1544" s="7" t="str">
        <f ca="1">IFERROR(__xludf.DUMMYFUNCTION("GOOGLETRANSLATE(H1544,""EN"",""ES"")"),"OTRAS HERRAMIENTAS E IMPLEMENTOS")</f>
        <v>OTRAS HERRAMIENTAS E IMPLEMENTOS</v>
      </c>
      <c r="L1544" s="5" t="str">
        <f ca="1">IFERROR(__xludf.DUMMYFUNCTION("GOOGLETRANSLATE(J1544,""EN"",""ES"")"),"Aparato para dar forma al sombrero")</f>
        <v>Aparato para dar forma al sombrero</v>
      </c>
      <c r="M1544" s="8" t="s">
        <v>26</v>
      </c>
      <c r="N1544" s="8"/>
    </row>
    <row r="1545" spans="1:14" ht="11.25" customHeight="1">
      <c r="A1545" s="5" t="s">
        <v>4139</v>
      </c>
      <c r="B1545" s="5" t="s">
        <v>4478</v>
      </c>
      <c r="C1545" s="5" t="s">
        <v>4529</v>
      </c>
      <c r="D1545" s="5" t="s">
        <v>4142</v>
      </c>
      <c r="E1545" s="5" t="s">
        <v>27</v>
      </c>
      <c r="F1545" s="5" t="s">
        <v>4143</v>
      </c>
      <c r="G1545" s="5" t="s">
        <v>4144</v>
      </c>
      <c r="H1545" s="5" t="s">
        <v>4480</v>
      </c>
      <c r="I1545" s="5" t="s">
        <v>4530</v>
      </c>
      <c r="J1545" s="5" t="s">
        <v>4531</v>
      </c>
      <c r="K1545" s="7" t="str">
        <f ca="1">IFERROR(__xludf.DUMMYFUNCTION("GOOGLETRANSLATE(H1545,""EN"",""ES"")"),"OTRAS HERRAMIENTAS E IMPLEMENTOS")</f>
        <v>OTRAS HERRAMIENTAS E IMPLEMENTOS</v>
      </c>
      <c r="L1545" s="5" t="str">
        <f ca="1">IFERROR(__xludf.DUMMYFUNCTION("GOOGLETRANSLATE(J1545,""EN"",""ES"")"),"Aparato para brillar sombreros")</f>
        <v>Aparato para brillar sombreros</v>
      </c>
      <c r="M1545" s="8" t="s">
        <v>26</v>
      </c>
      <c r="N1545" s="8"/>
    </row>
    <row r="1546" spans="1:14" ht="11.25" customHeight="1">
      <c r="A1546" s="5" t="s">
        <v>4139</v>
      </c>
      <c r="B1546" s="5" t="s">
        <v>4478</v>
      </c>
      <c r="C1546" s="5" t="s">
        <v>4532</v>
      </c>
      <c r="D1546" s="5" t="s">
        <v>4142</v>
      </c>
      <c r="E1546" s="5" t="s">
        <v>27</v>
      </c>
      <c r="F1546" s="5" t="s">
        <v>4143</v>
      </c>
      <c r="G1546" s="5" t="s">
        <v>4144</v>
      </c>
      <c r="H1546" s="5" t="s">
        <v>4480</v>
      </c>
      <c r="I1546" s="5" t="s">
        <v>4533</v>
      </c>
      <c r="J1546" s="5" t="s">
        <v>4534</v>
      </c>
      <c r="K1546" s="7" t="str">
        <f ca="1">IFERROR(__xludf.DUMMYFUNCTION("GOOGLETRANSLATE(H1546,""EN"",""ES"")"),"OTRAS HERRAMIENTAS E IMPLEMENTOS")</f>
        <v>OTRAS HERRAMIENTAS E IMPLEMENTOS</v>
      </c>
      <c r="L1546" s="5" t="str">
        <f ca="1">IFERROR(__xludf.DUMMYFUNCTION("GOOGLETRANSLATE(J1546,""EN"",""ES"")"),"Quitanieves [manual]")</f>
        <v>Quitanieves [manual]</v>
      </c>
      <c r="M1546" s="8" t="s">
        <v>26</v>
      </c>
      <c r="N1546" s="8"/>
    </row>
    <row r="1547" spans="1:14" ht="11.25" customHeight="1">
      <c r="A1547" s="5" t="s">
        <v>4139</v>
      </c>
      <c r="B1547" s="5" t="s">
        <v>4478</v>
      </c>
      <c r="C1547" s="5" t="s">
        <v>4532</v>
      </c>
      <c r="D1547" s="5" t="s">
        <v>4142</v>
      </c>
      <c r="E1547" s="5" t="s">
        <v>27</v>
      </c>
      <c r="F1547" s="5" t="s">
        <v>4143</v>
      </c>
      <c r="G1547" s="5" t="s">
        <v>4144</v>
      </c>
      <c r="H1547" s="5" t="s">
        <v>4480</v>
      </c>
      <c r="I1547" s="5" t="s">
        <v>4535</v>
      </c>
      <c r="J1547" s="5" t="s">
        <v>152</v>
      </c>
      <c r="K1547" s="7" t="str">
        <f ca="1">IFERROR(__xludf.DUMMYFUNCTION("GOOGLETRANSLATE(H1547,""EN"",""ES"")"),"OTRAS HERRAMIENTAS E IMPLEMENTOS")</f>
        <v>OTRAS HERRAMIENTAS E IMPLEMENTOS</v>
      </c>
      <c r="L1547" s="5" t="str">
        <f ca="1">IFERROR(__xludf.DUMMYFUNCTION("GOOGLETRANSLATE(J1547,""EN"",""ES"")"),"Quitanieves [manual]")</f>
        <v>Quitanieves [manual]</v>
      </c>
      <c r="M1547" s="8" t="s">
        <v>26</v>
      </c>
      <c r="N1547" s="8"/>
    </row>
    <row r="1548" spans="1:14" ht="11.25" customHeight="1">
      <c r="A1548" s="5" t="s">
        <v>4139</v>
      </c>
      <c r="B1548" s="5" t="s">
        <v>4478</v>
      </c>
      <c r="C1548" s="5" t="s">
        <v>4536</v>
      </c>
      <c r="D1548" s="5" t="s">
        <v>4142</v>
      </c>
      <c r="E1548" s="5" t="s">
        <v>27</v>
      </c>
      <c r="F1548" s="5" t="s">
        <v>4143</v>
      </c>
      <c r="G1548" s="5" t="s">
        <v>4144</v>
      </c>
      <c r="H1548" s="5" t="s">
        <v>4480</v>
      </c>
      <c r="I1548" s="5" t="s">
        <v>4537</v>
      </c>
      <c r="J1548" s="5" t="s">
        <v>4538</v>
      </c>
      <c r="K1548" s="7" t="str">
        <f ca="1">IFERROR(__xludf.DUMMYFUNCTION("GOOGLETRANSLATE(H1548,""EN"",""ES"")"),"OTRAS HERRAMIENTAS E IMPLEMENTOS")</f>
        <v>OTRAS HERRAMIENTAS E IMPLEMENTOS</v>
      </c>
      <c r="L1548" s="5" t="str">
        <f ca="1">IFERROR(__xludf.DUMMYFUNCTION("GOOGLETRANSLATE(J1548,""EN"",""ES"")"),"Herramientas para desincrustar calderas.")</f>
        <v>Herramientas para desincrustar calderas.</v>
      </c>
      <c r="M1548" s="8" t="s">
        <v>26</v>
      </c>
      <c r="N1548" s="8"/>
    </row>
    <row r="1549" spans="1:14" ht="11.25" customHeight="1">
      <c r="A1549" s="5" t="s">
        <v>4139</v>
      </c>
      <c r="B1549" s="5" t="s">
        <v>4478</v>
      </c>
      <c r="C1549" s="5" t="s">
        <v>4539</v>
      </c>
      <c r="D1549" s="5" t="s">
        <v>4142</v>
      </c>
      <c r="E1549" s="5" t="s">
        <v>27</v>
      </c>
      <c r="F1549" s="5" t="s">
        <v>4143</v>
      </c>
      <c r="G1549" s="5" t="s">
        <v>4144</v>
      </c>
      <c r="H1549" s="5" t="s">
        <v>4480</v>
      </c>
      <c r="I1549" s="5" t="s">
        <v>4540</v>
      </c>
      <c r="J1549" s="5" t="s">
        <v>4541</v>
      </c>
      <c r="K1549" s="7" t="str">
        <f ca="1">IFERROR(__xludf.DUMMYFUNCTION("GOOGLETRANSLATE(H1549,""EN"",""ES"")"),"OTRAS HERRAMIENTAS E IMPLEMENTOS")</f>
        <v>OTRAS HERRAMIENTAS E IMPLEMENTOS</v>
      </c>
      <c r="L1549" s="5" t="str">
        <f ca="1">IFERROR(__xludf.DUMMYFUNCTION("GOOGLETRANSLATE(J1549,""EN"",""ES"")"),"llaves para tubos")</f>
        <v>llaves para tubos</v>
      </c>
      <c r="M1549" s="8" t="s">
        <v>26</v>
      </c>
      <c r="N1549" s="8"/>
    </row>
    <row r="1550" spans="1:14" ht="11.25" customHeight="1">
      <c r="A1550" s="5" t="s">
        <v>4139</v>
      </c>
      <c r="B1550" s="5" t="s">
        <v>4478</v>
      </c>
      <c r="C1550" s="5" t="s">
        <v>4542</v>
      </c>
      <c r="D1550" s="5" t="s">
        <v>4142</v>
      </c>
      <c r="E1550" s="5" t="s">
        <v>27</v>
      </c>
      <c r="F1550" s="5" t="s">
        <v>4143</v>
      </c>
      <c r="G1550" s="5" t="s">
        <v>4144</v>
      </c>
      <c r="H1550" s="5" t="s">
        <v>4480</v>
      </c>
      <c r="I1550" s="5" t="s">
        <v>4543</v>
      </c>
      <c r="J1550" s="5" t="s">
        <v>4544</v>
      </c>
      <c r="K1550" s="7" t="str">
        <f ca="1">IFERROR(__xludf.DUMMYFUNCTION("GOOGLETRANSLATE(H1550,""EN"",""ES"")"),"OTRAS HERRAMIENTAS E IMPLEMENTOS")</f>
        <v>OTRAS HERRAMIENTAS E IMPLEMENTOS</v>
      </c>
      <c r="L1550" s="5" t="str">
        <f ca="1">IFERROR(__xludf.DUMMYFUNCTION("GOOGLETRANSLATE(J1550,""EN"",""ES"")"),"llaves inglesas")</f>
        <v>llaves inglesas</v>
      </c>
      <c r="M1550" s="8" t="s">
        <v>26</v>
      </c>
      <c r="N1550" s="8"/>
    </row>
    <row r="1551" spans="1:14" ht="11.25" customHeight="1">
      <c r="A1551" s="5" t="s">
        <v>4139</v>
      </c>
      <c r="B1551" s="5" t="s">
        <v>4478</v>
      </c>
      <c r="C1551" s="5" t="s">
        <v>4545</v>
      </c>
      <c r="D1551" s="5" t="s">
        <v>4142</v>
      </c>
      <c r="E1551" s="5" t="s">
        <v>27</v>
      </c>
      <c r="F1551" s="5" t="s">
        <v>4143</v>
      </c>
      <c r="G1551" s="5" t="s">
        <v>4144</v>
      </c>
      <c r="H1551" s="5" t="s">
        <v>4480</v>
      </c>
      <c r="I1551" s="5" t="s">
        <v>4546</v>
      </c>
      <c r="J1551" s="5" t="s">
        <v>4547</v>
      </c>
      <c r="K1551" s="7" t="str">
        <f ca="1">IFERROR(__xludf.DUMMYFUNCTION("GOOGLETRANSLATE(H1551,""EN"",""ES"")"),"OTRAS HERRAMIENTAS E IMPLEMENTOS")</f>
        <v>OTRAS HERRAMIENTAS E IMPLEMENTOS</v>
      </c>
      <c r="L1551" s="5" t="str">
        <f ca="1">IFERROR(__xludf.DUMMYFUNCTION("GOOGLETRANSLATE(J1551,""EN"",""ES"")"),"Cuñas")</f>
        <v>Cuñas</v>
      </c>
      <c r="M1551" s="8" t="s">
        <v>26</v>
      </c>
      <c r="N1551" s="8"/>
    </row>
    <row r="1552" spans="1:14" ht="11.25" customHeight="1">
      <c r="A1552" s="5" t="s">
        <v>4139</v>
      </c>
      <c r="B1552" s="5" t="s">
        <v>4478</v>
      </c>
      <c r="C1552" s="5" t="s">
        <v>4548</v>
      </c>
      <c r="D1552" s="5" t="s">
        <v>4142</v>
      </c>
      <c r="E1552" s="5" t="s">
        <v>27</v>
      </c>
      <c r="F1552" s="5" t="s">
        <v>4143</v>
      </c>
      <c r="G1552" s="5" t="s">
        <v>4144</v>
      </c>
      <c r="H1552" s="5" t="s">
        <v>4480</v>
      </c>
      <c r="I1552" s="5" t="s">
        <v>4549</v>
      </c>
      <c r="J1552" s="5" t="s">
        <v>4550</v>
      </c>
      <c r="K1552" s="7" t="str">
        <f ca="1">IFERROR(__xludf.DUMMYFUNCTION("GOOGLETRANSLATE(H1552,""EN"",""ES"")"),"OTRAS HERRAMIENTAS E IMPLEMENTOS")</f>
        <v>OTRAS HERRAMIENTAS E IMPLEMENTOS</v>
      </c>
      <c r="L1552" s="5" t="str">
        <f ca="1">IFERROR(__xludf.DUMMYFUNCTION("GOOGLETRANSLATE(J1552,""EN"",""ES"")"),"Acertijos [herramientas]")</f>
        <v>Acertijos [herramientas]</v>
      </c>
      <c r="M1552" s="8" t="s">
        <v>26</v>
      </c>
      <c r="N1552" s="8"/>
    </row>
    <row r="1553" spans="1:14" ht="11.25" customHeight="1">
      <c r="A1553" s="5" t="s">
        <v>4139</v>
      </c>
      <c r="B1553" s="5" t="s">
        <v>4478</v>
      </c>
      <c r="C1553" s="5" t="s">
        <v>4551</v>
      </c>
      <c r="D1553" s="5" t="s">
        <v>4142</v>
      </c>
      <c r="E1553" s="5" t="s">
        <v>27</v>
      </c>
      <c r="F1553" s="5" t="s">
        <v>4143</v>
      </c>
      <c r="G1553" s="5" t="s">
        <v>4144</v>
      </c>
      <c r="H1553" s="5" t="s">
        <v>4480</v>
      </c>
      <c r="I1553" s="5" t="s">
        <v>4552</v>
      </c>
      <c r="J1553" s="5" t="s">
        <v>4553</v>
      </c>
      <c r="K1553" s="7" t="str">
        <f ca="1">IFERROR(__xludf.DUMMYFUNCTION("GOOGLETRANSLATE(H1553,""EN"",""ES"")"),"OTRAS HERRAMIENTAS E IMPLEMENTOS")</f>
        <v>OTRAS HERRAMIENTAS E IMPLEMENTOS</v>
      </c>
      <c r="L1553" s="5" t="str">
        <f ca="1">IFERROR(__xludf.DUMMYFUNCTION("GOOGLETRANSLATE(J1553,""EN"",""ES"")"),"Recolectores de frutas [herramientas]")</f>
        <v>Recolectores de frutas [herramientas]</v>
      </c>
      <c r="M1553" s="8" t="s">
        <v>26</v>
      </c>
      <c r="N1553" s="8"/>
    </row>
    <row r="1554" spans="1:14" ht="11.25" customHeight="1">
      <c r="A1554" s="5" t="s">
        <v>4139</v>
      </c>
      <c r="B1554" s="5" t="s">
        <v>4478</v>
      </c>
      <c r="C1554" s="5" t="s">
        <v>4554</v>
      </c>
      <c r="D1554" s="5" t="s">
        <v>4142</v>
      </c>
      <c r="E1554" s="5" t="s">
        <v>27</v>
      </c>
      <c r="F1554" s="5" t="s">
        <v>4143</v>
      </c>
      <c r="G1554" s="5" t="s">
        <v>4144</v>
      </c>
      <c r="H1554" s="5" t="s">
        <v>4480</v>
      </c>
      <c r="I1554" s="5" t="s">
        <v>4555</v>
      </c>
      <c r="J1554" s="5" t="s">
        <v>4556</v>
      </c>
      <c r="K1554" s="7" t="str">
        <f ca="1">IFERROR(__xludf.DUMMYFUNCTION("GOOGLETRANSLATE(H1554,""EN"",""ES"")"),"OTRAS HERRAMIENTAS E IMPLEMENTOS")</f>
        <v>OTRAS HERRAMIENTAS E IMPLEMENTOS</v>
      </c>
      <c r="L1554" s="5" t="str">
        <f ca="1">IFERROR(__xludf.DUMMYFUNCTION("GOOGLETRANSLATE(J1554,""EN"",""ES"")"),"Cucharones de fundición")</f>
        <v>Cucharones de fundición</v>
      </c>
      <c r="M1554" s="8" t="s">
        <v>26</v>
      </c>
      <c r="N1554" s="8"/>
    </row>
    <row r="1555" spans="1:14" ht="11.25" customHeight="1">
      <c r="A1555" s="5" t="s">
        <v>4139</v>
      </c>
      <c r="B1555" s="5" t="s">
        <v>4478</v>
      </c>
      <c r="C1555" s="5" t="s">
        <v>4557</v>
      </c>
      <c r="D1555" s="5" t="s">
        <v>4142</v>
      </c>
      <c r="E1555" s="5" t="s">
        <v>27</v>
      </c>
      <c r="F1555" s="5" t="s">
        <v>4143</v>
      </c>
      <c r="G1555" s="5" t="s">
        <v>4144</v>
      </c>
      <c r="H1555" s="5" t="s">
        <v>4480</v>
      </c>
      <c r="I1555" s="5" t="s">
        <v>4558</v>
      </c>
      <c r="J1555" s="5" t="s">
        <v>4559</v>
      </c>
      <c r="K1555" s="7" t="str">
        <f ca="1">IFERROR(__xludf.DUMMYFUNCTION("GOOGLETRANSLATE(H1555,""EN"",""ES"")"),"OTRAS HERRAMIENTAS E IMPLEMENTOS")</f>
        <v>OTRAS HERRAMIENTAS E IMPLEMENTOS</v>
      </c>
      <c r="L1555" s="5" t="str">
        <f ca="1">IFERROR(__xludf.DUMMYFUNCTION("GOOGLETRANSLATE(J1555,""EN"",""ES"")"),"estropajos")</f>
        <v>estropajos</v>
      </c>
      <c r="M1555" s="8" t="s">
        <v>26</v>
      </c>
      <c r="N1555" s="8"/>
    </row>
    <row r="1556" spans="1:14" ht="11.25" customHeight="1">
      <c r="A1556" s="5" t="s">
        <v>4139</v>
      </c>
      <c r="B1556" s="5" t="s">
        <v>4478</v>
      </c>
      <c r="C1556" s="5" t="s">
        <v>4560</v>
      </c>
      <c r="D1556" s="5" t="s">
        <v>4142</v>
      </c>
      <c r="E1556" s="5" t="s">
        <v>27</v>
      </c>
      <c r="F1556" s="5" t="s">
        <v>4143</v>
      </c>
      <c r="G1556" s="5" t="s">
        <v>4144</v>
      </c>
      <c r="H1556" s="5" t="s">
        <v>4480</v>
      </c>
      <c r="I1556" s="5" t="s">
        <v>4561</v>
      </c>
      <c r="J1556" s="5" t="s">
        <v>4562</v>
      </c>
      <c r="K1556" s="7" t="str">
        <f ca="1">IFERROR(__xludf.DUMMYFUNCTION("GOOGLETRANSLATE(H1556,""EN"",""ES"")"),"OTRAS HERRAMIENTAS E IMPLEMENTOS")</f>
        <v>OTRAS HERRAMIENTAS E IMPLEMENTOS</v>
      </c>
      <c r="L1556" s="5" t="str">
        <f ca="1">IFERROR(__xludf.DUMMYFUNCTION("GOOGLETRANSLATE(J1556,""EN"",""ES"")"),"Aparato para limpiar tuberías")</f>
        <v>Aparato para limpiar tuberías</v>
      </c>
      <c r="M1556" s="8" t="s">
        <v>26</v>
      </c>
      <c r="N1556" s="8"/>
    </row>
    <row r="1557" spans="1:14" ht="11.25" customHeight="1">
      <c r="A1557" s="5" t="s">
        <v>4139</v>
      </c>
      <c r="B1557" s="5" t="s">
        <v>4478</v>
      </c>
      <c r="C1557" s="5" t="s">
        <v>4563</v>
      </c>
      <c r="D1557" s="5" t="s">
        <v>4142</v>
      </c>
      <c r="E1557" s="5" t="s">
        <v>27</v>
      </c>
      <c r="F1557" s="5" t="s">
        <v>4143</v>
      </c>
      <c r="G1557" s="5" t="s">
        <v>4144</v>
      </c>
      <c r="H1557" s="5" t="s">
        <v>4480</v>
      </c>
      <c r="I1557" s="5" t="s">
        <v>4564</v>
      </c>
      <c r="J1557" s="5" t="s">
        <v>4565</v>
      </c>
      <c r="K1557" s="7" t="str">
        <f ca="1">IFERROR(__xludf.DUMMYFUNCTION("GOOGLETRANSLATE(H1557,""EN"",""ES"")"),"OTRAS HERRAMIENTAS E IMPLEMENTOS")</f>
        <v>OTRAS HERRAMIENTAS E IMPLEMENTOS</v>
      </c>
      <c r="L1557" s="5" t="str">
        <f ca="1">IFERROR(__xludf.DUMMYFUNCTION("GOOGLETRANSLATE(J1557,""EN"",""ES"")"),"Desmontadores de neumáticos")</f>
        <v>Desmontadores de neumáticos</v>
      </c>
      <c r="M1557" s="8" t="s">
        <v>26</v>
      </c>
      <c r="N1557" s="8"/>
    </row>
    <row r="1558" spans="1:14" ht="11.25" customHeight="1">
      <c r="A1558" s="5" t="s">
        <v>4139</v>
      </c>
      <c r="B1558" s="5" t="s">
        <v>4478</v>
      </c>
      <c r="C1558" s="5" t="s">
        <v>4563</v>
      </c>
      <c r="D1558" s="5" t="s">
        <v>4142</v>
      </c>
      <c r="E1558" s="5" t="s">
        <v>27</v>
      </c>
      <c r="F1558" s="5" t="s">
        <v>4143</v>
      </c>
      <c r="G1558" s="5" t="s">
        <v>4144</v>
      </c>
      <c r="H1558" s="5" t="s">
        <v>4480</v>
      </c>
      <c r="I1558" s="5" t="s">
        <v>4566</v>
      </c>
      <c r="J1558" s="5" t="s">
        <v>152</v>
      </c>
      <c r="K1558" s="7" t="str">
        <f ca="1">IFERROR(__xludf.DUMMYFUNCTION("GOOGLETRANSLATE(H1558,""EN"",""ES"")"),"OTRAS HERRAMIENTAS E IMPLEMENTOS")</f>
        <v>OTRAS HERRAMIENTAS E IMPLEMENTOS</v>
      </c>
      <c r="L1558" s="5" t="str">
        <f ca="1">IFERROR(__xludf.DUMMYFUNCTION("GOOGLETRANSLATE(J1558,""EN"",""ES"")"),"Desmontadores de neumáticos")</f>
        <v>Desmontadores de neumáticos</v>
      </c>
      <c r="M1558" s="8" t="s">
        <v>26</v>
      </c>
      <c r="N1558" s="8"/>
    </row>
    <row r="1559" spans="1:14" ht="11.25" customHeight="1">
      <c r="A1559" s="5" t="s">
        <v>4139</v>
      </c>
      <c r="B1559" s="5" t="s">
        <v>4478</v>
      </c>
      <c r="C1559" s="5" t="s">
        <v>4567</v>
      </c>
      <c r="D1559" s="5" t="s">
        <v>4142</v>
      </c>
      <c r="E1559" s="5" t="s">
        <v>27</v>
      </c>
      <c r="F1559" s="5" t="s">
        <v>4143</v>
      </c>
      <c r="G1559" s="5" t="s">
        <v>4144</v>
      </c>
      <c r="H1559" s="5" t="s">
        <v>4480</v>
      </c>
      <c r="I1559" s="5" t="s">
        <v>4568</v>
      </c>
      <c r="J1559" s="5" t="s">
        <v>4569</v>
      </c>
      <c r="K1559" s="7" t="str">
        <f ca="1">IFERROR(__xludf.DUMMYFUNCTION("GOOGLETRANSLATE(H1559,""EN"",""ES"")"),"OTRAS HERRAMIENTAS E IMPLEMENTOS")</f>
        <v>OTRAS HERRAMIENTAS E IMPLEMENTOS</v>
      </c>
      <c r="L1559" s="5" t="str">
        <f ca="1">IFERROR(__xludf.DUMMYFUNCTION("GOOGLETRANSLATE(J1559,""EN"",""ES"")"),"Discos para lijadoras")</f>
        <v>Discos para lijadoras</v>
      </c>
      <c r="M1559" s="8" t="s">
        <v>26</v>
      </c>
      <c r="N1559" s="8"/>
    </row>
    <row r="1560" spans="1:14" ht="11.25" customHeight="1">
      <c r="A1560" s="5" t="s">
        <v>4139</v>
      </c>
      <c r="B1560" s="5" t="s">
        <v>4478</v>
      </c>
      <c r="C1560" s="5" t="s">
        <v>4570</v>
      </c>
      <c r="D1560" s="5" t="s">
        <v>4142</v>
      </c>
      <c r="E1560" s="5" t="s">
        <v>27</v>
      </c>
      <c r="F1560" s="5" t="s">
        <v>4143</v>
      </c>
      <c r="G1560" s="5" t="s">
        <v>4144</v>
      </c>
      <c r="H1560" s="5" t="s">
        <v>4480</v>
      </c>
      <c r="I1560" s="5" t="s">
        <v>4571</v>
      </c>
      <c r="J1560" s="5" t="s">
        <v>4572</v>
      </c>
      <c r="K1560" s="7" t="str">
        <f ca="1">IFERROR(__xludf.DUMMYFUNCTION("GOOGLETRANSLATE(H1560,""EN"",""ES"")"),"OTRAS HERRAMIENTAS E IMPLEMENTOS")</f>
        <v>OTRAS HERRAMIENTAS E IMPLEMENTOS</v>
      </c>
      <c r="L1560" s="5" t="str">
        <f ca="1">IFERROR(__xludf.DUMMYFUNCTION("GOOGLETRANSLATE(J1560,""EN"",""ES"")"),"Separadores de tallos")</f>
        <v>Separadores de tallos</v>
      </c>
      <c r="M1560" s="8" t="s">
        <v>26</v>
      </c>
      <c r="N1560" s="8"/>
    </row>
    <row r="1561" spans="1:14" ht="11.25" customHeight="1">
      <c r="A1561" s="5" t="s">
        <v>4139</v>
      </c>
      <c r="B1561" s="5" t="s">
        <v>4478</v>
      </c>
      <c r="C1561" s="5" t="s">
        <v>4573</v>
      </c>
      <c r="D1561" s="5" t="s">
        <v>4142</v>
      </c>
      <c r="E1561" s="5" t="s">
        <v>27</v>
      </c>
      <c r="F1561" s="5" t="s">
        <v>4143</v>
      </c>
      <c r="G1561" s="5" t="s">
        <v>4144</v>
      </c>
      <c r="H1561" s="5" t="s">
        <v>4480</v>
      </c>
      <c r="I1561" s="5" t="s">
        <v>4574</v>
      </c>
      <c r="J1561" s="5" t="s">
        <v>4575</v>
      </c>
      <c r="K1561" s="7" t="str">
        <f ca="1">IFERROR(__xludf.DUMMYFUNCTION("GOOGLETRANSLATE(H1561,""EN"",""ES"")"),"OTRAS HERRAMIENTAS E IMPLEMENTOS")</f>
        <v>OTRAS HERRAMIENTAS E IMPLEMENTOS</v>
      </c>
      <c r="L1561" s="5" t="str">
        <f ca="1">IFERROR(__xludf.DUMMYFUNCTION("GOOGLETRANSLATE(J1561,""EN"",""ES"")"),"Separadores de granos [herramientas manuales]")</f>
        <v>Separadores de granos [herramientas manuales]</v>
      </c>
      <c r="M1561" s="8" t="s">
        <v>26</v>
      </c>
      <c r="N1561" s="8"/>
    </row>
    <row r="1562" spans="1:14" ht="11.25" customHeight="1">
      <c r="A1562" s="5" t="s">
        <v>4139</v>
      </c>
      <c r="B1562" s="5" t="s">
        <v>4478</v>
      </c>
      <c r="C1562" s="5" t="s">
        <v>4576</v>
      </c>
      <c r="D1562" s="5" t="s">
        <v>4142</v>
      </c>
      <c r="E1562" s="5" t="s">
        <v>27</v>
      </c>
      <c r="F1562" s="5" t="s">
        <v>4143</v>
      </c>
      <c r="G1562" s="5" t="s">
        <v>4144</v>
      </c>
      <c r="H1562" s="5" t="s">
        <v>4480</v>
      </c>
      <c r="I1562" s="5" t="s">
        <v>4577</v>
      </c>
      <c r="J1562" s="5" t="s">
        <v>4578</v>
      </c>
      <c r="K1562" s="7" t="str">
        <f ca="1">IFERROR(__xludf.DUMMYFUNCTION("GOOGLETRANSLATE(H1562,""EN"",""ES"")"),"OTRAS HERRAMIENTAS E IMPLEMENTOS")</f>
        <v>OTRAS HERRAMIENTAS E IMPLEMENTOS</v>
      </c>
      <c r="L1562" s="5" t="str">
        <f ca="1">IFERROR(__xludf.DUMMYFUNCTION("GOOGLETRANSLATE(J1562,""EN"",""ES"")"),"Expansores de tubo")</f>
        <v>Expansores de tubo</v>
      </c>
      <c r="M1562" s="8" t="s">
        <v>26</v>
      </c>
      <c r="N1562" s="8"/>
    </row>
    <row r="1563" spans="1:14" ht="11.25" customHeight="1">
      <c r="A1563" s="5" t="s">
        <v>4139</v>
      </c>
      <c r="B1563" s="5" t="s">
        <v>4478</v>
      </c>
      <c r="C1563" s="5" t="s">
        <v>4579</v>
      </c>
      <c r="D1563" s="5" t="s">
        <v>4142</v>
      </c>
      <c r="E1563" s="5" t="s">
        <v>27</v>
      </c>
      <c r="F1563" s="5" t="s">
        <v>4143</v>
      </c>
      <c r="G1563" s="5" t="s">
        <v>4144</v>
      </c>
      <c r="H1563" s="5" t="s">
        <v>4480</v>
      </c>
      <c r="I1563" s="5" t="s">
        <v>4580</v>
      </c>
      <c r="J1563" s="5" t="s">
        <v>4581</v>
      </c>
      <c r="K1563" s="7" t="str">
        <f ca="1">IFERROR(__xludf.DUMMYFUNCTION("GOOGLETRANSLATE(H1563,""EN"",""ES"")"),"OTRAS HERRAMIENTAS E IMPLEMENTOS")</f>
        <v>OTRAS HERRAMIENTAS E IMPLEMENTOS</v>
      </c>
      <c r="L1563" s="5" t="str">
        <f ca="1">IFERROR(__xludf.DUMMYFUNCTION("GOOGLETRANSLATE(J1563,""EN"",""ES"")"),"Punzones [herramientas manuales]")</f>
        <v>Punzones [herramientas manuales]</v>
      </c>
      <c r="M1563" s="8" t="s">
        <v>26</v>
      </c>
      <c r="N1563" s="8"/>
    </row>
    <row r="1564" spans="1:14" ht="11.25" customHeight="1">
      <c r="A1564" s="5" t="s">
        <v>4139</v>
      </c>
      <c r="B1564" s="5" t="s">
        <v>4478</v>
      </c>
      <c r="C1564" s="5" t="s">
        <v>4579</v>
      </c>
      <c r="D1564" s="5" t="s">
        <v>4142</v>
      </c>
      <c r="E1564" s="5" t="s">
        <v>27</v>
      </c>
      <c r="F1564" s="5" t="s">
        <v>4143</v>
      </c>
      <c r="G1564" s="5" t="s">
        <v>4144</v>
      </c>
      <c r="H1564" s="5" t="s">
        <v>4480</v>
      </c>
      <c r="I1564" s="5" t="s">
        <v>4582</v>
      </c>
      <c r="J1564" s="5" t="s">
        <v>152</v>
      </c>
      <c r="K1564" s="7" t="str">
        <f ca="1">IFERROR(__xludf.DUMMYFUNCTION("GOOGLETRANSLATE(H1564,""EN"",""ES"")"),"OTRAS HERRAMIENTAS E IMPLEMENTOS")</f>
        <v>OTRAS HERRAMIENTAS E IMPLEMENTOS</v>
      </c>
      <c r="L1564" s="5" t="str">
        <f ca="1">IFERROR(__xludf.DUMMYFUNCTION("GOOGLETRANSLATE(J1564,""EN"",""ES"")"),"Deriva")</f>
        <v>Deriva</v>
      </c>
      <c r="M1564" s="8" t="s">
        <v>26</v>
      </c>
      <c r="N1564" s="8"/>
    </row>
    <row r="1565" spans="1:14" ht="11.25" customHeight="1">
      <c r="A1565" s="5" t="s">
        <v>4139</v>
      </c>
      <c r="B1565" s="5" t="s">
        <v>4478</v>
      </c>
      <c r="C1565" s="5" t="s">
        <v>4583</v>
      </c>
      <c r="D1565" s="5" t="s">
        <v>4142</v>
      </c>
      <c r="E1565" s="5" t="s">
        <v>27</v>
      </c>
      <c r="F1565" s="5" t="s">
        <v>4143</v>
      </c>
      <c r="G1565" s="5" t="s">
        <v>4144</v>
      </c>
      <c r="H1565" s="5" t="s">
        <v>4480</v>
      </c>
      <c r="I1565" s="5" t="s">
        <v>4584</v>
      </c>
      <c r="J1565" s="5" t="s">
        <v>4585</v>
      </c>
      <c r="K1565" s="7" t="str">
        <f ca="1">IFERROR(__xludf.DUMMYFUNCTION("GOOGLETRANSLATE(H1565,""EN"",""ES"")"),"OTRAS HERRAMIENTAS E IMPLEMENTOS")</f>
        <v>OTRAS HERRAMIENTAS E IMPLEMENTOS</v>
      </c>
      <c r="L1565" s="5" t="str">
        <f ca="1">IFERROR(__xludf.DUMMYFUNCTION("GOOGLETRANSLATE(J1565,""EN"",""ES"")"),"Yunques")</f>
        <v>Yunques</v>
      </c>
      <c r="M1565" s="8" t="s">
        <v>26</v>
      </c>
      <c r="N1565" s="8"/>
    </row>
    <row r="1566" spans="1:14" ht="11.25" customHeight="1">
      <c r="A1566" s="5" t="s">
        <v>4139</v>
      </c>
      <c r="B1566" s="5" t="s">
        <v>4478</v>
      </c>
      <c r="C1566" s="5" t="s">
        <v>4586</v>
      </c>
      <c r="D1566" s="5" t="s">
        <v>4142</v>
      </c>
      <c r="E1566" s="5" t="s">
        <v>27</v>
      </c>
      <c r="F1566" s="5" t="s">
        <v>4143</v>
      </c>
      <c r="G1566" s="5" t="s">
        <v>4144</v>
      </c>
      <c r="H1566" s="5" t="s">
        <v>4480</v>
      </c>
      <c r="I1566" s="5" t="s">
        <v>4587</v>
      </c>
      <c r="J1566" s="5" t="s">
        <v>4588</v>
      </c>
      <c r="K1566" s="7" t="str">
        <f ca="1">IFERROR(__xludf.DUMMYFUNCTION("GOOGLETRANSLATE(H1566,""EN"",""ES"")"),"OTRAS HERRAMIENTAS E IMPLEMENTOS")</f>
        <v>OTRAS HERRAMIENTAS E IMPLEMENTOS</v>
      </c>
      <c r="L1566" s="5" t="str">
        <f ca="1">IFERROR(__xludf.DUMMYFUNCTION("GOOGLETRANSLATE(J1566,""EN"",""ES"")"),"Marlinspikes")</f>
        <v>Marlinspikes</v>
      </c>
      <c r="M1566" s="8" t="s">
        <v>26</v>
      </c>
      <c r="N1566" s="8"/>
    </row>
    <row r="1567" spans="1:14" ht="11.25" customHeight="1">
      <c r="A1567" s="5" t="s">
        <v>4139</v>
      </c>
      <c r="B1567" s="5" t="s">
        <v>4478</v>
      </c>
      <c r="C1567" s="5" t="s">
        <v>4589</v>
      </c>
      <c r="D1567" s="5" t="s">
        <v>4142</v>
      </c>
      <c r="E1567" s="5" t="s">
        <v>27</v>
      </c>
      <c r="F1567" s="5" t="s">
        <v>4143</v>
      </c>
      <c r="G1567" s="5" t="s">
        <v>4144</v>
      </c>
      <c r="H1567" s="5" t="s">
        <v>4480</v>
      </c>
      <c r="I1567" s="5" t="s">
        <v>4590</v>
      </c>
      <c r="J1567" s="5" t="s">
        <v>4591</v>
      </c>
      <c r="K1567" s="7" t="str">
        <f ca="1">IFERROR(__xludf.DUMMYFUNCTION("GOOGLETRANSLATE(H1567,""EN"",""ES"")"),"OTRAS HERRAMIENTAS E IMPLEMENTOS")</f>
        <v>OTRAS HERRAMIENTAS E IMPLEMENTOS</v>
      </c>
      <c r="L1567" s="5" t="str">
        <f ca="1">IFERROR(__xludf.DUMMYFUNCTION("GOOGLETRANSLATE(J1567,""EN"",""ES"")"),"vicios")</f>
        <v>vicios</v>
      </c>
      <c r="M1567" s="8" t="s">
        <v>26</v>
      </c>
      <c r="N1567" s="8"/>
    </row>
    <row r="1568" spans="1:14" ht="11.25" customHeight="1">
      <c r="A1568" s="5" t="s">
        <v>4139</v>
      </c>
      <c r="B1568" s="5" t="s">
        <v>4478</v>
      </c>
      <c r="C1568" s="5" t="s">
        <v>4592</v>
      </c>
      <c r="D1568" s="5" t="s">
        <v>4142</v>
      </c>
      <c r="E1568" s="5" t="s">
        <v>27</v>
      </c>
      <c r="F1568" s="5" t="s">
        <v>4143</v>
      </c>
      <c r="G1568" s="5" t="s">
        <v>4144</v>
      </c>
      <c r="H1568" s="5" t="s">
        <v>4480</v>
      </c>
      <c r="I1568" s="5" t="s">
        <v>4593</v>
      </c>
      <c r="J1568" s="5" t="s">
        <v>4594</v>
      </c>
      <c r="K1568" s="7" t="str">
        <f ca="1">IFERROR(__xludf.DUMMYFUNCTION("GOOGLETRANSLATE(H1568,""EN"",""ES"")"),"OTRAS HERRAMIENTAS E IMPLEMENTOS")</f>
        <v>OTRAS HERRAMIENTAS E IMPLEMENTOS</v>
      </c>
      <c r="L1568" s="5" t="str">
        <f ca="1">IFERROR(__xludf.DUMMYFUNCTION("GOOGLETRANSLATE(J1568,""EN"",""ES"")"),"Formas para sombreros")</f>
        <v>Formas para sombreros</v>
      </c>
      <c r="M1568" s="8" t="s">
        <v>26</v>
      </c>
      <c r="N1568" s="8"/>
    </row>
    <row r="1569" spans="1:14" ht="11.25" customHeight="1">
      <c r="A1569" s="5" t="s">
        <v>4139</v>
      </c>
      <c r="B1569" s="5" t="s">
        <v>4478</v>
      </c>
      <c r="C1569" s="5" t="s">
        <v>4595</v>
      </c>
      <c r="D1569" s="5" t="s">
        <v>4142</v>
      </c>
      <c r="E1569" s="5" t="s">
        <v>27</v>
      </c>
      <c r="F1569" s="5" t="s">
        <v>4143</v>
      </c>
      <c r="G1569" s="5" t="s">
        <v>4144</v>
      </c>
      <c r="H1569" s="5" t="s">
        <v>4480</v>
      </c>
      <c r="I1569" s="5" t="s">
        <v>4596</v>
      </c>
      <c r="J1569" s="5" t="s">
        <v>4597</v>
      </c>
      <c r="K1569" s="7" t="str">
        <f ca="1">IFERROR(__xludf.DUMMYFUNCTION("GOOGLETRANSLATE(H1569,""EN"",""ES"")"),"OTRAS HERRAMIENTAS E IMPLEMENTOS")</f>
        <v>OTRAS HERRAMIENTAS E IMPLEMENTOS</v>
      </c>
      <c r="L1569" s="5" t="str">
        <f ca="1">IFERROR(__xludf.DUMMYFUNCTION("GOOGLETRANSLATE(J1569,""EN"",""ES"")"),"Dura")</f>
        <v>Dura</v>
      </c>
      <c r="M1569" s="8" t="s">
        <v>26</v>
      </c>
      <c r="N1569" s="8"/>
    </row>
    <row r="1570" spans="1:14" ht="11.25" customHeight="1">
      <c r="A1570" s="5" t="s">
        <v>4139</v>
      </c>
      <c r="B1570" s="5" t="s">
        <v>4478</v>
      </c>
      <c r="C1570" s="5" t="s">
        <v>4598</v>
      </c>
      <c r="D1570" s="5" t="s">
        <v>4142</v>
      </c>
      <c r="E1570" s="5" t="s">
        <v>27</v>
      </c>
      <c r="F1570" s="5" t="s">
        <v>4143</v>
      </c>
      <c r="G1570" s="5" t="s">
        <v>4144</v>
      </c>
      <c r="H1570" s="5" t="s">
        <v>4480</v>
      </c>
      <c r="I1570" s="5" t="s">
        <v>4599</v>
      </c>
      <c r="J1570" s="5" t="s">
        <v>4600</v>
      </c>
      <c r="K1570" s="7" t="str">
        <f ca="1">IFERROR(__xludf.DUMMYFUNCTION("GOOGLETRANSLATE(H1570,""EN"",""ES"")"),"OTRAS HERRAMIENTAS E IMPLEMENTOS")</f>
        <v>OTRAS HERRAMIENTAS E IMPLEMENTOS</v>
      </c>
      <c r="L1570" s="5" t="str">
        <f ca="1">IFERROR(__xludf.DUMMYFUNCTION("GOOGLETRANSLATE(J1570,""EN"",""ES"")"),"Horquillas [herramientas] [excepto tenedores de jardín]")</f>
        <v>Horquillas [herramientas] [excepto tenedores de jardín]</v>
      </c>
      <c r="M1570" s="8" t="s">
        <v>26</v>
      </c>
      <c r="N1570" s="8"/>
    </row>
    <row r="1571" spans="1:14" ht="11.25" customHeight="1">
      <c r="A1571" s="5" t="s">
        <v>4139</v>
      </c>
      <c r="B1571" s="5" t="s">
        <v>4478</v>
      </c>
      <c r="C1571" s="5" t="s">
        <v>4601</v>
      </c>
      <c r="D1571" s="5" t="s">
        <v>4142</v>
      </c>
      <c r="E1571" s="5" t="s">
        <v>27</v>
      </c>
      <c r="F1571" s="5" t="s">
        <v>4143</v>
      </c>
      <c r="G1571" s="5" t="s">
        <v>4144</v>
      </c>
      <c r="H1571" s="5" t="s">
        <v>4480</v>
      </c>
      <c r="I1571" s="5" t="s">
        <v>4602</v>
      </c>
      <c r="J1571" s="5" t="s">
        <v>4603</v>
      </c>
      <c r="K1571" s="7" t="str">
        <f ca="1">IFERROR(__xludf.DUMMYFUNCTION("GOOGLETRANSLATE(H1571,""EN"",""ES"")"),"OTRAS HERRAMIENTAS E IMPLEMENTOS")</f>
        <v>OTRAS HERRAMIENTAS E IMPLEMENTOS</v>
      </c>
      <c r="L1571" s="5" t="str">
        <f ca="1">IFERROR(__xludf.DUMMYFUNCTION("GOOGLETRANSLATE(J1571,""EN"",""ES"")"),"Horquillas para estiércol")</f>
        <v>Horquillas para estiércol</v>
      </c>
      <c r="M1571" s="8" t="s">
        <v>26</v>
      </c>
      <c r="N1571" s="8"/>
    </row>
    <row r="1572" spans="1:14" ht="11.25" customHeight="1">
      <c r="A1572" s="5" t="s">
        <v>4139</v>
      </c>
      <c r="B1572" s="5" t="s">
        <v>4478</v>
      </c>
      <c r="C1572" s="5" t="s">
        <v>4604</v>
      </c>
      <c r="D1572" s="5" t="s">
        <v>4142</v>
      </c>
      <c r="E1572" s="5" t="s">
        <v>27</v>
      </c>
      <c r="F1572" s="5" t="s">
        <v>4143</v>
      </c>
      <c r="G1572" s="5" t="s">
        <v>4144</v>
      </c>
      <c r="H1572" s="5" t="s">
        <v>4480</v>
      </c>
      <c r="I1572" s="5" t="s">
        <v>4605</v>
      </c>
      <c r="J1572" s="5" t="s">
        <v>4606</v>
      </c>
      <c r="K1572" s="7" t="str">
        <f ca="1">IFERROR(__xludf.DUMMYFUNCTION("GOOGLETRANSLATE(H1572,""EN"",""ES"")"),"OTRAS HERRAMIENTAS E IMPLEMENTOS")</f>
        <v>OTRAS HERRAMIENTAS E IMPLEMENTOS</v>
      </c>
      <c r="L1572" s="5" t="str">
        <f ca="1">IFERROR(__xludf.DUMMYFUNCTION("GOOGLETRANSLATE(J1572,""EN"",""ES"")"),"garfios")</f>
        <v>garfios</v>
      </c>
      <c r="M1572" s="8" t="s">
        <v>26</v>
      </c>
      <c r="N1572" s="8"/>
    </row>
    <row r="1573" spans="1:14" ht="11.25" customHeight="1">
      <c r="A1573" s="5" t="s">
        <v>4139</v>
      </c>
      <c r="B1573" s="5" t="s">
        <v>4478</v>
      </c>
      <c r="C1573" s="5" t="s">
        <v>4604</v>
      </c>
      <c r="D1573" s="5" t="s">
        <v>4142</v>
      </c>
      <c r="E1573" s="5" t="s">
        <v>27</v>
      </c>
      <c r="F1573" s="5" t="s">
        <v>4143</v>
      </c>
      <c r="G1573" s="5" t="s">
        <v>4144</v>
      </c>
      <c r="H1573" s="5" t="s">
        <v>4480</v>
      </c>
      <c r="I1573" s="5" t="s">
        <v>4607</v>
      </c>
      <c r="J1573" s="5" t="s">
        <v>152</v>
      </c>
      <c r="K1573" s="7" t="str">
        <f ca="1">IFERROR(__xludf.DUMMYFUNCTION("GOOGLETRANSLATE(H1573,""EN"",""ES"")"),"OTRAS HERRAMIENTAS E IMPLEMENTOS")</f>
        <v>OTRAS HERRAMIENTAS E IMPLEMENTOS</v>
      </c>
      <c r="L1573" s="5" t="str">
        <f ca="1">IFERROR(__xludf.DUMMYFUNCTION("GOOGLETRANSLATE(J1573,""EN"",""ES"")"),"Ganchos para barcos")</f>
        <v>Ganchos para barcos</v>
      </c>
      <c r="M1573" s="8" t="s">
        <v>26</v>
      </c>
      <c r="N1573" s="8"/>
    </row>
    <row r="1574" spans="1:14" ht="11.25" customHeight="1">
      <c r="A1574" s="5" t="s">
        <v>4139</v>
      </c>
      <c r="B1574" s="5" t="s">
        <v>4478</v>
      </c>
      <c r="C1574" s="5" t="s">
        <v>4608</v>
      </c>
      <c r="D1574" s="5" t="s">
        <v>4142</v>
      </c>
      <c r="E1574" s="5" t="s">
        <v>27</v>
      </c>
      <c r="F1574" s="5" t="s">
        <v>4143</v>
      </c>
      <c r="G1574" s="5" t="s">
        <v>4144</v>
      </c>
      <c r="H1574" s="5" t="s">
        <v>4480</v>
      </c>
      <c r="I1574" s="5" t="s">
        <v>4609</v>
      </c>
      <c r="J1574" s="5" t="s">
        <v>4610</v>
      </c>
      <c r="K1574" s="7" t="str">
        <f ca="1">IFERROR(__xludf.DUMMYFUNCTION("GOOGLETRANSLATE(H1574,""EN"",""ES"")"),"OTRAS HERRAMIENTAS E IMPLEMENTOS")</f>
        <v>OTRAS HERRAMIENTAS E IMPLEMENTOS</v>
      </c>
      <c r="L1574" s="5" t="str">
        <f ca="1">IFERROR(__xludf.DUMMYFUNCTION("GOOGLETRANSLATE(J1574,""EN"",""ES"")"),"rezones")</f>
        <v>rezones</v>
      </c>
      <c r="M1574" s="8" t="s">
        <v>26</v>
      </c>
      <c r="N1574" s="8"/>
    </row>
    <row r="1575" spans="1:14" ht="11.25" customHeight="1">
      <c r="A1575" s="5" t="s">
        <v>4139</v>
      </c>
      <c r="B1575" s="5" t="s">
        <v>4478</v>
      </c>
      <c r="C1575" s="5" t="s">
        <v>4611</v>
      </c>
      <c r="D1575" s="5" t="s">
        <v>4142</v>
      </c>
      <c r="E1575" s="5" t="s">
        <v>27</v>
      </c>
      <c r="F1575" s="5" t="s">
        <v>4143</v>
      </c>
      <c r="G1575" s="5" t="s">
        <v>4144</v>
      </c>
      <c r="H1575" s="5" t="s">
        <v>4480</v>
      </c>
      <c r="I1575" s="5" t="s">
        <v>4612</v>
      </c>
      <c r="J1575" s="5" t="s">
        <v>4613</v>
      </c>
      <c r="K1575" s="7" t="str">
        <f ca="1">IFERROR(__xludf.DUMMYFUNCTION("GOOGLETRANSLATE(H1575,""EN"",""ES"")"),"OTRAS HERRAMIENTAS E IMPLEMENTOS")</f>
        <v>OTRAS HERRAMIENTAS E IMPLEMENTOS</v>
      </c>
      <c r="L1575" s="5" t="str">
        <f ca="1">IFERROR(__xludf.DUMMYFUNCTION("GOOGLETRANSLATE(J1575,""EN"",""ES"")"),"Medidores de mesa de sierra")</f>
        <v>Medidores de mesa de sierra</v>
      </c>
      <c r="M1575" s="8" t="s">
        <v>26</v>
      </c>
      <c r="N1575" s="8"/>
    </row>
    <row r="1576" spans="1:14" ht="11.25" customHeight="1">
      <c r="A1576" s="5" t="s">
        <v>4139</v>
      </c>
      <c r="B1576" s="5" t="s">
        <v>4478</v>
      </c>
      <c r="C1576" s="5" t="s">
        <v>4614</v>
      </c>
      <c r="D1576" s="5" t="s">
        <v>4142</v>
      </c>
      <c r="E1576" s="5" t="s">
        <v>27</v>
      </c>
      <c r="F1576" s="5" t="s">
        <v>4143</v>
      </c>
      <c r="G1576" s="5" t="s">
        <v>4144</v>
      </c>
      <c r="H1576" s="5" t="s">
        <v>4480</v>
      </c>
      <c r="I1576" s="5" t="s">
        <v>4615</v>
      </c>
      <c r="J1576" s="5" t="s">
        <v>4616</v>
      </c>
      <c r="K1576" s="7" t="str">
        <f ca="1">IFERROR(__xludf.DUMMYFUNCTION("GOOGLETRANSLATE(H1576,""EN"",""ES"")"),"OTRAS HERRAMIENTAS E IMPLEMENTOS")</f>
        <v>OTRAS HERRAMIENTAS E IMPLEMENTOS</v>
      </c>
      <c r="L1576" s="5" t="str">
        <f ca="1">IFERROR(__xludf.DUMMYFUNCTION("GOOGLETRANSLATE(J1576,""EN"",""ES"")"),"Soldar tubos de soplado")</f>
        <v>Soldar tubos de soplado</v>
      </c>
      <c r="M1576" s="8" t="s">
        <v>26</v>
      </c>
      <c r="N1576" s="8"/>
    </row>
    <row r="1577" spans="1:14" ht="11.25" customHeight="1">
      <c r="A1577" s="5" t="s">
        <v>4139</v>
      </c>
      <c r="B1577" s="5" t="s">
        <v>4478</v>
      </c>
      <c r="C1577" s="5" t="s">
        <v>4614</v>
      </c>
      <c r="D1577" s="5" t="s">
        <v>4142</v>
      </c>
      <c r="E1577" s="5" t="s">
        <v>27</v>
      </c>
      <c r="F1577" s="5" t="s">
        <v>4143</v>
      </c>
      <c r="G1577" s="5" t="s">
        <v>4144</v>
      </c>
      <c r="H1577" s="5" t="s">
        <v>4480</v>
      </c>
      <c r="I1577" s="5" t="s">
        <v>4617</v>
      </c>
      <c r="J1577" s="5" t="s">
        <v>4618</v>
      </c>
      <c r="K1577" s="7" t="str">
        <f ca="1">IFERROR(__xludf.DUMMYFUNCTION("GOOGLETRANSLATE(H1577,""EN"",""ES"")"),"OTRAS HERRAMIENTAS E IMPLEMENTOS")</f>
        <v>OTRAS HERRAMIENTAS E IMPLEMENTOS</v>
      </c>
      <c r="L1577" s="5" t="str">
        <f ca="1">IFERROR(__xludf.DUMMYFUNCTION("GOOGLETRANSLATE(J1577,""EN"",""ES"")"),"Lámparas de soplado")</f>
        <v>Lámparas de soplado</v>
      </c>
      <c r="M1577" s="8" t="s">
        <v>26</v>
      </c>
      <c r="N1577" s="8"/>
    </row>
    <row r="1578" spans="1:14" ht="11.25" customHeight="1">
      <c r="A1578" s="5" t="s">
        <v>4139</v>
      </c>
      <c r="B1578" s="5" t="s">
        <v>4478</v>
      </c>
      <c r="C1578" s="5" t="s">
        <v>4614</v>
      </c>
      <c r="D1578" s="5" t="s">
        <v>4142</v>
      </c>
      <c r="E1578" s="5" t="s">
        <v>27</v>
      </c>
      <c r="F1578" s="5" t="s">
        <v>4143</v>
      </c>
      <c r="G1578" s="5" t="s">
        <v>4144</v>
      </c>
      <c r="H1578" s="5" t="s">
        <v>4480</v>
      </c>
      <c r="I1578" s="5" t="s">
        <v>4619</v>
      </c>
      <c r="J1578" s="5" t="s">
        <v>4620</v>
      </c>
      <c r="K1578" s="7" t="str">
        <f ca="1">IFERROR(__xludf.DUMMYFUNCTION("GOOGLETRANSLATE(H1578,""EN"",""ES"")"),"OTRAS HERRAMIENTAS E IMPLEMENTOS")</f>
        <v>OTRAS HERRAMIENTAS E IMPLEMENTOS</v>
      </c>
      <c r="L1578" s="5" t="str">
        <f ca="1">IFERROR(__xludf.DUMMYFUNCTION("GOOGLETRANSLATE(J1578,""EN"",""ES"")"),"Antorchas de soldadura")</f>
        <v>Antorchas de soldadura</v>
      </c>
      <c r="M1578" s="8" t="s">
        <v>26</v>
      </c>
      <c r="N1578" s="8"/>
    </row>
    <row r="1579" spans="1:14" ht="11.25" customHeight="1">
      <c r="A1579" s="5" t="s">
        <v>4139</v>
      </c>
      <c r="B1579" s="5" t="s">
        <v>4478</v>
      </c>
      <c r="C1579" s="5" t="s">
        <v>4621</v>
      </c>
      <c r="D1579" s="5" t="s">
        <v>4142</v>
      </c>
      <c r="E1579" s="5" t="s">
        <v>27</v>
      </c>
      <c r="F1579" s="5" t="s">
        <v>4143</v>
      </c>
      <c r="G1579" s="5" t="s">
        <v>4144</v>
      </c>
      <c r="H1579" s="5" t="s">
        <v>4480</v>
      </c>
      <c r="I1579" s="5" t="s">
        <v>4622</v>
      </c>
      <c r="J1579" s="5" t="s">
        <v>4623</v>
      </c>
      <c r="K1579" s="7" t="str">
        <f ca="1">IFERROR(__xludf.DUMMYFUNCTION("GOOGLETRANSLATE(H1579,""EN"",""ES"")"),"OTRAS HERRAMIENTAS E IMPLEMENTOS")</f>
        <v>OTRAS HERRAMIENTAS E IMPLEMENTOS</v>
      </c>
      <c r="L1579" s="5" t="str">
        <f ca="1">IFERROR(__xludf.DUMMYFUNCTION("GOOGLETRANSLATE(J1579,""EN"",""ES"")"),"Palancas [herramientas]")</f>
        <v>Palancas [herramientas]</v>
      </c>
      <c r="M1579" s="8" t="s">
        <v>26</v>
      </c>
      <c r="N1579" s="8"/>
    </row>
    <row r="1580" spans="1:14" ht="11.25" customHeight="1">
      <c r="A1580" s="5" t="s">
        <v>4139</v>
      </c>
      <c r="B1580" s="5" t="s">
        <v>4478</v>
      </c>
      <c r="C1580" s="5" t="s">
        <v>4624</v>
      </c>
      <c r="D1580" s="5" t="s">
        <v>4142</v>
      </c>
      <c r="E1580" s="5" t="s">
        <v>27</v>
      </c>
      <c r="F1580" s="5" t="s">
        <v>4143</v>
      </c>
      <c r="G1580" s="5" t="s">
        <v>4144</v>
      </c>
      <c r="H1580" s="5" t="s">
        <v>4480</v>
      </c>
      <c r="I1580" s="5" t="s">
        <v>4625</v>
      </c>
      <c r="J1580" s="5" t="s">
        <v>4626</v>
      </c>
      <c r="K1580" s="7" t="str">
        <f ca="1">IFERROR(__xludf.DUMMYFUNCTION("GOOGLETRANSLATE(H1580,""EN"",""ES"")"),"OTRAS HERRAMIENTAS E IMPLEMENTOS")</f>
        <v>OTRAS HERRAMIENTAS E IMPLEMENTOS</v>
      </c>
      <c r="L1580" s="5" t="str">
        <f ca="1">IFERROR(__xludf.DUMMYFUNCTION("GOOGLETRANSLATE(J1580,""EN"",""ES"")"),"Aparatos de pulido de corcho")</f>
        <v>Aparatos de pulido de corcho</v>
      </c>
      <c r="M1580" s="8" t="s">
        <v>26</v>
      </c>
      <c r="N1580" s="8"/>
    </row>
    <row r="1581" spans="1:14" ht="11.25" customHeight="1">
      <c r="A1581" s="5" t="s">
        <v>4139</v>
      </c>
      <c r="B1581" s="5" t="s">
        <v>4478</v>
      </c>
      <c r="C1581" s="5" t="s">
        <v>4627</v>
      </c>
      <c r="D1581" s="5" t="s">
        <v>4142</v>
      </c>
      <c r="E1581" s="5" t="s">
        <v>27</v>
      </c>
      <c r="F1581" s="5" t="s">
        <v>4143</v>
      </c>
      <c r="G1581" s="5" t="s">
        <v>4144</v>
      </c>
      <c r="H1581" s="5" t="s">
        <v>4480</v>
      </c>
      <c r="I1581" s="5" t="s">
        <v>4628</v>
      </c>
      <c r="J1581" s="5" t="s">
        <v>4629</v>
      </c>
      <c r="K1581" s="7" t="str">
        <f ca="1">IFERROR(__xludf.DUMMYFUNCTION("GOOGLETRANSLATE(H1581,""EN"",""ES"")"),"OTRAS HERRAMIENTAS E IMPLEMENTOS")</f>
        <v>OTRAS HERRAMIENTAS E IMPLEMENTOS</v>
      </c>
      <c r="L1581" s="5" t="str">
        <f ca="1">IFERROR(__xludf.DUMMYFUNCTION("GOOGLETRANSLATE(J1581,""EN"",""ES"")"),"Limas abrasivas")</f>
        <v>Limas abrasivas</v>
      </c>
      <c r="M1581" s="8" t="s">
        <v>26</v>
      </c>
      <c r="N1581" s="8"/>
    </row>
    <row r="1582" spans="1:14" ht="11.25" customHeight="1">
      <c r="A1582" s="5" t="s">
        <v>4139</v>
      </c>
      <c r="B1582" s="5" t="s">
        <v>4478</v>
      </c>
      <c r="C1582" s="5" t="s">
        <v>4630</v>
      </c>
      <c r="D1582" s="5" t="s">
        <v>4142</v>
      </c>
      <c r="E1582" s="5" t="s">
        <v>27</v>
      </c>
      <c r="F1582" s="5" t="s">
        <v>4143</v>
      </c>
      <c r="G1582" s="5" t="s">
        <v>4144</v>
      </c>
      <c r="H1582" s="5" t="s">
        <v>4480</v>
      </c>
      <c r="I1582" s="5" t="s">
        <v>4631</v>
      </c>
      <c r="J1582" s="5" t="s">
        <v>4632</v>
      </c>
      <c r="K1582" s="7" t="str">
        <f ca="1">IFERROR(__xludf.DUMMYFUNCTION("GOOGLETRANSLATE(H1582,""EN"",""ES"")"),"OTRAS HERRAMIENTAS E IMPLEMENTOS")</f>
        <v>OTRAS HERRAMIENTAS E IMPLEMENTOS</v>
      </c>
      <c r="L1582" s="5" t="str">
        <f ca="1">IFERROR(__xludf.DUMMYFUNCTION("GOOGLETRANSLATE(J1582,""EN"",""ES"")"),"Lingoteras")</f>
        <v>Lingoteras</v>
      </c>
      <c r="M1582" s="8" t="s">
        <v>26</v>
      </c>
      <c r="N1582" s="8"/>
    </row>
    <row r="1583" spans="1:14" ht="11.25" customHeight="1">
      <c r="A1583" s="5" t="s">
        <v>4139</v>
      </c>
      <c r="B1583" s="5" t="s">
        <v>4478</v>
      </c>
      <c r="C1583" s="5" t="s">
        <v>4630</v>
      </c>
      <c r="D1583" s="5" t="s">
        <v>4142</v>
      </c>
      <c r="E1583" s="5" t="s">
        <v>27</v>
      </c>
      <c r="F1583" s="5" t="s">
        <v>4143</v>
      </c>
      <c r="G1583" s="5" t="s">
        <v>4144</v>
      </c>
      <c r="H1583" s="5" t="s">
        <v>4480</v>
      </c>
      <c r="I1583" s="5" t="s">
        <v>4633</v>
      </c>
      <c r="J1583" s="5" t="s">
        <v>152</v>
      </c>
      <c r="K1583" s="7" t="str">
        <f ca="1">IFERROR(__xludf.DUMMYFUNCTION("GOOGLETRANSLATE(H1583,""EN"",""ES"")"),"OTRAS HERRAMIENTAS E IMPLEMENTOS")</f>
        <v>OTRAS HERRAMIENTAS E IMPLEMENTOS</v>
      </c>
      <c r="L1583" s="5" t="str">
        <f ca="1">IFERROR(__xludf.DUMMYFUNCTION("GOOGLETRANSLATE(J1583,""EN"",""ES"")"),"Lingoteras")</f>
        <v>Lingoteras</v>
      </c>
      <c r="M1583" s="8" t="s">
        <v>26</v>
      </c>
      <c r="N1583" s="8"/>
    </row>
    <row r="1584" spans="1:14" ht="11.25" customHeight="1">
      <c r="A1584" s="5" t="s">
        <v>4139</v>
      </c>
      <c r="B1584" s="5" t="s">
        <v>4478</v>
      </c>
      <c r="C1584" s="5" t="s">
        <v>4634</v>
      </c>
      <c r="D1584" s="5" t="s">
        <v>4142</v>
      </c>
      <c r="E1584" s="5" t="s">
        <v>27</v>
      </c>
      <c r="F1584" s="5" t="s">
        <v>4143</v>
      </c>
      <c r="G1584" s="5" t="s">
        <v>4144</v>
      </c>
      <c r="H1584" s="5" t="s">
        <v>4480</v>
      </c>
      <c r="I1584" s="5" t="s">
        <v>4635</v>
      </c>
      <c r="J1584" s="5" t="s">
        <v>4636</v>
      </c>
      <c r="K1584" s="7" t="str">
        <f ca="1">IFERROR(__xludf.DUMMYFUNCTION("GOOGLETRANSLATE(H1584,""EN"",""ES"")"),"OTRAS HERRAMIENTAS E IMPLEMENTOS")</f>
        <v>OTRAS HERRAMIENTAS E IMPLEMENTOS</v>
      </c>
      <c r="L1584" s="5" t="str">
        <f ca="1">IFERROR(__xludf.DUMMYFUNCTION("GOOGLETRANSLATE(J1584,""EN"",""ES"")"),"Herramientas para limpiar tuberías metálicas.")</f>
        <v>Herramientas para limpiar tuberías metálicas.</v>
      </c>
      <c r="M1584" s="8" t="s">
        <v>26</v>
      </c>
      <c r="N1584" s="8"/>
    </row>
    <row r="1585" spans="1:14" ht="11.25" customHeight="1">
      <c r="A1585" s="5" t="s">
        <v>4139</v>
      </c>
      <c r="B1585" s="5" t="s">
        <v>4478</v>
      </c>
      <c r="C1585" s="5" t="s">
        <v>4637</v>
      </c>
      <c r="D1585" s="5" t="s">
        <v>4142</v>
      </c>
      <c r="E1585" s="5" t="s">
        <v>27</v>
      </c>
      <c r="F1585" s="5" t="s">
        <v>4143</v>
      </c>
      <c r="G1585" s="5" t="s">
        <v>4144</v>
      </c>
      <c r="H1585" s="5" t="s">
        <v>4480</v>
      </c>
      <c r="I1585" s="5" t="s">
        <v>4638</v>
      </c>
      <c r="J1585" s="5" t="s">
        <v>4639</v>
      </c>
      <c r="K1585" s="7" t="str">
        <f ca="1">IFERROR(__xludf.DUMMYFUNCTION("GOOGLETRANSLATE(H1585,""EN"",""ES"")"),"OTRAS HERRAMIENTAS E IMPLEMENTOS")</f>
        <v>OTRAS HERRAMIENTAS E IMPLEMENTOS</v>
      </c>
      <c r="L1585" s="5" t="str">
        <f ca="1">IFERROR(__xludf.DUMMYFUNCTION("GOOGLETRANSLATE(J1585,""EN"",""ES"")"),"Herramientas de descongelación")</f>
        <v>Herramientas de descongelación</v>
      </c>
      <c r="M1585" s="8" t="s">
        <v>26</v>
      </c>
      <c r="N1585" s="8"/>
    </row>
    <row r="1586" spans="1:14" ht="11.25" customHeight="1">
      <c r="A1586" s="5" t="s">
        <v>4139</v>
      </c>
      <c r="B1586" s="5" t="s">
        <v>4478</v>
      </c>
      <c r="C1586" s="5" t="s">
        <v>4640</v>
      </c>
      <c r="D1586" s="5" t="s">
        <v>4142</v>
      </c>
      <c r="E1586" s="5" t="s">
        <v>27</v>
      </c>
      <c r="F1586" s="5" t="s">
        <v>4143</v>
      </c>
      <c r="G1586" s="5" t="s">
        <v>4144</v>
      </c>
      <c r="H1586" s="5" t="s">
        <v>4480</v>
      </c>
      <c r="I1586" s="5" t="s">
        <v>4641</v>
      </c>
      <c r="J1586" s="5" t="s">
        <v>4642</v>
      </c>
      <c r="K1586" s="7" t="str">
        <f ca="1">IFERROR(__xludf.DUMMYFUNCTION("GOOGLETRANSLATE(H1586,""EN"",""ES"")"),"OTRAS HERRAMIENTAS E IMPLEMENTOS")</f>
        <v>OTRAS HERRAMIENTAS E IMPLEMENTOS</v>
      </c>
      <c r="L1586" s="5" t="str">
        <f ca="1">IFERROR(__xludf.DUMMYFUNCTION("GOOGLETRANSLATE(J1586,""EN"",""ES"")"),"Implementos para calafatear")</f>
        <v>Implementos para calafatear</v>
      </c>
      <c r="M1586" s="8" t="s">
        <v>26</v>
      </c>
      <c r="N1586" s="8"/>
    </row>
    <row r="1587" spans="1:14" ht="11.25" customHeight="1">
      <c r="A1587" s="5" t="s">
        <v>4139</v>
      </c>
      <c r="B1587" s="5" t="s">
        <v>4478</v>
      </c>
      <c r="C1587" s="5" t="s">
        <v>4640</v>
      </c>
      <c r="D1587" s="5" t="s">
        <v>4142</v>
      </c>
      <c r="E1587" s="5" t="s">
        <v>27</v>
      </c>
      <c r="F1587" s="5" t="s">
        <v>4143</v>
      </c>
      <c r="G1587" s="5" t="s">
        <v>4144</v>
      </c>
      <c r="H1587" s="5" t="s">
        <v>4480</v>
      </c>
      <c r="I1587" s="5" t="s">
        <v>4643</v>
      </c>
      <c r="J1587" s="5" t="s">
        <v>152</v>
      </c>
      <c r="K1587" s="7" t="str">
        <f ca="1">IFERROR(__xludf.DUMMYFUNCTION("GOOGLETRANSLATE(H1587,""EN"",""ES"")"),"OTRAS HERRAMIENTAS E IMPLEMENTOS")</f>
        <v>OTRAS HERRAMIENTAS E IMPLEMENTOS</v>
      </c>
      <c r="L1587" s="5" t="str">
        <f ca="1">IFERROR(__xludf.DUMMYFUNCTION("GOOGLETRANSLATE(J1587,""EN"",""ES"")"),"Implementos para calafatear")</f>
        <v>Implementos para calafatear</v>
      </c>
      <c r="M1587" s="8" t="s">
        <v>26</v>
      </c>
      <c r="N1587" s="8"/>
    </row>
    <row r="1588" spans="1:14" ht="11.25" customHeight="1">
      <c r="A1588" s="5" t="s">
        <v>4139</v>
      </c>
      <c r="B1588" s="5" t="s">
        <v>4478</v>
      </c>
      <c r="C1588" s="5" t="s">
        <v>4644</v>
      </c>
      <c r="D1588" s="5" t="s">
        <v>4142</v>
      </c>
      <c r="E1588" s="5" t="s">
        <v>27</v>
      </c>
      <c r="F1588" s="5" t="s">
        <v>4143</v>
      </c>
      <c r="G1588" s="5" t="s">
        <v>4144</v>
      </c>
      <c r="H1588" s="5" t="s">
        <v>4480</v>
      </c>
      <c r="I1588" s="5" t="s">
        <v>4645</v>
      </c>
      <c r="J1588" s="5" t="s">
        <v>4646</v>
      </c>
      <c r="K1588" s="7" t="str">
        <f ca="1">IFERROR(__xludf.DUMMYFUNCTION("GOOGLETRANSLATE(H1588,""EN"",""ES"")"),"OTRAS HERRAMIENTAS E IMPLEMENTOS")</f>
        <v>OTRAS HERRAMIENTAS E IMPLEMENTOS</v>
      </c>
      <c r="L1588" s="5" t="str">
        <f ca="1">IFERROR(__xludf.DUMMYFUNCTION("GOOGLETRANSLATE(J1588,""EN"",""ES"")"),"Estacas [marroquinería]")</f>
        <v>Estacas [marroquinería]</v>
      </c>
      <c r="M1588" s="8" t="s">
        <v>26</v>
      </c>
      <c r="N1588" s="8"/>
    </row>
    <row r="1589" spans="1:14" ht="11.25" customHeight="1">
      <c r="A1589" s="5" t="s">
        <v>4139</v>
      </c>
      <c r="B1589" s="5" t="s">
        <v>4478</v>
      </c>
      <c r="C1589" s="5" t="s">
        <v>4647</v>
      </c>
      <c r="D1589" s="5" t="s">
        <v>4142</v>
      </c>
      <c r="E1589" s="5" t="s">
        <v>27</v>
      </c>
      <c r="F1589" s="5" t="s">
        <v>4143</v>
      </c>
      <c r="G1589" s="5" t="s">
        <v>4144</v>
      </c>
      <c r="H1589" s="5" t="s">
        <v>4480</v>
      </c>
      <c r="I1589" s="5" t="s">
        <v>4648</v>
      </c>
      <c r="J1589" s="5" t="s">
        <v>4649</v>
      </c>
      <c r="K1589" s="7" t="str">
        <f ca="1">IFERROR(__xludf.DUMMYFUNCTION("GOOGLETRANSLATE(H1589,""EN"",""ES"")"),"OTRAS HERRAMIENTAS E IMPLEMENTOS")</f>
        <v>OTRAS HERRAMIENTAS E IMPLEMENTOS</v>
      </c>
      <c r="L1589" s="5" t="str">
        <f ca="1">IFERROR(__xludf.DUMMYFUNCTION("GOOGLETRANSLATE(J1589,""EN"",""ES"")"),"Moldes de pan para panaderos")</f>
        <v>Moldes de pan para panaderos</v>
      </c>
      <c r="M1589" s="8" t="s">
        <v>26</v>
      </c>
      <c r="N1589" s="8"/>
    </row>
    <row r="1590" spans="1:14" ht="11.25" customHeight="1">
      <c r="A1590" s="5" t="s">
        <v>4139</v>
      </c>
      <c r="B1590" s="5" t="s">
        <v>4478</v>
      </c>
      <c r="C1590" s="5" t="s">
        <v>4647</v>
      </c>
      <c r="D1590" s="5" t="s">
        <v>4142</v>
      </c>
      <c r="E1590" s="5" t="s">
        <v>27</v>
      </c>
      <c r="F1590" s="5" t="s">
        <v>4143</v>
      </c>
      <c r="G1590" s="5" t="s">
        <v>4144</v>
      </c>
      <c r="H1590" s="5" t="s">
        <v>4480</v>
      </c>
      <c r="I1590" s="5" t="s">
        <v>4650</v>
      </c>
      <c r="J1590" s="5" t="s">
        <v>152</v>
      </c>
      <c r="K1590" s="7" t="str">
        <f ca="1">IFERROR(__xludf.DUMMYFUNCTION("GOOGLETRANSLATE(H1590,""EN"",""ES"")"),"OTRAS HERRAMIENTAS E IMPLEMENTOS")</f>
        <v>OTRAS HERRAMIENTAS E IMPLEMENTOS</v>
      </c>
      <c r="L1590" s="5" t="str">
        <f ca="1">IFERROR(__xludf.DUMMYFUNCTION("GOOGLETRANSLATE(J1590,""EN"",""ES"")"),"Moldes de pan para panaderos")</f>
        <v>Moldes de pan para panaderos</v>
      </c>
      <c r="M1590" s="8" t="s">
        <v>26</v>
      </c>
      <c r="N1590" s="8"/>
    </row>
    <row r="1591" spans="1:14" ht="11.25" customHeight="1">
      <c r="A1591" s="5" t="s">
        <v>4139</v>
      </c>
      <c r="B1591" s="5" t="s">
        <v>4478</v>
      </c>
      <c r="C1591" s="5" t="s">
        <v>4651</v>
      </c>
      <c r="D1591" s="5" t="s">
        <v>4142</v>
      </c>
      <c r="E1591" s="5" t="s">
        <v>27</v>
      </c>
      <c r="F1591" s="5" t="s">
        <v>4143</v>
      </c>
      <c r="G1591" s="5" t="s">
        <v>4144</v>
      </c>
      <c r="H1591" s="5" t="s">
        <v>4480</v>
      </c>
      <c r="I1591" s="5" t="s">
        <v>4652</v>
      </c>
      <c r="J1591" s="5" t="s">
        <v>4653</v>
      </c>
      <c r="K1591" s="7" t="str">
        <f ca="1">IFERROR(__xludf.DUMMYFUNCTION("GOOGLETRANSLATE(H1591,""EN"",""ES"")"),"OTRAS HERRAMIENTAS E IMPLEMENTOS")</f>
        <v>OTRAS HERRAMIENTAS E IMPLEMENTOS</v>
      </c>
      <c r="L1591" s="5" t="str">
        <f ca="1">IFERROR(__xludf.DUMMYFUNCTION("GOOGLETRANSLATE(J1591,""EN"",""ES"")"),"palancas")</f>
        <v>palancas</v>
      </c>
      <c r="M1591" s="8" t="s">
        <v>26</v>
      </c>
      <c r="N1591" s="8"/>
    </row>
    <row r="1592" spans="1:14" ht="11.25" customHeight="1">
      <c r="A1592" s="5" t="s">
        <v>4139</v>
      </c>
      <c r="B1592" s="5" t="s">
        <v>4478</v>
      </c>
      <c r="C1592" s="5" t="s">
        <v>4654</v>
      </c>
      <c r="D1592" s="5" t="s">
        <v>4142</v>
      </c>
      <c r="E1592" s="5" t="s">
        <v>27</v>
      </c>
      <c r="F1592" s="5" t="s">
        <v>4143</v>
      </c>
      <c r="G1592" s="5" t="s">
        <v>4144</v>
      </c>
      <c r="H1592" s="5" t="s">
        <v>4480</v>
      </c>
      <c r="I1592" s="5" t="s">
        <v>4655</v>
      </c>
      <c r="J1592" s="5" t="s">
        <v>4656</v>
      </c>
      <c r="K1592" s="7" t="str">
        <f ca="1">IFERROR(__xludf.DUMMYFUNCTION("GOOGLETRANSLATE(H1592,""EN"",""ES"")"),"OTRAS HERRAMIENTAS E IMPLEMENTOS")</f>
        <v>OTRAS HERRAMIENTAS E IMPLEMENTOS</v>
      </c>
      <c r="L1592" s="5" t="str">
        <f ca="1">IFERROR(__xludf.DUMMYFUNCTION("GOOGLETRANSLATE(J1592,""EN"",""ES"")"),"Alicates [herramientas]")</f>
        <v>Alicates [herramientas]</v>
      </c>
      <c r="M1592" s="8" t="s">
        <v>26</v>
      </c>
      <c r="N1592" s="8"/>
    </row>
    <row r="1593" spans="1:14" ht="11.25" customHeight="1">
      <c r="A1593" s="5" t="s">
        <v>4139</v>
      </c>
      <c r="B1593" s="5" t="s">
        <v>4478</v>
      </c>
      <c r="C1593" s="5" t="s">
        <v>4657</v>
      </c>
      <c r="D1593" s="5" t="s">
        <v>4142</v>
      </c>
      <c r="E1593" s="5" t="s">
        <v>27</v>
      </c>
      <c r="F1593" s="5" t="s">
        <v>4143</v>
      </c>
      <c r="G1593" s="5" t="s">
        <v>4144</v>
      </c>
      <c r="H1593" s="5" t="s">
        <v>4480</v>
      </c>
      <c r="I1593" s="5" t="s">
        <v>4658</v>
      </c>
      <c r="J1593" s="5" t="s">
        <v>4659</v>
      </c>
      <c r="K1593" s="7" t="str">
        <f ca="1">IFERROR(__xludf.DUMMYFUNCTION("GOOGLETRANSLATE(H1593,""EN"",""ES"")"),"OTRAS HERRAMIENTAS E IMPLEMENTOS")</f>
        <v>OTRAS HERRAMIENTAS E IMPLEMENTOS</v>
      </c>
      <c r="L1593" s="5" t="str">
        <f ca="1">IFERROR(__xludf.DUMMYFUNCTION("GOOGLETRANSLATE(J1593,""EN"",""ES"")"),"Pinzas de vidriero")</f>
        <v>Pinzas de vidriero</v>
      </c>
      <c r="M1593" s="8" t="s">
        <v>26</v>
      </c>
      <c r="N1593" s="8"/>
    </row>
    <row r="1594" spans="1:14" ht="11.25" customHeight="1">
      <c r="A1594" s="5" t="s">
        <v>4139</v>
      </c>
      <c r="B1594" s="5" t="s">
        <v>4478</v>
      </c>
      <c r="C1594" s="5" t="s">
        <v>4660</v>
      </c>
      <c r="D1594" s="5" t="s">
        <v>4142</v>
      </c>
      <c r="E1594" s="5" t="s">
        <v>27</v>
      </c>
      <c r="F1594" s="5" t="s">
        <v>4143</v>
      </c>
      <c r="G1594" s="5" t="s">
        <v>4144</v>
      </c>
      <c r="H1594" s="5" t="s">
        <v>4480</v>
      </c>
      <c r="I1594" s="5" t="s">
        <v>4661</v>
      </c>
      <c r="J1594" s="5" t="s">
        <v>4662</v>
      </c>
      <c r="K1594" s="7" t="str">
        <f ca="1">IFERROR(__xludf.DUMMYFUNCTION("GOOGLETRANSLATE(H1594,""EN"",""ES"")"),"OTRAS HERRAMIENTAS E IMPLEMENTOS")</f>
        <v>OTRAS HERRAMIENTAS E IMPLEMENTOS</v>
      </c>
      <c r="L1594" s="5" t="str">
        <f ca="1">IFERROR(__xludf.DUMMYFUNCTION("GOOGLETRANSLATE(J1594,""EN"",""ES"")"),"Colocadores de puntos de vidrieros")</f>
        <v>Colocadores de puntos de vidrieros</v>
      </c>
      <c r="M1594" s="8" t="s">
        <v>26</v>
      </c>
      <c r="N1594" s="8"/>
    </row>
    <row r="1595" spans="1:14" ht="11.25" customHeight="1">
      <c r="A1595" s="5" t="s">
        <v>4139</v>
      </c>
      <c r="B1595" s="5" t="s">
        <v>4478</v>
      </c>
      <c r="C1595" s="5" t="s">
        <v>4663</v>
      </c>
      <c r="D1595" s="5" t="s">
        <v>4142</v>
      </c>
      <c r="E1595" s="5" t="s">
        <v>27</v>
      </c>
      <c r="F1595" s="5" t="s">
        <v>4143</v>
      </c>
      <c r="G1595" s="5" t="s">
        <v>4144</v>
      </c>
      <c r="H1595" s="5" t="s">
        <v>4480</v>
      </c>
      <c r="I1595" s="5" t="s">
        <v>4664</v>
      </c>
      <c r="J1595" s="5" t="s">
        <v>4665</v>
      </c>
      <c r="K1595" s="7" t="str">
        <f ca="1">IFERROR(__xludf.DUMMYFUNCTION("GOOGLETRANSLATE(H1595,""EN"",""ES"")"),"OTRAS HERRAMIENTAS E IMPLEMENTOS")</f>
        <v>OTRAS HERRAMIENTAS E IMPLEMENTOS</v>
      </c>
      <c r="L1595" s="5" t="str">
        <f ca="1">IFERROR(__xludf.DUMMYFUNCTION("GOOGLETRANSLATE(J1595,""EN"",""ES"")"),"escribanos")</f>
        <v>escribanos</v>
      </c>
      <c r="M1595" s="8" t="s">
        <v>26</v>
      </c>
      <c r="N1595" s="8"/>
    </row>
    <row r="1596" spans="1:14" ht="11.25" customHeight="1">
      <c r="A1596" s="5" t="s">
        <v>4139</v>
      </c>
      <c r="B1596" s="5" t="s">
        <v>4478</v>
      </c>
      <c r="C1596" s="5" t="s">
        <v>4666</v>
      </c>
      <c r="D1596" s="5" t="s">
        <v>4142</v>
      </c>
      <c r="E1596" s="5" t="s">
        <v>27</v>
      </c>
      <c r="F1596" s="5" t="s">
        <v>4143</v>
      </c>
      <c r="G1596" s="5" t="s">
        <v>4144</v>
      </c>
      <c r="H1596" s="5" t="s">
        <v>4480</v>
      </c>
      <c r="I1596" s="5" t="s">
        <v>4667</v>
      </c>
      <c r="J1596" s="5" t="s">
        <v>4668</v>
      </c>
      <c r="K1596" s="7" t="str">
        <f ca="1">IFERROR(__xludf.DUMMYFUNCTION("GOOGLETRANSLATE(H1596,""EN"",""ES"")"),"OTRAS HERRAMIENTAS E IMPLEMENTOS")</f>
        <v>OTRAS HERRAMIENTAS E IMPLEMENTOS</v>
      </c>
      <c r="L1596" s="5" t="str">
        <f ca="1">IFERROR(__xludf.DUMMYFUNCTION("GOOGLETRANSLATE(J1596,""EN"",""ES"")"),"Aerosoles de pintura para uso en la construcción.")</f>
        <v>Aerosoles de pintura para uso en la construcción.</v>
      </c>
      <c r="M1596" s="8" t="s">
        <v>26</v>
      </c>
      <c r="N1596" s="8"/>
    </row>
    <row r="1597" spans="1:14" ht="11.25" customHeight="1">
      <c r="A1597" s="5" t="s">
        <v>4139</v>
      </c>
      <c r="B1597" s="5" t="s">
        <v>4478</v>
      </c>
      <c r="C1597" s="5" t="s">
        <v>4669</v>
      </c>
      <c r="D1597" s="5" t="s">
        <v>4142</v>
      </c>
      <c r="E1597" s="5" t="s">
        <v>27</v>
      </c>
      <c r="F1597" s="5" t="s">
        <v>4143</v>
      </c>
      <c r="G1597" s="5" t="s">
        <v>4144</v>
      </c>
      <c r="H1597" s="5" t="s">
        <v>4480</v>
      </c>
      <c r="I1597" s="5" t="s">
        <v>4670</v>
      </c>
      <c r="J1597" s="5" t="s">
        <v>4671</v>
      </c>
      <c r="K1597" s="7" t="str">
        <f ca="1">IFERROR(__xludf.DUMMYFUNCTION("GOOGLETRANSLATE(H1597,""EN"",""ES"")"),"OTRAS HERRAMIENTAS E IMPLEMENTOS")</f>
        <v>OTRAS HERRAMIENTAS E IMPLEMENTOS</v>
      </c>
      <c r="L1597" s="5" t="str">
        <f ca="1">IFERROR(__xludf.DUMMYFUNCTION("GOOGLETRANSLATE(J1597,""EN"",""ES"")"),"Portavoces")</f>
        <v>Portavoces</v>
      </c>
      <c r="M1597" s="8" t="s">
        <v>26</v>
      </c>
      <c r="N1597" s="8"/>
    </row>
    <row r="1598" spans="1:14" ht="11.25" customHeight="1">
      <c r="A1598" s="5" t="s">
        <v>4139</v>
      </c>
      <c r="B1598" s="5" t="s">
        <v>4478</v>
      </c>
      <c r="C1598" s="5" t="s">
        <v>4672</v>
      </c>
      <c r="D1598" s="5" t="s">
        <v>4142</v>
      </c>
      <c r="E1598" s="5" t="s">
        <v>27</v>
      </c>
      <c r="F1598" s="5" t="s">
        <v>4143</v>
      </c>
      <c r="G1598" s="5" t="s">
        <v>4144</v>
      </c>
      <c r="H1598" s="5" t="s">
        <v>4480</v>
      </c>
      <c r="I1598" s="5" t="s">
        <v>4673</v>
      </c>
      <c r="J1598" s="5" t="s">
        <v>4674</v>
      </c>
      <c r="K1598" s="7" t="str">
        <f ca="1">IFERROR(__xludf.DUMMYFUNCTION("GOOGLETRANSLATE(H1598,""EN"",""ES"")"),"OTRAS HERRAMIENTAS E IMPLEMENTOS")</f>
        <v>OTRAS HERRAMIENTAS E IMPLEMENTOS</v>
      </c>
      <c r="L1598" s="5" t="str">
        <f ca="1">IFERROR(__xludf.DUMMYFUNCTION("GOOGLETRANSLATE(J1598,""EN"",""ES"")"),"Accesorios para trampas de hierba para guadañas")</f>
        <v>Accesorios para trampas de hierba para guadañas</v>
      </c>
      <c r="M1598" s="8" t="s">
        <v>26</v>
      </c>
      <c r="N1598" s="8"/>
    </row>
    <row r="1599" spans="1:14" ht="11.25" customHeight="1">
      <c r="A1599" s="5" t="s">
        <v>4139</v>
      </c>
      <c r="B1599" s="5" t="s">
        <v>4478</v>
      </c>
      <c r="C1599" s="5" t="s">
        <v>4675</v>
      </c>
      <c r="D1599" s="5" t="s">
        <v>4142</v>
      </c>
      <c r="E1599" s="5" t="s">
        <v>27</v>
      </c>
      <c r="F1599" s="5" t="s">
        <v>4143</v>
      </c>
      <c r="G1599" s="5" t="s">
        <v>4144</v>
      </c>
      <c r="H1599" s="5" t="s">
        <v>4480</v>
      </c>
      <c r="I1599" s="5" t="s">
        <v>4676</v>
      </c>
      <c r="J1599" s="5" t="s">
        <v>4677</v>
      </c>
      <c r="K1599" s="7" t="str">
        <f ca="1">IFERROR(__xludf.DUMMYFUNCTION("GOOGLETRANSLATE(H1599,""EN"",""ES"")"),"OTRAS HERRAMIENTAS E IMPLEMENTOS")</f>
        <v>OTRAS HERRAMIENTAS E IMPLEMENTOS</v>
      </c>
      <c r="L1599" s="5" t="str">
        <f ca="1">IFERROR(__xludf.DUMMYFUNCTION("GOOGLETRANSLATE(J1599,""EN"",""ES"")"),"Escofinas [herramientas]")</f>
        <v>Escofinas [herramientas]</v>
      </c>
      <c r="M1599" s="8" t="s">
        <v>26</v>
      </c>
      <c r="N1599" s="8"/>
    </row>
    <row r="1600" spans="1:14" ht="11.25" customHeight="1">
      <c r="A1600" s="5" t="s">
        <v>4139</v>
      </c>
      <c r="B1600" s="5" t="s">
        <v>4478</v>
      </c>
      <c r="C1600" s="5" t="s">
        <v>4678</v>
      </c>
      <c r="D1600" s="5" t="s">
        <v>4142</v>
      </c>
      <c r="E1600" s="5" t="s">
        <v>27</v>
      </c>
      <c r="F1600" s="5" t="s">
        <v>4143</v>
      </c>
      <c r="G1600" s="5" t="s">
        <v>4144</v>
      </c>
      <c r="H1600" s="5" t="s">
        <v>4480</v>
      </c>
      <c r="I1600" s="5" t="s">
        <v>4679</v>
      </c>
      <c r="J1600" s="5" t="s">
        <v>4680</v>
      </c>
      <c r="K1600" s="7" t="str">
        <f ca="1">IFERROR(__xludf.DUMMYFUNCTION("GOOGLETRANSLATE(H1600,""EN"",""ES"")"),"OTRAS HERRAMIENTAS E IMPLEMENTOS")</f>
        <v>OTRAS HERRAMIENTAS E IMPLEMENTOS</v>
      </c>
      <c r="L1600" s="5" t="str">
        <f ca="1">IFERROR(__xludf.DUMMYFUNCTION("GOOGLETRANSLATE(J1600,""EN"",""ES"")"),"Rastrillos [herramientas manuales]")</f>
        <v>Rastrillos [herramientas manuales]</v>
      </c>
      <c r="M1600" s="8" t="s">
        <v>26</v>
      </c>
      <c r="N1600" s="8"/>
    </row>
    <row r="1601" spans="1:14" ht="11.25" customHeight="1">
      <c r="A1601" s="5" t="s">
        <v>4139</v>
      </c>
      <c r="B1601" s="5" t="s">
        <v>4478</v>
      </c>
      <c r="C1601" s="5" t="s">
        <v>4681</v>
      </c>
      <c r="D1601" s="5" t="s">
        <v>4142</v>
      </c>
      <c r="E1601" s="5" t="s">
        <v>27</v>
      </c>
      <c r="F1601" s="5" t="s">
        <v>4143</v>
      </c>
      <c r="G1601" s="5" t="s">
        <v>4144</v>
      </c>
      <c r="H1601" s="5" t="s">
        <v>4480</v>
      </c>
      <c r="I1601" s="5" t="s">
        <v>4682</v>
      </c>
      <c r="J1601" s="5" t="s">
        <v>4683</v>
      </c>
      <c r="K1601" s="7" t="str">
        <f ca="1">IFERROR(__xludf.DUMMYFUNCTION("GOOGLETRANSLATE(H1601,""EN"",""ES"")"),"OTRAS HERRAMIENTAS E IMPLEMENTOS")</f>
        <v>OTRAS HERRAMIENTAS E IMPLEMENTOS</v>
      </c>
      <c r="L1601" s="5" t="str">
        <f ca="1">IFERROR(__xludf.DUMMYFUNCTION("GOOGLETRANSLATE(J1601,""EN"",""ES"")"),"Reglas")</f>
        <v>Reglas</v>
      </c>
      <c r="M1601" s="8" t="s">
        <v>26</v>
      </c>
      <c r="N1601" s="8"/>
    </row>
    <row r="1602" spans="1:14" ht="11.25" customHeight="1">
      <c r="A1602" s="5" t="s">
        <v>4139</v>
      </c>
      <c r="B1602" s="5" t="s">
        <v>4478</v>
      </c>
      <c r="C1602" s="5" t="s">
        <v>4684</v>
      </c>
      <c r="D1602" s="5" t="s">
        <v>4142</v>
      </c>
      <c r="E1602" s="5" t="s">
        <v>27</v>
      </c>
      <c r="F1602" s="5" t="s">
        <v>4143</v>
      </c>
      <c r="G1602" s="5" t="s">
        <v>4144</v>
      </c>
      <c r="H1602" s="5" t="s">
        <v>4480</v>
      </c>
      <c r="I1602" s="5" t="s">
        <v>4685</v>
      </c>
      <c r="J1602" s="5" t="s">
        <v>4686</v>
      </c>
      <c r="K1602" s="7" t="str">
        <f ca="1">IFERROR(__xludf.DUMMYFUNCTION("GOOGLETRANSLATE(H1602,""EN"",""ES"")"),"OTRAS HERRAMIENTAS E IMPLEMENTOS")</f>
        <v>OTRAS HERRAMIENTAS E IMPLEMENTOS</v>
      </c>
      <c r="L1602" s="5" t="str">
        <f ca="1">IFERROR(__xludf.DUMMYFUNCTION("GOOGLETRANSLATE(J1602,""EN"",""ES"")"),"Herramientas de molienda")</f>
        <v>Herramientas de molienda</v>
      </c>
      <c r="M1602" s="8" t="s">
        <v>26</v>
      </c>
      <c r="N1602" s="8"/>
    </row>
    <row r="1603" spans="1:14" ht="11.25" customHeight="1">
      <c r="A1603" s="5" t="s">
        <v>4139</v>
      </c>
      <c r="B1603" s="5" t="s">
        <v>4478</v>
      </c>
      <c r="C1603" s="5" t="s">
        <v>4687</v>
      </c>
      <c r="D1603" s="5" t="s">
        <v>4142</v>
      </c>
      <c r="E1603" s="5" t="s">
        <v>27</v>
      </c>
      <c r="F1603" s="5" t="s">
        <v>4143</v>
      </c>
      <c r="G1603" s="5" t="s">
        <v>4144</v>
      </c>
      <c r="H1603" s="5" t="s">
        <v>4480</v>
      </c>
      <c r="I1603" s="5" t="s">
        <v>4688</v>
      </c>
      <c r="J1603" s="5" t="s">
        <v>4689</v>
      </c>
      <c r="K1603" s="7" t="str">
        <f ca="1">IFERROR(__xludf.DUMMYFUNCTION("GOOGLETRANSLATE(H1603,""EN"",""ES"")"),"OTRAS HERRAMIENTAS E IMPLEMENTOS")</f>
        <v>OTRAS HERRAMIENTAS E IMPLEMENTOS</v>
      </c>
      <c r="L1603" s="5" t="str">
        <f ca="1">IFERROR(__xludf.DUMMYFUNCTION("GOOGLETRANSLATE(J1603,""EN"",""ES"")"),"Herramientas de termosellado")</f>
        <v>Herramientas de termosellado</v>
      </c>
      <c r="M1603" s="8" t="s">
        <v>26</v>
      </c>
      <c r="N1603" s="8"/>
    </row>
    <row r="1604" spans="1:14" ht="11.25" customHeight="1">
      <c r="A1604" s="5" t="s">
        <v>4139</v>
      </c>
      <c r="B1604" s="5" t="s">
        <v>4478</v>
      </c>
      <c r="C1604" s="5" t="s">
        <v>4690</v>
      </c>
      <c r="D1604" s="5" t="s">
        <v>4142</v>
      </c>
      <c r="E1604" s="5" t="s">
        <v>27</v>
      </c>
      <c r="F1604" s="5" t="s">
        <v>4143</v>
      </c>
      <c r="G1604" s="5" t="s">
        <v>4144</v>
      </c>
      <c r="H1604" s="5" t="s">
        <v>4480</v>
      </c>
      <c r="I1604" s="5" t="s">
        <v>4691</v>
      </c>
      <c r="J1604" s="5" t="s">
        <v>4692</v>
      </c>
      <c r="K1604" s="7" t="str">
        <f ca="1">IFERROR(__xludf.DUMMYFUNCTION("GOOGLETRANSLATE(H1604,""EN"",""ES"")"),"OTRAS HERRAMIENTAS E IMPLEMENTOS")</f>
        <v>OTRAS HERRAMIENTAS E IMPLEMENTOS</v>
      </c>
      <c r="L1604" s="5" t="str">
        <f ca="1">IFERROR(__xludf.DUMMYFUNCTION("GOOGLETRANSLATE(J1604,""EN"",""ES"")"),"Herramientas para prensar tuberías")</f>
        <v>Herramientas para prensar tuberías</v>
      </c>
      <c r="M1604" s="8" t="s">
        <v>26</v>
      </c>
      <c r="N1604" s="8"/>
    </row>
    <row r="1605" spans="1:14" ht="11.25" customHeight="1">
      <c r="A1605" s="5" t="s">
        <v>4139</v>
      </c>
      <c r="B1605" s="5" t="s">
        <v>4478</v>
      </c>
      <c r="C1605" s="5" t="s">
        <v>4693</v>
      </c>
      <c r="D1605" s="5" t="s">
        <v>4142</v>
      </c>
      <c r="E1605" s="5" t="s">
        <v>27</v>
      </c>
      <c r="F1605" s="5" t="s">
        <v>4143</v>
      </c>
      <c r="G1605" s="5" t="s">
        <v>4144</v>
      </c>
      <c r="H1605" s="5" t="s">
        <v>4480</v>
      </c>
      <c r="I1605" s="5" t="s">
        <v>4694</v>
      </c>
      <c r="J1605" s="5" t="s">
        <v>4695</v>
      </c>
      <c r="K1605" s="7" t="str">
        <f ca="1">IFERROR(__xludf.DUMMYFUNCTION("GOOGLETRANSLATE(H1605,""EN"",""ES"")"),"OTRAS HERRAMIENTAS E IMPLEMENTOS")</f>
        <v>OTRAS HERRAMIENTAS E IMPLEMENTOS</v>
      </c>
      <c r="L1605" s="5" t="str">
        <f ca="1">IFERROR(__xludf.DUMMYFUNCTION("GOOGLETRANSLATE(J1605,""EN"",""ES"")"),"Tenazas")</f>
        <v>Tenazas</v>
      </c>
      <c r="M1605" s="8" t="s">
        <v>26</v>
      </c>
      <c r="N1605" s="8"/>
    </row>
    <row r="1606" spans="1:14" ht="11.25" customHeight="1">
      <c r="A1606" s="5" t="s">
        <v>4139</v>
      </c>
      <c r="B1606" s="5" t="s">
        <v>4478</v>
      </c>
      <c r="C1606" s="5" t="s">
        <v>4693</v>
      </c>
      <c r="D1606" s="5" t="s">
        <v>4142</v>
      </c>
      <c r="E1606" s="5" t="s">
        <v>27</v>
      </c>
      <c r="F1606" s="5" t="s">
        <v>4143</v>
      </c>
      <c r="G1606" s="5" t="s">
        <v>4144</v>
      </c>
      <c r="H1606" s="5" t="s">
        <v>4480</v>
      </c>
      <c r="I1606" s="5" t="s">
        <v>4696</v>
      </c>
      <c r="J1606" s="5" t="s">
        <v>152</v>
      </c>
      <c r="K1606" s="7" t="str">
        <f ca="1">IFERROR(__xludf.DUMMYFUNCTION("GOOGLETRANSLATE(H1606,""EN"",""ES"")"),"OTRAS HERRAMIENTAS E IMPLEMENTOS")</f>
        <v>OTRAS HERRAMIENTAS E IMPLEMENTOS</v>
      </c>
      <c r="L1606" s="5" t="str">
        <f ca="1">IFERROR(__xludf.DUMMYFUNCTION("GOOGLETRANSLATE(J1606,""EN"",""ES"")"),"Alicates")</f>
        <v>Alicates</v>
      </c>
      <c r="M1606" s="8" t="s">
        <v>26</v>
      </c>
      <c r="N1606" s="8"/>
    </row>
    <row r="1607" spans="1:14" ht="11.25" customHeight="1">
      <c r="A1607" s="5" t="s">
        <v>4139</v>
      </c>
      <c r="B1607" s="5" t="s">
        <v>4478</v>
      </c>
      <c r="C1607" s="5" t="s">
        <v>4697</v>
      </c>
      <c r="D1607" s="5" t="s">
        <v>4142</v>
      </c>
      <c r="E1607" s="5" t="s">
        <v>27</v>
      </c>
      <c r="F1607" s="5" t="s">
        <v>4143</v>
      </c>
      <c r="G1607" s="5" t="s">
        <v>4144</v>
      </c>
      <c r="H1607" s="5" t="s">
        <v>4480</v>
      </c>
      <c r="I1607" s="5" t="s">
        <v>4698</v>
      </c>
      <c r="J1607" s="5" t="s">
        <v>4699</v>
      </c>
      <c r="K1607" s="7" t="str">
        <f ca="1">IFERROR(__xludf.DUMMYFUNCTION("GOOGLETRANSLATE(H1607,""EN"",""ES"")"),"OTRAS HERRAMIENTAS E IMPLEMENTOS")</f>
        <v>OTRAS HERRAMIENTAS E IMPLEMENTOS</v>
      </c>
      <c r="L1607" s="5" t="str">
        <f ca="1">IFERROR(__xludf.DUMMYFUNCTION("GOOGLETRANSLATE(J1607,""EN"",""ES"")"),"llaves macho")</f>
        <v>llaves macho</v>
      </c>
      <c r="M1607" s="8" t="s">
        <v>26</v>
      </c>
      <c r="N1607" s="8"/>
    </row>
    <row r="1608" spans="1:14" ht="11.25" customHeight="1">
      <c r="A1608" s="5" t="s">
        <v>4139</v>
      </c>
      <c r="B1608" s="5" t="s">
        <v>4478</v>
      </c>
      <c r="C1608" s="5" t="s">
        <v>4700</v>
      </c>
      <c r="D1608" s="5" t="s">
        <v>4142</v>
      </c>
      <c r="E1608" s="5" t="s">
        <v>27</v>
      </c>
      <c r="F1608" s="5" t="s">
        <v>4143</v>
      </c>
      <c r="G1608" s="5" t="s">
        <v>4144</v>
      </c>
      <c r="H1608" s="5" t="s">
        <v>4480</v>
      </c>
      <c r="I1608" s="5" t="s">
        <v>4701</v>
      </c>
      <c r="J1608" s="5" t="s">
        <v>4702</v>
      </c>
      <c r="K1608" s="7" t="str">
        <f ca="1">IFERROR(__xludf.DUMMYFUNCTION("GOOGLETRANSLATE(H1608,""EN"",""ES"")"),"OTRAS HERRAMIENTAS E IMPLEMENTOS")</f>
        <v>OTRAS HERRAMIENTAS E IMPLEMENTOS</v>
      </c>
      <c r="L1608" s="5" t="str">
        <f ca="1">IFERROR(__xludf.DUMMYFUNCTION("GOOGLETRANSLATE(J1608,""EN"",""ES"")"),"trazadores")</f>
        <v>trazadores</v>
      </c>
      <c r="M1608" s="8" t="s">
        <v>26</v>
      </c>
      <c r="N1608" s="8"/>
    </row>
    <row r="1609" spans="1:14" ht="11.25" customHeight="1">
      <c r="A1609" s="5" t="s">
        <v>4139</v>
      </c>
      <c r="B1609" s="5" t="s">
        <v>4478</v>
      </c>
      <c r="C1609" s="5" t="s">
        <v>4703</v>
      </c>
      <c r="D1609" s="5" t="s">
        <v>4142</v>
      </c>
      <c r="E1609" s="5" t="s">
        <v>27</v>
      </c>
      <c r="F1609" s="5" t="s">
        <v>4143</v>
      </c>
      <c r="G1609" s="5" t="s">
        <v>4144</v>
      </c>
      <c r="H1609" s="5" t="s">
        <v>4480</v>
      </c>
      <c r="I1609" s="5" t="s">
        <v>4704</v>
      </c>
      <c r="J1609" s="5" t="s">
        <v>4705</v>
      </c>
      <c r="K1609" s="7" t="str">
        <f ca="1">IFERROR(__xludf.DUMMYFUNCTION("GOOGLETRANSLATE(H1609,""EN"",""ES"")"),"OTRAS HERRAMIENTAS E IMPLEMENTOS")</f>
        <v>OTRAS HERRAMIENTAS E IMPLEMENTOS</v>
      </c>
      <c r="L1609" s="5" t="str">
        <f ca="1">IFERROR(__xludf.DUMMYFUNCTION("GOOGLETRANSLATE(J1609,""EN"",""ES"")"),"Calibres de marcado")</f>
        <v>Calibres de marcado</v>
      </c>
      <c r="M1609" s="8" t="s">
        <v>26</v>
      </c>
      <c r="N1609" s="8"/>
    </row>
    <row r="1610" spans="1:14" ht="11.25" customHeight="1">
      <c r="A1610" s="5" t="s">
        <v>4139</v>
      </c>
      <c r="B1610" s="5" t="s">
        <v>4478</v>
      </c>
      <c r="C1610" s="5" t="s">
        <v>4706</v>
      </c>
      <c r="D1610" s="5" t="s">
        <v>4142</v>
      </c>
      <c r="E1610" s="5" t="s">
        <v>27</v>
      </c>
      <c r="F1610" s="5" t="s">
        <v>4143</v>
      </c>
      <c r="G1610" s="5" t="s">
        <v>4144</v>
      </c>
      <c r="H1610" s="5" t="s">
        <v>4480</v>
      </c>
      <c r="I1610" s="5" t="s">
        <v>4707</v>
      </c>
      <c r="J1610" s="5" t="s">
        <v>4708</v>
      </c>
      <c r="K1610" s="7" t="str">
        <f ca="1">IFERROR(__xludf.DUMMYFUNCTION("GOOGLETRANSLATE(H1610,""EN"",""ES"")"),"OTRAS HERRAMIENTAS E IMPLEMENTOS")</f>
        <v>OTRAS HERRAMIENTAS E IMPLEMENTOS</v>
      </c>
      <c r="L1610" s="5" t="str">
        <f ca="1">IFERROR(__xludf.DUMMYFUNCTION("GOOGLETRANSLATE(J1610,""EN"",""ES"")"),"Infladores para embarcaciones auxiliares y colchones")</f>
        <v>Infladores para embarcaciones auxiliares y colchones</v>
      </c>
      <c r="M1610" s="8" t="s">
        <v>26</v>
      </c>
      <c r="N1610" s="8"/>
    </row>
    <row r="1611" spans="1:14" ht="11.25" customHeight="1">
      <c r="A1611" s="5" t="s">
        <v>4139</v>
      </c>
      <c r="B1611" s="5" t="s">
        <v>4478</v>
      </c>
      <c r="C1611" s="5" t="s">
        <v>4709</v>
      </c>
      <c r="D1611" s="5" t="s">
        <v>4142</v>
      </c>
      <c r="E1611" s="5" t="s">
        <v>27</v>
      </c>
      <c r="F1611" s="5" t="s">
        <v>4143</v>
      </c>
      <c r="G1611" s="5" t="s">
        <v>4144</v>
      </c>
      <c r="H1611" s="5" t="s">
        <v>4480</v>
      </c>
      <c r="I1611" s="5" t="s">
        <v>4710</v>
      </c>
      <c r="J1611" s="5" t="s">
        <v>4711</v>
      </c>
      <c r="K1611" s="7" t="str">
        <f ca="1">IFERROR(__xludf.DUMMYFUNCTION("GOOGLETRANSLATE(H1611,""EN"",""ES"")"),"OTRAS HERRAMIENTAS E IMPLEMENTOS")</f>
        <v>OTRAS HERRAMIENTAS E IMPLEMENTOS</v>
      </c>
      <c r="L1611" s="5" t="str">
        <f ca="1">IFERROR(__xludf.DUMMYFUNCTION("GOOGLETRANSLATE(J1611,""EN"",""ES"")"),"Tamices [herramientas]")</f>
        <v>Tamices [herramientas]</v>
      </c>
      <c r="M1611" s="8" t="s">
        <v>26</v>
      </c>
      <c r="N1611" s="8"/>
    </row>
    <row r="1612" spans="1:14" ht="11.25" customHeight="1">
      <c r="A1612" s="5" t="s">
        <v>4139</v>
      </c>
      <c r="B1612" s="5" t="s">
        <v>4478</v>
      </c>
      <c r="C1612" s="5" t="s">
        <v>4712</v>
      </c>
      <c r="D1612" s="5" t="s">
        <v>4142</v>
      </c>
      <c r="E1612" s="5" t="s">
        <v>27</v>
      </c>
      <c r="F1612" s="5" t="s">
        <v>4143</v>
      </c>
      <c r="G1612" s="5" t="s">
        <v>4144</v>
      </c>
      <c r="H1612" s="5" t="s">
        <v>4480</v>
      </c>
      <c r="I1612" s="5" t="s">
        <v>4713</v>
      </c>
      <c r="J1612" s="5" t="s">
        <v>4714</v>
      </c>
      <c r="K1612" s="7" t="str">
        <f ca="1">IFERROR(__xludf.DUMMYFUNCTION("GOOGLETRANSLATE(H1612,""EN"",""ES"")"),"OTRAS HERRAMIENTAS E IMPLEMENTOS")</f>
        <v>OTRAS HERRAMIENTAS E IMPLEMENTOS</v>
      </c>
      <c r="L1612" s="5" t="str">
        <f ca="1">IFERROR(__xludf.DUMMYFUNCTION("GOOGLETRANSLATE(J1612,""EN"",""ES"")"),"Camillas de alambre [herramientas]")</f>
        <v>Camillas de alambre [herramientas]</v>
      </c>
      <c r="M1612" s="8" t="s">
        <v>26</v>
      </c>
      <c r="N1612" s="8"/>
    </row>
    <row r="1613" spans="1:14" ht="11.25" customHeight="1">
      <c r="A1613" s="5" t="s">
        <v>4139</v>
      </c>
      <c r="B1613" s="5" t="s">
        <v>4478</v>
      </c>
      <c r="C1613" s="5" t="s">
        <v>4715</v>
      </c>
      <c r="D1613" s="5" t="s">
        <v>4142</v>
      </c>
      <c r="E1613" s="5" t="s">
        <v>27</v>
      </c>
      <c r="F1613" s="5" t="s">
        <v>4143</v>
      </c>
      <c r="G1613" s="5" t="s">
        <v>4144</v>
      </c>
      <c r="H1613" s="5" t="s">
        <v>4480</v>
      </c>
      <c r="I1613" s="5" t="s">
        <v>4716</v>
      </c>
      <c r="J1613" s="5" t="s">
        <v>4717</v>
      </c>
      <c r="K1613" s="7" t="str">
        <f ca="1">IFERROR(__xludf.DUMMYFUNCTION("GOOGLETRANSLATE(H1613,""EN"",""ES"")"),"OTRAS HERRAMIENTAS E IMPLEMENTOS")</f>
        <v>OTRAS HERRAMIENTAS E IMPLEMENTOS</v>
      </c>
      <c r="L1613" s="5" t="str">
        <f ca="1">IFERROR(__xludf.DUMMYFUNCTION("GOOGLETRANSLATE(J1613,""EN"",""ES"")"),"Cajas de ingletes")</f>
        <v>Cajas de ingletes</v>
      </c>
      <c r="M1613" s="8" t="s">
        <v>26</v>
      </c>
      <c r="N1613" s="8"/>
    </row>
    <row r="1614" spans="1:14" ht="11.25" customHeight="1">
      <c r="A1614" s="5" t="s">
        <v>4139</v>
      </c>
      <c r="B1614" s="5" t="s">
        <v>4478</v>
      </c>
      <c r="C1614" s="5" t="s">
        <v>4715</v>
      </c>
      <c r="D1614" s="5" t="s">
        <v>4142</v>
      </c>
      <c r="E1614" s="5" t="s">
        <v>27</v>
      </c>
      <c r="F1614" s="5" t="s">
        <v>4143</v>
      </c>
      <c r="G1614" s="5" t="s">
        <v>4144</v>
      </c>
      <c r="H1614" s="5" t="s">
        <v>4480</v>
      </c>
      <c r="I1614" s="5" t="s">
        <v>4718</v>
      </c>
      <c r="J1614" s="5" t="s">
        <v>152</v>
      </c>
      <c r="K1614" s="7" t="str">
        <f ca="1">IFERROR(__xludf.DUMMYFUNCTION("GOOGLETRANSLATE(H1614,""EN"",""ES"")"),"OTRAS HERRAMIENTAS E IMPLEMENTOS")</f>
        <v>OTRAS HERRAMIENTAS E IMPLEMENTOS</v>
      </c>
      <c r="L1614" s="5" t="str">
        <f ca="1">IFERROR(__xludf.DUMMYFUNCTION("GOOGLETRANSLATE(J1614,""EN"",""ES"")"),"Cajas de ingletes")</f>
        <v>Cajas de ingletes</v>
      </c>
      <c r="M1614" s="8" t="s">
        <v>26</v>
      </c>
      <c r="N1614" s="8"/>
    </row>
    <row r="1615" spans="1:14" ht="11.25" customHeight="1">
      <c r="A1615" s="5" t="s">
        <v>4139</v>
      </c>
      <c r="B1615" s="5" t="s">
        <v>4478</v>
      </c>
      <c r="C1615" s="5" t="s">
        <v>4719</v>
      </c>
      <c r="D1615" s="5" t="s">
        <v>4142</v>
      </c>
      <c r="E1615" s="5" t="s">
        <v>27</v>
      </c>
      <c r="F1615" s="5" t="s">
        <v>4143</v>
      </c>
      <c r="G1615" s="5" t="s">
        <v>4144</v>
      </c>
      <c r="H1615" s="5" t="s">
        <v>4480</v>
      </c>
      <c r="I1615" s="5" t="s">
        <v>4720</v>
      </c>
      <c r="J1615" s="5" t="s">
        <v>4721</v>
      </c>
      <c r="K1615" s="7" t="str">
        <f ca="1">IFERROR(__xludf.DUMMYFUNCTION("GOOGLETRANSLATE(H1615,""EN"",""ES"")"),"OTRAS HERRAMIENTAS E IMPLEMENTOS")</f>
        <v>OTRAS HERRAMIENTAS E IMPLEMENTOS</v>
      </c>
      <c r="L1615" s="5" t="str">
        <f ca="1">IFERROR(__xludf.DUMMYFUNCTION("GOOGLETRANSLATE(J1615,""EN"",""ES"")"),"aceiteras")</f>
        <v>aceiteras</v>
      </c>
      <c r="M1615" s="8" t="s">
        <v>26</v>
      </c>
      <c r="N1615" s="8"/>
    </row>
    <row r="1616" spans="1:14" ht="11.25" customHeight="1">
      <c r="A1616" s="5" t="s">
        <v>4139</v>
      </c>
      <c r="B1616" s="5" t="s">
        <v>4478</v>
      </c>
      <c r="C1616" s="5" t="s">
        <v>4719</v>
      </c>
      <c r="D1616" s="5" t="s">
        <v>4142</v>
      </c>
      <c r="E1616" s="5" t="s">
        <v>27</v>
      </c>
      <c r="F1616" s="5" t="s">
        <v>4143</v>
      </c>
      <c r="G1616" s="5" t="s">
        <v>4144</v>
      </c>
      <c r="H1616" s="5" t="s">
        <v>4480</v>
      </c>
      <c r="I1616" s="5" t="s">
        <v>4722</v>
      </c>
      <c r="J1616" s="5" t="s">
        <v>152</v>
      </c>
      <c r="K1616" s="7" t="str">
        <f ca="1">IFERROR(__xludf.DUMMYFUNCTION("GOOGLETRANSLATE(H1616,""EN"",""ES"")"),"OTRAS HERRAMIENTAS E IMPLEMENTOS")</f>
        <v>OTRAS HERRAMIENTAS E IMPLEMENTOS</v>
      </c>
      <c r="L1616" s="5" t="str">
        <f ca="1">IFERROR(__xludf.DUMMYFUNCTION("GOOGLETRANSLATE(J1616,""EN"",""ES"")"),"Alimentadores de aceite")</f>
        <v>Alimentadores de aceite</v>
      </c>
      <c r="M1616" s="8" t="s">
        <v>26</v>
      </c>
      <c r="N1616" s="8"/>
    </row>
    <row r="1617" spans="1:14" ht="11.25" customHeight="1">
      <c r="A1617" s="5" t="s">
        <v>4139</v>
      </c>
      <c r="B1617" s="5" t="s">
        <v>4478</v>
      </c>
      <c r="C1617" s="5" t="s">
        <v>4723</v>
      </c>
      <c r="D1617" s="5" t="s">
        <v>4142</v>
      </c>
      <c r="E1617" s="5" t="s">
        <v>27</v>
      </c>
      <c r="F1617" s="5" t="s">
        <v>4143</v>
      </c>
      <c r="G1617" s="5" t="s">
        <v>4144</v>
      </c>
      <c r="H1617" s="5" t="s">
        <v>4480</v>
      </c>
      <c r="I1617" s="5" t="s">
        <v>4724</v>
      </c>
      <c r="J1617" s="5" t="s">
        <v>4725</v>
      </c>
      <c r="K1617" s="7" t="str">
        <f ca="1">IFERROR(__xludf.DUMMYFUNCTION("GOOGLETRANSLATE(H1617,""EN"",""ES"")"),"OTRAS HERRAMIENTAS E IMPLEMENTOS")</f>
        <v>OTRAS HERRAMIENTAS E IMPLEMENTOS</v>
      </c>
      <c r="L1617" s="5" t="str">
        <f ca="1">IFERROR(__xludf.DUMMYFUNCTION("GOOGLETRANSLATE(J1617,""EN"",""ES"")"),"Ganchos no peraltados")</f>
        <v>Ganchos no peraltados</v>
      </c>
      <c r="M1617" s="8" t="s">
        <v>26</v>
      </c>
      <c r="N1617" s="8"/>
    </row>
    <row r="1618" spans="1:14" ht="11.25" customHeight="1">
      <c r="A1618" s="5" t="s">
        <v>4139</v>
      </c>
      <c r="B1618" s="5" t="s">
        <v>4478</v>
      </c>
      <c r="C1618" s="5" t="s">
        <v>4726</v>
      </c>
      <c r="D1618" s="5" t="s">
        <v>4142</v>
      </c>
      <c r="E1618" s="5" t="s">
        <v>27</v>
      </c>
      <c r="F1618" s="5" t="s">
        <v>4143</v>
      </c>
      <c r="G1618" s="5" t="s">
        <v>4144</v>
      </c>
      <c r="H1618" s="5" t="s">
        <v>4480</v>
      </c>
      <c r="I1618" s="5" t="s">
        <v>4727</v>
      </c>
      <c r="J1618" s="5" t="s">
        <v>4728</v>
      </c>
      <c r="K1618" s="7" t="str">
        <f ca="1">IFERROR(__xludf.DUMMYFUNCTION("GOOGLETRANSLATE(H1618,""EN"",""ES"")"),"OTRAS HERRAMIENTAS E IMPLEMENTOS")</f>
        <v>OTRAS HERRAMIENTAS E IMPLEMENTOS</v>
      </c>
      <c r="L1618" s="5" t="str">
        <f ca="1">IFERROR(__xludf.DUMMYFUNCTION("GOOGLETRANSLATE(J1618,""EN"",""ES"")"),"Herramientas para pelar aislamiento de cables")</f>
        <v>Herramientas para pelar aislamiento de cables</v>
      </c>
      <c r="M1618" s="8" t="s">
        <v>26</v>
      </c>
      <c r="N1618" s="8"/>
    </row>
    <row r="1619" spans="1:14" ht="11.25" customHeight="1">
      <c r="A1619" s="5" t="s">
        <v>4139</v>
      </c>
      <c r="B1619" s="5" t="s">
        <v>4478</v>
      </c>
      <c r="C1619" s="5" t="s">
        <v>4729</v>
      </c>
      <c r="D1619" s="5" t="s">
        <v>4142</v>
      </c>
      <c r="E1619" s="5" t="s">
        <v>27</v>
      </c>
      <c r="F1619" s="5" t="s">
        <v>4143</v>
      </c>
      <c r="G1619" s="5" t="s">
        <v>4144</v>
      </c>
      <c r="H1619" s="5" t="s">
        <v>4480</v>
      </c>
      <c r="I1619" s="5" t="s">
        <v>4730</v>
      </c>
      <c r="J1619" s="5" t="s">
        <v>4731</v>
      </c>
      <c r="K1619" s="7" t="str">
        <f ca="1">IFERROR(__xludf.DUMMYFUNCTION("GOOGLETRANSLATE(H1619,""EN"",""ES"")"),"OTRAS HERRAMIENTAS E IMPLEMENTOS")</f>
        <v>OTRAS HERRAMIENTAS E IMPLEMENTOS</v>
      </c>
      <c r="L1619" s="5" t="str">
        <f ca="1">IFERROR(__xludf.DUMMYFUNCTION("GOOGLETRANSLATE(J1619,""EN"",""ES"")"),"Hormas para zapatos [fabricación de calzado]")</f>
        <v>Hormas para zapatos [fabricación de calzado]</v>
      </c>
      <c r="M1619" s="8" t="s">
        <v>26</v>
      </c>
      <c r="N1619" s="8"/>
    </row>
    <row r="1620" spans="1:14" ht="11.25" customHeight="1">
      <c r="A1620" s="5" t="s">
        <v>4139</v>
      </c>
      <c r="B1620" s="5" t="s">
        <v>4478</v>
      </c>
      <c r="C1620" s="5" t="s">
        <v>4732</v>
      </c>
      <c r="D1620" s="5" t="s">
        <v>4142</v>
      </c>
      <c r="E1620" s="5" t="s">
        <v>27</v>
      </c>
      <c r="F1620" s="5" t="s">
        <v>4143</v>
      </c>
      <c r="G1620" s="5" t="s">
        <v>4144</v>
      </c>
      <c r="H1620" s="5" t="s">
        <v>4480</v>
      </c>
      <c r="I1620" s="5" t="s">
        <v>4733</v>
      </c>
      <c r="J1620" s="5" t="s">
        <v>4734</v>
      </c>
      <c r="K1620" s="7" t="str">
        <f ca="1">IFERROR(__xludf.DUMMYFUNCTION("GOOGLETRANSLATE(H1620,""EN"",""ES"")"),"OTRAS HERRAMIENTAS E IMPLEMENTOS")</f>
        <v>OTRAS HERRAMIENTAS E IMPLEMENTOS</v>
      </c>
      <c r="L1620" s="5" t="str">
        <f ca="1">IFERROR(__xludf.DUMMYFUNCTION("GOOGLETRANSLATE(J1620,""EN"",""ES"")"),"Matrices de roscado")</f>
        <v>Matrices de roscado</v>
      </c>
      <c r="M1620" s="8" t="s">
        <v>26</v>
      </c>
      <c r="N1620" s="8"/>
    </row>
    <row r="1621" spans="1:14" ht="11.25" customHeight="1">
      <c r="A1621" s="5" t="s">
        <v>4139</v>
      </c>
      <c r="B1621" s="5" t="s">
        <v>4478</v>
      </c>
      <c r="C1621" s="5" t="s">
        <v>4732</v>
      </c>
      <c r="D1621" s="5" t="s">
        <v>4142</v>
      </c>
      <c r="E1621" s="5" t="s">
        <v>27</v>
      </c>
      <c r="F1621" s="5" t="s">
        <v>4143</v>
      </c>
      <c r="G1621" s="5" t="s">
        <v>4144</v>
      </c>
      <c r="H1621" s="5" t="s">
        <v>4480</v>
      </c>
      <c r="I1621" s="5" t="s">
        <v>4735</v>
      </c>
      <c r="J1621" s="5" t="s">
        <v>152</v>
      </c>
      <c r="K1621" s="7" t="str">
        <f ca="1">IFERROR(__xludf.DUMMYFUNCTION("GOOGLETRANSLATE(H1621,""EN"",""ES"")"),"OTRAS HERRAMIENTAS E IMPLEMENTOS")</f>
        <v>OTRAS HERRAMIENTAS E IMPLEMENTOS</v>
      </c>
      <c r="L1621" s="5" t="str">
        <f ca="1">IFERROR(__xludf.DUMMYFUNCTION("GOOGLETRANSLATE(J1621,""EN"",""ES"")"),"Placas de tornillo")</f>
        <v>Placas de tornillo</v>
      </c>
      <c r="M1621" s="8" t="s">
        <v>26</v>
      </c>
      <c r="N1621" s="8"/>
    </row>
    <row r="1622" spans="1:14" ht="11.25" customHeight="1">
      <c r="A1622" s="5" t="s">
        <v>4139</v>
      </c>
      <c r="B1622" s="5" t="s">
        <v>4478</v>
      </c>
      <c r="C1622" s="5" t="s">
        <v>4736</v>
      </c>
      <c r="D1622" s="5" t="s">
        <v>4142</v>
      </c>
      <c r="E1622" s="5" t="s">
        <v>27</v>
      </c>
      <c r="F1622" s="5" t="s">
        <v>4143</v>
      </c>
      <c r="G1622" s="5" t="s">
        <v>4144</v>
      </c>
      <c r="H1622" s="5" t="s">
        <v>4480</v>
      </c>
      <c r="I1622" s="5" t="s">
        <v>4737</v>
      </c>
      <c r="J1622" s="5" t="s">
        <v>4738</v>
      </c>
      <c r="K1622" s="7" t="str">
        <f ca="1">IFERROR(__xludf.DUMMYFUNCTION("GOOGLETRANSLATE(H1622,""EN"",""ES"")"),"OTRAS HERRAMIENTAS E IMPLEMENTOS")</f>
        <v>OTRAS HERRAMIENTAS E IMPLEMENTOS</v>
      </c>
      <c r="L1622" s="5" t="str">
        <f ca="1">IFERROR(__xludf.DUMMYFUNCTION("GOOGLETRANSLATE(J1622,""EN"",""ES"")"),"Pistolas pulverizadoras para pintura")</f>
        <v>Pistolas pulverizadoras para pintura</v>
      </c>
      <c r="M1622" s="8" t="s">
        <v>26</v>
      </c>
      <c r="N1622" s="8"/>
    </row>
    <row r="1623" spans="1:14" ht="11.25" customHeight="1">
      <c r="A1623" s="5" t="s">
        <v>4139</v>
      </c>
      <c r="B1623" s="5" t="s">
        <v>4478</v>
      </c>
      <c r="C1623" s="5" t="s">
        <v>4739</v>
      </c>
      <c r="D1623" s="5" t="s">
        <v>4142</v>
      </c>
      <c r="E1623" s="5" t="s">
        <v>27</v>
      </c>
      <c r="F1623" s="5" t="s">
        <v>4143</v>
      </c>
      <c r="G1623" s="5" t="s">
        <v>4144</v>
      </c>
      <c r="H1623" s="5" t="s">
        <v>4480</v>
      </c>
      <c r="I1623" s="5" t="s">
        <v>4740</v>
      </c>
      <c r="J1623" s="5" t="s">
        <v>4741</v>
      </c>
      <c r="K1623" s="7" t="str">
        <f ca="1">IFERROR(__xludf.DUMMYFUNCTION("GOOGLETRANSLATE(H1623,""EN"",""ES"")"),"OTRAS HERRAMIENTAS E IMPLEMENTOS")</f>
        <v>OTRAS HERRAMIENTAS E IMPLEMENTOS</v>
      </c>
      <c r="L1623" s="5" t="str">
        <f ca="1">IFERROR(__xludf.DUMMYFUNCTION("GOOGLETRANSLATE(J1623,""EN"",""ES"")"),"Mandíbulas")</f>
        <v>Mandíbulas</v>
      </c>
      <c r="M1623" s="8" t="s">
        <v>26</v>
      </c>
      <c r="N1623" s="8"/>
    </row>
    <row r="1624" spans="1:14" ht="11.25" customHeight="1">
      <c r="A1624" s="5" t="s">
        <v>4139</v>
      </c>
      <c r="B1624" s="5" t="s">
        <v>4478</v>
      </c>
      <c r="C1624" s="5" t="s">
        <v>4742</v>
      </c>
      <c r="D1624" s="5" t="s">
        <v>4142</v>
      </c>
      <c r="E1624" s="5" t="s">
        <v>27</v>
      </c>
      <c r="F1624" s="5" t="s">
        <v>4143</v>
      </c>
      <c r="G1624" s="5" t="s">
        <v>4144</v>
      </c>
      <c r="H1624" s="5" t="s">
        <v>4480</v>
      </c>
      <c r="I1624" s="5" t="s">
        <v>4743</v>
      </c>
      <c r="J1624" s="5" t="s">
        <v>4744</v>
      </c>
      <c r="K1624" s="7" t="str">
        <f ca="1">IFERROR(__xludf.DUMMYFUNCTION("GOOGLETRANSLATE(H1624,""EN"",""ES"")"),"OTRAS HERRAMIENTAS E IMPLEMENTOS")</f>
        <v>OTRAS HERRAMIENTAS E IMPLEMENTOS</v>
      </c>
      <c r="L1624" s="5" t="str">
        <f ca="1">IFERROR(__xludf.DUMMYFUNCTION("GOOGLETRANSLATE(J1624,""EN"",""ES"")"),"Muelas abrasivas para afilar, rectificar y ajustar [herramientas manuales]")</f>
        <v>Muelas abrasivas para afilar, rectificar y ajustar [herramientas manuales]</v>
      </c>
      <c r="M1624" s="8" t="s">
        <v>26</v>
      </c>
      <c r="N1624" s="8"/>
    </row>
    <row r="1625" spans="1:14" ht="11.25" customHeight="1">
      <c r="A1625" s="5" t="s">
        <v>4139</v>
      </c>
      <c r="B1625" s="5" t="s">
        <v>4478</v>
      </c>
      <c r="C1625" s="5" t="s">
        <v>4745</v>
      </c>
      <c r="D1625" s="5" t="s">
        <v>4142</v>
      </c>
      <c r="E1625" s="5" t="s">
        <v>27</v>
      </c>
      <c r="F1625" s="5" t="s">
        <v>4143</v>
      </c>
      <c r="G1625" s="5" t="s">
        <v>4144</v>
      </c>
      <c r="H1625" s="5" t="s">
        <v>4480</v>
      </c>
      <c r="I1625" s="5" t="s">
        <v>4746</v>
      </c>
      <c r="J1625" s="5" t="s">
        <v>4747</v>
      </c>
      <c r="K1625" s="7" t="str">
        <f ca="1">IFERROR(__xludf.DUMMYFUNCTION("GOOGLETRANSLATE(H1625,""EN"",""ES"")"),"OTRAS HERRAMIENTAS E IMPLEMENTOS")</f>
        <v>OTRAS HERRAMIENTAS E IMPLEMENTOS</v>
      </c>
      <c r="L1625" s="5" t="str">
        <f ca="1">IFERROR(__xludf.DUMMYFUNCTION("GOOGLETRANSLATE(J1625,""EN"",""ES"")"),"Herramientas para fijar ojales [botas y zapatos]")</f>
        <v>Herramientas para fijar ojales [botas y zapatos]</v>
      </c>
      <c r="M1625" s="8" t="s">
        <v>26</v>
      </c>
      <c r="N1625" s="8"/>
    </row>
    <row r="1626" spans="1:14" ht="11.25" customHeight="1">
      <c r="A1626" s="5" t="s">
        <v>4139</v>
      </c>
      <c r="B1626" s="5" t="s">
        <v>4478</v>
      </c>
      <c r="C1626" s="5" t="s">
        <v>4748</v>
      </c>
      <c r="D1626" s="5" t="s">
        <v>4142</v>
      </c>
      <c r="E1626" s="5" t="s">
        <v>27</v>
      </c>
      <c r="F1626" s="5" t="s">
        <v>4143</v>
      </c>
      <c r="G1626" s="5" t="s">
        <v>4144</v>
      </c>
      <c r="H1626" s="5" t="s">
        <v>4480</v>
      </c>
      <c r="I1626" s="5" t="s">
        <v>4749</v>
      </c>
      <c r="J1626" s="5" t="s">
        <v>4750</v>
      </c>
      <c r="K1626" s="7" t="str">
        <f ca="1">IFERROR(__xludf.DUMMYFUNCTION("GOOGLETRANSLATE(H1626,""EN"",""ES"")"),"OTRAS HERRAMIENTAS E IMPLEMENTOS")</f>
        <v>OTRAS HERRAMIENTAS E IMPLEMENTOS</v>
      </c>
      <c r="L1626" s="5" t="str">
        <f ca="1">IFERROR(__xludf.DUMMYFUNCTION("GOOGLETRANSLATE(J1626,""EN"",""ES"")"),"Herramientas para cortar roscas")</f>
        <v>Herramientas para cortar roscas</v>
      </c>
      <c r="M1626" s="8" t="s">
        <v>26</v>
      </c>
      <c r="N1626" s="8"/>
    </row>
    <row r="1627" spans="1:14" ht="11.25" customHeight="1">
      <c r="A1627" s="5" t="s">
        <v>4139</v>
      </c>
      <c r="B1627" s="5" t="s">
        <v>4478</v>
      </c>
      <c r="C1627" s="5" t="s">
        <v>4751</v>
      </c>
      <c r="D1627" s="5" t="s">
        <v>4142</v>
      </c>
      <c r="E1627" s="5" t="s">
        <v>27</v>
      </c>
      <c r="F1627" s="5" t="s">
        <v>4143</v>
      </c>
      <c r="G1627" s="5" t="s">
        <v>4144</v>
      </c>
      <c r="H1627" s="5" t="s">
        <v>4480</v>
      </c>
      <c r="I1627" s="5" t="s">
        <v>4752</v>
      </c>
      <c r="J1627" s="5" t="s">
        <v>4753</v>
      </c>
      <c r="K1627" s="7" t="str">
        <f ca="1">IFERROR(__xludf.DUMMYFUNCTION("GOOGLETRANSLATE(H1627,""EN"",""ES"")"),"OTRAS HERRAMIENTAS E IMPLEMENTOS")</f>
        <v>OTRAS HERRAMIENTAS E IMPLEMENTOS</v>
      </c>
      <c r="L1627" s="5" t="str">
        <f ca="1">IFERROR(__xludf.DUMMYFUNCTION("GOOGLETRANSLATE(J1627,""EN"",""ES"")"),"Cáscaras de panadero")</f>
        <v>Cáscaras de panadero</v>
      </c>
      <c r="M1627" s="8" t="s">
        <v>26</v>
      </c>
      <c r="N1627" s="8"/>
    </row>
    <row r="1628" spans="1:14" ht="11.25" customHeight="1">
      <c r="A1628" s="5" t="s">
        <v>4139</v>
      </c>
      <c r="B1628" s="5" t="s">
        <v>4478</v>
      </c>
      <c r="C1628" s="5" t="s">
        <v>4754</v>
      </c>
      <c r="D1628" s="5" t="s">
        <v>4142</v>
      </c>
      <c r="E1628" s="5" t="s">
        <v>27</v>
      </c>
      <c r="F1628" s="5" t="s">
        <v>4143</v>
      </c>
      <c r="G1628" s="5" t="s">
        <v>4144</v>
      </c>
      <c r="H1628" s="5" t="s">
        <v>4480</v>
      </c>
      <c r="I1628" s="5" t="s">
        <v>4755</v>
      </c>
      <c r="J1628" s="5" t="s">
        <v>4756</v>
      </c>
      <c r="K1628" s="7" t="str">
        <f ca="1">IFERROR(__xludf.DUMMYFUNCTION("GOOGLETRANSLATE(H1628,""EN"",""ES"")"),"OTRAS HERRAMIENTAS E IMPLEMENTOS")</f>
        <v>OTRAS HERRAMIENTAS E IMPLEMENTOS</v>
      </c>
      <c r="L1628" s="5" t="str">
        <f ca="1">IFERROR(__xludf.DUMMYFUNCTION("GOOGLETRANSLATE(J1628,""EN"",""ES"")"),"Peavies")</f>
        <v>Peavies</v>
      </c>
      <c r="M1628" s="8" t="s">
        <v>26</v>
      </c>
      <c r="N1628" s="8"/>
    </row>
    <row r="1629" spans="1:14" ht="11.25" customHeight="1">
      <c r="A1629" s="5" t="s">
        <v>4139</v>
      </c>
      <c r="B1629" s="5" t="s">
        <v>4478</v>
      </c>
      <c r="C1629" s="5" t="s">
        <v>4757</v>
      </c>
      <c r="D1629" s="5" t="s">
        <v>4142</v>
      </c>
      <c r="E1629" s="5" t="s">
        <v>27</v>
      </c>
      <c r="F1629" s="5" t="s">
        <v>4143</v>
      </c>
      <c r="G1629" s="5" t="s">
        <v>4144</v>
      </c>
      <c r="H1629" s="5" t="s">
        <v>4480</v>
      </c>
      <c r="I1629" s="5" t="s">
        <v>4758</v>
      </c>
      <c r="J1629" s="5" t="s">
        <v>4759</v>
      </c>
      <c r="K1629" s="7" t="str">
        <f ca="1">IFERROR(__xludf.DUMMYFUNCTION("GOOGLETRANSLATE(H1629,""EN"",""ES"")"),"OTRAS HERRAMIENTAS E IMPLEMENTOS")</f>
        <v>OTRAS HERRAMIENTAS E IMPLEMENTOS</v>
      </c>
      <c r="L1629" s="5" t="str">
        <f ca="1">IFERROR(__xludf.DUMMYFUNCTION("GOOGLETRANSLATE(J1629,""EN"",""ES"")"),"alicates de electricista")</f>
        <v>alicates de electricista</v>
      </c>
      <c r="M1629" s="8" t="s">
        <v>26</v>
      </c>
      <c r="N1629" s="8"/>
    </row>
    <row r="1630" spans="1:14" ht="11.25" customHeight="1">
      <c r="A1630" s="5" t="s">
        <v>4139</v>
      </c>
      <c r="B1630" s="5" t="s">
        <v>4478</v>
      </c>
      <c r="C1630" s="5" t="s">
        <v>4760</v>
      </c>
      <c r="D1630" s="5" t="s">
        <v>4142</v>
      </c>
      <c r="E1630" s="5" t="s">
        <v>27</v>
      </c>
      <c r="F1630" s="5" t="s">
        <v>4143</v>
      </c>
      <c r="G1630" s="5" t="s">
        <v>4144</v>
      </c>
      <c r="H1630" s="5" t="s">
        <v>4480</v>
      </c>
      <c r="I1630" s="5" t="s">
        <v>4761</v>
      </c>
      <c r="J1630" s="5" t="s">
        <v>4762</v>
      </c>
      <c r="K1630" s="7" t="str">
        <f ca="1">IFERROR(__xludf.DUMMYFUNCTION("GOOGLETRANSLATE(H1630,""EN"",""ES"")"),"OTRAS HERRAMIENTAS E IMPLEMENTOS")</f>
        <v>OTRAS HERRAMIENTAS E IMPLEMENTOS</v>
      </c>
      <c r="L1630" s="5" t="str">
        <f ca="1">IFERROR(__xludf.DUMMYFUNCTION("GOOGLETRANSLATE(J1630,""EN"",""ES"")"),"Alicates para relojes y relojeros.")</f>
        <v>Alicates para relojes y relojeros.</v>
      </c>
      <c r="M1630" s="8" t="s">
        <v>26</v>
      </c>
      <c r="N1630" s="8"/>
    </row>
    <row r="1631" spans="1:14" ht="11.25" customHeight="1">
      <c r="A1631" s="5" t="s">
        <v>4139</v>
      </c>
      <c r="B1631" s="5" t="s">
        <v>4478</v>
      </c>
      <c r="C1631" s="5" t="s">
        <v>4763</v>
      </c>
      <c r="D1631" s="5" t="s">
        <v>4142</v>
      </c>
      <c r="E1631" s="5" t="s">
        <v>27</v>
      </c>
      <c r="F1631" s="5" t="s">
        <v>4143</v>
      </c>
      <c r="G1631" s="5" t="s">
        <v>4144</v>
      </c>
      <c r="H1631" s="5" t="s">
        <v>4480</v>
      </c>
      <c r="I1631" s="5" t="s">
        <v>4764</v>
      </c>
      <c r="J1631" s="5" t="s">
        <v>4765</v>
      </c>
      <c r="K1631" s="7" t="str">
        <f ca="1">IFERROR(__xludf.DUMMYFUNCTION("GOOGLETRANSLATE(H1631,""EN"",""ES"")"),"OTRAS HERRAMIENTAS E IMPLEMENTOS")</f>
        <v>OTRAS HERRAMIENTAS E IMPLEMENTOS</v>
      </c>
      <c r="L1631" s="5" t="str">
        <f ca="1">IFERROR(__xludf.DUMMYFUNCTION("GOOGLETRANSLATE(J1631,""EN"",""ES"")"),"Pistolas de aire comprimido para eliminar óxido.")</f>
        <v>Pistolas de aire comprimido para eliminar óxido.</v>
      </c>
      <c r="M1631" s="8" t="s">
        <v>26</v>
      </c>
      <c r="N1631" s="8"/>
    </row>
    <row r="1632" spans="1:14" ht="11.25" customHeight="1">
      <c r="A1632" s="5" t="s">
        <v>4139</v>
      </c>
      <c r="B1632" s="5" t="s">
        <v>4478</v>
      </c>
      <c r="C1632" s="5" t="s">
        <v>4766</v>
      </c>
      <c r="D1632" s="5" t="s">
        <v>4142</v>
      </c>
      <c r="E1632" s="5" t="s">
        <v>27</v>
      </c>
      <c r="F1632" s="5" t="s">
        <v>4143</v>
      </c>
      <c r="G1632" s="5" t="s">
        <v>4144</v>
      </c>
      <c r="H1632" s="5" t="s">
        <v>4480</v>
      </c>
      <c r="I1632" s="5" t="s">
        <v>4767</v>
      </c>
      <c r="J1632" s="5" t="s">
        <v>4768</v>
      </c>
      <c r="K1632" s="7" t="str">
        <f ca="1">IFERROR(__xludf.DUMMYFUNCTION("GOOGLETRANSLATE(H1632,""EN"",""ES"")"),"OTRAS HERRAMIENTAS E IMPLEMENTOS")</f>
        <v>OTRAS HERRAMIENTAS E IMPLEMENTOS</v>
      </c>
      <c r="L1632" s="5" t="str">
        <f ca="1">IFERROR(__xludf.DUMMYFUNCTION("GOOGLETRANSLATE(J1632,""EN"",""ES"")"),"pistolas de púas")</f>
        <v>pistolas de púas</v>
      </c>
      <c r="M1632" s="8" t="s">
        <v>26</v>
      </c>
      <c r="N1632" s="8"/>
    </row>
    <row r="1633" spans="1:14" ht="11.25" customHeight="1">
      <c r="A1633" s="5" t="s">
        <v>4139</v>
      </c>
      <c r="B1633" s="5" t="s">
        <v>4478</v>
      </c>
      <c r="C1633" s="5" t="s">
        <v>4769</v>
      </c>
      <c r="D1633" s="5" t="s">
        <v>4142</v>
      </c>
      <c r="E1633" s="5" t="s">
        <v>27</v>
      </c>
      <c r="F1633" s="5" t="s">
        <v>4143</v>
      </c>
      <c r="G1633" s="5" t="s">
        <v>4144</v>
      </c>
      <c r="H1633" s="5" t="s">
        <v>4480</v>
      </c>
      <c r="I1633" s="5" t="s">
        <v>4770</v>
      </c>
      <c r="J1633" s="5" t="s">
        <v>4771</v>
      </c>
      <c r="K1633" s="7" t="str">
        <f ca="1">IFERROR(__xludf.DUMMYFUNCTION("GOOGLETRANSLATE(H1633,""EN"",""ES"")"),"OTRAS HERRAMIENTAS E IMPLEMENTOS")</f>
        <v>OTRAS HERRAMIENTAS E IMPLEMENTOS</v>
      </c>
      <c r="L1633" s="5" t="str">
        <f ca="1">IFERROR(__xludf.DUMMYFUNCTION("GOOGLETRANSLATE(J1633,""EN"",""ES"")"),"Perforaciones de boletos")</f>
        <v>Perforaciones de boletos</v>
      </c>
      <c r="M1633" s="8" t="s">
        <v>26</v>
      </c>
      <c r="N1633" s="8"/>
    </row>
    <row r="1634" spans="1:14" ht="11.25" customHeight="1">
      <c r="A1634" s="5" t="s">
        <v>4139</v>
      </c>
      <c r="B1634" s="5" t="s">
        <v>4478</v>
      </c>
      <c r="C1634" s="5" t="s">
        <v>4772</v>
      </c>
      <c r="D1634" s="5" t="s">
        <v>4142</v>
      </c>
      <c r="E1634" s="5" t="s">
        <v>27</v>
      </c>
      <c r="F1634" s="5" t="s">
        <v>4143</v>
      </c>
      <c r="G1634" s="5" t="s">
        <v>4144</v>
      </c>
      <c r="H1634" s="5" t="s">
        <v>4480</v>
      </c>
      <c r="I1634" s="5" t="s">
        <v>4773</v>
      </c>
      <c r="J1634" s="5" t="s">
        <v>4774</v>
      </c>
      <c r="K1634" s="7" t="str">
        <f ca="1">IFERROR(__xludf.DUMMYFUNCTION("GOOGLETRANSLATE(H1634,""EN"",""ES"")"),"OTRAS HERRAMIENTAS E IMPLEMENTOS")</f>
        <v>OTRAS HERRAMIENTAS E IMPLEMENTOS</v>
      </c>
      <c r="L1634" s="5" t="str">
        <f ca="1">IFERROR(__xludf.DUMMYFUNCTION("GOOGLETRANSLATE(J1634,""EN"",""ES"")"),"Consejos de los masones")</f>
        <v>Consejos de los masones</v>
      </c>
      <c r="M1634" s="8" t="s">
        <v>26</v>
      </c>
      <c r="N1634" s="8"/>
    </row>
    <row r="1635" spans="1:14" ht="11.25" customHeight="1">
      <c r="A1635" s="5" t="s">
        <v>4139</v>
      </c>
      <c r="B1635" s="5" t="s">
        <v>4478</v>
      </c>
      <c r="C1635" s="5" t="s">
        <v>4775</v>
      </c>
      <c r="D1635" s="5" t="s">
        <v>4142</v>
      </c>
      <c r="E1635" s="5" t="s">
        <v>27</v>
      </c>
      <c r="F1635" s="5" t="s">
        <v>4143</v>
      </c>
      <c r="G1635" s="5" t="s">
        <v>4144</v>
      </c>
      <c r="H1635" s="5" t="s">
        <v>4480</v>
      </c>
      <c r="I1635" s="5" t="s">
        <v>4776</v>
      </c>
      <c r="J1635" s="5" t="s">
        <v>4777</v>
      </c>
      <c r="K1635" s="7" t="str">
        <f ca="1">IFERROR(__xludf.DUMMYFUNCTION("GOOGLETRANSLATE(H1635,""EN"",""ES"")"),"OTRAS HERRAMIENTAS E IMPLEMENTOS")</f>
        <v>OTRAS HERRAMIENTAS E IMPLEMENTOS</v>
      </c>
      <c r="L1635" s="5" t="str">
        <f ca="1">IFERROR(__xludf.DUMMYFUNCTION("GOOGLETRANSLATE(J1635,""EN"",""ES"")"),"Rosas para regaderas.")</f>
        <v>Rosas para regaderas.</v>
      </c>
      <c r="M1635" s="8" t="s">
        <v>26</v>
      </c>
      <c r="N1635" s="8"/>
    </row>
    <row r="1636" spans="1:14" ht="11.25" customHeight="1">
      <c r="A1636" s="5" t="s">
        <v>4139</v>
      </c>
      <c r="B1636" s="5" t="s">
        <v>4478</v>
      </c>
      <c r="C1636" s="5" t="s">
        <v>4778</v>
      </c>
      <c r="D1636" s="5" t="s">
        <v>4142</v>
      </c>
      <c r="E1636" s="5" t="s">
        <v>27</v>
      </c>
      <c r="F1636" s="5" t="s">
        <v>4143</v>
      </c>
      <c r="G1636" s="5" t="s">
        <v>4144</v>
      </c>
      <c r="H1636" s="5" t="s">
        <v>4480</v>
      </c>
      <c r="I1636" s="5" t="s">
        <v>4779</v>
      </c>
      <c r="J1636" s="5" t="s">
        <v>4780</v>
      </c>
      <c r="K1636" s="7" t="str">
        <f ca="1">IFERROR(__xludf.DUMMYFUNCTION("GOOGLETRANSLATE(H1636,""EN"",""ES"")"),"OTRAS HERRAMIENTAS E IMPLEMENTOS")</f>
        <v>OTRAS HERRAMIENTAS E IMPLEMENTOS</v>
      </c>
      <c r="L1636" s="5" t="str">
        <f ca="1">IFERROR(__xludf.DUMMYFUNCTION("GOOGLETRANSLATE(J1636,""EN"",""ES"")"),"Bombas de cerveza accionadas manualmente")</f>
        <v>Bombas de cerveza accionadas manualmente</v>
      </c>
      <c r="M1636" s="8" t="s">
        <v>26</v>
      </c>
      <c r="N1636" s="8"/>
    </row>
    <row r="1637" spans="1:14" ht="11.25" customHeight="1">
      <c r="A1637" s="5" t="s">
        <v>4139</v>
      </c>
      <c r="B1637" s="5" t="s">
        <v>4478</v>
      </c>
      <c r="C1637" s="5" t="s">
        <v>4781</v>
      </c>
      <c r="D1637" s="5" t="s">
        <v>4142</v>
      </c>
      <c r="E1637" s="5" t="s">
        <v>27</v>
      </c>
      <c r="F1637" s="5" t="s">
        <v>4143</v>
      </c>
      <c r="G1637" s="5" t="s">
        <v>4144</v>
      </c>
      <c r="H1637" s="5" t="s">
        <v>4480</v>
      </c>
      <c r="I1637" s="5" t="s">
        <v>4782</v>
      </c>
      <c r="J1637" s="5" t="s">
        <v>4783</v>
      </c>
      <c r="K1637" s="7" t="str">
        <f ca="1">IFERROR(__xludf.DUMMYFUNCTION("GOOGLETRANSLATE(H1637,""EN"",""ES"")"),"OTRAS HERRAMIENTAS E IMPLEMENTOS")</f>
        <v>OTRAS HERRAMIENTAS E IMPLEMENTOS</v>
      </c>
      <c r="L1637" s="5" t="str">
        <f ca="1">IFERROR(__xludf.DUMMYFUNCTION("GOOGLETRANSLATE(J1637,""EN"",""ES"")"),"Bombas para inflar neumáticos, accionadas manualmente")</f>
        <v>Bombas para inflar neumáticos, accionadas manualmente</v>
      </c>
      <c r="M1637" s="8" t="s">
        <v>26</v>
      </c>
      <c r="N1637" s="8"/>
    </row>
    <row r="1638" spans="1:14" ht="11.25" customHeight="1">
      <c r="A1638" s="5" t="s">
        <v>4139</v>
      </c>
      <c r="B1638" s="5" t="s">
        <v>4478</v>
      </c>
      <c r="C1638" s="5" t="s">
        <v>4781</v>
      </c>
      <c r="D1638" s="5" t="s">
        <v>4142</v>
      </c>
      <c r="E1638" s="5" t="s">
        <v>27</v>
      </c>
      <c r="F1638" s="5" t="s">
        <v>4143</v>
      </c>
      <c r="G1638" s="5" t="s">
        <v>4144</v>
      </c>
      <c r="H1638" s="5" t="s">
        <v>4480</v>
      </c>
      <c r="I1638" s="5" t="s">
        <v>4784</v>
      </c>
      <c r="J1638" s="5" t="s">
        <v>152</v>
      </c>
      <c r="K1638" s="7" t="str">
        <f ca="1">IFERROR(__xludf.DUMMYFUNCTION("GOOGLETRANSLATE(H1638,""EN"",""ES"")"),"OTRAS HERRAMIENTAS E IMPLEMENTOS")</f>
        <v>OTRAS HERRAMIENTAS E IMPLEMENTOS</v>
      </c>
      <c r="L1638" s="5" t="str">
        <f ca="1">IFERROR(__xludf.DUMMYFUNCTION("GOOGLETRANSLATE(J1638,""EN"",""ES"")"),"Bombas para inflar neumáticos, accionadas manualmente")</f>
        <v>Bombas para inflar neumáticos, accionadas manualmente</v>
      </c>
      <c r="M1638" s="8" t="s">
        <v>26</v>
      </c>
      <c r="N1638" s="8"/>
    </row>
    <row r="1639" spans="1:14" ht="11.25" customHeight="1">
      <c r="A1639" s="5" t="s">
        <v>4139</v>
      </c>
      <c r="B1639" s="5" t="s">
        <v>4478</v>
      </c>
      <c r="C1639" s="5" t="s">
        <v>4785</v>
      </c>
      <c r="D1639" s="5" t="s">
        <v>4142</v>
      </c>
      <c r="E1639" s="5" t="s">
        <v>27</v>
      </c>
      <c r="F1639" s="5" t="s">
        <v>4143</v>
      </c>
      <c r="G1639" s="5" t="s">
        <v>4144</v>
      </c>
      <c r="H1639" s="5" t="s">
        <v>4480</v>
      </c>
      <c r="I1639" s="5" t="s">
        <v>4786</v>
      </c>
      <c r="J1639" s="5" t="s">
        <v>4787</v>
      </c>
      <c r="K1639" s="7" t="str">
        <f ca="1">IFERROR(__xludf.DUMMYFUNCTION("GOOGLETRANSLATE(H1639,""EN"",""ES"")"),"OTRAS HERRAMIENTAS E IMPLEMENTOS")</f>
        <v>OTRAS HERRAMIENTAS E IMPLEMENTOS</v>
      </c>
      <c r="L1639" s="5" t="str">
        <f ca="1">IFERROR(__xludf.DUMMYFUNCTION("GOOGLETRANSLATE(J1639,""EN"",""ES"")"),"Pistolas de engrase accionadas manualmente")</f>
        <v>Pistolas de engrase accionadas manualmente</v>
      </c>
      <c r="M1639" s="8" t="s">
        <v>26</v>
      </c>
      <c r="N1639" s="8"/>
    </row>
    <row r="1640" spans="1:14" ht="11.25" customHeight="1">
      <c r="A1640" s="5" t="s">
        <v>4139</v>
      </c>
      <c r="B1640" s="5" t="s">
        <v>4478</v>
      </c>
      <c r="C1640" s="5" t="s">
        <v>4788</v>
      </c>
      <c r="D1640" s="5" t="s">
        <v>4142</v>
      </c>
      <c r="E1640" s="5" t="s">
        <v>27</v>
      </c>
      <c r="F1640" s="5" t="s">
        <v>4143</v>
      </c>
      <c r="G1640" s="5" t="s">
        <v>4144</v>
      </c>
      <c r="H1640" s="5" t="s">
        <v>4480</v>
      </c>
      <c r="I1640" s="5" t="s">
        <v>4789</v>
      </c>
      <c r="J1640" s="5" t="s">
        <v>4790</v>
      </c>
      <c r="K1640" s="7" t="str">
        <f ca="1">IFERROR(__xludf.DUMMYFUNCTION("GOOGLETRANSLATE(H1640,""EN"",""ES"")"),"OTRAS HERRAMIENTAS E IMPLEMENTOS")</f>
        <v>OTRAS HERRAMIENTAS E IMPLEMENTOS</v>
      </c>
      <c r="L1640" s="5" t="str">
        <f ca="1">IFERROR(__xludf.DUMMYFUNCTION("GOOGLETRANSLATE(J1640,""EN"",""ES"")"),"Porta hojas abrasivas")</f>
        <v>Porta hojas abrasivas</v>
      </c>
      <c r="M1640" s="8" t="s">
        <v>26</v>
      </c>
      <c r="N1640" s="8"/>
    </row>
    <row r="1641" spans="1:14" ht="11.25" customHeight="1">
      <c r="A1641" s="5" t="s">
        <v>4139</v>
      </c>
      <c r="B1641" s="5" t="s">
        <v>4478</v>
      </c>
      <c r="C1641" s="5" t="s">
        <v>4791</v>
      </c>
      <c r="D1641" s="5" t="s">
        <v>4142</v>
      </c>
      <c r="E1641" s="5" t="s">
        <v>27</v>
      </c>
      <c r="F1641" s="5" t="s">
        <v>4143</v>
      </c>
      <c r="G1641" s="5" t="s">
        <v>4144</v>
      </c>
      <c r="H1641" s="5" t="s">
        <v>4480</v>
      </c>
      <c r="I1641" s="5" t="s">
        <v>4792</v>
      </c>
      <c r="J1641" s="5" t="s">
        <v>4793</v>
      </c>
      <c r="K1641" s="7" t="str">
        <f ca="1">IFERROR(__xludf.DUMMYFUNCTION("GOOGLETRANSLATE(H1641,""EN"",""ES"")"),"OTRAS HERRAMIENTAS E IMPLEMENTOS")</f>
        <v>OTRAS HERRAMIENTAS E IMPLEMENTOS</v>
      </c>
      <c r="L1641" s="5" t="str">
        <f ca="1">IFERROR(__xludf.DUMMYFUNCTION("GOOGLETRANSLATE(J1641,""EN"",""ES"")"),"Atomizadores agrícolas [manuales]")</f>
        <v>Atomizadores agrícolas [manuales]</v>
      </c>
      <c r="M1641" s="8" t="s">
        <v>26</v>
      </c>
      <c r="N1641" s="8"/>
    </row>
    <row r="1642" spans="1:14" ht="11.25" customHeight="1">
      <c r="A1642" s="5" t="s">
        <v>4139</v>
      </c>
      <c r="B1642" s="5" t="s">
        <v>4478</v>
      </c>
      <c r="C1642" s="5" t="s">
        <v>4794</v>
      </c>
      <c r="D1642" s="5" t="s">
        <v>4142</v>
      </c>
      <c r="E1642" s="5" t="s">
        <v>27</v>
      </c>
      <c r="F1642" s="5" t="s">
        <v>4143</v>
      </c>
      <c r="G1642" s="5" t="s">
        <v>4144</v>
      </c>
      <c r="H1642" s="5" t="s">
        <v>4480</v>
      </c>
      <c r="I1642" s="5" t="s">
        <v>4795</v>
      </c>
      <c r="J1642" s="5" t="s">
        <v>4796</v>
      </c>
      <c r="K1642" s="7" t="str">
        <f ca="1">IFERROR(__xludf.DUMMYFUNCTION("GOOGLETRANSLATE(H1642,""EN"",""ES"")"),"OTRAS HERRAMIENTAS E IMPLEMENTOS")</f>
        <v>OTRAS HERRAMIENTAS E IMPLEMENTOS</v>
      </c>
      <c r="L1642" s="5" t="str">
        <f ca="1">IFERROR(__xludf.DUMMYFUNCTION("GOOGLETRANSLATE(J1642,""EN"",""ES"")"),"Rascadores de suelo")</f>
        <v>Rascadores de suelo</v>
      </c>
      <c r="M1642" s="8" t="s">
        <v>26</v>
      </c>
      <c r="N1642" s="8"/>
    </row>
    <row r="1643" spans="1:14" ht="11.25" customHeight="1">
      <c r="A1643" s="5" t="s">
        <v>4139</v>
      </c>
      <c r="B1643" s="5" t="s">
        <v>4478</v>
      </c>
      <c r="C1643" s="5" t="s">
        <v>4797</v>
      </c>
      <c r="D1643" s="5" t="s">
        <v>4142</v>
      </c>
      <c r="E1643" s="5" t="s">
        <v>27</v>
      </c>
      <c r="F1643" s="5" t="s">
        <v>4143</v>
      </c>
      <c r="G1643" s="5" t="s">
        <v>4144</v>
      </c>
      <c r="H1643" s="5" t="s">
        <v>4480</v>
      </c>
      <c r="I1643" s="5" t="s">
        <v>4798</v>
      </c>
      <c r="J1643" s="5" t="s">
        <v>4799</v>
      </c>
      <c r="K1643" s="7" t="str">
        <f ca="1">IFERROR(__xludf.DUMMYFUNCTION("GOOGLETRANSLATE(H1643,""EN"",""ES"")"),"OTRAS HERRAMIENTAS E IMPLEMENTOS")</f>
        <v>OTRAS HERRAMIENTAS E IMPLEMENTOS</v>
      </c>
      <c r="L1643" s="5" t="str">
        <f ca="1">IFERROR(__xludf.DUMMYFUNCTION("GOOGLETRANSLATE(J1643,""EN"",""ES"")"),"Afiladores de hojas de afeitar")</f>
        <v>Afiladores de hojas de afeitar</v>
      </c>
      <c r="M1643" s="8" t="s">
        <v>26</v>
      </c>
      <c r="N1643" s="8"/>
    </row>
    <row r="1644" spans="1:14" ht="11.25" customHeight="1">
      <c r="A1644" s="5" t="s">
        <v>4139</v>
      </c>
      <c r="B1644" s="5" t="s">
        <v>4478</v>
      </c>
      <c r="C1644" s="5" t="s">
        <v>4800</v>
      </c>
      <c r="D1644" s="5" t="s">
        <v>4142</v>
      </c>
      <c r="E1644" s="5" t="s">
        <v>27</v>
      </c>
      <c r="F1644" s="5" t="s">
        <v>4143</v>
      </c>
      <c r="G1644" s="5" t="s">
        <v>4144</v>
      </c>
      <c r="H1644" s="5" t="s">
        <v>4480</v>
      </c>
      <c r="I1644" s="5" t="s">
        <v>4801</v>
      </c>
      <c r="J1644" s="5" t="s">
        <v>4802</v>
      </c>
      <c r="K1644" s="7" t="str">
        <f ca="1">IFERROR(__xludf.DUMMYFUNCTION("GOOGLETRANSLATE(H1644,""EN"",""ES"")"),"OTRAS HERRAMIENTAS E IMPLEMENTOS")</f>
        <v>OTRAS HERRAMIENTAS E IMPLEMENTOS</v>
      </c>
      <c r="L1644" s="5" t="str">
        <f ca="1">IFERROR(__xludf.DUMMYFUNCTION("GOOGLETRANSLATE(J1644,""EN"",""ES"")"),"Rodillos de pintura")</f>
        <v>Rodillos de pintura</v>
      </c>
      <c r="M1644" s="8" t="s">
        <v>26</v>
      </c>
      <c r="N1644" s="8"/>
    </row>
    <row r="1645" spans="1:14" ht="11.25" customHeight="1">
      <c r="A1645" s="5" t="s">
        <v>4139</v>
      </c>
      <c r="B1645" s="5" t="s">
        <v>4478</v>
      </c>
      <c r="C1645" s="5" t="s">
        <v>4803</v>
      </c>
      <c r="D1645" s="5" t="s">
        <v>4142</v>
      </c>
      <c r="E1645" s="5" t="s">
        <v>27</v>
      </c>
      <c r="F1645" s="5" t="s">
        <v>4143</v>
      </c>
      <c r="G1645" s="5" t="s">
        <v>4144</v>
      </c>
      <c r="H1645" s="5" t="s">
        <v>4480</v>
      </c>
      <c r="I1645" s="5" t="s">
        <v>4804</v>
      </c>
      <c r="J1645" s="5" t="s">
        <v>4805</v>
      </c>
      <c r="K1645" s="7" t="str">
        <f ca="1">IFERROR(__xludf.DUMMYFUNCTION("GOOGLETRANSLATE(H1645,""EN"",""ES"")"),"OTRAS HERRAMIENTAS E IMPLEMENTOS")</f>
        <v>OTRAS HERRAMIENTAS E IMPLEMENTOS</v>
      </c>
      <c r="L1645" s="5" t="str">
        <f ca="1">IFERROR(__xludf.DUMMYFUNCTION("GOOGLETRANSLATE(J1645,""EN"",""ES"")"),"Rodillos agrícolas accionados manualmente")</f>
        <v>Rodillos agrícolas accionados manualmente</v>
      </c>
      <c r="M1645" s="8" t="s">
        <v>26</v>
      </c>
      <c r="N1645" s="8"/>
    </row>
    <row r="1646" spans="1:14" ht="11.25" customHeight="1">
      <c r="A1646" s="5" t="s">
        <v>4139</v>
      </c>
      <c r="B1646" s="5" t="s">
        <v>4478</v>
      </c>
      <c r="C1646" s="5" t="s">
        <v>4806</v>
      </c>
      <c r="D1646" s="5" t="s">
        <v>4142</v>
      </c>
      <c r="E1646" s="5" t="s">
        <v>27</v>
      </c>
      <c r="F1646" s="5" t="s">
        <v>4143</v>
      </c>
      <c r="G1646" s="5" t="s">
        <v>4144</v>
      </c>
      <c r="H1646" s="5" t="s">
        <v>4480</v>
      </c>
      <c r="I1646" s="5" t="s">
        <v>4807</v>
      </c>
      <c r="J1646" s="5" t="s">
        <v>4808</v>
      </c>
      <c r="K1646" s="7" t="str">
        <f ca="1">IFERROR(__xludf.DUMMYFUNCTION("GOOGLETRANSLATE(H1646,""EN"",""ES"")"),"OTRAS HERRAMIENTAS E IMPLEMENTOS")</f>
        <v>OTRAS HERRAMIENTAS E IMPLEMENTOS</v>
      </c>
      <c r="L1646" s="5" t="str">
        <f ca="1">IFERROR(__xludf.DUMMYFUNCTION("GOOGLETRANSLATE(J1646,""EN"",""ES"")"),"Calambres de carpintero [herramientas]")</f>
        <v>Calambres de carpintero [herramientas]</v>
      </c>
      <c r="M1646" s="8" t="s">
        <v>26</v>
      </c>
      <c r="N1646" s="8"/>
    </row>
    <row r="1647" spans="1:14" ht="11.25" customHeight="1">
      <c r="A1647" s="5" t="s">
        <v>4139</v>
      </c>
      <c r="B1647" s="5" t="s">
        <v>4478</v>
      </c>
      <c r="C1647" s="5" t="s">
        <v>4809</v>
      </c>
      <c r="D1647" s="5" t="s">
        <v>4142</v>
      </c>
      <c r="E1647" s="5" t="s">
        <v>27</v>
      </c>
      <c r="F1647" s="5" t="s">
        <v>4143</v>
      </c>
      <c r="G1647" s="5" t="s">
        <v>4144</v>
      </c>
      <c r="H1647" s="5" t="s">
        <v>4480</v>
      </c>
      <c r="I1647" s="5" t="s">
        <v>4810</v>
      </c>
      <c r="J1647" s="5" t="s">
        <v>4811</v>
      </c>
      <c r="K1647" s="7" t="str">
        <f ca="1">IFERROR(__xludf.DUMMYFUNCTION("GOOGLETRANSLATE(H1647,""EN"",""ES"")"),"OTRAS HERRAMIENTAS E IMPLEMENTOS")</f>
        <v>OTRAS HERRAMIENTAS E IMPLEMENTOS</v>
      </c>
      <c r="L1647" s="5" t="str">
        <f ca="1">IFERROR(__xludf.DUMMYFUNCTION("GOOGLETRANSLATE(J1647,""EN"",""ES"")"),"Abrazaderas para pegar")</f>
        <v>Abrazaderas para pegar</v>
      </c>
      <c r="M1647" s="8" t="s">
        <v>26</v>
      </c>
      <c r="N1647" s="8"/>
    </row>
    <row r="1648" spans="1:14" ht="11.25" customHeight="1">
      <c r="A1648" s="5" t="s">
        <v>4139</v>
      </c>
      <c r="B1648" s="5" t="s">
        <v>4478</v>
      </c>
      <c r="C1648" s="5" t="s">
        <v>4812</v>
      </c>
      <c r="D1648" s="5" t="s">
        <v>4142</v>
      </c>
      <c r="E1648" s="5" t="s">
        <v>27</v>
      </c>
      <c r="F1648" s="5" t="s">
        <v>4143</v>
      </c>
      <c r="G1648" s="5" t="s">
        <v>4144</v>
      </c>
      <c r="H1648" s="5" t="s">
        <v>4480</v>
      </c>
      <c r="I1648" s="5" t="s">
        <v>4813</v>
      </c>
      <c r="J1648" s="5" t="s">
        <v>4814</v>
      </c>
      <c r="K1648" s="7" t="str">
        <f ca="1">IFERROR(__xludf.DUMMYFUNCTION("GOOGLETRANSLATE(H1648,""EN"",""ES"")"),"OTRAS HERRAMIENTAS E IMPLEMENTOS")</f>
        <v>OTRAS HERRAMIENTAS E IMPLEMENTOS</v>
      </c>
      <c r="L1648" s="5" t="str">
        <f ca="1">IFERROR(__xludf.DUMMYFUNCTION("GOOGLETRANSLATE(J1648,""EN"",""ES"")"),"Abrazaderas de carpintero")</f>
        <v>Abrazaderas de carpintero</v>
      </c>
      <c r="M1648" s="8" t="s">
        <v>26</v>
      </c>
      <c r="N1648" s="8"/>
    </row>
    <row r="1649" spans="1:14" ht="11.25" customHeight="1">
      <c r="A1649" s="5" t="s">
        <v>4139</v>
      </c>
      <c r="B1649" s="5" t="s">
        <v>4478</v>
      </c>
      <c r="C1649" s="5" t="s">
        <v>4815</v>
      </c>
      <c r="D1649" s="5" t="s">
        <v>4142</v>
      </c>
      <c r="E1649" s="5" t="s">
        <v>27</v>
      </c>
      <c r="F1649" s="5" t="s">
        <v>4143</v>
      </c>
      <c r="G1649" s="5" t="s">
        <v>4144</v>
      </c>
      <c r="H1649" s="5" t="s">
        <v>4480</v>
      </c>
      <c r="I1649" s="5" t="s">
        <v>4816</v>
      </c>
      <c r="J1649" s="5" t="s">
        <v>4817</v>
      </c>
      <c r="K1649" s="7" t="str">
        <f ca="1">IFERROR(__xludf.DUMMYFUNCTION("GOOGLETRANSLATE(H1649,""EN"",""ES"")"),"OTRAS HERRAMIENTAS E IMPLEMENTOS")</f>
        <v>OTRAS HERRAMIENTAS E IMPLEMENTOS</v>
      </c>
      <c r="L1649" s="5" t="str">
        <f ca="1">IFERROR(__xludf.DUMMYFUNCTION("GOOGLETRANSLATE(J1649,""EN"",""ES"")"),"Carrozas de yeseros")</f>
        <v>Carrozas de yeseros</v>
      </c>
      <c r="M1649" s="8" t="s">
        <v>26</v>
      </c>
      <c r="N1649" s="8"/>
    </row>
    <row r="1650" spans="1:14" ht="11.25" customHeight="1">
      <c r="A1650" s="5" t="s">
        <v>4139</v>
      </c>
      <c r="B1650" s="5" t="s">
        <v>4478</v>
      </c>
      <c r="C1650" s="5" t="s">
        <v>4818</v>
      </c>
      <c r="D1650" s="5" t="s">
        <v>4142</v>
      </c>
      <c r="E1650" s="5" t="s">
        <v>27</v>
      </c>
      <c r="F1650" s="5" t="s">
        <v>4143</v>
      </c>
      <c r="G1650" s="5" t="s">
        <v>4144</v>
      </c>
      <c r="H1650" s="5" t="s">
        <v>4480</v>
      </c>
      <c r="I1650" s="5" t="s">
        <v>4819</v>
      </c>
      <c r="J1650" s="5" t="s">
        <v>4820</v>
      </c>
      <c r="K1650" s="7" t="str">
        <f ca="1">IFERROR(__xludf.DUMMYFUNCTION("GOOGLETRANSLATE(H1650,""EN"",""ES"")"),"OTRAS HERRAMIENTAS E IMPLEMENTOS")</f>
        <v>OTRAS HERRAMIENTAS E IMPLEMENTOS</v>
      </c>
      <c r="L1650" s="5" t="str">
        <f ca="1">IFERROR(__xludf.DUMMYFUNCTION("GOOGLETRANSLATE(J1650,""EN"",""ES"")"),"Raspadores de barricas")</f>
        <v>Raspadores de barricas</v>
      </c>
      <c r="M1650" s="8" t="s">
        <v>26</v>
      </c>
      <c r="N1650" s="8"/>
    </row>
    <row r="1651" spans="1:14" ht="11.25" customHeight="1">
      <c r="A1651" s="5" t="s">
        <v>4139</v>
      </c>
      <c r="B1651" s="5" t="s">
        <v>4478</v>
      </c>
      <c r="C1651" s="5" t="s">
        <v>4821</v>
      </c>
      <c r="D1651" s="5" t="s">
        <v>4142</v>
      </c>
      <c r="E1651" s="5" t="s">
        <v>27</v>
      </c>
      <c r="F1651" s="5" t="s">
        <v>4143</v>
      </c>
      <c r="G1651" s="5" t="s">
        <v>4144</v>
      </c>
      <c r="H1651" s="5" t="s">
        <v>4480</v>
      </c>
      <c r="I1651" s="5" t="s">
        <v>4822</v>
      </c>
      <c r="J1651" s="5" t="s">
        <v>4823</v>
      </c>
      <c r="K1651" s="7" t="str">
        <f ca="1">IFERROR(__xludf.DUMMYFUNCTION("GOOGLETRANSLATE(H1651,""EN"",""ES"")"),"OTRAS HERRAMIENTAS E IMPLEMENTOS")</f>
        <v>OTRAS HERRAMIENTAS E IMPLEMENTOS</v>
      </c>
      <c r="L1651" s="5" t="str">
        <f ca="1">IFERROR(__xludf.DUMMYFUNCTION("GOOGLETRANSLATE(J1651,""EN"",""ES"")"),"paletas de albañil")</f>
        <v>paletas de albañil</v>
      </c>
      <c r="M1651" s="8" t="s">
        <v>26</v>
      </c>
      <c r="N1651" s="8"/>
    </row>
    <row r="1652" spans="1:14" ht="11.25" customHeight="1">
      <c r="A1652" s="5" t="s">
        <v>4139</v>
      </c>
      <c r="B1652" s="5" t="s">
        <v>4478</v>
      </c>
      <c r="C1652" s="5" t="s">
        <v>4824</v>
      </c>
      <c r="D1652" s="5" t="s">
        <v>4142</v>
      </c>
      <c r="E1652" s="5" t="s">
        <v>27</v>
      </c>
      <c r="F1652" s="5" t="s">
        <v>4143</v>
      </c>
      <c r="G1652" s="5" t="s">
        <v>4144</v>
      </c>
      <c r="H1652" s="5" t="s">
        <v>4480</v>
      </c>
      <c r="I1652" s="5" t="s">
        <v>4825</v>
      </c>
      <c r="J1652" s="5" t="s">
        <v>4826</v>
      </c>
      <c r="K1652" s="7" t="str">
        <f ca="1">IFERROR(__xludf.DUMMYFUNCTION("GOOGLETRANSLATE(H1652,""EN"",""ES"")"),"OTRAS HERRAMIENTAS E IMPLEMENTOS")</f>
        <v>OTRAS HERRAMIENTAS E IMPLEMENTOS</v>
      </c>
      <c r="L1652" s="5" t="str">
        <f ca="1">IFERROR(__xludf.DUMMYFUNCTION("GOOGLETRANSLATE(J1652,""EN"",""ES"")"),"soldadores")</f>
        <v>soldadores</v>
      </c>
      <c r="M1652" s="8" t="s">
        <v>26</v>
      </c>
      <c r="N1652" s="8"/>
    </row>
    <row r="1653" spans="1:14" ht="11.25" customHeight="1">
      <c r="A1653" s="5" t="s">
        <v>4139</v>
      </c>
      <c r="B1653" s="5" t="s">
        <v>4478</v>
      </c>
      <c r="C1653" s="5" t="s">
        <v>4827</v>
      </c>
      <c r="D1653" s="5" t="s">
        <v>4142</v>
      </c>
      <c r="E1653" s="5" t="s">
        <v>27</v>
      </c>
      <c r="F1653" s="5" t="s">
        <v>4143</v>
      </c>
      <c r="G1653" s="5" t="s">
        <v>4144</v>
      </c>
      <c r="H1653" s="5" t="s">
        <v>4480</v>
      </c>
      <c r="I1653" s="5" t="s">
        <v>4828</v>
      </c>
      <c r="J1653" s="5" t="s">
        <v>4829</v>
      </c>
      <c r="K1653" s="7" t="str">
        <f ca="1">IFERROR(__xludf.DUMMYFUNCTION("GOOGLETRANSLATE(H1653,""EN"",""ES"")"),"OTRAS HERRAMIENTAS E IMPLEMENTOS")</f>
        <v>OTRAS HERRAMIENTAS E IMPLEMENTOS</v>
      </c>
      <c r="L1653" s="5" t="str">
        <f ca="1">IFERROR(__xludf.DUMMYFUNCTION("GOOGLETRANSLATE(J1653,""EN"",""ES"")"),"Hilo para marcar para plantar.")</f>
        <v>Hilo para marcar para plantar.</v>
      </c>
      <c r="M1653" s="8" t="s">
        <v>26</v>
      </c>
      <c r="N1653" s="8"/>
    </row>
    <row r="1654" spans="1:14" ht="11.25" customHeight="1">
      <c r="A1654" s="5" t="s">
        <v>4139</v>
      </c>
      <c r="B1654" s="5" t="s">
        <v>4478</v>
      </c>
      <c r="C1654" s="5" t="s">
        <v>4830</v>
      </c>
      <c r="D1654" s="5" t="s">
        <v>4142</v>
      </c>
      <c r="E1654" s="5" t="s">
        <v>27</v>
      </c>
      <c r="F1654" s="5" t="s">
        <v>4143</v>
      </c>
      <c r="G1654" s="5" t="s">
        <v>4144</v>
      </c>
      <c r="H1654" s="5" t="s">
        <v>4480</v>
      </c>
      <c r="I1654" s="5" t="s">
        <v>4831</v>
      </c>
      <c r="J1654" s="5" t="s">
        <v>4832</v>
      </c>
      <c r="K1654" s="7" t="str">
        <f ca="1">IFERROR(__xludf.DUMMYFUNCTION("GOOGLETRANSLATE(H1654,""EN"",""ES"")"),"OTRAS HERRAMIENTAS E IMPLEMENTOS")</f>
        <v>OTRAS HERRAMIENTAS E IMPLEMENTOS</v>
      </c>
      <c r="L1654" s="5" t="str">
        <f ca="1">IFERROR(__xludf.DUMMYFUNCTION("GOOGLETRANSLATE(J1654,""EN"",""ES"")"),"Cucharones para sauna")</f>
        <v>Cucharones para sauna</v>
      </c>
      <c r="M1654" s="8" t="s">
        <v>26</v>
      </c>
      <c r="N1654" s="8"/>
    </row>
    <row r="1655" spans="1:14" ht="11.25" customHeight="1">
      <c r="A1655" s="5" t="s">
        <v>4139</v>
      </c>
      <c r="B1655" s="5" t="s">
        <v>4478</v>
      </c>
      <c r="C1655" s="5" t="s">
        <v>4833</v>
      </c>
      <c r="D1655" s="5" t="s">
        <v>4142</v>
      </c>
      <c r="E1655" s="5" t="s">
        <v>27</v>
      </c>
      <c r="F1655" s="5" t="s">
        <v>4143</v>
      </c>
      <c r="G1655" s="5" t="s">
        <v>4144</v>
      </c>
      <c r="H1655" s="5" t="s">
        <v>4480</v>
      </c>
      <c r="I1655" s="5" t="s">
        <v>4834</v>
      </c>
      <c r="J1655" s="5" t="s">
        <v>4835</v>
      </c>
      <c r="K1655" s="7" t="str">
        <f ca="1">IFERROR(__xludf.DUMMYFUNCTION("GOOGLETRANSLATE(H1655,""EN"",""ES"")"),"OTRAS HERRAMIENTAS E IMPLEMENTOS")</f>
        <v>OTRAS HERRAMIENTAS E IMPLEMENTOS</v>
      </c>
      <c r="L1655" s="5" t="str">
        <f ca="1">IFERROR(__xludf.DUMMYFUNCTION("GOOGLETRANSLATE(J1655,""EN"",""ES"")"),"Sartenes para lavar oro")</f>
        <v>Sartenes para lavar oro</v>
      </c>
      <c r="M1655" s="8" t="s">
        <v>26</v>
      </c>
      <c r="N1655" s="8"/>
    </row>
    <row r="1656" spans="1:14" ht="11.25" customHeight="1">
      <c r="A1656" s="5" t="s">
        <v>4139</v>
      </c>
      <c r="B1656" s="5" t="s">
        <v>4478</v>
      </c>
      <c r="C1656" s="5" t="s">
        <v>4836</v>
      </c>
      <c r="D1656" s="5" t="s">
        <v>4142</v>
      </c>
      <c r="E1656" s="5" t="s">
        <v>27</v>
      </c>
      <c r="F1656" s="5" t="s">
        <v>4143</v>
      </c>
      <c r="G1656" s="5" t="s">
        <v>4144</v>
      </c>
      <c r="H1656" s="5" t="s">
        <v>4480</v>
      </c>
      <c r="I1656" s="5" t="s">
        <v>4837</v>
      </c>
      <c r="J1656" s="5" t="s">
        <v>4838</v>
      </c>
      <c r="K1656" s="7" t="str">
        <f ca="1">IFERROR(__xludf.DUMMYFUNCTION("GOOGLETRANSLATE(H1656,""EN"",""ES"")"),"OTRAS HERRAMIENTAS E IMPLEMENTOS")</f>
        <v>OTRAS HERRAMIENTAS E IMPLEMENTOS</v>
      </c>
      <c r="L1656" s="5" t="str">
        <f ca="1">IFERROR(__xludf.DUMMYFUNCTION("GOOGLETRANSLATE(J1656,""EN"",""ES"")"),"Líneas de tiza")</f>
        <v>Líneas de tiza</v>
      </c>
      <c r="M1656" s="8" t="s">
        <v>26</v>
      </c>
      <c r="N1656" s="8"/>
    </row>
    <row r="1657" spans="1:14" ht="11.25" customHeight="1">
      <c r="A1657" s="5" t="s">
        <v>4139</v>
      </c>
      <c r="B1657" s="5" t="s">
        <v>4478</v>
      </c>
      <c r="C1657" s="5" t="s">
        <v>4839</v>
      </c>
      <c r="D1657" s="5" t="s">
        <v>4142</v>
      </c>
      <c r="E1657" s="5" t="s">
        <v>27</v>
      </c>
      <c r="F1657" s="5" t="s">
        <v>4143</v>
      </c>
      <c r="G1657" s="5" t="s">
        <v>4144</v>
      </c>
      <c r="H1657" s="5" t="s">
        <v>4480</v>
      </c>
      <c r="I1657" s="5" t="s">
        <v>4840</v>
      </c>
      <c r="J1657" s="5" t="s">
        <v>4841</v>
      </c>
      <c r="K1657" s="7" t="str">
        <f ca="1">IFERROR(__xludf.DUMMYFUNCTION("GOOGLETRANSLATE(H1657,""EN"",""ES"")"),"OTRAS HERRAMIENTAS E IMPLEMENTOS")</f>
        <v>OTRAS HERRAMIENTAS E IMPLEMENTOS</v>
      </c>
      <c r="L1657" s="5" t="str">
        <f ca="1">IFERROR(__xludf.DUMMYFUNCTION("GOOGLETRANSLATE(J1657,""EN"",""ES"")"),"Rejillas para rodillos de pintura.")</f>
        <v>Rejillas para rodillos de pintura.</v>
      </c>
      <c r="M1657" s="8" t="s">
        <v>26</v>
      </c>
      <c r="N1657" s="8"/>
    </row>
    <row r="1658" spans="1:14" ht="11.25" customHeight="1">
      <c r="A1658" s="5" t="s">
        <v>4139</v>
      </c>
      <c r="B1658" s="5" t="s">
        <v>4478</v>
      </c>
      <c r="C1658" s="5" t="s">
        <v>4842</v>
      </c>
      <c r="D1658" s="5" t="s">
        <v>4142</v>
      </c>
      <c r="E1658" s="5" t="s">
        <v>27</v>
      </c>
      <c r="F1658" s="5" t="s">
        <v>4143</v>
      </c>
      <c r="G1658" s="5" t="s">
        <v>4144</v>
      </c>
      <c r="H1658" s="5" t="s">
        <v>4480</v>
      </c>
      <c r="I1658" s="5" t="s">
        <v>4843</v>
      </c>
      <c r="J1658" s="5" t="s">
        <v>4844</v>
      </c>
      <c r="K1658" s="7" t="str">
        <f ca="1">IFERROR(__xludf.DUMMYFUNCTION("GOOGLETRANSLATE(H1658,""EN"",""ES"")"),"OTRAS HERRAMIENTAS E IMPLEMENTOS")</f>
        <v>OTRAS HERRAMIENTAS E IMPLEMENTOS</v>
      </c>
      <c r="L1658" s="5" t="str">
        <f ca="1">IFERROR(__xludf.DUMMYFUNCTION("GOOGLETRANSLATE(J1658,""EN"",""ES"")"),"Lijadoras manuales")</f>
        <v>Lijadoras manuales</v>
      </c>
      <c r="M1658" s="8" t="s">
        <v>26</v>
      </c>
      <c r="N1658" s="8"/>
    </row>
    <row r="1659" spans="1:14" ht="11.25" customHeight="1">
      <c r="A1659" s="5" t="s">
        <v>4139</v>
      </c>
      <c r="B1659" s="5" t="s">
        <v>4478</v>
      </c>
      <c r="C1659" s="5" t="s">
        <v>4845</v>
      </c>
      <c r="D1659" s="5" t="s">
        <v>4142</v>
      </c>
      <c r="E1659" s="5" t="s">
        <v>27</v>
      </c>
      <c r="F1659" s="5" t="s">
        <v>4143</v>
      </c>
      <c r="G1659" s="5" t="s">
        <v>4144</v>
      </c>
      <c r="H1659" s="5" t="s">
        <v>4480</v>
      </c>
      <c r="I1659" s="5" t="s">
        <v>4846</v>
      </c>
      <c r="J1659" s="5" t="s">
        <v>4847</v>
      </c>
      <c r="K1659" s="7" t="str">
        <f ca="1">IFERROR(__xludf.DUMMYFUNCTION("GOOGLETRANSLATE(H1659,""EN"",""ES"")"),"OTRAS HERRAMIENTAS E IMPLEMENTOS")</f>
        <v>OTRAS HERRAMIENTAS E IMPLEMENTOS</v>
      </c>
      <c r="L1659" s="5" t="str">
        <f ca="1">IFERROR(__xludf.DUMMYFUNCTION("GOOGLETRANSLATE(J1659,""EN"",""ES"")"),"Espátulas [herramientas manuales]")</f>
        <v>Espátulas [herramientas manuales]</v>
      </c>
      <c r="M1659" s="8" t="s">
        <v>26</v>
      </c>
      <c r="N1659" s="8"/>
    </row>
    <row r="1660" spans="1:14" ht="11.25" customHeight="1">
      <c r="A1660" s="5" t="s">
        <v>4139</v>
      </c>
      <c r="B1660" s="5" t="s">
        <v>4478</v>
      </c>
      <c r="C1660" s="5" t="s">
        <v>4848</v>
      </c>
      <c r="D1660" s="5" t="s">
        <v>4142</v>
      </c>
      <c r="E1660" s="5" t="s">
        <v>27</v>
      </c>
      <c r="F1660" s="5" t="s">
        <v>4143</v>
      </c>
      <c r="G1660" s="5" t="s">
        <v>4144</v>
      </c>
      <c r="H1660" s="5" t="s">
        <v>4480</v>
      </c>
      <c r="I1660" s="5" t="s">
        <v>4849</v>
      </c>
      <c r="J1660" s="5" t="s">
        <v>4850</v>
      </c>
      <c r="K1660" s="7" t="str">
        <f ca="1">IFERROR(__xludf.DUMMYFUNCTION("GOOGLETRANSLATE(H1660,""EN"",""ES"")"),"OTRAS HERRAMIENTAS E IMPLEMENTOS")</f>
        <v>OTRAS HERRAMIENTAS E IMPLEMENTOS</v>
      </c>
      <c r="L1660" s="5" t="str">
        <f ca="1">IFERROR(__xludf.DUMMYFUNCTION("GOOGLETRANSLATE(J1660,""EN"",""ES"")"),"Despojadores de papel tapiz")</f>
        <v>Despojadores de papel tapiz</v>
      </c>
      <c r="M1660" s="8" t="s">
        <v>26</v>
      </c>
      <c r="N1660" s="8"/>
    </row>
    <row r="1661" spans="1:14" ht="11.25" customHeight="1">
      <c r="A1661" s="5" t="s">
        <v>4139</v>
      </c>
      <c r="B1661" s="5" t="s">
        <v>4478</v>
      </c>
      <c r="C1661" s="5" t="s">
        <v>4851</v>
      </c>
      <c r="D1661" s="5" t="s">
        <v>4142</v>
      </c>
      <c r="E1661" s="5" t="s">
        <v>27</v>
      </c>
      <c r="F1661" s="5" t="s">
        <v>4143</v>
      </c>
      <c r="G1661" s="5" t="s">
        <v>4144</v>
      </c>
      <c r="H1661" s="5" t="s">
        <v>4480</v>
      </c>
      <c r="I1661" s="5" t="s">
        <v>4852</v>
      </c>
      <c r="J1661" s="5" t="s">
        <v>4853</v>
      </c>
      <c r="K1661" s="7" t="str">
        <f ca="1">IFERROR(__xludf.DUMMYFUNCTION("GOOGLETRANSLATE(H1661,""EN"",""ES"")"),"OTRAS HERRAMIENTAS E IMPLEMENTOS")</f>
        <v>OTRAS HERRAMIENTAS E IMPLEMENTOS</v>
      </c>
      <c r="L1661" s="5" t="str">
        <f ca="1">IFERROR(__xludf.DUMMYFUNCTION("GOOGLETRANSLATE(J1661,""EN"",""ES"")"),"Amoladoras angulares")</f>
        <v>Amoladoras angulares</v>
      </c>
      <c r="M1661" s="8" t="s">
        <v>26</v>
      </c>
      <c r="N1661" s="8"/>
    </row>
    <row r="1662" spans="1:14" ht="11.25" customHeight="1">
      <c r="A1662" s="5" t="s">
        <v>4139</v>
      </c>
      <c r="B1662" s="5" t="s">
        <v>4478</v>
      </c>
      <c r="C1662" s="5" t="s">
        <v>4854</v>
      </c>
      <c r="D1662" s="5" t="s">
        <v>4142</v>
      </c>
      <c r="E1662" s="5" t="s">
        <v>27</v>
      </c>
      <c r="F1662" s="5" t="s">
        <v>4143</v>
      </c>
      <c r="G1662" s="5" t="s">
        <v>4144</v>
      </c>
      <c r="H1662" s="5" t="s">
        <v>4480</v>
      </c>
      <c r="I1662" s="5" t="s">
        <v>4855</v>
      </c>
      <c r="J1662" s="5" t="s">
        <v>4856</v>
      </c>
      <c r="K1662" s="7" t="str">
        <f ca="1">IFERROR(__xludf.DUMMYFUNCTION("GOOGLETRANSLATE(H1662,""EN"",""ES"")"),"OTRAS HERRAMIENTAS E IMPLEMENTOS")</f>
        <v>OTRAS HERRAMIENTAS E IMPLEMENTOS</v>
      </c>
      <c r="L1662" s="5" t="str">
        <f ca="1">IFERROR(__xludf.DUMMYFUNCTION("GOOGLETRANSLATE(J1662,""EN"",""ES"")"),"Pinzas para levantar madera [herramientas]")</f>
        <v>Pinzas para levantar madera [herramientas]</v>
      </c>
      <c r="M1662" s="8" t="s">
        <v>26</v>
      </c>
      <c r="N1662" s="8"/>
    </row>
    <row r="1663" spans="1:14" ht="11.25" customHeight="1">
      <c r="A1663" s="5" t="s">
        <v>4139</v>
      </c>
      <c r="B1663" s="5" t="s">
        <v>4478</v>
      </c>
      <c r="C1663" s="5" t="s">
        <v>4857</v>
      </c>
      <c r="D1663" s="5" t="s">
        <v>4142</v>
      </c>
      <c r="E1663" s="5" t="s">
        <v>27</v>
      </c>
      <c r="F1663" s="5" t="s">
        <v>4143</v>
      </c>
      <c r="G1663" s="5" t="s">
        <v>4144</v>
      </c>
      <c r="H1663" s="5" t="s">
        <v>4480</v>
      </c>
      <c r="I1663" s="5" t="s">
        <v>4858</v>
      </c>
      <c r="J1663" s="5" t="s">
        <v>4859</v>
      </c>
      <c r="K1663" s="7" t="str">
        <f ca="1">IFERROR(__xludf.DUMMYFUNCTION("GOOGLETRANSLATE(H1663,""EN"",""ES"")"),"OTRAS HERRAMIENTAS E IMPLEMENTOS")</f>
        <v>OTRAS HERRAMIENTAS E IMPLEMENTOS</v>
      </c>
      <c r="L1663" s="5" t="str">
        <f ca="1">IFERROR(__xludf.DUMMYFUNCTION("GOOGLETRANSLATE(J1663,""EN"",""ES"")"),"Raspadores de hielo")</f>
        <v>Raspadores de hielo</v>
      </c>
      <c r="M1663" s="8" t="s">
        <v>26</v>
      </c>
      <c r="N1663" s="8"/>
    </row>
    <row r="1664" spans="1:14" ht="11.25" customHeight="1">
      <c r="A1664" s="5" t="s">
        <v>4139</v>
      </c>
      <c r="B1664" s="5" t="s">
        <v>4478</v>
      </c>
      <c r="C1664" s="5" t="s">
        <v>4860</v>
      </c>
      <c r="D1664" s="5" t="s">
        <v>4142</v>
      </c>
      <c r="E1664" s="5" t="s">
        <v>27</v>
      </c>
      <c r="F1664" s="5" t="s">
        <v>4143</v>
      </c>
      <c r="G1664" s="5" t="s">
        <v>4144</v>
      </c>
      <c r="H1664" s="5" t="s">
        <v>4480</v>
      </c>
      <c r="I1664" s="5" t="s">
        <v>4861</v>
      </c>
      <c r="J1664" s="5" t="s">
        <v>4862</v>
      </c>
      <c r="K1664" s="7" t="str">
        <f ca="1">IFERROR(__xludf.DUMMYFUNCTION("GOOGLETRANSLATE(H1664,""EN"",""ES"")"),"OTRAS HERRAMIENTAS E IMPLEMENTOS")</f>
        <v>OTRAS HERRAMIENTAS E IMPLEMENTOS</v>
      </c>
      <c r="L1664" s="5" t="str">
        <f ca="1">IFERROR(__xludf.DUMMYFUNCTION("GOOGLETRANSLATE(J1664,""EN"",""ES"")"),"Rascadores para quitar pintura")</f>
        <v>Rascadores para quitar pintura</v>
      </c>
      <c r="M1664" s="8" t="s">
        <v>26</v>
      </c>
      <c r="N1664" s="8"/>
    </row>
    <row r="1665" spans="1:14" ht="11.25" customHeight="1">
      <c r="A1665" s="5" t="s">
        <v>4139</v>
      </c>
      <c r="B1665" s="5" t="s">
        <v>4478</v>
      </c>
      <c r="C1665" s="5" t="s">
        <v>4863</v>
      </c>
      <c r="D1665" s="5" t="s">
        <v>4142</v>
      </c>
      <c r="E1665" s="5" t="s">
        <v>27</v>
      </c>
      <c r="F1665" s="5" t="s">
        <v>4143</v>
      </c>
      <c r="G1665" s="5" t="s">
        <v>4144</v>
      </c>
      <c r="H1665" s="5" t="s">
        <v>4480</v>
      </c>
      <c r="I1665" s="5" t="s">
        <v>4864</v>
      </c>
      <c r="J1665" s="5" t="s">
        <v>4865</v>
      </c>
      <c r="K1665" s="7" t="str">
        <f ca="1">IFERROR(__xludf.DUMMYFUNCTION("GOOGLETRANSLATE(H1665,""EN"",""ES"")"),"OTRAS HERRAMIENTAS E IMPLEMENTOS")</f>
        <v>OTRAS HERRAMIENTAS E IMPLEMENTOS</v>
      </c>
      <c r="L1665" s="5" t="str">
        <f ca="1">IFERROR(__xludf.DUMMYFUNCTION("GOOGLETRANSLATE(J1665,""EN"",""ES"")"),"bolas de bayas")</f>
        <v>bolas de bayas</v>
      </c>
      <c r="M1665" s="8" t="s">
        <v>26</v>
      </c>
      <c r="N1665" s="8"/>
    </row>
    <row r="1666" spans="1:14" ht="11.25" customHeight="1">
      <c r="A1666" s="5" t="s">
        <v>4139</v>
      </c>
      <c r="B1666" s="5" t="s">
        <v>4478</v>
      </c>
      <c r="C1666" s="5" t="s">
        <v>4863</v>
      </c>
      <c r="D1666" s="5" t="s">
        <v>4142</v>
      </c>
      <c r="E1666" s="5" t="s">
        <v>27</v>
      </c>
      <c r="F1666" s="5" t="s">
        <v>4143</v>
      </c>
      <c r="G1666" s="5" t="s">
        <v>4144</v>
      </c>
      <c r="H1666" s="5" t="s">
        <v>4480</v>
      </c>
      <c r="I1666" s="5" t="s">
        <v>4866</v>
      </c>
      <c r="J1666" s="5" t="s">
        <v>152</v>
      </c>
      <c r="K1666" s="7" t="str">
        <f ca="1">IFERROR(__xludf.DUMMYFUNCTION("GOOGLETRANSLATE(H1666,""EN"",""ES"")"),"OTRAS HERRAMIENTAS E IMPLEMENTOS")</f>
        <v>OTRAS HERRAMIENTAS E IMPLEMENTOS</v>
      </c>
      <c r="L1666" s="5" t="str">
        <f ca="1">IFERROR(__xludf.DUMMYFUNCTION("GOOGLETRANSLATE(J1666,""EN"",""ES"")"),"Peines de bayas")</f>
        <v>Peines de bayas</v>
      </c>
      <c r="M1666" s="8" t="s">
        <v>26</v>
      </c>
      <c r="N1666" s="8"/>
    </row>
    <row r="1667" spans="1:14" ht="11.25" customHeight="1">
      <c r="A1667" s="5" t="s">
        <v>4139</v>
      </c>
      <c r="B1667" s="5" t="s">
        <v>4478</v>
      </c>
      <c r="C1667" s="5" t="s">
        <v>4867</v>
      </c>
      <c r="D1667" s="5" t="s">
        <v>4142</v>
      </c>
      <c r="E1667" s="5" t="s">
        <v>27</v>
      </c>
      <c r="F1667" s="5" t="s">
        <v>4143</v>
      </c>
      <c r="G1667" s="5" t="s">
        <v>4144</v>
      </c>
      <c r="H1667" s="5" t="s">
        <v>4480</v>
      </c>
      <c r="I1667" s="5" t="s">
        <v>4868</v>
      </c>
      <c r="J1667" s="5" t="s">
        <v>4869</v>
      </c>
      <c r="K1667" s="7" t="str">
        <f ca="1">IFERROR(__xludf.DUMMYFUNCTION("GOOGLETRANSLATE(H1667,""EN"",""ES"")"),"OTRAS HERRAMIENTAS E IMPLEMENTOS")</f>
        <v>OTRAS HERRAMIENTAS E IMPLEMENTOS</v>
      </c>
      <c r="L1667" s="5" t="str">
        <f ca="1">IFERROR(__xludf.DUMMYFUNCTION("GOOGLETRANSLATE(J1667,""EN"",""ES"")"),"Raspadores de cera para esquís")</f>
        <v>Raspadores de cera para esquís</v>
      </c>
      <c r="M1667" s="8" t="s">
        <v>26</v>
      </c>
      <c r="N1667" s="8"/>
    </row>
    <row r="1668" spans="1:14" ht="11.25" customHeight="1">
      <c r="A1668" s="5" t="s">
        <v>4139</v>
      </c>
      <c r="B1668" s="5" t="s">
        <v>4478</v>
      </c>
      <c r="C1668" s="5" t="s">
        <v>4870</v>
      </c>
      <c r="D1668" s="5" t="s">
        <v>4142</v>
      </c>
      <c r="E1668" s="5" t="s">
        <v>27</v>
      </c>
      <c r="F1668" s="5" t="s">
        <v>4143</v>
      </c>
      <c r="G1668" s="5" t="s">
        <v>4144</v>
      </c>
      <c r="H1668" s="5" t="s">
        <v>4480</v>
      </c>
      <c r="I1668" s="5" t="s">
        <v>4871</v>
      </c>
      <c r="J1668" s="5" t="s">
        <v>4872</v>
      </c>
      <c r="K1668" s="7" t="str">
        <f ca="1">IFERROR(__xludf.DUMMYFUNCTION("GOOGLETRANSLATE(H1668,""EN"",""ES"")"),"OTRAS HERRAMIENTAS E IMPLEMENTOS")</f>
        <v>OTRAS HERRAMIENTAS E IMPLEMENTOS</v>
      </c>
      <c r="L1668" s="5" t="str">
        <f ca="1">IFERROR(__xludf.DUMMYFUNCTION("GOOGLETRANSLATE(J1668,""EN"",""ES"")"),"llaves de tuercas")</f>
        <v>llaves de tuercas</v>
      </c>
      <c r="M1668" s="8" t="s">
        <v>26</v>
      </c>
      <c r="N1668" s="8"/>
    </row>
    <row r="1669" spans="1:14" ht="11.25" customHeight="1">
      <c r="A1669" s="5" t="s">
        <v>4139</v>
      </c>
      <c r="B1669" s="5" t="s">
        <v>4478</v>
      </c>
      <c r="C1669" s="5" t="s">
        <v>4873</v>
      </c>
      <c r="D1669" s="5" t="s">
        <v>4142</v>
      </c>
      <c r="E1669" s="5" t="s">
        <v>27</v>
      </c>
      <c r="F1669" s="5" t="s">
        <v>4143</v>
      </c>
      <c r="G1669" s="5" t="s">
        <v>4144</v>
      </c>
      <c r="H1669" s="5" t="s">
        <v>4480</v>
      </c>
      <c r="I1669" s="5" t="s">
        <v>4874</v>
      </c>
      <c r="J1669" s="5" t="s">
        <v>4875</v>
      </c>
      <c r="K1669" s="7" t="str">
        <f ca="1">IFERROR(__xludf.DUMMYFUNCTION("GOOGLETRANSLATE(H1669,""EN"",""ES"")"),"OTRAS HERRAMIENTAS E IMPLEMENTOS")</f>
        <v>OTRAS HERRAMIENTAS E IMPLEMENTOS</v>
      </c>
      <c r="L1669" s="5" t="str">
        <f ca="1">IFERROR(__xludf.DUMMYFUNCTION("GOOGLETRANSLATE(J1669,""EN"",""ES"")"),"clavadores de uñas")</f>
        <v>clavadores de uñas</v>
      </c>
      <c r="M1669" s="8" t="s">
        <v>26</v>
      </c>
      <c r="N1669" s="8"/>
    </row>
    <row r="1670" spans="1:14" ht="11.25" customHeight="1">
      <c r="A1670" s="5" t="s">
        <v>4139</v>
      </c>
      <c r="B1670" s="5" t="s">
        <v>4478</v>
      </c>
      <c r="C1670" s="5" t="s">
        <v>4876</v>
      </c>
      <c r="D1670" s="5" t="s">
        <v>4142</v>
      </c>
      <c r="E1670" s="5" t="s">
        <v>27</v>
      </c>
      <c r="F1670" s="5" t="s">
        <v>4143</v>
      </c>
      <c r="G1670" s="5" t="s">
        <v>4144</v>
      </c>
      <c r="H1670" s="5" t="s">
        <v>4480</v>
      </c>
      <c r="I1670" s="5" t="s">
        <v>4877</v>
      </c>
      <c r="J1670" s="5" t="s">
        <v>4878</v>
      </c>
      <c r="K1670" s="7" t="str">
        <f ca="1">IFERROR(__xludf.DUMMYFUNCTION("GOOGLETRANSLATE(H1670,""EN"",""ES"")"),"OTRAS HERRAMIENTAS E IMPLEMENTOS")</f>
        <v>OTRAS HERRAMIENTAS E IMPLEMENTOS</v>
      </c>
      <c r="L1670" s="5" t="str">
        <f ca="1">IFERROR(__xludf.DUMMYFUNCTION("GOOGLETRANSLATE(J1670,""EN"",""ES"")"),"Herramientas de elevación inflables")</f>
        <v>Herramientas de elevación inflables</v>
      </c>
      <c r="M1670" s="8" t="s">
        <v>26</v>
      </c>
      <c r="N1670" s="8"/>
    </row>
    <row r="1671" spans="1:14" ht="11.25" customHeight="1">
      <c r="A1671" s="5" t="s">
        <v>4139</v>
      </c>
      <c r="B1671" s="5" t="s">
        <v>4478</v>
      </c>
      <c r="C1671" s="5" t="s">
        <v>4879</v>
      </c>
      <c r="D1671" s="5" t="s">
        <v>4142</v>
      </c>
      <c r="E1671" s="5" t="s">
        <v>27</v>
      </c>
      <c r="F1671" s="5" t="s">
        <v>4143</v>
      </c>
      <c r="G1671" s="5" t="s">
        <v>4144</v>
      </c>
      <c r="H1671" s="5" t="s">
        <v>4480</v>
      </c>
      <c r="I1671" s="5" t="s">
        <v>4880</v>
      </c>
      <c r="J1671" s="5" t="s">
        <v>4881</v>
      </c>
      <c r="K1671" s="7" t="str">
        <f ca="1">IFERROR(__xludf.DUMMYFUNCTION("GOOGLETRANSLATE(H1671,""EN"",""ES"")"),"OTRAS HERRAMIENTAS E IMPLEMENTOS")</f>
        <v>OTRAS HERRAMIENTAS E IMPLEMENTOS</v>
      </c>
      <c r="L1671" s="5" t="str">
        <f ca="1">IFERROR(__xludf.DUMMYFUNCTION("GOOGLETRANSLATE(J1671,""EN"",""ES"")"),"Bandejas de pintura")</f>
        <v>Bandejas de pintura</v>
      </c>
      <c r="M1671" s="8" t="s">
        <v>26</v>
      </c>
      <c r="N1671" s="8"/>
    </row>
    <row r="1672" spans="1:14" ht="11.25" customHeight="1">
      <c r="A1672" s="5" t="s">
        <v>4139</v>
      </c>
      <c r="B1672" s="5" t="s">
        <v>4478</v>
      </c>
      <c r="C1672" s="5" t="s">
        <v>4882</v>
      </c>
      <c r="D1672" s="5" t="s">
        <v>4142</v>
      </c>
      <c r="E1672" s="5" t="s">
        <v>27</v>
      </c>
      <c r="F1672" s="5" t="s">
        <v>4143</v>
      </c>
      <c r="G1672" s="5" t="s">
        <v>4144</v>
      </c>
      <c r="H1672" s="5" t="s">
        <v>4480</v>
      </c>
      <c r="I1672" s="5" t="s">
        <v>4883</v>
      </c>
      <c r="J1672" s="5" t="s">
        <v>4884</v>
      </c>
      <c r="K1672" s="7" t="str">
        <f ca="1">IFERROR(__xludf.DUMMYFUNCTION("GOOGLETRANSLATE(H1672,""EN"",""ES"")"),"OTRAS HERRAMIENTAS E IMPLEMENTOS")</f>
        <v>OTRAS HERRAMIENTAS E IMPLEMENTOS</v>
      </c>
      <c r="L1672" s="5" t="str">
        <f ca="1">IFERROR(__xludf.DUMMYFUNCTION("GOOGLETRANSLATE(J1672,""EN"",""ES"")"),"Raspadores de vidrio")</f>
        <v>Raspadores de vidrio</v>
      </c>
      <c r="M1672" s="8" t="s">
        <v>26</v>
      </c>
      <c r="N1672" s="8"/>
    </row>
    <row r="1673" spans="1:14" ht="11.25" customHeight="1">
      <c r="A1673" s="5" t="s">
        <v>4139</v>
      </c>
      <c r="B1673" s="5" t="s">
        <v>4478</v>
      </c>
      <c r="C1673" s="5" t="s">
        <v>4885</v>
      </c>
      <c r="D1673" s="5" t="s">
        <v>4142</v>
      </c>
      <c r="E1673" s="5" t="s">
        <v>27</v>
      </c>
      <c r="F1673" s="5" t="s">
        <v>4143</v>
      </c>
      <c r="G1673" s="5" t="s">
        <v>4144</v>
      </c>
      <c r="H1673" s="5" t="s">
        <v>4480</v>
      </c>
      <c r="I1673" s="5" t="s">
        <v>4886</v>
      </c>
      <c r="J1673" s="5" t="s">
        <v>4887</v>
      </c>
      <c r="K1673" s="7" t="str">
        <f ca="1">IFERROR(__xludf.DUMMYFUNCTION("GOOGLETRANSLATE(H1673,""EN"",""ES"")"),"OTRAS HERRAMIENTAS E IMPLEMENTOS")</f>
        <v>OTRAS HERRAMIENTAS E IMPLEMENTOS</v>
      </c>
      <c r="L1673" s="5" t="str">
        <f ca="1">IFERROR(__xludf.DUMMYFUNCTION("GOOGLETRANSLATE(J1673,""EN"",""ES"")"),"Portaelectrodos de soldadura")</f>
        <v>Portaelectrodos de soldadura</v>
      </c>
      <c r="M1673" s="8" t="s">
        <v>26</v>
      </c>
      <c r="N1673" s="8"/>
    </row>
    <row r="1674" spans="1:14" ht="11.25" customHeight="1">
      <c r="A1674" s="5" t="s">
        <v>4139</v>
      </c>
      <c r="B1674" s="5" t="s">
        <v>4888</v>
      </c>
      <c r="C1674" s="5" t="s">
        <v>4889</v>
      </c>
      <c r="D1674" s="5" t="s">
        <v>4142</v>
      </c>
      <c r="E1674" s="5" t="s">
        <v>27</v>
      </c>
      <c r="F1674" s="5" t="s">
        <v>4143</v>
      </c>
      <c r="G1674" s="5" t="s">
        <v>4144</v>
      </c>
      <c r="H1674" s="5" t="s">
        <v>4890</v>
      </c>
      <c r="I1674" s="5" t="s">
        <v>4891</v>
      </c>
      <c r="J1674" s="5" t="s">
        <v>4892</v>
      </c>
      <c r="K1674" s="7" t="str">
        <f ca="1">IFERROR(__xludf.DUMMYFUNCTION("GOOGLETRANSLATE(H1674,""EN"",""ES"")"),"TIRADORES, POMOS Y BISAGRAS")</f>
        <v>TIRADORES, POMOS Y BISAGRAS</v>
      </c>
      <c r="L1674" s="5" t="str">
        <f ca="1">IFERROR(__xludf.DUMMYFUNCTION("GOOGLETRANSLATE(J1674,""EN"",""ES"")"),"Tiradores de cajones")</f>
        <v>Tiradores de cajones</v>
      </c>
      <c r="M1674" s="8" t="s">
        <v>15</v>
      </c>
      <c r="N1674" s="8"/>
    </row>
    <row r="1675" spans="1:14" ht="11.25" customHeight="1">
      <c r="A1675" s="5" t="s">
        <v>4139</v>
      </c>
      <c r="B1675" s="5" t="s">
        <v>4888</v>
      </c>
      <c r="C1675" s="5" t="s">
        <v>4889</v>
      </c>
      <c r="D1675" s="5" t="s">
        <v>4142</v>
      </c>
      <c r="E1675" s="5" t="s">
        <v>27</v>
      </c>
      <c r="F1675" s="5" t="s">
        <v>4143</v>
      </c>
      <c r="G1675" s="5" t="s">
        <v>4144</v>
      </c>
      <c r="H1675" s="5" t="s">
        <v>4890</v>
      </c>
      <c r="I1675" s="5" t="s">
        <v>152</v>
      </c>
      <c r="J1675" s="5" t="s">
        <v>4893</v>
      </c>
      <c r="K1675" s="7" t="str">
        <f ca="1">IFERROR(__xludf.DUMMYFUNCTION("GOOGLETRANSLATE(H1675,""EN"",""ES"")"),"TIRADORES, POMOS Y BISAGRAS")</f>
        <v>TIRADORES, POMOS Y BISAGRAS</v>
      </c>
      <c r="L1675" s="5" t="str">
        <f ca="1">IFERROR(__xludf.DUMMYFUNCTION("GOOGLETRANSLATE(J1675,""EN"",""ES"")"),"N / A")</f>
        <v>N / A</v>
      </c>
      <c r="M1675" s="8" t="s">
        <v>15</v>
      </c>
      <c r="N1675" s="8"/>
    </row>
    <row r="1676" spans="1:14" ht="11.25" customHeight="1">
      <c r="A1676" s="5" t="s">
        <v>4139</v>
      </c>
      <c r="B1676" s="5" t="s">
        <v>4888</v>
      </c>
      <c r="C1676" s="5" t="s">
        <v>4894</v>
      </c>
      <c r="D1676" s="5" t="s">
        <v>4142</v>
      </c>
      <c r="E1676" s="5" t="s">
        <v>27</v>
      </c>
      <c r="F1676" s="5" t="s">
        <v>4143</v>
      </c>
      <c r="G1676" s="5" t="s">
        <v>4144</v>
      </c>
      <c r="H1676" s="5" t="s">
        <v>4890</v>
      </c>
      <c r="I1676" s="5" t="s">
        <v>4895</v>
      </c>
      <c r="J1676" s="5" t="s">
        <v>4896</v>
      </c>
      <c r="K1676" s="7" t="str">
        <f ca="1">IFERROR(__xludf.DUMMYFUNCTION("GOOGLETRANSLATE(H1676,""EN"",""ES"")"),"TIRADORES, POMOS Y BISAGRAS")</f>
        <v>TIRADORES, POMOS Y BISAGRAS</v>
      </c>
      <c r="L1676" s="5" t="str">
        <f ca="1">IFERROR(__xludf.DUMMYFUNCTION("GOOGLETRANSLATE(J1676,""EN"",""ES"")"),"Pomos de las puertas")</f>
        <v>Pomos de las puertas</v>
      </c>
      <c r="M1676" s="8" t="s">
        <v>15</v>
      </c>
      <c r="N1676" s="8"/>
    </row>
    <row r="1677" spans="1:14" ht="11.25" customHeight="1">
      <c r="A1677" s="5" t="s">
        <v>4139</v>
      </c>
      <c r="B1677" s="5" t="s">
        <v>4888</v>
      </c>
      <c r="C1677" s="5" t="s">
        <v>4897</v>
      </c>
      <c r="D1677" s="5" t="s">
        <v>4142</v>
      </c>
      <c r="E1677" s="5" t="s">
        <v>27</v>
      </c>
      <c r="F1677" s="5" t="s">
        <v>4143</v>
      </c>
      <c r="G1677" s="5" t="s">
        <v>4144</v>
      </c>
      <c r="H1677" s="5" t="s">
        <v>4890</v>
      </c>
      <c r="I1677" s="5" t="s">
        <v>4898</v>
      </c>
      <c r="J1677" s="5" t="s">
        <v>4899</v>
      </c>
      <c r="K1677" s="7" t="str">
        <f ca="1">IFERROR(__xludf.DUMMYFUNCTION("GOOGLETRANSLATE(H1677,""EN"",""ES"")"),"TIRADORES, POMOS Y BISAGRAS")</f>
        <v>TIRADORES, POMOS Y BISAGRAS</v>
      </c>
      <c r="L1677" s="5" t="str">
        <f ca="1">IFERROR(__xludf.DUMMYFUNCTION("GOOGLETRANSLATE(J1677,""EN"",""ES"")"),"Pomos para cajones")</f>
        <v>Pomos para cajones</v>
      </c>
      <c r="M1677" s="8" t="s">
        <v>15</v>
      </c>
      <c r="N1677" s="8"/>
    </row>
    <row r="1678" spans="1:14" ht="11.25" customHeight="1">
      <c r="A1678" s="5" t="s">
        <v>4139</v>
      </c>
      <c r="B1678" s="5" t="s">
        <v>4888</v>
      </c>
      <c r="C1678" s="5" t="s">
        <v>4900</v>
      </c>
      <c r="D1678" s="5" t="s">
        <v>4142</v>
      </c>
      <c r="E1678" s="5" t="s">
        <v>27</v>
      </c>
      <c r="F1678" s="5" t="s">
        <v>4143</v>
      </c>
      <c r="G1678" s="5" t="s">
        <v>4144</v>
      </c>
      <c r="H1678" s="5" t="s">
        <v>4890</v>
      </c>
      <c r="I1678" s="5" t="s">
        <v>4901</v>
      </c>
      <c r="J1678" s="5" t="s">
        <v>4902</v>
      </c>
      <c r="K1678" s="7" t="str">
        <f ca="1">IFERROR(__xludf.DUMMYFUNCTION("GOOGLETRANSLATE(H1678,""EN"",""ES"")"),"TIRADORES, POMOS Y BISAGRAS")</f>
        <v>TIRADORES, POMOS Y BISAGRAS</v>
      </c>
      <c r="L1678" s="5" t="str">
        <f ca="1">IFERROR(__xludf.DUMMYFUNCTION("GOOGLETRANSLATE(J1678,""EN"",""ES"")"),"Pulsadores")</f>
        <v>Pulsadores</v>
      </c>
      <c r="M1678" s="8" t="s">
        <v>15</v>
      </c>
      <c r="N1678" s="8"/>
    </row>
    <row r="1679" spans="1:14" ht="11.25" customHeight="1">
      <c r="A1679" s="5" t="s">
        <v>4139</v>
      </c>
      <c r="B1679" s="5" t="s">
        <v>4888</v>
      </c>
      <c r="C1679" s="5" t="s">
        <v>4900</v>
      </c>
      <c r="D1679" s="5" t="s">
        <v>4142</v>
      </c>
      <c r="E1679" s="5" t="s">
        <v>27</v>
      </c>
      <c r="F1679" s="5" t="s">
        <v>4143</v>
      </c>
      <c r="G1679" s="5" t="s">
        <v>4144</v>
      </c>
      <c r="H1679" s="5" t="s">
        <v>4890</v>
      </c>
      <c r="I1679" s="5" t="s">
        <v>152</v>
      </c>
      <c r="J1679" s="5" t="s">
        <v>4903</v>
      </c>
      <c r="K1679" s="7" t="str">
        <f ca="1">IFERROR(__xludf.DUMMYFUNCTION("GOOGLETRANSLATE(H1679,""EN"",""ES"")"),"TIRADORES, POMOS Y BISAGRAS")</f>
        <v>TIRADORES, POMOS Y BISAGRAS</v>
      </c>
      <c r="L1679" s="5" t="str">
        <f ca="1">IFERROR(__xludf.DUMMYFUNCTION("GOOGLETRANSLATE(J1679,""EN"",""ES"")"),"N / A")</f>
        <v>N / A</v>
      </c>
      <c r="M1679" s="8" t="s">
        <v>15</v>
      </c>
      <c r="N1679" s="8"/>
    </row>
    <row r="1680" spans="1:14" ht="11.25" customHeight="1">
      <c r="A1680" s="5" t="s">
        <v>4139</v>
      </c>
      <c r="B1680" s="5" t="s">
        <v>4888</v>
      </c>
      <c r="C1680" s="5" t="s">
        <v>4904</v>
      </c>
      <c r="D1680" s="5" t="s">
        <v>4142</v>
      </c>
      <c r="E1680" s="5" t="s">
        <v>27</v>
      </c>
      <c r="F1680" s="5" t="s">
        <v>4143</v>
      </c>
      <c r="G1680" s="5" t="s">
        <v>4144</v>
      </c>
      <c r="H1680" s="5" t="s">
        <v>4890</v>
      </c>
      <c r="I1680" s="5" t="s">
        <v>4905</v>
      </c>
      <c r="J1680" s="5" t="s">
        <v>4906</v>
      </c>
      <c r="K1680" s="7" t="str">
        <f ca="1">IFERROR(__xludf.DUMMYFUNCTION("GOOGLETRANSLATE(H1680,""EN"",""ES"")"),"TIRADORES, POMOS Y BISAGRAS")</f>
        <v>TIRADORES, POMOS Y BISAGRAS</v>
      </c>
      <c r="L1680" s="5" t="str">
        <f ca="1">IFERROR(__xludf.DUMMYFUNCTION("GOOGLETRANSLATE(J1680,""EN"",""ES"")"),"Bisagras [hardware]")</f>
        <v>Bisagras [hardware]</v>
      </c>
      <c r="M1680" s="8" t="s">
        <v>15</v>
      </c>
      <c r="N1680" s="8"/>
    </row>
    <row r="1681" spans="1:14" ht="11.25" customHeight="1">
      <c r="A1681" s="5" t="s">
        <v>4139</v>
      </c>
      <c r="B1681" s="5" t="s">
        <v>4888</v>
      </c>
      <c r="C1681" s="5" t="s">
        <v>4904</v>
      </c>
      <c r="D1681" s="5" t="s">
        <v>4142</v>
      </c>
      <c r="E1681" s="5" t="s">
        <v>27</v>
      </c>
      <c r="F1681" s="5" t="s">
        <v>4143</v>
      </c>
      <c r="G1681" s="5" t="s">
        <v>4144</v>
      </c>
      <c r="H1681" s="5" t="s">
        <v>4890</v>
      </c>
      <c r="I1681" s="5" t="s">
        <v>152</v>
      </c>
      <c r="J1681" s="5" t="s">
        <v>4907</v>
      </c>
      <c r="K1681" s="7" t="str">
        <f ca="1">IFERROR(__xludf.DUMMYFUNCTION("GOOGLETRANSLATE(H1681,""EN"",""ES"")"),"TIRADORES, POMOS Y BISAGRAS")</f>
        <v>TIRADORES, POMOS Y BISAGRAS</v>
      </c>
      <c r="L1681" s="5" t="str">
        <f ca="1">IFERROR(__xludf.DUMMYFUNCTION("GOOGLETRANSLATE(J1681,""EN"",""ES"")"),"N / A")</f>
        <v>N / A</v>
      </c>
      <c r="M1681" s="8" t="s">
        <v>15</v>
      </c>
      <c r="N1681" s="8"/>
    </row>
    <row r="1682" spans="1:14" ht="11.25" customHeight="1">
      <c r="A1682" s="5" t="s">
        <v>4139</v>
      </c>
      <c r="B1682" s="5" t="s">
        <v>4888</v>
      </c>
      <c r="C1682" s="5" t="s">
        <v>4908</v>
      </c>
      <c r="D1682" s="5" t="s">
        <v>4142</v>
      </c>
      <c r="E1682" s="5" t="s">
        <v>27</v>
      </c>
      <c r="F1682" s="5" t="s">
        <v>4143</v>
      </c>
      <c r="G1682" s="5" t="s">
        <v>4144</v>
      </c>
      <c r="H1682" s="5" t="s">
        <v>4890</v>
      </c>
      <c r="I1682" s="5" t="s">
        <v>4909</v>
      </c>
      <c r="J1682" s="5" t="s">
        <v>4910</v>
      </c>
      <c r="K1682" s="7" t="str">
        <f ca="1">IFERROR(__xludf.DUMMYFUNCTION("GOOGLETRANSLATE(H1682,""EN"",""ES"")"),"TIRADORES, POMOS Y BISAGRAS")</f>
        <v>TIRADORES, POMOS Y BISAGRAS</v>
      </c>
      <c r="L1682" s="5" t="str">
        <f ca="1">IFERROR(__xludf.DUMMYFUNCTION("GOOGLETRANSLATE(J1682,""EN"",""ES"")"),"Pasadores de bisagra para puertas")</f>
        <v>Pasadores de bisagra para puertas</v>
      </c>
      <c r="M1682" s="8" t="s">
        <v>15</v>
      </c>
      <c r="N1682" s="8"/>
    </row>
    <row r="1683" spans="1:14" ht="11.25" customHeight="1">
      <c r="A1683" s="5" t="s">
        <v>4139</v>
      </c>
      <c r="B1683" s="5" t="s">
        <v>4888</v>
      </c>
      <c r="C1683" s="5" t="s">
        <v>4911</v>
      </c>
      <c r="D1683" s="5" t="s">
        <v>4142</v>
      </c>
      <c r="E1683" s="5" t="s">
        <v>27</v>
      </c>
      <c r="F1683" s="5" t="s">
        <v>4143</v>
      </c>
      <c r="G1683" s="5" t="s">
        <v>4144</v>
      </c>
      <c r="H1683" s="5" t="s">
        <v>4890</v>
      </c>
      <c r="I1683" s="5" t="s">
        <v>4912</v>
      </c>
      <c r="J1683" s="5" t="s">
        <v>4913</v>
      </c>
      <c r="K1683" s="7" t="str">
        <f ca="1">IFERROR(__xludf.DUMMYFUNCTION("GOOGLETRANSLATE(H1683,""EN"",""ES"")"),"TIRADORES, POMOS Y BISAGRAS")</f>
        <v>TIRADORES, POMOS Y BISAGRAS</v>
      </c>
      <c r="L1683" s="5" t="str">
        <f ca="1">IFERROR(__xludf.DUMMYFUNCTION("GOOGLETRANSLATE(J1683,""EN"",""ES"")"),"Bisagras de correa para puertas o ventanas.")</f>
        <v>Bisagras de correa para puertas o ventanas.</v>
      </c>
      <c r="M1683" s="8" t="s">
        <v>15</v>
      </c>
      <c r="N1683" s="8"/>
    </row>
    <row r="1684" spans="1:14" ht="11.25" customHeight="1">
      <c r="A1684" s="5" t="s">
        <v>4139</v>
      </c>
      <c r="B1684" s="5" t="s">
        <v>4888</v>
      </c>
      <c r="C1684" s="5" t="s">
        <v>4914</v>
      </c>
      <c r="D1684" s="5" t="s">
        <v>4142</v>
      </c>
      <c r="E1684" s="5" t="s">
        <v>27</v>
      </c>
      <c r="F1684" s="5" t="s">
        <v>4143</v>
      </c>
      <c r="G1684" s="5" t="s">
        <v>4144</v>
      </c>
      <c r="H1684" s="5" t="s">
        <v>4890</v>
      </c>
      <c r="I1684" s="5" t="s">
        <v>4915</v>
      </c>
      <c r="J1684" s="5" t="s">
        <v>4916</v>
      </c>
      <c r="K1684" s="7" t="str">
        <f ca="1">IFERROR(__xludf.DUMMYFUNCTION("GOOGLETRANSLATE(H1684,""EN"",""ES"")"),"TIRADORES, POMOS Y BISAGRAS")</f>
        <v>TIRADORES, POMOS Y BISAGRAS</v>
      </c>
      <c r="L1684" s="5" t="str">
        <f ca="1">IFERROR(__xludf.DUMMYFUNCTION("GOOGLETRANSLATE(J1684,""EN"",""ES"")"),"Manijas de puertas")</f>
        <v>Manijas de puertas</v>
      </c>
      <c r="M1684" s="8" t="s">
        <v>15</v>
      </c>
      <c r="N1684" s="8"/>
    </row>
    <row r="1685" spans="1:14" ht="11.25" customHeight="1">
      <c r="A1685" s="5" t="s">
        <v>4139</v>
      </c>
      <c r="B1685" s="5" t="s">
        <v>4888</v>
      </c>
      <c r="C1685" s="5" t="s">
        <v>4917</v>
      </c>
      <c r="D1685" s="5" t="s">
        <v>4142</v>
      </c>
      <c r="E1685" s="5" t="s">
        <v>27</v>
      </c>
      <c r="F1685" s="5" t="s">
        <v>4143</v>
      </c>
      <c r="G1685" s="5" t="s">
        <v>4144</v>
      </c>
      <c r="H1685" s="5" t="s">
        <v>4890</v>
      </c>
      <c r="I1685" s="5" t="s">
        <v>4918</v>
      </c>
      <c r="J1685" s="5" t="s">
        <v>4919</v>
      </c>
      <c r="K1685" s="7" t="str">
        <f ca="1">IFERROR(__xludf.DUMMYFUNCTION("GOOGLETRANSLATE(H1685,""EN"",""ES"")"),"TIRADORES, POMOS Y BISAGRAS")</f>
        <v>TIRADORES, POMOS Y BISAGRAS</v>
      </c>
      <c r="L1685" s="5" t="str">
        <f ca="1">IFERROR(__xludf.DUMMYFUNCTION("GOOGLETRANSLATE(J1685,""EN"",""ES"")"),"Manijas de puertas para vehículos")</f>
        <v>Manijas de puertas para vehículos</v>
      </c>
      <c r="M1685" s="8" t="s">
        <v>15</v>
      </c>
      <c r="N1685" s="8"/>
    </row>
    <row r="1686" spans="1:14" ht="11.25" customHeight="1">
      <c r="A1686" s="5" t="s">
        <v>4139</v>
      </c>
      <c r="B1686" s="5" t="s">
        <v>4888</v>
      </c>
      <c r="C1686" s="5" t="s">
        <v>4920</v>
      </c>
      <c r="D1686" s="5" t="s">
        <v>4142</v>
      </c>
      <c r="E1686" s="5" t="s">
        <v>27</v>
      </c>
      <c r="F1686" s="5" t="s">
        <v>4143</v>
      </c>
      <c r="G1686" s="5" t="s">
        <v>4144</v>
      </c>
      <c r="H1686" s="5" t="s">
        <v>4890</v>
      </c>
      <c r="I1686" s="5" t="s">
        <v>4921</v>
      </c>
      <c r="J1686" s="5" t="s">
        <v>4922</v>
      </c>
      <c r="K1686" s="7" t="str">
        <f ca="1">IFERROR(__xludf.DUMMYFUNCTION("GOOGLETRANSLATE(H1686,""EN"",""ES"")"),"TIRADORES, POMOS Y BISAGRAS")</f>
        <v>TIRADORES, POMOS Y BISAGRAS</v>
      </c>
      <c r="L1686" s="5" t="str">
        <f ca="1">IFERROR(__xludf.DUMMYFUNCTION("GOOGLETRANSLATE(J1686,""EN"",""ES"")"),"Tirones de campana")</f>
        <v>Tirones de campana</v>
      </c>
      <c r="M1686" s="8" t="s">
        <v>15</v>
      </c>
      <c r="N1686" s="8"/>
    </row>
    <row r="1687" spans="1:14" ht="11.25" customHeight="1">
      <c r="A1687" s="5" t="s">
        <v>4139</v>
      </c>
      <c r="B1687" s="5" t="s">
        <v>4888</v>
      </c>
      <c r="C1687" s="5" t="s">
        <v>4923</v>
      </c>
      <c r="D1687" s="5" t="s">
        <v>4142</v>
      </c>
      <c r="E1687" s="5" t="s">
        <v>27</v>
      </c>
      <c r="F1687" s="5" t="s">
        <v>4143</v>
      </c>
      <c r="G1687" s="5" t="s">
        <v>4144</v>
      </c>
      <c r="H1687" s="5" t="s">
        <v>4890</v>
      </c>
      <c r="I1687" s="5" t="s">
        <v>4924</v>
      </c>
      <c r="J1687" s="5" t="s">
        <v>4925</v>
      </c>
      <c r="K1687" s="7" t="str">
        <f ca="1">IFERROR(__xludf.DUMMYFUNCTION("GOOGLETRANSLATE(H1687,""EN"",""ES"")"),"TIRADORES, POMOS Y BISAGRAS")</f>
        <v>TIRADORES, POMOS Y BISAGRAS</v>
      </c>
      <c r="L1687" s="5" t="str">
        <f ca="1">IFERROR(__xludf.DUMMYFUNCTION("GOOGLETRANSLATE(J1687,""EN"",""ES"")"),"Asas para ataúdes")</f>
        <v>Asas para ataúdes</v>
      </c>
      <c r="M1687" s="8" t="s">
        <v>15</v>
      </c>
      <c r="N1687" s="8"/>
    </row>
    <row r="1688" spans="1:14" ht="11.25" customHeight="1">
      <c r="A1688" s="5" t="s">
        <v>4139</v>
      </c>
      <c r="B1688" s="5" t="s">
        <v>4888</v>
      </c>
      <c r="C1688" s="5" t="s">
        <v>4926</v>
      </c>
      <c r="D1688" s="5" t="s">
        <v>4142</v>
      </c>
      <c r="E1688" s="5" t="s">
        <v>27</v>
      </c>
      <c r="F1688" s="5" t="s">
        <v>4143</v>
      </c>
      <c r="G1688" s="5" t="s">
        <v>4144</v>
      </c>
      <c r="H1688" s="5" t="s">
        <v>4890</v>
      </c>
      <c r="I1688" s="5" t="s">
        <v>4927</v>
      </c>
      <c r="J1688" s="5" t="s">
        <v>4928</v>
      </c>
      <c r="K1688" s="7" t="str">
        <f ca="1">IFERROR(__xludf.DUMMYFUNCTION("GOOGLETRANSLATE(H1688,""EN"",""ES"")"),"TIRADORES, POMOS Y BISAGRAS")</f>
        <v>TIRADORES, POMOS Y BISAGRAS</v>
      </c>
      <c r="L1688" s="5" t="str">
        <f ca="1">IFERROR(__xludf.DUMMYFUNCTION("GOOGLETRANSLATE(J1688,""EN"",""ES"")"),"Manijas para ventanas")</f>
        <v>Manijas para ventanas</v>
      </c>
      <c r="M1688" s="8" t="s">
        <v>15</v>
      </c>
      <c r="N1688" s="8"/>
    </row>
    <row r="1689" spans="1:14" ht="11.25" customHeight="1">
      <c r="A1689" s="5" t="s">
        <v>4139</v>
      </c>
      <c r="B1689" s="5" t="s">
        <v>4888</v>
      </c>
      <c r="C1689" s="5" t="s">
        <v>4929</v>
      </c>
      <c r="D1689" s="5" t="s">
        <v>4142</v>
      </c>
      <c r="E1689" s="5" t="s">
        <v>27</v>
      </c>
      <c r="F1689" s="5" t="s">
        <v>4143</v>
      </c>
      <c r="G1689" s="5" t="s">
        <v>4144</v>
      </c>
      <c r="H1689" s="5" t="s">
        <v>4890</v>
      </c>
      <c r="I1689" s="5" t="s">
        <v>4930</v>
      </c>
      <c r="J1689" s="5" t="s">
        <v>4931</v>
      </c>
      <c r="K1689" s="7" t="str">
        <f ca="1">IFERROR(__xludf.DUMMYFUNCTION("GOOGLETRANSLATE(H1689,""EN"",""ES"")"),"TIRADORES, POMOS Y BISAGRAS")</f>
        <v>TIRADORES, POMOS Y BISAGRAS</v>
      </c>
      <c r="L1689" s="5" t="str">
        <f ca="1">IFERROR(__xludf.DUMMYFUNCTION("GOOGLETRANSLATE(J1689,""EN"",""ES"")"),"Tiradores para muebles")</f>
        <v>Tiradores para muebles</v>
      </c>
      <c r="M1689" s="8" t="s">
        <v>15</v>
      </c>
      <c r="N1689" s="8"/>
    </row>
    <row r="1690" spans="1:14" ht="11.25" customHeight="1">
      <c r="A1690" s="5" t="s">
        <v>4139</v>
      </c>
      <c r="B1690" s="5" t="s">
        <v>4932</v>
      </c>
      <c r="C1690" s="5" t="s">
        <v>4933</v>
      </c>
      <c r="D1690" s="5" t="s">
        <v>4142</v>
      </c>
      <c r="E1690" s="5" t="s">
        <v>27</v>
      </c>
      <c r="F1690" s="5" t="s">
        <v>4143</v>
      </c>
      <c r="G1690" s="5" t="s">
        <v>4144</v>
      </c>
      <c r="H1690" s="5" t="s">
        <v>4934</v>
      </c>
      <c r="I1690" s="5" t="s">
        <v>4935</v>
      </c>
      <c r="J1690" s="5" t="s">
        <v>4936</v>
      </c>
      <c r="K1690" s="7" t="str">
        <f ca="1">IFERROR(__xludf.DUMMYFUNCTION("GOOGLETRANSLATE(H1690,""EN"",""ES"")"),"DISPOSITIVOS DE BLOQUEO O CIERRE")</f>
        <v>DISPOSITIVOS DE BLOQUEO O CIERRE</v>
      </c>
      <c r="L1690" s="5" t="str">
        <f ca="1">IFERROR(__xludf.DUMMYFUNCTION("GOOGLETRANSLATE(J1690,""EN"",""ES"")"),"Cerraduras antirrobo")</f>
        <v>Cerraduras antirrobo</v>
      </c>
      <c r="M1690" s="8" t="s">
        <v>60</v>
      </c>
      <c r="N1690" s="8"/>
    </row>
    <row r="1691" spans="1:14" ht="11.25" customHeight="1">
      <c r="A1691" s="5" t="s">
        <v>4139</v>
      </c>
      <c r="B1691" s="5" t="s">
        <v>4932</v>
      </c>
      <c r="C1691" s="5" t="s">
        <v>4937</v>
      </c>
      <c r="D1691" s="5" t="s">
        <v>4142</v>
      </c>
      <c r="E1691" s="5" t="s">
        <v>27</v>
      </c>
      <c r="F1691" s="5" t="s">
        <v>4143</v>
      </c>
      <c r="G1691" s="5" t="s">
        <v>4144</v>
      </c>
      <c r="H1691" s="5" t="s">
        <v>4934</v>
      </c>
      <c r="I1691" s="5" t="s">
        <v>4938</v>
      </c>
      <c r="J1691" s="5" t="s">
        <v>4939</v>
      </c>
      <c r="K1691" s="7" t="str">
        <f ca="1">IFERROR(__xludf.DUMMYFUNCTION("GOOGLETRANSLATE(H1691,""EN"",""ES"")"),"DISPOSITIVOS DE BLOQUEO O CIERRE")</f>
        <v>DISPOSITIVOS DE BLOQUEO O CIERRE</v>
      </c>
      <c r="L1691" s="5" t="str">
        <f ca="1">IFERROR(__xludf.DUMMYFUNCTION("GOOGLETRANSLATE(J1691,""EN"",""ES"")"),"Cierres para persianas venecianas")</f>
        <v>Cierres para persianas venecianas</v>
      </c>
      <c r="M1691" s="8" t="s">
        <v>60</v>
      </c>
      <c r="N1691" s="8"/>
    </row>
    <row r="1692" spans="1:14" ht="11.25" customHeight="1">
      <c r="A1692" s="5" t="s">
        <v>4139</v>
      </c>
      <c r="B1692" s="5" t="s">
        <v>4932</v>
      </c>
      <c r="C1692" s="5" t="s">
        <v>4940</v>
      </c>
      <c r="D1692" s="5" t="s">
        <v>4142</v>
      </c>
      <c r="E1692" s="5" t="s">
        <v>27</v>
      </c>
      <c r="F1692" s="5" t="s">
        <v>4143</v>
      </c>
      <c r="G1692" s="5" t="s">
        <v>4144</v>
      </c>
      <c r="H1692" s="5" t="s">
        <v>4934</v>
      </c>
      <c r="I1692" s="5" t="s">
        <v>4941</v>
      </c>
      <c r="J1692" s="5" t="s">
        <v>4942</v>
      </c>
      <c r="K1692" s="7" t="str">
        <f ca="1">IFERROR(__xludf.DUMMYFUNCTION("GOOGLETRANSLATE(H1692,""EN"",""ES"")"),"DISPOSITIVOS DE BLOQUEO O CIERRE")</f>
        <v>DISPOSITIVOS DE BLOQUEO O CIERRE</v>
      </c>
      <c r="L1692" s="5" t="str">
        <f ca="1">IFERROR(__xludf.DUMMYFUNCTION("GOOGLETRANSLATE(J1692,""EN"",""ES"")"),"Candados tipo cable para bicicletas")</f>
        <v>Candados tipo cable para bicicletas</v>
      </c>
      <c r="M1692" s="8" t="s">
        <v>60</v>
      </c>
      <c r="N1692" s="8"/>
    </row>
    <row r="1693" spans="1:14" ht="11.25" customHeight="1">
      <c r="A1693" s="5" t="s">
        <v>4139</v>
      </c>
      <c r="B1693" s="5" t="s">
        <v>4932</v>
      </c>
      <c r="C1693" s="5" t="s">
        <v>4943</v>
      </c>
      <c r="D1693" s="5" t="s">
        <v>4142</v>
      </c>
      <c r="E1693" s="5" t="s">
        <v>27</v>
      </c>
      <c r="F1693" s="5" t="s">
        <v>4143</v>
      </c>
      <c r="G1693" s="5" t="s">
        <v>4144</v>
      </c>
      <c r="H1693" s="5" t="s">
        <v>4934</v>
      </c>
      <c r="I1693" s="5" t="s">
        <v>4944</v>
      </c>
      <c r="J1693" s="5" t="s">
        <v>4945</v>
      </c>
      <c r="K1693" s="7" t="str">
        <f ca="1">IFERROR(__xludf.DUMMYFUNCTION("GOOGLETRANSLATE(H1693,""EN"",""ES"")"),"DISPOSITIVOS DE BLOQUEO O CIERRE")</f>
        <v>DISPOSITIVOS DE BLOQUEO O CIERRE</v>
      </c>
      <c r="L1693" s="5" t="str">
        <f ca="1">IFERROR(__xludf.DUMMYFUNCTION("GOOGLETRANSLATE(J1693,""EN"",""ES"")"),"Candados")</f>
        <v>Candados</v>
      </c>
      <c r="M1693" s="8" t="s">
        <v>60</v>
      </c>
      <c r="N1693" s="8"/>
    </row>
    <row r="1694" spans="1:14" ht="11.25" customHeight="1">
      <c r="A1694" s="5" t="s">
        <v>4139</v>
      </c>
      <c r="B1694" s="5" t="s">
        <v>4932</v>
      </c>
      <c r="C1694" s="5" t="s">
        <v>4946</v>
      </c>
      <c r="D1694" s="5" t="s">
        <v>4142</v>
      </c>
      <c r="E1694" s="5" t="s">
        <v>27</v>
      </c>
      <c r="F1694" s="5" t="s">
        <v>4143</v>
      </c>
      <c r="G1694" s="5" t="s">
        <v>4144</v>
      </c>
      <c r="H1694" s="5" t="s">
        <v>4934</v>
      </c>
      <c r="I1694" s="5" t="s">
        <v>4947</v>
      </c>
      <c r="J1694" s="5" t="s">
        <v>4948</v>
      </c>
      <c r="K1694" s="7" t="str">
        <f ca="1">IFERROR(__xludf.DUMMYFUNCTION("GOOGLETRANSLATE(H1694,""EN"",""ES"")"),"DISPOSITIVOS DE BLOQUEO O CIERRE")</f>
        <v>DISPOSITIVOS DE BLOQUEO O CIERRE</v>
      </c>
      <c r="L1694" s="5" t="str">
        <f ca="1">IFERROR(__xludf.DUMMYFUNCTION("GOOGLETRANSLATE(J1694,""EN"",""ES"")"),"Llaves")</f>
        <v>Llaves</v>
      </c>
      <c r="M1694" s="8" t="s">
        <v>60</v>
      </c>
      <c r="N1694" s="8"/>
    </row>
    <row r="1695" spans="1:14" ht="11.25" customHeight="1">
      <c r="A1695" s="5" t="s">
        <v>4139</v>
      </c>
      <c r="B1695" s="5" t="s">
        <v>4932</v>
      </c>
      <c r="C1695" s="5" t="s">
        <v>4949</v>
      </c>
      <c r="D1695" s="5" t="s">
        <v>4142</v>
      </c>
      <c r="E1695" s="5" t="s">
        <v>27</v>
      </c>
      <c r="F1695" s="5" t="s">
        <v>4143</v>
      </c>
      <c r="G1695" s="5" t="s">
        <v>4144</v>
      </c>
      <c r="H1695" s="5" t="s">
        <v>4934</v>
      </c>
      <c r="I1695" s="5" t="s">
        <v>4950</v>
      </c>
      <c r="J1695" s="5" t="s">
        <v>4951</v>
      </c>
      <c r="K1695" s="7" t="str">
        <f ca="1">IFERROR(__xludf.DUMMYFUNCTION("GOOGLETRANSLATE(H1695,""EN"",""ES"")"),"DISPOSITIVOS DE BLOQUEO O CIERRE")</f>
        <v>DISPOSITIVOS DE BLOQUEO O CIERRE</v>
      </c>
      <c r="L1695" s="5" t="str">
        <f ca="1">IFERROR(__xludf.DUMMYFUNCTION("GOOGLETRANSLATE(J1695,""EN"",""ES"")"),"Teclas para contactos eléctricos.")</f>
        <v>Teclas para contactos eléctricos.</v>
      </c>
      <c r="M1695" s="8" t="s">
        <v>60</v>
      </c>
      <c r="N1695" s="8"/>
    </row>
    <row r="1696" spans="1:14" ht="11.25" customHeight="1">
      <c r="A1696" s="5" t="s">
        <v>4139</v>
      </c>
      <c r="B1696" s="5" t="s">
        <v>4932</v>
      </c>
      <c r="C1696" s="5" t="s">
        <v>4952</v>
      </c>
      <c r="D1696" s="5" t="s">
        <v>4142</v>
      </c>
      <c r="E1696" s="5" t="s">
        <v>27</v>
      </c>
      <c r="F1696" s="5" t="s">
        <v>4143</v>
      </c>
      <c r="G1696" s="5" t="s">
        <v>4144</v>
      </c>
      <c r="H1696" s="5" t="s">
        <v>4934</v>
      </c>
      <c r="I1696" s="5" t="s">
        <v>4953</v>
      </c>
      <c r="J1696" s="5" t="s">
        <v>4954</v>
      </c>
      <c r="K1696" s="7" t="str">
        <f ca="1">IFERROR(__xludf.DUMMYFUNCTION("GOOGLETRANSLATE(H1696,""EN"",""ES"")"),"DISPOSITIVOS DE BLOQUEO O CIERRE")</f>
        <v>DISPOSITIVOS DE BLOQUEO O CIERRE</v>
      </c>
      <c r="L1696" s="5" t="str">
        <f ca="1">IFERROR(__xludf.DUMMYFUNCTION("GOOGLETRANSLATE(J1696,""EN"",""ES"")"),"Pernos abatibles para ventanas o puertas.")</f>
        <v>Pernos abatibles para ventanas o puertas.</v>
      </c>
      <c r="M1696" s="8" t="s">
        <v>60</v>
      </c>
      <c r="N1696" s="8"/>
    </row>
    <row r="1697" spans="1:14" ht="11.25" customHeight="1">
      <c r="A1697" s="5" t="s">
        <v>4139</v>
      </c>
      <c r="B1697" s="5" t="s">
        <v>4932</v>
      </c>
      <c r="C1697" s="5" t="s">
        <v>4955</v>
      </c>
      <c r="D1697" s="5" t="s">
        <v>4142</v>
      </c>
      <c r="E1697" s="5" t="s">
        <v>27</v>
      </c>
      <c r="F1697" s="5" t="s">
        <v>4143</v>
      </c>
      <c r="G1697" s="5" t="s">
        <v>4144</v>
      </c>
      <c r="H1697" s="5" t="s">
        <v>4934</v>
      </c>
      <c r="I1697" s="5" t="s">
        <v>4956</v>
      </c>
      <c r="J1697" s="5" t="s">
        <v>4957</v>
      </c>
      <c r="K1697" s="7" t="str">
        <f ca="1">IFERROR(__xludf.DUMMYFUNCTION("GOOGLETRANSLATE(H1697,""EN"",""ES"")"),"DISPOSITIVOS DE BLOQUEO O CIERRE")</f>
        <v>DISPOSITIVOS DE BLOQUEO O CIERRE</v>
      </c>
      <c r="L1697" s="5" t="str">
        <f ca="1">IFERROR(__xludf.DUMMYFUNCTION("GOOGLETRANSLATE(J1697,""EN"",""ES"")"),"fallebas [cierres para ventanas]")</f>
        <v>fallebas [cierres para ventanas]</v>
      </c>
      <c r="M1697" s="8" t="s">
        <v>60</v>
      </c>
      <c r="N1697" s="8"/>
    </row>
    <row r="1698" spans="1:14" ht="11.25" customHeight="1">
      <c r="A1698" s="5" t="s">
        <v>4139</v>
      </c>
      <c r="B1698" s="5" t="s">
        <v>4932</v>
      </c>
      <c r="C1698" s="5" t="s">
        <v>4958</v>
      </c>
      <c r="D1698" s="5" t="s">
        <v>4142</v>
      </c>
      <c r="E1698" s="5" t="s">
        <v>27</v>
      </c>
      <c r="F1698" s="5" t="s">
        <v>4143</v>
      </c>
      <c r="G1698" s="5" t="s">
        <v>4144</v>
      </c>
      <c r="H1698" s="5" t="s">
        <v>4934</v>
      </c>
      <c r="I1698" s="5" t="s">
        <v>4959</v>
      </c>
      <c r="J1698" s="5" t="s">
        <v>4960</v>
      </c>
      <c r="K1698" s="7" t="str">
        <f ca="1">IFERROR(__xludf.DUMMYFUNCTION("GOOGLETRANSLATE(H1698,""EN"",""ES"")"),"DISPOSITIVOS DE BLOQUEO O CIERRE")</f>
        <v>DISPOSITIVOS DE BLOQUEO O CIERRE</v>
      </c>
      <c r="L1698" s="5" t="str">
        <f ca="1">IFERROR(__xludf.DUMMYFUNCTION("GOOGLETRANSLATE(J1698,""EN"",""ES"")"),"Cierrapuertas")</f>
        <v>Cierrapuertas</v>
      </c>
      <c r="M1698" s="8" t="s">
        <v>60</v>
      </c>
      <c r="N1698" s="8"/>
    </row>
    <row r="1699" spans="1:14" ht="11.25" customHeight="1">
      <c r="A1699" s="5" t="s">
        <v>4139</v>
      </c>
      <c r="B1699" s="5" t="s">
        <v>4932</v>
      </c>
      <c r="C1699" s="5" t="s">
        <v>4961</v>
      </c>
      <c r="D1699" s="5" t="s">
        <v>4142</v>
      </c>
      <c r="E1699" s="5" t="s">
        <v>27</v>
      </c>
      <c r="F1699" s="5" t="s">
        <v>4143</v>
      </c>
      <c r="G1699" s="5" t="s">
        <v>4144</v>
      </c>
      <c r="H1699" s="5" t="s">
        <v>4934</v>
      </c>
      <c r="I1699" s="5" t="s">
        <v>4962</v>
      </c>
      <c r="J1699" s="5" t="s">
        <v>4963</v>
      </c>
      <c r="K1699" s="7" t="str">
        <f ca="1">IFERROR(__xludf.DUMMYFUNCTION("GOOGLETRANSLATE(H1699,""EN"",""ES"")"),"DISPOSITIVOS DE BLOQUEO O CIERRE")</f>
        <v>DISPOSITIVOS DE BLOQUEO O CIERRE</v>
      </c>
      <c r="L1699" s="5" t="str">
        <f ca="1">IFERROR(__xludf.DUMMYFUNCTION("GOOGLETRANSLATE(J1699,""EN"",""ES"")"),"Dispositivos de cierre para puertas y ventanas.")</f>
        <v>Dispositivos de cierre para puertas y ventanas.</v>
      </c>
      <c r="M1699" s="8" t="s">
        <v>60</v>
      </c>
      <c r="N1699" s="8"/>
    </row>
    <row r="1700" spans="1:14" ht="11.25" customHeight="1">
      <c r="A1700" s="5" t="s">
        <v>4139</v>
      </c>
      <c r="B1700" s="5" t="s">
        <v>4932</v>
      </c>
      <c r="C1700" s="5" t="s">
        <v>4964</v>
      </c>
      <c r="D1700" s="5" t="s">
        <v>4142</v>
      </c>
      <c r="E1700" s="5" t="s">
        <v>27</v>
      </c>
      <c r="F1700" s="5" t="s">
        <v>4143</v>
      </c>
      <c r="G1700" s="5" t="s">
        <v>4144</v>
      </c>
      <c r="H1700" s="5" t="s">
        <v>4934</v>
      </c>
      <c r="I1700" s="5" t="s">
        <v>4965</v>
      </c>
      <c r="J1700" s="5" t="s">
        <v>4966</v>
      </c>
      <c r="K1700" s="7" t="str">
        <f ca="1">IFERROR(__xludf.DUMMYFUNCTION("GOOGLETRANSLATE(H1700,""EN"",""ES"")"),"DISPOSITIVOS DE BLOQUEO O CIERRE")</f>
        <v>DISPOSITIVOS DE BLOQUEO O CIERRE</v>
      </c>
      <c r="L1700" s="5" t="str">
        <f ca="1">IFERROR(__xludf.DUMMYFUNCTION("GOOGLETRANSLATE(J1700,""EN"",""ES"")"),"Cierres para marroquinería")</f>
        <v>Cierres para marroquinería</v>
      </c>
      <c r="M1700" s="8" t="s">
        <v>60</v>
      </c>
      <c r="N1700" s="8"/>
    </row>
    <row r="1701" spans="1:14" ht="11.25" customHeight="1">
      <c r="A1701" s="5" t="s">
        <v>4139</v>
      </c>
      <c r="B1701" s="5" t="s">
        <v>4932</v>
      </c>
      <c r="C1701" s="5" t="s">
        <v>4967</v>
      </c>
      <c r="D1701" s="5" t="s">
        <v>4142</v>
      </c>
      <c r="E1701" s="5" t="s">
        <v>27</v>
      </c>
      <c r="F1701" s="5" t="s">
        <v>4143</v>
      </c>
      <c r="G1701" s="5" t="s">
        <v>4144</v>
      </c>
      <c r="H1701" s="5" t="s">
        <v>4934</v>
      </c>
      <c r="I1701" s="5" t="s">
        <v>4968</v>
      </c>
      <c r="J1701" s="5" t="s">
        <v>4969</v>
      </c>
      <c r="K1701" s="7" t="str">
        <f ca="1">IFERROR(__xludf.DUMMYFUNCTION("GOOGLETRANSLATE(H1701,""EN"",""ES"")"),"DISPOSITIVOS DE BLOQUEO O CIERRE")</f>
        <v>DISPOSITIVOS DE BLOQUEO O CIERRE</v>
      </c>
      <c r="L1701" s="5" t="str">
        <f ca="1">IFERROR(__xludf.DUMMYFUNCTION("GOOGLETRANSLATE(J1701,""EN"",""ES"")"),"Cierres para carteras y bolsos")</f>
        <v>Cierres para carteras y bolsos</v>
      </c>
      <c r="M1701" s="8" t="s">
        <v>60</v>
      </c>
      <c r="N1701" s="8"/>
    </row>
    <row r="1702" spans="1:14" ht="11.25" customHeight="1">
      <c r="A1702" s="5" t="s">
        <v>4139</v>
      </c>
      <c r="B1702" s="5" t="s">
        <v>4932</v>
      </c>
      <c r="C1702" s="5" t="s">
        <v>4970</v>
      </c>
      <c r="D1702" s="5" t="s">
        <v>4142</v>
      </c>
      <c r="E1702" s="5" t="s">
        <v>27</v>
      </c>
      <c r="F1702" s="5" t="s">
        <v>4143</v>
      </c>
      <c r="G1702" s="5" t="s">
        <v>4144</v>
      </c>
      <c r="H1702" s="5" t="s">
        <v>4934</v>
      </c>
      <c r="I1702" s="5" t="s">
        <v>4971</v>
      </c>
      <c r="J1702" s="5" t="s">
        <v>4972</v>
      </c>
      <c r="K1702" s="7" t="str">
        <f ca="1">IFERROR(__xludf.DUMMYFUNCTION("GOOGLETRANSLATE(H1702,""EN"",""ES"")"),"DISPOSITIVOS DE BLOQUEO O CIERRE")</f>
        <v>DISPOSITIVOS DE BLOQUEO O CIERRE</v>
      </c>
      <c r="L1702" s="5" t="str">
        <f ca="1">IFERROR(__xludf.DUMMYFUNCTION("GOOGLETRANSLATE(J1702,""EN"",""ES"")"),"cerraderos para cerraduras")</f>
        <v>cerraderos para cerraduras</v>
      </c>
      <c r="M1702" s="8" t="s">
        <v>60</v>
      </c>
      <c r="N1702" s="8"/>
    </row>
    <row r="1703" spans="1:14" ht="11.25" customHeight="1">
      <c r="A1703" s="5" t="s">
        <v>4139</v>
      </c>
      <c r="B1703" s="5" t="s">
        <v>4932</v>
      </c>
      <c r="C1703" s="5" t="s">
        <v>4973</v>
      </c>
      <c r="D1703" s="5" t="s">
        <v>4142</v>
      </c>
      <c r="E1703" s="5" t="s">
        <v>27</v>
      </c>
      <c r="F1703" s="5" t="s">
        <v>4143</v>
      </c>
      <c r="G1703" s="5" t="s">
        <v>4144</v>
      </c>
      <c r="H1703" s="5" t="s">
        <v>4934</v>
      </c>
      <c r="I1703" s="5" t="s">
        <v>4974</v>
      </c>
      <c r="J1703" s="5" t="s">
        <v>4975</v>
      </c>
      <c r="K1703" s="7" t="str">
        <f ca="1">IFERROR(__xludf.DUMMYFUNCTION("GOOGLETRANSLATE(H1703,""EN"",""ES"")"),"DISPOSITIVOS DE BLOQUEO O CIERRE")</f>
        <v>DISPOSITIVOS DE BLOQUEO O CIERRE</v>
      </c>
      <c r="L1703" s="5" t="str">
        <f ca="1">IFERROR(__xludf.DUMMYFUNCTION("GOOGLETRANSLATE(J1703,""EN"",""ES"")"),"Pestillos")</f>
        <v>Pestillos</v>
      </c>
      <c r="M1703" s="8" t="s">
        <v>60</v>
      </c>
      <c r="N1703" s="8"/>
    </row>
    <row r="1704" spans="1:14" ht="11.25" customHeight="1">
      <c r="A1704" s="5" t="s">
        <v>4139</v>
      </c>
      <c r="B1704" s="5" t="s">
        <v>4932</v>
      </c>
      <c r="C1704" s="5" t="s">
        <v>4976</v>
      </c>
      <c r="D1704" s="5" t="s">
        <v>4142</v>
      </c>
      <c r="E1704" s="5" t="s">
        <v>27</v>
      </c>
      <c r="F1704" s="5" t="s">
        <v>4143</v>
      </c>
      <c r="G1704" s="5" t="s">
        <v>4144</v>
      </c>
      <c r="H1704" s="5" t="s">
        <v>4934</v>
      </c>
      <c r="I1704" s="5" t="s">
        <v>4977</v>
      </c>
      <c r="J1704" s="5" t="s">
        <v>4978</v>
      </c>
      <c r="K1704" s="7" t="str">
        <f ca="1">IFERROR(__xludf.DUMMYFUNCTION("GOOGLETRANSLATE(H1704,""EN"",""ES"")"),"DISPOSITIVOS DE BLOQUEO O CIERRE")</f>
        <v>DISPOSITIVOS DE BLOQUEO O CIERRE</v>
      </c>
      <c r="L1704" s="5" t="str">
        <f ca="1">IFERROR(__xludf.DUMMYFUNCTION("GOOGLETRANSLATE(J1704,""EN"",""ES"")"),"Esposas")</f>
        <v>Esposas</v>
      </c>
      <c r="M1704" s="8" t="s">
        <v>60</v>
      </c>
      <c r="N1704" s="8"/>
    </row>
    <row r="1705" spans="1:14" ht="11.25" customHeight="1">
      <c r="A1705" s="5" t="s">
        <v>4139</v>
      </c>
      <c r="B1705" s="5" t="s">
        <v>4932</v>
      </c>
      <c r="C1705" s="5" t="s">
        <v>4976</v>
      </c>
      <c r="D1705" s="5" t="s">
        <v>4142</v>
      </c>
      <c r="E1705" s="5" t="s">
        <v>27</v>
      </c>
      <c r="F1705" s="5" t="s">
        <v>4143</v>
      </c>
      <c r="G1705" s="5" t="s">
        <v>4144</v>
      </c>
      <c r="H1705" s="5" t="s">
        <v>4934</v>
      </c>
      <c r="I1705" s="5" t="s">
        <v>4979</v>
      </c>
      <c r="J1705" s="5" t="s">
        <v>152</v>
      </c>
      <c r="K1705" s="7" t="str">
        <f ca="1">IFERROR(__xludf.DUMMYFUNCTION("GOOGLETRANSLATE(H1705,""EN"",""ES"")"),"DISPOSITIVOS DE BLOQUEO O CIERRE")</f>
        <v>DISPOSITIVOS DE BLOQUEO O CIERRE</v>
      </c>
      <c r="L1705" s="5" t="str">
        <f ca="1">IFERROR(__xludf.DUMMYFUNCTION("GOOGLETRANSLATE(J1705,""EN"",""ES"")"),"Esposas")</f>
        <v>Esposas</v>
      </c>
      <c r="M1705" s="8" t="s">
        <v>60</v>
      </c>
      <c r="N1705" s="8"/>
    </row>
    <row r="1706" spans="1:14" ht="11.25" customHeight="1">
      <c r="A1706" s="5" t="s">
        <v>4139</v>
      </c>
      <c r="B1706" s="5" t="s">
        <v>4932</v>
      </c>
      <c r="C1706" s="5" t="s">
        <v>4980</v>
      </c>
      <c r="D1706" s="5" t="s">
        <v>4142</v>
      </c>
      <c r="E1706" s="5" t="s">
        <v>27</v>
      </c>
      <c r="F1706" s="5" t="s">
        <v>4143</v>
      </c>
      <c r="G1706" s="5" t="s">
        <v>4144</v>
      </c>
      <c r="H1706" s="5" t="s">
        <v>4934</v>
      </c>
      <c r="I1706" s="5" t="s">
        <v>4981</v>
      </c>
      <c r="J1706" s="5" t="s">
        <v>4982</v>
      </c>
      <c r="K1706" s="7" t="str">
        <f ca="1">IFERROR(__xludf.DUMMYFUNCTION("GOOGLETRANSLATE(H1706,""EN"",""ES"")"),"DISPOSITIVOS DE BLOQUEO O CIERRE")</f>
        <v>DISPOSITIVOS DE BLOQUEO O CIERRE</v>
      </c>
      <c r="L1706" s="5" t="str">
        <f ca="1">IFERROR(__xludf.DUMMYFUNCTION("GOOGLETRANSLATE(J1706,""EN"",""ES"")"),"Marcos de bolsos")</f>
        <v>Marcos de bolsos</v>
      </c>
      <c r="M1706" s="8" t="s">
        <v>60</v>
      </c>
      <c r="N1706" s="8"/>
    </row>
    <row r="1707" spans="1:14" ht="11.25" customHeight="1">
      <c r="A1707" s="5" t="s">
        <v>4139</v>
      </c>
      <c r="B1707" s="5" t="s">
        <v>4932</v>
      </c>
      <c r="C1707" s="5" t="s">
        <v>4983</v>
      </c>
      <c r="D1707" s="5" t="s">
        <v>4142</v>
      </c>
      <c r="E1707" s="5" t="s">
        <v>27</v>
      </c>
      <c r="F1707" s="5" t="s">
        <v>4143</v>
      </c>
      <c r="G1707" s="5" t="s">
        <v>4144</v>
      </c>
      <c r="H1707" s="5" t="s">
        <v>4934</v>
      </c>
      <c r="I1707" s="5" t="s">
        <v>4984</v>
      </c>
      <c r="J1707" s="5" t="s">
        <v>4985</v>
      </c>
      <c r="K1707" s="7" t="str">
        <f ca="1">IFERROR(__xludf.DUMMYFUNCTION("GOOGLETRANSLATE(H1707,""EN"",""ES"")"),"DISPOSITIVOS DE BLOQUEO O CIERRE")</f>
        <v>DISPOSITIVOS DE BLOQUEO O CIERRE</v>
      </c>
      <c r="L1707" s="5" t="str">
        <f ca="1">IFERROR(__xludf.DUMMYFUNCTION("GOOGLETRANSLATE(J1707,""EN"",""ES"")"),"Cerrojos")</f>
        <v>Cerrojos</v>
      </c>
      <c r="M1707" s="8" t="s">
        <v>60</v>
      </c>
      <c r="N1707" s="8"/>
    </row>
    <row r="1708" spans="1:14" ht="11.25" customHeight="1">
      <c r="A1708" s="5" t="s">
        <v>4139</v>
      </c>
      <c r="B1708" s="5" t="s">
        <v>4932</v>
      </c>
      <c r="C1708" s="5" t="s">
        <v>4986</v>
      </c>
      <c r="D1708" s="5" t="s">
        <v>4142</v>
      </c>
      <c r="E1708" s="5" t="s">
        <v>27</v>
      </c>
      <c r="F1708" s="5" t="s">
        <v>4143</v>
      </c>
      <c r="G1708" s="5" t="s">
        <v>4144</v>
      </c>
      <c r="H1708" s="5" t="s">
        <v>4934</v>
      </c>
      <c r="I1708" s="5" t="s">
        <v>4987</v>
      </c>
      <c r="J1708" s="5" t="s">
        <v>4988</v>
      </c>
      <c r="K1708" s="7" t="str">
        <f ca="1">IFERROR(__xludf.DUMMYFUNCTION("GOOGLETRANSLATE(H1708,""EN"",""ES"")"),"DISPOSITIVOS DE BLOQUEO O CIERRE")</f>
        <v>DISPOSITIVOS DE BLOQUEO O CIERRE</v>
      </c>
      <c r="L1708" s="5" t="str">
        <f ca="1">IFERROR(__xludf.DUMMYFUNCTION("GOOGLETRANSLATE(J1708,""EN"",""ES"")"),"Pernos de bloqueo")</f>
        <v>Pernos de bloqueo</v>
      </c>
      <c r="M1708" s="8" t="s">
        <v>60</v>
      </c>
      <c r="N1708" s="8"/>
    </row>
    <row r="1709" spans="1:14" ht="11.25" customHeight="1">
      <c r="A1709" s="5" t="s">
        <v>4139</v>
      </c>
      <c r="B1709" s="5" t="s">
        <v>4932</v>
      </c>
      <c r="C1709" s="5" t="s">
        <v>4989</v>
      </c>
      <c r="D1709" s="5" t="s">
        <v>4142</v>
      </c>
      <c r="E1709" s="5" t="s">
        <v>27</v>
      </c>
      <c r="F1709" s="5" t="s">
        <v>4143</v>
      </c>
      <c r="G1709" s="5" t="s">
        <v>4144</v>
      </c>
      <c r="H1709" s="5" t="s">
        <v>4934</v>
      </c>
      <c r="I1709" s="5" t="s">
        <v>4990</v>
      </c>
      <c r="J1709" s="5" t="s">
        <v>4991</v>
      </c>
      <c r="K1709" s="7" t="str">
        <f ca="1">IFERROR(__xludf.DUMMYFUNCTION("GOOGLETRANSLATE(H1709,""EN"",""ES"")"),"DISPOSITIVOS DE BLOQUEO O CIERRE")</f>
        <v>DISPOSITIVOS DE BLOQUEO O CIERRE</v>
      </c>
      <c r="L1709" s="5" t="str">
        <f ca="1">IFERROR(__xludf.DUMMYFUNCTION("GOOGLETRANSLATE(J1709,""EN"",""ES"")"),"Abridores de puertas [eléctricos]")</f>
        <v>Abridores de puertas [eléctricos]</v>
      </c>
      <c r="M1709" s="8" t="s">
        <v>60</v>
      </c>
      <c r="N1709" s="8"/>
    </row>
    <row r="1710" spans="1:14" ht="11.25" customHeight="1">
      <c r="A1710" s="5" t="s">
        <v>4139</v>
      </c>
      <c r="B1710" s="5" t="s">
        <v>4932</v>
      </c>
      <c r="C1710" s="5" t="s">
        <v>4992</v>
      </c>
      <c r="D1710" s="5" t="s">
        <v>4142</v>
      </c>
      <c r="E1710" s="5" t="s">
        <v>27</v>
      </c>
      <c r="F1710" s="5" t="s">
        <v>4143</v>
      </c>
      <c r="G1710" s="5" t="s">
        <v>4144</v>
      </c>
      <c r="H1710" s="5" t="s">
        <v>4934</v>
      </c>
      <c r="I1710" s="5" t="s">
        <v>4993</v>
      </c>
      <c r="J1710" s="5" t="s">
        <v>4994</v>
      </c>
      <c r="K1710" s="7" t="str">
        <f ca="1">IFERROR(__xludf.DUMMYFUNCTION("GOOGLETRANSLATE(H1710,""EN"",""ES"")"),"DISPOSITIVOS DE BLOQUEO O CIERRE")</f>
        <v>DISPOSITIVOS DE BLOQUEO O CIERRE</v>
      </c>
      <c r="L1710" s="5" t="str">
        <f ca="1">IFERROR(__xludf.DUMMYFUNCTION("GOOGLETRANSLATE(J1710,""EN"",""ES"")"),"Pernos de puerta")</f>
        <v>Pernos de puerta</v>
      </c>
      <c r="M1710" s="8" t="s">
        <v>60</v>
      </c>
      <c r="N1710" s="8"/>
    </row>
    <row r="1711" spans="1:14" ht="11.25" customHeight="1">
      <c r="A1711" s="5" t="s">
        <v>4139</v>
      </c>
      <c r="B1711" s="5" t="s">
        <v>4932</v>
      </c>
      <c r="C1711" s="5" t="s">
        <v>4995</v>
      </c>
      <c r="D1711" s="5" t="s">
        <v>4142</v>
      </c>
      <c r="E1711" s="5" t="s">
        <v>27</v>
      </c>
      <c r="F1711" s="5" t="s">
        <v>4143</v>
      </c>
      <c r="G1711" s="5" t="s">
        <v>4144</v>
      </c>
      <c r="H1711" s="5" t="s">
        <v>4934</v>
      </c>
      <c r="I1711" s="5" t="s">
        <v>4996</v>
      </c>
      <c r="J1711" s="5" t="s">
        <v>4997</v>
      </c>
      <c r="K1711" s="7" t="str">
        <f ca="1">IFERROR(__xludf.DUMMYFUNCTION("GOOGLETRANSLATE(H1711,""EN"",""ES"")"),"DISPOSITIVOS DE BLOQUEO O CIERRE")</f>
        <v>DISPOSITIVOS DE BLOQUEO O CIERRE</v>
      </c>
      <c r="L1711" s="5" t="str">
        <f ca="1">IFERROR(__xludf.DUMMYFUNCTION("GOOGLETRANSLATE(J1711,""EN"",""ES"")"),"Cabellos")</f>
        <v>Cabellos</v>
      </c>
      <c r="M1711" s="8" t="s">
        <v>60</v>
      </c>
      <c r="N1711" s="8"/>
    </row>
    <row r="1712" spans="1:14" ht="11.25" customHeight="1">
      <c r="A1712" s="5" t="s">
        <v>4139</v>
      </c>
      <c r="B1712" s="5" t="s">
        <v>4932</v>
      </c>
      <c r="C1712" s="5" t="s">
        <v>4998</v>
      </c>
      <c r="D1712" s="5" t="s">
        <v>4142</v>
      </c>
      <c r="E1712" s="5" t="s">
        <v>27</v>
      </c>
      <c r="F1712" s="5" t="s">
        <v>4143</v>
      </c>
      <c r="G1712" s="5" t="s">
        <v>4144</v>
      </c>
      <c r="H1712" s="5" t="s">
        <v>4934</v>
      </c>
      <c r="I1712" s="5" t="s">
        <v>4999</v>
      </c>
      <c r="J1712" s="5" t="s">
        <v>5000</v>
      </c>
      <c r="K1712" s="7" t="str">
        <f ca="1">IFERROR(__xludf.DUMMYFUNCTION("GOOGLETRANSLATE(H1712,""EN"",""ES"")"),"DISPOSITIVOS DE BLOQUEO O CIERRE")</f>
        <v>DISPOSITIVOS DE BLOQUEO O CIERRE</v>
      </c>
      <c r="L1712" s="5" t="str">
        <f ca="1">IFERROR(__xludf.DUMMYFUNCTION("GOOGLETRANSLATE(J1712,""EN"",""ES"")"),"Pernos planos [cerraduras]")</f>
        <v>Pernos planos [cerraduras]</v>
      </c>
      <c r="M1712" s="8" t="s">
        <v>60</v>
      </c>
      <c r="N1712" s="8"/>
    </row>
    <row r="1713" spans="1:14" ht="11.25" customHeight="1">
      <c r="A1713" s="5" t="s">
        <v>4139</v>
      </c>
      <c r="B1713" s="5" t="s">
        <v>4932</v>
      </c>
      <c r="C1713" s="5" t="s">
        <v>5001</v>
      </c>
      <c r="D1713" s="5" t="s">
        <v>4142</v>
      </c>
      <c r="E1713" s="5" t="s">
        <v>27</v>
      </c>
      <c r="F1713" s="5" t="s">
        <v>4143</v>
      </c>
      <c r="G1713" s="5" t="s">
        <v>4144</v>
      </c>
      <c r="H1713" s="5" t="s">
        <v>4934</v>
      </c>
      <c r="I1713" s="5" t="s">
        <v>5002</v>
      </c>
      <c r="J1713" s="5" t="s">
        <v>5003</v>
      </c>
      <c r="K1713" s="7" t="str">
        <f ca="1">IFERROR(__xludf.DUMMYFUNCTION("GOOGLETRANSLATE(H1713,""EN"",""ES"")"),"DISPOSITIVOS DE BLOQUEO O CIERRE")</f>
        <v>DISPOSITIVOS DE BLOQUEO O CIERRE</v>
      </c>
      <c r="L1713" s="5" t="str">
        <f ca="1">IFERROR(__xludf.DUMMYFUNCTION("GOOGLETRANSLATE(J1713,""EN"",""ES"")"),"Dispositivos de bloqueo")</f>
        <v>Dispositivos de bloqueo</v>
      </c>
      <c r="M1713" s="8" t="s">
        <v>60</v>
      </c>
      <c r="N1713" s="8"/>
    </row>
    <row r="1714" spans="1:14" ht="11.25" customHeight="1">
      <c r="A1714" s="5" t="s">
        <v>4139</v>
      </c>
      <c r="B1714" s="5" t="s">
        <v>4932</v>
      </c>
      <c r="C1714" s="5" t="s">
        <v>5004</v>
      </c>
      <c r="D1714" s="5" t="s">
        <v>4142</v>
      </c>
      <c r="E1714" s="5" t="s">
        <v>27</v>
      </c>
      <c r="F1714" s="5" t="s">
        <v>4143</v>
      </c>
      <c r="G1714" s="5" t="s">
        <v>4144</v>
      </c>
      <c r="H1714" s="5" t="s">
        <v>4934</v>
      </c>
      <c r="I1714" s="5" t="s">
        <v>5005</v>
      </c>
      <c r="J1714" s="5" t="s">
        <v>5006</v>
      </c>
      <c r="K1714" s="7" t="str">
        <f ca="1">IFERROR(__xludf.DUMMYFUNCTION("GOOGLETRANSLATE(H1714,""EN"",""ES"")"),"DISPOSITIVOS DE BLOQUEO O CIERRE")</f>
        <v>DISPOSITIVOS DE BLOQUEO O CIERRE</v>
      </c>
      <c r="L1714" s="5" t="str">
        <f ca="1">IFERROR(__xludf.DUMMYFUNCTION("GOOGLETRANSLATE(J1714,""EN"",""ES"")"),"Cierres para pitilleras")</f>
        <v>Cierres para pitilleras</v>
      </c>
      <c r="M1714" s="8" t="s">
        <v>60</v>
      </c>
      <c r="N1714" s="8"/>
    </row>
    <row r="1715" spans="1:14" ht="11.25" customHeight="1">
      <c r="A1715" s="5" t="s">
        <v>4139</v>
      </c>
      <c r="B1715" s="5" t="s">
        <v>4932</v>
      </c>
      <c r="C1715" s="5" t="s">
        <v>5007</v>
      </c>
      <c r="D1715" s="5" t="s">
        <v>4142</v>
      </c>
      <c r="E1715" s="5" t="s">
        <v>27</v>
      </c>
      <c r="F1715" s="5" t="s">
        <v>4143</v>
      </c>
      <c r="G1715" s="5" t="s">
        <v>4144</v>
      </c>
      <c r="H1715" s="5" t="s">
        <v>4934</v>
      </c>
      <c r="I1715" s="5" t="s">
        <v>5008</v>
      </c>
      <c r="J1715" s="5" t="s">
        <v>5009</v>
      </c>
      <c r="K1715" s="7" t="str">
        <f ca="1">IFERROR(__xludf.DUMMYFUNCTION("GOOGLETRANSLATE(H1715,""EN"",""ES"")"),"DISPOSITIVOS DE BLOQUEO O CIERRE")</f>
        <v>DISPOSITIVOS DE BLOQUEO O CIERRE</v>
      </c>
      <c r="L1715" s="5" t="str">
        <f ca="1">IFERROR(__xludf.DUMMYFUNCTION("GOOGLETRANSLATE(J1715,""EN"",""ES"")"),"sujetadores de caja")</f>
        <v>sujetadores de caja</v>
      </c>
      <c r="M1715" s="8" t="s">
        <v>60</v>
      </c>
      <c r="N1715" s="8"/>
    </row>
    <row r="1716" spans="1:14" ht="11.25" customHeight="1">
      <c r="A1716" s="5" t="s">
        <v>4139</v>
      </c>
      <c r="B1716" s="5" t="s">
        <v>4932</v>
      </c>
      <c r="C1716" s="5" t="s">
        <v>5010</v>
      </c>
      <c r="D1716" s="5" t="s">
        <v>4142</v>
      </c>
      <c r="E1716" s="5" t="s">
        <v>27</v>
      </c>
      <c r="F1716" s="5" t="s">
        <v>4143</v>
      </c>
      <c r="G1716" s="5" t="s">
        <v>4144</v>
      </c>
      <c r="H1716" s="5" t="s">
        <v>4934</v>
      </c>
      <c r="I1716" s="5" t="s">
        <v>5011</v>
      </c>
      <c r="J1716" s="5" t="s">
        <v>5012</v>
      </c>
      <c r="K1716" s="7" t="str">
        <f ca="1">IFERROR(__xludf.DUMMYFUNCTION("GOOGLETRANSLATE(H1716,""EN"",""ES"")"),"DISPOSITIVOS DE BLOQUEO O CIERRE")</f>
        <v>DISPOSITIVOS DE BLOQUEO O CIERRE</v>
      </c>
      <c r="L1716" s="5" t="str">
        <f ca="1">IFERROR(__xludf.DUMMYFUNCTION("GOOGLETRANSLATE(J1716,""EN"",""ES"")"),"Frenos de control de puertas")</f>
        <v>Frenos de control de puertas</v>
      </c>
      <c r="M1716" s="8" t="s">
        <v>60</v>
      </c>
      <c r="N1716" s="8"/>
    </row>
    <row r="1717" spans="1:14" ht="11.25" customHeight="1">
      <c r="A1717" s="5" t="s">
        <v>4139</v>
      </c>
      <c r="B1717" s="5" t="s">
        <v>4932</v>
      </c>
      <c r="C1717" s="5" t="s">
        <v>5013</v>
      </c>
      <c r="D1717" s="5" t="s">
        <v>4142</v>
      </c>
      <c r="E1717" s="5" t="s">
        <v>27</v>
      </c>
      <c r="F1717" s="5" t="s">
        <v>4143</v>
      </c>
      <c r="G1717" s="5" t="s">
        <v>4144</v>
      </c>
      <c r="H1717" s="5" t="s">
        <v>4934</v>
      </c>
      <c r="I1717" s="5" t="s">
        <v>5014</v>
      </c>
      <c r="J1717" s="5" t="s">
        <v>5015</v>
      </c>
      <c r="K1717" s="7" t="str">
        <f ca="1">IFERROR(__xludf.DUMMYFUNCTION("GOOGLETRANSLATE(H1717,""EN"",""ES"")"),"DISPOSITIVOS DE BLOQUEO O CIERRE")</f>
        <v>DISPOSITIVOS DE BLOQUEO O CIERRE</v>
      </c>
      <c r="L1717" s="5" t="str">
        <f ca="1">IFERROR(__xludf.DUMMYFUNCTION("GOOGLETRANSLATE(J1717,""EN"",""ES"")"),"Cerraduras de vaso")</f>
        <v>Cerraduras de vaso</v>
      </c>
      <c r="M1717" s="8" t="s">
        <v>60</v>
      </c>
      <c r="N1717" s="8"/>
    </row>
    <row r="1718" spans="1:14" ht="11.25" customHeight="1">
      <c r="A1718" s="5" t="s">
        <v>4139</v>
      </c>
      <c r="B1718" s="5" t="s">
        <v>4932</v>
      </c>
      <c r="C1718" s="5" t="s">
        <v>5016</v>
      </c>
      <c r="D1718" s="5" t="s">
        <v>4142</v>
      </c>
      <c r="E1718" s="5" t="s">
        <v>27</v>
      </c>
      <c r="F1718" s="5" t="s">
        <v>4143</v>
      </c>
      <c r="G1718" s="5" t="s">
        <v>4144</v>
      </c>
      <c r="H1718" s="5" t="s">
        <v>4934</v>
      </c>
      <c r="I1718" s="5" t="s">
        <v>5017</v>
      </c>
      <c r="J1718" s="5" t="s">
        <v>5018</v>
      </c>
      <c r="K1718" s="7" t="str">
        <f ca="1">IFERROR(__xludf.DUMMYFUNCTION("GOOGLETRANSLATE(H1718,""EN"",""ES"")"),"DISPOSITIVOS DE BLOQUEO O CIERRE")</f>
        <v>DISPOSITIVOS DE BLOQUEO O CIERRE</v>
      </c>
      <c r="L1718" s="5" t="str">
        <f ca="1">IFERROR(__xludf.DUMMYFUNCTION("GOOGLETRANSLATE(J1718,""EN"",""ES"")"),"Cerraduras de puertas para vehículos")</f>
        <v>Cerraduras de puertas para vehículos</v>
      </c>
      <c r="M1718" s="8" t="s">
        <v>60</v>
      </c>
      <c r="N1718" s="8"/>
    </row>
    <row r="1719" spans="1:14" ht="11.25" customHeight="1">
      <c r="A1719" s="5" t="s">
        <v>4139</v>
      </c>
      <c r="B1719" s="5" t="s">
        <v>4932</v>
      </c>
      <c r="C1719" s="5" t="s">
        <v>5019</v>
      </c>
      <c r="D1719" s="5" t="s">
        <v>4142</v>
      </c>
      <c r="E1719" s="5" t="s">
        <v>27</v>
      </c>
      <c r="F1719" s="5" t="s">
        <v>4143</v>
      </c>
      <c r="G1719" s="5" t="s">
        <v>4144</v>
      </c>
      <c r="H1719" s="5" t="s">
        <v>4934</v>
      </c>
      <c r="I1719" s="5" t="s">
        <v>5020</v>
      </c>
      <c r="J1719" s="5" t="s">
        <v>5021</v>
      </c>
      <c r="K1719" s="7" t="str">
        <f ca="1">IFERROR(__xludf.DUMMYFUNCTION("GOOGLETRANSLATE(H1719,""EN"",""ES"")"),"DISPOSITIVOS DE BLOQUEO O CIERRE")</f>
        <v>DISPOSITIVOS DE BLOQUEO O CIERRE</v>
      </c>
      <c r="L1719" s="5" t="str">
        <f ca="1">IFERROR(__xludf.DUMMYFUNCTION("GOOGLETRANSLATE(J1719,""EN"",""ES"")"),"Fijaciones para puertas de carga de camiones")</f>
        <v>Fijaciones para puertas de carga de camiones</v>
      </c>
      <c r="M1719" s="8" t="s">
        <v>60</v>
      </c>
      <c r="N1719" s="8"/>
    </row>
    <row r="1720" spans="1:14" ht="11.25" customHeight="1">
      <c r="A1720" s="5" t="s">
        <v>4139</v>
      </c>
      <c r="B1720" s="5" t="s">
        <v>4932</v>
      </c>
      <c r="C1720" s="5" t="s">
        <v>5022</v>
      </c>
      <c r="D1720" s="5" t="s">
        <v>4142</v>
      </c>
      <c r="E1720" s="5" t="s">
        <v>27</v>
      </c>
      <c r="F1720" s="5" t="s">
        <v>4143</v>
      </c>
      <c r="G1720" s="5" t="s">
        <v>4144</v>
      </c>
      <c r="H1720" s="5" t="s">
        <v>4934</v>
      </c>
      <c r="I1720" s="5" t="s">
        <v>5023</v>
      </c>
      <c r="J1720" s="5" t="s">
        <v>5024</v>
      </c>
      <c r="K1720" s="7" t="str">
        <f ca="1">IFERROR(__xludf.DUMMYFUNCTION("GOOGLETRANSLATE(H1720,""EN"",""ES"")"),"DISPOSITIVOS DE BLOQUEO O CIERRE")</f>
        <v>DISPOSITIVOS DE BLOQUEO O CIERRE</v>
      </c>
      <c r="L1720" s="5" t="str">
        <f ca="1">IFERROR(__xludf.DUMMYFUNCTION("GOOGLETRANSLATE(J1720,""EN"",""ES"")"),"Candados de seguridad para bicicletas")</f>
        <v>Candados de seguridad para bicicletas</v>
      </c>
      <c r="M1720" s="8" t="s">
        <v>60</v>
      </c>
      <c r="N1720" s="8"/>
    </row>
    <row r="1721" spans="1:14" ht="11.25" customHeight="1">
      <c r="A1721" s="5" t="s">
        <v>4139</v>
      </c>
      <c r="B1721" s="5" t="s">
        <v>4932</v>
      </c>
      <c r="C1721" s="5" t="s">
        <v>5025</v>
      </c>
      <c r="D1721" s="5" t="s">
        <v>4142</v>
      </c>
      <c r="E1721" s="5" t="s">
        <v>27</v>
      </c>
      <c r="F1721" s="5" t="s">
        <v>4143</v>
      </c>
      <c r="G1721" s="5" t="s">
        <v>4144</v>
      </c>
      <c r="H1721" s="5" t="s">
        <v>4934</v>
      </c>
      <c r="I1721" s="5" t="s">
        <v>5026</v>
      </c>
      <c r="J1721" s="5" t="s">
        <v>5027</v>
      </c>
      <c r="K1721" s="7" t="str">
        <f ca="1">IFERROR(__xludf.DUMMYFUNCTION("GOOGLETRANSLATE(H1721,""EN"",""ES"")"),"DISPOSITIVOS DE BLOQUEO O CIERRE")</f>
        <v>DISPOSITIVOS DE BLOQUEO O CIERRE</v>
      </c>
      <c r="L1721" s="5" t="str">
        <f ca="1">IFERROR(__xludf.DUMMYFUNCTION("GOOGLETRANSLATE(J1721,""EN"",""ES"")"),"Tensores de persiana")</f>
        <v>Tensores de persiana</v>
      </c>
      <c r="M1721" s="8" t="s">
        <v>60</v>
      </c>
      <c r="N1721" s="8"/>
    </row>
    <row r="1722" spans="1:14" ht="11.25" customHeight="1">
      <c r="A1722" s="5" t="s">
        <v>4139</v>
      </c>
      <c r="B1722" s="5" t="s">
        <v>4932</v>
      </c>
      <c r="C1722" s="5" t="s">
        <v>5028</v>
      </c>
      <c r="D1722" s="5" t="s">
        <v>4142</v>
      </c>
      <c r="E1722" s="5" t="s">
        <v>27</v>
      </c>
      <c r="F1722" s="5" t="s">
        <v>4143</v>
      </c>
      <c r="G1722" s="5" t="s">
        <v>4144</v>
      </c>
      <c r="H1722" s="5" t="s">
        <v>4934</v>
      </c>
      <c r="I1722" s="5" t="s">
        <v>5029</v>
      </c>
      <c r="J1722" s="5" t="s">
        <v>5030</v>
      </c>
      <c r="K1722" s="7" t="str">
        <f ca="1">IFERROR(__xludf.DUMMYFUNCTION("GOOGLETRANSLATE(H1722,""EN"",""ES"")"),"DISPOSITIVOS DE BLOQUEO O CIERRE")</f>
        <v>DISPOSITIVOS DE BLOQUEO O CIERRE</v>
      </c>
      <c r="L1722" s="5" t="str">
        <f ca="1">IFERROR(__xludf.DUMMYFUNCTION("GOOGLETRANSLATE(J1722,""EN"",""ES"")"),"Candados de cable para motos")</f>
        <v>Candados de cable para motos</v>
      </c>
      <c r="M1722" s="8" t="s">
        <v>60</v>
      </c>
      <c r="N1722" s="8"/>
    </row>
    <row r="1723" spans="1:14" ht="11.25" customHeight="1">
      <c r="A1723" s="5" t="s">
        <v>4139</v>
      </c>
      <c r="B1723" s="5" t="s">
        <v>4932</v>
      </c>
      <c r="C1723" s="5" t="s">
        <v>5031</v>
      </c>
      <c r="D1723" s="5" t="s">
        <v>4142</v>
      </c>
      <c r="E1723" s="5" t="s">
        <v>27</v>
      </c>
      <c r="F1723" s="5" t="s">
        <v>4143</v>
      </c>
      <c r="G1723" s="5" t="s">
        <v>4144</v>
      </c>
      <c r="H1723" s="5" t="s">
        <v>4934</v>
      </c>
      <c r="I1723" s="5" t="s">
        <v>5032</v>
      </c>
      <c r="J1723" s="5" t="s">
        <v>5033</v>
      </c>
      <c r="K1723" s="7" t="str">
        <f ca="1">IFERROR(__xludf.DUMMYFUNCTION("GOOGLETRANSLATE(H1723,""EN"",""ES"")"),"DISPOSITIVOS DE BLOQUEO O CIERRE")</f>
        <v>DISPOSITIVOS DE BLOQUEO O CIERRE</v>
      </c>
      <c r="L1723" s="5" t="str">
        <f ca="1">IFERROR(__xludf.DUMMYFUNCTION("GOOGLETRANSLATE(J1723,""EN"",""ES"")"),"Abrazaderas de ruedas [botas]")</f>
        <v>Abrazaderas de ruedas [botas]</v>
      </c>
      <c r="M1723" s="8" t="s">
        <v>60</v>
      </c>
      <c r="N1723" s="8"/>
    </row>
    <row r="1724" spans="1:14" ht="11.25" customHeight="1">
      <c r="A1724" s="5" t="s">
        <v>4139</v>
      </c>
      <c r="B1724" s="5" t="s">
        <v>4932</v>
      </c>
      <c r="C1724" s="5" t="s">
        <v>5034</v>
      </c>
      <c r="D1724" s="5" t="s">
        <v>4142</v>
      </c>
      <c r="E1724" s="5" t="s">
        <v>27</v>
      </c>
      <c r="F1724" s="5" t="s">
        <v>4143</v>
      </c>
      <c r="G1724" s="5" t="s">
        <v>4144</v>
      </c>
      <c r="H1724" s="5" t="s">
        <v>4934</v>
      </c>
      <c r="I1724" s="5" t="s">
        <v>5035</v>
      </c>
      <c r="J1724" s="5" t="s">
        <v>5036</v>
      </c>
      <c r="K1724" s="7" t="str">
        <f ca="1">IFERROR(__xludf.DUMMYFUNCTION("GOOGLETRANSLATE(H1724,""EN"",""ES"")"),"DISPOSITIVOS DE BLOQUEO O CIERRE")</f>
        <v>DISPOSITIVOS DE BLOQUEO O CIERRE</v>
      </c>
      <c r="L1724" s="5" t="str">
        <f ca="1">IFERROR(__xludf.DUMMYFUNCTION("GOOGLETRANSLATE(J1724,""EN"",""ES"")"),"Listones de enclavamiento antirrobo para puertas")</f>
        <v>Listones de enclavamiento antirrobo para puertas</v>
      </c>
      <c r="M1724" s="8" t="s">
        <v>60</v>
      </c>
      <c r="N1724" s="8"/>
    </row>
    <row r="1725" spans="1:14" ht="11.25" customHeight="1">
      <c r="A1725" s="5" t="s">
        <v>4139</v>
      </c>
      <c r="B1725" s="5" t="s">
        <v>4932</v>
      </c>
      <c r="C1725" s="5" t="s">
        <v>5037</v>
      </c>
      <c r="D1725" s="5" t="s">
        <v>4142</v>
      </c>
      <c r="E1725" s="5" t="s">
        <v>27</v>
      </c>
      <c r="F1725" s="5" t="s">
        <v>4143</v>
      </c>
      <c r="G1725" s="5" t="s">
        <v>4144</v>
      </c>
      <c r="H1725" s="5" t="s">
        <v>4934</v>
      </c>
      <c r="I1725" s="5" t="s">
        <v>5038</v>
      </c>
      <c r="J1725" s="5" t="s">
        <v>5039</v>
      </c>
      <c r="K1725" s="7" t="str">
        <f ca="1">IFERROR(__xludf.DUMMYFUNCTION("GOOGLETRANSLATE(H1725,""EN"",""ES"")"),"DISPOSITIVOS DE BLOQUEO O CIERRE")</f>
        <v>DISPOSITIVOS DE BLOQUEO O CIERRE</v>
      </c>
      <c r="L1725" s="5" t="str">
        <f ca="1">IFERROR(__xludf.DUMMYFUNCTION("GOOGLETRANSLATE(J1725,""EN"",""ES"")"),"Postes antirrobo para motos")</f>
        <v>Postes antirrobo para motos</v>
      </c>
      <c r="M1725" s="8" t="s">
        <v>60</v>
      </c>
      <c r="N1725" s="8"/>
    </row>
    <row r="1726" spans="1:14" ht="11.25" customHeight="1">
      <c r="A1726" s="5" t="s">
        <v>4139</v>
      </c>
      <c r="B1726" s="5" t="s">
        <v>4932</v>
      </c>
      <c r="C1726" s="5" t="s">
        <v>5040</v>
      </c>
      <c r="D1726" s="5" t="s">
        <v>4142</v>
      </c>
      <c r="E1726" s="5" t="s">
        <v>27</v>
      </c>
      <c r="F1726" s="5" t="s">
        <v>4143</v>
      </c>
      <c r="G1726" s="5" t="s">
        <v>4144</v>
      </c>
      <c r="H1726" s="5" t="s">
        <v>4934</v>
      </c>
      <c r="I1726" s="5" t="s">
        <v>5041</v>
      </c>
      <c r="J1726" s="5" t="s">
        <v>5042</v>
      </c>
      <c r="K1726" s="7" t="str">
        <f ca="1">IFERROR(__xludf.DUMMYFUNCTION("GOOGLETRANSLATE(H1726,""EN"",""ES"")"),"DISPOSITIVOS DE BLOQUEO O CIERRE")</f>
        <v>DISPOSITIVOS DE BLOQUEO O CIERRE</v>
      </c>
      <c r="L1726" s="5" t="str">
        <f ca="1">IFERROR(__xludf.DUMMYFUNCTION("GOOGLETRANSLATE(J1726,""EN"",""ES"")"),"Fichas para carros de autoservicio")</f>
        <v>Fichas para carros de autoservicio</v>
      </c>
      <c r="M1726" s="8" t="s">
        <v>60</v>
      </c>
      <c r="N1726" s="8"/>
    </row>
    <row r="1727" spans="1:14" ht="11.25" customHeight="1">
      <c r="A1727" s="5" t="s">
        <v>4139</v>
      </c>
      <c r="B1727" s="5" t="s">
        <v>4932</v>
      </c>
      <c r="C1727" s="5" t="s">
        <v>5040</v>
      </c>
      <c r="D1727" s="5" t="s">
        <v>4142</v>
      </c>
      <c r="E1727" s="5" t="s">
        <v>27</v>
      </c>
      <c r="F1727" s="5" t="s">
        <v>4143</v>
      </c>
      <c r="G1727" s="5" t="s">
        <v>4144</v>
      </c>
      <c r="H1727" s="5" t="s">
        <v>4934</v>
      </c>
      <c r="I1727" s="5" t="s">
        <v>5043</v>
      </c>
      <c r="J1727" s="5" t="s">
        <v>152</v>
      </c>
      <c r="K1727" s="7" t="str">
        <f ca="1">IFERROR(__xludf.DUMMYFUNCTION("GOOGLETRANSLATE(H1727,""EN"",""ES"")"),"DISPOSITIVOS DE BLOQUEO O CIERRE")</f>
        <v>DISPOSITIVOS DE BLOQUEO O CIERRE</v>
      </c>
      <c r="L1727" s="5" t="str">
        <f ca="1">IFERROR(__xludf.DUMMYFUNCTION("GOOGLETRANSLATE(J1727,""EN"",""ES"")"),"Fichas para carritos de compras")</f>
        <v>Fichas para carritos de compras</v>
      </c>
      <c r="M1727" s="8" t="s">
        <v>60</v>
      </c>
      <c r="N1727" s="8"/>
    </row>
    <row r="1728" spans="1:14" ht="11.25" customHeight="1">
      <c r="A1728" s="5" t="s">
        <v>4139</v>
      </c>
      <c r="B1728" s="5" t="s">
        <v>4932</v>
      </c>
      <c r="C1728" s="5" t="s">
        <v>5044</v>
      </c>
      <c r="D1728" s="5" t="s">
        <v>4142</v>
      </c>
      <c r="E1728" s="5" t="s">
        <v>27</v>
      </c>
      <c r="F1728" s="5" t="s">
        <v>4143</v>
      </c>
      <c r="G1728" s="5" t="s">
        <v>4144</v>
      </c>
      <c r="H1728" s="5" t="s">
        <v>4934</v>
      </c>
      <c r="I1728" s="5" t="s">
        <v>5045</v>
      </c>
      <c r="J1728" s="5" t="s">
        <v>5046</v>
      </c>
      <c r="K1728" s="7" t="str">
        <f ca="1">IFERROR(__xludf.DUMMYFUNCTION("GOOGLETRANSLATE(H1728,""EN"",""ES"")"),"DISPOSITIVOS DE BLOQUEO O CIERRE")</f>
        <v>DISPOSITIVOS DE BLOQUEO O CIERRE</v>
      </c>
      <c r="L1728" s="5" t="str">
        <f ca="1">IFERROR(__xludf.DUMMYFUNCTION("GOOGLETRANSLATE(J1728,""EN"",""ES"")"),"Bloqueos de código")</f>
        <v>Bloqueos de código</v>
      </c>
      <c r="M1728" s="8" t="s">
        <v>60</v>
      </c>
      <c r="N1728" s="8"/>
    </row>
    <row r="1729" spans="1:14" ht="11.25" customHeight="1">
      <c r="A1729" s="5" t="s">
        <v>4139</v>
      </c>
      <c r="B1729" s="5" t="s">
        <v>4932</v>
      </c>
      <c r="C1729" s="5" t="s">
        <v>5047</v>
      </c>
      <c r="D1729" s="5" t="s">
        <v>4142</v>
      </c>
      <c r="E1729" s="5" t="s">
        <v>27</v>
      </c>
      <c r="F1729" s="5" t="s">
        <v>4143</v>
      </c>
      <c r="G1729" s="5" t="s">
        <v>4144</v>
      </c>
      <c r="H1729" s="5" t="s">
        <v>4934</v>
      </c>
      <c r="I1729" s="5" t="s">
        <v>5048</v>
      </c>
      <c r="J1729" s="5" t="s">
        <v>5049</v>
      </c>
      <c r="K1729" s="7" t="str">
        <f ca="1">IFERROR(__xludf.DUMMYFUNCTION("GOOGLETRANSLATE(H1729,""EN"",""ES"")"),"DISPOSITIVOS DE BLOQUEO O CIERRE")</f>
        <v>DISPOSITIVOS DE BLOQUEO O CIERRE</v>
      </c>
      <c r="L1729" s="5" t="str">
        <f ca="1">IFERROR(__xludf.DUMMYFUNCTION("GOOGLETRANSLATE(J1729,""EN"",""ES"")"),"Cerraduras para cinturones de seguridad.")</f>
        <v>Cerraduras para cinturones de seguridad.</v>
      </c>
      <c r="M1729" s="8" t="s">
        <v>60</v>
      </c>
      <c r="N1729" s="8"/>
    </row>
    <row r="1730" spans="1:14" ht="11.25" customHeight="1">
      <c r="A1730" s="5" t="s">
        <v>4139</v>
      </c>
      <c r="B1730" s="5" t="s">
        <v>4932</v>
      </c>
      <c r="C1730" s="5" t="s">
        <v>5050</v>
      </c>
      <c r="D1730" s="5" t="s">
        <v>4142</v>
      </c>
      <c r="E1730" s="5" t="s">
        <v>27</v>
      </c>
      <c r="F1730" s="5" t="s">
        <v>4143</v>
      </c>
      <c r="G1730" s="5" t="s">
        <v>4144</v>
      </c>
      <c r="H1730" s="5" t="s">
        <v>4934</v>
      </c>
      <c r="I1730" s="5" t="s">
        <v>5051</v>
      </c>
      <c r="J1730" s="5" t="s">
        <v>5052</v>
      </c>
      <c r="K1730" s="7" t="str">
        <f ca="1">IFERROR(__xludf.DUMMYFUNCTION("GOOGLETRANSLATE(H1730,""EN"",""ES"")"),"DISPOSITIVOS DE BLOQUEO O CIERRE")</f>
        <v>DISPOSITIVOS DE BLOQUEO O CIERRE</v>
      </c>
      <c r="L1730" s="5" t="str">
        <f ca="1">IFERROR(__xludf.DUMMYFUNCTION("GOOGLETRANSLATE(J1730,""EN"",""ES"")"),"Cerraduras de puertas con tarjeta")</f>
        <v>Cerraduras de puertas con tarjeta</v>
      </c>
      <c r="M1730" s="8" t="s">
        <v>60</v>
      </c>
      <c r="N1730" s="8"/>
    </row>
    <row r="1731" spans="1:14" ht="11.25" customHeight="1">
      <c r="A1731" s="5" t="s">
        <v>4139</v>
      </c>
      <c r="B1731" s="5" t="s">
        <v>4932</v>
      </c>
      <c r="C1731" s="5" t="s">
        <v>5053</v>
      </c>
      <c r="D1731" s="5" t="s">
        <v>4142</v>
      </c>
      <c r="E1731" s="5" t="s">
        <v>27</v>
      </c>
      <c r="F1731" s="5" t="s">
        <v>4143</v>
      </c>
      <c r="G1731" s="5" t="s">
        <v>4144</v>
      </c>
      <c r="H1731" s="5" t="s">
        <v>4934</v>
      </c>
      <c r="I1731" s="5" t="s">
        <v>5054</v>
      </c>
      <c r="J1731" s="5" t="s">
        <v>5055</v>
      </c>
      <c r="K1731" s="7" t="str">
        <f ca="1">IFERROR(__xludf.DUMMYFUNCTION("GOOGLETRANSLATE(H1731,""EN"",""ES"")"),"DISPOSITIVOS DE BLOQUEO O CIERRE")</f>
        <v>DISPOSITIVOS DE BLOQUEO O CIERRE</v>
      </c>
      <c r="L1731" s="5" t="str">
        <f ca="1">IFERROR(__xludf.DUMMYFUNCTION("GOOGLETRANSLATE(J1731,""EN"",""ES"")"),"llaves para vehiculos")</f>
        <v>llaves para vehiculos</v>
      </c>
      <c r="M1731" s="8" t="s">
        <v>60</v>
      </c>
      <c r="N1731" s="8"/>
    </row>
    <row r="1732" spans="1:14" ht="11.25" customHeight="1">
      <c r="A1732" s="5" t="s">
        <v>4139</v>
      </c>
      <c r="B1732" s="5" t="s">
        <v>4932</v>
      </c>
      <c r="C1732" s="5" t="s">
        <v>5056</v>
      </c>
      <c r="D1732" s="5" t="s">
        <v>4142</v>
      </c>
      <c r="E1732" s="5" t="s">
        <v>27</v>
      </c>
      <c r="F1732" s="5" t="s">
        <v>4143</v>
      </c>
      <c r="G1732" s="5" t="s">
        <v>4144</v>
      </c>
      <c r="H1732" s="5" t="s">
        <v>4934</v>
      </c>
      <c r="I1732" s="5" t="s">
        <v>5057</v>
      </c>
      <c r="J1732" s="5" t="s">
        <v>5058</v>
      </c>
      <c r="K1732" s="7" t="str">
        <f ca="1">IFERROR(__xludf.DUMMYFUNCTION("GOOGLETRANSLATE(H1732,""EN"",""ES"")"),"DISPOSITIVOS DE BLOQUEO O CIERRE")</f>
        <v>DISPOSITIVOS DE BLOQUEO O CIERRE</v>
      </c>
      <c r="L1732" s="5" t="str">
        <f ca="1">IFERROR(__xludf.DUMMYFUNCTION("GOOGLETRANSLATE(J1732,""EN"",""ES"")"),"llaves inteligentes")</f>
        <v>llaves inteligentes</v>
      </c>
      <c r="M1732" s="8" t="s">
        <v>60</v>
      </c>
      <c r="N1732" s="8"/>
    </row>
    <row r="1733" spans="1:14" ht="11.25" customHeight="1">
      <c r="A1733" s="5" t="s">
        <v>4139</v>
      </c>
      <c r="B1733" s="5" t="s">
        <v>5059</v>
      </c>
      <c r="C1733" s="5" t="s">
        <v>5060</v>
      </c>
      <c r="D1733" s="5" t="s">
        <v>4142</v>
      </c>
      <c r="E1733" s="5" t="s">
        <v>27</v>
      </c>
      <c r="F1733" s="5" t="s">
        <v>4143</v>
      </c>
      <c r="G1733" s="5" t="s">
        <v>4144</v>
      </c>
      <c r="H1733" s="5" t="s">
        <v>5061</v>
      </c>
      <c r="I1733" s="5" t="s">
        <v>5062</v>
      </c>
      <c r="J1733" s="5" t="s">
        <v>5063</v>
      </c>
      <c r="K1733" s="7" t="str">
        <f ca="1">IFERROR(__xludf.DUMMYFUNCTION("GOOGLETRANSLATE(H1733,""EN"",""ES"")"),"DISPOSITIVOS DE FIJACIÓN, SOPORTE O MONTAJE NO COMPRENDIDOS EN OTRAS CLASES")</f>
        <v>DISPOSITIVOS DE FIJACIÓN, SOPORTE O MONTAJE NO COMPRENDIDOS EN OTRAS CLASES</v>
      </c>
      <c r="L1733" s="5" t="str">
        <f ca="1">IFERROR(__xludf.DUMMYFUNCTION("GOOGLETRANSLATE(J1733,""EN"",""ES"")"),"Colgadores de platos")</f>
        <v>Colgadores de platos</v>
      </c>
      <c r="M1733" s="8" t="s">
        <v>26</v>
      </c>
      <c r="N1733" s="8"/>
    </row>
    <row r="1734" spans="1:14" ht="11.25" customHeight="1">
      <c r="A1734" s="5" t="s">
        <v>4139</v>
      </c>
      <c r="B1734" s="5" t="s">
        <v>5059</v>
      </c>
      <c r="C1734" s="5" t="s">
        <v>5064</v>
      </c>
      <c r="D1734" s="5" t="s">
        <v>4142</v>
      </c>
      <c r="E1734" s="5" t="s">
        <v>27</v>
      </c>
      <c r="F1734" s="5" t="s">
        <v>4143</v>
      </c>
      <c r="G1734" s="5" t="s">
        <v>4144</v>
      </c>
      <c r="H1734" s="5" t="s">
        <v>5061</v>
      </c>
      <c r="I1734" s="5" t="s">
        <v>5065</v>
      </c>
      <c r="J1734" s="5" t="s">
        <v>5066</v>
      </c>
      <c r="K1734" s="7" t="str">
        <f ca="1">IFERROR(__xludf.DUMMYFUNCTION("GOOGLETRANSLATE(H1734,""EN"",""ES"")"),"DISPOSITIVOS DE FIJACIÓN, SOPORTE O MONTAJE NO COMPRENDIDOS EN OTRAS CLASES")</f>
        <v>DISPOSITIVOS DE FIJACIÓN, SOPORTE O MONTAJE NO COMPRENDIDOS EN OTRAS CLASES</v>
      </c>
      <c r="L1734" s="5" t="str">
        <f ca="1">IFERROR(__xludf.DUMMYFUNCTION("GOOGLETRANSLATE(J1734,""EN"",""ES"")"),"grapas para cajas")</f>
        <v>grapas para cajas</v>
      </c>
      <c r="M1734" s="8" t="s">
        <v>26</v>
      </c>
      <c r="N1734" s="8"/>
    </row>
    <row r="1735" spans="1:14" ht="11.25" customHeight="1">
      <c r="A1735" s="5" t="s">
        <v>4139</v>
      </c>
      <c r="B1735" s="5" t="s">
        <v>5059</v>
      </c>
      <c r="C1735" s="5" t="s">
        <v>5067</v>
      </c>
      <c r="D1735" s="5" t="s">
        <v>4142</v>
      </c>
      <c r="E1735" s="5" t="s">
        <v>27</v>
      </c>
      <c r="F1735" s="5" t="s">
        <v>4143</v>
      </c>
      <c r="G1735" s="5" t="s">
        <v>4144</v>
      </c>
      <c r="H1735" s="5" t="s">
        <v>5061</v>
      </c>
      <c r="I1735" s="5" t="s">
        <v>5068</v>
      </c>
      <c r="J1735" s="5" t="s">
        <v>5069</v>
      </c>
      <c r="K1735" s="7" t="str">
        <f ca="1">IFERROR(__xludf.DUMMYFUNCTION("GOOGLETRANSLATE(H1735,""EN"",""ES"")"),"DISPOSITIVOS DE FIJACIÓN, SOPORTE O MONTAJE NO COMPRENDIDOS EN OTRAS CLASES")</f>
        <v>DISPOSITIVOS DE FIJACIÓN, SOPORTE O MONTAJE NO COMPRENDIDOS EN OTRAS CLASES</v>
      </c>
      <c r="L1735" s="5" t="str">
        <f ca="1">IFERROR(__xludf.DUMMYFUNCTION("GOOGLETRANSLATE(J1735,""EN"",""ES"")"),"Grapas para correas")</f>
        <v>Grapas para correas</v>
      </c>
      <c r="M1735" s="8" t="s">
        <v>26</v>
      </c>
      <c r="N1735" s="8"/>
    </row>
    <row r="1736" spans="1:14" ht="11.25" customHeight="1">
      <c r="A1736" s="5" t="s">
        <v>4139</v>
      </c>
      <c r="B1736" s="5" t="s">
        <v>5059</v>
      </c>
      <c r="C1736" s="5" t="s">
        <v>5070</v>
      </c>
      <c r="D1736" s="5" t="s">
        <v>4142</v>
      </c>
      <c r="E1736" s="5" t="s">
        <v>27</v>
      </c>
      <c r="F1736" s="5" t="s">
        <v>4143</v>
      </c>
      <c r="G1736" s="5" t="s">
        <v>4144</v>
      </c>
      <c r="H1736" s="5" t="s">
        <v>5061</v>
      </c>
      <c r="I1736" s="5" t="s">
        <v>5071</v>
      </c>
      <c r="J1736" s="5" t="s">
        <v>5072</v>
      </c>
      <c r="K1736" s="7" t="str">
        <f ca="1">IFERROR(__xludf.DUMMYFUNCTION("GOOGLETRANSLATE(H1736,""EN"",""ES"")"),"DISPOSITIVOS DE FIJACIÓN, SOPORTE O MONTAJE NO COMPRENDIDOS EN OTRAS CLASES")</f>
        <v>DISPOSITIVOS DE FIJACIÓN, SOPORTE O MONTAJE NO COMPRENDIDOS EN OTRAS CLASES</v>
      </c>
      <c r="L1736" s="5" t="str">
        <f ca="1">IFERROR(__xludf.DUMMYFUNCTION("GOOGLETRANSLATE(J1736,""EN"",""ES"")"),"Grapas para listones")</f>
        <v>Grapas para listones</v>
      </c>
      <c r="M1736" s="8" t="s">
        <v>26</v>
      </c>
      <c r="N1736" s="8"/>
    </row>
    <row r="1737" spans="1:14" ht="11.25" customHeight="1">
      <c r="A1737" s="5" t="s">
        <v>4139</v>
      </c>
      <c r="B1737" s="5" t="s">
        <v>5059</v>
      </c>
      <c r="C1737" s="5" t="s">
        <v>5073</v>
      </c>
      <c r="D1737" s="5" t="s">
        <v>4142</v>
      </c>
      <c r="E1737" s="5" t="s">
        <v>27</v>
      </c>
      <c r="F1737" s="5" t="s">
        <v>4143</v>
      </c>
      <c r="G1737" s="5" t="s">
        <v>4144</v>
      </c>
      <c r="H1737" s="5" t="s">
        <v>5061</v>
      </c>
      <c r="I1737" s="5" t="s">
        <v>5074</v>
      </c>
      <c r="J1737" s="5" t="s">
        <v>5075</v>
      </c>
      <c r="K1737" s="7" t="str">
        <f ca="1">IFERROR(__xludf.DUMMYFUNCTION("GOOGLETRANSLATE(H1737,""EN"",""ES"")"),"DISPOSITIVOS DE FIJACIÓN, SOPORTE O MONTAJE NO COMPRENDIDOS EN OTRAS CLASES")</f>
        <v>DISPOSITIVOS DE FIJACIÓN, SOPORTE O MONTAJE NO COMPRENDIDOS EN OTRAS CLASES</v>
      </c>
      <c r="L1737" s="5" t="str">
        <f ca="1">IFERROR(__xludf.DUMMYFUNCTION("GOOGLETRANSLATE(J1737,""EN"",""ES"")"),"ganchos para carne")</f>
        <v>ganchos para carne</v>
      </c>
      <c r="M1737" s="8" t="s">
        <v>26</v>
      </c>
      <c r="N1737" s="8"/>
    </row>
    <row r="1738" spans="1:14" ht="11.25" customHeight="1">
      <c r="A1738" s="5" t="s">
        <v>4139</v>
      </c>
      <c r="B1738" s="5" t="s">
        <v>5059</v>
      </c>
      <c r="C1738" s="5" t="s">
        <v>5073</v>
      </c>
      <c r="D1738" s="5" t="s">
        <v>4142</v>
      </c>
      <c r="E1738" s="5" t="s">
        <v>27</v>
      </c>
      <c r="F1738" s="5" t="s">
        <v>4143</v>
      </c>
      <c r="G1738" s="5" t="s">
        <v>4144</v>
      </c>
      <c r="H1738" s="5" t="s">
        <v>5061</v>
      </c>
      <c r="I1738" s="5" t="s">
        <v>152</v>
      </c>
      <c r="J1738" s="5" t="s">
        <v>5076</v>
      </c>
      <c r="K1738" s="7" t="str">
        <f ca="1">IFERROR(__xludf.DUMMYFUNCTION("GOOGLETRANSLATE(H1738,""EN"",""ES"")"),"DISPOSITIVOS DE FIJACIÓN, SOPORTE O MONTAJE NO COMPRENDIDOS EN OTRAS CLASES")</f>
        <v>DISPOSITIVOS DE FIJACIÓN, SOPORTE O MONTAJE NO COMPRENDIDOS EN OTRAS CLASES</v>
      </c>
      <c r="L1738" s="5" t="str">
        <f ca="1">IFERROR(__xludf.DUMMYFUNCTION("GOOGLETRANSLATE(J1738,""EN"",""ES"")"),"N / A")</f>
        <v>N / A</v>
      </c>
      <c r="M1738" s="8" t="s">
        <v>26</v>
      </c>
      <c r="N1738" s="8"/>
    </row>
    <row r="1739" spans="1:14" ht="11.25" customHeight="1">
      <c r="A1739" s="5" t="s">
        <v>4139</v>
      </c>
      <c r="B1739" s="5" t="s">
        <v>5059</v>
      </c>
      <c r="C1739" s="5" t="s">
        <v>5077</v>
      </c>
      <c r="D1739" s="5" t="s">
        <v>4142</v>
      </c>
      <c r="E1739" s="5" t="s">
        <v>27</v>
      </c>
      <c r="F1739" s="5" t="s">
        <v>4143</v>
      </c>
      <c r="G1739" s="5" t="s">
        <v>4144</v>
      </c>
      <c r="H1739" s="5" t="s">
        <v>5061</v>
      </c>
      <c r="I1739" s="5" t="s">
        <v>5078</v>
      </c>
      <c r="J1739" s="5" t="s">
        <v>5079</v>
      </c>
      <c r="K1739" s="7" t="str">
        <f ca="1">IFERROR(__xludf.DUMMYFUNCTION("GOOGLETRANSLATE(H1739,""EN"",""ES"")"),"DISPOSITIVOS DE FIJACIÓN, SOPORTE O MONTAJE NO COMPRENDIDOS EN OTRAS CLASES")</f>
        <v>DISPOSITIVOS DE FIJACIÓN, SOPORTE O MONTAJE NO COMPRENDIDOS EN OTRAS CLASES</v>
      </c>
      <c r="L1739" s="5" t="str">
        <f ca="1">IFERROR(__xludf.DUMMYFUNCTION("GOOGLETRANSLATE(J1739,""EN"",""ES"")"),"Sujeciones para cinturones de máquinas.")</f>
        <v>Sujeciones para cinturones de máquinas.</v>
      </c>
      <c r="M1739" s="8" t="s">
        <v>26</v>
      </c>
      <c r="N1739" s="8"/>
    </row>
    <row r="1740" spans="1:14" ht="11.25" customHeight="1">
      <c r="A1740" s="5" t="s">
        <v>4139</v>
      </c>
      <c r="B1740" s="5" t="s">
        <v>5059</v>
      </c>
      <c r="C1740" s="5" t="s">
        <v>5080</v>
      </c>
      <c r="D1740" s="5" t="s">
        <v>4142</v>
      </c>
      <c r="E1740" s="5" t="s">
        <v>27</v>
      </c>
      <c r="F1740" s="5" t="s">
        <v>4143</v>
      </c>
      <c r="G1740" s="5" t="s">
        <v>4144</v>
      </c>
      <c r="H1740" s="5" t="s">
        <v>5061</v>
      </c>
      <c r="I1740" s="5" t="s">
        <v>5081</v>
      </c>
      <c r="J1740" s="5" t="s">
        <v>5082</v>
      </c>
      <c r="K1740" s="7" t="str">
        <f ca="1">IFERROR(__xludf.DUMMYFUNCTION("GOOGLETRANSLATE(H1740,""EN"",""ES"")"),"DISPOSITIVOS DE FIJACIÓN, SOPORTE O MONTAJE NO COMPRENDIDOS EN OTRAS CLASES")</f>
        <v>DISPOSITIVOS DE FIJACIÓN, SOPORTE O MONTAJE NO COMPRENDIDOS EN OTRAS CLASES</v>
      </c>
      <c r="L1740" s="5" t="str">
        <f ca="1">IFERROR(__xludf.DUMMYFUNCTION("GOOGLETRANSLATE(J1740,""EN"",""ES"")"),"Abrazaderas para mangueras y tuberías.")</f>
        <v>Abrazaderas para mangueras y tuberías.</v>
      </c>
      <c r="M1740" s="8" t="s">
        <v>26</v>
      </c>
      <c r="N1740" s="8"/>
    </row>
    <row r="1741" spans="1:14" ht="11.25" customHeight="1">
      <c r="A1741" s="5" t="s">
        <v>4139</v>
      </c>
      <c r="B1741" s="5" t="s">
        <v>5059</v>
      </c>
      <c r="C1741" s="5" t="s">
        <v>5083</v>
      </c>
      <c r="D1741" s="5" t="s">
        <v>4142</v>
      </c>
      <c r="E1741" s="5" t="s">
        <v>27</v>
      </c>
      <c r="F1741" s="5" t="s">
        <v>4143</v>
      </c>
      <c r="G1741" s="5" t="s">
        <v>4144</v>
      </c>
      <c r="H1741" s="5" t="s">
        <v>5061</v>
      </c>
      <c r="I1741" s="5" t="s">
        <v>5084</v>
      </c>
      <c r="J1741" s="5" t="s">
        <v>5085</v>
      </c>
      <c r="K1741" s="7" t="str">
        <f ca="1">IFERROR(__xludf.DUMMYFUNCTION("GOOGLETRANSLATE(H1741,""EN"",""ES"")"),"DISPOSITIVOS DE FIJACIÓN, SOPORTE O MONTAJE NO COMPRENDIDOS EN OTRAS CLASES")</f>
        <v>DISPOSITIVOS DE FIJACIÓN, SOPORTE O MONTAJE NO COMPRENDIDOS EN OTRAS CLASES</v>
      </c>
      <c r="L1741" s="5" t="str">
        <f ca="1">IFERROR(__xludf.DUMMYFUNCTION("GOOGLETRANSLATE(J1741,""EN"",""ES"")"),"Soportes para sujetar cepillos de limpieza.")</f>
        <v>Soportes para sujetar cepillos de limpieza.</v>
      </c>
      <c r="M1741" s="8" t="s">
        <v>26</v>
      </c>
      <c r="N1741" s="8"/>
    </row>
    <row r="1742" spans="1:14" ht="11.25" customHeight="1">
      <c r="A1742" s="5" t="s">
        <v>4139</v>
      </c>
      <c r="B1742" s="5" t="s">
        <v>5059</v>
      </c>
      <c r="C1742" s="5" t="s">
        <v>5086</v>
      </c>
      <c r="D1742" s="5" t="s">
        <v>4142</v>
      </c>
      <c r="E1742" s="5" t="s">
        <v>27</v>
      </c>
      <c r="F1742" s="5" t="s">
        <v>4143</v>
      </c>
      <c r="G1742" s="5" t="s">
        <v>4144</v>
      </c>
      <c r="H1742" s="5" t="s">
        <v>5061</v>
      </c>
      <c r="I1742" s="5" t="s">
        <v>5087</v>
      </c>
      <c r="J1742" s="5" t="s">
        <v>5088</v>
      </c>
      <c r="K1742" s="7" t="str">
        <f ca="1">IFERROR(__xludf.DUMMYFUNCTION("GOOGLETRANSLATE(H1742,""EN"",""ES"")"),"DISPOSITIVOS DE FIJACIÓN, SOPORTE O MONTAJE NO COMPRENDIDOS EN OTRAS CLASES")</f>
        <v>DISPOSITIVOS DE FIJACIÓN, SOPORTE O MONTAJE NO COMPRENDIDOS EN OTRAS CLASES</v>
      </c>
      <c r="L1742" s="5" t="str">
        <f ca="1">IFERROR(__xludf.DUMMYFUNCTION("GOOGLETRANSLATE(J1742,""EN"",""ES"")"),"Collarines para tuberías de gas.")</f>
        <v>Collarines para tuberías de gas.</v>
      </c>
      <c r="M1742" s="8" t="s">
        <v>26</v>
      </c>
      <c r="N1742" s="8"/>
    </row>
    <row r="1743" spans="1:14" ht="11.25" customHeight="1">
      <c r="A1743" s="5" t="s">
        <v>4139</v>
      </c>
      <c r="B1743" s="5" t="s">
        <v>5059</v>
      </c>
      <c r="C1743" s="5" t="s">
        <v>5089</v>
      </c>
      <c r="D1743" s="5" t="s">
        <v>4142</v>
      </c>
      <c r="E1743" s="5" t="s">
        <v>27</v>
      </c>
      <c r="F1743" s="5" t="s">
        <v>4143</v>
      </c>
      <c r="G1743" s="5" t="s">
        <v>4144</v>
      </c>
      <c r="H1743" s="5" t="s">
        <v>5061</v>
      </c>
      <c r="I1743" s="5" t="s">
        <v>5090</v>
      </c>
      <c r="J1743" s="5" t="s">
        <v>5091</v>
      </c>
      <c r="K1743" s="7" t="str">
        <f ca="1">IFERROR(__xludf.DUMMYFUNCTION("GOOGLETRANSLATE(H1743,""EN"",""ES"")"),"DISPOSITIVOS DE FIJACIÓN, SOPORTE O MONTAJE NO COMPRENDIDOS EN OTRAS CLASES")</f>
        <v>DISPOSITIVOS DE FIJACIÓN, SOPORTE O MONTAJE NO COMPRENDIDOS EN OTRAS CLASES</v>
      </c>
      <c r="L1743" s="5" t="str">
        <f ca="1">IFERROR(__xludf.DUMMYFUNCTION("GOOGLETRANSLATE(J1743,""EN"",""ES"")"),"Grapas para cables eléctricos.")</f>
        <v>Grapas para cables eléctricos.</v>
      </c>
      <c r="M1743" s="8" t="s">
        <v>26</v>
      </c>
      <c r="N1743" s="8"/>
    </row>
    <row r="1744" spans="1:14" ht="11.25" customHeight="1">
      <c r="A1744" s="5" t="s">
        <v>4139</v>
      </c>
      <c r="B1744" s="5" t="s">
        <v>5059</v>
      </c>
      <c r="C1744" s="5" t="s">
        <v>5092</v>
      </c>
      <c r="D1744" s="5" t="s">
        <v>4142</v>
      </c>
      <c r="E1744" s="5" t="s">
        <v>27</v>
      </c>
      <c r="F1744" s="5" t="s">
        <v>4143</v>
      </c>
      <c r="G1744" s="5" t="s">
        <v>4144</v>
      </c>
      <c r="H1744" s="5" t="s">
        <v>5061</v>
      </c>
      <c r="I1744" s="5" t="s">
        <v>5093</v>
      </c>
      <c r="J1744" s="5" t="s">
        <v>5094</v>
      </c>
      <c r="K1744" s="7" t="str">
        <f ca="1">IFERROR(__xludf.DUMMYFUNCTION("GOOGLETRANSLATE(H1744,""EN"",""ES"")"),"DISPOSITIVOS DE FIJACIÓN, SOPORTE O MONTAJE NO COMPRENDIDOS EN OTRAS CLASES")</f>
        <v>DISPOSITIVOS DE FIJACIÓN, SOPORTE O MONTAJE NO COMPRENDIDOS EN OTRAS CLASES</v>
      </c>
      <c r="L1744" s="5" t="str">
        <f ca="1">IFERROR(__xludf.DUMMYFUNCTION("GOOGLETRANSLATE(J1744,""EN"",""ES"")"),"Ganchos para colgar")</f>
        <v>Ganchos para colgar</v>
      </c>
      <c r="M1744" s="8" t="s">
        <v>26</v>
      </c>
      <c r="N1744" s="8"/>
    </row>
    <row r="1745" spans="1:14" ht="11.25" customHeight="1">
      <c r="A1745" s="5" t="s">
        <v>4139</v>
      </c>
      <c r="B1745" s="5" t="s">
        <v>5059</v>
      </c>
      <c r="C1745" s="5" t="s">
        <v>5095</v>
      </c>
      <c r="D1745" s="5" t="s">
        <v>4142</v>
      </c>
      <c r="E1745" s="5" t="s">
        <v>27</v>
      </c>
      <c r="F1745" s="5" t="s">
        <v>4143</v>
      </c>
      <c r="G1745" s="5" t="s">
        <v>4144</v>
      </c>
      <c r="H1745" s="5" t="s">
        <v>5061</v>
      </c>
      <c r="I1745" s="5" t="s">
        <v>5096</v>
      </c>
      <c r="J1745" s="5" t="s">
        <v>5097</v>
      </c>
      <c r="K1745" s="7" t="str">
        <f ca="1">IFERROR(__xludf.DUMMYFUNCTION("GOOGLETRANSLATE(H1745,""EN"",""ES"")"),"DISPOSITIVOS DE FIJACIÓN, SOPORTE O MONTAJE NO COMPRENDIDOS EN OTRAS CLASES")</f>
        <v>DISPOSITIVOS DE FIJACIÓN, SOPORTE O MONTAJE NO COMPRENDIDOS EN OTRAS CLASES</v>
      </c>
      <c r="L1745" s="5" t="str">
        <f ca="1">IFERROR(__xludf.DUMMYFUNCTION("GOOGLETRANSLATE(J1745,""EN"",""ES"")"),"Ganchos metálicos [generales]")</f>
        <v>Ganchos metálicos [generales]</v>
      </c>
      <c r="M1745" s="8" t="s">
        <v>26</v>
      </c>
      <c r="N1745" s="8"/>
    </row>
    <row r="1746" spans="1:14" ht="11.25" customHeight="1">
      <c r="A1746" s="5" t="s">
        <v>4139</v>
      </c>
      <c r="B1746" s="5" t="s">
        <v>5059</v>
      </c>
      <c r="C1746" s="5" t="s">
        <v>5098</v>
      </c>
      <c r="D1746" s="5" t="s">
        <v>4142</v>
      </c>
      <c r="E1746" s="5" t="s">
        <v>27</v>
      </c>
      <c r="F1746" s="5" t="s">
        <v>4143</v>
      </c>
      <c r="G1746" s="5" t="s">
        <v>4144</v>
      </c>
      <c r="H1746" s="5" t="s">
        <v>5061</v>
      </c>
      <c r="I1746" s="5" t="s">
        <v>5099</v>
      </c>
      <c r="J1746" s="5" t="s">
        <v>5100</v>
      </c>
      <c r="K1746" s="7" t="str">
        <f ca="1">IFERROR(__xludf.DUMMYFUNCTION("GOOGLETRANSLATE(H1746,""EN"",""ES"")"),"DISPOSITIVOS DE FIJACIÓN, SOPORTE O MONTAJE NO COMPRENDIDOS EN OTRAS CLASES")</f>
        <v>DISPOSITIVOS DE FIJACIÓN, SOPORTE O MONTAJE NO COMPRENDIDOS EN OTRAS CLASES</v>
      </c>
      <c r="L1746" s="5" t="str">
        <f ca="1">IFERROR(__xludf.DUMMYFUNCTION("GOOGLETRANSLATE(J1746,""EN"",""ES"")"),"Colgadores para pipas [excepto pipas de tabaco]")</f>
        <v>Colgadores para pipas [excepto pipas de tabaco]</v>
      </c>
      <c r="M1746" s="8" t="s">
        <v>26</v>
      </c>
      <c r="N1746" s="8"/>
    </row>
    <row r="1747" spans="1:14" ht="11.25" customHeight="1">
      <c r="A1747" s="5" t="s">
        <v>4139</v>
      </c>
      <c r="B1747" s="5" t="s">
        <v>5059</v>
      </c>
      <c r="C1747" s="5" t="s">
        <v>5101</v>
      </c>
      <c r="D1747" s="5" t="s">
        <v>4142</v>
      </c>
      <c r="E1747" s="5" t="s">
        <v>27</v>
      </c>
      <c r="F1747" s="5" t="s">
        <v>4143</v>
      </c>
      <c r="G1747" s="5" t="s">
        <v>4144</v>
      </c>
      <c r="H1747" s="5" t="s">
        <v>5061</v>
      </c>
      <c r="I1747" s="5" t="s">
        <v>5102</v>
      </c>
      <c r="J1747" s="5" t="s">
        <v>5103</v>
      </c>
      <c r="K1747" s="7" t="str">
        <f ca="1">IFERROR(__xludf.DUMMYFUNCTION("GOOGLETRANSLATE(H1747,""EN"",""ES"")"),"DISPOSITIVOS DE FIJACIÓN, SOPORTE O MONTAJE NO COMPRENDIDOS EN OTRAS CLASES")</f>
        <v>DISPOSITIVOS DE FIJACIÓN, SOPORTE O MONTAJE NO COMPRENDIDOS EN OTRAS CLASES</v>
      </c>
      <c r="L1747" s="5" t="str">
        <f ca="1">IFERROR(__xludf.DUMMYFUNCTION("GOOGLETRANSLATE(J1747,""EN"",""ES"")"),"Dispositivos de fijación para luminarias de techo.")</f>
        <v>Dispositivos de fijación para luminarias de techo.</v>
      </c>
      <c r="M1747" s="8" t="s">
        <v>26</v>
      </c>
      <c r="N1747" s="8"/>
    </row>
    <row r="1748" spans="1:14" ht="11.25" customHeight="1">
      <c r="A1748" s="5" t="s">
        <v>4139</v>
      </c>
      <c r="B1748" s="5" t="s">
        <v>5059</v>
      </c>
      <c r="C1748" s="5" t="s">
        <v>5104</v>
      </c>
      <c r="D1748" s="5" t="s">
        <v>4142</v>
      </c>
      <c r="E1748" s="5" t="s">
        <v>27</v>
      </c>
      <c r="F1748" s="5" t="s">
        <v>4143</v>
      </c>
      <c r="G1748" s="5" t="s">
        <v>4144</v>
      </c>
      <c r="H1748" s="5" t="s">
        <v>5061</v>
      </c>
      <c r="I1748" s="5" t="s">
        <v>5105</v>
      </c>
      <c r="J1748" s="5" t="s">
        <v>5106</v>
      </c>
      <c r="K1748" s="7" t="str">
        <f ca="1">IFERROR(__xludf.DUMMYFUNCTION("GOOGLETRANSLATE(H1748,""EN"",""ES"")"),"DISPOSITIVOS DE FIJACIÓN, SOPORTE O MONTAJE NO COMPRENDIDOS EN OTRAS CLASES")</f>
        <v>DISPOSITIVOS DE FIJACIÓN, SOPORTE O MONTAJE NO COMPRENDIDOS EN OTRAS CLASES</v>
      </c>
      <c r="L1748" s="5" t="str">
        <f ca="1">IFERROR(__xludf.DUMMYFUNCTION("GOOGLETRANSLATE(J1748,""EN"",""ES"")"),"Herrajes para espejos")</f>
        <v>Herrajes para espejos</v>
      </c>
      <c r="M1748" s="8" t="s">
        <v>26</v>
      </c>
      <c r="N1748" s="8"/>
    </row>
    <row r="1749" spans="1:14" ht="11.25" customHeight="1">
      <c r="A1749" s="5" t="s">
        <v>4139</v>
      </c>
      <c r="B1749" s="5" t="s">
        <v>5059</v>
      </c>
      <c r="C1749" s="5" t="s">
        <v>5107</v>
      </c>
      <c r="D1749" s="5" t="s">
        <v>4142</v>
      </c>
      <c r="E1749" s="5" t="s">
        <v>27</v>
      </c>
      <c r="F1749" s="5" t="s">
        <v>4143</v>
      </c>
      <c r="G1749" s="5" t="s">
        <v>4144</v>
      </c>
      <c r="H1749" s="5" t="s">
        <v>5061</v>
      </c>
      <c r="I1749" s="5" t="s">
        <v>5108</v>
      </c>
      <c r="J1749" s="5" t="s">
        <v>5109</v>
      </c>
      <c r="K1749" s="7" t="str">
        <f ca="1">IFERROR(__xludf.DUMMYFUNCTION("GOOGLETRANSLATE(H1749,""EN"",""ES"")"),"DISPOSITIVOS DE FIJACIÓN, SOPORTE O MONTAJE NO COMPRENDIDOS EN OTRAS CLASES")</f>
        <v>DISPOSITIVOS DE FIJACIÓN, SOPORTE O MONTAJE NO COMPRENDIDOS EN OTRAS CLASES</v>
      </c>
      <c r="L1749" s="5" t="str">
        <f ca="1">IFERROR(__xludf.DUMMYFUNCTION("GOOGLETRANSLATE(J1749,""EN"",""ES"")"),"Mosquetones")</f>
        <v>Mosquetones</v>
      </c>
      <c r="M1749" s="8" t="s">
        <v>26</v>
      </c>
      <c r="N1749" s="8"/>
    </row>
    <row r="1750" spans="1:14" ht="11.25" customHeight="1">
      <c r="A1750" s="5" t="s">
        <v>4139</v>
      </c>
      <c r="B1750" s="5" t="s">
        <v>5059</v>
      </c>
      <c r="C1750" s="5" t="s">
        <v>5110</v>
      </c>
      <c r="D1750" s="5" t="s">
        <v>4142</v>
      </c>
      <c r="E1750" s="5" t="s">
        <v>27</v>
      </c>
      <c r="F1750" s="5" t="s">
        <v>4143</v>
      </c>
      <c r="G1750" s="5" t="s">
        <v>4144</v>
      </c>
      <c r="H1750" s="5" t="s">
        <v>5061</v>
      </c>
      <c r="I1750" s="5" t="s">
        <v>5111</v>
      </c>
      <c r="J1750" s="5" t="s">
        <v>5112</v>
      </c>
      <c r="K1750" s="7" t="str">
        <f ca="1">IFERROR(__xludf.DUMMYFUNCTION("GOOGLETRANSLATE(H1750,""EN"",""ES"")"),"DISPOSITIVOS DE FIJACIÓN, SOPORTE O MONTAJE NO COMPRENDIDOS EN OTRAS CLASES")</f>
        <v>DISPOSITIVOS DE FIJACIÓN, SOPORTE O MONTAJE NO COMPRENDIDOS EN OTRAS CLASES</v>
      </c>
      <c r="L1750" s="5" t="str">
        <f ca="1">IFERROR(__xludf.DUMMYFUNCTION("GOOGLETRANSLATE(J1750,""EN"",""ES"")"),"Perchas")</f>
        <v>Perchas</v>
      </c>
      <c r="M1750" s="8" t="s">
        <v>26</v>
      </c>
      <c r="N1750" s="8"/>
    </row>
    <row r="1751" spans="1:14" ht="11.25" customHeight="1">
      <c r="A1751" s="5" t="s">
        <v>4139</v>
      </c>
      <c r="B1751" s="5" t="s">
        <v>5059</v>
      </c>
      <c r="C1751" s="5" t="s">
        <v>5113</v>
      </c>
      <c r="D1751" s="5" t="s">
        <v>4142</v>
      </c>
      <c r="E1751" s="5" t="s">
        <v>27</v>
      </c>
      <c r="F1751" s="5" t="s">
        <v>4143</v>
      </c>
      <c r="G1751" s="5" t="s">
        <v>4144</v>
      </c>
      <c r="H1751" s="5" t="s">
        <v>5061</v>
      </c>
      <c r="I1751" s="5" t="s">
        <v>5114</v>
      </c>
      <c r="J1751" s="5" t="s">
        <v>5115</v>
      </c>
      <c r="K1751" s="7" t="str">
        <f ca="1">IFERROR(__xludf.DUMMYFUNCTION("GOOGLETRANSLATE(H1751,""EN"",""ES"")"),"DISPOSITIVOS DE FIJACIÓN, SOPORTE O MONTAJE NO COMPRENDIDOS EN OTRAS CLASES")</f>
        <v>DISPOSITIVOS DE FIJACIÓN, SOPORTE O MONTAJE NO COMPRENDIDOS EN OTRAS CLASES</v>
      </c>
      <c r="L1751" s="5" t="str">
        <f ca="1">IFERROR(__xludf.DUMMYFUNCTION("GOOGLETRANSLATE(J1751,""EN"",""ES"")"),"Soportes para mangueras")</f>
        <v>Soportes para mangueras</v>
      </c>
      <c r="M1751" s="8" t="s">
        <v>26</v>
      </c>
      <c r="N1751" s="8"/>
    </row>
    <row r="1752" spans="1:14" ht="11.25" customHeight="1">
      <c r="A1752" s="5" t="s">
        <v>4139</v>
      </c>
      <c r="B1752" s="5" t="s">
        <v>5059</v>
      </c>
      <c r="C1752" s="5" t="s">
        <v>5116</v>
      </c>
      <c r="D1752" s="5" t="s">
        <v>4142</v>
      </c>
      <c r="E1752" s="5" t="s">
        <v>27</v>
      </c>
      <c r="F1752" s="5" t="s">
        <v>4143</v>
      </c>
      <c r="G1752" s="5" t="s">
        <v>4144</v>
      </c>
      <c r="H1752" s="5" t="s">
        <v>5061</v>
      </c>
      <c r="I1752" s="5" t="s">
        <v>5117</v>
      </c>
      <c r="J1752" s="5" t="s">
        <v>5118</v>
      </c>
      <c r="K1752" s="7" t="str">
        <f ca="1">IFERROR(__xludf.DUMMYFUNCTION("GOOGLETRANSLATE(H1752,""EN"",""ES"")"),"DISPOSITIVOS DE FIJACIÓN, SOPORTE O MONTAJE NO COMPRENDIDOS EN OTRAS CLASES")</f>
        <v>DISPOSITIVOS DE FIJACIÓN, SOPORTE O MONTAJE NO COMPRENDIDOS EN OTRAS CLASES</v>
      </c>
      <c r="L1752" s="5" t="str">
        <f ca="1">IFERROR(__xludf.DUMMYFUNCTION("GOOGLETRANSLATE(J1752,""EN"",""ES"")"),"Ventosas para fijación")</f>
        <v>Ventosas para fijación</v>
      </c>
      <c r="M1752" s="8" t="s">
        <v>26</v>
      </c>
      <c r="N1752" s="8"/>
    </row>
    <row r="1753" spans="1:14" ht="11.25" customHeight="1">
      <c r="A1753" s="5" t="s">
        <v>4139</v>
      </c>
      <c r="B1753" s="5" t="s">
        <v>5059</v>
      </c>
      <c r="C1753" s="5" t="s">
        <v>5119</v>
      </c>
      <c r="D1753" s="5" t="s">
        <v>4142</v>
      </c>
      <c r="E1753" s="5" t="s">
        <v>27</v>
      </c>
      <c r="F1753" s="5" t="s">
        <v>4143</v>
      </c>
      <c r="G1753" s="5" t="s">
        <v>4144</v>
      </c>
      <c r="H1753" s="5" t="s">
        <v>5061</v>
      </c>
      <c r="I1753" s="5" t="s">
        <v>5120</v>
      </c>
      <c r="J1753" s="5" t="s">
        <v>5121</v>
      </c>
      <c r="K1753" s="7" t="str">
        <f ca="1">IFERROR(__xludf.DUMMYFUNCTION("GOOGLETRANSLATE(H1753,""EN"",""ES"")"),"DISPOSITIVOS DE FIJACIÓN, SOPORTE O MONTAJE NO COMPRENDIDOS EN OTRAS CLASES")</f>
        <v>DISPOSITIVOS DE FIJACIÓN, SOPORTE O MONTAJE NO COMPRENDIDOS EN OTRAS CLASES</v>
      </c>
      <c r="L1753" s="5" t="str">
        <f ca="1">IFERROR(__xludf.DUMMYFUNCTION("GOOGLETRANSLATE(J1753,""EN"",""ES"")"),"Pernos")</f>
        <v>Pernos</v>
      </c>
      <c r="M1753" s="8" t="s">
        <v>26</v>
      </c>
      <c r="N1753" s="8"/>
    </row>
    <row r="1754" spans="1:14" ht="11.25" customHeight="1">
      <c r="A1754" s="5" t="s">
        <v>4139</v>
      </c>
      <c r="B1754" s="5" t="s">
        <v>5059</v>
      </c>
      <c r="C1754" s="5" t="s">
        <v>5122</v>
      </c>
      <c r="D1754" s="5" t="s">
        <v>4142</v>
      </c>
      <c r="E1754" s="5" t="s">
        <v>27</v>
      </c>
      <c r="F1754" s="5" t="s">
        <v>4143</v>
      </c>
      <c r="G1754" s="5" t="s">
        <v>4144</v>
      </c>
      <c r="H1754" s="5" t="s">
        <v>5061</v>
      </c>
      <c r="I1754" s="5" t="s">
        <v>5123</v>
      </c>
      <c r="J1754" s="5" t="s">
        <v>5124</v>
      </c>
      <c r="K1754" s="7" t="str">
        <f ca="1">IFERROR(__xludf.DUMMYFUNCTION("GOOGLETRANSLATE(H1754,""EN"",""ES"")"),"DISPOSITIVOS DE FIJACIÓN, SOPORTE O MONTAJE NO COMPRENDIDOS EN OTRAS CLASES")</f>
        <v>DISPOSITIVOS DE FIJACIÓN, SOPORTE O MONTAJE NO COMPRENDIDOS EN OTRAS CLASES</v>
      </c>
      <c r="L1754" s="5" t="str">
        <f ca="1">IFERROR(__xludf.DUMMYFUNCTION("GOOGLETRANSLATE(J1754,""EN"",""ES"")"),"pasadores de chaveta")</f>
        <v>pasadores de chaveta</v>
      </c>
      <c r="M1754" s="8" t="s">
        <v>26</v>
      </c>
      <c r="N1754" s="8"/>
    </row>
    <row r="1755" spans="1:14" ht="11.25" customHeight="1">
      <c r="A1755" s="5" t="s">
        <v>4139</v>
      </c>
      <c r="B1755" s="5" t="s">
        <v>5059</v>
      </c>
      <c r="C1755" s="5" t="s">
        <v>5125</v>
      </c>
      <c r="D1755" s="5" t="s">
        <v>4142</v>
      </c>
      <c r="E1755" s="5" t="s">
        <v>27</v>
      </c>
      <c r="F1755" s="5" t="s">
        <v>4143</v>
      </c>
      <c r="G1755" s="5" t="s">
        <v>4144</v>
      </c>
      <c r="H1755" s="5" t="s">
        <v>5061</v>
      </c>
      <c r="I1755" s="5" t="s">
        <v>5126</v>
      </c>
      <c r="J1755" s="5" t="s">
        <v>5127</v>
      </c>
      <c r="K1755" s="7" t="str">
        <f ca="1">IFERROR(__xludf.DUMMYFUNCTION("GOOGLETRANSLATE(H1755,""EN"",""ES"")"),"DISPOSITIVOS DE FIJACIÓN, SOPORTE O MONTAJE NO COMPRENDIDOS EN OTRAS CLASES")</f>
        <v>DISPOSITIVOS DE FIJACIÓN, SOPORTE O MONTAJE NO COMPRENDIDOS EN OTRAS CLASES</v>
      </c>
      <c r="L1755" s="5" t="str">
        <f ca="1">IFERROR(__xludf.DUMMYFUNCTION("GOOGLETRANSLATE(J1755,""EN"",""ES"")"),"Clavos")</f>
        <v>Clavos</v>
      </c>
      <c r="M1755" s="8" t="s">
        <v>26</v>
      </c>
      <c r="N1755" s="8"/>
    </row>
    <row r="1756" spans="1:14" ht="11.25" customHeight="1">
      <c r="A1756" s="5" t="s">
        <v>4139</v>
      </c>
      <c r="B1756" s="5" t="s">
        <v>5059</v>
      </c>
      <c r="C1756" s="5" t="s">
        <v>5128</v>
      </c>
      <c r="D1756" s="5" t="s">
        <v>4142</v>
      </c>
      <c r="E1756" s="5" t="s">
        <v>27</v>
      </c>
      <c r="F1756" s="5" t="s">
        <v>4143</v>
      </c>
      <c r="G1756" s="5" t="s">
        <v>4144</v>
      </c>
      <c r="H1756" s="5" t="s">
        <v>5061</v>
      </c>
      <c r="I1756" s="5" t="s">
        <v>5129</v>
      </c>
      <c r="J1756" s="5" t="s">
        <v>5130</v>
      </c>
      <c r="K1756" s="7" t="str">
        <f ca="1">IFERROR(__xludf.DUMMYFUNCTION("GOOGLETRANSLATE(H1756,""EN"",""ES"")"),"DISPOSITIVOS DE FIJACIÓN, SOPORTE O MONTAJE NO COMPRENDIDOS EN OTRAS CLASES")</f>
        <v>DISPOSITIVOS DE FIJACIÓN, SOPORTE O MONTAJE NO COMPRENDIDOS EN OTRAS CLASES</v>
      </c>
      <c r="L1756" s="5" t="str">
        <f ca="1">IFERROR(__xludf.DUMMYFUNCTION("GOOGLETRANSLATE(J1756,""EN"",""ES"")"),"clavos")</f>
        <v>clavos</v>
      </c>
      <c r="M1756" s="8" t="s">
        <v>26</v>
      </c>
      <c r="N1756" s="8"/>
    </row>
    <row r="1757" spans="1:14" ht="11.25" customHeight="1">
      <c r="A1757" s="5" t="s">
        <v>4139</v>
      </c>
      <c r="B1757" s="5" t="s">
        <v>5059</v>
      </c>
      <c r="C1757" s="5" t="s">
        <v>5131</v>
      </c>
      <c r="D1757" s="5" t="s">
        <v>4142</v>
      </c>
      <c r="E1757" s="5" t="s">
        <v>27</v>
      </c>
      <c r="F1757" s="5" t="s">
        <v>4143</v>
      </c>
      <c r="G1757" s="5" t="s">
        <v>4144</v>
      </c>
      <c r="H1757" s="5" t="s">
        <v>5061</v>
      </c>
      <c r="I1757" s="5" t="s">
        <v>5132</v>
      </c>
      <c r="J1757" s="5" t="s">
        <v>5133</v>
      </c>
      <c r="K1757" s="7" t="str">
        <f ca="1">IFERROR(__xludf.DUMMYFUNCTION("GOOGLETRANSLATE(H1757,""EN"",""ES"")"),"DISPOSITIVOS DE FIJACIÓN, SOPORTE O MONTAJE NO COMPRENDIDOS EN OTRAS CLASES")</f>
        <v>DISPOSITIVOS DE FIJACIÓN, SOPORTE O MONTAJE NO COMPRENDIDOS EN OTRAS CLASES</v>
      </c>
      <c r="L1757" s="5" t="str">
        <f ca="1">IFERROR(__xludf.DUMMYFUNCTION("GOOGLETRANSLATE(J1757,""EN"",""ES"")"),"Crampones de hielo para calzado [excepto para escalada]")</f>
        <v>Crampones de hielo para calzado [excepto para escalada]</v>
      </c>
      <c r="M1757" s="8" t="s">
        <v>26</v>
      </c>
      <c r="N1757" s="8"/>
    </row>
    <row r="1758" spans="1:14" ht="11.25" customHeight="1">
      <c r="A1758" s="5" t="s">
        <v>4139</v>
      </c>
      <c r="B1758" s="5" t="s">
        <v>5059</v>
      </c>
      <c r="C1758" s="5" t="s">
        <v>5134</v>
      </c>
      <c r="D1758" s="5" t="s">
        <v>4142</v>
      </c>
      <c r="E1758" s="5" t="s">
        <v>27</v>
      </c>
      <c r="F1758" s="5" t="s">
        <v>4143</v>
      </c>
      <c r="G1758" s="5" t="s">
        <v>4144</v>
      </c>
      <c r="H1758" s="5" t="s">
        <v>5061</v>
      </c>
      <c r="I1758" s="5" t="s">
        <v>5135</v>
      </c>
      <c r="J1758" s="5" t="s">
        <v>5136</v>
      </c>
      <c r="K1758" s="7" t="str">
        <f ca="1">IFERROR(__xludf.DUMMYFUNCTION("GOOGLETRANSLATE(H1758,""EN"",""ES"")"),"DISPOSITIVOS DE FIJACIÓN, SOPORTE O MONTAJE NO COMPRENDIDOS EN OTRAS CLASES")</f>
        <v>DISPOSITIVOS DE FIJACIÓN, SOPORTE O MONTAJE NO COMPRENDIDOS EN OTRAS CLASES</v>
      </c>
      <c r="L1758" s="5" t="str">
        <f ca="1">IFERROR(__xludf.DUMMYFUNCTION("GOOGLETRANSLATE(J1758,""EN"",""ES"")"),"Tuercas de tornillo")</f>
        <v>Tuercas de tornillo</v>
      </c>
      <c r="M1758" s="8" t="s">
        <v>26</v>
      </c>
      <c r="N1758" s="8"/>
    </row>
    <row r="1759" spans="1:14" ht="11.25" customHeight="1">
      <c r="A1759" s="5" t="s">
        <v>4139</v>
      </c>
      <c r="B1759" s="5" t="s">
        <v>5059</v>
      </c>
      <c r="C1759" s="5" t="s">
        <v>5137</v>
      </c>
      <c r="D1759" s="5" t="s">
        <v>4142</v>
      </c>
      <c r="E1759" s="5" t="s">
        <v>27</v>
      </c>
      <c r="F1759" s="5" t="s">
        <v>4143</v>
      </c>
      <c r="G1759" s="5" t="s">
        <v>4144</v>
      </c>
      <c r="H1759" s="5" t="s">
        <v>5061</v>
      </c>
      <c r="I1759" s="5" t="s">
        <v>5138</v>
      </c>
      <c r="J1759" s="5" t="s">
        <v>5139</v>
      </c>
      <c r="K1759" s="7" t="str">
        <f ca="1">IFERROR(__xludf.DUMMYFUNCTION("GOOGLETRANSLATE(H1759,""EN"",""ES"")"),"DISPOSITIVOS DE FIJACIÓN, SOPORTE O MONTAJE NO COMPRENDIDOS EN OTRAS CLASES")</f>
        <v>DISPOSITIVOS DE FIJACIÓN, SOPORTE O MONTAJE NO COMPRENDIDOS EN OTRAS CLASES</v>
      </c>
      <c r="L1759" s="5" t="str">
        <f ca="1">IFERROR(__xludf.DUMMYFUNCTION("GOOGLETRANSLATE(J1759,""EN"",""ES"")"),"tuercas de mariposa")</f>
        <v>tuercas de mariposa</v>
      </c>
      <c r="M1759" s="8" t="s">
        <v>26</v>
      </c>
      <c r="N1759" s="8"/>
    </row>
    <row r="1760" spans="1:14" ht="11.25" customHeight="1">
      <c r="A1760" s="5" t="s">
        <v>4139</v>
      </c>
      <c r="B1760" s="5" t="s">
        <v>5059</v>
      </c>
      <c r="C1760" s="5" t="s">
        <v>5140</v>
      </c>
      <c r="D1760" s="5" t="s">
        <v>4142</v>
      </c>
      <c r="E1760" s="5" t="s">
        <v>27</v>
      </c>
      <c r="F1760" s="5" t="s">
        <v>4143</v>
      </c>
      <c r="G1760" s="5" t="s">
        <v>4144</v>
      </c>
      <c r="H1760" s="5" t="s">
        <v>5061</v>
      </c>
      <c r="I1760" s="5" t="s">
        <v>5141</v>
      </c>
      <c r="J1760" s="5" t="s">
        <v>5142</v>
      </c>
      <c r="K1760" s="7" t="str">
        <f ca="1">IFERROR(__xludf.DUMMYFUNCTION("GOOGLETRANSLATE(H1760,""EN"",""ES"")"),"DISPOSITIVOS DE FIJACIÓN, SOPORTE O MONTAJE NO COMPRENDIDOS EN OTRAS CLASES")</f>
        <v>DISPOSITIVOS DE FIJACIÓN, SOPORTE O MONTAJE NO COMPRENDIDOS EN OTRAS CLASES</v>
      </c>
      <c r="L1760" s="5" t="str">
        <f ca="1">IFERROR(__xludf.DUMMYFUNCTION("GOOGLETRANSLATE(J1760,""EN"",""ES"")"),"Contratuercas")</f>
        <v>Contratuercas</v>
      </c>
      <c r="M1760" s="8" t="s">
        <v>26</v>
      </c>
      <c r="N1760" s="8"/>
    </row>
    <row r="1761" spans="1:14" ht="11.25" customHeight="1">
      <c r="A1761" s="5" t="s">
        <v>4139</v>
      </c>
      <c r="B1761" s="5" t="s">
        <v>5059</v>
      </c>
      <c r="C1761" s="5" t="s">
        <v>5143</v>
      </c>
      <c r="D1761" s="5" t="s">
        <v>4142</v>
      </c>
      <c r="E1761" s="5" t="s">
        <v>27</v>
      </c>
      <c r="F1761" s="5" t="s">
        <v>4143</v>
      </c>
      <c r="G1761" s="5" t="s">
        <v>4144</v>
      </c>
      <c r="H1761" s="5" t="s">
        <v>5061</v>
      </c>
      <c r="I1761" s="5" t="s">
        <v>5144</v>
      </c>
      <c r="J1761" s="5" t="s">
        <v>5145</v>
      </c>
      <c r="K1761" s="7" t="str">
        <f ca="1">IFERROR(__xludf.DUMMYFUNCTION("GOOGLETRANSLATE(H1761,""EN"",""ES"")"),"DISPOSITIVOS DE FIJACIÓN, SOPORTE O MONTAJE NO COMPRENDIDOS EN OTRAS CLASES")</f>
        <v>DISPOSITIVOS DE FIJACIÓN, SOPORTE O MONTAJE NO COMPRENDIDOS EN OTRAS CLASES</v>
      </c>
      <c r="L1761" s="5" t="str">
        <f ca="1">IFERROR(__xludf.DUMMYFUNCTION("GOOGLETRANSLATE(J1761,""EN"",""ES"")"),"Ejes")</f>
        <v>Ejes</v>
      </c>
      <c r="M1761" s="8" t="s">
        <v>26</v>
      </c>
      <c r="N1761" s="8"/>
    </row>
    <row r="1762" spans="1:14" ht="11.25" customHeight="1">
      <c r="A1762" s="5" t="s">
        <v>4139</v>
      </c>
      <c r="B1762" s="5" t="s">
        <v>5059</v>
      </c>
      <c r="C1762" s="5" t="s">
        <v>5146</v>
      </c>
      <c r="D1762" s="5" t="s">
        <v>4142</v>
      </c>
      <c r="E1762" s="5" t="s">
        <v>27</v>
      </c>
      <c r="F1762" s="5" t="s">
        <v>4143</v>
      </c>
      <c r="G1762" s="5" t="s">
        <v>4144</v>
      </c>
      <c r="H1762" s="5" t="s">
        <v>5061</v>
      </c>
      <c r="I1762" s="5" t="s">
        <v>5147</v>
      </c>
      <c r="J1762" s="5" t="s">
        <v>5148</v>
      </c>
      <c r="K1762" s="7" t="str">
        <f ca="1">IFERROR(__xludf.DUMMYFUNCTION("GOOGLETRANSLATE(H1762,""EN"",""ES"")"),"DISPOSITIVOS DE FIJACIÓN, SOPORTE O MONTAJE NO COMPRENDIDOS EN OTRAS CLASES")</f>
        <v>DISPOSITIVOS DE FIJACIÓN, SOPORTE O MONTAJE NO COMPRENDIDOS EN OTRAS CLASES</v>
      </c>
      <c r="L1762" s="5" t="str">
        <f ca="1">IFERROR(__xludf.DUMMYFUNCTION("GOOGLETRANSLATE(J1762,""EN"",""ES"")"),"tachuelas de hojalata")</f>
        <v>tachuelas de hojalata</v>
      </c>
      <c r="M1762" s="8" t="s">
        <v>26</v>
      </c>
      <c r="N1762" s="8"/>
    </row>
    <row r="1763" spans="1:14" ht="11.25" customHeight="1">
      <c r="A1763" s="5" t="s">
        <v>4139</v>
      </c>
      <c r="B1763" s="5" t="s">
        <v>5059</v>
      </c>
      <c r="C1763" s="5" t="s">
        <v>5149</v>
      </c>
      <c r="D1763" s="5" t="s">
        <v>4142</v>
      </c>
      <c r="E1763" s="5" t="s">
        <v>27</v>
      </c>
      <c r="F1763" s="5" t="s">
        <v>4143</v>
      </c>
      <c r="G1763" s="5" t="s">
        <v>4144</v>
      </c>
      <c r="H1763" s="5" t="s">
        <v>5061</v>
      </c>
      <c r="I1763" s="5" t="s">
        <v>5150</v>
      </c>
      <c r="J1763" s="5" t="s">
        <v>5151</v>
      </c>
      <c r="K1763" s="7" t="str">
        <f ca="1">IFERROR(__xludf.DUMMYFUNCTION("GOOGLETRANSLATE(H1763,""EN"",""ES"")"),"DISPOSITIVOS DE FIJACIÓN, SOPORTE O MONTAJE NO COMPRENDIDOS EN OTRAS CLASES")</f>
        <v>DISPOSITIVOS DE FIJACIÓN, SOPORTE O MONTAJE NO COMPRENDIDOS EN OTRAS CLASES</v>
      </c>
      <c r="L1763" s="5" t="str">
        <f ca="1">IFERROR(__xludf.DUMMYFUNCTION("GOOGLETRANSLATE(J1763,""EN"",""ES"")"),"Zapatillas con clavos")</f>
        <v>Zapatillas con clavos</v>
      </c>
      <c r="M1763" s="8" t="s">
        <v>26</v>
      </c>
      <c r="N1763" s="8"/>
    </row>
    <row r="1764" spans="1:14" ht="11.25" customHeight="1">
      <c r="A1764" s="5" t="s">
        <v>4139</v>
      </c>
      <c r="B1764" s="5" t="s">
        <v>5059</v>
      </c>
      <c r="C1764" s="5" t="s">
        <v>5152</v>
      </c>
      <c r="D1764" s="5" t="s">
        <v>4142</v>
      </c>
      <c r="E1764" s="5" t="s">
        <v>27</v>
      </c>
      <c r="F1764" s="5" t="s">
        <v>4143</v>
      </c>
      <c r="G1764" s="5" t="s">
        <v>4144</v>
      </c>
      <c r="H1764" s="5" t="s">
        <v>5061</v>
      </c>
      <c r="I1764" s="5" t="s">
        <v>5153</v>
      </c>
      <c r="J1764" s="5" t="s">
        <v>5153</v>
      </c>
      <c r="K1764" s="7" t="str">
        <f ca="1">IFERROR(__xludf.DUMMYFUNCTION("GOOGLETRANSLATE(H1764,""EN"",""ES"")"),"DISPOSITIVOS DE FIJACIÓN, SOPORTE O MONTAJE NO COMPRENDIDOS EN OTRAS CLASES")</f>
        <v>DISPOSITIVOS DE FIJACIÓN, SOPORTE O MONTAJE NO COMPRENDIDOS EN OTRAS CLASES</v>
      </c>
      <c r="L1764" s="5" t="str">
        <f ca="1">IFERROR(__xludf.DUMMYFUNCTION("GOOGLETRANSLATE(J1764,""EN"",""ES"")"),"Remaches")</f>
        <v>Remaches</v>
      </c>
      <c r="M1764" s="8" t="s">
        <v>26</v>
      </c>
      <c r="N1764" s="8"/>
    </row>
    <row r="1765" spans="1:14" ht="11.25" customHeight="1">
      <c r="A1765" s="5" t="s">
        <v>4139</v>
      </c>
      <c r="B1765" s="5" t="s">
        <v>5059</v>
      </c>
      <c r="C1765" s="5" t="s">
        <v>5154</v>
      </c>
      <c r="D1765" s="5" t="s">
        <v>4142</v>
      </c>
      <c r="E1765" s="5" t="s">
        <v>27</v>
      </c>
      <c r="F1765" s="5" t="s">
        <v>4143</v>
      </c>
      <c r="G1765" s="5" t="s">
        <v>4144</v>
      </c>
      <c r="H1765" s="5" t="s">
        <v>5061</v>
      </c>
      <c r="I1765" s="5" t="s">
        <v>5155</v>
      </c>
      <c r="J1765" s="5" t="s">
        <v>5156</v>
      </c>
      <c r="K1765" s="7" t="str">
        <f ca="1">IFERROR(__xludf.DUMMYFUNCTION("GOOGLETRANSLATE(H1765,""EN"",""ES"")"),"DISPOSITIVOS DE FIJACIÓN, SOPORTE O MONTAJE NO COMPRENDIDOS EN OTRAS CLASES")</f>
        <v>DISPOSITIVOS DE FIJACIÓN, SOPORTE O MONTAJE NO COMPRENDIDOS EN OTRAS CLASES</v>
      </c>
      <c r="L1765" s="5" t="str">
        <f ca="1">IFERROR(__xludf.DUMMYFUNCTION("GOOGLETRANSLATE(J1765,""EN"",""ES"")"),"Arandelas para tornillos")</f>
        <v>Arandelas para tornillos</v>
      </c>
      <c r="M1765" s="8" t="s">
        <v>26</v>
      </c>
      <c r="N1765" s="8"/>
    </row>
    <row r="1766" spans="1:14" ht="11.25" customHeight="1">
      <c r="A1766" s="5" t="s">
        <v>4139</v>
      </c>
      <c r="B1766" s="5" t="s">
        <v>5059</v>
      </c>
      <c r="C1766" s="5" t="s">
        <v>5157</v>
      </c>
      <c r="D1766" s="5" t="s">
        <v>4142</v>
      </c>
      <c r="E1766" s="5" t="s">
        <v>27</v>
      </c>
      <c r="F1766" s="5" t="s">
        <v>4143</v>
      </c>
      <c r="G1766" s="5" t="s">
        <v>4144</v>
      </c>
      <c r="H1766" s="5" t="s">
        <v>5061</v>
      </c>
      <c r="I1766" s="5" t="s">
        <v>5158</v>
      </c>
      <c r="J1766" s="5" t="s">
        <v>5159</v>
      </c>
      <c r="K1766" s="7" t="str">
        <f ca="1">IFERROR(__xludf.DUMMYFUNCTION("GOOGLETRANSLATE(H1766,""EN"",""ES"")"),"DISPOSITIVOS DE FIJACIÓN, SOPORTE O MONTAJE NO COMPRENDIDOS EN OTRAS CLASES")</f>
        <v>DISPOSITIVOS DE FIJACIÓN, SOPORTE O MONTAJE NO COMPRENDIDOS EN OTRAS CLASES</v>
      </c>
      <c r="L1766" s="5" t="str">
        <f ca="1">IFERROR(__xludf.DUMMYFUNCTION("GOOGLETRANSLATE(J1766,""EN"",""ES"")"),"Pernos de cimentación")</f>
        <v>Pernos de cimentación</v>
      </c>
      <c r="M1766" s="8" t="s">
        <v>26</v>
      </c>
      <c r="N1766" s="8"/>
    </row>
    <row r="1767" spans="1:14" ht="11.25" customHeight="1">
      <c r="A1767" s="5" t="s">
        <v>4139</v>
      </c>
      <c r="B1767" s="5" t="s">
        <v>5059</v>
      </c>
      <c r="C1767" s="5" t="s">
        <v>5160</v>
      </c>
      <c r="D1767" s="5" t="s">
        <v>4142</v>
      </c>
      <c r="E1767" s="5" t="s">
        <v>27</v>
      </c>
      <c r="F1767" s="5" t="s">
        <v>4143</v>
      </c>
      <c r="G1767" s="5" t="s">
        <v>4144</v>
      </c>
      <c r="H1767" s="5" t="s">
        <v>5061</v>
      </c>
      <c r="I1767" s="5" t="s">
        <v>5161</v>
      </c>
      <c r="J1767" s="5" t="s">
        <v>5162</v>
      </c>
      <c r="K1767" s="7" t="str">
        <f ca="1">IFERROR(__xludf.DUMMYFUNCTION("GOOGLETRANSLATE(H1767,""EN"",""ES"")"),"DISPOSITIVOS DE FIJACIÓN, SOPORTE O MONTAJE NO COMPRENDIDOS EN OTRAS CLASES")</f>
        <v>DISPOSITIVOS DE FIJACIÓN, SOPORTE O MONTAJE NO COMPRENDIDOS EN OTRAS CLASES</v>
      </c>
      <c r="L1767" s="5" t="str">
        <f ca="1">IFERROR(__xludf.DUMMYFUNCTION("GOOGLETRANSLATE(J1767,""EN"",""ES"")"),"Tornillos")</f>
        <v>Tornillos</v>
      </c>
      <c r="M1767" s="8" t="s">
        <v>26</v>
      </c>
      <c r="N1767" s="8"/>
    </row>
    <row r="1768" spans="1:14" ht="11.25" customHeight="1">
      <c r="A1768" s="5" t="s">
        <v>4139</v>
      </c>
      <c r="B1768" s="5" t="s">
        <v>5059</v>
      </c>
      <c r="C1768" s="5" t="s">
        <v>5163</v>
      </c>
      <c r="D1768" s="5" t="s">
        <v>4142</v>
      </c>
      <c r="E1768" s="5" t="s">
        <v>27</v>
      </c>
      <c r="F1768" s="5" t="s">
        <v>4143</v>
      </c>
      <c r="G1768" s="5" t="s">
        <v>4144</v>
      </c>
      <c r="H1768" s="5" t="s">
        <v>5061</v>
      </c>
      <c r="I1768" s="5" t="s">
        <v>5164</v>
      </c>
      <c r="J1768" s="5" t="s">
        <v>5165</v>
      </c>
      <c r="K1768" s="7" t="str">
        <f ca="1">IFERROR(__xludf.DUMMYFUNCTION("GOOGLETRANSLATE(H1768,""EN"",""ES"")"),"DISPOSITIVOS DE FIJACIÓN, SOPORTE O MONTAJE NO COMPRENDIDOS EN OTRAS CLASES")</f>
        <v>DISPOSITIVOS DE FIJACIÓN, SOPORTE O MONTAJE NO COMPRENDIDOS EN OTRAS CLASES</v>
      </c>
      <c r="L1768" s="5" t="str">
        <f ca="1">IFERROR(__xludf.DUMMYFUNCTION("GOOGLETRANSLATE(J1768,""EN"",""ES"")"),"Collarines para conductores eléctricos.")</f>
        <v>Collarines para conductores eléctricos.</v>
      </c>
      <c r="M1768" s="8" t="s">
        <v>26</v>
      </c>
      <c r="N1768" s="8"/>
    </row>
    <row r="1769" spans="1:14" ht="11.25" customHeight="1">
      <c r="A1769" s="5" t="s">
        <v>4139</v>
      </c>
      <c r="B1769" s="5" t="s">
        <v>5059</v>
      </c>
      <c r="C1769" s="5" t="s">
        <v>5166</v>
      </c>
      <c r="D1769" s="5" t="s">
        <v>4142</v>
      </c>
      <c r="E1769" s="5" t="s">
        <v>27</v>
      </c>
      <c r="F1769" s="5" t="s">
        <v>4143</v>
      </c>
      <c r="G1769" s="5" t="s">
        <v>4144</v>
      </c>
      <c r="H1769" s="5" t="s">
        <v>5061</v>
      </c>
      <c r="I1769" s="5" t="s">
        <v>5167</v>
      </c>
      <c r="J1769" s="5" t="s">
        <v>5168</v>
      </c>
      <c r="K1769" s="7" t="str">
        <f ca="1">IFERROR(__xludf.DUMMYFUNCTION("GOOGLETRANSLATE(H1769,""EN"",""ES"")"),"DISPOSITIVOS DE FIJACIÓN, SOPORTE O MONTAJE NO COMPRENDIDOS EN OTRAS CLASES")</f>
        <v>DISPOSITIVOS DE FIJACIÓN, SOPORTE O MONTAJE NO COMPRENDIDOS EN OTRAS CLASES</v>
      </c>
      <c r="L1769" s="5" t="str">
        <f ca="1">IFERROR(__xludf.DUMMYFUNCTION("GOOGLETRANSLATE(J1769,""EN"",""ES"")"),"Collares para tuberías")</f>
        <v>Collares para tuberías</v>
      </c>
      <c r="M1769" s="8" t="s">
        <v>26</v>
      </c>
      <c r="N1769" s="8"/>
    </row>
    <row r="1770" spans="1:14" ht="11.25" customHeight="1">
      <c r="A1770" s="5" t="s">
        <v>4139</v>
      </c>
      <c r="B1770" s="5" t="s">
        <v>5059</v>
      </c>
      <c r="C1770" s="5" t="s">
        <v>5169</v>
      </c>
      <c r="D1770" s="5" t="s">
        <v>4142</v>
      </c>
      <c r="E1770" s="5" t="s">
        <v>27</v>
      </c>
      <c r="F1770" s="5" t="s">
        <v>4143</v>
      </c>
      <c r="G1770" s="5" t="s">
        <v>4144</v>
      </c>
      <c r="H1770" s="5" t="s">
        <v>5061</v>
      </c>
      <c r="I1770" s="5" t="s">
        <v>5170</v>
      </c>
      <c r="J1770" s="5" t="s">
        <v>5171</v>
      </c>
      <c r="K1770" s="7" t="str">
        <f ca="1">IFERROR(__xludf.DUMMYFUNCTION("GOOGLETRANSLATE(H1770,""EN"",""ES"")"),"DISPOSITIVOS DE FIJACIÓN, SOPORTE O MONTAJE NO COMPRENDIDOS EN OTRAS CLASES")</f>
        <v>DISPOSITIVOS DE FIJACIÓN, SOPORTE O MONTAJE NO COMPRENDIDOS EN OTRAS CLASES</v>
      </c>
      <c r="L1770" s="5" t="str">
        <f ca="1">IFERROR(__xludf.DUMMYFUNCTION("GOOGLETRANSLATE(J1770,""EN"",""ES"")"),"Tornillos para traviesas de ferrocarril")</f>
        <v>Tornillos para traviesas de ferrocarril</v>
      </c>
      <c r="M1770" s="8" t="s">
        <v>26</v>
      </c>
      <c r="N1770" s="8"/>
    </row>
    <row r="1771" spans="1:14" ht="11.25" customHeight="1">
      <c r="A1771" s="5" t="s">
        <v>4139</v>
      </c>
      <c r="B1771" s="5" t="s">
        <v>5059</v>
      </c>
      <c r="C1771" s="5" t="s">
        <v>5169</v>
      </c>
      <c r="D1771" s="5" t="s">
        <v>4142</v>
      </c>
      <c r="E1771" s="5" t="s">
        <v>27</v>
      </c>
      <c r="F1771" s="5" t="s">
        <v>4143</v>
      </c>
      <c r="G1771" s="5" t="s">
        <v>4144</v>
      </c>
      <c r="H1771" s="5" t="s">
        <v>5061</v>
      </c>
      <c r="I1771" s="5" t="s">
        <v>5172</v>
      </c>
      <c r="J1771" s="5" t="s">
        <v>152</v>
      </c>
      <c r="K1771" s="7" t="str">
        <f ca="1">IFERROR(__xludf.DUMMYFUNCTION("GOOGLETRANSLATE(H1771,""EN"",""ES"")"),"DISPOSITIVOS DE FIJACIÓN, SOPORTE O MONTAJE NO COMPRENDIDOS EN OTRAS CLASES")</f>
        <v>DISPOSITIVOS DE FIJACIÓN, SOPORTE O MONTAJE NO COMPRENDIDOS EN OTRAS CLASES</v>
      </c>
      <c r="L1771" s="5" t="str">
        <f ca="1">IFERROR(__xludf.DUMMYFUNCTION("GOOGLETRANSLATE(J1771,""EN"",""ES"")"),"Tirantes de ferrocarril")</f>
        <v>Tirantes de ferrocarril</v>
      </c>
      <c r="M1771" s="8" t="s">
        <v>26</v>
      </c>
      <c r="N1771" s="8"/>
    </row>
    <row r="1772" spans="1:14" ht="11.25" customHeight="1">
      <c r="A1772" s="5" t="s">
        <v>4139</v>
      </c>
      <c r="B1772" s="5" t="s">
        <v>5059</v>
      </c>
      <c r="C1772" s="5" t="s">
        <v>5173</v>
      </c>
      <c r="D1772" s="5" t="s">
        <v>4142</v>
      </c>
      <c r="E1772" s="5" t="s">
        <v>27</v>
      </c>
      <c r="F1772" s="5" t="s">
        <v>4143</v>
      </c>
      <c r="G1772" s="5" t="s">
        <v>4144</v>
      </c>
      <c r="H1772" s="5" t="s">
        <v>5061</v>
      </c>
      <c r="I1772" s="5" t="s">
        <v>5174</v>
      </c>
      <c r="J1772" s="5" t="s">
        <v>5175</v>
      </c>
      <c r="K1772" s="7" t="str">
        <f ca="1">IFERROR(__xludf.DUMMYFUNCTION("GOOGLETRANSLATE(H1772,""EN"",""ES"")"),"DISPOSITIVOS DE FIJACIÓN, SOPORTE O MONTAJE NO COMPRENDIDOS EN OTRAS CLASES")</f>
        <v>DISPOSITIVOS DE FIJACIÓN, SOPORTE O MONTAJE NO COMPRENDIDOS EN OTRAS CLASES</v>
      </c>
      <c r="L1772" s="5" t="str">
        <f ca="1">IFERROR(__xludf.DUMMYFUNCTION("GOOGLETRANSLATE(J1772,""EN"",""ES"")"),"Clips de sujeción para cables")</f>
        <v>Clips de sujeción para cables</v>
      </c>
      <c r="M1772" s="8" t="s">
        <v>26</v>
      </c>
      <c r="N1772" s="8"/>
    </row>
    <row r="1773" spans="1:14" ht="11.25" customHeight="1">
      <c r="A1773" s="5" t="s">
        <v>4139</v>
      </c>
      <c r="B1773" s="5" t="s">
        <v>5059</v>
      </c>
      <c r="C1773" s="5" t="s">
        <v>5176</v>
      </c>
      <c r="D1773" s="5" t="s">
        <v>4142</v>
      </c>
      <c r="E1773" s="5" t="s">
        <v>27</v>
      </c>
      <c r="F1773" s="5" t="s">
        <v>4143</v>
      </c>
      <c r="G1773" s="5" t="s">
        <v>4144</v>
      </c>
      <c r="H1773" s="5" t="s">
        <v>5061</v>
      </c>
      <c r="I1773" s="5" t="s">
        <v>5177</v>
      </c>
      <c r="J1773" s="5" t="s">
        <v>5178</v>
      </c>
      <c r="K1773" s="7" t="str">
        <f ca="1">IFERROR(__xludf.DUMMYFUNCTION("GOOGLETRANSLATE(H1773,""EN"",""ES"")"),"DISPOSITIVOS DE FIJACIÓN, SOPORTE O MONTAJE NO COMPRENDIDOS EN OTRAS CLASES")</f>
        <v>DISPOSITIVOS DE FIJACIÓN, SOPORTE O MONTAJE NO COMPRENDIDOS EN OTRAS CLASES</v>
      </c>
      <c r="L1773" s="5" t="str">
        <f ca="1">IFERROR(__xludf.DUMMYFUNCTION("GOOGLETRANSLATE(J1773,""EN"",""ES"")"),"Soportes de ducha")</f>
        <v>Soportes de ducha</v>
      </c>
      <c r="M1773" s="8" t="s">
        <v>26</v>
      </c>
      <c r="N1773" s="8"/>
    </row>
    <row r="1774" spans="1:14" ht="11.25" customHeight="1">
      <c r="A1774" s="5" t="s">
        <v>4139</v>
      </c>
      <c r="B1774" s="5" t="s">
        <v>5059</v>
      </c>
      <c r="C1774" s="5" t="s">
        <v>5176</v>
      </c>
      <c r="D1774" s="5" t="s">
        <v>4142</v>
      </c>
      <c r="E1774" s="5" t="s">
        <v>27</v>
      </c>
      <c r="F1774" s="5" t="s">
        <v>4143</v>
      </c>
      <c r="G1774" s="5" t="s">
        <v>4144</v>
      </c>
      <c r="H1774" s="5" t="s">
        <v>5061</v>
      </c>
      <c r="I1774" s="5" t="s">
        <v>5179</v>
      </c>
      <c r="J1774" s="5" t="s">
        <v>152</v>
      </c>
      <c r="K1774" s="7" t="str">
        <f ca="1">IFERROR(__xludf.DUMMYFUNCTION("GOOGLETRANSLATE(H1774,""EN"",""ES"")"),"DISPOSITIVOS DE FIJACIÓN, SOPORTE O MONTAJE NO COMPRENDIDOS EN OTRAS CLASES")</f>
        <v>DISPOSITIVOS DE FIJACIÓN, SOPORTE O MONTAJE NO COMPRENDIDOS EN OTRAS CLASES</v>
      </c>
      <c r="L1774" s="5" t="str">
        <f ca="1">IFERROR(__xludf.DUMMYFUNCTION("GOOGLETRANSLATE(J1774,""EN"",""ES"")"),"Soportes para duchas")</f>
        <v>Soportes para duchas</v>
      </c>
      <c r="M1774" s="8" t="s">
        <v>26</v>
      </c>
      <c r="N1774" s="8"/>
    </row>
    <row r="1775" spans="1:14" ht="11.25" customHeight="1">
      <c r="A1775" s="5" t="s">
        <v>4139</v>
      </c>
      <c r="B1775" s="5" t="s">
        <v>5059</v>
      </c>
      <c r="C1775" s="5" t="s">
        <v>5180</v>
      </c>
      <c r="D1775" s="5" t="s">
        <v>4142</v>
      </c>
      <c r="E1775" s="5" t="s">
        <v>27</v>
      </c>
      <c r="F1775" s="5" t="s">
        <v>4143</v>
      </c>
      <c r="G1775" s="5" t="s">
        <v>4144</v>
      </c>
      <c r="H1775" s="5" t="s">
        <v>5061</v>
      </c>
      <c r="I1775" s="5" t="s">
        <v>5181</v>
      </c>
      <c r="J1775" s="5" t="s">
        <v>5182</v>
      </c>
      <c r="K1775" s="7" t="str">
        <f ca="1">IFERROR(__xludf.DUMMYFUNCTION("GOOGLETRANSLATE(H1775,""EN"",""ES"")"),"DISPOSITIVOS DE FIJACIÓN, SOPORTE O MONTAJE NO COMPRENDIDOS EN OTRAS CLASES")</f>
        <v>DISPOSITIVOS DE FIJACIÓN, SOPORTE O MONTAJE NO COMPRENDIDOS EN OTRAS CLASES</v>
      </c>
      <c r="L1775" s="5" t="str">
        <f ca="1">IFERROR(__xludf.DUMMYFUNCTION("GOOGLETRANSLATE(J1775,""EN"",""ES"")"),"Giratorios de cadena")</f>
        <v>Giratorios de cadena</v>
      </c>
      <c r="M1775" s="8" t="s">
        <v>26</v>
      </c>
      <c r="N1775" s="8"/>
    </row>
    <row r="1776" spans="1:14" ht="11.25" customHeight="1">
      <c r="A1776" s="5" t="s">
        <v>4139</v>
      </c>
      <c r="B1776" s="5" t="s">
        <v>5059</v>
      </c>
      <c r="C1776" s="5" t="s">
        <v>5183</v>
      </c>
      <c r="D1776" s="5" t="s">
        <v>4142</v>
      </c>
      <c r="E1776" s="5" t="s">
        <v>27</v>
      </c>
      <c r="F1776" s="5" t="s">
        <v>4143</v>
      </c>
      <c r="G1776" s="5" t="s">
        <v>4144</v>
      </c>
      <c r="H1776" s="5" t="s">
        <v>5061</v>
      </c>
      <c r="I1776" s="5" t="s">
        <v>5184</v>
      </c>
      <c r="J1776" s="5" t="s">
        <v>5185</v>
      </c>
      <c r="K1776" s="7" t="str">
        <f ca="1">IFERROR(__xludf.DUMMYFUNCTION("GOOGLETRANSLATE(H1776,""EN"",""ES"")"),"DISPOSITIVOS DE FIJACIÓN, SOPORTE O MONTAJE NO COMPRENDIDOS EN OTRAS CLASES")</f>
        <v>DISPOSITIVOS DE FIJACIÓN, SOPORTE O MONTAJE NO COMPRENDIDOS EN OTRAS CLASES</v>
      </c>
      <c r="L1776" s="5" t="str">
        <f ca="1">IFERROR(__xludf.DUMMYFUNCTION("GOOGLETRANSLATE(J1776,""EN"",""ES"")"),"Accesorios para duchas")</f>
        <v>Accesorios para duchas</v>
      </c>
      <c r="M1776" s="8" t="s">
        <v>26</v>
      </c>
      <c r="N1776" s="8"/>
    </row>
    <row r="1777" spans="1:14" ht="11.25" customHeight="1">
      <c r="A1777" s="5" t="s">
        <v>4139</v>
      </c>
      <c r="B1777" s="5" t="s">
        <v>5059</v>
      </c>
      <c r="C1777" s="5" t="s">
        <v>5186</v>
      </c>
      <c r="D1777" s="5" t="s">
        <v>4142</v>
      </c>
      <c r="E1777" s="5" t="s">
        <v>27</v>
      </c>
      <c r="F1777" s="5" t="s">
        <v>4143</v>
      </c>
      <c r="G1777" s="5" t="s">
        <v>4144</v>
      </c>
      <c r="H1777" s="5" t="s">
        <v>5061</v>
      </c>
      <c r="I1777" s="5" t="s">
        <v>5187</v>
      </c>
      <c r="J1777" s="5" t="s">
        <v>5188</v>
      </c>
      <c r="K1777" s="7" t="str">
        <f ca="1">IFERROR(__xludf.DUMMYFUNCTION("GOOGLETRANSLATE(H1777,""EN"",""ES"")"),"DISPOSITIVOS DE FIJACIÓN, SOPORTE O MONTAJE NO COMPRENDIDOS EN OTRAS CLASES")</f>
        <v>DISPOSITIVOS DE FIJACIÓN, SOPORTE O MONTAJE NO COMPRENDIDOS EN OTRAS CLASES</v>
      </c>
      <c r="L1777" s="5" t="str">
        <f ca="1">IFERROR(__xludf.DUMMYFUNCTION("GOOGLETRANSLATE(J1777,""EN"",""ES"")"),"Hierros angulares para cama")</f>
        <v>Hierros angulares para cama</v>
      </c>
      <c r="M1777" s="8" t="s">
        <v>26</v>
      </c>
      <c r="N1777" s="8"/>
    </row>
    <row r="1778" spans="1:14" ht="11.25" customHeight="1">
      <c r="A1778" s="5" t="s">
        <v>4139</v>
      </c>
      <c r="B1778" s="5" t="s">
        <v>5059</v>
      </c>
      <c r="C1778" s="5" t="s">
        <v>5189</v>
      </c>
      <c r="D1778" s="5" t="s">
        <v>4142</v>
      </c>
      <c r="E1778" s="5" t="s">
        <v>27</v>
      </c>
      <c r="F1778" s="5" t="s">
        <v>4143</v>
      </c>
      <c r="G1778" s="5" t="s">
        <v>4144</v>
      </c>
      <c r="H1778" s="5" t="s">
        <v>5061</v>
      </c>
      <c r="I1778" s="5" t="s">
        <v>5190</v>
      </c>
      <c r="J1778" s="5" t="s">
        <v>5191</v>
      </c>
      <c r="K1778" s="7" t="str">
        <f ca="1">IFERROR(__xludf.DUMMYFUNCTION("GOOGLETRANSLATE(H1778,""EN"",""ES"")"),"DISPOSITIVOS DE FIJACIÓN, SOPORTE O MONTAJE NO COMPRENDIDOS EN OTRAS CLASES")</f>
        <v>DISPOSITIVOS DE FIJACIÓN, SOPORTE O MONTAJE NO COMPRENDIDOS EN OTRAS CLASES</v>
      </c>
      <c r="L1778" s="5" t="str">
        <f ca="1">IFERROR(__xludf.DUMMYFUNCTION("GOOGLETRANSLATE(J1778,""EN"",""ES"")"),"Portacorbatas [armario]")</f>
        <v>Portacorbatas [armario]</v>
      </c>
      <c r="M1778" s="8" t="s">
        <v>26</v>
      </c>
      <c r="N1778" s="8"/>
    </row>
    <row r="1779" spans="1:14" ht="11.25" customHeight="1">
      <c r="A1779" s="5" t="s">
        <v>4139</v>
      </c>
      <c r="B1779" s="5" t="s">
        <v>5059</v>
      </c>
      <c r="C1779" s="5" t="s">
        <v>5192</v>
      </c>
      <c r="D1779" s="5" t="s">
        <v>4142</v>
      </c>
      <c r="E1779" s="5" t="s">
        <v>27</v>
      </c>
      <c r="F1779" s="5" t="s">
        <v>4143</v>
      </c>
      <c r="G1779" s="5" t="s">
        <v>4144</v>
      </c>
      <c r="H1779" s="5" t="s">
        <v>5061</v>
      </c>
      <c r="I1779" s="5" t="s">
        <v>5193</v>
      </c>
      <c r="J1779" s="5" t="s">
        <v>5194</v>
      </c>
      <c r="K1779" s="7" t="str">
        <f ca="1">IFERROR(__xludf.DUMMYFUNCTION("GOOGLETRANSLATE(H1779,""EN"",""ES"")"),"DISPOSITIVOS DE FIJACIÓN, SOPORTE O MONTAJE NO COMPRENDIDOS EN OTRAS CLASES")</f>
        <v>DISPOSITIVOS DE FIJACIÓN, SOPORTE O MONTAJE NO COMPRENDIDOS EN OTRAS CLASES</v>
      </c>
      <c r="L1779" s="5" t="str">
        <f ca="1">IFERROR(__xludf.DUMMYFUNCTION("GOOGLETRANSLATE(J1779,""EN"",""ES"")"),"lavadoras belleville")</f>
        <v>lavadoras belleville</v>
      </c>
      <c r="M1779" s="8" t="s">
        <v>26</v>
      </c>
      <c r="N1779" s="8"/>
    </row>
    <row r="1780" spans="1:14" ht="11.25" customHeight="1">
      <c r="A1780" s="5" t="s">
        <v>4139</v>
      </c>
      <c r="B1780" s="5" t="s">
        <v>5059</v>
      </c>
      <c r="C1780" s="5" t="s">
        <v>5195</v>
      </c>
      <c r="D1780" s="5" t="s">
        <v>4142</v>
      </c>
      <c r="E1780" s="5" t="s">
        <v>27</v>
      </c>
      <c r="F1780" s="5" t="s">
        <v>4143</v>
      </c>
      <c r="G1780" s="5" t="s">
        <v>4144</v>
      </c>
      <c r="H1780" s="5" t="s">
        <v>5061</v>
      </c>
      <c r="I1780" s="5" t="s">
        <v>5196</v>
      </c>
      <c r="J1780" s="5" t="s">
        <v>5197</v>
      </c>
      <c r="K1780" s="7" t="str">
        <f ca="1">IFERROR(__xludf.DUMMYFUNCTION("GOOGLETRANSLATE(H1780,""EN"",""ES"")"),"DISPOSITIVOS DE FIJACIÓN, SOPORTE O MONTAJE NO COMPRENDIDOS EN OTRAS CLASES")</f>
        <v>DISPOSITIVOS DE FIJACIÓN, SOPORTE O MONTAJE NO COMPRENDIDOS EN OTRAS CLASES</v>
      </c>
      <c r="L1780" s="5" t="str">
        <f ca="1">IFERROR(__xludf.DUMMYFUNCTION("GOOGLETRANSLATE(J1780,""EN"",""ES"")"),"Abrazaderas para cables [tacos] [no eléctricas]")</f>
        <v>Abrazaderas para cables [tacos] [no eléctricas]</v>
      </c>
      <c r="M1780" s="8" t="s">
        <v>26</v>
      </c>
      <c r="N1780" s="8"/>
    </row>
    <row r="1781" spans="1:14" ht="11.25" customHeight="1">
      <c r="A1781" s="5" t="s">
        <v>4139</v>
      </c>
      <c r="B1781" s="5" t="s">
        <v>5059</v>
      </c>
      <c r="C1781" s="5" t="s">
        <v>5198</v>
      </c>
      <c r="D1781" s="5" t="s">
        <v>4142</v>
      </c>
      <c r="E1781" s="5" t="s">
        <v>27</v>
      </c>
      <c r="F1781" s="5" t="s">
        <v>4143</v>
      </c>
      <c r="G1781" s="5" t="s">
        <v>4144</v>
      </c>
      <c r="H1781" s="5" t="s">
        <v>5061</v>
      </c>
      <c r="I1781" s="5" t="s">
        <v>5199</v>
      </c>
      <c r="J1781" s="5" t="s">
        <v>5200</v>
      </c>
      <c r="K1781" s="7" t="str">
        <f ca="1">IFERROR(__xludf.DUMMYFUNCTION("GOOGLETRANSLATE(H1781,""EN"",""ES"")"),"DISPOSITIVOS DE FIJACIÓN, SOPORTE O MONTAJE NO COMPRENDIDOS EN OTRAS CLASES")</f>
        <v>DISPOSITIVOS DE FIJACIÓN, SOPORTE O MONTAJE NO COMPRENDIDOS EN OTRAS CLASES</v>
      </c>
      <c r="L1781" s="5" t="str">
        <f ca="1">IFERROR(__xludf.DUMMYFUNCTION("GOOGLETRANSLATE(J1781,""EN"",""ES"")"),"Soportes para radiadores de calefacción central")</f>
        <v>Soportes para radiadores de calefacción central</v>
      </c>
      <c r="M1781" s="8" t="s">
        <v>26</v>
      </c>
      <c r="N1781" s="8"/>
    </row>
    <row r="1782" spans="1:14" ht="11.25" customHeight="1">
      <c r="A1782" s="5" t="s">
        <v>4139</v>
      </c>
      <c r="B1782" s="5" t="s">
        <v>5059</v>
      </c>
      <c r="C1782" s="5" t="s">
        <v>5201</v>
      </c>
      <c r="D1782" s="5" t="s">
        <v>4142</v>
      </c>
      <c r="E1782" s="5" t="s">
        <v>27</v>
      </c>
      <c r="F1782" s="5" t="s">
        <v>4143</v>
      </c>
      <c r="G1782" s="5" t="s">
        <v>4144</v>
      </c>
      <c r="H1782" s="5" t="s">
        <v>5061</v>
      </c>
      <c r="I1782" s="5" t="s">
        <v>5202</v>
      </c>
      <c r="J1782" s="5" t="s">
        <v>5203</v>
      </c>
      <c r="K1782" s="7" t="str">
        <f ca="1">IFERROR(__xludf.DUMMYFUNCTION("GOOGLETRANSLATE(H1782,""EN"",""ES"")"),"DISPOSITIVOS DE FIJACIÓN, SOPORTE O MONTAJE NO COMPRENDIDOS EN OTRAS CLASES")</f>
        <v>DISPOSITIVOS DE FIJACIÓN, SOPORTE O MONTAJE NO COMPRENDIDOS EN OTRAS CLASES</v>
      </c>
      <c r="L1782" s="5" t="str">
        <f ca="1">IFERROR(__xludf.DUMMYFUNCTION("GOOGLETRANSLATE(J1782,""EN"",""ES"")"),"Bastidores de pared para canoas")</f>
        <v>Bastidores de pared para canoas</v>
      </c>
      <c r="M1782" s="8" t="s">
        <v>26</v>
      </c>
      <c r="N1782" s="8"/>
    </row>
    <row r="1783" spans="1:14" ht="11.25" customHeight="1">
      <c r="A1783" s="5" t="s">
        <v>4139</v>
      </c>
      <c r="B1783" s="5" t="s">
        <v>5059</v>
      </c>
      <c r="C1783" s="5" t="s">
        <v>5204</v>
      </c>
      <c r="D1783" s="5" t="s">
        <v>4142</v>
      </c>
      <c r="E1783" s="5" t="s">
        <v>27</v>
      </c>
      <c r="F1783" s="5" t="s">
        <v>4143</v>
      </c>
      <c r="G1783" s="5" t="s">
        <v>4144</v>
      </c>
      <c r="H1783" s="5" t="s">
        <v>5061</v>
      </c>
      <c r="I1783" s="5" t="s">
        <v>5205</v>
      </c>
      <c r="J1783" s="5" t="s">
        <v>5206</v>
      </c>
      <c r="K1783" s="7" t="str">
        <f ca="1">IFERROR(__xludf.DUMMYFUNCTION("GOOGLETRANSLATE(H1783,""EN"",""ES"")"),"DISPOSITIVOS DE FIJACIÓN, SOPORTE O MONTAJE NO COMPRENDIDOS EN OTRAS CLASES")</f>
        <v>DISPOSITIVOS DE FIJACIÓN, SOPORTE O MONTAJE NO COMPRENDIDOS EN OTRAS CLASES</v>
      </c>
      <c r="L1783" s="5" t="str">
        <f ca="1">IFERROR(__xludf.DUMMYFUNCTION("GOOGLETRANSLATE(J1783,""EN"",""ES"")"),"Portaesquís de pared")</f>
        <v>Portaesquís de pared</v>
      </c>
      <c r="M1783" s="8" t="s">
        <v>26</v>
      </c>
      <c r="N1783" s="8"/>
    </row>
    <row r="1784" spans="1:14" ht="11.25" customHeight="1">
      <c r="A1784" s="5" t="s">
        <v>4139</v>
      </c>
      <c r="B1784" s="5" t="s">
        <v>5059</v>
      </c>
      <c r="C1784" s="5" t="s">
        <v>5207</v>
      </c>
      <c r="D1784" s="5" t="s">
        <v>4142</v>
      </c>
      <c r="E1784" s="5" t="s">
        <v>27</v>
      </c>
      <c r="F1784" s="5" t="s">
        <v>4143</v>
      </c>
      <c r="G1784" s="5" t="s">
        <v>4144</v>
      </c>
      <c r="H1784" s="5" t="s">
        <v>5061</v>
      </c>
      <c r="I1784" s="5" t="s">
        <v>5208</v>
      </c>
      <c r="J1784" s="5" t="s">
        <v>5209</v>
      </c>
      <c r="K1784" s="7" t="str">
        <f ca="1">IFERROR(__xludf.DUMMYFUNCTION("GOOGLETRANSLATE(H1784,""EN"",""ES"")"),"DISPOSITIVOS DE FIJACIÓN, SOPORTE O MONTAJE NO COMPRENDIDOS EN OTRAS CLASES")</f>
        <v>DISPOSITIVOS DE FIJACIÓN, SOPORTE O MONTAJE NO COMPRENDIDOS EN OTRAS CLASES</v>
      </c>
      <c r="L1784" s="5" t="str">
        <f ca="1">IFERROR(__xludf.DUMMYFUNCTION("GOOGLETRANSLATE(J1784,""EN"",""ES"")"),"Cornamusas para muelles")</f>
        <v>Cornamusas para muelles</v>
      </c>
      <c r="M1784" s="8" t="s">
        <v>26</v>
      </c>
      <c r="N1784" s="8"/>
    </row>
    <row r="1785" spans="1:14" ht="11.25" customHeight="1">
      <c r="A1785" s="5" t="s">
        <v>4139</v>
      </c>
      <c r="B1785" s="5" t="s">
        <v>5059</v>
      </c>
      <c r="C1785" s="5" t="s">
        <v>5210</v>
      </c>
      <c r="D1785" s="5" t="s">
        <v>4142</v>
      </c>
      <c r="E1785" s="5" t="s">
        <v>27</v>
      </c>
      <c r="F1785" s="5" t="s">
        <v>4143</v>
      </c>
      <c r="G1785" s="5" t="s">
        <v>4144</v>
      </c>
      <c r="H1785" s="5" t="s">
        <v>5061</v>
      </c>
      <c r="I1785" s="5" t="s">
        <v>5211</v>
      </c>
      <c r="J1785" s="5" t="s">
        <v>5212</v>
      </c>
      <c r="K1785" s="7" t="str">
        <f ca="1">IFERROR(__xludf.DUMMYFUNCTION("GOOGLETRANSLATE(H1785,""EN"",""ES"")"),"DISPOSITIVOS DE FIJACIÓN, SOPORTE O MONTAJE NO COMPRENDIDOS EN OTRAS CLASES")</f>
        <v>DISPOSITIVOS DE FIJACIÓN, SOPORTE O MONTAJE NO COMPRENDIDOS EN OTRAS CLASES</v>
      </c>
      <c r="L1785" s="5" t="str">
        <f ca="1">IFERROR(__xludf.DUMMYFUNCTION("GOOGLETRANSLATE(J1785,""EN"",""ES"")"),"Herrajes para armarios colgantes.")</f>
        <v>Herrajes para armarios colgantes.</v>
      </c>
      <c r="M1785" s="8" t="s">
        <v>26</v>
      </c>
      <c r="N1785" s="8"/>
    </row>
    <row r="1786" spans="1:14" ht="11.25" customHeight="1">
      <c r="A1786" s="5" t="s">
        <v>4139</v>
      </c>
      <c r="B1786" s="5" t="s">
        <v>5059</v>
      </c>
      <c r="C1786" s="5" t="s">
        <v>5213</v>
      </c>
      <c r="D1786" s="5" t="s">
        <v>4142</v>
      </c>
      <c r="E1786" s="5" t="s">
        <v>27</v>
      </c>
      <c r="F1786" s="5" t="s">
        <v>4143</v>
      </c>
      <c r="G1786" s="5" t="s">
        <v>4144</v>
      </c>
      <c r="H1786" s="5" t="s">
        <v>5061</v>
      </c>
      <c r="I1786" s="5" t="s">
        <v>5214</v>
      </c>
      <c r="J1786" s="5" t="s">
        <v>5215</v>
      </c>
      <c r="K1786" s="7" t="str">
        <f ca="1">IFERROR(__xludf.DUMMYFUNCTION("GOOGLETRANSLATE(H1786,""EN"",""ES"")"),"DISPOSITIVOS DE FIJACIÓN, SOPORTE O MONTAJE NO COMPRENDIDOS EN OTRAS CLASES")</f>
        <v>DISPOSITIVOS DE FIJACIÓN, SOPORTE O MONTAJE NO COMPRENDIDOS EN OTRAS CLASES</v>
      </c>
      <c r="L1786" s="5" t="str">
        <f ca="1">IFERROR(__xludf.DUMMYFUNCTION("GOOGLETRANSLATE(J1786,""EN"",""ES"")"),"Accesorios para marcos de cuadros")</f>
        <v>Accesorios para marcos de cuadros</v>
      </c>
      <c r="M1786" s="8" t="s">
        <v>26</v>
      </c>
      <c r="N1786" s="8"/>
    </row>
    <row r="1787" spans="1:14" ht="11.25" customHeight="1">
      <c r="A1787" s="5" t="s">
        <v>4139</v>
      </c>
      <c r="B1787" s="5" t="s">
        <v>5059</v>
      </c>
      <c r="C1787" s="5" t="s">
        <v>5216</v>
      </c>
      <c r="D1787" s="5" t="s">
        <v>4142</v>
      </c>
      <c r="E1787" s="5" t="s">
        <v>27</v>
      </c>
      <c r="F1787" s="5" t="s">
        <v>4143</v>
      </c>
      <c r="G1787" s="5" t="s">
        <v>4144</v>
      </c>
      <c r="H1787" s="5" t="s">
        <v>5061</v>
      </c>
      <c r="I1787" s="5" t="s">
        <v>5217</v>
      </c>
      <c r="J1787" s="5" t="s">
        <v>5218</v>
      </c>
      <c r="K1787" s="7" t="str">
        <f ca="1">IFERROR(__xludf.DUMMYFUNCTION("GOOGLETRANSLATE(H1787,""EN"",""ES"")"),"DISPOSITIVOS DE FIJACIÓN, SOPORTE O MONTAJE NO COMPRENDIDOS EN OTRAS CLASES")</f>
        <v>DISPOSITIVOS DE FIJACIÓN, SOPORTE O MONTAJE NO COMPRENDIDOS EN OTRAS CLASES</v>
      </c>
      <c r="L1787" s="5" t="str">
        <f ca="1">IFERROR(__xludf.DUMMYFUNCTION("GOOGLETRANSLATE(J1787,""EN"",""ES"")"),"Soportes")</f>
        <v>Soportes</v>
      </c>
      <c r="M1787" s="8" t="s">
        <v>26</v>
      </c>
      <c r="N1787" s="8"/>
    </row>
    <row r="1788" spans="1:14" ht="11.25" customHeight="1">
      <c r="A1788" s="5" t="s">
        <v>4139</v>
      </c>
      <c r="B1788" s="5" t="s">
        <v>5059</v>
      </c>
      <c r="C1788" s="5" t="s">
        <v>5219</v>
      </c>
      <c r="D1788" s="5" t="s">
        <v>4142</v>
      </c>
      <c r="E1788" s="5" t="s">
        <v>27</v>
      </c>
      <c r="F1788" s="5" t="s">
        <v>4143</v>
      </c>
      <c r="G1788" s="5" t="s">
        <v>4144</v>
      </c>
      <c r="H1788" s="5" t="s">
        <v>5061</v>
      </c>
      <c r="I1788" s="5" t="s">
        <v>5220</v>
      </c>
      <c r="J1788" s="5" t="s">
        <v>5221</v>
      </c>
      <c r="K1788" s="7" t="str">
        <f ca="1">IFERROR(__xludf.DUMMYFUNCTION("GOOGLETRANSLATE(H1788,""EN"",""ES"")"),"DISPOSITIVOS DE FIJACIÓN, SOPORTE O MONTAJE NO COMPRENDIDOS EN OTRAS CLASES")</f>
        <v>DISPOSITIVOS DE FIJACIÓN, SOPORTE O MONTAJE NO COMPRENDIDOS EN OTRAS CLASES</v>
      </c>
      <c r="L1788" s="5" t="str">
        <f ca="1">IFERROR(__xludf.DUMMYFUNCTION("GOOGLETRANSLATE(J1788,""EN"",""ES"")"),"Tacos")</f>
        <v>Tacos</v>
      </c>
      <c r="M1788" s="8" t="s">
        <v>26</v>
      </c>
      <c r="N1788" s="8"/>
    </row>
    <row r="1789" spans="1:14" ht="11.25" customHeight="1">
      <c r="A1789" s="5" t="s">
        <v>4139</v>
      </c>
      <c r="B1789" s="5" t="s">
        <v>5059</v>
      </c>
      <c r="C1789" s="5" t="s">
        <v>5219</v>
      </c>
      <c r="D1789" s="5" t="s">
        <v>4142</v>
      </c>
      <c r="E1789" s="5" t="s">
        <v>27</v>
      </c>
      <c r="F1789" s="5" t="s">
        <v>4143</v>
      </c>
      <c r="G1789" s="5" t="s">
        <v>4144</v>
      </c>
      <c r="H1789" s="5" t="s">
        <v>5061</v>
      </c>
      <c r="I1789" s="5" t="s">
        <v>152</v>
      </c>
      <c r="J1789" s="5" t="s">
        <v>5222</v>
      </c>
      <c r="K1789" s="7" t="str">
        <f ca="1">IFERROR(__xludf.DUMMYFUNCTION("GOOGLETRANSLATE(H1789,""EN"",""ES"")"),"DISPOSITIVOS DE FIJACIÓN, SOPORTE O MONTAJE NO COMPRENDIDOS EN OTRAS CLASES")</f>
        <v>DISPOSITIVOS DE FIJACIÓN, SOPORTE O MONTAJE NO COMPRENDIDOS EN OTRAS CLASES</v>
      </c>
      <c r="L1789" s="5" t="str">
        <f ca="1">IFERROR(__xludf.DUMMYFUNCTION("GOOGLETRANSLATE(J1789,""EN"",""ES"")"),"N / A")</f>
        <v>N / A</v>
      </c>
      <c r="M1789" s="8" t="s">
        <v>26</v>
      </c>
      <c r="N1789" s="8"/>
    </row>
    <row r="1790" spans="1:14" ht="11.25" customHeight="1">
      <c r="A1790" s="5" t="s">
        <v>4139</v>
      </c>
      <c r="B1790" s="5" t="s">
        <v>5059</v>
      </c>
      <c r="C1790" s="5" t="s">
        <v>5223</v>
      </c>
      <c r="D1790" s="5" t="s">
        <v>4142</v>
      </c>
      <c r="E1790" s="5" t="s">
        <v>27</v>
      </c>
      <c r="F1790" s="5" t="s">
        <v>4143</v>
      </c>
      <c r="G1790" s="5" t="s">
        <v>4144</v>
      </c>
      <c r="H1790" s="5" t="s">
        <v>5061</v>
      </c>
      <c r="I1790" s="5" t="s">
        <v>5224</v>
      </c>
      <c r="J1790" s="5" t="s">
        <v>5225</v>
      </c>
      <c r="K1790" s="7" t="str">
        <f ca="1">IFERROR(__xludf.DUMMYFUNCTION("GOOGLETRANSLATE(H1790,""EN"",""ES"")"),"DISPOSITIVOS DE FIJACIÓN, SOPORTE O MONTAJE NO COMPRENDIDOS EN OTRAS CLASES")</f>
        <v>DISPOSITIVOS DE FIJACIÓN, SOPORTE O MONTAJE NO COMPRENDIDOS EN OTRAS CLASES</v>
      </c>
      <c r="L1790" s="5" t="str">
        <f ca="1">IFERROR(__xludf.DUMMYFUNCTION("GOOGLETRANSLATE(J1790,""EN"",""ES"")"),"cáncamos")</f>
        <v>cáncamos</v>
      </c>
      <c r="M1790" s="8" t="s">
        <v>26</v>
      </c>
      <c r="N1790" s="8"/>
    </row>
    <row r="1791" spans="1:14" ht="11.25" customHeight="1">
      <c r="A1791" s="5" t="s">
        <v>4139</v>
      </c>
      <c r="B1791" s="5" t="s">
        <v>5059</v>
      </c>
      <c r="C1791" s="5" t="s">
        <v>5226</v>
      </c>
      <c r="D1791" s="5" t="s">
        <v>4142</v>
      </c>
      <c r="E1791" s="5" t="s">
        <v>27</v>
      </c>
      <c r="F1791" s="5" t="s">
        <v>4143</v>
      </c>
      <c r="G1791" s="5" t="s">
        <v>4144</v>
      </c>
      <c r="H1791" s="5" t="s">
        <v>5061</v>
      </c>
      <c r="I1791" s="5" t="s">
        <v>5227</v>
      </c>
      <c r="J1791" s="5" t="s">
        <v>5228</v>
      </c>
      <c r="K1791" s="7" t="str">
        <f ca="1">IFERROR(__xludf.DUMMYFUNCTION("GOOGLETRANSLATE(H1791,""EN"",""ES"")"),"DISPOSITIVOS DE FIJACIÓN, SOPORTE O MONTAJE NO COMPRENDIDOS EN OTRAS CLASES")</f>
        <v>DISPOSITIVOS DE FIJACIÓN, SOPORTE O MONTAJE NO COMPRENDIDOS EN OTRAS CLASES</v>
      </c>
      <c r="L1791" s="5" t="str">
        <f ca="1">IFERROR(__xludf.DUMMYFUNCTION("GOOGLETRANSLATE(J1791,""EN"",""ES"")"),"Lazos para plantas")</f>
        <v>Lazos para plantas</v>
      </c>
      <c r="M1791" s="8" t="s">
        <v>26</v>
      </c>
      <c r="N1791" s="8"/>
    </row>
    <row r="1792" spans="1:14" ht="11.25" customHeight="1">
      <c r="A1792" s="5" t="s">
        <v>4139</v>
      </c>
      <c r="B1792" s="5" t="s">
        <v>5059</v>
      </c>
      <c r="C1792" s="5" t="s">
        <v>5229</v>
      </c>
      <c r="D1792" s="5" t="s">
        <v>4142</v>
      </c>
      <c r="E1792" s="5" t="s">
        <v>27</v>
      </c>
      <c r="F1792" s="5" t="s">
        <v>4143</v>
      </c>
      <c r="G1792" s="5" t="s">
        <v>4144</v>
      </c>
      <c r="H1792" s="5" t="s">
        <v>5061</v>
      </c>
      <c r="I1792" s="5" t="s">
        <v>5230</v>
      </c>
      <c r="J1792" s="5" t="s">
        <v>5231</v>
      </c>
      <c r="K1792" s="7" t="str">
        <f ca="1">IFERROR(__xludf.DUMMYFUNCTION("GOOGLETRANSLATE(H1792,""EN"",""ES"")"),"DISPOSITIVOS DE FIJACIÓN, SOPORTE O MONTAJE NO COMPRENDIDOS EN OTRAS CLASES")</f>
        <v>DISPOSITIVOS DE FIJACIÓN, SOPORTE O MONTAJE NO COMPRENDIDOS EN OTRAS CLASES</v>
      </c>
      <c r="L1792" s="5" t="str">
        <f ca="1">IFERROR(__xludf.DUMMYFUNCTION("GOOGLETRANSLATE(J1792,""EN"",""ES"")"),"Correderas de pared [dispositivos de fijación]")</f>
        <v>Correderas de pared [dispositivos de fijación]</v>
      </c>
      <c r="M1792" s="8" t="s">
        <v>26</v>
      </c>
      <c r="N1792" s="8"/>
    </row>
    <row r="1793" spans="1:14" ht="11.25" customHeight="1">
      <c r="A1793" s="5" t="s">
        <v>4139</v>
      </c>
      <c r="B1793" s="5" t="s">
        <v>5059</v>
      </c>
      <c r="C1793" s="5" t="s">
        <v>5232</v>
      </c>
      <c r="D1793" s="5" t="s">
        <v>4142</v>
      </c>
      <c r="E1793" s="5" t="s">
        <v>27</v>
      </c>
      <c r="F1793" s="5" t="s">
        <v>4143</v>
      </c>
      <c r="G1793" s="5" t="s">
        <v>4144</v>
      </c>
      <c r="H1793" s="5" t="s">
        <v>5061</v>
      </c>
      <c r="I1793" s="5" t="s">
        <v>5233</v>
      </c>
      <c r="J1793" s="5" t="s">
        <v>5234</v>
      </c>
      <c r="K1793" s="7" t="str">
        <f ca="1">IFERROR(__xludf.DUMMYFUNCTION("GOOGLETRANSLATE(H1793,""EN"",""ES"")"),"DISPOSITIVOS DE FIJACIÓN, SOPORTE O MONTAJE NO COMPRENDIDOS EN OTRAS CLASES")</f>
        <v>DISPOSITIVOS DE FIJACIÓN, SOPORTE O MONTAJE NO COMPRENDIDOS EN OTRAS CLASES</v>
      </c>
      <c r="L1793" s="5" t="str">
        <f ca="1">IFERROR(__xludf.DUMMYFUNCTION("GOOGLETRANSLATE(J1793,""EN"",""ES"")"),"Herrajes para estanterías")</f>
        <v>Herrajes para estanterías</v>
      </c>
      <c r="M1793" s="8" t="s">
        <v>26</v>
      </c>
      <c r="N1793" s="8"/>
    </row>
    <row r="1794" spans="1:14" ht="11.25" customHeight="1">
      <c r="A1794" s="5" t="s">
        <v>4139</v>
      </c>
      <c r="B1794" s="5" t="s">
        <v>5059</v>
      </c>
      <c r="C1794" s="5" t="s">
        <v>5235</v>
      </c>
      <c r="D1794" s="5" t="s">
        <v>4142</v>
      </c>
      <c r="E1794" s="5" t="s">
        <v>27</v>
      </c>
      <c r="F1794" s="5" t="s">
        <v>4143</v>
      </c>
      <c r="G1794" s="5" t="s">
        <v>4144</v>
      </c>
      <c r="H1794" s="5" t="s">
        <v>5061</v>
      </c>
      <c r="I1794" s="5" t="s">
        <v>5236</v>
      </c>
      <c r="J1794" s="5" t="s">
        <v>5237</v>
      </c>
      <c r="K1794" s="7" t="str">
        <f ca="1">IFERROR(__xludf.DUMMYFUNCTION("GOOGLETRANSLATE(H1794,""EN"",""ES"")"),"DISPOSITIVOS DE FIJACIÓN, SOPORTE O MONTAJE NO COMPRENDIDOS EN OTRAS CLASES")</f>
        <v>DISPOSITIVOS DE FIJACIÓN, SOPORTE O MONTAJE NO COMPRENDIDOS EN OTRAS CLASES</v>
      </c>
      <c r="L1794" s="5" t="str">
        <f ca="1">IFERROR(__xludf.DUMMYFUNCTION("GOOGLETRANSLATE(J1794,""EN"",""ES"")"),"Teclados para colgar llaves")</f>
        <v>Teclados para colgar llaves</v>
      </c>
      <c r="M1794" s="8" t="s">
        <v>26</v>
      </c>
      <c r="N1794" s="8"/>
    </row>
    <row r="1795" spans="1:14" ht="11.25" customHeight="1">
      <c r="A1795" s="5" t="s">
        <v>4139</v>
      </c>
      <c r="B1795" s="5" t="s">
        <v>5059</v>
      </c>
      <c r="C1795" s="5" t="s">
        <v>5238</v>
      </c>
      <c r="D1795" s="5" t="s">
        <v>4142</v>
      </c>
      <c r="E1795" s="5" t="s">
        <v>27</v>
      </c>
      <c r="F1795" s="5" t="s">
        <v>4143</v>
      </c>
      <c r="G1795" s="5" t="s">
        <v>4144</v>
      </c>
      <c r="H1795" s="5" t="s">
        <v>5061</v>
      </c>
      <c r="I1795" s="5" t="s">
        <v>5239</v>
      </c>
      <c r="J1795" s="5" t="s">
        <v>5240</v>
      </c>
      <c r="K1795" s="7" t="str">
        <f ca="1">IFERROR(__xludf.DUMMYFUNCTION("GOOGLETRANSLATE(H1795,""EN"",""ES"")"),"DISPOSITIVOS DE FIJACIÓN, SOPORTE O MONTAJE NO COMPRENDIDOS EN OTRAS CLASES")</f>
        <v>DISPOSITIVOS DE FIJACIÓN, SOPORTE O MONTAJE NO COMPRENDIDOS EN OTRAS CLASES</v>
      </c>
      <c r="L1795" s="5" t="str">
        <f ca="1">IFERROR(__xludf.DUMMYFUNCTION("GOOGLETRANSLATE(J1795,""EN"",""ES"")"),"Titulares de mástiles")</f>
        <v>Titulares de mástiles</v>
      </c>
      <c r="M1795" s="8" t="s">
        <v>26</v>
      </c>
      <c r="N1795" s="8"/>
    </row>
    <row r="1796" spans="1:14" ht="11.25" customHeight="1">
      <c r="A1796" s="5" t="s">
        <v>4139</v>
      </c>
      <c r="B1796" s="5" t="s">
        <v>5059</v>
      </c>
      <c r="C1796" s="5" t="s">
        <v>5241</v>
      </c>
      <c r="D1796" s="5" t="s">
        <v>4142</v>
      </c>
      <c r="E1796" s="5" t="s">
        <v>27</v>
      </c>
      <c r="F1796" s="5" t="s">
        <v>4143</v>
      </c>
      <c r="G1796" s="5" t="s">
        <v>4144</v>
      </c>
      <c r="H1796" s="5" t="s">
        <v>5061</v>
      </c>
      <c r="I1796" s="5" t="s">
        <v>5242</v>
      </c>
      <c r="J1796" s="5" t="s">
        <v>5243</v>
      </c>
      <c r="K1796" s="7" t="str">
        <f ca="1">IFERROR(__xludf.DUMMYFUNCTION("GOOGLETRANSLATE(H1796,""EN"",""ES"")"),"DISPOSITIVOS DE FIJACIÓN, SOPORTE O MONTAJE NO COMPRENDIDOS EN OTRAS CLASES")</f>
        <v>DISPOSITIVOS DE FIJACIÓN, SOPORTE O MONTAJE NO COMPRENDIDOS EN OTRAS CLASES</v>
      </c>
      <c r="L1796" s="5" t="str">
        <f ca="1">IFERROR(__xludf.DUMMYFUNCTION("GOOGLETRANSLATE(J1796,""EN"",""ES"")"),"Percheros")</f>
        <v>Percheros</v>
      </c>
      <c r="M1796" s="8" t="s">
        <v>26</v>
      </c>
      <c r="N1796" s="8"/>
    </row>
    <row r="1797" spans="1:14" ht="11.25" customHeight="1">
      <c r="A1797" s="5" t="s">
        <v>4139</v>
      </c>
      <c r="B1797" s="5" t="s">
        <v>5059</v>
      </c>
      <c r="C1797" s="5" t="s">
        <v>5244</v>
      </c>
      <c r="D1797" s="5" t="s">
        <v>4142</v>
      </c>
      <c r="E1797" s="5" t="s">
        <v>27</v>
      </c>
      <c r="F1797" s="5" t="s">
        <v>4143</v>
      </c>
      <c r="G1797" s="5" t="s">
        <v>4144</v>
      </c>
      <c r="H1797" s="5" t="s">
        <v>5061</v>
      </c>
      <c r="I1797" s="5" t="s">
        <v>5245</v>
      </c>
      <c r="J1797" s="5" t="s">
        <v>5246</v>
      </c>
      <c r="K1797" s="7" t="str">
        <f ca="1">IFERROR(__xludf.DUMMYFUNCTION("GOOGLETRANSLATE(H1797,""EN"",""ES"")"),"DISPOSITIVOS DE FIJACIÓN, SOPORTE O MONTAJE NO COMPRENDIDOS EN OTRAS CLASES")</f>
        <v>DISPOSITIVOS DE FIJACIÓN, SOPORTE O MONTAJE NO COMPRENDIDOS EN OTRAS CLASES</v>
      </c>
      <c r="L1797" s="5" t="str">
        <f ca="1">IFERROR(__xludf.DUMMYFUNCTION("GOOGLETRANSLATE(J1797,""EN"",""ES"")"),"Boyas de amarre")</f>
        <v>Boyas de amarre</v>
      </c>
      <c r="M1797" s="8" t="s">
        <v>26</v>
      </c>
      <c r="N1797" s="8"/>
    </row>
    <row r="1798" spans="1:14" ht="11.25" customHeight="1">
      <c r="A1798" s="5" t="s">
        <v>4139</v>
      </c>
      <c r="B1798" s="5" t="s">
        <v>5059</v>
      </c>
      <c r="C1798" s="5" t="s">
        <v>5247</v>
      </c>
      <c r="D1798" s="5" t="s">
        <v>4142</v>
      </c>
      <c r="E1798" s="5" t="s">
        <v>27</v>
      </c>
      <c r="F1798" s="5" t="s">
        <v>4143</v>
      </c>
      <c r="G1798" s="5" t="s">
        <v>4144</v>
      </c>
      <c r="H1798" s="5" t="s">
        <v>5061</v>
      </c>
      <c r="I1798" s="5" t="s">
        <v>5248</v>
      </c>
      <c r="J1798" s="5" t="s">
        <v>5249</v>
      </c>
      <c r="K1798" s="7" t="str">
        <f ca="1">IFERROR(__xludf.DUMMYFUNCTION("GOOGLETRANSLATE(H1798,""EN"",""ES"")"),"DISPOSITIVOS DE FIJACIÓN, SOPORTE O MONTAJE NO COMPRENDIDOS EN OTRAS CLASES")</f>
        <v>DISPOSITIVOS DE FIJACIÓN, SOPORTE O MONTAJE NO COMPRENDIDOS EN OTRAS CLASES</v>
      </c>
      <c r="L1798" s="5" t="str">
        <f ca="1">IFERROR(__xludf.DUMMYFUNCTION("GOOGLETRANSLATE(J1798,""EN"",""ES"")"),"Postes [para sostener plantas]")</f>
        <v>Postes [para sostener plantas]</v>
      </c>
      <c r="M1798" s="8" t="s">
        <v>26</v>
      </c>
      <c r="N1798" s="8"/>
    </row>
    <row r="1799" spans="1:14" ht="11.25" customHeight="1">
      <c r="A1799" s="5" t="s">
        <v>4139</v>
      </c>
      <c r="B1799" s="5" t="s">
        <v>5059</v>
      </c>
      <c r="C1799" s="5" t="s">
        <v>5250</v>
      </c>
      <c r="D1799" s="5" t="s">
        <v>4142</v>
      </c>
      <c r="E1799" s="5" t="s">
        <v>27</v>
      </c>
      <c r="F1799" s="5" t="s">
        <v>4143</v>
      </c>
      <c r="G1799" s="5" t="s">
        <v>4144</v>
      </c>
      <c r="H1799" s="5" t="s">
        <v>5061</v>
      </c>
      <c r="I1799" s="5" t="s">
        <v>5251</v>
      </c>
      <c r="J1799" s="5" t="s">
        <v>5252</v>
      </c>
      <c r="K1799" s="7" t="str">
        <f ca="1">IFERROR(__xludf.DUMMYFUNCTION("GOOGLETRANSLATE(H1799,""EN"",""ES"")"),"DISPOSITIVOS DE FIJACIÓN, SOPORTE O MONTAJE NO COMPRENDIDOS EN OTRAS CLASES")</f>
        <v>DISPOSITIVOS DE FIJACIÓN, SOPORTE O MONTAJE NO COMPRENDIDOS EN OTRAS CLASES</v>
      </c>
      <c r="L1799" s="5" t="str">
        <f ca="1">IFERROR(__xludf.DUMMYFUNCTION("GOOGLETRANSLATE(J1799,""EN"",""ES"")"),"Soportes para buzones")</f>
        <v>Soportes para buzones</v>
      </c>
      <c r="M1799" s="8" t="s">
        <v>26</v>
      </c>
      <c r="N1799" s="8"/>
    </row>
    <row r="1800" spans="1:14" ht="11.25" customHeight="1">
      <c r="A1800" s="5" t="s">
        <v>4139</v>
      </c>
      <c r="B1800" s="5" t="s">
        <v>5059</v>
      </c>
      <c r="C1800" s="5" t="s">
        <v>5253</v>
      </c>
      <c r="D1800" s="5" t="s">
        <v>4142</v>
      </c>
      <c r="E1800" s="5" t="s">
        <v>27</v>
      </c>
      <c r="F1800" s="5" t="s">
        <v>4143</v>
      </c>
      <c r="G1800" s="5" t="s">
        <v>4144</v>
      </c>
      <c r="H1800" s="5" t="s">
        <v>5061</v>
      </c>
      <c r="I1800" s="5" t="s">
        <v>5254</v>
      </c>
      <c r="J1800" s="5" t="s">
        <v>5255</v>
      </c>
      <c r="K1800" s="7" t="str">
        <f ca="1">IFERROR(__xludf.DUMMYFUNCTION("GOOGLETRANSLATE(H1800,""EN"",""ES"")"),"DISPOSITIVOS DE FIJACIÓN, SOPORTE O MONTAJE NO COMPRENDIDOS EN OTRAS CLASES")</f>
        <v>DISPOSITIVOS DE FIJACIÓN, SOPORTE O MONTAJE NO COMPRENDIDOS EN OTRAS CLASES</v>
      </c>
      <c r="L1800" s="5" t="str">
        <f ca="1">IFERROR(__xludf.DUMMYFUNCTION("GOOGLETRANSLATE(J1800,""EN"",""ES"")"),"Estacas para plantas o flores.")</f>
        <v>Estacas para plantas o flores.</v>
      </c>
      <c r="M1800" s="8" t="s">
        <v>26</v>
      </c>
      <c r="N1800" s="8"/>
    </row>
    <row r="1801" spans="1:14" ht="11.25" customHeight="1">
      <c r="A1801" s="5" t="s">
        <v>4139</v>
      </c>
      <c r="B1801" s="5" t="s">
        <v>5059</v>
      </c>
      <c r="C1801" s="5" t="s">
        <v>5256</v>
      </c>
      <c r="D1801" s="5" t="s">
        <v>4142</v>
      </c>
      <c r="E1801" s="5" t="s">
        <v>27</v>
      </c>
      <c r="F1801" s="5" t="s">
        <v>4143</v>
      </c>
      <c r="G1801" s="5" t="s">
        <v>4144</v>
      </c>
      <c r="H1801" s="5" t="s">
        <v>5061</v>
      </c>
      <c r="I1801" s="5" t="s">
        <v>5257</v>
      </c>
      <c r="J1801" s="5" t="s">
        <v>5258</v>
      </c>
      <c r="K1801" s="7" t="str">
        <f ca="1">IFERROR(__xludf.DUMMYFUNCTION("GOOGLETRANSLATE(H1801,""EN"",""ES"")"),"DISPOSITIVOS DE FIJACIÓN, SOPORTE O MONTAJE NO COMPRENDIDOS EN OTRAS CLASES")</f>
        <v>DISPOSITIVOS DE FIJACIÓN, SOPORTE O MONTAJE NO COMPRENDIDOS EN OTRAS CLASES</v>
      </c>
      <c r="L1801" s="5" t="str">
        <f ca="1">IFERROR(__xludf.DUMMYFUNCTION("GOOGLETRANSLATE(J1801,""EN"",""ES"")"),"colgadores de plantas")</f>
        <v>colgadores de plantas</v>
      </c>
      <c r="M1801" s="8" t="s">
        <v>26</v>
      </c>
      <c r="N1801" s="8"/>
    </row>
    <row r="1802" spans="1:14" ht="11.25" customHeight="1">
      <c r="A1802" s="5" t="s">
        <v>4139</v>
      </c>
      <c r="B1802" s="5" t="s">
        <v>5059</v>
      </c>
      <c r="C1802" s="5" t="s">
        <v>5259</v>
      </c>
      <c r="D1802" s="5" t="s">
        <v>4142</v>
      </c>
      <c r="E1802" s="5" t="s">
        <v>27</v>
      </c>
      <c r="F1802" s="5" t="s">
        <v>4143</v>
      </c>
      <c r="G1802" s="5" t="s">
        <v>4144</v>
      </c>
      <c r="H1802" s="5" t="s">
        <v>5061</v>
      </c>
      <c r="I1802" s="5" t="s">
        <v>5260</v>
      </c>
      <c r="J1802" s="5" t="s">
        <v>5261</v>
      </c>
      <c r="K1802" s="7" t="str">
        <f ca="1">IFERROR(__xludf.DUMMYFUNCTION("GOOGLETRANSLATE(H1802,""EN"",""ES"")"),"DISPOSITIVOS DE FIJACIÓN, SOPORTE O MONTAJE NO COMPRENDIDOS EN OTRAS CLASES")</f>
        <v>DISPOSITIVOS DE FIJACIÓN, SOPORTE O MONTAJE NO COMPRENDIDOS EN OTRAS CLASES</v>
      </c>
      <c r="L1802" s="5" t="str">
        <f ca="1">IFERROR(__xludf.DUMMYFUNCTION("GOOGLETRANSLATE(J1802,""EN"",""ES"")"),"Perchas para bolsos")</f>
        <v>Perchas para bolsos</v>
      </c>
      <c r="M1802" s="8" t="s">
        <v>26</v>
      </c>
      <c r="N1802" s="8"/>
    </row>
    <row r="1803" spans="1:14" ht="11.25" customHeight="1">
      <c r="A1803" s="5" t="s">
        <v>4139</v>
      </c>
      <c r="B1803" s="5" t="s">
        <v>5059</v>
      </c>
      <c r="C1803" s="5" t="s">
        <v>5262</v>
      </c>
      <c r="D1803" s="5" t="s">
        <v>4142</v>
      </c>
      <c r="E1803" s="5" t="s">
        <v>27</v>
      </c>
      <c r="F1803" s="5" t="s">
        <v>4143</v>
      </c>
      <c r="G1803" s="5" t="s">
        <v>4144</v>
      </c>
      <c r="H1803" s="5" t="s">
        <v>5061</v>
      </c>
      <c r="I1803" s="5" t="s">
        <v>5263</v>
      </c>
      <c r="J1803" s="5" t="s">
        <v>5264</v>
      </c>
      <c r="K1803" s="7" t="str">
        <f ca="1">IFERROR(__xludf.DUMMYFUNCTION("GOOGLETRANSLATE(H1803,""EN"",""ES"")"),"DISPOSITIVOS DE FIJACIÓN, SOPORTE O MONTAJE NO COMPRENDIDOS EN OTRAS CLASES")</f>
        <v>DISPOSITIVOS DE FIJACIÓN, SOPORTE O MONTAJE NO COMPRENDIDOS EN OTRAS CLASES</v>
      </c>
      <c r="L1803" s="5" t="str">
        <f ca="1">IFERROR(__xludf.DUMMYFUNCTION("GOOGLETRANSLATE(J1803,""EN"",""ES"")"),"Anclas para minería")</f>
        <v>Anclas para minería</v>
      </c>
      <c r="M1803" s="8" t="s">
        <v>26</v>
      </c>
      <c r="N1803" s="8"/>
    </row>
    <row r="1804" spans="1:14" ht="11.25" customHeight="1">
      <c r="A1804" s="5" t="s">
        <v>4139</v>
      </c>
      <c r="B1804" s="5" t="s">
        <v>5059</v>
      </c>
      <c r="C1804" s="5" t="s">
        <v>5265</v>
      </c>
      <c r="D1804" s="5" t="s">
        <v>4142</v>
      </c>
      <c r="E1804" s="5" t="s">
        <v>27</v>
      </c>
      <c r="F1804" s="5" t="s">
        <v>4143</v>
      </c>
      <c r="G1804" s="5" t="s">
        <v>4144</v>
      </c>
      <c r="H1804" s="5" t="s">
        <v>5061</v>
      </c>
      <c r="I1804" s="5" t="s">
        <v>5266</v>
      </c>
      <c r="J1804" s="5" t="s">
        <v>5267</v>
      </c>
      <c r="K1804" s="7" t="str">
        <f ca="1">IFERROR(__xludf.DUMMYFUNCTION("GOOGLETRANSLATE(H1804,""EN"",""ES"")"),"DISPOSITIVOS DE FIJACIÓN, SOPORTE O MONTAJE NO COMPRENDIDOS EN OTRAS CLASES")</f>
        <v>DISPOSITIVOS DE FIJACIÓN, SOPORTE O MONTAJE NO COMPRENDIDOS EN OTRAS CLASES</v>
      </c>
      <c r="L1804" s="5" t="str">
        <f ca="1">IFERROR(__xludf.DUMMYFUNCTION("GOOGLETRANSLATE(J1804,""EN"",""ES"")"),"Clips para injertos de plantas")</f>
        <v>Clips para injertos de plantas</v>
      </c>
      <c r="M1804" s="8" t="s">
        <v>26</v>
      </c>
      <c r="N1804" s="8"/>
    </row>
    <row r="1805" spans="1:14" ht="11.25" customHeight="1">
      <c r="A1805" s="5" t="s">
        <v>4139</v>
      </c>
      <c r="B1805" s="5" t="s">
        <v>5268</v>
      </c>
      <c r="C1805" s="5" t="s">
        <v>5269</v>
      </c>
      <c r="D1805" s="5" t="s">
        <v>4142</v>
      </c>
      <c r="E1805" s="5" t="s">
        <v>27</v>
      </c>
      <c r="F1805" s="5" t="s">
        <v>4143</v>
      </c>
      <c r="G1805" s="5" t="s">
        <v>4144</v>
      </c>
      <c r="H1805" s="5" t="s">
        <v>5270</v>
      </c>
      <c r="I1805" s="5" t="s">
        <v>5271</v>
      </c>
      <c r="J1805" s="5" t="s">
        <v>5272</v>
      </c>
      <c r="K1805" s="7" t="str">
        <f ca="1">IFERROR(__xludf.DUMMYFUNCTION("GOOGLETRANSLATE(H1805,""EN"",""ES"")"),"ARTÍCULOS Y SOPORTES METÁLICOS PARA PUERTAS, VENTANAS Y MUEBLES, Y ARTÍCULOS SIMILARES, NO COMPRENDIDOS EN OTRAS CLASES O SUBCLASE")</f>
        <v>ARTÍCULOS Y SOPORTES METÁLICOS PARA PUERTAS, VENTANAS Y MUEBLES, Y ARTÍCULOS SIMILARES, NO COMPRENDIDOS EN OTRAS CLASES O SUBCLASE</v>
      </c>
      <c r="L1805" s="5" t="str">
        <f ca="1">IFERROR(__xludf.DUMMYFUNCTION("GOOGLETRANSLATE(J1805,""EN"",""ES"")"),"La ventana se detiene")</f>
        <v>La ventana se detiene</v>
      </c>
      <c r="M1805" s="8" t="s">
        <v>26</v>
      </c>
      <c r="N1805" s="8"/>
    </row>
    <row r="1806" spans="1:14" ht="11.25" customHeight="1">
      <c r="A1806" s="5" t="s">
        <v>4139</v>
      </c>
      <c r="B1806" s="5" t="s">
        <v>5268</v>
      </c>
      <c r="C1806" s="5" t="s">
        <v>5273</v>
      </c>
      <c r="D1806" s="5" t="s">
        <v>4142</v>
      </c>
      <c r="E1806" s="5" t="s">
        <v>27</v>
      </c>
      <c r="F1806" s="5" t="s">
        <v>4143</v>
      </c>
      <c r="G1806" s="5" t="s">
        <v>4144</v>
      </c>
      <c r="H1806" s="5" t="s">
        <v>5270</v>
      </c>
      <c r="I1806" s="5" t="s">
        <v>5274</v>
      </c>
      <c r="J1806" s="5" t="s">
        <v>5275</v>
      </c>
      <c r="K1806" s="7" t="str">
        <f ca="1">IFERROR(__xludf.DUMMYFUNCTION("GOOGLETRANSLATE(H1806,""EN"",""ES"")"),"ARTÍCULOS Y SOPORTES METÁLICOS PARA PUERTAS, VENTANAS Y MUEBLES, Y ARTÍCULOS SIMILARES, NO COMPRENDIDOS EN OTRAS CLASES O SUBCLASE")</f>
        <v>ARTÍCULOS Y SOPORTES METÁLICOS PARA PUERTAS, VENTANAS Y MUEBLES, Y ARTÍCULOS SIMILARES, NO COMPRENDIDOS EN OTRAS CLASES O SUBCLASE</v>
      </c>
      <c r="L1806" s="5" t="str">
        <f ca="1">IFERROR(__xludf.DUMMYFUNCTION("GOOGLETRANSLATE(J1806,""EN"",""ES"")"),"topes de puerta")</f>
        <v>topes de puerta</v>
      </c>
      <c r="M1806" s="8" t="s">
        <v>26</v>
      </c>
      <c r="N1806" s="8"/>
    </row>
    <row r="1807" spans="1:14" ht="11.25" customHeight="1">
      <c r="A1807" s="5" t="s">
        <v>4139</v>
      </c>
      <c r="B1807" s="5" t="s">
        <v>5268</v>
      </c>
      <c r="C1807" s="5" t="s">
        <v>5276</v>
      </c>
      <c r="D1807" s="5" t="s">
        <v>4142</v>
      </c>
      <c r="E1807" s="5" t="s">
        <v>27</v>
      </c>
      <c r="F1807" s="5" t="s">
        <v>4143</v>
      </c>
      <c r="G1807" s="5" t="s">
        <v>4144</v>
      </c>
      <c r="H1807" s="5" t="s">
        <v>5270</v>
      </c>
      <c r="I1807" s="5" t="s">
        <v>5277</v>
      </c>
      <c r="J1807" s="5" t="s">
        <v>5278</v>
      </c>
      <c r="K1807" s="7" t="str">
        <f ca="1">IFERROR(__xludf.DUMMYFUNCTION("GOOGLETRANSLATE(H1807,""EN"",""ES"")"),"ARTÍCULOS Y SOPORTES METÁLICOS PARA PUERTAS, VENTANAS Y MUEBLES, Y ARTÍCULOS SIMILARES, NO COMPRENDIDOS EN OTRAS CLASES O SUBCLASE")</f>
        <v>ARTÍCULOS Y SOPORTES METÁLICOS PARA PUERTAS, VENTANAS Y MUEBLES, Y ARTÍCULOS SIMILARES, NO COMPRENDIDOS EN OTRAS CLASES O SUBCLASE</v>
      </c>
      <c r="L1807" s="5" t="str">
        <f ca="1">IFERROR(__xludf.DUMMYFUNCTION("GOOGLETRANSLATE(J1807,""EN"",""ES"")"),"Accesorios de ataúd")</f>
        <v>Accesorios de ataúd</v>
      </c>
      <c r="M1807" s="8" t="s">
        <v>26</v>
      </c>
      <c r="N1807" s="8"/>
    </row>
    <row r="1808" spans="1:14" ht="11.25" customHeight="1">
      <c r="A1808" s="5" t="s">
        <v>4139</v>
      </c>
      <c r="B1808" s="5" t="s">
        <v>5268</v>
      </c>
      <c r="C1808" s="5" t="s">
        <v>5279</v>
      </c>
      <c r="D1808" s="5" t="s">
        <v>4142</v>
      </c>
      <c r="E1808" s="5" t="s">
        <v>27</v>
      </c>
      <c r="F1808" s="5" t="s">
        <v>4143</v>
      </c>
      <c r="G1808" s="5" t="s">
        <v>4144</v>
      </c>
      <c r="H1808" s="5" t="s">
        <v>5270</v>
      </c>
      <c r="I1808" s="5" t="s">
        <v>5280</v>
      </c>
      <c r="J1808" s="5" t="s">
        <v>5281</v>
      </c>
      <c r="K1808" s="7" t="str">
        <f ca="1">IFERROR(__xludf.DUMMYFUNCTION("GOOGLETRANSLATE(H1808,""EN"",""ES"")"),"ARTÍCULOS Y SOPORTES METÁLICOS PARA PUERTAS, VENTANAS Y MUEBLES, Y ARTÍCULOS SIMILARES, NO COMPRENDIDOS EN OTRAS CLASES O SUBCLASE")</f>
        <v>ARTÍCULOS Y SOPORTES METÁLICOS PARA PUERTAS, VENTANAS Y MUEBLES, Y ARTÍCULOS SIMILARES, NO COMPRENDIDOS EN OTRAS CLASES O SUBCLASE</v>
      </c>
      <c r="L1808" s="5" t="str">
        <f ca="1">IFERROR(__xludf.DUMMYFUNCTION("GOOGLETRANSLATE(J1808,""EN"",""ES"")"),"Cuadrados [metalistería]")</f>
        <v>Cuadrados [metalistería]</v>
      </c>
      <c r="M1808" s="8" t="s">
        <v>26</v>
      </c>
      <c r="N1808" s="8"/>
    </row>
    <row r="1809" spans="1:14" ht="11.25" customHeight="1">
      <c r="A1809" s="5" t="s">
        <v>4139</v>
      </c>
      <c r="B1809" s="5" t="s">
        <v>5268</v>
      </c>
      <c r="C1809" s="5" t="s">
        <v>5282</v>
      </c>
      <c r="D1809" s="5" t="s">
        <v>4142</v>
      </c>
      <c r="E1809" s="5" t="s">
        <v>27</v>
      </c>
      <c r="F1809" s="5" t="s">
        <v>4143</v>
      </c>
      <c r="G1809" s="5" t="s">
        <v>4144</v>
      </c>
      <c r="H1809" s="5" t="s">
        <v>5270</v>
      </c>
      <c r="I1809" s="5" t="s">
        <v>5283</v>
      </c>
      <c r="J1809" s="5" t="s">
        <v>5284</v>
      </c>
      <c r="K1809" s="7" t="str">
        <f ca="1">IFERROR(__xludf.DUMMYFUNCTION("GOOGLETRANSLATE(H1809,""EN"",""ES"")"),"ARTÍCULOS Y SOPORTES METÁLICOS PARA PUERTAS, VENTANAS Y MUEBLES, Y ARTÍCULOS SIMILARES, NO COMPRENDIDOS EN OTRAS CLASES O SUBCLASE")</f>
        <v>ARTÍCULOS Y SOPORTES METÁLICOS PARA PUERTAS, VENTANAS Y MUEBLES, Y ARTÍCULOS SIMILARES, NO COMPRENDIDOS EN OTRAS CLASES O SUBCLASE</v>
      </c>
      <c r="L1809" s="5" t="str">
        <f ca="1">IFERROR(__xludf.DUMMYFUNCTION("GOOGLETRANSLATE(J1809,""EN"",""ES"")"),"Herrajes para canalones")</f>
        <v>Herrajes para canalones</v>
      </c>
      <c r="M1809" s="8" t="s">
        <v>26</v>
      </c>
      <c r="N1809" s="8"/>
    </row>
    <row r="1810" spans="1:14" ht="11.25" customHeight="1">
      <c r="A1810" s="5" t="s">
        <v>4139</v>
      </c>
      <c r="B1810" s="5" t="s">
        <v>5268</v>
      </c>
      <c r="C1810" s="5" t="s">
        <v>5285</v>
      </c>
      <c r="D1810" s="5" t="s">
        <v>4142</v>
      </c>
      <c r="E1810" s="5" t="s">
        <v>27</v>
      </c>
      <c r="F1810" s="5" t="s">
        <v>4143</v>
      </c>
      <c r="G1810" s="5" t="s">
        <v>4144</v>
      </c>
      <c r="H1810" s="5" t="s">
        <v>5270</v>
      </c>
      <c r="I1810" s="5" t="s">
        <v>5286</v>
      </c>
      <c r="J1810" s="5" t="s">
        <v>5287</v>
      </c>
      <c r="K1810" s="7" t="str">
        <f ca="1">IFERROR(__xludf.DUMMYFUNCTION("GOOGLETRANSLATE(H1810,""EN"",""ES"")"),"ARTÍCULOS Y SOPORTES METÁLICOS PARA PUERTAS, VENTANAS Y MUEBLES, Y ARTÍCULOS SIMILARES, NO COMPRENDIDOS EN OTRAS CLASES O SUBCLASE")</f>
        <v>ARTÍCULOS Y SOPORTES METÁLICOS PARA PUERTAS, VENTANAS Y MUEBLES, Y ARTÍCULOS SIMILARES, NO COMPRENDIDOS EN OTRAS CLASES O SUBCLASE</v>
      </c>
      <c r="L1810" s="5" t="str">
        <f ca="1">IFERROR(__xludf.DUMMYFUNCTION("GOOGLETRANSLATE(J1810,""EN"",""ES"")"),"Herrajes para maletero")</f>
        <v>Herrajes para maletero</v>
      </c>
      <c r="M1810" s="8" t="s">
        <v>26</v>
      </c>
      <c r="N1810" s="8"/>
    </row>
    <row r="1811" spans="1:14" ht="11.25" customHeight="1">
      <c r="A1811" s="5" t="s">
        <v>4139</v>
      </c>
      <c r="B1811" s="5" t="s">
        <v>5268</v>
      </c>
      <c r="C1811" s="5" t="s">
        <v>5288</v>
      </c>
      <c r="D1811" s="5" t="s">
        <v>4142</v>
      </c>
      <c r="E1811" s="5" t="s">
        <v>27</v>
      </c>
      <c r="F1811" s="5" t="s">
        <v>4143</v>
      </c>
      <c r="G1811" s="5" t="s">
        <v>4144</v>
      </c>
      <c r="H1811" s="5" t="s">
        <v>5270</v>
      </c>
      <c r="I1811" s="5" t="s">
        <v>5289</v>
      </c>
      <c r="J1811" s="5" t="s">
        <v>5290</v>
      </c>
      <c r="K1811" s="7" t="str">
        <f ca="1">IFERROR(__xludf.DUMMYFUNCTION("GOOGLETRANSLATE(H1811,""EN"",""ES"")"),"ARTÍCULOS Y SOPORTES METÁLICOS PARA PUERTAS, VENTANAS Y MUEBLES, Y ARTÍCULOS SIMILARES, NO COMPRENDIDOS EN OTRAS CLASES O SUBCLASE")</f>
        <v>ARTÍCULOS Y SOPORTES METÁLICOS PARA PUERTAS, VENTANAS Y MUEBLES, Y ARTÍCULOS SIMILARES, NO COMPRENDIDOS EN OTRAS CLASES O SUBCLASE</v>
      </c>
      <c r="L1811" s="5" t="str">
        <f ca="1">IFERROR(__xludf.DUMMYFUNCTION("GOOGLETRANSLATE(J1811,""EN"",""ES"")"),"Placas de dedos para puertas")</f>
        <v>Placas de dedos para puertas</v>
      </c>
      <c r="M1811" s="8" t="s">
        <v>26</v>
      </c>
      <c r="N1811" s="8"/>
    </row>
    <row r="1812" spans="1:14" ht="11.25" customHeight="1">
      <c r="A1812" s="5" t="s">
        <v>4139</v>
      </c>
      <c r="B1812" s="5" t="s">
        <v>5268</v>
      </c>
      <c r="C1812" s="5" t="s">
        <v>5291</v>
      </c>
      <c r="D1812" s="5" t="s">
        <v>4142</v>
      </c>
      <c r="E1812" s="5" t="s">
        <v>27</v>
      </c>
      <c r="F1812" s="5" t="s">
        <v>4143</v>
      </c>
      <c r="G1812" s="5" t="s">
        <v>4144</v>
      </c>
      <c r="H1812" s="5" t="s">
        <v>5270</v>
      </c>
      <c r="I1812" s="5" t="s">
        <v>5292</v>
      </c>
      <c r="J1812" s="5" t="s">
        <v>5293</v>
      </c>
      <c r="K1812" s="7" t="str">
        <f ca="1">IFERROR(__xludf.DUMMYFUNCTION("GOOGLETRANSLATE(H1812,""EN"",""ES"")"),"ARTÍCULOS Y SOPORTES METÁLICOS PARA PUERTAS, VENTANAS Y MUEBLES, Y ARTÍCULOS SIMILARES, NO COMPRENDIDOS EN OTRAS CLASES O SUBCLASE")</f>
        <v>ARTÍCULOS Y SOPORTES METÁLICOS PARA PUERTAS, VENTANAS Y MUEBLES, Y ARTÍCULOS SIMILARES, NO COMPRENDIDOS EN OTRAS CLASES O SUBCLASE</v>
      </c>
      <c r="L1812" s="5" t="str">
        <f ca="1">IFERROR(__xludf.DUMMYFUNCTION("GOOGLETRANSLATE(J1812,""EN"",""ES"")"),"Rosetas para cerraduras")</f>
        <v>Rosetas para cerraduras</v>
      </c>
      <c r="M1812" s="8" t="s">
        <v>26</v>
      </c>
      <c r="N1812" s="8"/>
    </row>
    <row r="1813" spans="1:14" ht="11.25" customHeight="1">
      <c r="A1813" s="5" t="s">
        <v>4139</v>
      </c>
      <c r="B1813" s="5" t="s">
        <v>5268</v>
      </c>
      <c r="C1813" s="5" t="s">
        <v>5294</v>
      </c>
      <c r="D1813" s="5" t="s">
        <v>4142</v>
      </c>
      <c r="E1813" s="5" t="s">
        <v>27</v>
      </c>
      <c r="F1813" s="5" t="s">
        <v>4143</v>
      </c>
      <c r="G1813" s="5" t="s">
        <v>4144</v>
      </c>
      <c r="H1813" s="5" t="s">
        <v>5270</v>
      </c>
      <c r="I1813" s="5" t="s">
        <v>5295</v>
      </c>
      <c r="J1813" s="5" t="s">
        <v>5296</v>
      </c>
      <c r="K1813" s="7" t="str">
        <f ca="1">IFERROR(__xludf.DUMMYFUNCTION("GOOGLETRANSLATE(H1813,""EN"",""ES"")"),"ARTÍCULOS Y SOPORTES METÁLICOS PARA PUERTAS, VENTANAS Y MUEBLES, Y ARTÍCULOS SIMILARES, NO COMPRENDIDOS EN OTRAS CLASES O SUBCLASE")</f>
        <v>ARTÍCULOS Y SOPORTES METÁLICOS PARA PUERTAS, VENTANAS Y MUEBLES, Y ARTÍCULOS SIMILARES, NO COMPRENDIDOS EN OTRAS CLASES O SUBCLASE</v>
      </c>
      <c r="L1813" s="5" t="str">
        <f ca="1">IFERROR(__xludf.DUMMYFUNCTION("GOOGLETRANSLATE(J1813,""EN"",""ES"")"),"Herrajes para cerraduras")</f>
        <v>Herrajes para cerraduras</v>
      </c>
      <c r="M1813" s="8" t="s">
        <v>26</v>
      </c>
      <c r="N1813" s="8"/>
    </row>
    <row r="1814" spans="1:14" ht="11.25" customHeight="1">
      <c r="A1814" s="5" t="s">
        <v>4139</v>
      </c>
      <c r="B1814" s="5" t="s">
        <v>5268</v>
      </c>
      <c r="C1814" s="5" t="s">
        <v>5297</v>
      </c>
      <c r="D1814" s="5" t="s">
        <v>4142</v>
      </c>
      <c r="E1814" s="5" t="s">
        <v>27</v>
      </c>
      <c r="F1814" s="5" t="s">
        <v>4143</v>
      </c>
      <c r="G1814" s="5" t="s">
        <v>4144</v>
      </c>
      <c r="H1814" s="5" t="s">
        <v>5270</v>
      </c>
      <c r="I1814" s="5" t="s">
        <v>5298</v>
      </c>
      <c r="J1814" s="5" t="s">
        <v>5299</v>
      </c>
      <c r="K1814" s="7" t="str">
        <f ca="1">IFERROR(__xludf.DUMMYFUNCTION("GOOGLETRANSLATE(H1814,""EN"",""ES"")"),"ARTÍCULOS Y SOPORTES METÁLICOS PARA PUERTAS, VENTANAS Y MUEBLES, Y ARTÍCULOS SIMILARES, NO COMPRENDIDOS EN OTRAS CLASES O SUBCLASE")</f>
        <v>ARTÍCULOS Y SOPORTES METÁLICOS PARA PUERTAS, VENTANAS Y MUEBLES, Y ARTÍCULOS SIMILARES, NO COMPRENDIDOS EN OTRAS CLASES O SUBCLASE</v>
      </c>
      <c r="L1814" s="5" t="str">
        <f ca="1">IFERROR(__xludf.DUMMYFUNCTION("GOOGLETRANSLATE(J1814,""EN"",""ES"")"),"Fijaciones para puertas")</f>
        <v>Fijaciones para puertas</v>
      </c>
      <c r="M1814" s="8" t="s">
        <v>26</v>
      </c>
      <c r="N1814" s="8"/>
    </row>
    <row r="1815" spans="1:14" ht="11.25" customHeight="1">
      <c r="A1815" s="5" t="s">
        <v>4139</v>
      </c>
      <c r="B1815" s="5" t="s">
        <v>5268</v>
      </c>
      <c r="C1815" s="5" t="s">
        <v>5300</v>
      </c>
      <c r="D1815" s="5" t="s">
        <v>4142</v>
      </c>
      <c r="E1815" s="5" t="s">
        <v>27</v>
      </c>
      <c r="F1815" s="5" t="s">
        <v>4143</v>
      </c>
      <c r="G1815" s="5" t="s">
        <v>4144</v>
      </c>
      <c r="H1815" s="5" t="s">
        <v>5270</v>
      </c>
      <c r="I1815" s="5" t="s">
        <v>5301</v>
      </c>
      <c r="J1815" s="5" t="s">
        <v>5302</v>
      </c>
      <c r="K1815" s="7" t="str">
        <f ca="1">IFERROR(__xludf.DUMMYFUNCTION("GOOGLETRANSLATE(H1815,""EN"",""ES"")"),"ARTÍCULOS Y SOPORTES METÁLICOS PARA PUERTAS, VENTANAS Y MUEBLES, Y ARTÍCULOS SIMILARES, NO COMPRENDIDOS EN OTRAS CLASES O SUBCLASE")</f>
        <v>ARTÍCULOS Y SOPORTES METÁLICOS PARA PUERTAS, VENTANAS Y MUEBLES, Y ARTÍCULOS SIMILARES, NO COMPRENDIDOS EN OTRAS CLASES O SUBCLASE</v>
      </c>
      <c r="L1815" s="5" t="str">
        <f ca="1">IFERROR(__xludf.DUMMYFUNCTION("GOOGLETRANSLATE(J1815,""EN"",""ES"")"),"Fijaciones para muebles")</f>
        <v>Fijaciones para muebles</v>
      </c>
      <c r="M1815" s="8" t="s">
        <v>26</v>
      </c>
      <c r="N1815" s="8"/>
    </row>
    <row r="1816" spans="1:14" ht="11.25" customHeight="1">
      <c r="A1816" s="5" t="s">
        <v>4139</v>
      </c>
      <c r="B1816" s="5" t="s">
        <v>5268</v>
      </c>
      <c r="C1816" s="5" t="s">
        <v>5303</v>
      </c>
      <c r="D1816" s="5" t="s">
        <v>4142</v>
      </c>
      <c r="E1816" s="5" t="s">
        <v>27</v>
      </c>
      <c r="F1816" s="5" t="s">
        <v>4143</v>
      </c>
      <c r="G1816" s="5" t="s">
        <v>4144</v>
      </c>
      <c r="H1816" s="5" t="s">
        <v>5270</v>
      </c>
      <c r="I1816" s="5" t="s">
        <v>5304</v>
      </c>
      <c r="J1816" s="5" t="s">
        <v>5305</v>
      </c>
      <c r="K1816" s="7" t="str">
        <f ca="1">IFERROR(__xludf.DUMMYFUNCTION("GOOGLETRANSLATE(H1816,""EN"",""ES"")"),"ARTÍCULOS Y SOPORTES METÁLICOS PARA PUERTAS, VENTANAS Y MUEBLES, Y ARTÍCULOS SIMILARES, NO COMPRENDIDOS EN OTRAS CLASES O SUBCLASE")</f>
        <v>ARTÍCULOS Y SOPORTES METÁLICOS PARA PUERTAS, VENTANAS Y MUEBLES, Y ARTÍCULOS SIMILARES, NO COMPRENDIDOS EN OTRAS CLASES O SUBCLASE</v>
      </c>
      <c r="L1816" s="5" t="str">
        <f ca="1">IFERROR(__xludf.DUMMYFUNCTION("GOOGLETRANSLATE(J1816,""EN"",""ES"")"),"Montajes para ventanas")</f>
        <v>Montajes para ventanas</v>
      </c>
      <c r="M1816" s="8" t="s">
        <v>26</v>
      </c>
      <c r="N1816" s="8"/>
    </row>
    <row r="1817" spans="1:14" ht="11.25" customHeight="1">
      <c r="A1817" s="5" t="s">
        <v>4139</v>
      </c>
      <c r="B1817" s="5" t="s">
        <v>5268</v>
      </c>
      <c r="C1817" s="5" t="s">
        <v>5306</v>
      </c>
      <c r="D1817" s="5" t="s">
        <v>4142</v>
      </c>
      <c r="E1817" s="5" t="s">
        <v>27</v>
      </c>
      <c r="F1817" s="5" t="s">
        <v>4143</v>
      </c>
      <c r="G1817" s="5" t="s">
        <v>4144</v>
      </c>
      <c r="H1817" s="5" t="s">
        <v>5270</v>
      </c>
      <c r="I1817" s="5" t="s">
        <v>5307</v>
      </c>
      <c r="J1817" s="5" t="s">
        <v>5308</v>
      </c>
      <c r="K1817" s="7" t="str">
        <f ca="1">IFERROR(__xludf.DUMMYFUNCTION("GOOGLETRANSLATE(H1817,""EN"",""ES"")"),"ARTÍCULOS Y SOPORTES METÁLICOS PARA PUERTAS, VENTANAS Y MUEBLES, Y ARTÍCULOS SIMILARES, NO COMPRENDIDOS EN OTRAS CLASES O SUBCLASE")</f>
        <v>ARTÍCULOS Y SOPORTES METÁLICOS PARA PUERTAS, VENTANAS Y MUEBLES, Y ARTÍCULOS SIMILARES, NO COMPRENDIDOS EN OTRAS CLASES O SUBCLASE</v>
      </c>
      <c r="L1817" s="5" t="str">
        <f ca="1">IFERROR(__xludf.DUMMYFUNCTION("GOOGLETRANSLATE(J1817,""EN"",""ES"")"),"Herrajes para muebles")</f>
        <v>Herrajes para muebles</v>
      </c>
      <c r="M1817" s="8" t="s">
        <v>26</v>
      </c>
      <c r="N1817" s="8"/>
    </row>
    <row r="1818" spans="1:14" ht="11.25" customHeight="1">
      <c r="A1818" s="5" t="s">
        <v>4139</v>
      </c>
      <c r="B1818" s="5" t="s">
        <v>5268</v>
      </c>
      <c r="C1818" s="5" t="s">
        <v>5309</v>
      </c>
      <c r="D1818" s="5" t="s">
        <v>4142</v>
      </c>
      <c r="E1818" s="5" t="s">
        <v>27</v>
      </c>
      <c r="F1818" s="5" t="s">
        <v>4143</v>
      </c>
      <c r="G1818" s="5" t="s">
        <v>4144</v>
      </c>
      <c r="H1818" s="5" t="s">
        <v>5270</v>
      </c>
      <c r="I1818" s="5" t="s">
        <v>5310</v>
      </c>
      <c r="J1818" s="5" t="s">
        <v>5311</v>
      </c>
      <c r="K1818" s="7" t="str">
        <f ca="1">IFERROR(__xludf.DUMMYFUNCTION("GOOGLETRANSLATE(H1818,""EN"",""ES"")"),"ARTÍCULOS Y SOPORTES METÁLICOS PARA PUERTAS, VENTANAS Y MUEBLES, Y ARTÍCULOS SIMILARES, NO COMPRENDIDOS EN OTRAS CLASES O SUBCLASE")</f>
        <v>ARTÍCULOS Y SOPORTES METÁLICOS PARA PUERTAS, VENTANAS Y MUEBLES, Y ARTÍCULOS SIMILARES, NO COMPRENDIDOS EN OTRAS CLASES O SUBCLASE</v>
      </c>
      <c r="L1818" s="5" t="str">
        <f ca="1">IFERROR(__xludf.DUMMYFUNCTION("GOOGLETRANSLATE(J1818,""EN"",""ES"")"),"Herrajes para ventanas")</f>
        <v>Herrajes para ventanas</v>
      </c>
      <c r="M1818" s="8" t="s">
        <v>26</v>
      </c>
      <c r="N1818" s="8"/>
    </row>
    <row r="1819" spans="1:14" ht="11.25" customHeight="1">
      <c r="A1819" s="5" t="s">
        <v>4139</v>
      </c>
      <c r="B1819" s="5" t="s">
        <v>5268</v>
      </c>
      <c r="C1819" s="5" t="s">
        <v>5312</v>
      </c>
      <c r="D1819" s="5" t="s">
        <v>4142</v>
      </c>
      <c r="E1819" s="5" t="s">
        <v>27</v>
      </c>
      <c r="F1819" s="5" t="s">
        <v>4143</v>
      </c>
      <c r="G1819" s="5" t="s">
        <v>4144</v>
      </c>
      <c r="H1819" s="5" t="s">
        <v>5270</v>
      </c>
      <c r="I1819" s="5" t="s">
        <v>5313</v>
      </c>
      <c r="J1819" s="5" t="s">
        <v>5314</v>
      </c>
      <c r="K1819" s="7" t="str">
        <f ca="1">IFERROR(__xludf.DUMMYFUNCTION("GOOGLETRANSLATE(H1819,""EN"",""ES"")"),"ARTÍCULOS Y SOPORTES METÁLICOS PARA PUERTAS, VENTANAS Y MUEBLES, Y ARTÍCULOS SIMILARES, NO COMPRENDIDOS EN OTRAS CLASES O SUBCLASE")</f>
        <v>ARTÍCULOS Y SOPORTES METÁLICOS PARA PUERTAS, VENTANAS Y MUEBLES, Y ARTÍCULOS SIMILARES, NO COMPRENDIDOS EN OTRAS CLASES O SUBCLASE</v>
      </c>
      <c r="L1819" s="5" t="str">
        <f ca="1">IFERROR(__xludf.DUMMYFUNCTION("GOOGLETRANSLATE(J1819,""EN"",""ES"")"),"Herrajes para puertas")</f>
        <v>Herrajes para puertas</v>
      </c>
      <c r="M1819" s="8" t="s">
        <v>26</v>
      </c>
      <c r="N1819" s="8"/>
    </row>
    <row r="1820" spans="1:14" ht="11.25" customHeight="1">
      <c r="A1820" s="5" t="s">
        <v>4139</v>
      </c>
      <c r="B1820" s="5" t="s">
        <v>5315</v>
      </c>
      <c r="C1820" s="5" t="s">
        <v>5316</v>
      </c>
      <c r="D1820" s="5" t="s">
        <v>4142</v>
      </c>
      <c r="E1820" s="5" t="s">
        <v>27</v>
      </c>
      <c r="F1820" s="5" t="s">
        <v>4143</v>
      </c>
      <c r="G1820" s="5" t="s">
        <v>4144</v>
      </c>
      <c r="H1820" s="5" t="s">
        <v>5317</v>
      </c>
      <c r="I1820" s="5" t="s">
        <v>5318</v>
      </c>
      <c r="J1820" s="5" t="s">
        <v>5319</v>
      </c>
      <c r="K1820" s="7" t="str">
        <f ca="1">IFERROR(__xludf.DUMMYFUNCTION("GOOGLETRANSLATE(H1820,""EN"",""ES"")"),"PORTABICICLETAS Y MOTOCICLETAS")</f>
        <v>PORTABICICLETAS Y MOTOCICLETAS</v>
      </c>
      <c r="L1820" s="5" t="str">
        <f ca="1">IFERROR(__xludf.DUMMYFUNCTION("GOOGLETRANSLATE(J1820,""EN"",""ES"")"),"Portabicicletas")</f>
        <v>Portabicicletas</v>
      </c>
      <c r="M1820" s="8" t="s">
        <v>26</v>
      </c>
      <c r="N1820" s="8"/>
    </row>
    <row r="1821" spans="1:14" ht="11.25" customHeight="1">
      <c r="A1821" s="5" t="s">
        <v>4139</v>
      </c>
      <c r="B1821" s="5" t="s">
        <v>5315</v>
      </c>
      <c r="C1821" s="5" t="s">
        <v>5320</v>
      </c>
      <c r="D1821" s="5" t="s">
        <v>4142</v>
      </c>
      <c r="E1821" s="5" t="s">
        <v>27</v>
      </c>
      <c r="F1821" s="5" t="s">
        <v>4143</v>
      </c>
      <c r="G1821" s="5" t="s">
        <v>4144</v>
      </c>
      <c r="H1821" s="5" t="s">
        <v>5317</v>
      </c>
      <c r="I1821" s="5" t="s">
        <v>5321</v>
      </c>
      <c r="J1821" s="5" t="s">
        <v>5322</v>
      </c>
      <c r="K1821" s="7" t="str">
        <f ca="1">IFERROR(__xludf.DUMMYFUNCTION("GOOGLETRANSLATE(H1821,""EN"",""ES"")"),"PORTABICICLETAS Y MOTOCICLETAS")</f>
        <v>PORTABICICLETAS Y MOTOCICLETAS</v>
      </c>
      <c r="L1821" s="5" t="str">
        <f ca="1">IFERROR(__xludf.DUMMYFUNCTION("GOOGLETRANSLATE(J1821,""EN"",""ES"")"),"Puestos de reparación de bicicletas")</f>
        <v>Puestos de reparación de bicicletas</v>
      </c>
      <c r="M1821" s="8" t="s">
        <v>26</v>
      </c>
      <c r="N1821" s="8"/>
    </row>
    <row r="1822" spans="1:14" ht="11.25" customHeight="1">
      <c r="A1822" s="5" t="s">
        <v>4139</v>
      </c>
      <c r="B1822" s="5" t="s">
        <v>5315</v>
      </c>
      <c r="C1822" s="5" t="s">
        <v>5323</v>
      </c>
      <c r="D1822" s="5" t="s">
        <v>4142</v>
      </c>
      <c r="E1822" s="5" t="s">
        <v>27</v>
      </c>
      <c r="F1822" s="5" t="s">
        <v>4143</v>
      </c>
      <c r="G1822" s="5" t="s">
        <v>4144</v>
      </c>
      <c r="H1822" s="5" t="s">
        <v>5317</v>
      </c>
      <c r="I1822" s="5" t="s">
        <v>5324</v>
      </c>
      <c r="J1822" s="5" t="s">
        <v>5325</v>
      </c>
      <c r="K1822" s="7" t="str">
        <f ca="1">IFERROR(__xludf.DUMMYFUNCTION("GOOGLETRANSLATE(H1822,""EN"",""ES"")"),"PORTABICICLETAS Y MOTOCICLETAS")</f>
        <v>PORTABICICLETAS Y MOTOCICLETAS</v>
      </c>
      <c r="L1822" s="5" t="str">
        <f ca="1">IFERROR(__xludf.DUMMYFUNCTION("GOOGLETRANSLATE(J1822,""EN"",""ES"")"),"Portaequipajes para motos")</f>
        <v>Portaequipajes para motos</v>
      </c>
      <c r="M1822" s="8" t="s">
        <v>26</v>
      </c>
      <c r="N1822" s="8"/>
    </row>
    <row r="1823" spans="1:14" ht="11.25" customHeight="1">
      <c r="A1823" s="5" t="s">
        <v>4139</v>
      </c>
      <c r="B1823" s="5" t="s">
        <v>5315</v>
      </c>
      <c r="C1823" s="5" t="s">
        <v>5326</v>
      </c>
      <c r="D1823" s="5" t="s">
        <v>4142</v>
      </c>
      <c r="E1823" s="5" t="s">
        <v>27</v>
      </c>
      <c r="F1823" s="5" t="s">
        <v>4143</v>
      </c>
      <c r="G1823" s="5" t="s">
        <v>4144</v>
      </c>
      <c r="H1823" s="5" t="s">
        <v>5317</v>
      </c>
      <c r="I1823" s="5" t="s">
        <v>5327</v>
      </c>
      <c r="J1823" s="5" t="s">
        <v>5328</v>
      </c>
      <c r="K1823" s="7" t="str">
        <f ca="1">IFERROR(__xludf.DUMMYFUNCTION("GOOGLETRANSLATE(H1823,""EN"",""ES"")"),"PORTABICICLETAS Y MOTOCICLETAS")</f>
        <v>PORTABICICLETAS Y MOTOCICLETAS</v>
      </c>
      <c r="L1823" s="5" t="str">
        <f ca="1">IFERROR(__xludf.DUMMYFUNCTION("GOOGLETRANSLATE(J1823,""EN"",""ES"")"),"Puestos de reparación de motocicletas")</f>
        <v>Puestos de reparación de motocicletas</v>
      </c>
      <c r="M1823" s="8" t="s">
        <v>26</v>
      </c>
      <c r="N1823" s="8"/>
    </row>
    <row r="1824" spans="1:14" ht="11.25" customHeight="1">
      <c r="A1824" s="5" t="s">
        <v>4139</v>
      </c>
      <c r="B1824" s="5" t="s">
        <v>5329</v>
      </c>
      <c r="C1824" s="5" t="s">
        <v>5330</v>
      </c>
      <c r="D1824" s="5" t="s">
        <v>4142</v>
      </c>
      <c r="E1824" s="5" t="s">
        <v>27</v>
      </c>
      <c r="F1824" s="5" t="s">
        <v>4143</v>
      </c>
      <c r="G1824" s="5" t="s">
        <v>4144</v>
      </c>
      <c r="H1824" s="5" t="s">
        <v>5331</v>
      </c>
      <c r="I1824" s="5" t="s">
        <v>5332</v>
      </c>
      <c r="J1824" s="5" t="s">
        <v>5333</v>
      </c>
      <c r="K1824" s="7" t="str">
        <f ca="1">IFERROR(__xludf.DUMMYFUNCTION("GOOGLETRANSLATE(H1824,""EN"",""ES"")"),"Herrajes para cortinas")</f>
        <v>Herrajes para cortinas</v>
      </c>
      <c r="L1824" s="5" t="str">
        <f ca="1">IFERROR(__xludf.DUMMYFUNCTION("GOOGLETRANSLATE(J1824,""EN"",""ES"")"),"Rieles para cortinas")</f>
        <v>Rieles para cortinas</v>
      </c>
      <c r="M1824" s="8" t="s">
        <v>26</v>
      </c>
      <c r="N1824" s="8"/>
    </row>
    <row r="1825" spans="1:14" ht="11.25" customHeight="1">
      <c r="A1825" s="5" t="s">
        <v>4139</v>
      </c>
      <c r="B1825" s="5" t="s">
        <v>5329</v>
      </c>
      <c r="C1825" s="5" t="s">
        <v>5334</v>
      </c>
      <c r="D1825" s="5" t="s">
        <v>4142</v>
      </c>
      <c r="E1825" s="5" t="s">
        <v>27</v>
      </c>
      <c r="F1825" s="5" t="s">
        <v>4143</v>
      </c>
      <c r="G1825" s="5" t="s">
        <v>4144</v>
      </c>
      <c r="H1825" s="5" t="s">
        <v>5331</v>
      </c>
      <c r="I1825" s="5" t="s">
        <v>5335</v>
      </c>
      <c r="J1825" s="5" t="s">
        <v>5336</v>
      </c>
      <c r="K1825" s="7" t="str">
        <f ca="1">IFERROR(__xludf.DUMMYFUNCTION("GOOGLETRANSLATE(H1825,""EN"",""ES"")"),"Herrajes para cortinas")</f>
        <v>Herrajes para cortinas</v>
      </c>
      <c r="L1825" s="5" t="str">
        <f ca="1">IFERROR(__xludf.DUMMYFUNCTION("GOOGLETRANSLATE(J1825,""EN"",""ES"")"),"Barras de cortina")</f>
        <v>Barras de cortina</v>
      </c>
      <c r="M1825" s="8" t="s">
        <v>26</v>
      </c>
      <c r="N1825" s="8"/>
    </row>
    <row r="1826" spans="1:14" ht="11.25" customHeight="1">
      <c r="A1826" s="5" t="s">
        <v>4139</v>
      </c>
      <c r="B1826" s="5" t="s">
        <v>5329</v>
      </c>
      <c r="C1826" s="5" t="s">
        <v>5337</v>
      </c>
      <c r="D1826" s="5" t="s">
        <v>4142</v>
      </c>
      <c r="E1826" s="5" t="s">
        <v>27</v>
      </c>
      <c r="F1826" s="5" t="s">
        <v>4143</v>
      </c>
      <c r="G1826" s="5" t="s">
        <v>4144</v>
      </c>
      <c r="H1826" s="5" t="s">
        <v>5331</v>
      </c>
      <c r="I1826" s="5" t="s">
        <v>5338</v>
      </c>
      <c r="J1826" s="5" t="s">
        <v>5339</v>
      </c>
      <c r="K1826" s="7" t="str">
        <f ca="1">IFERROR(__xludf.DUMMYFUNCTION("GOOGLETRANSLATE(H1826,""EN"",""ES"")"),"Herrajes para cortinas")</f>
        <v>Herrajes para cortinas</v>
      </c>
      <c r="L1826" s="5" t="str">
        <f ca="1">IFERROR(__xludf.DUMMYFUNCTION("GOOGLETRANSLATE(J1826,""EN"",""ES"")"),"Tiradores de cortina")</f>
        <v>Tiradores de cortina</v>
      </c>
      <c r="M1826" s="8" t="s">
        <v>26</v>
      </c>
      <c r="N1826" s="8"/>
    </row>
    <row r="1827" spans="1:14" ht="11.25" customHeight="1">
      <c r="A1827" s="5" t="s">
        <v>4139</v>
      </c>
      <c r="B1827" s="5" t="s">
        <v>5329</v>
      </c>
      <c r="C1827" s="5" t="s">
        <v>5340</v>
      </c>
      <c r="D1827" s="5" t="s">
        <v>4142</v>
      </c>
      <c r="E1827" s="5" t="s">
        <v>27</v>
      </c>
      <c r="F1827" s="5" t="s">
        <v>4143</v>
      </c>
      <c r="G1827" s="5" t="s">
        <v>4144</v>
      </c>
      <c r="H1827" s="5" t="s">
        <v>5331</v>
      </c>
      <c r="I1827" s="5" t="s">
        <v>5341</v>
      </c>
      <c r="J1827" s="5" t="s">
        <v>5342</v>
      </c>
      <c r="K1827" s="7" t="str">
        <f ca="1">IFERROR(__xludf.DUMMYFUNCTION("GOOGLETRANSLATE(H1827,""EN"",""ES"")"),"Herrajes para cortinas")</f>
        <v>Herrajes para cortinas</v>
      </c>
      <c r="L1827" s="5" t="str">
        <f ca="1">IFERROR(__xludf.DUMMYFUNCTION("GOOGLETRANSLATE(J1827,""EN"",""ES"")"),"Perchas para cortinas")</f>
        <v>Perchas para cortinas</v>
      </c>
      <c r="M1827" s="8" t="s">
        <v>26</v>
      </c>
      <c r="N1827" s="8"/>
    </row>
    <row r="1828" spans="1:14" ht="11.25" customHeight="1">
      <c r="A1828" s="5" t="s">
        <v>4139</v>
      </c>
      <c r="B1828" s="5" t="s">
        <v>5329</v>
      </c>
      <c r="C1828" s="5" t="s">
        <v>5343</v>
      </c>
      <c r="D1828" s="5" t="s">
        <v>4142</v>
      </c>
      <c r="E1828" s="5" t="s">
        <v>27</v>
      </c>
      <c r="F1828" s="5" t="s">
        <v>4143</v>
      </c>
      <c r="G1828" s="5" t="s">
        <v>4144</v>
      </c>
      <c r="H1828" s="5" t="s">
        <v>5331</v>
      </c>
      <c r="I1828" s="5" t="s">
        <v>5344</v>
      </c>
      <c r="J1828" s="5" t="s">
        <v>5345</v>
      </c>
      <c r="K1828" s="7" t="str">
        <f ca="1">IFERROR(__xludf.DUMMYFUNCTION("GOOGLETRANSLATE(H1828,""EN"",""ES"")"),"Herrajes para cortinas")</f>
        <v>Herrajes para cortinas</v>
      </c>
      <c r="L1828" s="5" t="str">
        <f ca="1">IFERROR(__xludf.DUMMYFUNCTION("GOOGLETRANSLATE(J1828,""EN"",""ES"")"),"Ganchos para cortinas")</f>
        <v>Ganchos para cortinas</v>
      </c>
      <c r="M1828" s="8" t="s">
        <v>26</v>
      </c>
      <c r="N1828" s="8"/>
    </row>
    <row r="1829" spans="1:14" ht="11.25" customHeight="1">
      <c r="A1829" s="5" t="s">
        <v>4139</v>
      </c>
      <c r="B1829" s="5" t="s">
        <v>5329</v>
      </c>
      <c r="C1829" s="5" t="s">
        <v>5346</v>
      </c>
      <c r="D1829" s="5" t="s">
        <v>4142</v>
      </c>
      <c r="E1829" s="5" t="s">
        <v>27</v>
      </c>
      <c r="F1829" s="5" t="s">
        <v>4143</v>
      </c>
      <c r="G1829" s="5" t="s">
        <v>4144</v>
      </c>
      <c r="H1829" s="5" t="s">
        <v>5331</v>
      </c>
      <c r="I1829" s="5" t="s">
        <v>5347</v>
      </c>
      <c r="J1829" s="5" t="s">
        <v>5348</v>
      </c>
      <c r="K1829" s="7" t="str">
        <f ca="1">IFERROR(__xludf.DUMMYFUNCTION("GOOGLETRANSLATE(H1829,""EN"",""ES"")"),"Herrajes para cortinas")</f>
        <v>Herrajes para cortinas</v>
      </c>
      <c r="L1829" s="5" t="str">
        <f ca="1">IFERROR(__xludf.DUMMYFUNCTION("GOOGLETRANSLATE(J1829,""EN"",""ES"")"),"Anillos de cortina")</f>
        <v>Anillos de cortina</v>
      </c>
      <c r="M1829" s="8" t="s">
        <v>26</v>
      </c>
      <c r="N1829" s="8"/>
    </row>
    <row r="1830" spans="1:14" ht="11.25" customHeight="1">
      <c r="A1830" s="5" t="s">
        <v>4139</v>
      </c>
      <c r="B1830" s="5" t="s">
        <v>5329</v>
      </c>
      <c r="C1830" s="5" t="s">
        <v>5349</v>
      </c>
      <c r="D1830" s="5" t="s">
        <v>4142</v>
      </c>
      <c r="E1830" s="5" t="s">
        <v>27</v>
      </c>
      <c r="F1830" s="5" t="s">
        <v>4143</v>
      </c>
      <c r="G1830" s="5" t="s">
        <v>4144</v>
      </c>
      <c r="H1830" s="5" t="s">
        <v>5331</v>
      </c>
      <c r="I1830" s="5" t="s">
        <v>5350</v>
      </c>
      <c r="J1830" s="5" t="s">
        <v>5351</v>
      </c>
      <c r="K1830" s="7" t="str">
        <f ca="1">IFERROR(__xludf.DUMMYFUNCTION("GOOGLETRANSLATE(H1830,""EN"",""ES"")"),"Herrajes para cortinas")</f>
        <v>Herrajes para cortinas</v>
      </c>
      <c r="L1830" s="5" t="str">
        <f ca="1">IFERROR(__xludf.DUMMYFUNCTION("GOOGLETRANSLATE(J1830,""EN"",""ES"")"),"Soportes para barras de cortina")</f>
        <v>Soportes para barras de cortina</v>
      </c>
      <c r="M1830" s="8" t="s">
        <v>26</v>
      </c>
      <c r="N1830" s="8"/>
    </row>
    <row r="1831" spans="1:14" ht="11.25" customHeight="1">
      <c r="A1831" s="5" t="s">
        <v>4139</v>
      </c>
      <c r="B1831" s="5" t="s">
        <v>5329</v>
      </c>
      <c r="C1831" s="5" t="s">
        <v>5352</v>
      </c>
      <c r="D1831" s="5" t="s">
        <v>4142</v>
      </c>
      <c r="E1831" s="5" t="s">
        <v>27</v>
      </c>
      <c r="F1831" s="5" t="s">
        <v>4143</v>
      </c>
      <c r="G1831" s="5" t="s">
        <v>4144</v>
      </c>
      <c r="H1831" s="5" t="s">
        <v>5331</v>
      </c>
      <c r="I1831" s="5" t="s">
        <v>5353</v>
      </c>
      <c r="J1831" s="5" t="s">
        <v>5354</v>
      </c>
      <c r="K1831" s="7" t="str">
        <f ca="1">IFERROR(__xludf.DUMMYFUNCTION("GOOGLETRANSLATE(H1831,""EN"",""ES"")"),"Herrajes para cortinas")</f>
        <v>Herrajes para cortinas</v>
      </c>
      <c r="L1831" s="5" t="str">
        <f ca="1">IFERROR(__xludf.DUMMYFUNCTION("GOOGLETRANSLATE(J1831,""EN"",""ES"")"),"Corredores de cortina")</f>
        <v>Corredores de cortina</v>
      </c>
      <c r="M1831" s="8" t="s">
        <v>26</v>
      </c>
      <c r="N1831" s="8"/>
    </row>
    <row r="1832" spans="1:14" ht="11.25" customHeight="1">
      <c r="A1832" s="5" t="s">
        <v>4139</v>
      </c>
      <c r="B1832" s="5" t="s">
        <v>5329</v>
      </c>
      <c r="C1832" s="5" t="s">
        <v>5352</v>
      </c>
      <c r="D1832" s="5" t="s">
        <v>4142</v>
      </c>
      <c r="E1832" s="5" t="s">
        <v>27</v>
      </c>
      <c r="F1832" s="5" t="s">
        <v>4143</v>
      </c>
      <c r="G1832" s="5" t="s">
        <v>4144</v>
      </c>
      <c r="H1832" s="5" t="s">
        <v>5331</v>
      </c>
      <c r="I1832" s="5" t="s">
        <v>152</v>
      </c>
      <c r="J1832" s="5" t="s">
        <v>5355</v>
      </c>
      <c r="K1832" s="7" t="str">
        <f ca="1">IFERROR(__xludf.DUMMYFUNCTION("GOOGLETRANSLATE(H1832,""EN"",""ES"")"),"Herrajes para cortinas")</f>
        <v>Herrajes para cortinas</v>
      </c>
      <c r="L1832" s="5" t="str">
        <f ca="1">IFERROR(__xludf.DUMMYFUNCTION("GOOGLETRANSLATE(J1832,""EN"",""ES"")"),"N / A")</f>
        <v>N / A</v>
      </c>
      <c r="M1832" s="8" t="s">
        <v>26</v>
      </c>
      <c r="N1832" s="8"/>
    </row>
    <row r="1833" spans="1:14" ht="11.25" customHeight="1">
      <c r="A1833" s="5" t="s">
        <v>4139</v>
      </c>
      <c r="B1833" s="5" t="s">
        <v>5329</v>
      </c>
      <c r="C1833" s="5" t="s">
        <v>5356</v>
      </c>
      <c r="D1833" s="5" t="s">
        <v>4142</v>
      </c>
      <c r="E1833" s="5" t="s">
        <v>27</v>
      </c>
      <c r="F1833" s="5" t="s">
        <v>4143</v>
      </c>
      <c r="G1833" s="5" t="s">
        <v>4144</v>
      </c>
      <c r="H1833" s="5" t="s">
        <v>5331</v>
      </c>
      <c r="I1833" s="5" t="s">
        <v>5357</v>
      </c>
      <c r="J1833" s="5" t="s">
        <v>5358</v>
      </c>
      <c r="K1833" s="7" t="str">
        <f ca="1">IFERROR(__xludf.DUMMYFUNCTION("GOOGLETRANSLATE(H1833,""EN"",""ES"")"),"Herrajes para cortinas")</f>
        <v>Herrajes para cortinas</v>
      </c>
      <c r="L1833" s="5" t="str">
        <f ca="1">IFERROR(__xludf.DUMMYFUNCTION("GOOGLETRANSLATE(J1833,""EN"",""ES"")"),"Remates para postes de cortinas")</f>
        <v>Remates para postes de cortinas</v>
      </c>
      <c r="M1833" s="8" t="s">
        <v>26</v>
      </c>
      <c r="N1833" s="8"/>
    </row>
    <row r="1834" spans="1:14" ht="11.25" customHeight="1">
      <c r="A1834" s="5" t="s">
        <v>4139</v>
      </c>
      <c r="B1834" s="5" t="s">
        <v>5329</v>
      </c>
      <c r="C1834" s="5" t="s">
        <v>5359</v>
      </c>
      <c r="D1834" s="5" t="s">
        <v>4142</v>
      </c>
      <c r="E1834" s="5" t="s">
        <v>27</v>
      </c>
      <c r="F1834" s="5" t="s">
        <v>4143</v>
      </c>
      <c r="G1834" s="5" t="s">
        <v>4144</v>
      </c>
      <c r="H1834" s="5" t="s">
        <v>5331</v>
      </c>
      <c r="I1834" s="5" t="s">
        <v>5360</v>
      </c>
      <c r="J1834" s="5" t="s">
        <v>5361</v>
      </c>
      <c r="K1834" s="7" t="str">
        <f ca="1">IFERROR(__xludf.DUMMYFUNCTION("GOOGLETRANSLATE(H1834,""EN"",""ES"")"),"Herrajes para cortinas")</f>
        <v>Herrajes para cortinas</v>
      </c>
      <c r="L1834" s="5" t="str">
        <f ca="1">IFERROR(__xludf.DUMMYFUNCTION("GOOGLETRANSLATE(J1834,""EN"",""ES"")"),"Herrajes para cortinas y estores.")</f>
        <v>Herrajes para cortinas y estores.</v>
      </c>
      <c r="M1834" s="8" t="s">
        <v>26</v>
      </c>
      <c r="N1834" s="8"/>
    </row>
    <row r="1835" spans="1:14" ht="11.25" customHeight="1">
      <c r="A1835" s="5" t="s">
        <v>4139</v>
      </c>
      <c r="B1835" s="5" t="s">
        <v>5362</v>
      </c>
      <c r="C1835" s="5" t="s">
        <v>5363</v>
      </c>
      <c r="D1835" s="5" t="s">
        <v>4142</v>
      </c>
      <c r="E1835" s="5" t="s">
        <v>27</v>
      </c>
      <c r="F1835" s="5" t="s">
        <v>4143</v>
      </c>
      <c r="G1835" s="5" t="s">
        <v>4144</v>
      </c>
      <c r="H1835" s="5" t="s">
        <v>330</v>
      </c>
      <c r="I1835" s="5" t="s">
        <v>5364</v>
      </c>
      <c r="J1835" s="5" t="s">
        <v>5365</v>
      </c>
      <c r="K1835" s="7" t="str">
        <f ca="1">IFERROR(__xludf.DUMMYFUNCTION("GOOGLETRANSLATE(H1835,""EN"",""ES"")"),"MISCELÁNEAS")</f>
        <v>MISCELÁNEAS</v>
      </c>
      <c r="L1835" s="5" t="str">
        <f ca="1">IFERROR(__xludf.DUMMYFUNCTION("GOOGLETRANSLATE(J1835,""EN"",""ES"")"),"Imanes permanentes")</f>
        <v>Imanes permanentes</v>
      </c>
      <c r="M1835" s="8" t="s">
        <v>26</v>
      </c>
      <c r="N1835" s="8"/>
    </row>
    <row r="1836" spans="1:14" ht="11.25" customHeight="1">
      <c r="A1836" s="5" t="s">
        <v>4139</v>
      </c>
      <c r="B1836" s="5" t="s">
        <v>5362</v>
      </c>
      <c r="C1836" s="5" t="s">
        <v>5366</v>
      </c>
      <c r="D1836" s="5" t="s">
        <v>4142</v>
      </c>
      <c r="E1836" s="5" t="s">
        <v>27</v>
      </c>
      <c r="F1836" s="5" t="s">
        <v>4143</v>
      </c>
      <c r="G1836" s="5" t="s">
        <v>4144</v>
      </c>
      <c r="H1836" s="5" t="s">
        <v>330</v>
      </c>
      <c r="I1836" s="5" t="s">
        <v>5367</v>
      </c>
      <c r="J1836" s="5" t="s">
        <v>5368</v>
      </c>
      <c r="K1836" s="7" t="str">
        <f ca="1">IFERROR(__xludf.DUMMYFUNCTION("GOOGLETRANSLATE(H1836,""EN"",""ES"")"),"MISCELÁNEAS")</f>
        <v>MISCELÁNEAS</v>
      </c>
      <c r="L1836" s="5" t="str">
        <f ca="1">IFERROR(__xludf.DUMMYFUNCTION("GOOGLETRANSLATE(J1836,""EN"",""ES"")"),"Alambre de espino")</f>
        <v>Alambre de espino</v>
      </c>
      <c r="M1836" s="8" t="s">
        <v>26</v>
      </c>
      <c r="N1836" s="8"/>
    </row>
    <row r="1837" spans="1:14" ht="11.25" customHeight="1">
      <c r="A1837" s="5" t="s">
        <v>4139</v>
      </c>
      <c r="B1837" s="5" t="s">
        <v>5362</v>
      </c>
      <c r="C1837" s="5" t="s">
        <v>5369</v>
      </c>
      <c r="D1837" s="5" t="s">
        <v>4142</v>
      </c>
      <c r="E1837" s="5" t="s">
        <v>27</v>
      </c>
      <c r="F1837" s="5" t="s">
        <v>4143</v>
      </c>
      <c r="G1837" s="5" t="s">
        <v>4144</v>
      </c>
      <c r="H1837" s="5" t="s">
        <v>330</v>
      </c>
      <c r="I1837" s="5" t="s">
        <v>5370</v>
      </c>
      <c r="J1837" s="5" t="s">
        <v>5371</v>
      </c>
      <c r="K1837" s="7" t="str">
        <f ca="1">IFERROR(__xludf.DUMMYFUNCTION("GOOGLETRANSLATE(H1837,""EN"",""ES"")"),"MISCELÁNEAS")</f>
        <v>MISCELÁNEAS</v>
      </c>
      <c r="L1837" s="5" t="str">
        <f ca="1">IFERROR(__xludf.DUMMYFUNCTION("GOOGLETRANSLATE(J1837,""EN"",""ES"")"),"Topes para camas, carritos y puertas")</f>
        <v>Topes para camas, carritos y puertas</v>
      </c>
      <c r="M1837" s="8" t="s">
        <v>26</v>
      </c>
      <c r="N1837" s="8"/>
    </row>
    <row r="1838" spans="1:14" ht="11.25" customHeight="1">
      <c r="A1838" s="5" t="s">
        <v>4139</v>
      </c>
      <c r="B1838" s="5" t="s">
        <v>5362</v>
      </c>
      <c r="C1838" s="5" t="s">
        <v>5372</v>
      </c>
      <c r="D1838" s="5" t="s">
        <v>4142</v>
      </c>
      <c r="E1838" s="5" t="s">
        <v>27</v>
      </c>
      <c r="F1838" s="5" t="s">
        <v>4143</v>
      </c>
      <c r="G1838" s="5" t="s">
        <v>4144</v>
      </c>
      <c r="H1838" s="5" t="s">
        <v>330</v>
      </c>
      <c r="I1838" s="5" t="s">
        <v>5373</v>
      </c>
      <c r="J1838" s="5" t="s">
        <v>5374</v>
      </c>
      <c r="K1838" s="7" t="str">
        <f ca="1">IFERROR(__xludf.DUMMYFUNCTION("GOOGLETRANSLATE(H1838,""EN"",""ES"")"),"MISCELÁNEAS")</f>
        <v>MISCELÁNEAS</v>
      </c>
      <c r="L1838" s="5" t="str">
        <f ca="1">IFERROR(__xludf.DUMMYFUNCTION("GOOGLETRANSLATE(J1838,""EN"",""ES"")"),"Cadenas [metalicas]")</f>
        <v>Cadenas [metalicas]</v>
      </c>
      <c r="M1838" s="8" t="s">
        <v>26</v>
      </c>
      <c r="N1838" s="8"/>
    </row>
    <row r="1839" spans="1:14" ht="11.25" customHeight="1">
      <c r="A1839" s="5" t="s">
        <v>4139</v>
      </c>
      <c r="B1839" s="5" t="s">
        <v>5362</v>
      </c>
      <c r="C1839" s="5" t="s">
        <v>5375</v>
      </c>
      <c r="D1839" s="5" t="s">
        <v>4142</v>
      </c>
      <c r="E1839" s="5" t="s">
        <v>27</v>
      </c>
      <c r="F1839" s="5" t="s">
        <v>4143</v>
      </c>
      <c r="G1839" s="5" t="s">
        <v>4144</v>
      </c>
      <c r="H1839" s="5" t="s">
        <v>330</v>
      </c>
      <c r="I1839" s="5" t="s">
        <v>5376</v>
      </c>
      <c r="J1839" s="5" t="s">
        <v>5377</v>
      </c>
      <c r="K1839" s="7" t="str">
        <f ca="1">IFERROR(__xludf.DUMMYFUNCTION("GOOGLETRANSLATE(H1839,""EN"",""ES"")"),"MISCELÁNEAS")</f>
        <v>MISCELÁNEAS</v>
      </c>
      <c r="L1839" s="5" t="str">
        <f ca="1">IFERROR(__xludf.DUMMYFUNCTION("GOOGLETRANSLATE(J1839,""EN"",""ES"")"),"caballetes")</f>
        <v>caballetes</v>
      </c>
      <c r="M1839" s="8" t="s">
        <v>26</v>
      </c>
      <c r="N1839" s="8"/>
    </row>
    <row r="1840" spans="1:14" ht="11.25" customHeight="1">
      <c r="A1840" s="5" t="s">
        <v>4139</v>
      </c>
      <c r="B1840" s="5" t="s">
        <v>5362</v>
      </c>
      <c r="C1840" s="5" t="s">
        <v>5378</v>
      </c>
      <c r="D1840" s="5" t="s">
        <v>4142</v>
      </c>
      <c r="E1840" s="5" t="s">
        <v>27</v>
      </c>
      <c r="F1840" s="5" t="s">
        <v>4143</v>
      </c>
      <c r="G1840" s="5" t="s">
        <v>4144</v>
      </c>
      <c r="H1840" s="5" t="s">
        <v>330</v>
      </c>
      <c r="I1840" s="5" t="s">
        <v>5379</v>
      </c>
      <c r="J1840" s="5" t="s">
        <v>5380</v>
      </c>
      <c r="K1840" s="7" t="str">
        <f ca="1">IFERROR(__xludf.DUMMYFUNCTION("GOOGLETRANSLATE(H1840,""EN"",""ES"")"),"MISCELÁNEAS")</f>
        <v>MISCELÁNEAS</v>
      </c>
      <c r="L1840" s="5" t="str">
        <f ca="1">IFERROR(__xludf.DUMMYFUNCTION("GOOGLETRANSLATE(J1840,""EN"",""ES"")"),"Caballetes para la industria de la construcción")</f>
        <v>Caballetes para la industria de la construcción</v>
      </c>
      <c r="M1840" s="8" t="s">
        <v>26</v>
      </c>
      <c r="N1840" s="8"/>
    </row>
    <row r="1841" spans="1:14" ht="11.25" customHeight="1">
      <c r="A1841" s="5" t="s">
        <v>4139</v>
      </c>
      <c r="B1841" s="5" t="s">
        <v>5362</v>
      </c>
      <c r="C1841" s="5" t="s">
        <v>5381</v>
      </c>
      <c r="D1841" s="5" t="s">
        <v>4142</v>
      </c>
      <c r="E1841" s="5" t="s">
        <v>27</v>
      </c>
      <c r="F1841" s="5" t="s">
        <v>4143</v>
      </c>
      <c r="G1841" s="5" t="s">
        <v>4144</v>
      </c>
      <c r="H1841" s="5" t="s">
        <v>330</v>
      </c>
      <c r="I1841" s="5" t="s">
        <v>5382</v>
      </c>
      <c r="J1841" s="5" t="s">
        <v>5383</v>
      </c>
      <c r="K1841" s="7" t="str">
        <f ca="1">IFERROR(__xludf.DUMMYFUNCTION("GOOGLETRANSLATE(H1841,""EN"",""ES"")"),"MISCELÁNEAS")</f>
        <v>MISCELÁNEAS</v>
      </c>
      <c r="L1841" s="5" t="str">
        <f ca="1">IFERROR(__xludf.DUMMYFUNCTION("GOOGLETRANSLATE(J1841,""EN"",""ES"")"),"Raspadores de zapatos")</f>
        <v>Raspadores de zapatos</v>
      </c>
      <c r="M1841" s="8" t="s">
        <v>26</v>
      </c>
      <c r="N1841" s="8"/>
    </row>
    <row r="1842" spans="1:14" ht="11.25" customHeight="1">
      <c r="A1842" s="5" t="s">
        <v>4139</v>
      </c>
      <c r="B1842" s="5" t="s">
        <v>5362</v>
      </c>
      <c r="C1842" s="5" t="s">
        <v>5381</v>
      </c>
      <c r="D1842" s="5" t="s">
        <v>4142</v>
      </c>
      <c r="E1842" s="5" t="s">
        <v>27</v>
      </c>
      <c r="F1842" s="5" t="s">
        <v>4143</v>
      </c>
      <c r="G1842" s="5" t="s">
        <v>4144</v>
      </c>
      <c r="H1842" s="5" t="s">
        <v>330</v>
      </c>
      <c r="I1842" s="5" t="s">
        <v>152</v>
      </c>
      <c r="J1842" s="5" t="s">
        <v>5384</v>
      </c>
      <c r="K1842" s="7" t="str">
        <f ca="1">IFERROR(__xludf.DUMMYFUNCTION("GOOGLETRANSLATE(H1842,""EN"",""ES"")"),"MISCELÁNEAS")</f>
        <v>MISCELÁNEAS</v>
      </c>
      <c r="L1842" s="5" t="str">
        <f ca="1">IFERROR(__xludf.DUMMYFUNCTION("GOOGLETRANSLATE(J1842,""EN"",""ES"")"),"N / A")</f>
        <v>N / A</v>
      </c>
      <c r="M1842" s="8" t="s">
        <v>26</v>
      </c>
      <c r="N1842" s="8"/>
    </row>
    <row r="1843" spans="1:14" ht="11.25" customHeight="1">
      <c r="A1843" s="5" t="s">
        <v>4139</v>
      </c>
      <c r="B1843" s="5" t="s">
        <v>5362</v>
      </c>
      <c r="C1843" s="5" t="s">
        <v>5385</v>
      </c>
      <c r="D1843" s="5" t="s">
        <v>4142</v>
      </c>
      <c r="E1843" s="5" t="s">
        <v>27</v>
      </c>
      <c r="F1843" s="5" t="s">
        <v>4143</v>
      </c>
      <c r="G1843" s="5" t="s">
        <v>4144</v>
      </c>
      <c r="H1843" s="5" t="s">
        <v>330</v>
      </c>
      <c r="I1843" s="5" t="s">
        <v>5386</v>
      </c>
      <c r="J1843" s="5" t="s">
        <v>5387</v>
      </c>
      <c r="K1843" s="7" t="str">
        <f ca="1">IFERROR(__xludf.DUMMYFUNCTION("GOOGLETRANSLATE(H1843,""EN"",""ES"")"),"MISCELÁNEAS")</f>
        <v>MISCELÁNEAS</v>
      </c>
      <c r="L1843" s="5" t="str">
        <f ca="1">IFERROR(__xludf.DUMMYFUNCTION("GOOGLETRANSLATE(J1843,""EN"",""ES"")"),"Carretes para cables eléctricos.")</f>
        <v>Carretes para cables eléctricos.</v>
      </c>
      <c r="M1843" s="8" t="s">
        <v>26</v>
      </c>
      <c r="N1843" s="8"/>
    </row>
    <row r="1844" spans="1:14" ht="11.25" customHeight="1">
      <c r="A1844" s="5" t="s">
        <v>4139</v>
      </c>
      <c r="B1844" s="5" t="s">
        <v>5362</v>
      </c>
      <c r="C1844" s="5" t="s">
        <v>5388</v>
      </c>
      <c r="D1844" s="5" t="s">
        <v>4142</v>
      </c>
      <c r="E1844" s="5" t="s">
        <v>27</v>
      </c>
      <c r="F1844" s="5" t="s">
        <v>4143</v>
      </c>
      <c r="G1844" s="5" t="s">
        <v>4144</v>
      </c>
      <c r="H1844" s="5" t="s">
        <v>330</v>
      </c>
      <c r="I1844" s="5" t="s">
        <v>5389</v>
      </c>
      <c r="J1844" s="5" t="s">
        <v>5390</v>
      </c>
      <c r="K1844" s="7" t="str">
        <f ca="1">IFERROR(__xludf.DUMMYFUNCTION("GOOGLETRANSLATE(H1844,""EN"",""ES"")"),"MISCELÁNEAS")</f>
        <v>MISCELÁNEAS</v>
      </c>
      <c r="L1844" s="5" t="str">
        <f ca="1">IFERROR(__xludf.DUMMYFUNCTION("GOOGLETRANSLATE(J1844,""EN"",""ES"")"),"Carretes de manguera")</f>
        <v>Carretes de manguera</v>
      </c>
      <c r="M1844" s="8" t="s">
        <v>26</v>
      </c>
      <c r="N1844" s="8"/>
    </row>
    <row r="1845" spans="1:14" ht="11.25" customHeight="1">
      <c r="A1845" s="5" t="s">
        <v>4139</v>
      </c>
      <c r="B1845" s="5" t="s">
        <v>5362</v>
      </c>
      <c r="C1845" s="5" t="s">
        <v>5391</v>
      </c>
      <c r="D1845" s="5" t="s">
        <v>4142</v>
      </c>
      <c r="E1845" s="5" t="s">
        <v>27</v>
      </c>
      <c r="F1845" s="5" t="s">
        <v>4143</v>
      </c>
      <c r="G1845" s="5" t="s">
        <v>4144</v>
      </c>
      <c r="H1845" s="5" t="s">
        <v>330</v>
      </c>
      <c r="I1845" s="5" t="s">
        <v>5392</v>
      </c>
      <c r="J1845" s="5" t="s">
        <v>5393</v>
      </c>
      <c r="K1845" s="7" t="str">
        <f ca="1">IFERROR(__xludf.DUMMYFUNCTION("GOOGLETRANSLATE(H1845,""EN"",""ES"")"),"MISCELÁNEAS")</f>
        <v>MISCELÁNEAS</v>
      </c>
      <c r="L1845" s="5" t="str">
        <f ca="1">IFERROR(__xludf.DUMMYFUNCTION("GOOGLETRANSLATE(J1845,""EN"",""ES"")"),"Espantapájaros [tiras móviles]")</f>
        <v>Espantapájaros [tiras móviles]</v>
      </c>
      <c r="M1845" s="8" t="s">
        <v>26</v>
      </c>
      <c r="N1845" s="8"/>
    </row>
    <row r="1846" spans="1:14" ht="11.25" customHeight="1">
      <c r="A1846" s="5" t="s">
        <v>4139</v>
      </c>
      <c r="B1846" s="5" t="s">
        <v>5362</v>
      </c>
      <c r="C1846" s="5" t="s">
        <v>5394</v>
      </c>
      <c r="D1846" s="5" t="s">
        <v>4142</v>
      </c>
      <c r="E1846" s="5" t="s">
        <v>27</v>
      </c>
      <c r="F1846" s="5" t="s">
        <v>4143</v>
      </c>
      <c r="G1846" s="5" t="s">
        <v>4144</v>
      </c>
      <c r="H1846" s="5" t="s">
        <v>330</v>
      </c>
      <c r="I1846" s="5" t="s">
        <v>5395</v>
      </c>
      <c r="J1846" s="5" t="s">
        <v>5396</v>
      </c>
      <c r="K1846" s="7" t="str">
        <f ca="1">IFERROR(__xludf.DUMMYFUNCTION("GOOGLETRANSLATE(H1846,""EN"",""ES"")"),"MISCELÁNEAS")</f>
        <v>MISCELÁNEAS</v>
      </c>
      <c r="L1846" s="5" t="str">
        <f ca="1">IFERROR(__xludf.DUMMYFUNCTION("GOOGLETRANSLATE(J1846,""EN"",""ES"")"),"Enlaces de tensión")</f>
        <v>Enlaces de tensión</v>
      </c>
      <c r="M1846" s="8" t="s">
        <v>26</v>
      </c>
      <c r="N1846" s="8"/>
    </row>
    <row r="1847" spans="1:14" ht="11.25" customHeight="1">
      <c r="A1847" s="5" t="s">
        <v>4139</v>
      </c>
      <c r="B1847" s="5" t="s">
        <v>5362</v>
      </c>
      <c r="C1847" s="5" t="s">
        <v>5397</v>
      </c>
      <c r="D1847" s="5" t="s">
        <v>4142</v>
      </c>
      <c r="E1847" s="5" t="s">
        <v>27</v>
      </c>
      <c r="F1847" s="5" t="s">
        <v>4143</v>
      </c>
      <c r="G1847" s="5" t="s">
        <v>4144</v>
      </c>
      <c r="H1847" s="5" t="s">
        <v>330</v>
      </c>
      <c r="I1847" s="5" t="s">
        <v>5398</v>
      </c>
      <c r="J1847" s="5" t="s">
        <v>5399</v>
      </c>
      <c r="K1847" s="7" t="str">
        <f ca="1">IFERROR(__xludf.DUMMYFUNCTION("GOOGLETRANSLATE(H1847,""EN"",""ES"")"),"MISCELÁNEAS")</f>
        <v>MISCELÁNEAS</v>
      </c>
      <c r="L1847" s="5" t="str">
        <f ca="1">IFERROR(__xludf.DUMMYFUNCTION("GOOGLETRANSLATE(J1847,""EN"",""ES"")"),"Alambres de metal [sin aislar]")</f>
        <v>Alambres de metal [sin aislar]</v>
      </c>
      <c r="M1847" s="8" t="s">
        <v>26</v>
      </c>
      <c r="N1847" s="8"/>
    </row>
    <row r="1848" spans="1:14" ht="11.25" customHeight="1">
      <c r="A1848" s="5" t="s">
        <v>4139</v>
      </c>
      <c r="B1848" s="5" t="s">
        <v>5362</v>
      </c>
      <c r="C1848" s="5" t="s">
        <v>5400</v>
      </c>
      <c r="D1848" s="5" t="s">
        <v>4142</v>
      </c>
      <c r="E1848" s="5" t="s">
        <v>27</v>
      </c>
      <c r="F1848" s="5" t="s">
        <v>4143</v>
      </c>
      <c r="G1848" s="5" t="s">
        <v>4144</v>
      </c>
      <c r="H1848" s="5" t="s">
        <v>330</v>
      </c>
      <c r="I1848" s="5" t="s">
        <v>5401</v>
      </c>
      <c r="J1848" s="5" t="s">
        <v>5402</v>
      </c>
      <c r="K1848" s="7" t="str">
        <f ca="1">IFERROR(__xludf.DUMMYFUNCTION("GOOGLETRANSLATE(H1848,""EN"",""ES"")"),"MISCELÁNEAS")</f>
        <v>MISCELÁNEAS</v>
      </c>
      <c r="L1848" s="5" t="str">
        <f ca="1">IFERROR(__xludf.DUMMYFUNCTION("GOOGLETRANSLATE(J1848,""EN"",""ES"")"),"Tambores para cable eléctrico.")</f>
        <v>Tambores para cable eléctrico.</v>
      </c>
      <c r="M1848" s="8" t="s">
        <v>26</v>
      </c>
      <c r="N1848" s="8"/>
    </row>
    <row r="1849" spans="1:14" ht="11.25" customHeight="1">
      <c r="A1849" s="5" t="s">
        <v>4139</v>
      </c>
      <c r="B1849" s="5" t="s">
        <v>5362</v>
      </c>
      <c r="C1849" s="5" t="s">
        <v>5403</v>
      </c>
      <c r="D1849" s="5" t="s">
        <v>4142</v>
      </c>
      <c r="E1849" s="5" t="s">
        <v>27</v>
      </c>
      <c r="F1849" s="5" t="s">
        <v>4143</v>
      </c>
      <c r="G1849" s="5" t="s">
        <v>4144</v>
      </c>
      <c r="H1849" s="5" t="s">
        <v>330</v>
      </c>
      <c r="I1849" s="5" t="s">
        <v>5404</v>
      </c>
      <c r="J1849" s="5" t="s">
        <v>5405</v>
      </c>
      <c r="K1849" s="7" t="str">
        <f ca="1">IFERROR(__xludf.DUMMYFUNCTION("GOOGLETRANSLATE(H1849,""EN"",""ES"")"),"MISCELÁNEAS")</f>
        <v>MISCELÁNEAS</v>
      </c>
      <c r="L1849" s="5" t="str">
        <f ca="1">IFERROR(__xludf.DUMMYFUNCTION("GOOGLETRANSLATE(J1849,""EN"",""ES"")"),"Enrejado")</f>
        <v>Enrejado</v>
      </c>
      <c r="M1849" s="8" t="s">
        <v>26</v>
      </c>
      <c r="N1849" s="8"/>
    </row>
    <row r="1850" spans="1:14" ht="11.25" customHeight="1">
      <c r="A1850" s="5" t="s">
        <v>4139</v>
      </c>
      <c r="B1850" s="5" t="s">
        <v>5362</v>
      </c>
      <c r="C1850" s="5" t="s">
        <v>5406</v>
      </c>
      <c r="D1850" s="5" t="s">
        <v>4142</v>
      </c>
      <c r="E1850" s="5" t="s">
        <v>27</v>
      </c>
      <c r="F1850" s="5" t="s">
        <v>4143</v>
      </c>
      <c r="G1850" s="5" t="s">
        <v>4144</v>
      </c>
      <c r="H1850" s="5" t="s">
        <v>330</v>
      </c>
      <c r="I1850" s="5" t="s">
        <v>5407</v>
      </c>
      <c r="J1850" s="5" t="s">
        <v>5408</v>
      </c>
      <c r="K1850" s="7" t="str">
        <f ca="1">IFERROR(__xludf.DUMMYFUNCTION("GOOGLETRANSLATE(H1850,""EN"",""ES"")"),"MISCELÁNEAS")</f>
        <v>MISCELÁNEAS</v>
      </c>
      <c r="L1850" s="5" t="str">
        <f ca="1">IFERROR(__xludf.DUMMYFUNCTION("GOOGLETRANSLATE(J1850,""EN"",""ES"")"),"cuerdas de remolque")</f>
        <v>cuerdas de remolque</v>
      </c>
      <c r="M1850" s="8" t="s">
        <v>26</v>
      </c>
      <c r="N1850" s="8"/>
    </row>
    <row r="1851" spans="1:14" ht="11.25" customHeight="1">
      <c r="A1851" s="5" t="s">
        <v>4139</v>
      </c>
      <c r="B1851" s="5" t="s">
        <v>5362</v>
      </c>
      <c r="C1851" s="5" t="s">
        <v>5409</v>
      </c>
      <c r="D1851" s="5" t="s">
        <v>4142</v>
      </c>
      <c r="E1851" s="5" t="s">
        <v>27</v>
      </c>
      <c r="F1851" s="5" t="s">
        <v>4143</v>
      </c>
      <c r="G1851" s="5" t="s">
        <v>4144</v>
      </c>
      <c r="H1851" s="5" t="s">
        <v>330</v>
      </c>
      <c r="I1851" s="5" t="s">
        <v>5410</v>
      </c>
      <c r="J1851" s="5" t="s">
        <v>5411</v>
      </c>
      <c r="K1851" s="7" t="str">
        <f ca="1">IFERROR(__xludf.DUMMYFUNCTION("GOOGLETRANSLATE(H1851,""EN"",""ES"")"),"MISCELÁNEAS")</f>
        <v>MISCELÁNEAS</v>
      </c>
      <c r="L1851" s="5" t="str">
        <f ca="1">IFERROR(__xludf.DUMMYFUNCTION("GOOGLETRANSLATE(J1851,""EN"",""ES"")"),"Cables Bowden")</f>
        <v>Cables Bowden</v>
      </c>
      <c r="M1851" s="8" t="s">
        <v>26</v>
      </c>
      <c r="N1851" s="8"/>
    </row>
    <row r="1852" spans="1:14" ht="11.25" customHeight="1">
      <c r="A1852" s="5" t="s">
        <v>4139</v>
      </c>
      <c r="B1852" s="5" t="s">
        <v>5362</v>
      </c>
      <c r="C1852" s="5" t="s">
        <v>5412</v>
      </c>
      <c r="D1852" s="5" t="s">
        <v>4142</v>
      </c>
      <c r="E1852" s="5" t="s">
        <v>27</v>
      </c>
      <c r="F1852" s="5" t="s">
        <v>4143</v>
      </c>
      <c r="G1852" s="5" t="s">
        <v>4144</v>
      </c>
      <c r="H1852" s="5" t="s">
        <v>330</v>
      </c>
      <c r="I1852" s="5" t="s">
        <v>5413</v>
      </c>
      <c r="J1852" s="5" t="s">
        <v>5414</v>
      </c>
      <c r="K1852" s="7" t="str">
        <f ca="1">IFERROR(__xludf.DUMMYFUNCTION("GOOGLETRANSLATE(H1852,""EN"",""ES"")"),"MISCELÁNEAS")</f>
        <v>MISCELÁNEAS</v>
      </c>
      <c r="L1852" s="5" t="str">
        <f ca="1">IFERROR(__xludf.DUMMYFUNCTION("GOOGLETRANSLATE(J1852,""EN"",""ES"")"),"Eslabones de cadena")</f>
        <v>Eslabones de cadena</v>
      </c>
      <c r="M1852" s="8" t="s">
        <v>26</v>
      </c>
      <c r="N1852" s="8"/>
    </row>
    <row r="1853" spans="1:14" ht="11.25" customHeight="1">
      <c r="A1853" s="5" t="s">
        <v>4139</v>
      </c>
      <c r="B1853" s="5" t="s">
        <v>5362</v>
      </c>
      <c r="C1853" s="5" t="s">
        <v>5415</v>
      </c>
      <c r="D1853" s="5" t="s">
        <v>4142</v>
      </c>
      <c r="E1853" s="5" t="s">
        <v>27</v>
      </c>
      <c r="F1853" s="5" t="s">
        <v>4143</v>
      </c>
      <c r="G1853" s="5" t="s">
        <v>4144</v>
      </c>
      <c r="H1853" s="5" t="s">
        <v>330</v>
      </c>
      <c r="I1853" s="5" t="s">
        <v>5416</v>
      </c>
      <c r="J1853" s="5" t="s">
        <v>5417</v>
      </c>
      <c r="K1853" s="7" t="str">
        <f ca="1">IFERROR(__xludf.DUMMYFUNCTION("GOOGLETRANSLATE(H1853,""EN"",""ES"")"),"MISCELÁNEAS")</f>
        <v>MISCELÁNEAS</v>
      </c>
      <c r="L1853" s="5" t="str">
        <f ca="1">IFERROR(__xludf.DUMMYFUNCTION("GOOGLETRANSLATE(J1853,""EN"",""ES"")"),"Varillas de soldadura")</f>
        <v>Varillas de soldadura</v>
      </c>
      <c r="M1853" s="8" t="s">
        <v>26</v>
      </c>
      <c r="N1853" s="8"/>
    </row>
    <row r="1854" spans="1:14" ht="11.25" customHeight="1">
      <c r="A1854" s="5" t="s">
        <v>4139</v>
      </c>
      <c r="B1854" s="5" t="s">
        <v>5362</v>
      </c>
      <c r="C1854" s="5" t="s">
        <v>5418</v>
      </c>
      <c r="D1854" s="5" t="s">
        <v>4142</v>
      </c>
      <c r="E1854" s="5" t="s">
        <v>27</v>
      </c>
      <c r="F1854" s="5" t="s">
        <v>4143</v>
      </c>
      <c r="G1854" s="5" t="s">
        <v>4144</v>
      </c>
      <c r="H1854" s="5" t="s">
        <v>330</v>
      </c>
      <c r="I1854" s="5" t="s">
        <v>5419</v>
      </c>
      <c r="J1854" s="5" t="s">
        <v>5420</v>
      </c>
      <c r="K1854" s="7" t="str">
        <f ca="1">IFERROR(__xludf.DUMMYFUNCTION("GOOGLETRANSLATE(H1854,""EN"",""ES"")"),"MISCELÁNEAS")</f>
        <v>MISCELÁNEAS</v>
      </c>
      <c r="L1854" s="5" t="str">
        <f ca="1">IFERROR(__xludf.DUMMYFUNCTION("GOOGLETRANSLATE(J1854,""EN"",""ES"")"),"Soportes para encerar esquís")</f>
        <v>Soportes para encerar esquís</v>
      </c>
      <c r="M1854" s="8" t="s">
        <v>26</v>
      </c>
      <c r="N1854" s="8"/>
    </row>
    <row r="1855" spans="1:14" ht="11.25" customHeight="1">
      <c r="A1855" s="5" t="s">
        <v>4139</v>
      </c>
      <c r="B1855" s="5" t="s">
        <v>5362</v>
      </c>
      <c r="C1855" s="5" t="s">
        <v>5421</v>
      </c>
      <c r="D1855" s="5" t="s">
        <v>4142</v>
      </c>
      <c r="E1855" s="5" t="s">
        <v>27</v>
      </c>
      <c r="F1855" s="5" t="s">
        <v>4143</v>
      </c>
      <c r="G1855" s="5" t="s">
        <v>4144</v>
      </c>
      <c r="H1855" s="5" t="s">
        <v>330</v>
      </c>
      <c r="I1855" s="5" t="s">
        <v>5422</v>
      </c>
      <c r="J1855" s="5" t="s">
        <v>5423</v>
      </c>
      <c r="K1855" s="7" t="str">
        <f ca="1">IFERROR(__xludf.DUMMYFUNCTION("GOOGLETRANSLATE(H1855,""EN"",""ES"")"),"MISCELÁNEAS")</f>
        <v>MISCELÁNEAS</v>
      </c>
      <c r="L1855" s="5" t="str">
        <f ca="1">IFERROR(__xludf.DUMMYFUNCTION("GOOGLETRANSLATE(J1855,""EN"",""ES"")"),"Tacos para cortar leña")</f>
        <v>Tacos para cortar leña</v>
      </c>
      <c r="M1855" s="8" t="s">
        <v>26</v>
      </c>
      <c r="N1855" s="8"/>
    </row>
    <row r="1856" spans="1:14" ht="11.25" customHeight="1">
      <c r="A1856" s="5" t="s">
        <v>4139</v>
      </c>
      <c r="B1856" s="5" t="s">
        <v>5362</v>
      </c>
      <c r="C1856" s="5" t="s">
        <v>5424</v>
      </c>
      <c r="D1856" s="5" t="s">
        <v>4142</v>
      </c>
      <c r="E1856" s="5" t="s">
        <v>27</v>
      </c>
      <c r="F1856" s="5" t="s">
        <v>4143</v>
      </c>
      <c r="G1856" s="5" t="s">
        <v>4144</v>
      </c>
      <c r="H1856" s="5" t="s">
        <v>330</v>
      </c>
      <c r="I1856" s="5" t="s">
        <v>5425</v>
      </c>
      <c r="J1856" s="5" t="s">
        <v>5426</v>
      </c>
      <c r="K1856" s="7" t="str">
        <f ca="1">IFERROR(__xludf.DUMMYFUNCTION("GOOGLETRANSLATE(H1856,""EN"",""ES"")"),"MISCELÁNEAS")</f>
        <v>MISCELÁNEAS</v>
      </c>
      <c r="L1856" s="5" t="str">
        <f ca="1">IFERROR(__xludf.DUMMYFUNCTION("GOOGLETRANSLATE(J1856,""EN"",""ES"")"),"Soportes para embarcaciones en tierra")</f>
        <v>Soportes para embarcaciones en tierra</v>
      </c>
      <c r="M1856" s="8" t="s">
        <v>26</v>
      </c>
      <c r="N1856" s="8"/>
    </row>
    <row r="1857" spans="1:14" ht="11.25" customHeight="1">
      <c r="A1857" s="5" t="s">
        <v>4139</v>
      </c>
      <c r="B1857" s="5" t="s">
        <v>5362</v>
      </c>
      <c r="C1857" s="5" t="s">
        <v>5427</v>
      </c>
      <c r="D1857" s="5" t="s">
        <v>4142</v>
      </c>
      <c r="E1857" s="5" t="s">
        <v>27</v>
      </c>
      <c r="F1857" s="5" t="s">
        <v>4143</v>
      </c>
      <c r="G1857" s="5" t="s">
        <v>4144</v>
      </c>
      <c r="H1857" s="5" t="s">
        <v>330</v>
      </c>
      <c r="I1857" s="5" t="s">
        <v>5428</v>
      </c>
      <c r="J1857" s="5" t="s">
        <v>5429</v>
      </c>
      <c r="K1857" s="7" t="str">
        <f ca="1">IFERROR(__xludf.DUMMYFUNCTION("GOOGLETRANSLATE(H1857,""EN"",""ES"")"),"MISCELÁNEAS")</f>
        <v>MISCELÁNEAS</v>
      </c>
      <c r="L1857" s="5" t="str">
        <f ca="1">IFERROR(__xludf.DUMMYFUNCTION("GOOGLETRANSLATE(J1857,""EN"",""ES"")"),"Escaladores de linieros")</f>
        <v>Escaladores de linieros</v>
      </c>
      <c r="M1857" s="8" t="s">
        <v>26</v>
      </c>
      <c r="N1857" s="8"/>
    </row>
    <row r="1858" spans="1:14" ht="11.25" customHeight="1">
      <c r="A1858" s="5" t="s">
        <v>4139</v>
      </c>
      <c r="B1858" s="5" t="s">
        <v>5362</v>
      </c>
      <c r="C1858" s="5" t="s">
        <v>5430</v>
      </c>
      <c r="D1858" s="5" t="s">
        <v>4142</v>
      </c>
      <c r="E1858" s="5" t="s">
        <v>27</v>
      </c>
      <c r="F1858" s="5" t="s">
        <v>4143</v>
      </c>
      <c r="G1858" s="5" t="s">
        <v>4144</v>
      </c>
      <c r="H1858" s="5" t="s">
        <v>330</v>
      </c>
      <c r="I1858" s="5" t="s">
        <v>5431</v>
      </c>
      <c r="J1858" s="5" t="s">
        <v>5432</v>
      </c>
      <c r="K1858" s="7" t="str">
        <f ca="1">IFERROR(__xludf.DUMMYFUNCTION("GOOGLETRANSLATE(H1858,""EN"",""ES"")"),"MISCELÁNEAS")</f>
        <v>MISCELÁNEAS</v>
      </c>
      <c r="L1858" s="5" t="str">
        <f ca="1">IFERROR(__xludf.DUMMYFUNCTION("GOOGLETRANSLATE(J1858,""EN"",""ES"")"),"Rieles para puertas correderas")</f>
        <v>Rieles para puertas correderas</v>
      </c>
      <c r="M1858" s="8" t="s">
        <v>26</v>
      </c>
      <c r="N1858" s="8"/>
    </row>
    <row r="1859" spans="1:14" ht="11.25" customHeight="1">
      <c r="A1859" s="5" t="s">
        <v>4139</v>
      </c>
      <c r="B1859" s="5" t="s">
        <v>5362</v>
      </c>
      <c r="C1859" s="5" t="s">
        <v>5433</v>
      </c>
      <c r="D1859" s="5" t="s">
        <v>4142</v>
      </c>
      <c r="E1859" s="5" t="s">
        <v>27</v>
      </c>
      <c r="F1859" s="5" t="s">
        <v>4143</v>
      </c>
      <c r="G1859" s="5" t="s">
        <v>4144</v>
      </c>
      <c r="H1859" s="5" t="s">
        <v>330</v>
      </c>
      <c r="I1859" s="5" t="s">
        <v>5434</v>
      </c>
      <c r="J1859" s="5" t="s">
        <v>5435</v>
      </c>
      <c r="K1859" s="7" t="str">
        <f ca="1">IFERROR(__xludf.DUMMYFUNCTION("GOOGLETRANSLATE(H1859,""EN"",""ES"")"),"MISCELÁNEAS")</f>
        <v>MISCELÁNEAS</v>
      </c>
      <c r="L1859" s="5" t="str">
        <f ca="1">IFERROR(__xludf.DUMMYFUNCTION("GOOGLETRANSLATE(J1859,""EN"",""ES"")"),"Bobinas de almacenamiento para cuerdas.")</f>
        <v>Bobinas de almacenamiento para cuerdas.</v>
      </c>
      <c r="M1859" s="8" t="s">
        <v>26</v>
      </c>
      <c r="N1859" s="8"/>
    </row>
    <row r="1860" spans="1:14" ht="11.25" customHeight="1">
      <c r="A1860" s="5" t="s">
        <v>4139</v>
      </c>
      <c r="B1860" s="5" t="s">
        <v>5362</v>
      </c>
      <c r="C1860" s="5" t="s">
        <v>5436</v>
      </c>
      <c r="D1860" s="5" t="s">
        <v>4142</v>
      </c>
      <c r="E1860" s="5" t="s">
        <v>27</v>
      </c>
      <c r="F1860" s="5" t="s">
        <v>4143</v>
      </c>
      <c r="G1860" s="5" t="s">
        <v>4144</v>
      </c>
      <c r="H1860" s="5" t="s">
        <v>330</v>
      </c>
      <c r="I1860" s="5" t="s">
        <v>5437</v>
      </c>
      <c r="J1860" s="5" t="s">
        <v>5438</v>
      </c>
      <c r="K1860" s="7" t="str">
        <f ca="1">IFERROR(__xludf.DUMMYFUNCTION("GOOGLETRANSLATE(H1860,""EN"",""ES"")"),"MISCELÁNEAS")</f>
        <v>MISCELÁNEAS</v>
      </c>
      <c r="L1860" s="5" t="str">
        <f ca="1">IFERROR(__xludf.DUMMYFUNCTION("GOOGLETRANSLATE(J1860,""EN"",""ES"")"),"Protectores de suelo para muebles")</f>
        <v>Protectores de suelo para muebles</v>
      </c>
      <c r="M1860" s="8" t="s">
        <v>26</v>
      </c>
      <c r="N1860" s="8"/>
    </row>
    <row r="1861" spans="1:14" ht="11.25" customHeight="1">
      <c r="A1861" s="5" t="s">
        <v>4139</v>
      </c>
      <c r="B1861" s="5" t="s">
        <v>5362</v>
      </c>
      <c r="C1861" s="5" t="s">
        <v>5436</v>
      </c>
      <c r="D1861" s="5" t="s">
        <v>4142</v>
      </c>
      <c r="E1861" s="5" t="s">
        <v>27</v>
      </c>
      <c r="F1861" s="5" t="s">
        <v>4143</v>
      </c>
      <c r="G1861" s="5" t="s">
        <v>4144</v>
      </c>
      <c r="H1861" s="5" t="s">
        <v>330</v>
      </c>
      <c r="I1861" s="5" t="s">
        <v>5439</v>
      </c>
      <c r="J1861" s="5" t="s">
        <v>152</v>
      </c>
      <c r="K1861" s="7" t="str">
        <f ca="1">IFERROR(__xludf.DUMMYFUNCTION("GOOGLETRANSLATE(H1861,""EN"",""ES"")"),"MISCELÁNEAS")</f>
        <v>MISCELÁNEAS</v>
      </c>
      <c r="L1861" s="5" t="str">
        <f ca="1">IFERROR(__xludf.DUMMYFUNCTION("GOOGLETRANSLATE(J1861,""EN"",""ES"")"),"Protectores de alfombras para muebles.")</f>
        <v>Protectores de alfombras para muebles.</v>
      </c>
      <c r="M1861" s="8" t="s">
        <v>26</v>
      </c>
      <c r="N1861" s="8"/>
    </row>
    <row r="1862" spans="1:14" ht="11.25" customHeight="1">
      <c r="A1862" s="5" t="s">
        <v>4139</v>
      </c>
      <c r="B1862" s="5" t="s">
        <v>5362</v>
      </c>
      <c r="C1862" s="5" t="s">
        <v>5440</v>
      </c>
      <c r="D1862" s="5" t="s">
        <v>4142</v>
      </c>
      <c r="E1862" s="5" t="s">
        <v>27</v>
      </c>
      <c r="F1862" s="5" t="s">
        <v>4143</v>
      </c>
      <c r="G1862" s="5" t="s">
        <v>4144</v>
      </c>
      <c r="H1862" s="5" t="s">
        <v>330</v>
      </c>
      <c r="I1862" s="5" t="s">
        <v>5441</v>
      </c>
      <c r="J1862" s="5" t="s">
        <v>5442</v>
      </c>
      <c r="K1862" s="7" t="str">
        <f ca="1">IFERROR(__xludf.DUMMYFUNCTION("GOOGLETRANSLATE(H1862,""EN"",""ES"")"),"MISCELÁNEAS")</f>
        <v>MISCELÁNEAS</v>
      </c>
      <c r="L1862" s="5" t="str">
        <f ca="1">IFERROR(__xludf.DUMMYFUNCTION("GOOGLETRANSLATE(J1862,""EN"",""ES"")"),"Bobinas para tiras metálicas")</f>
        <v>Bobinas para tiras metálicas</v>
      </c>
      <c r="M1862" s="8" t="s">
        <v>26</v>
      </c>
      <c r="N1862" s="8"/>
    </row>
    <row r="1863" spans="1:14" ht="11.25" customHeight="1">
      <c r="A1863" s="5" t="s">
        <v>4139</v>
      </c>
      <c r="B1863" s="5" t="s">
        <v>5362</v>
      </c>
      <c r="C1863" s="5" t="s">
        <v>5443</v>
      </c>
      <c r="D1863" s="5" t="s">
        <v>4142</v>
      </c>
      <c r="E1863" s="5" t="s">
        <v>27</v>
      </c>
      <c r="F1863" s="5" t="s">
        <v>4143</v>
      </c>
      <c r="G1863" s="5" t="s">
        <v>4144</v>
      </c>
      <c r="H1863" s="5" t="s">
        <v>330</v>
      </c>
      <c r="I1863" s="5" t="s">
        <v>5444</v>
      </c>
      <c r="J1863" s="5" t="s">
        <v>5445</v>
      </c>
      <c r="K1863" s="7" t="str">
        <f ca="1">IFERROR(__xludf.DUMMYFUNCTION("GOOGLETRANSLATE(H1863,""EN"",""ES"")"),"MISCELÁNEAS")</f>
        <v>MISCELÁNEAS</v>
      </c>
      <c r="L1863" s="5" t="str">
        <f ca="1">IFERROR(__xludf.DUMMYFUNCTION("GOOGLETRANSLATE(J1863,""EN"",""ES"")"),"Cables para amarrar cargas.")</f>
        <v>Cables para amarrar cargas.</v>
      </c>
      <c r="M1863" s="8" t="s">
        <v>26</v>
      </c>
      <c r="N1863" s="8"/>
    </row>
    <row r="1864" spans="1:14" ht="11.25" customHeight="1">
      <c r="A1864" s="5" t="s">
        <v>4139</v>
      </c>
      <c r="B1864" s="5" t="s">
        <v>5362</v>
      </c>
      <c r="C1864" s="5" t="s">
        <v>5446</v>
      </c>
      <c r="D1864" s="5" t="s">
        <v>4142</v>
      </c>
      <c r="E1864" s="5" t="s">
        <v>27</v>
      </c>
      <c r="F1864" s="5" t="s">
        <v>4143</v>
      </c>
      <c r="G1864" s="5" t="s">
        <v>4144</v>
      </c>
      <c r="H1864" s="5" t="s">
        <v>330</v>
      </c>
      <c r="I1864" s="5" t="s">
        <v>5447</v>
      </c>
      <c r="J1864" s="5" t="s">
        <v>5448</v>
      </c>
      <c r="K1864" s="7" t="str">
        <f ca="1">IFERROR(__xludf.DUMMYFUNCTION("GOOGLETRANSLATE(H1864,""EN"",""ES"")"),"MISCELÁNEAS")</f>
        <v>MISCELÁNEAS</v>
      </c>
      <c r="L1864" s="5" t="str">
        <f ca="1">IFERROR(__xludf.DUMMYFUNCTION("GOOGLETRANSLATE(J1864,""EN"",""ES"")"),"Mangos para herramientas")</f>
        <v>Mangos para herramientas</v>
      </c>
      <c r="M1864" s="8" t="s">
        <v>26</v>
      </c>
      <c r="N1864" s="8"/>
    </row>
    <row r="1865" spans="1:14" ht="11.25" customHeight="1">
      <c r="A1865" s="5" t="s">
        <v>5449</v>
      </c>
      <c r="B1865" s="5" t="s">
        <v>5450</v>
      </c>
      <c r="C1865" s="5" t="s">
        <v>5451</v>
      </c>
      <c r="D1865" s="5" t="s">
        <v>5452</v>
      </c>
      <c r="E1865" s="5" t="s">
        <v>29</v>
      </c>
      <c r="F1865" s="5" t="s">
        <v>5453</v>
      </c>
      <c r="G1865" s="5" t="s">
        <v>152</v>
      </c>
      <c r="H1865" s="5" t="s">
        <v>5454</v>
      </c>
      <c r="I1865" s="5" t="s">
        <v>5455</v>
      </c>
      <c r="J1865" s="5" t="s">
        <v>5456</v>
      </c>
      <c r="K1865" s="7" t="str">
        <f ca="1">IFERROR(__xludf.DUMMYFUNCTION("GOOGLETRANSLATE(H1865,""EN"",""ES"")"),"BOTELLAS, MATRACES, OLLAS, CARBOYAS, DIAMANTES Y ENVASES A PRESIÓN")</f>
        <v>BOTELLAS, MATRACES, OLLAS, CARBOYAS, DIAMANTES Y ENVASES A PRESIÓN</v>
      </c>
      <c r="L1865" s="5" t="str">
        <f ca="1">IFERROR(__xludf.DUMMYFUNCTION("GOOGLETRANSLATE(J1865,""EN"",""ES"")"),"Dispensadores de aerosoles")</f>
        <v>Dispensadores de aerosoles</v>
      </c>
      <c r="M1865" s="8" t="s">
        <v>28</v>
      </c>
      <c r="N1865" s="8"/>
    </row>
    <row r="1866" spans="1:14" ht="11.25" customHeight="1">
      <c r="A1866" s="5" t="s">
        <v>5449</v>
      </c>
      <c r="B1866" s="5" t="s">
        <v>5450</v>
      </c>
      <c r="C1866" s="5" t="s">
        <v>5457</v>
      </c>
      <c r="D1866" s="5" t="s">
        <v>5452</v>
      </c>
      <c r="E1866" s="5" t="s">
        <v>29</v>
      </c>
      <c r="F1866" s="5" t="s">
        <v>5453</v>
      </c>
      <c r="G1866" s="5" t="s">
        <v>152</v>
      </c>
      <c r="H1866" s="5" t="s">
        <v>5454</v>
      </c>
      <c r="I1866" s="5" t="s">
        <v>5458</v>
      </c>
      <c r="J1866" s="5" t="s">
        <v>5459</v>
      </c>
      <c r="K1866" s="7" t="str">
        <f ca="1">IFERROR(__xludf.DUMMYFUNCTION("GOOGLETRANSLATE(H1866,""EN"",""ES"")"),"BOTELLAS, MATRACES, OLLAS, CARBOYAS, DIAMANTES Y ENVASES A PRESIÓN")</f>
        <v>BOTELLAS, MATRACES, OLLAS, CARBOYAS, DIAMANTES Y ENVASES A PRESIÓN</v>
      </c>
      <c r="L1866" s="5" t="str">
        <f ca="1">IFERROR(__xludf.DUMMYFUNCTION("GOOGLETRANSLATE(J1866,""EN"",""ES"")"),"Dispensadores de aerosol para ambientadores")</f>
        <v>Dispensadores de aerosol para ambientadores</v>
      </c>
      <c r="M1866" s="8" t="s">
        <v>28</v>
      </c>
      <c r="N1866" s="8"/>
    </row>
    <row r="1867" spans="1:14" ht="11.25" customHeight="1">
      <c r="A1867" s="5" t="s">
        <v>5449</v>
      </c>
      <c r="B1867" s="5" t="s">
        <v>5450</v>
      </c>
      <c r="C1867" s="5" t="s">
        <v>5460</v>
      </c>
      <c r="D1867" s="5" t="s">
        <v>5452</v>
      </c>
      <c r="E1867" s="5" t="s">
        <v>29</v>
      </c>
      <c r="F1867" s="5" t="s">
        <v>5453</v>
      </c>
      <c r="G1867" s="5" t="s">
        <v>152</v>
      </c>
      <c r="H1867" s="5" t="s">
        <v>5454</v>
      </c>
      <c r="I1867" s="5" t="s">
        <v>5461</v>
      </c>
      <c r="J1867" s="5" t="s">
        <v>5462</v>
      </c>
      <c r="K1867" s="7" t="str">
        <f ca="1">IFERROR(__xludf.DUMMYFUNCTION("GOOGLETRANSLATE(H1867,""EN"",""ES"")"),"BOTELLAS, MATRACES, OLLAS, CARBOYAS, DIAMANTES Y ENVASES A PRESIÓN")</f>
        <v>BOTELLAS, MATRACES, OLLAS, CARBOYAS, DIAMANTES Y ENVASES A PRESIÓN</v>
      </c>
      <c r="L1867" s="5" t="str">
        <f ca="1">IFERROR(__xludf.DUMMYFUNCTION("GOOGLETRANSLATE(J1867,""EN"",""ES"")"),"Dispensadores de aerosoles para insecticidas.")</f>
        <v>Dispensadores de aerosoles para insecticidas.</v>
      </c>
      <c r="M1867" s="8" t="s">
        <v>28</v>
      </c>
      <c r="N1867" s="8"/>
    </row>
    <row r="1868" spans="1:14" ht="11.25" customHeight="1">
      <c r="A1868" s="5" t="s">
        <v>5449</v>
      </c>
      <c r="B1868" s="5" t="s">
        <v>5450</v>
      </c>
      <c r="C1868" s="5" t="s">
        <v>5463</v>
      </c>
      <c r="D1868" s="5" t="s">
        <v>5452</v>
      </c>
      <c r="E1868" s="5" t="s">
        <v>29</v>
      </c>
      <c r="F1868" s="5" t="s">
        <v>5453</v>
      </c>
      <c r="G1868" s="5" t="s">
        <v>152</v>
      </c>
      <c r="H1868" s="5" t="s">
        <v>5454</v>
      </c>
      <c r="I1868" s="5" t="s">
        <v>5464</v>
      </c>
      <c r="J1868" s="5" t="s">
        <v>5465</v>
      </c>
      <c r="K1868" s="7" t="str">
        <f ca="1">IFERROR(__xludf.DUMMYFUNCTION("GOOGLETRANSLATE(H1868,""EN"",""ES"")"),"BOTELLAS, MATRACES, OLLAS, CARBOYAS, DIAMANTES Y ENVASES A PRESIÓN")</f>
        <v>BOTELLAS, MATRACES, OLLAS, CARBOYAS, DIAMANTES Y ENVASES A PRESIÓN</v>
      </c>
      <c r="L1868" s="5" t="str">
        <f ca="1">IFERROR(__xludf.DUMMYFUNCTION("GOOGLETRANSLATE(J1868,""EN"",""ES"")"),"bombonas")</f>
        <v>bombonas</v>
      </c>
      <c r="M1868" s="8" t="s">
        <v>28</v>
      </c>
      <c r="N1868" s="8"/>
    </row>
    <row r="1869" spans="1:14" ht="11.25" customHeight="1">
      <c r="A1869" s="5" t="s">
        <v>5449</v>
      </c>
      <c r="B1869" s="5" t="s">
        <v>5450</v>
      </c>
      <c r="C1869" s="5" t="s">
        <v>5466</v>
      </c>
      <c r="D1869" s="5" t="s">
        <v>5452</v>
      </c>
      <c r="E1869" s="5" t="s">
        <v>29</v>
      </c>
      <c r="F1869" s="5" t="s">
        <v>5453</v>
      </c>
      <c r="G1869" s="5" t="s">
        <v>152</v>
      </c>
      <c r="H1869" s="5" t="s">
        <v>5454</v>
      </c>
      <c r="I1869" s="5" t="s">
        <v>5467</v>
      </c>
      <c r="J1869" s="5" t="s">
        <v>5468</v>
      </c>
      <c r="K1869" s="7" t="str">
        <f ca="1">IFERROR(__xludf.DUMMYFUNCTION("GOOGLETRANSLATE(H1869,""EN"",""ES"")"),"BOTELLAS, MATRACES, OLLAS, CARBOYAS, DIAMANTES Y ENVASES A PRESIÓN")</f>
        <v>BOTELLAS, MATRACES, OLLAS, CARBOYAS, DIAMANTES Y ENVASES A PRESIÓN</v>
      </c>
      <c r="L1869" s="5" t="str">
        <f ca="1">IFERROR(__xludf.DUMMYFUNCTION("GOOGLETRANSLATE(J1869,""EN"",""ES"")"),"damajuanas")</f>
        <v>damajuanas</v>
      </c>
      <c r="M1869" s="8" t="s">
        <v>28</v>
      </c>
      <c r="N1869" s="8"/>
    </row>
    <row r="1870" spans="1:14" ht="11.25" customHeight="1">
      <c r="A1870" s="5" t="s">
        <v>5449</v>
      </c>
      <c r="B1870" s="5" t="s">
        <v>5450</v>
      </c>
      <c r="C1870" s="5" t="s">
        <v>5469</v>
      </c>
      <c r="D1870" s="5" t="s">
        <v>5452</v>
      </c>
      <c r="E1870" s="5" t="s">
        <v>29</v>
      </c>
      <c r="F1870" s="5" t="s">
        <v>5453</v>
      </c>
      <c r="G1870" s="5" t="s">
        <v>152</v>
      </c>
      <c r="H1870" s="5" t="s">
        <v>5454</v>
      </c>
      <c r="I1870" s="5" t="s">
        <v>5470</v>
      </c>
      <c r="J1870" s="5" t="s">
        <v>5471</v>
      </c>
      <c r="K1870" s="7" t="str">
        <f ca="1">IFERROR(__xludf.DUMMYFUNCTION("GOOGLETRANSLATE(H1870,""EN"",""ES"")"),"BOTELLAS, MATRACES, OLLAS, CARBOYAS, DIAMANTES Y ENVASES A PRESIÓN")</f>
        <v>BOTELLAS, MATRACES, OLLAS, CARBOYAS, DIAMANTES Y ENVASES A PRESIÓN</v>
      </c>
      <c r="L1870" s="5" t="str">
        <f ca="1">IFERROR(__xludf.DUMMYFUNCTION("GOOGLETRANSLATE(J1870,""EN"",""ES"")"),"botellas")</f>
        <v>botellas</v>
      </c>
      <c r="M1870" s="8" t="s">
        <v>28</v>
      </c>
      <c r="N1870" s="8"/>
    </row>
    <row r="1871" spans="1:14" ht="11.25" customHeight="1">
      <c r="A1871" s="5" t="s">
        <v>5449</v>
      </c>
      <c r="B1871" s="5" t="s">
        <v>5450</v>
      </c>
      <c r="C1871" s="5" t="s">
        <v>5469</v>
      </c>
      <c r="D1871" s="5" t="s">
        <v>5452</v>
      </c>
      <c r="E1871" s="5" t="s">
        <v>29</v>
      </c>
      <c r="F1871" s="5" t="s">
        <v>5453</v>
      </c>
      <c r="G1871" s="5" t="s">
        <v>152</v>
      </c>
      <c r="H1871" s="5" t="s">
        <v>5454</v>
      </c>
      <c r="I1871" s="5" t="s">
        <v>152</v>
      </c>
      <c r="J1871" s="5" t="s">
        <v>5472</v>
      </c>
      <c r="K1871" s="7" t="str">
        <f ca="1">IFERROR(__xludf.DUMMYFUNCTION("GOOGLETRANSLATE(H1871,""EN"",""ES"")"),"BOTELLAS, MATRACES, OLLAS, CARBOYAS, DIAMANTES Y ENVASES A PRESIÓN")</f>
        <v>BOTELLAS, MATRACES, OLLAS, CARBOYAS, DIAMANTES Y ENVASES A PRESIÓN</v>
      </c>
      <c r="L1871" s="5" t="str">
        <f ca="1">IFERROR(__xludf.DUMMYFUNCTION("GOOGLETRANSLATE(J1871,""EN"",""ES"")"),"N / A")</f>
        <v>N / A</v>
      </c>
      <c r="M1871" s="8" t="s">
        <v>28</v>
      </c>
      <c r="N1871" s="8"/>
    </row>
    <row r="1872" spans="1:14" ht="11.25" customHeight="1">
      <c r="A1872" s="5" t="s">
        <v>5449</v>
      </c>
      <c r="B1872" s="5" t="s">
        <v>5450</v>
      </c>
      <c r="C1872" s="5" t="s">
        <v>5473</v>
      </c>
      <c r="D1872" s="5" t="s">
        <v>5452</v>
      </c>
      <c r="E1872" s="5" t="s">
        <v>29</v>
      </c>
      <c r="F1872" s="5" t="s">
        <v>5453</v>
      </c>
      <c r="G1872" s="5" t="s">
        <v>152</v>
      </c>
      <c r="H1872" s="5" t="s">
        <v>5454</v>
      </c>
      <c r="I1872" s="5" t="s">
        <v>5474</v>
      </c>
      <c r="J1872" s="5" t="s">
        <v>5475</v>
      </c>
      <c r="K1872" s="7" t="str">
        <f ca="1">IFERROR(__xludf.DUMMYFUNCTION("GOOGLETRANSLATE(H1872,""EN"",""ES"")"),"BOTELLAS, MATRACES, OLLAS, CARBOYAS, DIAMANTES Y ENVASES A PRESIÓN")</f>
        <v>BOTELLAS, MATRACES, OLLAS, CARBOYAS, DIAMANTES Y ENVASES A PRESIÓN</v>
      </c>
      <c r="L1872" s="5" t="str">
        <f ca="1">IFERROR(__xludf.DUMMYFUNCTION("GOOGLETRANSLATE(J1872,""EN"",""ES"")"),"Contenedores para gas líquido o sólido.")</f>
        <v>Contenedores para gas líquido o sólido.</v>
      </c>
      <c r="M1872" s="8" t="s">
        <v>28</v>
      </c>
      <c r="N1872" s="8"/>
    </row>
    <row r="1873" spans="1:14" ht="11.25" customHeight="1">
      <c r="A1873" s="5" t="s">
        <v>5449</v>
      </c>
      <c r="B1873" s="5" t="s">
        <v>5450</v>
      </c>
      <c r="C1873" s="5" t="s">
        <v>5476</v>
      </c>
      <c r="D1873" s="5" t="s">
        <v>5452</v>
      </c>
      <c r="E1873" s="5" t="s">
        <v>29</v>
      </c>
      <c r="F1873" s="5" t="s">
        <v>5453</v>
      </c>
      <c r="G1873" s="5" t="s">
        <v>152</v>
      </c>
      <c r="H1873" s="5" t="s">
        <v>5454</v>
      </c>
      <c r="I1873" s="5" t="s">
        <v>5477</v>
      </c>
      <c r="J1873" s="5" t="s">
        <v>5478</v>
      </c>
      <c r="K1873" s="7" t="str">
        <f ca="1">IFERROR(__xludf.DUMMYFUNCTION("GOOGLETRANSLATE(H1873,""EN"",""ES"")"),"BOTELLAS, MATRACES, OLLAS, CARBOYAS, DIAMANTES Y ENVASES A PRESIÓN")</f>
        <v>BOTELLAS, MATRACES, OLLAS, CARBOYAS, DIAMANTES Y ENVASES A PRESIÓN</v>
      </c>
      <c r="L1873" s="5" t="str">
        <f ca="1">IFERROR(__xludf.DUMMYFUNCTION("GOOGLETRANSLATE(J1873,""EN"",""ES"")"),"Petacas para viajeros")</f>
        <v>Petacas para viajeros</v>
      </c>
      <c r="M1873" s="8" t="s">
        <v>28</v>
      </c>
      <c r="N1873" s="8"/>
    </row>
    <row r="1874" spans="1:14" ht="11.25" customHeight="1">
      <c r="A1874" s="5" t="s">
        <v>5449</v>
      </c>
      <c r="B1874" s="5" t="s">
        <v>5450</v>
      </c>
      <c r="C1874" s="5" t="s">
        <v>5476</v>
      </c>
      <c r="D1874" s="5" t="s">
        <v>5452</v>
      </c>
      <c r="E1874" s="5" t="s">
        <v>29</v>
      </c>
      <c r="F1874" s="5" t="s">
        <v>5453</v>
      </c>
      <c r="G1874" s="5" t="s">
        <v>152</v>
      </c>
      <c r="H1874" s="5" t="s">
        <v>5454</v>
      </c>
      <c r="I1874" s="5" t="s">
        <v>5479</v>
      </c>
      <c r="J1874" s="5" t="s">
        <v>152</v>
      </c>
      <c r="K1874" s="7" t="str">
        <f ca="1">IFERROR(__xludf.DUMMYFUNCTION("GOOGLETRANSLATE(H1874,""EN"",""ES"")"),"BOTELLAS, MATRACES, OLLAS, CARBOYAS, DIAMANTES Y ENVASES A PRESIÓN")</f>
        <v>BOTELLAS, MATRACES, OLLAS, CARBOYAS, DIAMANTES Y ENVASES A PRESIÓN</v>
      </c>
      <c r="L1874" s="5" t="str">
        <f ca="1">IFERROR(__xludf.DUMMYFUNCTION("GOOGLETRANSLATE(J1874,""EN"",""ES"")"),"calabazas de botella")</f>
        <v>calabazas de botella</v>
      </c>
      <c r="M1874" s="8" t="s">
        <v>28</v>
      </c>
      <c r="N1874" s="8"/>
    </row>
    <row r="1875" spans="1:14" ht="11.25" customHeight="1">
      <c r="A1875" s="5" t="s">
        <v>5449</v>
      </c>
      <c r="B1875" s="5" t="s">
        <v>5450</v>
      </c>
      <c r="C1875" s="5" t="s">
        <v>5480</v>
      </c>
      <c r="D1875" s="5" t="s">
        <v>5452</v>
      </c>
      <c r="E1875" s="5" t="s">
        <v>29</v>
      </c>
      <c r="F1875" s="5" t="s">
        <v>5453</v>
      </c>
      <c r="G1875" s="5" t="s">
        <v>152</v>
      </c>
      <c r="H1875" s="5" t="s">
        <v>5454</v>
      </c>
      <c r="I1875" s="5" t="s">
        <v>5481</v>
      </c>
      <c r="J1875" s="5" t="s">
        <v>5482</v>
      </c>
      <c r="K1875" s="7" t="str">
        <f ca="1">IFERROR(__xludf.DUMMYFUNCTION("GOOGLETRANSLATE(H1875,""EN"",""ES"")"),"BOTELLAS, MATRACES, OLLAS, CARBOYAS, DIAMANTES Y ENVASES A PRESIÓN")</f>
        <v>BOTELLAS, MATRACES, OLLAS, CARBOYAS, DIAMANTES Y ENVASES A PRESIÓN</v>
      </c>
      <c r="L1875" s="5" t="str">
        <f ca="1">IFERROR(__xludf.DUMMYFUNCTION("GOOGLETRANSLATE(J1875,""EN"",""ES"")"),"Frascos [embalaje]")</f>
        <v>Frascos [embalaje]</v>
      </c>
      <c r="M1875" s="8" t="s">
        <v>28</v>
      </c>
      <c r="N1875" s="8"/>
    </row>
    <row r="1876" spans="1:14" ht="11.25" customHeight="1">
      <c r="A1876" s="5" t="s">
        <v>5449</v>
      </c>
      <c r="B1876" s="5" t="s">
        <v>5450</v>
      </c>
      <c r="C1876" s="5" t="s">
        <v>5483</v>
      </c>
      <c r="D1876" s="5" t="s">
        <v>5452</v>
      </c>
      <c r="E1876" s="5" t="s">
        <v>29</v>
      </c>
      <c r="F1876" s="5" t="s">
        <v>5453</v>
      </c>
      <c r="G1876" s="5" t="s">
        <v>152</v>
      </c>
      <c r="H1876" s="5" t="s">
        <v>5454</v>
      </c>
      <c r="I1876" s="5" t="s">
        <v>5484</v>
      </c>
      <c r="J1876" s="5" t="s">
        <v>5485</v>
      </c>
      <c r="K1876" s="7" t="str">
        <f ca="1">IFERROR(__xludf.DUMMYFUNCTION("GOOGLETRANSLATE(H1876,""EN"",""ES"")"),"BOTELLAS, MATRACES, OLLAS, CARBOYAS, DIAMANTES Y ENVASES A PRESIÓN")</f>
        <v>BOTELLAS, MATRACES, OLLAS, CARBOYAS, DIAMANTES Y ENVASES A PRESIÓN</v>
      </c>
      <c r="L1876" s="5" t="str">
        <f ca="1">IFERROR(__xludf.DUMMYFUNCTION("GOOGLETRANSLATE(J1876,""EN"",""ES"")"),"Vasos para recoger resina.")</f>
        <v>Vasos para recoger resina.</v>
      </c>
      <c r="M1876" s="8" t="s">
        <v>28</v>
      </c>
      <c r="N1876" s="8"/>
    </row>
    <row r="1877" spans="1:14" ht="11.25" customHeight="1">
      <c r="A1877" s="5" t="s">
        <v>5449</v>
      </c>
      <c r="B1877" s="5" t="s">
        <v>5450</v>
      </c>
      <c r="C1877" s="5" t="s">
        <v>5486</v>
      </c>
      <c r="D1877" s="5" t="s">
        <v>5452</v>
      </c>
      <c r="E1877" s="5" t="s">
        <v>29</v>
      </c>
      <c r="F1877" s="5" t="s">
        <v>5453</v>
      </c>
      <c r="G1877" s="5" t="s">
        <v>152</v>
      </c>
      <c r="H1877" s="5" t="s">
        <v>5454</v>
      </c>
      <c r="I1877" s="5" t="s">
        <v>5487</v>
      </c>
      <c r="J1877" s="5" t="s">
        <v>5488</v>
      </c>
      <c r="K1877" s="7" t="str">
        <f ca="1">IFERROR(__xludf.DUMMYFUNCTION("GOOGLETRANSLATE(H1877,""EN"",""ES"")"),"BOTELLAS, MATRACES, OLLAS, CARBOYAS, DIAMANTES Y ENVASES A PRESIÓN")</f>
        <v>BOTELLAS, MATRACES, OLLAS, CARBOYAS, DIAMANTES Y ENVASES A PRESIÓN</v>
      </c>
      <c r="L1877" s="5" t="str">
        <f ca="1">IFERROR(__xludf.DUMMYFUNCTION("GOOGLETRANSLATE(J1877,""EN"",""ES"")"),"Cartuchos de gas líquido para encendedores de cigarrillos.")</f>
        <v>Cartuchos de gas líquido para encendedores de cigarrillos.</v>
      </c>
      <c r="M1877" s="8" t="s">
        <v>28</v>
      </c>
      <c r="N1877" s="8"/>
    </row>
    <row r="1878" spans="1:14" ht="11.25" customHeight="1">
      <c r="A1878" s="5" t="s">
        <v>5449</v>
      </c>
      <c r="B1878" s="5" t="s">
        <v>5450</v>
      </c>
      <c r="C1878" s="5" t="s">
        <v>5489</v>
      </c>
      <c r="D1878" s="5" t="s">
        <v>5452</v>
      </c>
      <c r="E1878" s="5" t="s">
        <v>29</v>
      </c>
      <c r="F1878" s="5" t="s">
        <v>5453</v>
      </c>
      <c r="G1878" s="5" t="s">
        <v>152</v>
      </c>
      <c r="H1878" s="5" t="s">
        <v>5454</v>
      </c>
      <c r="I1878" s="5" t="s">
        <v>5490</v>
      </c>
      <c r="J1878" s="5" t="s">
        <v>5491</v>
      </c>
      <c r="K1878" s="7" t="str">
        <f ca="1">IFERROR(__xludf.DUMMYFUNCTION("GOOGLETRANSLATE(H1878,""EN"",""ES"")"),"BOTELLAS, MATRACES, OLLAS, CARBOYAS, DIAMANTES Y ENVASES A PRESIÓN")</f>
        <v>BOTELLAS, MATRACES, OLLAS, CARBOYAS, DIAMANTES Y ENVASES A PRESIÓN</v>
      </c>
      <c r="L1878" s="5" t="str">
        <f ca="1">IFERROR(__xludf.DUMMYFUNCTION("GOOGLETRANSLATE(J1878,""EN"",""ES"")"),"Coberturas para botellas")</f>
        <v>Coberturas para botellas</v>
      </c>
      <c r="M1878" s="8" t="s">
        <v>28</v>
      </c>
      <c r="N1878" s="8"/>
    </row>
    <row r="1879" spans="1:14" ht="11.25" customHeight="1">
      <c r="A1879" s="5" t="s">
        <v>5449</v>
      </c>
      <c r="B1879" s="5" t="s">
        <v>5450</v>
      </c>
      <c r="C1879" s="5" t="s">
        <v>5492</v>
      </c>
      <c r="D1879" s="5" t="s">
        <v>5452</v>
      </c>
      <c r="E1879" s="5" t="s">
        <v>29</v>
      </c>
      <c r="F1879" s="5" t="s">
        <v>5453</v>
      </c>
      <c r="G1879" s="5" t="s">
        <v>152</v>
      </c>
      <c r="H1879" s="5" t="s">
        <v>5454</v>
      </c>
      <c r="I1879" s="5" t="s">
        <v>5493</v>
      </c>
      <c r="J1879" s="5" t="s">
        <v>5494</v>
      </c>
      <c r="K1879" s="7" t="str">
        <f ca="1">IFERROR(__xludf.DUMMYFUNCTION("GOOGLETRANSLATE(H1879,""EN"",""ES"")"),"BOTELLAS, MATRACES, OLLAS, CARBOYAS, DIAMANTES Y ENVASES A PRESIÓN")</f>
        <v>BOTELLAS, MATRACES, OLLAS, CARBOYAS, DIAMANTES Y ENVASES A PRESIÓN</v>
      </c>
      <c r="L1879" s="5" t="str">
        <f ca="1">IFERROR(__xludf.DUMMYFUNCTION("GOOGLETRANSLATE(J1879,""EN"",""ES"")"),"Cilindros de acero para gas comprimido.")</f>
        <v>Cilindros de acero para gas comprimido.</v>
      </c>
      <c r="M1879" s="8" t="s">
        <v>28</v>
      </c>
      <c r="N1879" s="8"/>
    </row>
    <row r="1880" spans="1:14" ht="11.25" customHeight="1">
      <c r="A1880" s="5" t="s">
        <v>5449</v>
      </c>
      <c r="B1880" s="5" t="s">
        <v>5450</v>
      </c>
      <c r="C1880" s="5" t="s">
        <v>5495</v>
      </c>
      <c r="D1880" s="5" t="s">
        <v>5452</v>
      </c>
      <c r="E1880" s="5" t="s">
        <v>29</v>
      </c>
      <c r="F1880" s="5" t="s">
        <v>5453</v>
      </c>
      <c r="G1880" s="5" t="s">
        <v>152</v>
      </c>
      <c r="H1880" s="5" t="s">
        <v>5454</v>
      </c>
      <c r="I1880" s="5" t="s">
        <v>5496</v>
      </c>
      <c r="J1880" s="5" t="s">
        <v>5497</v>
      </c>
      <c r="K1880" s="7" t="str">
        <f ca="1">IFERROR(__xludf.DUMMYFUNCTION("GOOGLETRANSLATE(H1880,""EN"",""ES"")"),"BOTELLAS, MATRACES, OLLAS, CARBOYAS, DIAMANTES Y ENVASES A PRESIÓN")</f>
        <v>BOTELLAS, MATRACES, OLLAS, CARBOYAS, DIAMANTES Y ENVASES A PRESIÓN</v>
      </c>
      <c r="L1880" s="5" t="str">
        <f ca="1">IFERROR(__xludf.DUMMYFUNCTION("GOOGLETRANSLATE(J1880,""EN"",""ES"")"),"Vasos utilizados para el embalaje.")</f>
        <v>Vasos utilizados para el embalaje.</v>
      </c>
      <c r="M1880" s="8" t="s">
        <v>28</v>
      </c>
      <c r="N1880" s="8"/>
    </row>
    <row r="1881" spans="1:14" ht="11.25" customHeight="1">
      <c r="A1881" s="5" t="s">
        <v>5449</v>
      </c>
      <c r="B1881" s="5" t="s">
        <v>5450</v>
      </c>
      <c r="C1881" s="5" t="s">
        <v>5498</v>
      </c>
      <c r="D1881" s="5" t="s">
        <v>5452</v>
      </c>
      <c r="E1881" s="5" t="s">
        <v>29</v>
      </c>
      <c r="F1881" s="5" t="s">
        <v>5453</v>
      </c>
      <c r="G1881" s="5" t="s">
        <v>152</v>
      </c>
      <c r="H1881" s="5" t="s">
        <v>5454</v>
      </c>
      <c r="I1881" s="5" t="s">
        <v>5499</v>
      </c>
      <c r="J1881" s="5" t="s">
        <v>5500</v>
      </c>
      <c r="K1881" s="7" t="str">
        <f ca="1">IFERROR(__xludf.DUMMYFUNCTION("GOOGLETRANSLATE(H1881,""EN"",""ES"")"),"BOTELLAS, MATRACES, OLLAS, CARBOYAS, DIAMANTES Y ENVASES A PRESIÓN")</f>
        <v>BOTELLAS, MATRACES, OLLAS, CARBOYAS, DIAMANTES Y ENVASES A PRESIÓN</v>
      </c>
      <c r="L1881" s="5" t="str">
        <f ca="1">IFERROR(__xludf.DUMMYFUNCTION("GOOGLETRANSLATE(J1881,""EN"",""ES"")"),"Frascos para cosméticos [envases]")</f>
        <v>Frascos para cosméticos [envases]</v>
      </c>
      <c r="M1881" s="8" t="s">
        <v>28</v>
      </c>
      <c r="N1881" s="8"/>
    </row>
    <row r="1882" spans="1:14" ht="11.25" customHeight="1">
      <c r="A1882" s="5" t="s">
        <v>5449</v>
      </c>
      <c r="B1882" s="5" t="s">
        <v>5450</v>
      </c>
      <c r="C1882" s="5" t="s">
        <v>5501</v>
      </c>
      <c r="D1882" s="5" t="s">
        <v>5452</v>
      </c>
      <c r="E1882" s="5" t="s">
        <v>29</v>
      </c>
      <c r="F1882" s="5" t="s">
        <v>5453</v>
      </c>
      <c r="G1882" s="5" t="s">
        <v>152</v>
      </c>
      <c r="H1882" s="5" t="s">
        <v>5454</v>
      </c>
      <c r="I1882" s="5" t="s">
        <v>5502</v>
      </c>
      <c r="J1882" s="5" t="s">
        <v>5503</v>
      </c>
      <c r="K1882" s="7" t="str">
        <f ca="1">IFERROR(__xludf.DUMMYFUNCTION("GOOGLETRANSLATE(H1882,""EN"",""ES"")"),"BOTELLAS, MATRACES, OLLAS, CARBOYAS, DIAMANTES Y ENVASES A PRESIÓN")</f>
        <v>BOTELLAS, MATRACES, OLLAS, CARBOYAS, DIAMANTES Y ENVASES A PRESIÓN</v>
      </c>
      <c r="L1882" s="5" t="str">
        <f ca="1">IFERROR(__xludf.DUMMYFUNCTION("GOOGLETRANSLATE(J1882,""EN"",""ES"")"),"latas de bebida")</f>
        <v>latas de bebida</v>
      </c>
      <c r="M1882" s="8" t="s">
        <v>28</v>
      </c>
      <c r="N1882" s="8"/>
    </row>
    <row r="1883" spans="1:14" ht="11.25" customHeight="1">
      <c r="A1883" s="5" t="s">
        <v>5449</v>
      </c>
      <c r="B1883" s="5" t="s">
        <v>5450</v>
      </c>
      <c r="C1883" s="5" t="s">
        <v>5504</v>
      </c>
      <c r="D1883" s="5" t="s">
        <v>5452</v>
      </c>
      <c r="E1883" s="5" t="s">
        <v>29</v>
      </c>
      <c r="F1883" s="5" t="s">
        <v>5453</v>
      </c>
      <c r="G1883" s="5" t="s">
        <v>152</v>
      </c>
      <c r="H1883" s="5" t="s">
        <v>5454</v>
      </c>
      <c r="I1883" s="5" t="s">
        <v>5505</v>
      </c>
      <c r="J1883" s="5" t="s">
        <v>5506</v>
      </c>
      <c r="K1883" s="7" t="str">
        <f ca="1">IFERROR(__xludf.DUMMYFUNCTION("GOOGLETRANSLATE(H1883,""EN"",""ES"")"),"BOTELLAS, MATRACES, OLLAS, CARBOYAS, DIAMANTES Y ENVASES A PRESIÓN")</f>
        <v>BOTELLAS, MATRACES, OLLAS, CARBOYAS, DIAMANTES Y ENVASES A PRESIÓN</v>
      </c>
      <c r="L1883" s="5" t="str">
        <f ca="1">IFERROR(__xludf.DUMMYFUNCTION("GOOGLETRANSLATE(J1883,""EN"",""ES"")"),"botellas de bebidas")</f>
        <v>botellas de bebidas</v>
      </c>
      <c r="M1883" s="8" t="s">
        <v>28</v>
      </c>
      <c r="N1883" s="8"/>
    </row>
    <row r="1884" spans="1:14" ht="11.25" customHeight="1">
      <c r="A1884" s="5" t="s">
        <v>5449</v>
      </c>
      <c r="B1884" s="5" t="s">
        <v>5450</v>
      </c>
      <c r="C1884" s="5" t="s">
        <v>5507</v>
      </c>
      <c r="D1884" s="5" t="s">
        <v>5452</v>
      </c>
      <c r="E1884" s="5" t="s">
        <v>29</v>
      </c>
      <c r="F1884" s="5" t="s">
        <v>5453</v>
      </c>
      <c r="G1884" s="5" t="s">
        <v>152</v>
      </c>
      <c r="H1884" s="5" t="s">
        <v>5454</v>
      </c>
      <c r="I1884" s="5" t="s">
        <v>5508</v>
      </c>
      <c r="J1884" s="5" t="s">
        <v>5509</v>
      </c>
      <c r="K1884" s="7" t="str">
        <f ca="1">IFERROR(__xludf.DUMMYFUNCTION("GOOGLETRANSLATE(H1884,""EN"",""ES"")"),"BOTELLAS, MATRACES, OLLAS, CARBOYAS, DIAMANTES Y ENVASES A PRESIÓN")</f>
        <v>BOTELLAS, MATRACES, OLLAS, CARBOYAS, DIAMANTES Y ENVASES A PRESIÓN</v>
      </c>
      <c r="L1884" s="5" t="str">
        <f ca="1">IFERROR(__xludf.DUMMYFUNCTION("GOOGLETRANSLATE(J1884,""EN"",""ES"")"),"Botellas para dispensadores de agua.")</f>
        <v>Botellas para dispensadores de agua.</v>
      </c>
      <c r="M1884" s="8" t="s">
        <v>28</v>
      </c>
      <c r="N1884" s="8"/>
    </row>
    <row r="1885" spans="1:14" ht="11.25" customHeight="1">
      <c r="A1885" s="5" t="s">
        <v>5449</v>
      </c>
      <c r="B1885" s="5" t="s">
        <v>5450</v>
      </c>
      <c r="C1885" s="5" t="s">
        <v>5510</v>
      </c>
      <c r="D1885" s="5" t="s">
        <v>5452</v>
      </c>
      <c r="E1885" s="5" t="s">
        <v>29</v>
      </c>
      <c r="F1885" s="5" t="s">
        <v>5453</v>
      </c>
      <c r="G1885" s="5" t="s">
        <v>152</v>
      </c>
      <c r="H1885" s="5" t="s">
        <v>5454</v>
      </c>
      <c r="I1885" s="5" t="s">
        <v>5511</v>
      </c>
      <c r="J1885" s="5" t="s">
        <v>5512</v>
      </c>
      <c r="K1885" s="7" t="str">
        <f ca="1">IFERROR(__xludf.DUMMYFUNCTION("GOOGLETRANSLATE(H1885,""EN"",""ES"")"),"BOTELLAS, MATRACES, OLLAS, CARBOYAS, DIAMANTES Y ENVASES A PRESIÓN")</f>
        <v>BOTELLAS, MATRACES, OLLAS, CARBOYAS, DIAMANTES Y ENVASES A PRESIÓN</v>
      </c>
      <c r="L1885" s="5" t="str">
        <f ca="1">IFERROR(__xludf.DUMMYFUNCTION("GOOGLETRANSLATE(J1885,""EN"",""ES"")"),"Macetas [embalaje]")</f>
        <v>Macetas [embalaje]</v>
      </c>
      <c r="M1885" s="8" t="s">
        <v>28</v>
      </c>
      <c r="N1885" s="8"/>
    </row>
    <row r="1886" spans="1:14" ht="11.25" customHeight="1">
      <c r="A1886" s="5" t="s">
        <v>5449</v>
      </c>
      <c r="B1886" s="5" t="s">
        <v>5513</v>
      </c>
      <c r="C1886" s="5" t="s">
        <v>5514</v>
      </c>
      <c r="D1886" s="5" t="s">
        <v>5452</v>
      </c>
      <c r="E1886" s="5" t="s">
        <v>29</v>
      </c>
      <c r="F1886" s="5" t="s">
        <v>5453</v>
      </c>
      <c r="G1886" s="5" t="s">
        <v>152</v>
      </c>
      <c r="H1886" s="5" t="s">
        <v>5515</v>
      </c>
      <c r="I1886" s="5" t="s">
        <v>5516</v>
      </c>
      <c r="J1886" s="5" t="s">
        <v>5517</v>
      </c>
      <c r="K1886" s="7" t="str">
        <f ca="1">IFERROR(__xludf.DUMMYFUNCTION("GOOGLETRANSLATE(H1886,""EN"",""ES"")"),"ALMACENAMIENTO DE LATAS, BIDONES Y BARRILES")</f>
        <v>ALMACENAMIENTO DE LATAS, BIDONES Y BARRILES</v>
      </c>
      <c r="L1886" s="5" t="str">
        <f ca="1">IFERROR(__xludf.DUMMYFUNCTION("GOOGLETRANSLATE(J1886,""EN"",""ES"")"),"Cubas")</f>
        <v>Cubas</v>
      </c>
      <c r="M1886" s="8" t="s">
        <v>28</v>
      </c>
      <c r="N1886" s="8"/>
    </row>
    <row r="1887" spans="1:14" ht="11.25" customHeight="1">
      <c r="A1887" s="5" t="s">
        <v>5449</v>
      </c>
      <c r="B1887" s="5" t="s">
        <v>5513</v>
      </c>
      <c r="C1887" s="5" t="s">
        <v>5518</v>
      </c>
      <c r="D1887" s="5" t="s">
        <v>5452</v>
      </c>
      <c r="E1887" s="5" t="s">
        <v>29</v>
      </c>
      <c r="F1887" s="5" t="s">
        <v>5453</v>
      </c>
      <c r="G1887" s="5" t="s">
        <v>152</v>
      </c>
      <c r="H1887" s="5" t="s">
        <v>5515</v>
      </c>
      <c r="I1887" s="5" t="s">
        <v>5519</v>
      </c>
      <c r="J1887" s="5" t="s">
        <v>5520</v>
      </c>
      <c r="K1887" s="7" t="str">
        <f ca="1">IFERROR(__xludf.DUMMYFUNCTION("GOOGLETRANSLATE(H1887,""EN"",""ES"")"),"ALMACENAMIENTO DE LATAS, BIDONES Y BARRILES")</f>
        <v>ALMACENAMIENTO DE LATAS, BIDONES Y BARRILES</v>
      </c>
      <c r="L1887" s="5" t="str">
        <f ca="1">IFERROR(__xludf.DUMMYFUNCTION("GOOGLETRANSLATE(J1887,""EN"",""ES"")"),"Barriles [barriles pequeños]")</f>
        <v>Barriles [barriles pequeños]</v>
      </c>
      <c r="M1887" s="8" t="s">
        <v>28</v>
      </c>
      <c r="N1887" s="8"/>
    </row>
    <row r="1888" spans="1:14" ht="11.25" customHeight="1">
      <c r="A1888" s="5" t="s">
        <v>5449</v>
      </c>
      <c r="B1888" s="5" t="s">
        <v>5513</v>
      </c>
      <c r="C1888" s="5" t="s">
        <v>5518</v>
      </c>
      <c r="D1888" s="5" t="s">
        <v>5452</v>
      </c>
      <c r="E1888" s="5" t="s">
        <v>29</v>
      </c>
      <c r="F1888" s="5" t="s">
        <v>5453</v>
      </c>
      <c r="G1888" s="5" t="s">
        <v>152</v>
      </c>
      <c r="H1888" s="5" t="s">
        <v>5515</v>
      </c>
      <c r="I1888" s="5" t="s">
        <v>5521</v>
      </c>
      <c r="J1888" s="5" t="s">
        <v>152</v>
      </c>
      <c r="K1888" s="7" t="str">
        <f ca="1">IFERROR(__xludf.DUMMYFUNCTION("GOOGLETRANSLATE(H1888,""EN"",""ES"")"),"ALMACENAMIENTO DE LATAS, BIDONES Y BARRILES")</f>
        <v>ALMACENAMIENTO DE LATAS, BIDONES Y BARRILES</v>
      </c>
      <c r="L1888" s="5" t="str">
        <f ca="1">IFERROR(__xludf.DUMMYFUNCTION("GOOGLETRANSLATE(J1888,""EN"",""ES"")"),"Barriles pequeños [barriles]")</f>
        <v>Barriles pequeños [barriles]</v>
      </c>
      <c r="M1888" s="8" t="s">
        <v>28</v>
      </c>
      <c r="N1888" s="8"/>
    </row>
    <row r="1889" spans="1:14" ht="11.25" customHeight="1">
      <c r="A1889" s="5" t="s">
        <v>5449</v>
      </c>
      <c r="B1889" s="5" t="s">
        <v>5513</v>
      </c>
      <c r="C1889" s="5" t="s">
        <v>5522</v>
      </c>
      <c r="D1889" s="5" t="s">
        <v>5452</v>
      </c>
      <c r="E1889" s="5" t="s">
        <v>29</v>
      </c>
      <c r="F1889" s="5" t="s">
        <v>5453</v>
      </c>
      <c r="G1889" s="5" t="s">
        <v>152</v>
      </c>
      <c r="H1889" s="5" t="s">
        <v>5515</v>
      </c>
      <c r="I1889" s="5" t="s">
        <v>5523</v>
      </c>
      <c r="J1889" s="5" t="s">
        <v>5524</v>
      </c>
      <c r="K1889" s="7" t="str">
        <f ca="1">IFERROR(__xludf.DUMMYFUNCTION("GOOGLETRANSLATE(H1889,""EN"",""ES"")"),"ALMACENAMIENTO DE LATAS, BIDONES Y BARRILES")</f>
        <v>ALMACENAMIENTO DE LATAS, BIDONES Y BARRILES</v>
      </c>
      <c r="L1889" s="5" t="str">
        <f ca="1">IFERROR(__xludf.DUMMYFUNCTION("GOOGLETRANSLATE(J1889,""EN"",""ES"")"),"Barricas, barriles grandes.")</f>
        <v>Barricas, barriles grandes.</v>
      </c>
      <c r="M1889" s="8" t="s">
        <v>28</v>
      </c>
      <c r="N1889" s="8"/>
    </row>
    <row r="1890" spans="1:14" ht="11.25" customHeight="1">
      <c r="A1890" s="5" t="s">
        <v>5449</v>
      </c>
      <c r="B1890" s="5" t="s">
        <v>5513</v>
      </c>
      <c r="C1890" s="5" t="s">
        <v>5525</v>
      </c>
      <c r="D1890" s="5" t="s">
        <v>5452</v>
      </c>
      <c r="E1890" s="5" t="s">
        <v>29</v>
      </c>
      <c r="F1890" s="5" t="s">
        <v>5453</v>
      </c>
      <c r="G1890" s="5" t="s">
        <v>152</v>
      </c>
      <c r="H1890" s="5" t="s">
        <v>5515</v>
      </c>
      <c r="I1890" s="5" t="s">
        <v>5526</v>
      </c>
      <c r="J1890" s="5" t="s">
        <v>5527</v>
      </c>
      <c r="K1890" s="7" t="str">
        <f ca="1">IFERROR(__xludf.DUMMYFUNCTION("GOOGLETRANSLATE(H1890,""EN"",""ES"")"),"ALMACENAMIENTO DE LATAS, BIDONES Y BARRILES")</f>
        <v>ALMACENAMIENTO DE LATAS, BIDONES Y BARRILES</v>
      </c>
      <c r="L1890" s="5" t="str">
        <f ca="1">IFERROR(__xludf.DUMMYFUNCTION("GOOGLETRANSLATE(J1890,""EN"",""ES"")"),"Barriles de arenque")</f>
        <v>Barriles de arenque</v>
      </c>
      <c r="M1890" s="8" t="s">
        <v>28</v>
      </c>
      <c r="N1890" s="8"/>
    </row>
    <row r="1891" spans="1:14" ht="11.25" customHeight="1">
      <c r="A1891" s="5" t="s">
        <v>5449</v>
      </c>
      <c r="B1891" s="5" t="s">
        <v>5513</v>
      </c>
      <c r="C1891" s="5" t="s">
        <v>5528</v>
      </c>
      <c r="D1891" s="5" t="s">
        <v>5452</v>
      </c>
      <c r="E1891" s="5" t="s">
        <v>29</v>
      </c>
      <c r="F1891" s="5" t="s">
        <v>5453</v>
      </c>
      <c r="G1891" s="5" t="s">
        <v>152</v>
      </c>
      <c r="H1891" s="5" t="s">
        <v>5515</v>
      </c>
      <c r="I1891" s="5" t="s">
        <v>5529</v>
      </c>
      <c r="J1891" s="5" t="s">
        <v>5530</v>
      </c>
      <c r="K1891" s="7" t="str">
        <f ca="1">IFERROR(__xludf.DUMMYFUNCTION("GOOGLETRANSLATE(H1891,""EN"",""ES"")"),"ALMACENAMIENTO DE LATAS, BIDONES Y BARRILES")</f>
        <v>ALMACENAMIENTO DE LATAS, BIDONES Y BARRILES</v>
      </c>
      <c r="L1891" s="5" t="str">
        <f ca="1">IFERROR(__xludf.DUMMYFUNCTION("GOOGLETRANSLATE(J1891,""EN"",""ES"")"),"Cubas de vino")</f>
        <v>Cubas de vino</v>
      </c>
      <c r="M1891" s="8" t="s">
        <v>28</v>
      </c>
      <c r="N1891" s="8"/>
    </row>
    <row r="1892" spans="1:14" ht="11.25" customHeight="1">
      <c r="A1892" s="5" t="s">
        <v>5449</v>
      </c>
      <c r="B1892" s="5" t="s">
        <v>5513</v>
      </c>
      <c r="C1892" s="5" t="s">
        <v>5531</v>
      </c>
      <c r="D1892" s="5" t="s">
        <v>5452</v>
      </c>
      <c r="E1892" s="5" t="s">
        <v>29</v>
      </c>
      <c r="F1892" s="5" t="s">
        <v>5453</v>
      </c>
      <c r="G1892" s="5" t="s">
        <v>152</v>
      </c>
      <c r="H1892" s="5" t="s">
        <v>5515</v>
      </c>
      <c r="I1892" s="5" t="s">
        <v>5532</v>
      </c>
      <c r="J1892" s="5" t="s">
        <v>5533</v>
      </c>
      <c r="K1892" s="7" t="str">
        <f ca="1">IFERROR(__xludf.DUMMYFUNCTION("GOOGLETRANSLATE(H1892,""EN"",""ES"")"),"ALMACENAMIENTO DE LATAS, BIDONES Y BARRILES")</f>
        <v>ALMACENAMIENTO DE LATAS, BIDONES Y BARRILES</v>
      </c>
      <c r="L1892" s="5" t="str">
        <f ca="1">IFERROR(__xludf.DUMMYFUNCTION("GOOGLETRANSLATE(J1892,""EN"",""ES"")"),"botes")</f>
        <v>botes</v>
      </c>
      <c r="M1892" s="8" t="s">
        <v>28</v>
      </c>
      <c r="N1892" s="8"/>
    </row>
    <row r="1893" spans="1:14" ht="11.25" customHeight="1">
      <c r="A1893" s="5" t="s">
        <v>5449</v>
      </c>
      <c r="B1893" s="5" t="s">
        <v>5513</v>
      </c>
      <c r="C1893" s="5" t="s">
        <v>5534</v>
      </c>
      <c r="D1893" s="5" t="s">
        <v>5452</v>
      </c>
      <c r="E1893" s="5" t="s">
        <v>29</v>
      </c>
      <c r="F1893" s="5" t="s">
        <v>5453</v>
      </c>
      <c r="G1893" s="5" t="s">
        <v>152</v>
      </c>
      <c r="H1893" s="5" t="s">
        <v>5515</v>
      </c>
      <c r="I1893" s="5" t="s">
        <v>5535</v>
      </c>
      <c r="J1893" s="5" t="s">
        <v>5536</v>
      </c>
      <c r="K1893" s="7" t="str">
        <f ca="1">IFERROR(__xludf.DUMMYFUNCTION("GOOGLETRANSLATE(H1893,""EN"",""ES"")"),"ALMACENAMIENTO DE LATAS, BIDONES Y BARRILES")</f>
        <v>ALMACENAMIENTO DE LATAS, BIDONES Y BARRILES</v>
      </c>
      <c r="L1893" s="5" t="str">
        <f ca="1">IFERROR(__xludf.DUMMYFUNCTION("GOOGLETRANSLATE(J1893,""EN"",""ES"")"),"Barriles, toneles, bidones [contenedores]")</f>
        <v>Barriles, toneles, bidones [contenedores]</v>
      </c>
      <c r="M1893" s="8" t="s">
        <v>28</v>
      </c>
      <c r="N1893" s="8"/>
    </row>
    <row r="1894" spans="1:14" ht="11.25" customHeight="1">
      <c r="A1894" s="5" t="s">
        <v>5449</v>
      </c>
      <c r="B1894" s="5" t="s">
        <v>5513</v>
      </c>
      <c r="C1894" s="5" t="s">
        <v>5534</v>
      </c>
      <c r="D1894" s="5" t="s">
        <v>5452</v>
      </c>
      <c r="E1894" s="5" t="s">
        <v>29</v>
      </c>
      <c r="F1894" s="5" t="s">
        <v>5453</v>
      </c>
      <c r="G1894" s="5" t="s">
        <v>152</v>
      </c>
      <c r="H1894" s="5" t="s">
        <v>5515</v>
      </c>
      <c r="I1894" s="5" t="s">
        <v>5537</v>
      </c>
      <c r="J1894" s="5" t="s">
        <v>152</v>
      </c>
      <c r="K1894" s="7" t="str">
        <f ca="1">IFERROR(__xludf.DUMMYFUNCTION("GOOGLETRANSLATE(H1894,""EN"",""ES"")"),"ALMACENAMIENTO DE LATAS, BIDONES Y BARRILES")</f>
        <v>ALMACENAMIENTO DE LATAS, BIDONES Y BARRILES</v>
      </c>
      <c r="L1894" s="5" t="str">
        <f ca="1">IFERROR(__xludf.DUMMYFUNCTION("GOOGLETRANSLATE(J1894,""EN"",""ES"")"),"Barriles, bidones, toneles [contenedores]")</f>
        <v>Barriles, bidones, toneles [contenedores]</v>
      </c>
      <c r="M1894" s="8" t="s">
        <v>28</v>
      </c>
      <c r="N1894" s="8"/>
    </row>
    <row r="1895" spans="1:14" ht="11.25" customHeight="1">
      <c r="A1895" s="5" t="s">
        <v>5449</v>
      </c>
      <c r="B1895" s="5" t="s">
        <v>5513</v>
      </c>
      <c r="C1895" s="5" t="s">
        <v>5538</v>
      </c>
      <c r="D1895" s="5" t="s">
        <v>5452</v>
      </c>
      <c r="E1895" s="5" t="s">
        <v>29</v>
      </c>
      <c r="F1895" s="5" t="s">
        <v>5453</v>
      </c>
      <c r="G1895" s="5" t="s">
        <v>152</v>
      </c>
      <c r="H1895" s="5" t="s">
        <v>5515</v>
      </c>
      <c r="I1895" s="5" t="s">
        <v>5539</v>
      </c>
      <c r="J1895" s="5" t="s">
        <v>5540</v>
      </c>
      <c r="K1895" s="7" t="str">
        <f ca="1">IFERROR(__xludf.DUMMYFUNCTION("GOOGLETRANSLATE(H1895,""EN"",""ES"")"),"ALMACENAMIENTO DE LATAS, BIDONES Y BARRILES")</f>
        <v>ALMACENAMIENTO DE LATAS, BIDONES Y BARRILES</v>
      </c>
      <c r="L1895" s="5" t="str">
        <f ca="1">IFERROR(__xludf.DUMMYFUNCTION("GOOGLETRANSLATE(J1895,""EN"",""ES"")"),"Jerricanes")</f>
        <v>Jerricanes</v>
      </c>
      <c r="M1895" s="8" t="s">
        <v>28</v>
      </c>
      <c r="N1895" s="8"/>
    </row>
    <row r="1896" spans="1:14" ht="11.25" customHeight="1">
      <c r="A1896" s="5" t="s">
        <v>5449</v>
      </c>
      <c r="B1896" s="5" t="s">
        <v>5513</v>
      </c>
      <c r="C1896" s="5" t="s">
        <v>5541</v>
      </c>
      <c r="D1896" s="5" t="s">
        <v>5452</v>
      </c>
      <c r="E1896" s="5" t="s">
        <v>29</v>
      </c>
      <c r="F1896" s="5" t="s">
        <v>5453</v>
      </c>
      <c r="G1896" s="5" t="s">
        <v>152</v>
      </c>
      <c r="H1896" s="5" t="s">
        <v>5515</v>
      </c>
      <c r="I1896" s="5" t="s">
        <v>5542</v>
      </c>
      <c r="J1896" s="5" t="s">
        <v>5543</v>
      </c>
      <c r="K1896" s="7" t="str">
        <f ca="1">IFERROR(__xludf.DUMMYFUNCTION("GOOGLETRANSLATE(H1896,""EN"",""ES"")"),"ALMACENAMIENTO DE LATAS, BIDONES Y BARRILES")</f>
        <v>ALMACENAMIENTO DE LATAS, BIDONES Y BARRILES</v>
      </c>
      <c r="L1896" s="5" t="str">
        <f ca="1">IFERROR(__xludf.DUMMYFUNCTION("GOOGLETRANSLATE(J1896,""EN"",""ES"")"),"Tunes")</f>
        <v>Tunes</v>
      </c>
      <c r="M1896" s="8" t="s">
        <v>28</v>
      </c>
      <c r="N1896" s="8"/>
    </row>
    <row r="1897" spans="1:14" ht="11.25" customHeight="1">
      <c r="A1897" s="5" t="s">
        <v>5449</v>
      </c>
      <c r="B1897" s="5" t="s">
        <v>5513</v>
      </c>
      <c r="C1897" s="5" t="s">
        <v>5541</v>
      </c>
      <c r="D1897" s="5" t="s">
        <v>5452</v>
      </c>
      <c r="E1897" s="5" t="s">
        <v>29</v>
      </c>
      <c r="F1897" s="5" t="s">
        <v>5453</v>
      </c>
      <c r="G1897" s="5" t="s">
        <v>152</v>
      </c>
      <c r="H1897" s="5" t="s">
        <v>5515</v>
      </c>
      <c r="I1897" s="5" t="s">
        <v>5544</v>
      </c>
      <c r="J1897" s="5" t="s">
        <v>5545</v>
      </c>
      <c r="K1897" s="7" t="str">
        <f ca="1">IFERROR(__xludf.DUMMYFUNCTION("GOOGLETRANSLATE(H1897,""EN"",""ES"")"),"ALMACENAMIENTO DE LATAS, BIDONES Y BARRILES")</f>
        <v>ALMACENAMIENTO DE LATAS, BIDONES Y BARRILES</v>
      </c>
      <c r="L1897" s="5" t="str">
        <f ca="1">IFERROR(__xludf.DUMMYFUNCTION("GOOGLETRANSLATE(J1897,""EN"",""ES"")"),"barricas")</f>
        <v>barricas</v>
      </c>
      <c r="M1897" s="8" t="s">
        <v>28</v>
      </c>
      <c r="N1897" s="8"/>
    </row>
    <row r="1898" spans="1:14" ht="11.25" customHeight="1">
      <c r="A1898" s="5" t="s">
        <v>5449</v>
      </c>
      <c r="B1898" s="5" t="s">
        <v>5513</v>
      </c>
      <c r="C1898" s="5" t="s">
        <v>5546</v>
      </c>
      <c r="D1898" s="5" t="s">
        <v>5452</v>
      </c>
      <c r="E1898" s="5" t="s">
        <v>29</v>
      </c>
      <c r="F1898" s="5" t="s">
        <v>5453</v>
      </c>
      <c r="G1898" s="5" t="s">
        <v>152</v>
      </c>
      <c r="H1898" s="5" t="s">
        <v>5515</v>
      </c>
      <c r="I1898" s="5" t="s">
        <v>5547</v>
      </c>
      <c r="J1898" s="5" t="s">
        <v>5548</v>
      </c>
      <c r="K1898" s="7" t="str">
        <f ca="1">IFERROR(__xludf.DUMMYFUNCTION("GOOGLETRANSLATE(H1898,""EN"",""ES"")"),"ALMACENAMIENTO DE LATAS, BIDONES Y BARRILES")</f>
        <v>ALMACENAMIENTO DE LATAS, BIDONES Y BARRILES</v>
      </c>
      <c r="L1898" s="5" t="str">
        <f ca="1">IFERROR(__xludf.DUMMYFUNCTION("GOOGLETRANSLATE(J1898,""EN"",""ES"")"),"Barriles pequeños, barriles")</f>
        <v>Barriles pequeños, barriles</v>
      </c>
      <c r="M1898" s="8" t="s">
        <v>28</v>
      </c>
      <c r="N1898" s="8"/>
    </row>
    <row r="1899" spans="1:14" ht="11.25" customHeight="1">
      <c r="A1899" s="5" t="s">
        <v>5449</v>
      </c>
      <c r="B1899" s="5" t="s">
        <v>5513</v>
      </c>
      <c r="C1899" s="5" t="s">
        <v>5549</v>
      </c>
      <c r="D1899" s="5" t="s">
        <v>5452</v>
      </c>
      <c r="E1899" s="5" t="s">
        <v>29</v>
      </c>
      <c r="F1899" s="5" t="s">
        <v>5453</v>
      </c>
      <c r="G1899" s="5" t="s">
        <v>152</v>
      </c>
      <c r="H1899" s="5" t="s">
        <v>5515</v>
      </c>
      <c r="I1899" s="5" t="s">
        <v>5550</v>
      </c>
      <c r="J1899" s="5" t="s">
        <v>5551</v>
      </c>
      <c r="K1899" s="7" t="str">
        <f ca="1">IFERROR(__xludf.DUMMYFUNCTION("GOOGLETRANSLATE(H1899,""EN"",""ES"")"),"ALMACENAMIENTO DE LATAS, BIDONES Y BARRILES")</f>
        <v>ALMACENAMIENTO DE LATAS, BIDONES Y BARRILES</v>
      </c>
      <c r="L1899" s="5" t="str">
        <f ca="1">IFERROR(__xludf.DUMMYFUNCTION("GOOGLETRANSLATE(J1899,""EN"",""ES"")"),"latas de almacenamiento")</f>
        <v>latas de almacenamiento</v>
      </c>
      <c r="M1899" s="8" t="s">
        <v>28</v>
      </c>
      <c r="N1899" s="8"/>
    </row>
    <row r="1900" spans="1:14" ht="11.25" customHeight="1">
      <c r="A1900" s="5" t="s">
        <v>5449</v>
      </c>
      <c r="B1900" s="5" t="s">
        <v>5513</v>
      </c>
      <c r="C1900" s="5" t="s">
        <v>5552</v>
      </c>
      <c r="D1900" s="5" t="s">
        <v>5452</v>
      </c>
      <c r="E1900" s="5" t="s">
        <v>29</v>
      </c>
      <c r="F1900" s="5" t="s">
        <v>5453</v>
      </c>
      <c r="G1900" s="5" t="s">
        <v>152</v>
      </c>
      <c r="H1900" s="5" t="s">
        <v>5515</v>
      </c>
      <c r="I1900" s="5" t="s">
        <v>5553</v>
      </c>
      <c r="J1900" s="5" t="s">
        <v>5554</v>
      </c>
      <c r="K1900" s="7" t="str">
        <f ca="1">IFERROR(__xludf.DUMMYFUNCTION("GOOGLETRANSLATE(H1900,""EN"",""ES"")"),"ALMACENAMIENTO DE LATAS, BIDONES Y BARRILES")</f>
        <v>ALMACENAMIENTO DE LATAS, BIDONES Y BARRILES</v>
      </c>
      <c r="L1900" s="5" t="str">
        <f ca="1">IFERROR(__xludf.DUMMYFUNCTION("GOOGLETRANSLATE(J1900,""EN"",""ES"")"),"Cubos de pintura [embalaje]")</f>
        <v>Cubos de pintura [embalaje]</v>
      </c>
      <c r="M1900" s="8" t="s">
        <v>28</v>
      </c>
      <c r="N1900" s="8"/>
    </row>
    <row r="1901" spans="1:14" ht="11.25" customHeight="1">
      <c r="A1901" s="5" t="s">
        <v>5449</v>
      </c>
      <c r="B1901" s="5" t="s">
        <v>5555</v>
      </c>
      <c r="C1901" s="5" t="s">
        <v>5556</v>
      </c>
      <c r="D1901" s="5" t="s">
        <v>5452</v>
      </c>
      <c r="E1901" s="5" t="s">
        <v>29</v>
      </c>
      <c r="F1901" s="5" t="s">
        <v>5453</v>
      </c>
      <c r="G1901" s="5" t="s">
        <v>152</v>
      </c>
      <c r="H1901" s="5" t="s">
        <v>5557</v>
      </c>
      <c r="I1901" s="5" t="s">
        <v>5558</v>
      </c>
      <c r="J1901" s="5" t="s">
        <v>5559</v>
      </c>
      <c r="K1901" s="7" t="str">
        <f ca="1">IFERROR(__xludf.DUMMYFUNCTION("GOOGLETRANSLATE(H1901,""EN"",""ES"")"),"CAJAS, ESTUCHES, CONTENEDORES, LATAS DE HOJALATA")</f>
        <v>CAJAS, ESTUCHES, CONTENEDORES, LATAS DE HOJALATA</v>
      </c>
      <c r="L1901" s="5" t="str">
        <f ca="1">IFERROR(__xludf.DUMMYFUNCTION("GOOGLETRANSLATE(J1901,""EN"",""ES"")"),"Latas de almacenamiento de películas")</f>
        <v>Latas de almacenamiento de películas</v>
      </c>
      <c r="M1901" s="8" t="s">
        <v>28</v>
      </c>
      <c r="N1901" s="8"/>
    </row>
    <row r="1902" spans="1:14" ht="11.25" customHeight="1">
      <c r="A1902" s="5" t="s">
        <v>5449</v>
      </c>
      <c r="B1902" s="5" t="s">
        <v>5555</v>
      </c>
      <c r="C1902" s="5" t="s">
        <v>5560</v>
      </c>
      <c r="D1902" s="5" t="s">
        <v>5452</v>
      </c>
      <c r="E1902" s="5" t="s">
        <v>29</v>
      </c>
      <c r="F1902" s="5" t="s">
        <v>5453</v>
      </c>
      <c r="G1902" s="5" t="s">
        <v>152</v>
      </c>
      <c r="H1902" s="5" t="s">
        <v>5557</v>
      </c>
      <c r="I1902" s="5" t="s">
        <v>5561</v>
      </c>
      <c r="J1902" s="5" t="s">
        <v>5562</v>
      </c>
      <c r="K1902" s="7" t="str">
        <f ca="1">IFERROR(__xludf.DUMMYFUNCTION("GOOGLETRANSLATE(H1902,""EN"",""ES"")"),"CAJAS, ESTUCHES, CONTENEDORES, LATAS DE HOJALATA")</f>
        <v>CAJAS, ESTUCHES, CONTENEDORES, LATAS DE HOJALATA</v>
      </c>
      <c r="L1902" s="5" t="str">
        <f ca="1">IFERROR(__xludf.DUMMYFUNCTION("GOOGLETRANSLATE(J1902,""EN"",""ES"")"),"Cajas de cerillas")</f>
        <v>Cajas de cerillas</v>
      </c>
      <c r="M1902" s="8" t="s">
        <v>28</v>
      </c>
      <c r="N1902" s="8"/>
    </row>
    <row r="1903" spans="1:14" ht="11.25" customHeight="1">
      <c r="A1903" s="5" t="s">
        <v>5449</v>
      </c>
      <c r="B1903" s="5" t="s">
        <v>5555</v>
      </c>
      <c r="C1903" s="5" t="s">
        <v>5563</v>
      </c>
      <c r="D1903" s="5" t="s">
        <v>5452</v>
      </c>
      <c r="E1903" s="5" t="s">
        <v>29</v>
      </c>
      <c r="F1903" s="5" t="s">
        <v>5453</v>
      </c>
      <c r="G1903" s="5" t="s">
        <v>152</v>
      </c>
      <c r="H1903" s="5" t="s">
        <v>5557</v>
      </c>
      <c r="I1903" s="5" t="s">
        <v>5564</v>
      </c>
      <c r="J1903" s="5" t="s">
        <v>5565</v>
      </c>
      <c r="K1903" s="7" t="str">
        <f ca="1">IFERROR(__xludf.DUMMYFUNCTION("GOOGLETRANSLATE(H1903,""EN"",""ES"")"),"CAJAS, ESTUCHES, CONTENEDORES, LATAS DE HOJALATA")</f>
        <v>CAJAS, ESTUCHES, CONTENEDORES, LATAS DE HOJALATA</v>
      </c>
      <c r="L1903" s="5" t="str">
        <f ca="1">IFERROR(__xludf.DUMMYFUNCTION("GOOGLETRANSLATE(J1903,""EN"",""ES"")"),"Contenedores de carga")</f>
        <v>Contenedores de carga</v>
      </c>
      <c r="M1903" s="8" t="s">
        <v>28</v>
      </c>
      <c r="N1903" s="8"/>
    </row>
    <row r="1904" spans="1:14" ht="11.25" customHeight="1">
      <c r="A1904" s="5" t="s">
        <v>5449</v>
      </c>
      <c r="B1904" s="5" t="s">
        <v>5555</v>
      </c>
      <c r="C1904" s="5" t="s">
        <v>5563</v>
      </c>
      <c r="D1904" s="5" t="s">
        <v>5452</v>
      </c>
      <c r="E1904" s="5" t="s">
        <v>29</v>
      </c>
      <c r="F1904" s="5" t="s">
        <v>5453</v>
      </c>
      <c r="G1904" s="5" t="s">
        <v>152</v>
      </c>
      <c r="H1904" s="5" t="s">
        <v>5557</v>
      </c>
      <c r="I1904" s="5" t="s">
        <v>5566</v>
      </c>
      <c r="J1904" s="5" t="s">
        <v>152</v>
      </c>
      <c r="K1904" s="7" t="str">
        <f ca="1">IFERROR(__xludf.DUMMYFUNCTION("GOOGLETRANSLATE(H1904,""EN"",""ES"")"),"CAJAS, ESTUCHES, CONTENEDORES, LATAS DE HOJALATA")</f>
        <v>CAJAS, ESTUCHES, CONTENEDORES, LATAS DE HOJALATA</v>
      </c>
      <c r="L1904" s="5" t="str">
        <f ca="1">IFERROR(__xludf.DUMMYFUNCTION("GOOGLETRANSLATE(J1904,""EN"",""ES"")"),"Contenedores de envío")</f>
        <v>Contenedores de envío</v>
      </c>
      <c r="M1904" s="8" t="s">
        <v>28</v>
      </c>
      <c r="N1904" s="8"/>
    </row>
    <row r="1905" spans="1:14" ht="11.25" customHeight="1">
      <c r="A1905" s="5" t="s">
        <v>5449</v>
      </c>
      <c r="B1905" s="5" t="s">
        <v>5555</v>
      </c>
      <c r="C1905" s="5" t="s">
        <v>5567</v>
      </c>
      <c r="D1905" s="5" t="s">
        <v>5452</v>
      </c>
      <c r="E1905" s="5" t="s">
        <v>29</v>
      </c>
      <c r="F1905" s="5" t="s">
        <v>5453</v>
      </c>
      <c r="G1905" s="5" t="s">
        <v>152</v>
      </c>
      <c r="H1905" s="5" t="s">
        <v>5557</v>
      </c>
      <c r="I1905" s="5" t="s">
        <v>5568</v>
      </c>
      <c r="J1905" s="5" t="s">
        <v>5569</v>
      </c>
      <c r="K1905" s="7" t="str">
        <f ca="1">IFERROR(__xludf.DUMMYFUNCTION("GOOGLETRANSLATE(H1905,""EN"",""ES"")"),"CAJAS, ESTUCHES, CONTENEDORES, LATAS DE HOJALATA")</f>
        <v>CAJAS, ESTUCHES, CONTENEDORES, LATAS DE HOJALATA</v>
      </c>
      <c r="L1905" s="5" t="str">
        <f ca="1">IFERROR(__xludf.DUMMYFUNCTION("GOOGLETRANSLATE(J1905,""EN"",""ES"")"),"Cajas tetraédricas [embalajes]")</f>
        <v>Cajas tetraédricas [embalajes]</v>
      </c>
      <c r="M1905" s="8" t="s">
        <v>28</v>
      </c>
      <c r="N1905" s="8"/>
    </row>
    <row r="1906" spans="1:14" ht="11.25" customHeight="1">
      <c r="A1906" s="5" t="s">
        <v>5449</v>
      </c>
      <c r="B1906" s="5" t="s">
        <v>5555</v>
      </c>
      <c r="C1906" s="5" t="s">
        <v>5570</v>
      </c>
      <c r="D1906" s="5" t="s">
        <v>5452</v>
      </c>
      <c r="E1906" s="5" t="s">
        <v>29</v>
      </c>
      <c r="F1906" s="5" t="s">
        <v>5453</v>
      </c>
      <c r="G1906" s="5" t="s">
        <v>152</v>
      </c>
      <c r="H1906" s="5" t="s">
        <v>5557</v>
      </c>
      <c r="I1906" s="5" t="s">
        <v>5571</v>
      </c>
      <c r="J1906" s="5" t="s">
        <v>5572</v>
      </c>
      <c r="K1906" s="7" t="str">
        <f ca="1">IFERROR(__xludf.DUMMYFUNCTION("GOOGLETRANSLATE(H1906,""EN"",""ES"")"),"CAJAS, ESTUCHES, CONTENEDORES, LATAS DE HOJALATA")</f>
        <v>CAJAS, ESTUCHES, CONTENEDORES, LATAS DE HOJALATA</v>
      </c>
      <c r="L1906" s="5" t="str">
        <f ca="1">IFERROR(__xludf.DUMMYFUNCTION("GOOGLETRANSLATE(J1906,""EN"",""ES"")"),"cajas de embalaje")</f>
        <v>cajas de embalaje</v>
      </c>
      <c r="M1906" s="8" t="s">
        <v>28</v>
      </c>
      <c r="N1906" s="8"/>
    </row>
    <row r="1907" spans="1:14" ht="11.25" customHeight="1">
      <c r="A1907" s="5" t="s">
        <v>5449</v>
      </c>
      <c r="B1907" s="5" t="s">
        <v>5555</v>
      </c>
      <c r="C1907" s="5" t="s">
        <v>5573</v>
      </c>
      <c r="D1907" s="5" t="s">
        <v>5452</v>
      </c>
      <c r="E1907" s="5" t="s">
        <v>29</v>
      </c>
      <c r="F1907" s="5" t="s">
        <v>5453</v>
      </c>
      <c r="G1907" s="5" t="s">
        <v>152</v>
      </c>
      <c r="H1907" s="5" t="s">
        <v>5557</v>
      </c>
      <c r="I1907" s="5" t="s">
        <v>5574</v>
      </c>
      <c r="J1907" s="5" t="s">
        <v>5575</v>
      </c>
      <c r="K1907" s="7" t="str">
        <f ca="1">IFERROR(__xludf.DUMMYFUNCTION("GOOGLETRANSLATE(H1907,""EN"",""ES"")"),"CAJAS, ESTUCHES, CONTENEDORES, LATAS DE HOJALATA")</f>
        <v>CAJAS, ESTUCHES, CONTENEDORES, LATAS DE HOJALATA</v>
      </c>
      <c r="L1907" s="5" t="str">
        <f ca="1">IFERROR(__xludf.DUMMYFUNCTION("GOOGLETRANSLATE(J1907,""EN"",""ES"")"),"Cajas para guantes [embalaje]")</f>
        <v>Cajas para guantes [embalaje]</v>
      </c>
      <c r="M1907" s="8" t="s">
        <v>28</v>
      </c>
      <c r="N1907" s="8"/>
    </row>
    <row r="1908" spans="1:14" ht="11.25" customHeight="1">
      <c r="A1908" s="5" t="s">
        <v>5449</v>
      </c>
      <c r="B1908" s="5" t="s">
        <v>5555</v>
      </c>
      <c r="C1908" s="5" t="s">
        <v>5576</v>
      </c>
      <c r="D1908" s="5" t="s">
        <v>5452</v>
      </c>
      <c r="E1908" s="5" t="s">
        <v>29</v>
      </c>
      <c r="F1908" s="5" t="s">
        <v>5453</v>
      </c>
      <c r="G1908" s="5" t="s">
        <v>152</v>
      </c>
      <c r="H1908" s="5" t="s">
        <v>5557</v>
      </c>
      <c r="I1908" s="5" t="s">
        <v>5577</v>
      </c>
      <c r="J1908" s="5" t="s">
        <v>5578</v>
      </c>
      <c r="K1908" s="7" t="str">
        <f ca="1">IFERROR(__xludf.DUMMYFUNCTION("GOOGLETRANSLATE(H1908,""EN"",""ES"")"),"CAJAS, ESTUCHES, CONTENEDORES, LATAS DE HOJALATA")</f>
        <v>CAJAS, ESTUCHES, CONTENEDORES, LATAS DE HOJALATA</v>
      </c>
      <c r="L1908" s="5" t="str">
        <f ca="1">IFERROR(__xludf.DUMMYFUNCTION("GOOGLETRANSLATE(J1908,""EN"",""ES"")"),"latas")</f>
        <v>latas</v>
      </c>
      <c r="M1908" s="8" t="s">
        <v>28</v>
      </c>
      <c r="N1908" s="8"/>
    </row>
    <row r="1909" spans="1:14" ht="11.25" customHeight="1">
      <c r="A1909" s="5" t="s">
        <v>5449</v>
      </c>
      <c r="B1909" s="5" t="s">
        <v>5555</v>
      </c>
      <c r="C1909" s="5" t="s">
        <v>5579</v>
      </c>
      <c r="D1909" s="5" t="s">
        <v>5452</v>
      </c>
      <c r="E1909" s="5" t="s">
        <v>29</v>
      </c>
      <c r="F1909" s="5" t="s">
        <v>5453</v>
      </c>
      <c r="G1909" s="5" t="s">
        <v>152</v>
      </c>
      <c r="H1909" s="5" t="s">
        <v>5557</v>
      </c>
      <c r="I1909" s="5" t="s">
        <v>5580</v>
      </c>
      <c r="J1909" s="5" t="s">
        <v>5581</v>
      </c>
      <c r="K1909" s="7" t="str">
        <f ca="1">IFERROR(__xludf.DUMMYFUNCTION("GOOGLETRANSLATE(H1909,""EN"",""ES"")"),"CAJAS, ESTUCHES, CONTENEDORES, LATAS DE HOJALATA")</f>
        <v>CAJAS, ESTUCHES, CONTENEDORES, LATAS DE HOJALATA</v>
      </c>
      <c r="L1909" s="5" t="str">
        <f ca="1">IFERROR(__xludf.DUMMYFUNCTION("GOOGLETRANSLATE(J1909,""EN"",""ES"")"),"Cajas de cartón [embalaje]")</f>
        <v>Cajas de cartón [embalaje]</v>
      </c>
      <c r="M1909" s="8" t="s">
        <v>28</v>
      </c>
      <c r="N1909" s="8"/>
    </row>
    <row r="1910" spans="1:14" ht="11.25" customHeight="1">
      <c r="A1910" s="5" t="s">
        <v>5449</v>
      </c>
      <c r="B1910" s="5" t="s">
        <v>5555</v>
      </c>
      <c r="C1910" s="5" t="s">
        <v>5582</v>
      </c>
      <c r="D1910" s="5" t="s">
        <v>5452</v>
      </c>
      <c r="E1910" s="5" t="s">
        <v>29</v>
      </c>
      <c r="F1910" s="5" t="s">
        <v>5453</v>
      </c>
      <c r="G1910" s="5" t="s">
        <v>152</v>
      </c>
      <c r="H1910" s="5" t="s">
        <v>5557</v>
      </c>
      <c r="I1910" s="5" t="s">
        <v>5583</v>
      </c>
      <c r="J1910" s="5" t="s">
        <v>5584</v>
      </c>
      <c r="K1910" s="7" t="str">
        <f ca="1">IFERROR(__xludf.DUMMYFUNCTION("GOOGLETRANSLATE(H1910,""EN"",""ES"")"),"CAJAS, ESTUCHES, CONTENEDORES, LATAS DE HOJALATA")</f>
        <v>CAJAS, ESTUCHES, CONTENEDORES, LATAS DE HOJALATA</v>
      </c>
      <c r="L1910" s="5" t="str">
        <f ca="1">IFERROR(__xludf.DUMMYFUNCTION("GOOGLETRANSLATE(J1910,""EN"",""ES"")"),"Cajas de embalaje")</f>
        <v>Cajas de embalaje</v>
      </c>
      <c r="M1910" s="8" t="s">
        <v>28</v>
      </c>
      <c r="N1910" s="8"/>
    </row>
    <row r="1911" spans="1:14" ht="11.25" customHeight="1">
      <c r="A1911" s="5" t="s">
        <v>5449</v>
      </c>
      <c r="B1911" s="5" t="s">
        <v>5555</v>
      </c>
      <c r="C1911" s="5" t="s">
        <v>5585</v>
      </c>
      <c r="D1911" s="5" t="s">
        <v>5452</v>
      </c>
      <c r="E1911" s="5" t="s">
        <v>29</v>
      </c>
      <c r="F1911" s="5" t="s">
        <v>5453</v>
      </c>
      <c r="G1911" s="5" t="s">
        <v>152</v>
      </c>
      <c r="H1911" s="5" t="s">
        <v>5557</v>
      </c>
      <c r="I1911" s="5" t="s">
        <v>5586</v>
      </c>
      <c r="J1911" s="5" t="s">
        <v>5587</v>
      </c>
      <c r="K1911" s="7" t="str">
        <f ca="1">IFERROR(__xludf.DUMMYFUNCTION("GOOGLETRANSLATE(H1911,""EN"",""ES"")"),"CAJAS, ESTUCHES, CONTENEDORES, LATAS DE HOJALATA")</f>
        <v>CAJAS, ESTUCHES, CONTENEDORES, LATAS DE HOJALATA</v>
      </c>
      <c r="L1911" s="5" t="str">
        <f ca="1">IFERROR(__xludf.DUMMYFUNCTION("GOOGLETRANSLATE(J1911,""EN"",""ES"")"),"Cajas para sombreros [embalaje]")</f>
        <v>Cajas para sombreros [embalaje]</v>
      </c>
      <c r="M1911" s="8" t="s">
        <v>28</v>
      </c>
      <c r="N1911" s="8"/>
    </row>
    <row r="1912" spans="1:14" ht="11.25" customHeight="1">
      <c r="A1912" s="5" t="s">
        <v>5449</v>
      </c>
      <c r="B1912" s="5" t="s">
        <v>5555</v>
      </c>
      <c r="C1912" s="5" t="s">
        <v>5588</v>
      </c>
      <c r="D1912" s="5" t="s">
        <v>5452</v>
      </c>
      <c r="E1912" s="5" t="s">
        <v>29</v>
      </c>
      <c r="F1912" s="5" t="s">
        <v>5453</v>
      </c>
      <c r="G1912" s="5" t="s">
        <v>152</v>
      </c>
      <c r="H1912" s="5" t="s">
        <v>5557</v>
      </c>
      <c r="I1912" s="5" t="s">
        <v>5589</v>
      </c>
      <c r="J1912" s="5" t="s">
        <v>5590</v>
      </c>
      <c r="K1912" s="7" t="str">
        <f ca="1">IFERROR(__xludf.DUMMYFUNCTION("GOOGLETRANSLATE(H1912,""EN"",""ES"")"),"CAJAS, ESTUCHES, CONTENEDORES, LATAS DE HOJALATA")</f>
        <v>CAJAS, ESTUCHES, CONTENEDORES, LATAS DE HOJALATA</v>
      </c>
      <c r="L1912" s="5" t="str">
        <f ca="1">IFERROR(__xludf.DUMMYFUNCTION("GOOGLETRANSLATE(J1912,""EN"",""ES"")"),"Cartones de huevos")</f>
        <v>Cartones de huevos</v>
      </c>
      <c r="M1912" s="8" t="s">
        <v>28</v>
      </c>
      <c r="N1912" s="8"/>
    </row>
    <row r="1913" spans="1:14" ht="11.25" customHeight="1">
      <c r="A1913" s="5" t="s">
        <v>5449</v>
      </c>
      <c r="B1913" s="5" t="s">
        <v>5555</v>
      </c>
      <c r="C1913" s="5" t="s">
        <v>5591</v>
      </c>
      <c r="D1913" s="5" t="s">
        <v>5452</v>
      </c>
      <c r="E1913" s="5" t="s">
        <v>29</v>
      </c>
      <c r="F1913" s="5" t="s">
        <v>5453</v>
      </c>
      <c r="G1913" s="5" t="s">
        <v>152</v>
      </c>
      <c r="H1913" s="5" t="s">
        <v>5557</v>
      </c>
      <c r="I1913" s="5" t="s">
        <v>5592</v>
      </c>
      <c r="J1913" s="5" t="s">
        <v>5593</v>
      </c>
      <c r="K1913" s="7" t="str">
        <f ca="1">IFERROR(__xludf.DUMMYFUNCTION("GOOGLETRANSLATE(H1913,""EN"",""ES"")"),"CAJAS, ESTUCHES, CONTENEDORES, LATAS DE HOJALATA")</f>
        <v>CAJAS, ESTUCHES, CONTENEDORES, LATAS DE HOJALATA</v>
      </c>
      <c r="L1913" s="5" t="str">
        <f ca="1">IFERROR(__xludf.DUMMYFUNCTION("GOOGLETRANSLATE(J1913,""EN"",""ES"")"),"cajas confitadas")</f>
        <v>cajas confitadas</v>
      </c>
      <c r="M1913" s="8" t="s">
        <v>28</v>
      </c>
      <c r="N1913" s="8"/>
    </row>
    <row r="1914" spans="1:14" ht="11.25" customHeight="1">
      <c r="A1914" s="5" t="s">
        <v>5449</v>
      </c>
      <c r="B1914" s="5" t="s">
        <v>5555</v>
      </c>
      <c r="C1914" s="5" t="s">
        <v>5594</v>
      </c>
      <c r="D1914" s="5" t="s">
        <v>5452</v>
      </c>
      <c r="E1914" s="5" t="s">
        <v>29</v>
      </c>
      <c r="F1914" s="5" t="s">
        <v>5453</v>
      </c>
      <c r="G1914" s="5" t="s">
        <v>152</v>
      </c>
      <c r="H1914" s="5" t="s">
        <v>5557</v>
      </c>
      <c r="I1914" s="5" t="s">
        <v>5595</v>
      </c>
      <c r="J1914" s="5" t="s">
        <v>5596</v>
      </c>
      <c r="K1914" s="7" t="str">
        <f ca="1">IFERROR(__xludf.DUMMYFUNCTION("GOOGLETRANSLATE(H1914,""EN"",""ES"")"),"CAJAS, ESTUCHES, CONTENEDORES, LATAS DE HOJALATA")</f>
        <v>CAJAS, ESTUCHES, CONTENEDORES, LATAS DE HOJALATA</v>
      </c>
      <c r="L1914" s="5" t="str">
        <f ca="1">IFERROR(__xludf.DUMMYFUNCTION("GOOGLETRANSLATE(J1914,""EN"",""ES"")"),"Portabotellas [para transporte]")</f>
        <v>Portabotellas [para transporte]</v>
      </c>
      <c r="M1914" s="8" t="s">
        <v>28</v>
      </c>
      <c r="N1914" s="8"/>
    </row>
    <row r="1915" spans="1:14" ht="11.25" customHeight="1">
      <c r="A1915" s="5" t="s">
        <v>5449</v>
      </c>
      <c r="B1915" s="5" t="s">
        <v>5555</v>
      </c>
      <c r="C1915" s="5" t="s">
        <v>5597</v>
      </c>
      <c r="D1915" s="5" t="s">
        <v>5452</v>
      </c>
      <c r="E1915" s="5" t="s">
        <v>29</v>
      </c>
      <c r="F1915" s="5" t="s">
        <v>5453</v>
      </c>
      <c r="G1915" s="5" t="s">
        <v>152</v>
      </c>
      <c r="H1915" s="5" t="s">
        <v>5557</v>
      </c>
      <c r="I1915" s="5" t="s">
        <v>5598</v>
      </c>
      <c r="J1915" s="5" t="s">
        <v>5599</v>
      </c>
      <c r="K1915" s="7" t="str">
        <f ca="1">IFERROR(__xludf.DUMMYFUNCTION("GOOGLETRANSLATE(H1915,""EN"",""ES"")"),"CAJAS, ESTUCHES, CONTENEDORES, LATAS DE HOJALATA")</f>
        <v>CAJAS, ESTUCHES, CONTENEDORES, LATAS DE HOJALATA</v>
      </c>
      <c r="L1915" s="5" t="str">
        <f ca="1">IFERROR(__xludf.DUMMYFUNCTION("GOOGLETRANSLATE(J1915,""EN"",""ES"")"),"Botelleros [para transporte]")</f>
        <v>Botelleros [para transporte]</v>
      </c>
      <c r="M1915" s="8" t="s">
        <v>28</v>
      </c>
      <c r="N1915" s="8"/>
    </row>
    <row r="1916" spans="1:14" ht="11.25" customHeight="1">
      <c r="A1916" s="5" t="s">
        <v>5449</v>
      </c>
      <c r="B1916" s="5" t="s">
        <v>5555</v>
      </c>
      <c r="C1916" s="5" t="s">
        <v>5597</v>
      </c>
      <c r="D1916" s="5" t="s">
        <v>5452</v>
      </c>
      <c r="E1916" s="5" t="s">
        <v>29</v>
      </c>
      <c r="F1916" s="5" t="s">
        <v>5453</v>
      </c>
      <c r="G1916" s="5" t="s">
        <v>152</v>
      </c>
      <c r="H1916" s="5" t="s">
        <v>5557</v>
      </c>
      <c r="I1916" s="5" t="s">
        <v>152</v>
      </c>
      <c r="J1916" s="5" t="s">
        <v>5600</v>
      </c>
      <c r="K1916" s="7" t="str">
        <f ca="1">IFERROR(__xludf.DUMMYFUNCTION("GOOGLETRANSLATE(H1916,""EN"",""ES"")"),"CAJAS, ESTUCHES, CONTENEDORES, LATAS DE HOJALATA")</f>
        <v>CAJAS, ESTUCHES, CONTENEDORES, LATAS DE HOJALATA</v>
      </c>
      <c r="L1916" s="5" t="str">
        <f ca="1">IFERROR(__xludf.DUMMYFUNCTION("GOOGLETRANSLATE(J1916,""EN"",""ES"")"),"N / A")</f>
        <v>N / A</v>
      </c>
      <c r="M1916" s="8" t="s">
        <v>28</v>
      </c>
      <c r="N1916" s="8"/>
    </row>
    <row r="1917" spans="1:14" ht="11.25" customHeight="1">
      <c r="A1917" s="5" t="s">
        <v>5449</v>
      </c>
      <c r="B1917" s="5" t="s">
        <v>5555</v>
      </c>
      <c r="C1917" s="5" t="s">
        <v>5601</v>
      </c>
      <c r="D1917" s="5" t="s">
        <v>5452</v>
      </c>
      <c r="E1917" s="5" t="s">
        <v>29</v>
      </c>
      <c r="F1917" s="5" t="s">
        <v>5453</v>
      </c>
      <c r="G1917" s="5" t="s">
        <v>152</v>
      </c>
      <c r="H1917" s="5" t="s">
        <v>5557</v>
      </c>
      <c r="I1917" s="5" t="s">
        <v>5602</v>
      </c>
      <c r="J1917" s="5" t="s">
        <v>5603</v>
      </c>
      <c r="K1917" s="7" t="str">
        <f ca="1">IFERROR(__xludf.DUMMYFUNCTION("GOOGLETRANSLATE(H1917,""EN"",""ES"")"),"CAJAS, ESTUCHES, CONTENEDORES, LATAS DE HOJALATA")</f>
        <v>CAJAS, ESTUCHES, CONTENEDORES, LATAS DE HOJALATA</v>
      </c>
      <c r="L1917" s="5" t="str">
        <f ca="1">IFERROR(__xludf.DUMMYFUNCTION("GOOGLETRANSLATE(J1917,""EN"",""ES"")"),"Paquetes de cigarrillos [envases]")</f>
        <v>Paquetes de cigarrillos [envases]</v>
      </c>
      <c r="M1917" s="8" t="s">
        <v>28</v>
      </c>
      <c r="N1917" s="8"/>
    </row>
    <row r="1918" spans="1:14" ht="11.25" customHeight="1">
      <c r="A1918" s="5" t="s">
        <v>5449</v>
      </c>
      <c r="B1918" s="5" t="s">
        <v>5555</v>
      </c>
      <c r="C1918" s="5" t="s">
        <v>5604</v>
      </c>
      <c r="D1918" s="5" t="s">
        <v>5452</v>
      </c>
      <c r="E1918" s="5" t="s">
        <v>29</v>
      </c>
      <c r="F1918" s="5" t="s">
        <v>5453</v>
      </c>
      <c r="G1918" s="5" t="s">
        <v>152</v>
      </c>
      <c r="H1918" s="5" t="s">
        <v>5557</v>
      </c>
      <c r="I1918" s="5" t="s">
        <v>5605</v>
      </c>
      <c r="J1918" s="5" t="s">
        <v>5606</v>
      </c>
      <c r="K1918" s="7" t="str">
        <f ca="1">IFERROR(__xludf.DUMMYFUNCTION("GOOGLETRANSLATE(H1918,""EN"",""ES"")"),"CAJAS, ESTUCHES, CONTENEDORES, LATAS DE HOJALATA")</f>
        <v>CAJAS, ESTUCHES, CONTENEDORES, LATAS DE HOJALATA</v>
      </c>
      <c r="L1918" s="5" t="str">
        <f ca="1">IFERROR(__xludf.DUMMYFUNCTION("GOOGLETRANSLATE(J1918,""EN"",""ES"")"),"Cajas de embalaje para pastillas.")</f>
        <v>Cajas de embalaje para pastillas.</v>
      </c>
      <c r="M1918" s="8" t="s">
        <v>28</v>
      </c>
      <c r="N1918" s="8"/>
    </row>
    <row r="1919" spans="1:14" ht="11.25" customHeight="1">
      <c r="A1919" s="5" t="s">
        <v>5449</v>
      </c>
      <c r="B1919" s="5" t="s">
        <v>5555</v>
      </c>
      <c r="C1919" s="5" t="s">
        <v>5607</v>
      </c>
      <c r="D1919" s="5" t="s">
        <v>5452</v>
      </c>
      <c r="E1919" s="5" t="s">
        <v>29</v>
      </c>
      <c r="F1919" s="5" t="s">
        <v>5453</v>
      </c>
      <c r="G1919" s="5" t="s">
        <v>152</v>
      </c>
      <c r="H1919" s="5" t="s">
        <v>5557</v>
      </c>
      <c r="I1919" s="5" t="s">
        <v>5608</v>
      </c>
      <c r="J1919" s="5" t="s">
        <v>5609</v>
      </c>
      <c r="K1919" s="7" t="str">
        <f ca="1">IFERROR(__xludf.DUMMYFUNCTION("GOOGLETRANSLATE(H1919,""EN"",""ES"")"),"CAJAS, ESTUCHES, CONTENEDORES, LATAS DE HOJALATA")</f>
        <v>CAJAS, ESTUCHES, CONTENEDORES, LATAS DE HOJALATA</v>
      </c>
      <c r="L1919" s="5" t="str">
        <f ca="1">IFERROR(__xludf.DUMMYFUNCTION("GOOGLETRANSLATE(J1919,""EN"",""ES"")"),"Cajas de cerillas")</f>
        <v>Cajas de cerillas</v>
      </c>
      <c r="M1919" s="8" t="s">
        <v>28</v>
      </c>
      <c r="N1919" s="8"/>
    </row>
    <row r="1920" spans="1:14" ht="11.25" customHeight="1">
      <c r="A1920" s="5" t="s">
        <v>5449</v>
      </c>
      <c r="B1920" s="5" t="s">
        <v>5555</v>
      </c>
      <c r="C1920" s="5" t="s">
        <v>5610</v>
      </c>
      <c r="D1920" s="5" t="s">
        <v>5452</v>
      </c>
      <c r="E1920" s="5" t="s">
        <v>29</v>
      </c>
      <c r="F1920" s="5" t="s">
        <v>5453</v>
      </c>
      <c r="G1920" s="5" t="s">
        <v>152</v>
      </c>
      <c r="H1920" s="5" t="s">
        <v>5557</v>
      </c>
      <c r="I1920" s="5" t="s">
        <v>5611</v>
      </c>
      <c r="J1920" s="5" t="s">
        <v>5612</v>
      </c>
      <c r="K1920" s="7" t="str">
        <f ca="1">IFERROR(__xludf.DUMMYFUNCTION("GOOGLETRANSLATE(H1920,""EN"",""ES"")"),"CAJAS, ESTUCHES, CONTENEDORES, LATAS DE HOJALATA")</f>
        <v>CAJAS, ESTUCHES, CONTENEDORES, LATAS DE HOJALATA</v>
      </c>
      <c r="L1920" s="5" t="str">
        <f ca="1">IFERROR(__xludf.DUMMYFUNCTION("GOOGLETRANSLATE(J1920,""EN"",""ES"")"),"Transportadores para el transporte de cajas tetraédricas.")</f>
        <v>Transportadores para el transporte de cajas tetraédricas.</v>
      </c>
      <c r="M1920" s="8" t="s">
        <v>28</v>
      </c>
      <c r="N1920" s="8"/>
    </row>
    <row r="1921" spans="1:14" ht="11.25" customHeight="1">
      <c r="A1921" s="5" t="s">
        <v>5449</v>
      </c>
      <c r="B1921" s="5" t="s">
        <v>5555</v>
      </c>
      <c r="C1921" s="5" t="s">
        <v>5613</v>
      </c>
      <c r="D1921" s="5" t="s">
        <v>5452</v>
      </c>
      <c r="E1921" s="5" t="s">
        <v>29</v>
      </c>
      <c r="F1921" s="5" t="s">
        <v>5453</v>
      </c>
      <c r="G1921" s="5" t="s">
        <v>152</v>
      </c>
      <c r="H1921" s="5" t="s">
        <v>5557</v>
      </c>
      <c r="I1921" s="5" t="s">
        <v>5614</v>
      </c>
      <c r="J1921" s="5" t="s">
        <v>5615</v>
      </c>
      <c r="K1921" s="7" t="str">
        <f ca="1">IFERROR(__xludf.DUMMYFUNCTION("GOOGLETRANSLATE(H1921,""EN"",""ES"")"),"CAJAS, ESTUCHES, CONTENEDORES, LATAS DE HOJALATA")</f>
        <v>CAJAS, ESTUCHES, CONTENEDORES, LATAS DE HOJALATA</v>
      </c>
      <c r="L1921" s="5" t="str">
        <f ca="1">IFERROR(__xludf.DUMMYFUNCTION("GOOGLETRANSLATE(J1921,""EN"",""ES"")"),"Cajas para sal [embalaje]")</f>
        <v>Cajas para sal [embalaje]</v>
      </c>
      <c r="M1921" s="8" t="s">
        <v>28</v>
      </c>
      <c r="N1921" s="8"/>
    </row>
    <row r="1922" spans="1:14" ht="11.25" customHeight="1">
      <c r="A1922" s="5" t="s">
        <v>5449</v>
      </c>
      <c r="B1922" s="5" t="s">
        <v>5555</v>
      </c>
      <c r="C1922" s="5" t="s">
        <v>5616</v>
      </c>
      <c r="D1922" s="5" t="s">
        <v>5452</v>
      </c>
      <c r="E1922" s="5" t="s">
        <v>29</v>
      </c>
      <c r="F1922" s="5" t="s">
        <v>5453</v>
      </c>
      <c r="G1922" s="5" t="s">
        <v>152</v>
      </c>
      <c r="H1922" s="5" t="s">
        <v>5557</v>
      </c>
      <c r="I1922" s="5" t="s">
        <v>5617</v>
      </c>
      <c r="J1922" s="5" t="s">
        <v>5618</v>
      </c>
      <c r="K1922" s="7" t="str">
        <f ca="1">IFERROR(__xludf.DUMMYFUNCTION("GOOGLETRANSLATE(H1922,""EN"",""ES"")"),"CAJAS, ESTUCHES, CONTENEDORES, LATAS DE HOJALATA")</f>
        <v>CAJAS, ESTUCHES, CONTENEDORES, LATAS DE HOJALATA</v>
      </c>
      <c r="L1922" s="5" t="str">
        <f ca="1">IFERROR(__xludf.DUMMYFUNCTION("GOOGLETRANSLATE(J1922,""EN"",""ES"")"),"Cajas de embalaje")</f>
        <v>Cajas de embalaje</v>
      </c>
      <c r="M1922" s="8" t="s">
        <v>28</v>
      </c>
      <c r="N1922" s="8"/>
    </row>
    <row r="1923" spans="1:14" ht="11.25" customHeight="1">
      <c r="A1923" s="5" t="s">
        <v>5449</v>
      </c>
      <c r="B1923" s="5" t="s">
        <v>5555</v>
      </c>
      <c r="C1923" s="5" t="s">
        <v>5619</v>
      </c>
      <c r="D1923" s="5" t="s">
        <v>5452</v>
      </c>
      <c r="E1923" s="5" t="s">
        <v>29</v>
      </c>
      <c r="F1923" s="5" t="s">
        <v>5453</v>
      </c>
      <c r="G1923" s="5" t="s">
        <v>152</v>
      </c>
      <c r="H1923" s="5" t="s">
        <v>5557</v>
      </c>
      <c r="I1923" s="5" t="s">
        <v>5620</v>
      </c>
      <c r="J1923" s="5" t="s">
        <v>5621</v>
      </c>
      <c r="K1923" s="7" t="str">
        <f ca="1">IFERROR(__xludf.DUMMYFUNCTION("GOOGLETRANSLATE(H1923,""EN"",""ES"")"),"CAJAS, ESTUCHES, CONTENEDORES, LATAS DE HOJALATA")</f>
        <v>CAJAS, ESTUCHES, CONTENEDORES, LATAS DE HOJALATA</v>
      </c>
      <c r="L1923" s="5" t="str">
        <f ca="1">IFERROR(__xludf.DUMMYFUNCTION("GOOGLETRANSLATE(J1923,""EN"",""ES"")"),"Contenedores de abono portátiles")</f>
        <v>Contenedores de abono portátiles</v>
      </c>
      <c r="M1923" s="8" t="s">
        <v>28</v>
      </c>
      <c r="N1923" s="8"/>
    </row>
    <row r="1924" spans="1:14" ht="11.25" customHeight="1">
      <c r="A1924" s="5" t="s">
        <v>5449</v>
      </c>
      <c r="B1924" s="5" t="s">
        <v>5555</v>
      </c>
      <c r="C1924" s="5" t="s">
        <v>5622</v>
      </c>
      <c r="D1924" s="5" t="s">
        <v>5452</v>
      </c>
      <c r="E1924" s="5" t="s">
        <v>29</v>
      </c>
      <c r="F1924" s="5" t="s">
        <v>5453</v>
      </c>
      <c r="G1924" s="5" t="s">
        <v>152</v>
      </c>
      <c r="H1924" s="5" t="s">
        <v>5557</v>
      </c>
      <c r="I1924" s="5" t="s">
        <v>5623</v>
      </c>
      <c r="J1924" s="5" t="s">
        <v>5624</v>
      </c>
      <c r="K1924" s="7" t="str">
        <f ca="1">IFERROR(__xludf.DUMMYFUNCTION("GOOGLETRANSLATE(H1924,""EN"",""ES"")"),"CAJAS, ESTUCHES, CONTENEDORES, LATAS DE HOJALATA")</f>
        <v>CAJAS, ESTUCHES, CONTENEDORES, LATAS DE HOJALATA</v>
      </c>
      <c r="L1924" s="5" t="str">
        <f ca="1">IFERROR(__xludf.DUMMYFUNCTION("GOOGLETRANSLATE(J1924,""EN"",""ES"")"),"Divisores para contenedores")</f>
        <v>Divisores para contenedores</v>
      </c>
      <c r="M1924" s="8" t="s">
        <v>28</v>
      </c>
      <c r="N1924" s="8"/>
    </row>
    <row r="1925" spans="1:14" ht="11.25" customHeight="1">
      <c r="A1925" s="5" t="s">
        <v>5449</v>
      </c>
      <c r="B1925" s="5" t="s">
        <v>5555</v>
      </c>
      <c r="C1925" s="5" t="s">
        <v>5622</v>
      </c>
      <c r="D1925" s="5" t="s">
        <v>5452</v>
      </c>
      <c r="E1925" s="5" t="s">
        <v>29</v>
      </c>
      <c r="F1925" s="5" t="s">
        <v>5453</v>
      </c>
      <c r="G1925" s="5" t="s">
        <v>152</v>
      </c>
      <c r="H1925" s="5" t="s">
        <v>5557</v>
      </c>
      <c r="I1925" s="5" t="s">
        <v>5625</v>
      </c>
      <c r="J1925" s="5" t="s">
        <v>152</v>
      </c>
      <c r="K1925" s="7" t="str">
        <f ca="1">IFERROR(__xludf.DUMMYFUNCTION("GOOGLETRANSLATE(H1925,""EN"",""ES"")"),"CAJAS, ESTUCHES, CONTENEDORES, LATAS DE HOJALATA")</f>
        <v>CAJAS, ESTUCHES, CONTENEDORES, LATAS DE HOJALATA</v>
      </c>
      <c r="L1925" s="5" t="str">
        <f ca="1">IFERROR(__xludf.DUMMYFUNCTION("GOOGLETRANSLATE(J1925,""EN"",""ES"")"),"Separadores para contenedores")</f>
        <v>Separadores para contenedores</v>
      </c>
      <c r="M1925" s="8" t="s">
        <v>28</v>
      </c>
      <c r="N1925" s="8"/>
    </row>
    <row r="1926" spans="1:14" ht="11.25" customHeight="1">
      <c r="A1926" s="5" t="s">
        <v>5449</v>
      </c>
      <c r="B1926" s="5" t="s">
        <v>5555</v>
      </c>
      <c r="C1926" s="5" t="s">
        <v>5626</v>
      </c>
      <c r="D1926" s="5" t="s">
        <v>5452</v>
      </c>
      <c r="E1926" s="5" t="s">
        <v>29</v>
      </c>
      <c r="F1926" s="5" t="s">
        <v>5453</v>
      </c>
      <c r="G1926" s="5" t="s">
        <v>152</v>
      </c>
      <c r="H1926" s="5" t="s">
        <v>5557</v>
      </c>
      <c r="I1926" s="5" t="s">
        <v>5627</v>
      </c>
      <c r="J1926" s="5" t="s">
        <v>5628</v>
      </c>
      <c r="K1926" s="7" t="str">
        <f ca="1">IFERROR(__xludf.DUMMYFUNCTION("GOOGLETRANSLATE(H1926,""EN"",""ES"")"),"CAJAS, ESTUCHES, CONTENEDORES, LATAS DE HOJALATA")</f>
        <v>CAJAS, ESTUCHES, CONTENEDORES, LATAS DE HOJALATA</v>
      </c>
      <c r="L1926" s="5" t="str">
        <f ca="1">IFERROR(__xludf.DUMMYFUNCTION("GOOGLETRANSLATE(J1926,""EN"",""ES"")"),"Estantes para uso en contenedores de carga.")</f>
        <v>Estantes para uso en contenedores de carga.</v>
      </c>
      <c r="M1926" s="8" t="s">
        <v>28</v>
      </c>
      <c r="N1926" s="8"/>
    </row>
    <row r="1927" spans="1:14" ht="11.25" customHeight="1">
      <c r="A1927" s="5" t="s">
        <v>5449</v>
      </c>
      <c r="B1927" s="5" t="s">
        <v>5555</v>
      </c>
      <c r="C1927" s="5" t="s">
        <v>5626</v>
      </c>
      <c r="D1927" s="5" t="s">
        <v>5452</v>
      </c>
      <c r="E1927" s="5" t="s">
        <v>29</v>
      </c>
      <c r="F1927" s="5" t="s">
        <v>5453</v>
      </c>
      <c r="G1927" s="5" t="s">
        <v>152</v>
      </c>
      <c r="H1927" s="5" t="s">
        <v>5557</v>
      </c>
      <c r="I1927" s="5" t="s">
        <v>5629</v>
      </c>
      <c r="J1927" s="5" t="s">
        <v>152</v>
      </c>
      <c r="K1927" s="7" t="str">
        <f ca="1">IFERROR(__xludf.DUMMYFUNCTION("GOOGLETRANSLATE(H1927,""EN"",""ES"")"),"CAJAS, ESTUCHES, CONTENEDORES, LATAS DE HOJALATA")</f>
        <v>CAJAS, ESTUCHES, CONTENEDORES, LATAS DE HOJALATA</v>
      </c>
      <c r="L1927" s="5" t="str">
        <f ca="1">IFERROR(__xludf.DUMMYFUNCTION("GOOGLETRANSLATE(J1927,""EN"",""ES"")"),"Estantes para uso en contenedores de envío.")</f>
        <v>Estantes para uso en contenedores de envío.</v>
      </c>
      <c r="M1927" s="8" t="s">
        <v>28</v>
      </c>
      <c r="N1927" s="8"/>
    </row>
    <row r="1928" spans="1:14" ht="11.25" customHeight="1">
      <c r="A1928" s="5" t="s">
        <v>5449</v>
      </c>
      <c r="B1928" s="5" t="s">
        <v>5555</v>
      </c>
      <c r="C1928" s="5" t="s">
        <v>5630</v>
      </c>
      <c r="D1928" s="5" t="s">
        <v>5452</v>
      </c>
      <c r="E1928" s="5" t="s">
        <v>29</v>
      </c>
      <c r="F1928" s="5" t="s">
        <v>5453</v>
      </c>
      <c r="G1928" s="5" t="s">
        <v>152</v>
      </c>
      <c r="H1928" s="5" t="s">
        <v>5557</v>
      </c>
      <c r="I1928" s="5" t="s">
        <v>5631</v>
      </c>
      <c r="J1928" s="5" t="s">
        <v>5632</v>
      </c>
      <c r="K1928" s="7" t="str">
        <f ca="1">IFERROR(__xludf.DUMMYFUNCTION("GOOGLETRANSLATE(H1928,""EN"",""ES"")"),"CAJAS, ESTUCHES, CONTENEDORES, LATAS DE HOJALATA")</f>
        <v>CAJAS, ESTUCHES, CONTENEDORES, LATAS DE HOJALATA</v>
      </c>
      <c r="L1928" s="5" t="str">
        <f ca="1">IFERROR(__xludf.DUMMYFUNCTION("GOOGLETRANSLATE(J1928,""EN"",""ES"")"),"Bandejas para envasar productos alimenticios.")</f>
        <v>Bandejas para envasar productos alimenticios.</v>
      </c>
      <c r="M1928" s="8" t="s">
        <v>28</v>
      </c>
      <c r="N1928" s="8"/>
    </row>
    <row r="1929" spans="1:14" ht="11.25" customHeight="1">
      <c r="A1929" s="5" t="s">
        <v>5449</v>
      </c>
      <c r="B1929" s="5" t="s">
        <v>5555</v>
      </c>
      <c r="C1929" s="5" t="s">
        <v>5633</v>
      </c>
      <c r="D1929" s="5" t="s">
        <v>5452</v>
      </c>
      <c r="E1929" s="5" t="s">
        <v>29</v>
      </c>
      <c r="F1929" s="5" t="s">
        <v>5453</v>
      </c>
      <c r="G1929" s="5" t="s">
        <v>152</v>
      </c>
      <c r="H1929" s="5" t="s">
        <v>5557</v>
      </c>
      <c r="I1929" s="5" t="s">
        <v>5634</v>
      </c>
      <c r="J1929" s="5" t="s">
        <v>5635</v>
      </c>
      <c r="K1929" s="7" t="str">
        <f ca="1">IFERROR(__xludf.DUMMYFUNCTION("GOOGLETRANSLATE(H1929,""EN"",""ES"")"),"CAJAS, ESTUCHES, CONTENEDORES, LATAS DE HOJALATA")</f>
        <v>CAJAS, ESTUCHES, CONTENEDORES, LATAS DE HOJALATA</v>
      </c>
      <c r="L1929" s="5" t="str">
        <f ca="1">IFERROR(__xludf.DUMMYFUNCTION("GOOGLETRANSLATE(J1929,""EN"",""ES"")"),"Cajas para cosméticos [embalaje]")</f>
        <v>Cajas para cosméticos [embalaje]</v>
      </c>
      <c r="M1929" s="8" t="s">
        <v>28</v>
      </c>
      <c r="N1929" s="8"/>
    </row>
    <row r="1930" spans="1:14" ht="11.25" customHeight="1">
      <c r="A1930" s="5" t="s">
        <v>5449</v>
      </c>
      <c r="B1930" s="5" t="s">
        <v>5555</v>
      </c>
      <c r="C1930" s="5" t="s">
        <v>5636</v>
      </c>
      <c r="D1930" s="5" t="s">
        <v>5452</v>
      </c>
      <c r="E1930" s="5" t="s">
        <v>29</v>
      </c>
      <c r="F1930" s="5" t="s">
        <v>5453</v>
      </c>
      <c r="G1930" s="5" t="s">
        <v>152</v>
      </c>
      <c r="H1930" s="5" t="s">
        <v>5557</v>
      </c>
      <c r="I1930" s="5" t="s">
        <v>5637</v>
      </c>
      <c r="J1930" s="5" t="s">
        <v>5638</v>
      </c>
      <c r="K1930" s="7" t="str">
        <f ca="1">IFERROR(__xludf.DUMMYFUNCTION("GOOGLETRANSLATE(H1930,""EN"",""ES"")"),"CAJAS, ESTUCHES, CONTENEDORES, LATAS DE HOJALATA")</f>
        <v>CAJAS, ESTUCHES, CONTENEDORES, LATAS DE HOJALATA</v>
      </c>
      <c r="L1930" s="5" t="str">
        <f ca="1">IFERROR(__xludf.DUMMYFUNCTION("GOOGLETRANSLATE(J1930,""EN"",""ES"")"),"Cajas para pastillas [embalaje]")</f>
        <v>Cajas para pastillas [embalaje]</v>
      </c>
      <c r="M1930" s="8" t="s">
        <v>28</v>
      </c>
      <c r="N1930" s="8"/>
    </row>
    <row r="1931" spans="1:14" ht="11.25" customHeight="1">
      <c r="A1931" s="5" t="s">
        <v>5449</v>
      </c>
      <c r="B1931" s="5" t="s">
        <v>5555</v>
      </c>
      <c r="C1931" s="5" t="s">
        <v>5639</v>
      </c>
      <c r="D1931" s="5" t="s">
        <v>5452</v>
      </c>
      <c r="E1931" s="5" t="s">
        <v>29</v>
      </c>
      <c r="F1931" s="5" t="s">
        <v>5453</v>
      </c>
      <c r="G1931" s="5" t="s">
        <v>152</v>
      </c>
      <c r="H1931" s="5" t="s">
        <v>5557</v>
      </c>
      <c r="I1931" s="5" t="s">
        <v>5640</v>
      </c>
      <c r="J1931" s="5" t="s">
        <v>5641</v>
      </c>
      <c r="K1931" s="7" t="str">
        <f ca="1">IFERROR(__xludf.DUMMYFUNCTION("GOOGLETRANSLATE(H1931,""EN"",""ES"")"),"CAJAS, ESTUCHES, CONTENEDORES, LATAS DE HOJALATA")</f>
        <v>CAJAS, ESTUCHES, CONTENEDORES, LATAS DE HOJALATA</v>
      </c>
      <c r="L1931" s="5" t="str">
        <f ca="1">IFERROR(__xludf.DUMMYFUNCTION("GOOGLETRANSLATE(J1931,""EN"",""ES"")"),"Cajas de embalaje para almacenamiento.")</f>
        <v>Cajas de embalaje para almacenamiento.</v>
      </c>
      <c r="M1931" s="8" t="s">
        <v>28</v>
      </c>
      <c r="N1931" s="8"/>
    </row>
    <row r="1932" spans="1:14" ht="11.25" customHeight="1">
      <c r="A1932" s="5" t="s">
        <v>5449</v>
      </c>
      <c r="B1932" s="5" t="s">
        <v>5555</v>
      </c>
      <c r="C1932" s="5" t="s">
        <v>5642</v>
      </c>
      <c r="D1932" s="5" t="s">
        <v>5452</v>
      </c>
      <c r="E1932" s="5" t="s">
        <v>29</v>
      </c>
      <c r="F1932" s="5" t="s">
        <v>5453</v>
      </c>
      <c r="G1932" s="5" t="s">
        <v>152</v>
      </c>
      <c r="H1932" s="5" t="s">
        <v>5557</v>
      </c>
      <c r="I1932" s="5" t="s">
        <v>5643</v>
      </c>
      <c r="J1932" s="5" t="s">
        <v>5644</v>
      </c>
      <c r="K1932" s="7" t="str">
        <f ca="1">IFERROR(__xludf.DUMMYFUNCTION("GOOGLETRANSLATE(H1932,""EN"",""ES"")"),"CAJAS, ESTUCHES, CONTENEDORES, LATAS DE HOJALATA")</f>
        <v>CAJAS, ESTUCHES, CONTENEDORES, LATAS DE HOJALATA</v>
      </c>
      <c r="L1932" s="5" t="str">
        <f ca="1">IFERROR(__xludf.DUMMYFUNCTION("GOOGLETRANSLATE(J1932,""EN"",""ES"")"),"Envases para productos alimenticios")</f>
        <v>Envases para productos alimenticios</v>
      </c>
      <c r="M1932" s="8" t="s">
        <v>28</v>
      </c>
      <c r="N1932" s="8"/>
    </row>
    <row r="1933" spans="1:14" ht="11.25" customHeight="1">
      <c r="A1933" s="5" t="s">
        <v>5449</v>
      </c>
      <c r="B1933" s="5" t="s">
        <v>5555</v>
      </c>
      <c r="C1933" s="5" t="s">
        <v>5645</v>
      </c>
      <c r="D1933" s="5" t="s">
        <v>5452</v>
      </c>
      <c r="E1933" s="5" t="s">
        <v>29</v>
      </c>
      <c r="F1933" s="5" t="s">
        <v>5453</v>
      </c>
      <c r="G1933" s="5" t="s">
        <v>152</v>
      </c>
      <c r="H1933" s="5" t="s">
        <v>5557</v>
      </c>
      <c r="I1933" s="5" t="s">
        <v>5646</v>
      </c>
      <c r="J1933" s="5" t="s">
        <v>5647</v>
      </c>
      <c r="K1933" s="7" t="str">
        <f ca="1">IFERROR(__xludf.DUMMYFUNCTION("GOOGLETRANSLATE(H1933,""EN"",""ES"")"),"CAJAS, ESTUCHES, CONTENEDORES, LATAS DE HOJALATA")</f>
        <v>CAJAS, ESTUCHES, CONTENEDORES, LATAS DE HOJALATA</v>
      </c>
      <c r="L1933" s="5" t="str">
        <f ca="1">IFERROR(__xludf.DUMMYFUNCTION("GOOGLETRANSLATE(J1933,""EN"",""ES"")"),"Contenedores de manillar")</f>
        <v>Contenedores de manillar</v>
      </c>
      <c r="M1933" s="8" t="s">
        <v>28</v>
      </c>
      <c r="N1933" s="8"/>
    </row>
    <row r="1934" spans="1:14" ht="11.25" customHeight="1">
      <c r="A1934" s="5" t="s">
        <v>5449</v>
      </c>
      <c r="B1934" s="5" t="s">
        <v>5555</v>
      </c>
      <c r="C1934" s="5" t="s">
        <v>5648</v>
      </c>
      <c r="D1934" s="5" t="s">
        <v>5452</v>
      </c>
      <c r="E1934" s="5" t="s">
        <v>29</v>
      </c>
      <c r="F1934" s="5" t="s">
        <v>5453</v>
      </c>
      <c r="G1934" s="5" t="s">
        <v>152</v>
      </c>
      <c r="H1934" s="5" t="s">
        <v>5557</v>
      </c>
      <c r="I1934" s="5" t="s">
        <v>5649</v>
      </c>
      <c r="J1934" s="5" t="s">
        <v>5650</v>
      </c>
      <c r="K1934" s="7" t="str">
        <f ca="1">IFERROR(__xludf.DUMMYFUNCTION("GOOGLETRANSLATE(H1934,""EN"",""ES"")"),"CAJAS, ESTUCHES, CONTENEDORES, LATAS DE HOJALATA")</f>
        <v>CAJAS, ESTUCHES, CONTENEDORES, LATAS DE HOJALATA</v>
      </c>
      <c r="L1934" s="5" t="str">
        <f ca="1">IFERROR(__xludf.DUMMYFUNCTION("GOOGLETRANSLATE(J1934,""EN"",""ES"")"),"Latas para embalaje")</f>
        <v>Latas para embalaje</v>
      </c>
      <c r="M1934" s="8" t="s">
        <v>28</v>
      </c>
      <c r="N1934" s="8"/>
    </row>
    <row r="1935" spans="1:14" ht="11.25" customHeight="1">
      <c r="A1935" s="5" t="s">
        <v>5449</v>
      </c>
      <c r="B1935" s="5" t="s">
        <v>5555</v>
      </c>
      <c r="C1935" s="5" t="s">
        <v>5651</v>
      </c>
      <c r="D1935" s="5" t="s">
        <v>5452</v>
      </c>
      <c r="E1935" s="5" t="s">
        <v>29</v>
      </c>
      <c r="F1935" s="5" t="s">
        <v>5453</v>
      </c>
      <c r="G1935" s="5" t="s">
        <v>152</v>
      </c>
      <c r="H1935" s="5" t="s">
        <v>5557</v>
      </c>
      <c r="I1935" s="5" t="s">
        <v>5652</v>
      </c>
      <c r="J1935" s="5" t="s">
        <v>5653</v>
      </c>
      <c r="K1935" s="7" t="str">
        <f ca="1">IFERROR(__xludf.DUMMYFUNCTION("GOOGLETRANSLATE(H1935,""EN"",""ES"")"),"CAJAS, ESTUCHES, CONTENEDORES, LATAS DE HOJALATA")</f>
        <v>CAJAS, ESTUCHES, CONTENEDORES, LATAS DE HOJALATA</v>
      </c>
      <c r="L1935" s="5" t="str">
        <f ca="1">IFERROR(__xludf.DUMMYFUNCTION("GOOGLETRANSLATE(J1935,""EN"",""ES"")"),"Cajas de colecta para fines religiosos")</f>
        <v>Cajas de colecta para fines religiosos</v>
      </c>
      <c r="M1935" s="8" t="s">
        <v>28</v>
      </c>
      <c r="N1935" s="8"/>
    </row>
    <row r="1936" spans="1:14" ht="11.25" customHeight="1">
      <c r="A1936" s="5" t="s">
        <v>5449</v>
      </c>
      <c r="B1936" s="5" t="s">
        <v>5555</v>
      </c>
      <c r="C1936" s="5" t="s">
        <v>5654</v>
      </c>
      <c r="D1936" s="5" t="s">
        <v>5452</v>
      </c>
      <c r="E1936" s="5" t="s">
        <v>29</v>
      </c>
      <c r="F1936" s="5" t="s">
        <v>5453</v>
      </c>
      <c r="G1936" s="5" t="s">
        <v>152</v>
      </c>
      <c r="H1936" s="5" t="s">
        <v>5557</v>
      </c>
      <c r="I1936" s="5" t="s">
        <v>5655</v>
      </c>
      <c r="J1936" s="5" t="s">
        <v>5656</v>
      </c>
      <c r="K1936" s="7" t="str">
        <f ca="1">IFERROR(__xludf.DUMMYFUNCTION("GOOGLETRANSLATE(H1936,""EN"",""ES"")"),"CAJAS, ESTUCHES, CONTENEDORES, LATAS DE HOJALATA")</f>
        <v>CAJAS, ESTUCHES, CONTENEDORES, LATAS DE HOJALATA</v>
      </c>
      <c r="L1936" s="5" t="str">
        <f ca="1">IFERROR(__xludf.DUMMYFUNCTION("GOOGLETRANSLATE(J1936,""EN"",""ES"")"),"Bandejas de embalaje para plantas.")</f>
        <v>Bandejas de embalaje para plantas.</v>
      </c>
      <c r="M1936" s="8" t="s">
        <v>28</v>
      </c>
      <c r="N1936" s="8"/>
    </row>
    <row r="1937" spans="1:14" ht="11.25" customHeight="1">
      <c r="A1937" s="5" t="s">
        <v>5449</v>
      </c>
      <c r="B1937" s="5" t="s">
        <v>5555</v>
      </c>
      <c r="C1937" s="5" t="s">
        <v>5657</v>
      </c>
      <c r="D1937" s="5" t="s">
        <v>5452</v>
      </c>
      <c r="E1937" s="5" t="s">
        <v>29</v>
      </c>
      <c r="F1937" s="5" t="s">
        <v>5453</v>
      </c>
      <c r="G1937" s="5" t="s">
        <v>152</v>
      </c>
      <c r="H1937" s="5" t="s">
        <v>5557</v>
      </c>
      <c r="I1937" s="5" t="s">
        <v>5658</v>
      </c>
      <c r="J1937" s="5" t="s">
        <v>5659</v>
      </c>
      <c r="K1937" s="7" t="str">
        <f ca="1">IFERROR(__xludf.DUMMYFUNCTION("GOOGLETRANSLATE(H1937,""EN"",""ES"")"),"CAJAS, ESTUCHES, CONTENEDORES, LATAS DE HOJALATA")</f>
        <v>CAJAS, ESTUCHES, CONTENEDORES, LATAS DE HOJALATA</v>
      </c>
      <c r="L1937" s="5" t="str">
        <f ca="1">IFERROR(__xludf.DUMMYFUNCTION("GOOGLETRANSLATE(J1937,""EN"",""ES"")"),"Carcasas para productos radiactivos")</f>
        <v>Carcasas para productos radiactivos</v>
      </c>
      <c r="M1937" s="8" t="s">
        <v>28</v>
      </c>
      <c r="N1937" s="8"/>
    </row>
    <row r="1938" spans="1:14" ht="11.25" customHeight="1">
      <c r="A1938" s="5" t="s">
        <v>5449</v>
      </c>
      <c r="B1938" s="5" t="s">
        <v>5555</v>
      </c>
      <c r="C1938" s="5" t="s">
        <v>5660</v>
      </c>
      <c r="D1938" s="5" t="s">
        <v>5452</v>
      </c>
      <c r="E1938" s="5" t="s">
        <v>29</v>
      </c>
      <c r="F1938" s="5" t="s">
        <v>5453</v>
      </c>
      <c r="G1938" s="5" t="s">
        <v>152</v>
      </c>
      <c r="H1938" s="5" t="s">
        <v>5557</v>
      </c>
      <c r="I1938" s="5" t="s">
        <v>5661</v>
      </c>
      <c r="J1938" s="5" t="s">
        <v>5662</v>
      </c>
      <c r="K1938" s="7" t="str">
        <f ca="1">IFERROR(__xludf.DUMMYFUNCTION("GOOGLETRANSLATE(H1938,""EN"",""ES"")"),"CAJAS, ESTUCHES, CONTENEDORES, LATAS DE HOJALATA")</f>
        <v>CAJAS, ESTUCHES, CONTENEDORES, LATAS DE HOJALATA</v>
      </c>
      <c r="L1938" s="5" t="str">
        <f ca="1">IFERROR(__xludf.DUMMYFUNCTION("GOOGLETRANSLATE(J1938,""EN"",""ES"")"),"urnas")</f>
        <v>urnas</v>
      </c>
      <c r="M1938" s="8" t="s">
        <v>28</v>
      </c>
      <c r="N1938" s="8"/>
    </row>
    <row r="1939" spans="1:14" ht="11.25" customHeight="1">
      <c r="A1939" s="5" t="s">
        <v>5449</v>
      </c>
      <c r="B1939" s="5" t="s">
        <v>5555</v>
      </c>
      <c r="C1939" s="5" t="s">
        <v>5663</v>
      </c>
      <c r="D1939" s="5" t="s">
        <v>5452</v>
      </c>
      <c r="E1939" s="5" t="s">
        <v>29</v>
      </c>
      <c r="F1939" s="5" t="s">
        <v>5453</v>
      </c>
      <c r="G1939" s="5" t="s">
        <v>152</v>
      </c>
      <c r="H1939" s="5" t="s">
        <v>5557</v>
      </c>
      <c r="I1939" s="5" t="s">
        <v>5664</v>
      </c>
      <c r="J1939" s="5" t="s">
        <v>5665</v>
      </c>
      <c r="K1939" s="7" t="str">
        <f ca="1">IFERROR(__xludf.DUMMYFUNCTION("GOOGLETRANSLATE(H1939,""EN"",""ES"")"),"CAJAS, ESTUCHES, CONTENEDORES, LATAS DE HOJALATA")</f>
        <v>CAJAS, ESTUCHES, CONTENEDORES, LATAS DE HOJALATA</v>
      </c>
      <c r="L1939" s="5" t="str">
        <f ca="1">IFERROR(__xludf.DUMMYFUNCTION("GOOGLETRANSLATE(J1939,""EN"",""ES"")"),"Bandejas de plántulas")</f>
        <v>Bandejas de plántulas</v>
      </c>
      <c r="M1939" s="8" t="s">
        <v>28</v>
      </c>
      <c r="N1939" s="8"/>
    </row>
    <row r="1940" spans="1:14" ht="11.25" customHeight="1">
      <c r="A1940" s="5" t="s">
        <v>5449</v>
      </c>
      <c r="B1940" s="5" t="s">
        <v>5555</v>
      </c>
      <c r="C1940" s="5" t="s">
        <v>5666</v>
      </c>
      <c r="D1940" s="5" t="s">
        <v>5452</v>
      </c>
      <c r="E1940" s="5" t="s">
        <v>29</v>
      </c>
      <c r="F1940" s="5" t="s">
        <v>5453</v>
      </c>
      <c r="G1940" s="5" t="s">
        <v>152</v>
      </c>
      <c r="H1940" s="5" t="s">
        <v>5557</v>
      </c>
      <c r="I1940" s="5" t="s">
        <v>5667</v>
      </c>
      <c r="J1940" s="5" t="s">
        <v>5668</v>
      </c>
      <c r="K1940" s="7" t="str">
        <f ca="1">IFERROR(__xludf.DUMMYFUNCTION("GOOGLETRANSLATE(H1940,""EN"",""ES"")"),"CAJAS, ESTUCHES, CONTENEDORES, LATAS DE HOJALATA")</f>
        <v>CAJAS, ESTUCHES, CONTENEDORES, LATAS DE HOJALATA</v>
      </c>
      <c r="L1940" s="5" t="str">
        <f ca="1">IFERROR(__xludf.DUMMYFUNCTION("GOOGLETRANSLATE(J1940,""EN"",""ES"")"),"Recipientes o macetas desechables para flores o plantas.")</f>
        <v>Recipientes o macetas desechables para flores o plantas.</v>
      </c>
      <c r="M1940" s="8" t="s">
        <v>28</v>
      </c>
      <c r="N1940" s="8"/>
    </row>
    <row r="1941" spans="1:14" ht="11.25" customHeight="1">
      <c r="A1941" s="5" t="s">
        <v>5449</v>
      </c>
      <c r="B1941" s="5" t="s">
        <v>5555</v>
      </c>
      <c r="C1941" s="5" t="s">
        <v>5669</v>
      </c>
      <c r="D1941" s="5" t="s">
        <v>5452</v>
      </c>
      <c r="E1941" s="5" t="s">
        <v>29</v>
      </c>
      <c r="F1941" s="5" t="s">
        <v>5453</v>
      </c>
      <c r="G1941" s="5" t="s">
        <v>152</v>
      </c>
      <c r="H1941" s="5" t="s">
        <v>5557</v>
      </c>
      <c r="I1941" s="5" t="s">
        <v>5670</v>
      </c>
      <c r="J1941" s="5" t="s">
        <v>5671</v>
      </c>
      <c r="K1941" s="7" t="str">
        <f ca="1">IFERROR(__xludf.DUMMYFUNCTION("GOOGLETRANSLATE(H1941,""EN"",""ES"")"),"CAJAS, ESTUCHES, CONTENEDORES, LATAS DE HOJALATA")</f>
        <v>CAJAS, ESTUCHES, CONTENEDORES, LATAS DE HOJALATA</v>
      </c>
      <c r="L1941" s="5" t="str">
        <f ca="1">IFERROR(__xludf.DUMMYFUNCTION("GOOGLETRANSLATE(J1941,""EN"",""ES"")"),"Bandejas para transportar macetas o plantas.")</f>
        <v>Bandejas para transportar macetas o plantas.</v>
      </c>
      <c r="M1941" s="8" t="s">
        <v>28</v>
      </c>
      <c r="N1941" s="8"/>
    </row>
    <row r="1942" spans="1:14" ht="11.25" customHeight="1">
      <c r="A1942" s="5" t="s">
        <v>5449</v>
      </c>
      <c r="B1942" s="5" t="s">
        <v>5555</v>
      </c>
      <c r="C1942" s="5" t="s">
        <v>5672</v>
      </c>
      <c r="D1942" s="5" t="s">
        <v>5452</v>
      </c>
      <c r="E1942" s="5" t="s">
        <v>29</v>
      </c>
      <c r="F1942" s="5" t="s">
        <v>5453</v>
      </c>
      <c r="G1942" s="5" t="s">
        <v>152</v>
      </c>
      <c r="H1942" s="5" t="s">
        <v>5557</v>
      </c>
      <c r="I1942" s="5" t="s">
        <v>5673</v>
      </c>
      <c r="J1942" s="5" t="s">
        <v>5674</v>
      </c>
      <c r="K1942" s="7" t="str">
        <f ca="1">IFERROR(__xludf.DUMMYFUNCTION("GOOGLETRANSLATE(H1942,""EN"",""ES"")"),"CAJAS, ESTUCHES, CONTENEDORES, LATAS DE HOJALATA")</f>
        <v>CAJAS, ESTUCHES, CONTENEDORES, LATAS DE HOJALATA</v>
      </c>
      <c r="L1942" s="5" t="str">
        <f ca="1">IFERROR(__xludf.DUMMYFUNCTION("GOOGLETRANSLATE(J1942,""EN"",""ES"")"),"Cajas para pañuelos de papel [embalaje]")</f>
        <v>Cajas para pañuelos de papel [embalaje]</v>
      </c>
      <c r="M1942" s="8" t="s">
        <v>28</v>
      </c>
      <c r="N1942" s="8"/>
    </row>
    <row r="1943" spans="1:14" ht="11.25" customHeight="1">
      <c r="A1943" s="5" t="s">
        <v>5449</v>
      </c>
      <c r="B1943" s="5" t="s">
        <v>5555</v>
      </c>
      <c r="C1943" s="5" t="s">
        <v>5675</v>
      </c>
      <c r="D1943" s="5" t="s">
        <v>5452</v>
      </c>
      <c r="E1943" s="5" t="s">
        <v>29</v>
      </c>
      <c r="F1943" s="5" t="s">
        <v>5453</v>
      </c>
      <c r="G1943" s="5" t="s">
        <v>152</v>
      </c>
      <c r="H1943" s="5" t="s">
        <v>5557</v>
      </c>
      <c r="I1943" s="5" t="s">
        <v>5676</v>
      </c>
      <c r="J1943" s="5" t="s">
        <v>5677</v>
      </c>
      <c r="K1943" s="7" t="str">
        <f ca="1">IFERROR(__xludf.DUMMYFUNCTION("GOOGLETRANSLATE(H1943,""EN"",""ES"")"),"CAJAS, ESTUCHES, CONTENEDORES, LATAS DE HOJALATA")</f>
        <v>CAJAS, ESTUCHES, CONTENEDORES, LATAS DE HOJALATA</v>
      </c>
      <c r="L1943" s="5" t="str">
        <f ca="1">IFERROR(__xludf.DUMMYFUNCTION("GOOGLETRANSLATE(J1943,""EN"",""ES"")"),"Bastidores de transporte para electrodomésticos")</f>
        <v>Bastidores de transporte para electrodomésticos</v>
      </c>
      <c r="M1943" s="8" t="s">
        <v>28</v>
      </c>
      <c r="N1943" s="8"/>
    </row>
    <row r="1944" spans="1:14" ht="11.25" customHeight="1">
      <c r="A1944" s="5" t="s">
        <v>5449</v>
      </c>
      <c r="B1944" s="5" t="s">
        <v>5555</v>
      </c>
      <c r="C1944" s="5" t="s">
        <v>5678</v>
      </c>
      <c r="D1944" s="5" t="s">
        <v>5452</v>
      </c>
      <c r="E1944" s="5" t="s">
        <v>29</v>
      </c>
      <c r="F1944" s="5" t="s">
        <v>5453</v>
      </c>
      <c r="G1944" s="5" t="s">
        <v>152</v>
      </c>
      <c r="H1944" s="5" t="s">
        <v>5557</v>
      </c>
      <c r="I1944" s="5" t="s">
        <v>5679</v>
      </c>
      <c r="J1944" s="5" t="s">
        <v>5680</v>
      </c>
      <c r="K1944" s="7" t="str">
        <f ca="1">IFERROR(__xludf.DUMMYFUNCTION("GOOGLETRANSLATE(H1944,""EN"",""ES"")"),"CAJAS, ESTUCHES, CONTENEDORES, LATAS DE HOJALATA")</f>
        <v>CAJAS, ESTUCHES, CONTENEDORES, LATAS DE HOJALATA</v>
      </c>
      <c r="L1944" s="5" t="str">
        <f ca="1">IFERROR(__xludf.DUMMYFUNCTION("GOOGLETRANSLATE(J1944,""EN"",""ES"")"),"Cajas de mano")</f>
        <v>Cajas de mano</v>
      </c>
      <c r="M1944" s="8" t="s">
        <v>28</v>
      </c>
      <c r="N1944" s="8"/>
    </row>
    <row r="1945" spans="1:14" ht="11.25" customHeight="1">
      <c r="A1945" s="5" t="s">
        <v>5449</v>
      </c>
      <c r="B1945" s="5" t="s">
        <v>5681</v>
      </c>
      <c r="C1945" s="5" t="s">
        <v>5682</v>
      </c>
      <c r="D1945" s="5" t="s">
        <v>5452</v>
      </c>
      <c r="E1945" s="5" t="s">
        <v>29</v>
      </c>
      <c r="F1945" s="5" t="s">
        <v>5453</v>
      </c>
      <c r="G1945" s="5" t="s">
        <v>152</v>
      </c>
      <c r="H1945" s="5" t="s">
        <v>5683</v>
      </c>
      <c r="I1945" s="5" t="s">
        <v>5684</v>
      </c>
      <c r="J1945" s="5" t="s">
        <v>5685</v>
      </c>
      <c r="K1945" s="7" t="str">
        <f ca="1">IFERROR(__xludf.DUMMYFUNCTION("GOOGLETRANSLATE(H1945,""EN"",""ES"")"),"CESTAS, CAJAS Y CESTAS")</f>
        <v>CESTAS, CAJAS Y CESTAS</v>
      </c>
      <c r="L1945" s="5" t="str">
        <f ca="1">IFERROR(__xludf.DUMMYFUNCTION("GOOGLETRANSLATE(J1945,""EN"",""ES"")"),"Cestas")</f>
        <v>Cestas</v>
      </c>
      <c r="M1945" s="8" t="s">
        <v>28</v>
      </c>
      <c r="N1945" s="8"/>
    </row>
    <row r="1946" spans="1:14" ht="11.25" customHeight="1">
      <c r="A1946" s="5" t="s">
        <v>5449</v>
      </c>
      <c r="B1946" s="5" t="s">
        <v>5681</v>
      </c>
      <c r="C1946" s="5" t="s">
        <v>5686</v>
      </c>
      <c r="D1946" s="5" t="s">
        <v>5452</v>
      </c>
      <c r="E1946" s="5" t="s">
        <v>29</v>
      </c>
      <c r="F1946" s="5" t="s">
        <v>5453</v>
      </c>
      <c r="G1946" s="5" t="s">
        <v>152</v>
      </c>
      <c r="H1946" s="5" t="s">
        <v>5683</v>
      </c>
      <c r="I1946" s="5" t="s">
        <v>5687</v>
      </c>
      <c r="J1946" s="5" t="s">
        <v>5688</v>
      </c>
      <c r="K1946" s="7" t="str">
        <f ca="1">IFERROR(__xludf.DUMMYFUNCTION("GOOGLETRANSLATE(H1946,""EN"",""ES"")"),"CESTAS, CAJAS Y CESTAS")</f>
        <v>CESTAS, CAJAS Y CESTAS</v>
      </c>
      <c r="L1946" s="5" t="str">
        <f ca="1">IFERROR(__xludf.DUMMYFUNCTION("GOOGLETRANSLATE(J1946,""EN"",""ES"")"),"cajas")</f>
        <v>cajas</v>
      </c>
      <c r="M1946" s="8" t="s">
        <v>28</v>
      </c>
      <c r="N1946" s="8"/>
    </row>
    <row r="1947" spans="1:14" ht="11.25" customHeight="1">
      <c r="A1947" s="5" t="s">
        <v>5449</v>
      </c>
      <c r="B1947" s="5" t="s">
        <v>5681</v>
      </c>
      <c r="C1947" s="5" t="s">
        <v>5686</v>
      </c>
      <c r="D1947" s="5" t="s">
        <v>5452</v>
      </c>
      <c r="E1947" s="5" t="s">
        <v>29</v>
      </c>
      <c r="F1947" s="5" t="s">
        <v>5453</v>
      </c>
      <c r="G1947" s="5" t="s">
        <v>152</v>
      </c>
      <c r="H1947" s="5" t="s">
        <v>5683</v>
      </c>
      <c r="I1947" s="5" t="s">
        <v>152</v>
      </c>
      <c r="J1947" s="5" t="s">
        <v>5689</v>
      </c>
      <c r="K1947" s="7" t="str">
        <f ca="1">IFERROR(__xludf.DUMMYFUNCTION("GOOGLETRANSLATE(H1947,""EN"",""ES"")"),"CESTAS, CAJAS Y CESTAS")</f>
        <v>CESTAS, CAJAS Y CESTAS</v>
      </c>
      <c r="L1947" s="5" t="str">
        <f ca="1">IFERROR(__xludf.DUMMYFUNCTION("GOOGLETRANSLATE(J1947,""EN"",""ES"")"),"N / A")</f>
        <v>N / A</v>
      </c>
      <c r="M1947" s="8" t="s">
        <v>28</v>
      </c>
      <c r="N1947" s="8"/>
    </row>
    <row r="1948" spans="1:14" ht="11.25" customHeight="1">
      <c r="A1948" s="5" t="s">
        <v>5449</v>
      </c>
      <c r="B1948" s="5" t="s">
        <v>5681</v>
      </c>
      <c r="C1948" s="5" t="s">
        <v>5690</v>
      </c>
      <c r="D1948" s="5" t="s">
        <v>5452</v>
      </c>
      <c r="E1948" s="5" t="s">
        <v>29</v>
      </c>
      <c r="F1948" s="5" t="s">
        <v>5453</v>
      </c>
      <c r="G1948" s="5" t="s">
        <v>152</v>
      </c>
      <c r="H1948" s="5" t="s">
        <v>5683</v>
      </c>
      <c r="I1948" s="5" t="s">
        <v>5691</v>
      </c>
      <c r="J1948" s="5" t="s">
        <v>5692</v>
      </c>
      <c r="K1948" s="7" t="str">
        <f ca="1">IFERROR(__xludf.DUMMYFUNCTION("GOOGLETRANSLATE(H1948,""EN"",""ES"")"),"CESTAS, CAJAS Y CESTAS")</f>
        <v>CESTAS, CAJAS Y CESTAS</v>
      </c>
      <c r="L1948" s="5" t="str">
        <f ca="1">IFERROR(__xludf.DUMMYFUNCTION("GOOGLETRANSLATE(J1948,""EN"",""ES"")"),"Cestas de vendimia")</f>
        <v>Cestas de vendimia</v>
      </c>
      <c r="M1948" s="8" t="s">
        <v>28</v>
      </c>
      <c r="N1948" s="8"/>
    </row>
    <row r="1949" spans="1:14" ht="11.25" customHeight="1">
      <c r="A1949" s="5" t="s">
        <v>5449</v>
      </c>
      <c r="B1949" s="5" t="s">
        <v>5681</v>
      </c>
      <c r="C1949" s="5" t="s">
        <v>5693</v>
      </c>
      <c r="D1949" s="5" t="s">
        <v>5452</v>
      </c>
      <c r="E1949" s="5" t="s">
        <v>29</v>
      </c>
      <c r="F1949" s="5" t="s">
        <v>5453</v>
      </c>
      <c r="G1949" s="5" t="s">
        <v>152</v>
      </c>
      <c r="H1949" s="5" t="s">
        <v>5683</v>
      </c>
      <c r="I1949" s="5" t="s">
        <v>5694</v>
      </c>
      <c r="J1949" s="5" t="s">
        <v>5695</v>
      </c>
      <c r="K1949" s="7" t="str">
        <f ca="1">IFERROR(__xludf.DUMMYFUNCTION("GOOGLETRANSLATE(H1949,""EN"",""ES"")"),"CESTAS, CAJAS Y CESTAS")</f>
        <v>CESTAS, CAJAS Y CESTAS</v>
      </c>
      <c r="L1949" s="5" t="str">
        <f ca="1">IFERROR(__xludf.DUMMYFUNCTION("GOOGLETRANSLATE(J1949,""EN"",""ES"")"),"Cestas [embalaje]")</f>
        <v>Cestas [embalaje]</v>
      </c>
      <c r="M1949" s="8" t="s">
        <v>28</v>
      </c>
      <c r="N1949" s="8"/>
    </row>
    <row r="1950" spans="1:14" ht="11.25" customHeight="1">
      <c r="A1950" s="5" t="s">
        <v>5449</v>
      </c>
      <c r="B1950" s="5" t="s">
        <v>5681</v>
      </c>
      <c r="C1950" s="5" t="s">
        <v>5696</v>
      </c>
      <c r="D1950" s="5" t="s">
        <v>5452</v>
      </c>
      <c r="E1950" s="5" t="s">
        <v>29</v>
      </c>
      <c r="F1950" s="5" t="s">
        <v>5453</v>
      </c>
      <c r="G1950" s="5" t="s">
        <v>152</v>
      </c>
      <c r="H1950" s="5" t="s">
        <v>5683</v>
      </c>
      <c r="I1950" s="5" t="s">
        <v>5697</v>
      </c>
      <c r="J1950" s="5" t="s">
        <v>5698</v>
      </c>
      <c r="K1950" s="7" t="str">
        <f ca="1">IFERROR(__xludf.DUMMYFUNCTION("GOOGLETRANSLATE(H1950,""EN"",""ES"")"),"CESTAS, CAJAS Y CESTAS")</f>
        <v>CESTAS, CAJAS Y CESTAS</v>
      </c>
      <c r="L1950" s="5" t="str">
        <f ca="1">IFERROR(__xludf.DUMMYFUNCTION("GOOGLETRANSLATE(J1950,""EN"",""ES"")"),"Cestas de manillar")</f>
        <v>Cestas de manillar</v>
      </c>
      <c r="M1950" s="8" t="s">
        <v>28</v>
      </c>
      <c r="N1950" s="8"/>
    </row>
    <row r="1951" spans="1:14" ht="11.25" customHeight="1">
      <c r="A1951" s="5" t="s">
        <v>5449</v>
      </c>
      <c r="B1951" s="5" t="s">
        <v>5699</v>
      </c>
      <c r="C1951" s="5" t="s">
        <v>5700</v>
      </c>
      <c r="D1951" s="5" t="s">
        <v>5452</v>
      </c>
      <c r="E1951" s="5" t="s">
        <v>29</v>
      </c>
      <c r="F1951" s="5" t="s">
        <v>5453</v>
      </c>
      <c r="G1951" s="5" t="s">
        <v>152</v>
      </c>
      <c r="H1951" s="5" t="s">
        <v>5701</v>
      </c>
      <c r="I1951" s="5" t="s">
        <v>5702</v>
      </c>
      <c r="J1951" s="5" t="s">
        <v>5703</v>
      </c>
      <c r="K1951" s="7" t="str">
        <f ca="1">IFERROR(__xludf.DUMMYFUNCTION("GOOGLETRANSLATE(H1951,""EN"",""ES"")"),"BOLSAS, SOBRES, TUBOS Y CÁPSULAS")</f>
        <v>BOLSAS, SOBRES, TUBOS Y CÁPSULAS</v>
      </c>
      <c r="L1951" s="5" t="str">
        <f ca="1">IFERROR(__xludf.DUMMYFUNCTION("GOOGLETRANSLATE(J1951,""EN"",""ES"")"),"Ampollas [envases]")</f>
        <v>Ampollas [envases]</v>
      </c>
      <c r="M1951" s="8" t="s">
        <v>28</v>
      </c>
      <c r="N1951" s="8"/>
    </row>
    <row r="1952" spans="1:14" ht="11.25" customHeight="1">
      <c r="A1952" s="5" t="s">
        <v>5449</v>
      </c>
      <c r="B1952" s="5" t="s">
        <v>5699</v>
      </c>
      <c r="C1952" s="5" t="s">
        <v>5704</v>
      </c>
      <c r="D1952" s="5" t="s">
        <v>5452</v>
      </c>
      <c r="E1952" s="5" t="s">
        <v>29</v>
      </c>
      <c r="F1952" s="5" t="s">
        <v>5453</v>
      </c>
      <c r="G1952" s="5" t="s">
        <v>152</v>
      </c>
      <c r="H1952" s="5" t="s">
        <v>5701</v>
      </c>
      <c r="I1952" s="5" t="s">
        <v>5705</v>
      </c>
      <c r="J1952" s="5" t="s">
        <v>5706</v>
      </c>
      <c r="K1952" s="7" t="str">
        <f ca="1">IFERROR(__xludf.DUMMYFUNCTION("GOOGLETRANSLATE(H1952,""EN"",""ES"")"),"BOLSAS, SOBRES, TUBOS Y CÁPSULAS")</f>
        <v>BOLSAS, SOBRES, TUBOS Y CÁPSULAS</v>
      </c>
      <c r="L1952" s="5" t="str">
        <f ca="1">IFERROR(__xludf.DUMMYFUNCTION("GOOGLETRANSLATE(J1952,""EN"",""ES"")"),"Cápsulas [envolturas]")</f>
        <v>Cápsulas [envolturas]</v>
      </c>
      <c r="M1952" s="8" t="s">
        <v>28</v>
      </c>
      <c r="N1952" s="8"/>
    </row>
    <row r="1953" spans="1:14" ht="11.25" customHeight="1">
      <c r="A1953" s="5" t="s">
        <v>5449</v>
      </c>
      <c r="B1953" s="5" t="s">
        <v>5699</v>
      </c>
      <c r="C1953" s="5" t="s">
        <v>5707</v>
      </c>
      <c r="D1953" s="5" t="s">
        <v>5452</v>
      </c>
      <c r="E1953" s="5" t="s">
        <v>29</v>
      </c>
      <c r="F1953" s="5" t="s">
        <v>5453</v>
      </c>
      <c r="G1953" s="5" t="s">
        <v>152</v>
      </c>
      <c r="H1953" s="5" t="s">
        <v>5701</v>
      </c>
      <c r="I1953" s="5" t="s">
        <v>5708</v>
      </c>
      <c r="J1953" s="5" t="s">
        <v>5709</v>
      </c>
      <c r="K1953" s="7" t="str">
        <f ca="1">IFERROR(__xludf.DUMMYFUNCTION("GOOGLETRANSLATE(H1953,""EN"",""ES"")"),"BOLSAS, SOBRES, TUBOS Y CÁPSULAS")</f>
        <v>BOLSAS, SOBRES, TUBOS Y CÁPSULAS</v>
      </c>
      <c r="L1953" s="5" t="str">
        <f ca="1">IFERROR(__xludf.DUMMYFUNCTION("GOOGLETRANSLATE(J1953,""EN"",""ES"")"),"Cápsulas para productos farmacéuticos.")</f>
        <v>Cápsulas para productos farmacéuticos.</v>
      </c>
      <c r="M1953" s="8" t="s">
        <v>28</v>
      </c>
      <c r="N1953" s="8"/>
    </row>
    <row r="1954" spans="1:14" ht="11.25" customHeight="1">
      <c r="A1954" s="5" t="s">
        <v>5449</v>
      </c>
      <c r="B1954" s="5" t="s">
        <v>5699</v>
      </c>
      <c r="C1954" s="5" t="s">
        <v>5710</v>
      </c>
      <c r="D1954" s="5" t="s">
        <v>5452</v>
      </c>
      <c r="E1954" s="5" t="s">
        <v>29</v>
      </c>
      <c r="F1954" s="5" t="s">
        <v>5453</v>
      </c>
      <c r="G1954" s="5" t="s">
        <v>152</v>
      </c>
      <c r="H1954" s="5" t="s">
        <v>5701</v>
      </c>
      <c r="I1954" s="5" t="s">
        <v>5711</v>
      </c>
      <c r="J1954" s="5" t="s">
        <v>5712</v>
      </c>
      <c r="K1954" s="7" t="str">
        <f ca="1">IFERROR(__xludf.DUMMYFUNCTION("GOOGLETRANSLATE(H1954,""EN"",""ES"")"),"BOLSAS, SOBRES, TUBOS Y CÁPSULAS")</f>
        <v>BOLSAS, SOBRES, TUBOS Y CÁPSULAS</v>
      </c>
      <c r="L1954" s="5" t="str">
        <f ca="1">IFERROR(__xludf.DUMMYFUNCTION("GOOGLETRANSLATE(J1954,""EN"",""ES"")"),"Cornetas [embalaje]")</f>
        <v>Cornetas [embalaje]</v>
      </c>
      <c r="M1954" s="8" t="s">
        <v>28</v>
      </c>
      <c r="N1954" s="8"/>
    </row>
    <row r="1955" spans="1:14" ht="11.25" customHeight="1">
      <c r="A1955" s="5" t="s">
        <v>5449</v>
      </c>
      <c r="B1955" s="5" t="s">
        <v>5699</v>
      </c>
      <c r="C1955" s="5" t="s">
        <v>5713</v>
      </c>
      <c r="D1955" s="5" t="s">
        <v>5452</v>
      </c>
      <c r="E1955" s="5" t="s">
        <v>29</v>
      </c>
      <c r="F1955" s="5" t="s">
        <v>5453</v>
      </c>
      <c r="G1955" s="5" t="s">
        <v>152</v>
      </c>
      <c r="H1955" s="5" t="s">
        <v>5701</v>
      </c>
      <c r="I1955" s="5" t="s">
        <v>5714</v>
      </c>
      <c r="J1955" s="5" t="s">
        <v>5715</v>
      </c>
      <c r="K1955" s="7" t="str">
        <f ca="1">IFERROR(__xludf.DUMMYFUNCTION("GOOGLETRANSLATE(H1955,""EN"",""ES"")"),"BOLSAS, SOBRES, TUBOS Y CÁPSULAS")</f>
        <v>BOLSAS, SOBRES, TUBOS Y CÁPSULAS</v>
      </c>
      <c r="L1955" s="5" t="str">
        <f ca="1">IFERROR(__xludf.DUMMYFUNCTION("GOOGLETRANSLATE(J1955,""EN"",""ES"")"),"Fundas para discos fonográficos")</f>
        <v>Fundas para discos fonográficos</v>
      </c>
      <c r="M1955" s="8" t="s">
        <v>28</v>
      </c>
      <c r="N1955" s="8"/>
    </row>
    <row r="1956" spans="1:14" ht="11.25" customHeight="1">
      <c r="A1956" s="5" t="s">
        <v>5449</v>
      </c>
      <c r="B1956" s="5" t="s">
        <v>5699</v>
      </c>
      <c r="C1956" s="5" t="s">
        <v>5716</v>
      </c>
      <c r="D1956" s="5" t="s">
        <v>5452</v>
      </c>
      <c r="E1956" s="5" t="s">
        <v>29</v>
      </c>
      <c r="F1956" s="5" t="s">
        <v>5453</v>
      </c>
      <c r="G1956" s="5" t="s">
        <v>152</v>
      </c>
      <c r="H1956" s="5" t="s">
        <v>5701</v>
      </c>
      <c r="I1956" s="5" t="s">
        <v>5717</v>
      </c>
      <c r="J1956" s="5" t="s">
        <v>5718</v>
      </c>
      <c r="K1956" s="7" t="str">
        <f ca="1">IFERROR(__xludf.DUMMYFUNCTION("GOOGLETRANSLATE(H1956,""EN"",""ES"")"),"BOLSAS, SOBRES, TUBOS Y CÁPSULAS")</f>
        <v>BOLSAS, SOBRES, TUBOS Y CÁPSULAS</v>
      </c>
      <c r="L1956" s="5" t="str">
        <f ca="1">IFERROR(__xludf.DUMMYFUNCTION("GOOGLETRANSLATE(J1956,""EN"",""ES"")"),"Bolsitas [envases]")</f>
        <v>Bolsitas [envases]</v>
      </c>
      <c r="M1956" s="8" t="s">
        <v>28</v>
      </c>
      <c r="N1956" s="8"/>
    </row>
    <row r="1957" spans="1:14" ht="11.25" customHeight="1">
      <c r="A1957" s="5" t="s">
        <v>5449</v>
      </c>
      <c r="B1957" s="5" t="s">
        <v>5699</v>
      </c>
      <c r="C1957" s="5" t="s">
        <v>5719</v>
      </c>
      <c r="D1957" s="5" t="s">
        <v>5452</v>
      </c>
      <c r="E1957" s="5" t="s">
        <v>29</v>
      </c>
      <c r="F1957" s="5" t="s">
        <v>5453</v>
      </c>
      <c r="G1957" s="5" t="s">
        <v>152</v>
      </c>
      <c r="H1957" s="5" t="s">
        <v>5701</v>
      </c>
      <c r="I1957" s="5" t="s">
        <v>5720</v>
      </c>
      <c r="J1957" s="5" t="s">
        <v>5721</v>
      </c>
      <c r="K1957" s="7" t="str">
        <f ca="1">IFERROR(__xludf.DUMMYFUNCTION("GOOGLETRANSLATE(H1957,""EN"",""ES"")"),"BOLSAS, SOBRES, TUBOS Y CÁPSULAS")</f>
        <v>BOLSAS, SOBRES, TUBOS Y CÁPSULAS</v>
      </c>
      <c r="L1957" s="5" t="str">
        <f ca="1">IFERROR(__xludf.DUMMYFUNCTION("GOOGLETRANSLATE(J1957,""EN"",""ES"")"),"Bolsas para té o café.")</f>
        <v>Bolsas para té o café.</v>
      </c>
      <c r="M1957" s="8" t="s">
        <v>28</v>
      </c>
      <c r="N1957" s="8"/>
    </row>
    <row r="1958" spans="1:14" ht="11.25" customHeight="1">
      <c r="A1958" s="5" t="s">
        <v>5449</v>
      </c>
      <c r="B1958" s="5" t="s">
        <v>5699</v>
      </c>
      <c r="C1958" s="5" t="s">
        <v>5722</v>
      </c>
      <c r="D1958" s="5" t="s">
        <v>5452</v>
      </c>
      <c r="E1958" s="5" t="s">
        <v>29</v>
      </c>
      <c r="F1958" s="5" t="s">
        <v>5453</v>
      </c>
      <c r="G1958" s="5" t="s">
        <v>152</v>
      </c>
      <c r="H1958" s="5" t="s">
        <v>5701</v>
      </c>
      <c r="I1958" s="5" t="s">
        <v>5723</v>
      </c>
      <c r="J1958" s="5" t="s">
        <v>5724</v>
      </c>
      <c r="K1958" s="7" t="str">
        <f ca="1">IFERROR(__xludf.DUMMYFUNCTION("GOOGLETRANSLATE(H1958,""EN"",""ES"")"),"BOLSAS, SOBRES, TUBOS Y CÁPSULAS")</f>
        <v>BOLSAS, SOBRES, TUBOS Y CÁPSULAS</v>
      </c>
      <c r="L1958" s="5" t="str">
        <f ca="1">IFERROR(__xludf.DUMMYFUNCTION("GOOGLETRANSLATE(J1958,""EN"",""ES"")"),"Bolsas [embalaje]")</f>
        <v>Bolsas [embalaje]</v>
      </c>
      <c r="M1958" s="8" t="s">
        <v>28</v>
      </c>
      <c r="N1958" s="8"/>
    </row>
    <row r="1959" spans="1:14" ht="11.25" customHeight="1">
      <c r="A1959" s="5" t="s">
        <v>5449</v>
      </c>
      <c r="B1959" s="5" t="s">
        <v>5699</v>
      </c>
      <c r="C1959" s="5" t="s">
        <v>5725</v>
      </c>
      <c r="D1959" s="5" t="s">
        <v>5452</v>
      </c>
      <c r="E1959" s="5" t="s">
        <v>29</v>
      </c>
      <c r="F1959" s="5" t="s">
        <v>5453</v>
      </c>
      <c r="G1959" s="5" t="s">
        <v>152</v>
      </c>
      <c r="H1959" s="5" t="s">
        <v>5701</v>
      </c>
      <c r="I1959" s="5" t="s">
        <v>5726</v>
      </c>
      <c r="J1959" s="5" t="s">
        <v>5727</v>
      </c>
      <c r="K1959" s="7" t="str">
        <f ca="1">IFERROR(__xludf.DUMMYFUNCTION("GOOGLETRANSLATE(H1959,""EN"",""ES"")"),"BOLSAS, SOBRES, TUBOS Y CÁPSULAS")</f>
        <v>BOLSAS, SOBRES, TUBOS Y CÁPSULAS</v>
      </c>
      <c r="L1959" s="5" t="str">
        <f ca="1">IFERROR(__xludf.DUMMYFUNCTION("GOOGLETRANSLATE(J1959,""EN"",""ES"")"),"bolsas de papel")</f>
        <v>bolsas de papel</v>
      </c>
      <c r="M1959" s="8" t="s">
        <v>28</v>
      </c>
      <c r="N1959" s="8"/>
    </row>
    <row r="1960" spans="1:14" ht="11.25" customHeight="1">
      <c r="A1960" s="5" t="s">
        <v>5449</v>
      </c>
      <c r="B1960" s="5" t="s">
        <v>5699</v>
      </c>
      <c r="C1960" s="5" t="s">
        <v>5728</v>
      </c>
      <c r="D1960" s="5" t="s">
        <v>5452</v>
      </c>
      <c r="E1960" s="5" t="s">
        <v>29</v>
      </c>
      <c r="F1960" s="5" t="s">
        <v>5453</v>
      </c>
      <c r="G1960" s="5" t="s">
        <v>152</v>
      </c>
      <c r="H1960" s="5" t="s">
        <v>5701</v>
      </c>
      <c r="I1960" s="5" t="s">
        <v>5729</v>
      </c>
      <c r="J1960" s="5" t="s">
        <v>5730</v>
      </c>
      <c r="K1960" s="7" t="str">
        <f ca="1">IFERROR(__xludf.DUMMYFUNCTION("GOOGLETRANSLATE(H1960,""EN"",""ES"")"),"BOLSAS, SOBRES, TUBOS Y CÁPSULAS")</f>
        <v>BOLSAS, SOBRES, TUBOS Y CÁPSULAS</v>
      </c>
      <c r="L1960" s="5" t="str">
        <f ca="1">IFERROR(__xludf.DUMMYFUNCTION("GOOGLETRANSLATE(J1960,""EN"",""ES"")"),"Tubos [contenedores de embalaje]")</f>
        <v>Tubos [contenedores de embalaje]</v>
      </c>
      <c r="M1960" s="8" t="s">
        <v>28</v>
      </c>
      <c r="N1960" s="8"/>
    </row>
    <row r="1961" spans="1:14" ht="11.25" customHeight="1">
      <c r="A1961" s="5" t="s">
        <v>5449</v>
      </c>
      <c r="B1961" s="5" t="s">
        <v>5699</v>
      </c>
      <c r="C1961" s="5" t="s">
        <v>5731</v>
      </c>
      <c r="D1961" s="5" t="s">
        <v>5452</v>
      </c>
      <c r="E1961" s="5" t="s">
        <v>29</v>
      </c>
      <c r="F1961" s="5" t="s">
        <v>5453</v>
      </c>
      <c r="G1961" s="5" t="s">
        <v>152</v>
      </c>
      <c r="H1961" s="5" t="s">
        <v>5701</v>
      </c>
      <c r="I1961" s="5" t="s">
        <v>5732</v>
      </c>
      <c r="J1961" s="5" t="s">
        <v>5733</v>
      </c>
      <c r="K1961" s="7" t="str">
        <f ca="1">IFERROR(__xludf.DUMMYFUNCTION("GOOGLETRANSLATE(H1961,""EN"",""ES"")"),"BOLSAS, SOBRES, TUBOS Y CÁPSULAS")</f>
        <v>BOLSAS, SOBRES, TUBOS Y CÁPSULAS</v>
      </c>
      <c r="L1961" s="5" t="str">
        <f ca="1">IFERROR(__xludf.DUMMYFUNCTION("GOOGLETRANSLATE(J1961,""EN"",""ES"")"),"Envases para cucuruchos de helado.")</f>
        <v>Envases para cucuruchos de helado.</v>
      </c>
      <c r="M1961" s="8" t="s">
        <v>28</v>
      </c>
      <c r="N1961" s="8"/>
    </row>
    <row r="1962" spans="1:14" ht="11.25" customHeight="1">
      <c r="A1962" s="5" t="s">
        <v>5449</v>
      </c>
      <c r="B1962" s="5" t="s">
        <v>5699</v>
      </c>
      <c r="C1962" s="5" t="s">
        <v>5734</v>
      </c>
      <c r="D1962" s="5" t="s">
        <v>5452</v>
      </c>
      <c r="E1962" s="5" t="s">
        <v>29</v>
      </c>
      <c r="F1962" s="5" t="s">
        <v>5453</v>
      </c>
      <c r="G1962" s="5" t="s">
        <v>152</v>
      </c>
      <c r="H1962" s="5" t="s">
        <v>5701</v>
      </c>
      <c r="I1962" s="5" t="s">
        <v>5735</v>
      </c>
      <c r="J1962" s="5" t="s">
        <v>5736</v>
      </c>
      <c r="K1962" s="7" t="str">
        <f ca="1">IFERROR(__xludf.DUMMYFUNCTION("GOOGLETRANSLATE(H1962,""EN"",""ES"")"),"BOLSAS, SOBRES, TUBOS Y CÁPSULAS")</f>
        <v>BOLSAS, SOBRES, TUBOS Y CÁPSULAS</v>
      </c>
      <c r="L1962" s="5" t="str">
        <f ca="1">IFERROR(__xludf.DUMMYFUNCTION("GOOGLETRANSLATE(J1962,""EN"",""ES"")"),"bolsas de correo")</f>
        <v>bolsas de correo</v>
      </c>
      <c r="M1962" s="8" t="s">
        <v>28</v>
      </c>
      <c r="N1962" s="8"/>
    </row>
    <row r="1963" spans="1:14" ht="11.25" customHeight="1">
      <c r="A1963" s="5" t="s">
        <v>5449</v>
      </c>
      <c r="B1963" s="5" t="s">
        <v>5699</v>
      </c>
      <c r="C1963" s="5" t="s">
        <v>5737</v>
      </c>
      <c r="D1963" s="5" t="s">
        <v>5452</v>
      </c>
      <c r="E1963" s="5" t="s">
        <v>29</v>
      </c>
      <c r="F1963" s="5" t="s">
        <v>5453</v>
      </c>
      <c r="G1963" s="5" t="s">
        <v>152</v>
      </c>
      <c r="H1963" s="5" t="s">
        <v>5701</v>
      </c>
      <c r="I1963" s="5" t="s">
        <v>5738</v>
      </c>
      <c r="J1963" s="5" t="s">
        <v>5739</v>
      </c>
      <c r="K1963" s="7" t="str">
        <f ca="1">IFERROR(__xludf.DUMMYFUNCTION("GOOGLETRANSLATE(H1963,""EN"",""ES"")"),"BOLSAS, SOBRES, TUBOS Y CÁPSULAS")</f>
        <v>BOLSAS, SOBRES, TUBOS Y CÁPSULAS</v>
      </c>
      <c r="L1963" s="5" t="str">
        <f ca="1">IFERROR(__xludf.DUMMYFUNCTION("GOOGLETRANSLATE(J1963,""EN"",""ES"")"),"Bolsas para hacer cubitos de hielo.")</f>
        <v>Bolsas para hacer cubitos de hielo.</v>
      </c>
      <c r="M1963" s="8" t="s">
        <v>28</v>
      </c>
      <c r="N1963" s="8"/>
    </row>
    <row r="1964" spans="1:14" ht="11.25" customHeight="1">
      <c r="A1964" s="5" t="s">
        <v>5449</v>
      </c>
      <c r="B1964" s="5" t="s">
        <v>5699</v>
      </c>
      <c r="C1964" s="5" t="s">
        <v>5740</v>
      </c>
      <c r="D1964" s="5" t="s">
        <v>5452</v>
      </c>
      <c r="E1964" s="5" t="s">
        <v>29</v>
      </c>
      <c r="F1964" s="5" t="s">
        <v>5453</v>
      </c>
      <c r="G1964" s="5" t="s">
        <v>152</v>
      </c>
      <c r="H1964" s="5" t="s">
        <v>5701</v>
      </c>
      <c r="I1964" s="5" t="s">
        <v>5741</v>
      </c>
      <c r="J1964" s="5" t="s">
        <v>5742</v>
      </c>
      <c r="K1964" s="7" t="str">
        <f ca="1">IFERROR(__xludf.DUMMYFUNCTION("GOOGLETRANSLATE(H1964,""EN"",""ES"")"),"BOLSAS, SOBRES, TUBOS Y CÁPSULAS")</f>
        <v>BOLSAS, SOBRES, TUBOS Y CÁPSULAS</v>
      </c>
      <c r="L1964" s="5" t="str">
        <f ca="1">IFERROR(__xludf.DUMMYFUNCTION("GOOGLETRANSLATE(J1964,""EN"",""ES"")"),"Tubos de monedas [embalaje]")</f>
        <v>Tubos de monedas [embalaje]</v>
      </c>
      <c r="M1964" s="8" t="s">
        <v>28</v>
      </c>
      <c r="N1964" s="8"/>
    </row>
    <row r="1965" spans="1:14" ht="11.25" customHeight="1">
      <c r="A1965" s="5" t="s">
        <v>5449</v>
      </c>
      <c r="B1965" s="5" t="s">
        <v>5699</v>
      </c>
      <c r="C1965" s="5" t="s">
        <v>5743</v>
      </c>
      <c r="D1965" s="5" t="s">
        <v>5452</v>
      </c>
      <c r="E1965" s="5" t="s">
        <v>29</v>
      </c>
      <c r="F1965" s="5" t="s">
        <v>5453</v>
      </c>
      <c r="G1965" s="5" t="s">
        <v>152</v>
      </c>
      <c r="H1965" s="5" t="s">
        <v>5701</v>
      </c>
      <c r="I1965" s="5" t="s">
        <v>5744</v>
      </c>
      <c r="J1965" s="5" t="s">
        <v>5745</v>
      </c>
      <c r="K1965" s="7" t="str">
        <f ca="1">IFERROR(__xludf.DUMMYFUNCTION("GOOGLETRANSLATE(H1965,""EN"",""ES"")"),"BOLSAS, SOBRES, TUBOS Y CÁPSULAS")</f>
        <v>BOLSAS, SOBRES, TUBOS Y CÁPSULAS</v>
      </c>
      <c r="L1965" s="5" t="str">
        <f ca="1">IFERROR(__xludf.DUMMYFUNCTION("GOOGLETRANSLATE(J1965,""EN"",""ES"")"),"Bolsas de basura")</f>
        <v>Bolsas de basura</v>
      </c>
      <c r="M1965" s="8" t="s">
        <v>28</v>
      </c>
      <c r="N1965" s="8"/>
    </row>
    <row r="1966" spans="1:14" ht="11.25" customHeight="1">
      <c r="A1966" s="5" t="s">
        <v>5449</v>
      </c>
      <c r="B1966" s="5" t="s">
        <v>5699</v>
      </c>
      <c r="C1966" s="5" t="s">
        <v>5743</v>
      </c>
      <c r="D1966" s="5" t="s">
        <v>5452</v>
      </c>
      <c r="E1966" s="5" t="s">
        <v>29</v>
      </c>
      <c r="F1966" s="5" t="s">
        <v>5453</v>
      </c>
      <c r="G1966" s="5" t="s">
        <v>152</v>
      </c>
      <c r="H1966" s="5" t="s">
        <v>5701</v>
      </c>
      <c r="I1966" s="5" t="s">
        <v>5746</v>
      </c>
      <c r="J1966" s="5" t="s">
        <v>152</v>
      </c>
      <c r="K1966" s="7" t="str">
        <f ca="1">IFERROR(__xludf.DUMMYFUNCTION("GOOGLETRANSLATE(H1966,""EN"",""ES"")"),"BOLSAS, SOBRES, TUBOS Y CÁPSULAS")</f>
        <v>BOLSAS, SOBRES, TUBOS Y CÁPSULAS</v>
      </c>
      <c r="L1966" s="5" t="str">
        <f ca="1">IFERROR(__xludf.DUMMYFUNCTION("GOOGLETRANSLATE(J1966,""EN"",""ES"")"),"bolsas de basura")</f>
        <v>bolsas de basura</v>
      </c>
      <c r="M1966" s="8" t="s">
        <v>28</v>
      </c>
      <c r="N1966" s="8"/>
    </row>
    <row r="1967" spans="1:14" ht="11.25" customHeight="1">
      <c r="A1967" s="5" t="s">
        <v>5449</v>
      </c>
      <c r="B1967" s="5" t="s">
        <v>5699</v>
      </c>
      <c r="C1967" s="5" t="s">
        <v>5747</v>
      </c>
      <c r="D1967" s="5" t="s">
        <v>5452</v>
      </c>
      <c r="E1967" s="5" t="s">
        <v>29</v>
      </c>
      <c r="F1967" s="5" t="s">
        <v>5453</v>
      </c>
      <c r="G1967" s="5" t="s">
        <v>152</v>
      </c>
      <c r="H1967" s="5" t="s">
        <v>5701</v>
      </c>
      <c r="I1967" s="5" t="s">
        <v>5748</v>
      </c>
      <c r="J1967" s="5" t="s">
        <v>5749</v>
      </c>
      <c r="K1967" s="7" t="str">
        <f ca="1">IFERROR(__xludf.DUMMYFUNCTION("GOOGLETRANSLATE(H1967,""EN"",""ES"")"),"BOLSAS, SOBRES, TUBOS Y CÁPSULAS")</f>
        <v>BOLSAS, SOBRES, TUBOS Y CÁPSULAS</v>
      </c>
      <c r="L1967" s="5" t="str">
        <f ca="1">IFERROR(__xludf.DUMMYFUNCTION("GOOGLETRANSLATE(J1967,""EN"",""ES"")"),"Bolsas [embalaje]")</f>
        <v>Bolsas [embalaje]</v>
      </c>
      <c r="M1967" s="8" t="s">
        <v>28</v>
      </c>
      <c r="N1967" s="8"/>
    </row>
    <row r="1968" spans="1:14" ht="11.25" customHeight="1">
      <c r="A1968" s="5" t="s">
        <v>5449</v>
      </c>
      <c r="B1968" s="5" t="s">
        <v>5699</v>
      </c>
      <c r="C1968" s="5" t="s">
        <v>5750</v>
      </c>
      <c r="D1968" s="5" t="s">
        <v>5452</v>
      </c>
      <c r="E1968" s="5" t="s">
        <v>29</v>
      </c>
      <c r="F1968" s="5" t="s">
        <v>5453</v>
      </c>
      <c r="G1968" s="5" t="s">
        <v>152</v>
      </c>
      <c r="H1968" s="5" t="s">
        <v>5701</v>
      </c>
      <c r="I1968" s="5" t="s">
        <v>5751</v>
      </c>
      <c r="J1968" s="5" t="s">
        <v>5752</v>
      </c>
      <c r="K1968" s="7" t="str">
        <f ca="1">IFERROR(__xludf.DUMMYFUNCTION("GOOGLETRANSLATE(H1968,""EN"",""ES"")"),"BOLSAS, SOBRES, TUBOS Y CÁPSULAS")</f>
        <v>BOLSAS, SOBRES, TUBOS Y CÁPSULAS</v>
      </c>
      <c r="L1968" s="5" t="str">
        <f ca="1">IFERROR(__xludf.DUMMYFUNCTION("GOOGLETRANSLATE(J1968,""EN"",""ES"")"),"Blíster [embalaje]")</f>
        <v>Blíster [embalaje]</v>
      </c>
      <c r="M1968" s="8" t="s">
        <v>28</v>
      </c>
      <c r="N1968" s="8"/>
    </row>
    <row r="1969" spans="1:14" ht="11.25" customHeight="1">
      <c r="A1969" s="5" t="s">
        <v>5449</v>
      </c>
      <c r="B1969" s="5" t="s">
        <v>5699</v>
      </c>
      <c r="C1969" s="5" t="s">
        <v>5753</v>
      </c>
      <c r="D1969" s="5" t="s">
        <v>5452</v>
      </c>
      <c r="E1969" s="5" t="s">
        <v>29</v>
      </c>
      <c r="F1969" s="5" t="s">
        <v>5453</v>
      </c>
      <c r="G1969" s="5" t="s">
        <v>152</v>
      </c>
      <c r="H1969" s="5" t="s">
        <v>5701</v>
      </c>
      <c r="I1969" s="5" t="s">
        <v>5754</v>
      </c>
      <c r="J1969" s="5" t="s">
        <v>5755</v>
      </c>
      <c r="K1969" s="7" t="str">
        <f ca="1">IFERROR(__xludf.DUMMYFUNCTION("GOOGLETRANSLATE(H1969,""EN"",""ES"")"),"BOLSAS, SOBRES, TUBOS Y CÁPSULAS")</f>
        <v>BOLSAS, SOBRES, TUBOS Y CÁPSULAS</v>
      </c>
      <c r="L1969" s="5" t="str">
        <f ca="1">IFERROR(__xludf.DUMMYFUNCTION("GOOGLETRANSLATE(J1969,""EN"",""ES"")"),"Bolsas de recogida con fines religiosos")</f>
        <v>Bolsas de recogida con fines religiosos</v>
      </c>
      <c r="M1969" s="8" t="s">
        <v>28</v>
      </c>
      <c r="N1969" s="8"/>
    </row>
    <row r="1970" spans="1:14" ht="11.25" customHeight="1">
      <c r="A1970" s="5" t="s">
        <v>5449</v>
      </c>
      <c r="B1970" s="5" t="s">
        <v>5699</v>
      </c>
      <c r="C1970" s="5" t="s">
        <v>5756</v>
      </c>
      <c r="D1970" s="5" t="s">
        <v>5452</v>
      </c>
      <c r="E1970" s="5" t="s">
        <v>29</v>
      </c>
      <c r="F1970" s="5" t="s">
        <v>5453</v>
      </c>
      <c r="G1970" s="5" t="s">
        <v>152</v>
      </c>
      <c r="H1970" s="5" t="s">
        <v>5701</v>
      </c>
      <c r="I1970" s="5" t="s">
        <v>5757</v>
      </c>
      <c r="J1970" s="5" t="s">
        <v>5758</v>
      </c>
      <c r="K1970" s="7" t="str">
        <f ca="1">IFERROR(__xludf.DUMMYFUNCTION("GOOGLETRANSLATE(H1970,""EN"",""ES"")"),"BOLSAS, SOBRES, TUBOS Y CÁPSULAS")</f>
        <v>BOLSAS, SOBRES, TUBOS Y CÁPSULAS</v>
      </c>
      <c r="L1970" s="5" t="str">
        <f ca="1">IFERROR(__xludf.DUMMYFUNCTION("GOOGLETRANSLATE(J1970,""EN"",""ES"")"),"Bolsas de transporte")</f>
        <v>Bolsas de transporte</v>
      </c>
      <c r="M1970" s="8" t="s">
        <v>28</v>
      </c>
      <c r="N1970" s="8"/>
    </row>
    <row r="1971" spans="1:14" ht="11.25" customHeight="1">
      <c r="A1971" s="5" t="s">
        <v>5449</v>
      </c>
      <c r="B1971" s="5" t="s">
        <v>5699</v>
      </c>
      <c r="C1971" s="5" t="s">
        <v>5759</v>
      </c>
      <c r="D1971" s="5" t="s">
        <v>5452</v>
      </c>
      <c r="E1971" s="5" t="s">
        <v>29</v>
      </c>
      <c r="F1971" s="5" t="s">
        <v>5453</v>
      </c>
      <c r="G1971" s="5" t="s">
        <v>152</v>
      </c>
      <c r="H1971" s="5" t="s">
        <v>5701</v>
      </c>
      <c r="I1971" s="5" t="s">
        <v>5760</v>
      </c>
      <c r="J1971" s="5" t="s">
        <v>5761</v>
      </c>
      <c r="K1971" s="7" t="str">
        <f ca="1">IFERROR(__xludf.DUMMYFUNCTION("GOOGLETRANSLATE(H1971,""EN"",""ES"")"),"BOLSAS, SOBRES, TUBOS Y CÁPSULAS")</f>
        <v>BOLSAS, SOBRES, TUBOS Y CÁPSULAS</v>
      </c>
      <c r="L1971" s="5" t="str">
        <f ca="1">IFERROR(__xludf.DUMMYFUNCTION("GOOGLETRANSLATE(J1971,""EN"",""ES"")"),"Conos escolares [embalaje]")</f>
        <v>Conos escolares [embalaje]</v>
      </c>
      <c r="M1971" s="8" t="s">
        <v>28</v>
      </c>
      <c r="N1971" s="8"/>
    </row>
    <row r="1972" spans="1:14" ht="11.25" customHeight="1">
      <c r="A1972" s="5" t="s">
        <v>5449</v>
      </c>
      <c r="B1972" s="5" t="s">
        <v>5699</v>
      </c>
      <c r="C1972" s="5" t="s">
        <v>5762</v>
      </c>
      <c r="D1972" s="5" t="s">
        <v>5452</v>
      </c>
      <c r="E1972" s="5" t="s">
        <v>29</v>
      </c>
      <c r="F1972" s="5" t="s">
        <v>5453</v>
      </c>
      <c r="G1972" s="5" t="s">
        <v>152</v>
      </c>
      <c r="H1972" s="5" t="s">
        <v>5701</v>
      </c>
      <c r="I1972" s="5" t="s">
        <v>5763</v>
      </c>
      <c r="J1972" s="5" t="s">
        <v>5764</v>
      </c>
      <c r="K1972" s="7" t="str">
        <f ca="1">IFERROR(__xludf.DUMMYFUNCTION("GOOGLETRANSLATE(H1972,""EN"",""ES"")"),"BOLSAS, SOBRES, TUBOS Y CÁPSULAS")</f>
        <v>BOLSAS, SOBRES, TUBOS Y CÁPSULAS</v>
      </c>
      <c r="L1972" s="5" t="str">
        <f ca="1">IFERROR(__xludf.DUMMYFUNCTION("GOOGLETRANSLATE(J1972,""EN"",""ES"")"),"Fundas para discos compactos")</f>
        <v>Fundas para discos compactos</v>
      </c>
      <c r="M1972" s="8" t="s">
        <v>28</v>
      </c>
      <c r="N1972" s="8"/>
    </row>
    <row r="1973" spans="1:14" ht="11.25" customHeight="1">
      <c r="A1973" s="5" t="s">
        <v>5449</v>
      </c>
      <c r="B1973" s="5" t="s">
        <v>5699</v>
      </c>
      <c r="C1973" s="5" t="s">
        <v>5765</v>
      </c>
      <c r="D1973" s="5" t="s">
        <v>5452</v>
      </c>
      <c r="E1973" s="5" t="s">
        <v>29</v>
      </c>
      <c r="F1973" s="5" t="s">
        <v>5453</v>
      </c>
      <c r="G1973" s="5" t="s">
        <v>152</v>
      </c>
      <c r="H1973" s="5" t="s">
        <v>5701</v>
      </c>
      <c r="I1973" s="5" t="s">
        <v>5766</v>
      </c>
      <c r="J1973" s="5" t="s">
        <v>5767</v>
      </c>
      <c r="K1973" s="7" t="str">
        <f ca="1">IFERROR(__xludf.DUMMYFUNCTION("GOOGLETRANSLATE(H1973,""EN"",""ES"")"),"BOLSAS, SOBRES, TUBOS Y CÁPSULAS")</f>
        <v>BOLSAS, SOBRES, TUBOS Y CÁPSULAS</v>
      </c>
      <c r="L1973" s="5" t="str">
        <f ca="1">IFERROR(__xludf.DUMMYFUNCTION("GOOGLETRANSLATE(J1973,""EN"",""ES"")"),"Fundas de embalaje")</f>
        <v>Fundas de embalaje</v>
      </c>
      <c r="M1973" s="8" t="s">
        <v>28</v>
      </c>
      <c r="N1973" s="8"/>
    </row>
    <row r="1974" spans="1:14" ht="11.25" customHeight="1">
      <c r="A1974" s="5" t="s">
        <v>5449</v>
      </c>
      <c r="B1974" s="5" t="s">
        <v>5699</v>
      </c>
      <c r="C1974" s="5" t="s">
        <v>5768</v>
      </c>
      <c r="D1974" s="5" t="s">
        <v>5452</v>
      </c>
      <c r="E1974" s="5" t="s">
        <v>29</v>
      </c>
      <c r="F1974" s="5" t="s">
        <v>5453</v>
      </c>
      <c r="G1974" s="5" t="s">
        <v>152</v>
      </c>
      <c r="H1974" s="5" t="s">
        <v>5701</v>
      </c>
      <c r="I1974" s="5" t="s">
        <v>5769</v>
      </c>
      <c r="J1974" s="5" t="s">
        <v>5770</v>
      </c>
      <c r="K1974" s="7" t="str">
        <f ca="1">IFERROR(__xludf.DUMMYFUNCTION("GOOGLETRANSLATE(H1974,""EN"",""ES"")"),"BOLSAS, SOBRES, TUBOS Y CÁPSULAS")</f>
        <v>BOLSAS, SOBRES, TUBOS Y CÁPSULAS</v>
      </c>
      <c r="L1974" s="5" t="str">
        <f ca="1">IFERROR(__xludf.DUMMYFUNCTION("GOOGLETRANSLATE(J1974,""EN"",""ES"")"),"Bolsas desechables de café por goteo [embalaje]")</f>
        <v>Bolsas desechables de café por goteo [embalaje]</v>
      </c>
      <c r="M1974" s="8" t="s">
        <v>28</v>
      </c>
      <c r="N1974" s="8"/>
    </row>
    <row r="1975" spans="1:14" ht="11.25" customHeight="1">
      <c r="A1975" s="5" t="s">
        <v>5449</v>
      </c>
      <c r="B1975" s="5" t="s">
        <v>5699</v>
      </c>
      <c r="C1975" s="5" t="s">
        <v>5771</v>
      </c>
      <c r="D1975" s="5" t="s">
        <v>5452</v>
      </c>
      <c r="E1975" s="5" t="s">
        <v>29</v>
      </c>
      <c r="F1975" s="5" t="s">
        <v>5453</v>
      </c>
      <c r="G1975" s="5" t="s">
        <v>152</v>
      </c>
      <c r="H1975" s="5" t="s">
        <v>5701</v>
      </c>
      <c r="I1975" s="5" t="s">
        <v>5772</v>
      </c>
      <c r="J1975" s="5" t="s">
        <v>5773</v>
      </c>
      <c r="K1975" s="7" t="str">
        <f ca="1">IFERROR(__xludf.DUMMYFUNCTION("GOOGLETRANSLATE(H1975,""EN"",""ES"")"),"BOLSAS, SOBRES, TUBOS Y CÁPSULAS")</f>
        <v>BOLSAS, SOBRES, TUBOS Y CÁPSULAS</v>
      </c>
      <c r="L1975" s="5" t="str">
        <f ca="1">IFERROR(__xludf.DUMMYFUNCTION("GOOGLETRANSLATE(J1975,""EN"",""ES"")"),"Cápsulas solubles [envase]")</f>
        <v>Cápsulas solubles [envase]</v>
      </c>
      <c r="M1975" s="8" t="s">
        <v>28</v>
      </c>
      <c r="N1975" s="8"/>
    </row>
    <row r="1976" spans="1:14" ht="11.25" customHeight="1">
      <c r="A1976" s="5" t="s">
        <v>5449</v>
      </c>
      <c r="B1976" s="5" t="s">
        <v>5699</v>
      </c>
      <c r="C1976" s="5" t="s">
        <v>5774</v>
      </c>
      <c r="D1976" s="5" t="s">
        <v>5452</v>
      </c>
      <c r="E1976" s="5" t="s">
        <v>29</v>
      </c>
      <c r="F1976" s="5" t="s">
        <v>5453</v>
      </c>
      <c r="G1976" s="5" t="s">
        <v>152</v>
      </c>
      <c r="H1976" s="5" t="s">
        <v>5701</v>
      </c>
      <c r="I1976" s="5" t="s">
        <v>5775</v>
      </c>
      <c r="J1976" s="5" t="s">
        <v>5776</v>
      </c>
      <c r="K1976" s="7" t="str">
        <f ca="1">IFERROR(__xludf.DUMMYFUNCTION("GOOGLETRANSLATE(H1976,""EN"",""ES"")"),"BOLSAS, SOBRES, TUBOS Y CÁPSULAS")</f>
        <v>BOLSAS, SOBRES, TUBOS Y CÁPSULAS</v>
      </c>
      <c r="L1976" s="5" t="str">
        <f ca="1">IFERROR(__xludf.DUMMYFUNCTION("GOOGLETRANSLATE(J1976,""EN"",""ES"")"),"Tubos de lápiz labial [envases de embalaje]")</f>
        <v>Tubos de lápiz labial [envases de embalaje]</v>
      </c>
      <c r="M1976" s="8" t="s">
        <v>28</v>
      </c>
      <c r="N1976" s="8"/>
    </row>
    <row r="1977" spans="1:14" ht="11.25" customHeight="1">
      <c r="A1977" s="5" t="s">
        <v>5449</v>
      </c>
      <c r="B1977" s="5" t="s">
        <v>5777</v>
      </c>
      <c r="C1977" s="5" t="s">
        <v>5778</v>
      </c>
      <c r="D1977" s="5" t="s">
        <v>5452</v>
      </c>
      <c r="E1977" s="5" t="s">
        <v>29</v>
      </c>
      <c r="F1977" s="5" t="s">
        <v>5453</v>
      </c>
      <c r="G1977" s="5" t="s">
        <v>152</v>
      </c>
      <c r="H1977" s="5" t="s">
        <v>5779</v>
      </c>
      <c r="I1977" s="5" t="s">
        <v>5780</v>
      </c>
      <c r="J1977" s="5" t="s">
        <v>5781</v>
      </c>
      <c r="K1977" s="7" t="str">
        <f ca="1">IFERROR(__xludf.DUMMYFUNCTION("GOOGLETRANSLATE(H1977,""EN"",""ES"")"),"CUERDAS Y MATERIALES PARA AROS")</f>
        <v>CUERDAS Y MATERIALES PARA AROS</v>
      </c>
      <c r="L1977" s="5" t="str">
        <f ca="1">IFERROR(__xludf.DUMMYFUNCTION("GOOGLETRANSLATE(J1977,""EN"",""ES"")"),"Correas [excepto correas de conducción o correas para talabartería]")</f>
        <v>Correas [excepto correas de conducción o correas para talabartería]</v>
      </c>
      <c r="M1977" s="8" t="s">
        <v>28</v>
      </c>
      <c r="N1977" s="8"/>
    </row>
    <row r="1978" spans="1:14" ht="11.25" customHeight="1">
      <c r="A1978" s="5" t="s">
        <v>5449</v>
      </c>
      <c r="B1978" s="5" t="s">
        <v>5777</v>
      </c>
      <c r="C1978" s="5" t="s">
        <v>5782</v>
      </c>
      <c r="D1978" s="5" t="s">
        <v>5452</v>
      </c>
      <c r="E1978" s="5" t="s">
        <v>29</v>
      </c>
      <c r="F1978" s="5" t="s">
        <v>5453</v>
      </c>
      <c r="G1978" s="5" t="s">
        <v>152</v>
      </c>
      <c r="H1978" s="5" t="s">
        <v>5779</v>
      </c>
      <c r="I1978" s="5" t="s">
        <v>5783</v>
      </c>
      <c r="J1978" s="5" t="s">
        <v>5784</v>
      </c>
      <c r="K1978" s="7" t="str">
        <f ca="1">IFERROR(__xludf.DUMMYFUNCTION("GOOGLETRANSLATE(H1978,""EN"",""ES"")"),"CUERDAS Y MATERIALES PARA AROS")</f>
        <v>CUERDAS Y MATERIALES PARA AROS</v>
      </c>
      <c r="L1978" s="5" t="str">
        <f ca="1">IFERROR(__xludf.DUMMYFUNCTION("GOOGLETRANSLATE(J1978,""EN"",""ES"")"),"Correas para portaequipajes")</f>
        <v>Correas para portaequipajes</v>
      </c>
      <c r="M1978" s="8" t="s">
        <v>28</v>
      </c>
      <c r="N1978" s="8"/>
    </row>
    <row r="1979" spans="1:14" ht="11.25" customHeight="1">
      <c r="A1979" s="5" t="s">
        <v>5449</v>
      </c>
      <c r="B1979" s="5" t="s">
        <v>5777</v>
      </c>
      <c r="C1979" s="5" t="s">
        <v>5785</v>
      </c>
      <c r="D1979" s="5" t="s">
        <v>5452</v>
      </c>
      <c r="E1979" s="5" t="s">
        <v>29</v>
      </c>
      <c r="F1979" s="5" t="s">
        <v>5453</v>
      </c>
      <c r="G1979" s="5" t="s">
        <v>152</v>
      </c>
      <c r="H1979" s="5" t="s">
        <v>5779</v>
      </c>
      <c r="I1979" s="5" t="s">
        <v>5786</v>
      </c>
      <c r="J1979" s="5" t="s">
        <v>5787</v>
      </c>
      <c r="K1979" s="7" t="str">
        <f ca="1">IFERROR(__xludf.DUMMYFUNCTION("GOOGLETRANSLATE(H1979,""EN"",""ES"")"),"CUERDAS Y MATERIALES PARA AROS")</f>
        <v>CUERDAS Y MATERIALES PARA AROS</v>
      </c>
      <c r="L1979" s="5" t="str">
        <f ca="1">IFERROR(__xludf.DUMMYFUNCTION("GOOGLETRANSLATE(J1979,""EN"",""ES"")"),"Materiales de aro")</f>
        <v>Materiales de aro</v>
      </c>
      <c r="M1979" s="8" t="s">
        <v>28</v>
      </c>
      <c r="N1979" s="8"/>
    </row>
    <row r="1980" spans="1:14" ht="11.25" customHeight="1">
      <c r="A1980" s="5" t="s">
        <v>5449</v>
      </c>
      <c r="B1980" s="5" t="s">
        <v>5777</v>
      </c>
      <c r="C1980" s="5" t="s">
        <v>5788</v>
      </c>
      <c r="D1980" s="5" t="s">
        <v>5452</v>
      </c>
      <c r="E1980" s="5" t="s">
        <v>29</v>
      </c>
      <c r="F1980" s="5" t="s">
        <v>5453</v>
      </c>
      <c r="G1980" s="5" t="s">
        <v>152</v>
      </c>
      <c r="H1980" s="5" t="s">
        <v>5779</v>
      </c>
      <c r="I1980" s="5" t="s">
        <v>5789</v>
      </c>
      <c r="J1980" s="5" t="s">
        <v>5790</v>
      </c>
      <c r="K1980" s="7" t="str">
        <f ca="1">IFERROR(__xludf.DUMMYFUNCTION("GOOGLETRANSLATE(H1980,""EN"",""ES"")"),"CUERDAS Y MATERIALES PARA AROS")</f>
        <v>CUERDAS Y MATERIALES PARA AROS</v>
      </c>
      <c r="L1980" s="5" t="str">
        <f ca="1">IFERROR(__xludf.DUMMYFUNCTION("GOOGLETRANSLATE(J1980,""EN"",""ES"")"),"Aros de barril")</f>
        <v>Aros de barril</v>
      </c>
      <c r="M1980" s="8" t="s">
        <v>28</v>
      </c>
      <c r="N1980" s="8"/>
    </row>
    <row r="1981" spans="1:14" ht="11.25" customHeight="1">
      <c r="A1981" s="5" t="s">
        <v>5449</v>
      </c>
      <c r="B1981" s="5" t="s">
        <v>5777</v>
      </c>
      <c r="C1981" s="5" t="s">
        <v>5788</v>
      </c>
      <c r="D1981" s="5" t="s">
        <v>5452</v>
      </c>
      <c r="E1981" s="5" t="s">
        <v>29</v>
      </c>
      <c r="F1981" s="5" t="s">
        <v>5453</v>
      </c>
      <c r="G1981" s="5" t="s">
        <v>152</v>
      </c>
      <c r="H1981" s="5" t="s">
        <v>5779</v>
      </c>
      <c r="I1981" s="5" t="s">
        <v>5791</v>
      </c>
      <c r="J1981" s="5" t="s">
        <v>5792</v>
      </c>
      <c r="K1981" s="7" t="str">
        <f ca="1">IFERROR(__xludf.DUMMYFUNCTION("GOOGLETRANSLATE(H1981,""EN"",""ES"")"),"CUERDAS Y MATERIALES PARA AROS")</f>
        <v>CUERDAS Y MATERIALES PARA AROS</v>
      </c>
      <c r="L1981" s="5" t="str">
        <f ca="1">IFERROR(__xludf.DUMMYFUNCTION("GOOGLETRANSLATE(J1981,""EN"",""ES"")"),"Aros de barrica")</f>
        <v>Aros de barrica</v>
      </c>
      <c r="M1981" s="8" t="s">
        <v>28</v>
      </c>
      <c r="N1981" s="8"/>
    </row>
    <row r="1982" spans="1:14" ht="11.25" customHeight="1">
      <c r="A1982" s="5" t="s">
        <v>5449</v>
      </c>
      <c r="B1982" s="5" t="s">
        <v>5777</v>
      </c>
      <c r="C1982" s="5" t="s">
        <v>5793</v>
      </c>
      <c r="D1982" s="5" t="s">
        <v>5452</v>
      </c>
      <c r="E1982" s="5" t="s">
        <v>29</v>
      </c>
      <c r="F1982" s="5" t="s">
        <v>5453</v>
      </c>
      <c r="G1982" s="5" t="s">
        <v>152</v>
      </c>
      <c r="H1982" s="5" t="s">
        <v>5779</v>
      </c>
      <c r="I1982" s="5" t="s">
        <v>5794</v>
      </c>
      <c r="J1982" s="5" t="s">
        <v>5795</v>
      </c>
      <c r="K1982" s="7" t="str">
        <f ca="1">IFERROR(__xludf.DUMMYFUNCTION("GOOGLETRANSLATE(H1982,""EN"",""ES"")"),"CUERDAS Y MATERIALES PARA AROS")</f>
        <v>CUERDAS Y MATERIALES PARA AROS</v>
      </c>
      <c r="L1982" s="5" t="str">
        <f ca="1">IFERROR(__xludf.DUMMYFUNCTION("GOOGLETRANSLATE(J1982,""EN"",""ES"")"),"cuerdas")</f>
        <v>cuerdas</v>
      </c>
      <c r="M1982" s="8" t="s">
        <v>28</v>
      </c>
      <c r="N1982" s="8"/>
    </row>
    <row r="1983" spans="1:14" ht="11.25" customHeight="1">
      <c r="A1983" s="5" t="s">
        <v>5449</v>
      </c>
      <c r="B1983" s="5" t="s">
        <v>5777</v>
      </c>
      <c r="C1983" s="5" t="s">
        <v>5796</v>
      </c>
      <c r="D1983" s="5" t="s">
        <v>5452</v>
      </c>
      <c r="E1983" s="5" t="s">
        <v>29</v>
      </c>
      <c r="F1983" s="5" t="s">
        <v>5453</v>
      </c>
      <c r="G1983" s="5" t="s">
        <v>152</v>
      </c>
      <c r="H1983" s="5" t="s">
        <v>5779</v>
      </c>
      <c r="I1983" s="5" t="s">
        <v>5797</v>
      </c>
      <c r="J1983" s="5" t="s">
        <v>5798</v>
      </c>
      <c r="K1983" s="7" t="str">
        <f ca="1">IFERROR(__xludf.DUMMYFUNCTION("GOOGLETRANSLATE(H1983,""EN"",""ES"")"),"CUERDAS Y MATERIALES PARA AROS")</f>
        <v>CUERDAS Y MATERIALES PARA AROS</v>
      </c>
      <c r="L1983" s="5" t="str">
        <f ca="1">IFERROR(__xludf.DUMMYFUNCTION("GOOGLETRANSLATE(J1983,""EN"",""ES"")"),"Tendederos")</f>
        <v>Tendederos</v>
      </c>
      <c r="M1983" s="8" t="s">
        <v>28</v>
      </c>
      <c r="N1983" s="8"/>
    </row>
    <row r="1984" spans="1:14" ht="11.25" customHeight="1">
      <c r="A1984" s="5" t="s">
        <v>5449</v>
      </c>
      <c r="B1984" s="5" t="s">
        <v>5777</v>
      </c>
      <c r="C1984" s="5" t="s">
        <v>5799</v>
      </c>
      <c r="D1984" s="5" t="s">
        <v>5452</v>
      </c>
      <c r="E1984" s="5" t="s">
        <v>29</v>
      </c>
      <c r="F1984" s="5" t="s">
        <v>5453</v>
      </c>
      <c r="G1984" s="5" t="s">
        <v>152</v>
      </c>
      <c r="H1984" s="5" t="s">
        <v>5779</v>
      </c>
      <c r="I1984" s="5" t="s">
        <v>5800</v>
      </c>
      <c r="J1984" s="5" t="s">
        <v>5801</v>
      </c>
      <c r="K1984" s="7" t="str">
        <f ca="1">IFERROR(__xludf.DUMMYFUNCTION("GOOGLETRANSLATE(H1984,""EN"",""ES"")"),"CUERDAS Y MATERIALES PARA AROS")</f>
        <v>CUERDAS Y MATERIALES PARA AROS</v>
      </c>
      <c r="L1984" s="5" t="str">
        <f ca="1">IFERROR(__xludf.DUMMYFUNCTION("GOOGLETRANSLATE(J1984,""EN"",""ES"")"),"Cadena")</f>
        <v>Cadena</v>
      </c>
      <c r="M1984" s="8" t="s">
        <v>28</v>
      </c>
      <c r="N1984" s="8"/>
    </row>
    <row r="1985" spans="1:14" ht="11.25" customHeight="1">
      <c r="A1985" s="5" t="s">
        <v>5449</v>
      </c>
      <c r="B1985" s="5" t="s">
        <v>5777</v>
      </c>
      <c r="C1985" s="5" t="s">
        <v>5802</v>
      </c>
      <c r="D1985" s="5" t="s">
        <v>5452</v>
      </c>
      <c r="E1985" s="5" t="s">
        <v>29</v>
      </c>
      <c r="F1985" s="5" t="s">
        <v>5453</v>
      </c>
      <c r="G1985" s="5" t="s">
        <v>152</v>
      </c>
      <c r="H1985" s="5" t="s">
        <v>5779</v>
      </c>
      <c r="I1985" s="5" t="s">
        <v>5803</v>
      </c>
      <c r="J1985" s="5" t="s">
        <v>5804</v>
      </c>
      <c r="K1985" s="7" t="str">
        <f ca="1">IFERROR(__xludf.DUMMYFUNCTION("GOOGLETRANSLATE(H1985,""EN"",""ES"")"),"CUERDAS Y MATERIALES PARA AROS")</f>
        <v>CUERDAS Y MATERIALES PARA AROS</v>
      </c>
      <c r="L1985" s="5" t="str">
        <f ca="1">IFERROR(__xludf.DUMMYFUNCTION("GOOGLETRANSLATE(J1985,""EN"",""ES"")"),"Bandas, correas, correas.")</f>
        <v>Bandas, correas, correas.</v>
      </c>
      <c r="M1985" s="8" t="s">
        <v>28</v>
      </c>
      <c r="N1985" s="8"/>
    </row>
    <row r="1986" spans="1:14" ht="11.25" customHeight="1">
      <c r="A1986" s="5" t="s">
        <v>5449</v>
      </c>
      <c r="B1986" s="5" t="s">
        <v>5777</v>
      </c>
      <c r="C1986" s="5" t="s">
        <v>5802</v>
      </c>
      <c r="D1986" s="5" t="s">
        <v>5452</v>
      </c>
      <c r="E1986" s="5" t="s">
        <v>29</v>
      </c>
      <c r="F1986" s="5" t="s">
        <v>5453</v>
      </c>
      <c r="G1986" s="5" t="s">
        <v>152</v>
      </c>
      <c r="H1986" s="5" t="s">
        <v>5779</v>
      </c>
      <c r="I1986" s="5" t="s">
        <v>5805</v>
      </c>
      <c r="J1986" s="5" t="s">
        <v>152</v>
      </c>
      <c r="K1986" s="7" t="str">
        <f ca="1">IFERROR(__xludf.DUMMYFUNCTION("GOOGLETRANSLATE(H1986,""EN"",""ES"")"),"CUERDAS Y MATERIALES PARA AROS")</f>
        <v>CUERDAS Y MATERIALES PARA AROS</v>
      </c>
      <c r="L1986" s="5" t="str">
        <f ca="1">IFERROR(__xludf.DUMMYFUNCTION("GOOGLETRANSLATE(J1986,""EN"",""ES"")"),"Correas, bandas, cinchas.")</f>
        <v>Correas, bandas, cinchas.</v>
      </c>
      <c r="M1986" s="8" t="s">
        <v>28</v>
      </c>
      <c r="N1986" s="8"/>
    </row>
    <row r="1987" spans="1:14" ht="11.25" customHeight="1">
      <c r="A1987" s="5" t="s">
        <v>5449</v>
      </c>
      <c r="B1987" s="5" t="s">
        <v>5777</v>
      </c>
      <c r="C1987" s="5" t="s">
        <v>5802</v>
      </c>
      <c r="D1987" s="5" t="s">
        <v>5452</v>
      </c>
      <c r="E1987" s="5" t="s">
        <v>29</v>
      </c>
      <c r="F1987" s="5" t="s">
        <v>5453</v>
      </c>
      <c r="G1987" s="5" t="s">
        <v>152</v>
      </c>
      <c r="H1987" s="5" t="s">
        <v>5779</v>
      </c>
      <c r="I1987" s="5" t="s">
        <v>5806</v>
      </c>
      <c r="J1987" s="5" t="s">
        <v>152</v>
      </c>
      <c r="K1987" s="7" t="str">
        <f ca="1">IFERROR(__xludf.DUMMYFUNCTION("GOOGLETRANSLATE(H1987,""EN"",""ES"")"),"CUERDAS Y MATERIALES PARA AROS")</f>
        <v>CUERDAS Y MATERIALES PARA AROS</v>
      </c>
      <c r="L1987" s="5" t="str">
        <f ca="1">IFERROR(__xludf.DUMMYFUNCTION("GOOGLETRANSLATE(J1987,""EN"",""ES"")"),"Cinchas, correas, bandas.")</f>
        <v>Cinchas, correas, bandas.</v>
      </c>
      <c r="M1987" s="8" t="s">
        <v>28</v>
      </c>
      <c r="N1987" s="8"/>
    </row>
    <row r="1988" spans="1:14" ht="11.25" customHeight="1">
      <c r="A1988" s="5" t="s">
        <v>5449</v>
      </c>
      <c r="B1988" s="5" t="s">
        <v>5777</v>
      </c>
      <c r="C1988" s="5" t="s">
        <v>5807</v>
      </c>
      <c r="D1988" s="5" t="s">
        <v>5452</v>
      </c>
      <c r="E1988" s="5" t="s">
        <v>29</v>
      </c>
      <c r="F1988" s="5" t="s">
        <v>5453</v>
      </c>
      <c r="G1988" s="5" t="s">
        <v>152</v>
      </c>
      <c r="H1988" s="5" t="s">
        <v>5779</v>
      </c>
      <c r="I1988" s="5" t="s">
        <v>5808</v>
      </c>
      <c r="J1988" s="5" t="s">
        <v>5809</v>
      </c>
      <c r="K1988" s="7" t="str">
        <f ca="1">IFERROR(__xludf.DUMMYFUNCTION("GOOGLETRANSLATE(H1988,""EN"",""ES"")"),"CUERDAS Y MATERIALES PARA AROS")</f>
        <v>CUERDAS Y MATERIALES PARA AROS</v>
      </c>
      <c r="L1988" s="5" t="str">
        <f ca="1">IFERROR(__xludf.DUMMYFUNCTION("GOOGLETRANSLATE(J1988,""EN"",""ES"")"),"Cordel para atar gavillas")</f>
        <v>Cordel para atar gavillas</v>
      </c>
      <c r="M1988" s="8" t="s">
        <v>28</v>
      </c>
      <c r="N1988" s="8"/>
    </row>
    <row r="1989" spans="1:14" ht="11.25" customHeight="1">
      <c r="A1989" s="5" t="s">
        <v>5449</v>
      </c>
      <c r="B1989" s="5" t="s">
        <v>5777</v>
      </c>
      <c r="C1989" s="5" t="s">
        <v>5810</v>
      </c>
      <c r="D1989" s="5" t="s">
        <v>5452</v>
      </c>
      <c r="E1989" s="5" t="s">
        <v>29</v>
      </c>
      <c r="F1989" s="5" t="s">
        <v>5453</v>
      </c>
      <c r="G1989" s="5" t="s">
        <v>152</v>
      </c>
      <c r="H1989" s="5" t="s">
        <v>5779</v>
      </c>
      <c r="I1989" s="5" t="s">
        <v>5811</v>
      </c>
      <c r="J1989" s="5" t="s">
        <v>5812</v>
      </c>
      <c r="K1989" s="7" t="str">
        <f ca="1">IFERROR(__xludf.DUMMYFUNCTION("GOOGLETRANSLATE(H1989,""EN"",""ES"")"),"CUERDAS Y MATERIALES PARA AROS")</f>
        <v>CUERDAS Y MATERIALES PARA AROS</v>
      </c>
      <c r="L1989" s="5" t="str">
        <f ca="1">IFERROR(__xludf.DUMMYFUNCTION("GOOGLETRANSLATE(J1989,""EN"",""ES"")"),"Cordel para aglutinantes [equipos agrícolas]")</f>
        <v>Cordel para aglutinantes [equipos agrícolas]</v>
      </c>
      <c r="M1989" s="8" t="s">
        <v>28</v>
      </c>
      <c r="N1989" s="8"/>
    </row>
    <row r="1990" spans="1:14" ht="11.25" customHeight="1">
      <c r="A1990" s="5" t="s">
        <v>5449</v>
      </c>
      <c r="B1990" s="5" t="s">
        <v>5777</v>
      </c>
      <c r="C1990" s="5" t="s">
        <v>5813</v>
      </c>
      <c r="D1990" s="5" t="s">
        <v>5452</v>
      </c>
      <c r="E1990" s="5" t="s">
        <v>29</v>
      </c>
      <c r="F1990" s="5" t="s">
        <v>5453</v>
      </c>
      <c r="G1990" s="5" t="s">
        <v>152</v>
      </c>
      <c r="H1990" s="5" t="s">
        <v>5779</v>
      </c>
      <c r="I1990" s="5" t="s">
        <v>5814</v>
      </c>
      <c r="J1990" s="5" t="s">
        <v>5815</v>
      </c>
      <c r="K1990" s="7" t="str">
        <f ca="1">IFERROR(__xludf.DUMMYFUNCTION("GOOGLETRANSLATE(H1990,""EN"",""ES"")"),"CUERDAS Y MATERIALES PARA AROS")</f>
        <v>CUERDAS Y MATERIALES PARA AROS</v>
      </c>
      <c r="L1990" s="5" t="str">
        <f ca="1">IFERROR(__xludf.DUMMYFUNCTION("GOOGLETRANSLATE(J1990,""EN"",""ES"")"),"Correas para transporte o manipulación de cargas.")</f>
        <v>Correas para transporte o manipulación de cargas.</v>
      </c>
      <c r="M1990" s="8" t="s">
        <v>28</v>
      </c>
      <c r="N1990" s="8"/>
    </row>
    <row r="1991" spans="1:14" ht="11.25" customHeight="1">
      <c r="A1991" s="5" t="s">
        <v>5449</v>
      </c>
      <c r="B1991" s="5" t="s">
        <v>5777</v>
      </c>
      <c r="C1991" s="5" t="s">
        <v>5816</v>
      </c>
      <c r="D1991" s="5" t="s">
        <v>5452</v>
      </c>
      <c r="E1991" s="5" t="s">
        <v>29</v>
      </c>
      <c r="F1991" s="5" t="s">
        <v>5453</v>
      </c>
      <c r="G1991" s="5" t="s">
        <v>152</v>
      </c>
      <c r="H1991" s="5" t="s">
        <v>5779</v>
      </c>
      <c r="I1991" s="5" t="s">
        <v>5817</v>
      </c>
      <c r="J1991" s="5" t="s">
        <v>5818</v>
      </c>
      <c r="K1991" s="7" t="str">
        <f ca="1">IFERROR(__xludf.DUMMYFUNCTION("GOOGLETRANSLATE(H1991,""EN"",""ES"")"),"CUERDAS Y MATERIALES PARA AROS")</f>
        <v>CUERDAS Y MATERIALES PARA AROS</v>
      </c>
      <c r="L1991" s="5" t="str">
        <f ca="1">IFERROR(__xludf.DUMMYFUNCTION("GOOGLETRANSLATE(J1991,""EN"",""ES"")"),"Lazos de plantas")</f>
        <v>Lazos de plantas</v>
      </c>
      <c r="M1991" s="8" t="s">
        <v>28</v>
      </c>
      <c r="N1991" s="8"/>
    </row>
    <row r="1992" spans="1:14" ht="11.25" customHeight="1">
      <c r="A1992" s="5" t="s">
        <v>5449</v>
      </c>
      <c r="B1992" s="5" t="s">
        <v>5777</v>
      </c>
      <c r="C1992" s="5" t="s">
        <v>5819</v>
      </c>
      <c r="D1992" s="5" t="s">
        <v>5452</v>
      </c>
      <c r="E1992" s="5" t="s">
        <v>29</v>
      </c>
      <c r="F1992" s="5" t="s">
        <v>5453</v>
      </c>
      <c r="G1992" s="5" t="s">
        <v>152</v>
      </c>
      <c r="H1992" s="5" t="s">
        <v>5779</v>
      </c>
      <c r="I1992" s="5" t="s">
        <v>5820</v>
      </c>
      <c r="J1992" s="5" t="s">
        <v>5821</v>
      </c>
      <c r="K1992" s="7" t="str">
        <f ca="1">IFERROR(__xludf.DUMMYFUNCTION("GOOGLETRANSLATE(H1992,""EN"",""ES"")"),"CUERDAS Y MATERIALES PARA AROS")</f>
        <v>CUERDAS Y MATERIALES PARA AROS</v>
      </c>
      <c r="L1992" s="5" t="str">
        <f ca="1">IFERROR(__xludf.DUMMYFUNCTION("GOOGLETRANSLATE(J1992,""EN"",""ES"")"),"Enroscarse")</f>
        <v>Enroscarse</v>
      </c>
      <c r="M1992" s="8" t="s">
        <v>28</v>
      </c>
      <c r="N1992" s="8"/>
    </row>
    <row r="1993" spans="1:14" ht="11.25" customHeight="1">
      <c r="A1993" s="5" t="s">
        <v>5449</v>
      </c>
      <c r="B1993" s="5" t="s">
        <v>5777</v>
      </c>
      <c r="C1993" s="5" t="s">
        <v>5822</v>
      </c>
      <c r="D1993" s="5" t="s">
        <v>5452</v>
      </c>
      <c r="E1993" s="5" t="s">
        <v>29</v>
      </c>
      <c r="F1993" s="5" t="s">
        <v>5453</v>
      </c>
      <c r="G1993" s="5" t="s">
        <v>152</v>
      </c>
      <c r="H1993" s="5" t="s">
        <v>5779</v>
      </c>
      <c r="I1993" s="5" t="s">
        <v>5823</v>
      </c>
      <c r="J1993" s="5" t="s">
        <v>5824</v>
      </c>
      <c r="K1993" s="7" t="str">
        <f ca="1">IFERROR(__xludf.DUMMYFUNCTION("GOOGLETRANSLATE(H1993,""EN"",""ES"")"),"CUERDAS Y MATERIALES PARA AROS")</f>
        <v>CUERDAS Y MATERIALES PARA AROS</v>
      </c>
      <c r="L1993" s="5" t="str">
        <f ca="1">IFERROR(__xludf.DUMMYFUNCTION("GOOGLETRANSLATE(J1993,""EN"",""ES"")"),"Cuerdas elásticas para asegurar objetos.")</f>
        <v>Cuerdas elásticas para asegurar objetos.</v>
      </c>
      <c r="M1993" s="8" t="s">
        <v>28</v>
      </c>
      <c r="N1993" s="8"/>
    </row>
    <row r="1994" spans="1:14" ht="11.25" customHeight="1">
      <c r="A1994" s="5" t="s">
        <v>5449</v>
      </c>
      <c r="B1994" s="5" t="s">
        <v>5777</v>
      </c>
      <c r="C1994" s="5" t="s">
        <v>5825</v>
      </c>
      <c r="D1994" s="5" t="s">
        <v>5452</v>
      </c>
      <c r="E1994" s="5" t="s">
        <v>29</v>
      </c>
      <c r="F1994" s="5" t="s">
        <v>5453</v>
      </c>
      <c r="G1994" s="5" t="s">
        <v>152</v>
      </c>
      <c r="H1994" s="5" t="s">
        <v>5779</v>
      </c>
      <c r="I1994" s="5" t="s">
        <v>5826</v>
      </c>
      <c r="J1994" s="5" t="s">
        <v>5827</v>
      </c>
      <c r="K1994" s="7" t="str">
        <f ca="1">IFERROR(__xludf.DUMMYFUNCTION("GOOGLETRANSLATE(H1994,""EN"",""ES"")"),"CUERDAS Y MATERIALES PARA AROS")</f>
        <v>CUERDAS Y MATERIALES PARA AROS</v>
      </c>
      <c r="L1994" s="5" t="str">
        <f ca="1">IFERROR(__xludf.DUMMYFUNCTION("GOOGLETRANSLATE(J1994,""EN"",""ES"")"),"Bandas para ovillos de lana")</f>
        <v>Bandas para ovillos de lana</v>
      </c>
      <c r="M1994" s="8" t="s">
        <v>28</v>
      </c>
      <c r="N1994" s="8"/>
    </row>
    <row r="1995" spans="1:14" ht="11.25" customHeight="1">
      <c r="A1995" s="5" t="s">
        <v>5449</v>
      </c>
      <c r="B1995" s="5" t="s">
        <v>5828</v>
      </c>
      <c r="C1995" s="5" t="s">
        <v>5829</v>
      </c>
      <c r="D1995" s="5" t="s">
        <v>5452</v>
      </c>
      <c r="E1995" s="5" t="s">
        <v>29</v>
      </c>
      <c r="F1995" s="5" t="s">
        <v>5453</v>
      </c>
      <c r="G1995" s="5" t="s">
        <v>152</v>
      </c>
      <c r="H1995" s="5" t="s">
        <v>5830</v>
      </c>
      <c r="I1995" s="5" t="s">
        <v>5831</v>
      </c>
      <c r="J1995" s="5" t="s">
        <v>5832</v>
      </c>
      <c r="K1995" s="7" t="str">
        <f ca="1">IFERROR(__xludf.DUMMYFUNCTION("GOOGLETRANSLATE(H1995,""EN"",""ES"")"),"MEDIOS DE CIERRE Y ACCESORIOS")</f>
        <v>MEDIOS DE CIERRE Y ACCESORIOS</v>
      </c>
      <c r="L1995" s="5" t="str">
        <f ca="1">IFERROR(__xludf.DUMMYFUNCTION("GOOGLETRANSLATE(J1995,""EN"",""ES"")"),"Tapones pulverizadores para envases de aerosol")</f>
        <v>Tapones pulverizadores para envases de aerosol</v>
      </c>
      <c r="M1995" s="8" t="s">
        <v>28</v>
      </c>
      <c r="N1995" s="8"/>
    </row>
    <row r="1996" spans="1:14" ht="11.25" customHeight="1">
      <c r="A1996" s="5" t="s">
        <v>5449</v>
      </c>
      <c r="B1996" s="5" t="s">
        <v>5828</v>
      </c>
      <c r="C1996" s="5" t="s">
        <v>5833</v>
      </c>
      <c r="D1996" s="5" t="s">
        <v>5452</v>
      </c>
      <c r="E1996" s="5" t="s">
        <v>29</v>
      </c>
      <c r="F1996" s="5" t="s">
        <v>5453</v>
      </c>
      <c r="G1996" s="5" t="s">
        <v>152</v>
      </c>
      <c r="H1996" s="5" t="s">
        <v>5830</v>
      </c>
      <c r="I1996" s="5" t="s">
        <v>5834</v>
      </c>
      <c r="J1996" s="5" t="s">
        <v>5835</v>
      </c>
      <c r="K1996" s="7" t="str">
        <f ca="1">IFERROR(__xludf.DUMMYFUNCTION("GOOGLETRANSLATE(H1996,""EN"",""ES"")"),"MEDIOS DE CIERRE Y ACCESORIOS")</f>
        <v>MEDIOS DE CIERRE Y ACCESORIOS</v>
      </c>
      <c r="L1996" s="5" t="str">
        <f ca="1">IFERROR(__xludf.DUMMYFUNCTION("GOOGLETRANSLATE(J1996,""EN"",""ES"")"),"Grifos [tonelería]")</f>
        <v>Grifos [tonelería]</v>
      </c>
      <c r="M1996" s="8" t="s">
        <v>28</v>
      </c>
      <c r="N1996" s="8"/>
    </row>
    <row r="1997" spans="1:14" ht="11.25" customHeight="1">
      <c r="A1997" s="5" t="s">
        <v>5449</v>
      </c>
      <c r="B1997" s="5" t="s">
        <v>5828</v>
      </c>
      <c r="C1997" s="5" t="s">
        <v>5833</v>
      </c>
      <c r="D1997" s="5" t="s">
        <v>5452</v>
      </c>
      <c r="E1997" s="5" t="s">
        <v>29</v>
      </c>
      <c r="F1997" s="5" t="s">
        <v>5453</v>
      </c>
      <c r="G1997" s="5" t="s">
        <v>152</v>
      </c>
      <c r="H1997" s="5" t="s">
        <v>5830</v>
      </c>
      <c r="I1997" s="5" t="s">
        <v>152</v>
      </c>
      <c r="J1997" s="5" t="s">
        <v>5836</v>
      </c>
      <c r="K1997" s="7" t="str">
        <f ca="1">IFERROR(__xludf.DUMMYFUNCTION("GOOGLETRANSLATE(H1997,""EN"",""ES"")"),"MEDIOS DE CIERRE Y ACCESORIOS")</f>
        <v>MEDIOS DE CIERRE Y ACCESORIOS</v>
      </c>
      <c r="L1997" s="5" t="str">
        <f ca="1">IFERROR(__xludf.DUMMYFUNCTION("GOOGLETRANSLATE(J1997,""EN"",""ES"")"),"N / A")</f>
        <v>N / A</v>
      </c>
      <c r="M1997" s="8" t="s">
        <v>28</v>
      </c>
      <c r="N1997" s="8"/>
    </row>
    <row r="1998" spans="1:14" ht="11.25" customHeight="1">
      <c r="A1998" s="5" t="s">
        <v>5449</v>
      </c>
      <c r="B1998" s="5" t="s">
        <v>5828</v>
      </c>
      <c r="C1998" s="5" t="s">
        <v>5837</v>
      </c>
      <c r="D1998" s="5" t="s">
        <v>5452</v>
      </c>
      <c r="E1998" s="5" t="s">
        <v>29</v>
      </c>
      <c r="F1998" s="5" t="s">
        <v>5453</v>
      </c>
      <c r="G1998" s="5" t="s">
        <v>152</v>
      </c>
      <c r="H1998" s="5" t="s">
        <v>5830</v>
      </c>
      <c r="I1998" s="5" t="s">
        <v>5838</v>
      </c>
      <c r="J1998" s="5" t="s">
        <v>5839</v>
      </c>
      <c r="K1998" s="7" t="str">
        <f ca="1">IFERROR(__xludf.DUMMYFUNCTION("GOOGLETRANSLATE(H1998,""EN"",""ES"")"),"MEDIOS DE CIERRE Y ACCESORIOS")</f>
        <v>MEDIOS DE CIERRE Y ACCESORIOS</v>
      </c>
      <c r="L1998" s="5" t="str">
        <f ca="1">IFERROR(__xludf.DUMMYFUNCTION("GOOGLETRANSLATE(J1998,""EN"",""ES"")"),"Anillos de sellado para contenedores de embalaje.")</f>
        <v>Anillos de sellado para contenedores de embalaje.</v>
      </c>
      <c r="M1998" s="8" t="s">
        <v>28</v>
      </c>
      <c r="N1998" s="8"/>
    </row>
    <row r="1999" spans="1:14" ht="11.25" customHeight="1">
      <c r="A1999" s="5" t="s">
        <v>5449</v>
      </c>
      <c r="B1999" s="5" t="s">
        <v>5828</v>
      </c>
      <c r="C1999" s="5" t="s">
        <v>5840</v>
      </c>
      <c r="D1999" s="5" t="s">
        <v>5452</v>
      </c>
      <c r="E1999" s="5" t="s">
        <v>29</v>
      </c>
      <c r="F1999" s="5" t="s">
        <v>5453</v>
      </c>
      <c r="G1999" s="5" t="s">
        <v>152</v>
      </c>
      <c r="H1999" s="5" t="s">
        <v>5830</v>
      </c>
      <c r="I1999" s="5" t="s">
        <v>5841</v>
      </c>
      <c r="J1999" s="5" t="s">
        <v>5842</v>
      </c>
      <c r="K1999" s="7" t="str">
        <f ca="1">IFERROR(__xludf.DUMMYFUNCTION("GOOGLETRANSLATE(H1999,""EN"",""ES"")"),"MEDIOS DE CIERRE Y ACCESORIOS")</f>
        <v>MEDIOS DE CIERRE Y ACCESORIOS</v>
      </c>
      <c r="L1999" s="5" t="str">
        <f ca="1">IFERROR(__xludf.DUMMYFUNCTION("GOOGLETRANSLATE(J1999,""EN"",""ES"")"),"Tapones de toneleros")</f>
        <v>Tapones de toneleros</v>
      </c>
      <c r="M1999" s="8" t="s">
        <v>28</v>
      </c>
      <c r="N1999" s="8"/>
    </row>
    <row r="2000" spans="1:14" ht="11.25" customHeight="1">
      <c r="A2000" s="5" t="s">
        <v>5449</v>
      </c>
      <c r="B2000" s="5" t="s">
        <v>5828</v>
      </c>
      <c r="C2000" s="5" t="s">
        <v>5843</v>
      </c>
      <c r="D2000" s="5" t="s">
        <v>5452</v>
      </c>
      <c r="E2000" s="5" t="s">
        <v>29</v>
      </c>
      <c r="F2000" s="5" t="s">
        <v>5453</v>
      </c>
      <c r="G2000" s="5" t="s">
        <v>152</v>
      </c>
      <c r="H2000" s="5" t="s">
        <v>5830</v>
      </c>
      <c r="I2000" s="5" t="s">
        <v>5844</v>
      </c>
      <c r="J2000" s="5" t="s">
        <v>5845</v>
      </c>
      <c r="K2000" s="7" t="str">
        <f ca="1">IFERROR(__xludf.DUMMYFUNCTION("GOOGLETRANSLATE(H2000,""EN"",""ES"")"),"MEDIOS DE CIERRE Y ACCESORIOS")</f>
        <v>MEDIOS DE CIERRE Y ACCESORIOS</v>
      </c>
      <c r="L2000" s="5" t="str">
        <f ca="1">IFERROR(__xludf.DUMMYFUNCTION("GOOGLETRANSLATE(J2000,""EN"",""ES"")"),"tapones de botellas")</f>
        <v>tapones de botellas</v>
      </c>
      <c r="M2000" s="8" t="s">
        <v>28</v>
      </c>
      <c r="N2000" s="8"/>
    </row>
    <row r="2001" spans="1:14" ht="11.25" customHeight="1">
      <c r="A2001" s="5" t="s">
        <v>5449</v>
      </c>
      <c r="B2001" s="5" t="s">
        <v>5828</v>
      </c>
      <c r="C2001" s="5" t="s">
        <v>5846</v>
      </c>
      <c r="D2001" s="5" t="s">
        <v>5452</v>
      </c>
      <c r="E2001" s="5" t="s">
        <v>29</v>
      </c>
      <c r="F2001" s="5" t="s">
        <v>5453</v>
      </c>
      <c r="G2001" s="5" t="s">
        <v>152</v>
      </c>
      <c r="H2001" s="5" t="s">
        <v>5830</v>
      </c>
      <c r="I2001" s="5" t="s">
        <v>5847</v>
      </c>
      <c r="J2001" s="5" t="s">
        <v>5848</v>
      </c>
      <c r="K2001" s="7" t="str">
        <f ca="1">IFERROR(__xludf.DUMMYFUNCTION("GOOGLETRANSLATE(H2001,""EN"",""ES"")"),"MEDIOS DE CIERRE Y ACCESORIOS")</f>
        <v>MEDIOS DE CIERRE Y ACCESORIOS</v>
      </c>
      <c r="L2001" s="5" t="str">
        <f ca="1">IFERROR(__xludf.DUMMYFUNCTION("GOOGLETRANSLATE(J2001,""EN"",""ES"")"),"Tapones de corcho")</f>
        <v>Tapones de corcho</v>
      </c>
      <c r="M2001" s="8" t="s">
        <v>28</v>
      </c>
      <c r="N2001" s="8"/>
    </row>
    <row r="2002" spans="1:14" ht="11.25" customHeight="1">
      <c r="A2002" s="5" t="s">
        <v>5449</v>
      </c>
      <c r="B2002" s="5" t="s">
        <v>5828</v>
      </c>
      <c r="C2002" s="5" t="s">
        <v>5849</v>
      </c>
      <c r="D2002" s="5" t="s">
        <v>5452</v>
      </c>
      <c r="E2002" s="5" t="s">
        <v>29</v>
      </c>
      <c r="F2002" s="5" t="s">
        <v>5453</v>
      </c>
      <c r="G2002" s="5" t="s">
        <v>152</v>
      </c>
      <c r="H2002" s="5" t="s">
        <v>5830</v>
      </c>
      <c r="I2002" s="5" t="s">
        <v>5850</v>
      </c>
      <c r="J2002" s="5" t="s">
        <v>5851</v>
      </c>
      <c r="K2002" s="7" t="str">
        <f ca="1">IFERROR(__xludf.DUMMYFUNCTION("GOOGLETRANSLATE(H2002,""EN"",""ES"")"),"MEDIOS DE CIERRE Y ACCESORIOS")</f>
        <v>MEDIOS DE CIERRE Y ACCESORIOS</v>
      </c>
      <c r="L2002" s="5" t="str">
        <f ca="1">IFERROR(__xludf.DUMMYFUNCTION("GOOGLETRANSLATE(J2002,""EN"",""ES"")"),"Tapones dispensadores")</f>
        <v>Tapones dispensadores</v>
      </c>
      <c r="M2002" s="8" t="s">
        <v>28</v>
      </c>
      <c r="N2002" s="8"/>
    </row>
    <row r="2003" spans="1:14" ht="11.25" customHeight="1">
      <c r="A2003" s="5" t="s">
        <v>5449</v>
      </c>
      <c r="B2003" s="5" t="s">
        <v>5828</v>
      </c>
      <c r="C2003" s="5" t="s">
        <v>5852</v>
      </c>
      <c r="D2003" s="5" t="s">
        <v>5452</v>
      </c>
      <c r="E2003" s="5" t="s">
        <v>29</v>
      </c>
      <c r="F2003" s="5" t="s">
        <v>5453</v>
      </c>
      <c r="G2003" s="5" t="s">
        <v>152</v>
      </c>
      <c r="H2003" s="5" t="s">
        <v>5830</v>
      </c>
      <c r="I2003" s="5" t="s">
        <v>5853</v>
      </c>
      <c r="J2003" s="5" t="s">
        <v>5854</v>
      </c>
      <c r="K2003" s="7" t="str">
        <f ca="1">IFERROR(__xludf.DUMMYFUNCTION("GOOGLETRANSLATE(H2003,""EN"",""ES"")"),"MEDIOS DE CIERRE Y ACCESORIOS")</f>
        <v>MEDIOS DE CIERRE Y ACCESORIOS</v>
      </c>
      <c r="L2003" s="5" t="str">
        <f ca="1">IFERROR(__xludf.DUMMYFUNCTION("GOOGLETRANSLATE(J2003,""EN"",""ES"")"),"Tapones con dispositivo pulverizador incorporado")</f>
        <v>Tapones con dispositivo pulverizador incorporado</v>
      </c>
      <c r="M2003" s="8" t="s">
        <v>28</v>
      </c>
      <c r="N2003" s="8"/>
    </row>
    <row r="2004" spans="1:14" ht="11.25" customHeight="1">
      <c r="A2004" s="5" t="s">
        <v>5449</v>
      </c>
      <c r="B2004" s="5" t="s">
        <v>5828</v>
      </c>
      <c r="C2004" s="5" t="s">
        <v>5855</v>
      </c>
      <c r="D2004" s="5" t="s">
        <v>5452</v>
      </c>
      <c r="E2004" s="5" t="s">
        <v>29</v>
      </c>
      <c r="F2004" s="5" t="s">
        <v>5453</v>
      </c>
      <c r="G2004" s="5" t="s">
        <v>152</v>
      </c>
      <c r="H2004" s="5" t="s">
        <v>5830</v>
      </c>
      <c r="I2004" s="5" t="s">
        <v>5856</v>
      </c>
      <c r="J2004" s="5" t="s">
        <v>5857</v>
      </c>
      <c r="K2004" s="7" t="str">
        <f ca="1">IFERROR(__xludf.DUMMYFUNCTION("GOOGLETRANSLATE(H2004,""EN"",""ES"")"),"MEDIOS DE CIERRE Y ACCESORIOS")</f>
        <v>MEDIOS DE CIERRE Y ACCESORIOS</v>
      </c>
      <c r="L2004" s="5" t="str">
        <f ca="1">IFERROR(__xludf.DUMMYFUNCTION("GOOGLETRANSLATE(J2004,""EN"",""ES"")"),"Tapones vertedores")</f>
        <v>Tapones vertedores</v>
      </c>
      <c r="M2004" s="8" t="s">
        <v>28</v>
      </c>
      <c r="N2004" s="8"/>
    </row>
    <row r="2005" spans="1:14" ht="11.25" customHeight="1">
      <c r="A2005" s="5" t="s">
        <v>5449</v>
      </c>
      <c r="B2005" s="5" t="s">
        <v>5828</v>
      </c>
      <c r="C2005" s="5" t="s">
        <v>5858</v>
      </c>
      <c r="D2005" s="5" t="s">
        <v>5452</v>
      </c>
      <c r="E2005" s="5" t="s">
        <v>29</v>
      </c>
      <c r="F2005" s="5" t="s">
        <v>5453</v>
      </c>
      <c r="G2005" s="5" t="s">
        <v>152</v>
      </c>
      <c r="H2005" s="5" t="s">
        <v>5830</v>
      </c>
      <c r="I2005" s="5" t="s">
        <v>5859</v>
      </c>
      <c r="J2005" s="5" t="s">
        <v>5860</v>
      </c>
      <c r="K2005" s="7" t="str">
        <f ca="1">IFERROR(__xludf.DUMMYFUNCTION("GOOGLETRANSLATE(H2005,""EN"",""ES"")"),"MEDIOS DE CIERRE Y ACCESORIOS")</f>
        <v>MEDIOS DE CIERRE Y ACCESORIOS</v>
      </c>
      <c r="L2005" s="5" t="str">
        <f ca="1">IFERROR(__xludf.DUMMYFUNCTION("GOOGLETRANSLATE(J2005,""EN"",""ES"")"),"Tapones medidores")</f>
        <v>Tapones medidores</v>
      </c>
      <c r="M2005" s="8" t="s">
        <v>28</v>
      </c>
      <c r="N2005" s="8"/>
    </row>
    <row r="2006" spans="1:14" ht="11.25" customHeight="1">
      <c r="A2006" s="5" t="s">
        <v>5449</v>
      </c>
      <c r="B2006" s="5" t="s">
        <v>5828</v>
      </c>
      <c r="C2006" s="5" t="s">
        <v>5858</v>
      </c>
      <c r="D2006" s="5" t="s">
        <v>5452</v>
      </c>
      <c r="E2006" s="5" t="s">
        <v>29</v>
      </c>
      <c r="F2006" s="5" t="s">
        <v>5453</v>
      </c>
      <c r="G2006" s="5" t="s">
        <v>152</v>
      </c>
      <c r="H2006" s="5" t="s">
        <v>5830</v>
      </c>
      <c r="I2006" s="5" t="s">
        <v>152</v>
      </c>
      <c r="J2006" s="5" t="s">
        <v>5861</v>
      </c>
      <c r="K2006" s="7" t="str">
        <f ca="1">IFERROR(__xludf.DUMMYFUNCTION("GOOGLETRANSLATE(H2006,""EN"",""ES"")"),"MEDIOS DE CIERRE Y ACCESORIOS")</f>
        <v>MEDIOS DE CIERRE Y ACCESORIOS</v>
      </c>
      <c r="L2006" s="5" t="str">
        <f ca="1">IFERROR(__xludf.DUMMYFUNCTION("GOOGLETRANSLATE(J2006,""EN"",""ES"")"),"N / A")</f>
        <v>N / A</v>
      </c>
      <c r="M2006" s="8" t="s">
        <v>28</v>
      </c>
      <c r="N2006" s="8"/>
    </row>
    <row r="2007" spans="1:14" ht="11.25" customHeight="1">
      <c r="A2007" s="5" t="s">
        <v>5449</v>
      </c>
      <c r="B2007" s="5" t="s">
        <v>5828</v>
      </c>
      <c r="C2007" s="5" t="s">
        <v>5862</v>
      </c>
      <c r="D2007" s="5" t="s">
        <v>5452</v>
      </c>
      <c r="E2007" s="5" t="s">
        <v>29</v>
      </c>
      <c r="F2007" s="5" t="s">
        <v>5453</v>
      </c>
      <c r="G2007" s="5" t="s">
        <v>152</v>
      </c>
      <c r="H2007" s="5" t="s">
        <v>5830</v>
      </c>
      <c r="I2007" s="5" t="s">
        <v>5863</v>
      </c>
      <c r="J2007" s="5" t="s">
        <v>5864</v>
      </c>
      <c r="K2007" s="7" t="str">
        <f ca="1">IFERROR(__xludf.DUMMYFUNCTION("GOOGLETRANSLATE(H2007,""EN"",""ES"")"),"MEDIOS DE CIERRE Y ACCESORIOS")</f>
        <v>MEDIOS DE CIERRE Y ACCESORIOS</v>
      </c>
      <c r="L2007" s="5" t="str">
        <f ca="1">IFERROR(__xludf.DUMMYFUNCTION("GOOGLETRANSLATE(J2007,""EN"",""ES"")"),"tapas de botellas")</f>
        <v>tapas de botellas</v>
      </c>
      <c r="M2007" s="8" t="s">
        <v>28</v>
      </c>
      <c r="N2007" s="8"/>
    </row>
    <row r="2008" spans="1:14" ht="11.25" customHeight="1">
      <c r="A2008" s="5" t="s">
        <v>5449</v>
      </c>
      <c r="B2008" s="5" t="s">
        <v>5828</v>
      </c>
      <c r="C2008" s="5" t="s">
        <v>5865</v>
      </c>
      <c r="D2008" s="5" t="s">
        <v>5452</v>
      </c>
      <c r="E2008" s="5" t="s">
        <v>29</v>
      </c>
      <c r="F2008" s="5" t="s">
        <v>5453</v>
      </c>
      <c r="G2008" s="5" t="s">
        <v>152</v>
      </c>
      <c r="H2008" s="5" t="s">
        <v>5830</v>
      </c>
      <c r="I2008" s="5" t="s">
        <v>5866</v>
      </c>
      <c r="J2008" s="5" t="s">
        <v>5867</v>
      </c>
      <c r="K2008" s="7" t="str">
        <f ca="1">IFERROR(__xludf.DUMMYFUNCTION("GOOGLETRANSLATE(H2008,""EN"",""ES"")"),"MEDIOS DE CIERRE Y ACCESORIOS")</f>
        <v>MEDIOS DE CIERRE Y ACCESORIOS</v>
      </c>
      <c r="L2008" s="5" t="str">
        <f ca="1">IFERROR(__xludf.DUMMYFUNCTION("GOOGLETRANSLATE(J2008,""EN"",""ES"")"),"Cierres para contenedores")</f>
        <v>Cierres para contenedores</v>
      </c>
      <c r="M2008" s="8" t="s">
        <v>28</v>
      </c>
      <c r="N2008" s="8"/>
    </row>
    <row r="2009" spans="1:14" ht="11.25" customHeight="1">
      <c r="A2009" s="5" t="s">
        <v>5449</v>
      </c>
      <c r="B2009" s="5" t="s">
        <v>5828</v>
      </c>
      <c r="C2009" s="5" t="s">
        <v>5868</v>
      </c>
      <c r="D2009" s="5" t="s">
        <v>5452</v>
      </c>
      <c r="E2009" s="5" t="s">
        <v>29</v>
      </c>
      <c r="F2009" s="5" t="s">
        <v>5453</v>
      </c>
      <c r="G2009" s="5" t="s">
        <v>152</v>
      </c>
      <c r="H2009" s="5" t="s">
        <v>5830</v>
      </c>
      <c r="I2009" s="5" t="s">
        <v>5869</v>
      </c>
      <c r="J2009" s="5" t="s">
        <v>5870</v>
      </c>
      <c r="K2009" s="7" t="str">
        <f ca="1">IFERROR(__xludf.DUMMYFUNCTION("GOOGLETRANSLATE(H2009,""EN"",""ES"")"),"MEDIOS DE CIERRE Y ACCESORIOS")</f>
        <v>MEDIOS DE CIERRE Y ACCESORIOS</v>
      </c>
      <c r="L2009" s="5" t="str">
        <f ca="1">IFERROR(__xludf.DUMMYFUNCTION("GOOGLETRANSLATE(J2009,""EN"",""ES"")"),"Tapas de botellas que incorporan cepillos.")</f>
        <v>Tapas de botellas que incorporan cepillos.</v>
      </c>
      <c r="M2009" s="8" t="s">
        <v>28</v>
      </c>
      <c r="N2009" s="8"/>
    </row>
    <row r="2010" spans="1:14" ht="11.25" customHeight="1">
      <c r="A2010" s="5" t="s">
        <v>5449</v>
      </c>
      <c r="B2010" s="5" t="s">
        <v>5828</v>
      </c>
      <c r="C2010" s="5" t="s">
        <v>5871</v>
      </c>
      <c r="D2010" s="5" t="s">
        <v>5452</v>
      </c>
      <c r="E2010" s="5" t="s">
        <v>29</v>
      </c>
      <c r="F2010" s="5" t="s">
        <v>5453</v>
      </c>
      <c r="G2010" s="5" t="s">
        <v>152</v>
      </c>
      <c r="H2010" s="5" t="s">
        <v>5830</v>
      </c>
      <c r="I2010" s="5" t="s">
        <v>5872</v>
      </c>
      <c r="J2010" s="5" t="s">
        <v>5873</v>
      </c>
      <c r="K2010" s="7" t="str">
        <f ca="1">IFERROR(__xludf.DUMMYFUNCTION("GOOGLETRANSLATE(H2010,""EN"",""ES"")"),"MEDIOS DE CIERRE Y ACCESORIOS")</f>
        <v>MEDIOS DE CIERRE Y ACCESORIOS</v>
      </c>
      <c r="L2010" s="5" t="str">
        <f ca="1">IFERROR(__xludf.DUMMYFUNCTION("GOOGLETRANSLATE(J2010,""EN"",""ES"")"),"Boquillas para envases de aerosol.")</f>
        <v>Boquillas para envases de aerosol.</v>
      </c>
      <c r="M2010" s="8" t="s">
        <v>28</v>
      </c>
      <c r="N2010" s="8"/>
    </row>
    <row r="2011" spans="1:14" ht="11.25" customHeight="1">
      <c r="A2011" s="5" t="s">
        <v>5449</v>
      </c>
      <c r="B2011" s="5" t="s">
        <v>5828</v>
      </c>
      <c r="C2011" s="5" t="s">
        <v>5874</v>
      </c>
      <c r="D2011" s="5" t="s">
        <v>5452</v>
      </c>
      <c r="E2011" s="5" t="s">
        <v>29</v>
      </c>
      <c r="F2011" s="5" t="s">
        <v>5453</v>
      </c>
      <c r="G2011" s="5" t="s">
        <v>152</v>
      </c>
      <c r="H2011" s="5" t="s">
        <v>5830</v>
      </c>
      <c r="I2011" s="5" t="s">
        <v>5875</v>
      </c>
      <c r="J2011" s="5" t="s">
        <v>5876</v>
      </c>
      <c r="K2011" s="7" t="str">
        <f ca="1">IFERROR(__xludf.DUMMYFUNCTION("GOOGLETRANSLATE(H2011,""EN"",""ES"")"),"MEDIOS DE CIERRE Y ACCESORIOS")</f>
        <v>MEDIOS DE CIERRE Y ACCESORIOS</v>
      </c>
      <c r="L2011" s="5" t="str">
        <f ca="1">IFERROR(__xludf.DUMMYFUNCTION("GOOGLETRANSLATE(J2011,""EN"",""ES"")"),"Cierres para envases de aerosol")</f>
        <v>Cierres para envases de aerosol</v>
      </c>
      <c r="M2011" s="8" t="s">
        <v>28</v>
      </c>
      <c r="N2011" s="8"/>
    </row>
    <row r="2012" spans="1:14" ht="11.25" customHeight="1">
      <c r="A2012" s="5" t="s">
        <v>5449</v>
      </c>
      <c r="B2012" s="5" t="s">
        <v>5828</v>
      </c>
      <c r="C2012" s="5" t="s">
        <v>5877</v>
      </c>
      <c r="D2012" s="5" t="s">
        <v>5452</v>
      </c>
      <c r="E2012" s="5" t="s">
        <v>29</v>
      </c>
      <c r="F2012" s="5" t="s">
        <v>5453</v>
      </c>
      <c r="G2012" s="5" t="s">
        <v>152</v>
      </c>
      <c r="H2012" s="5" t="s">
        <v>5830</v>
      </c>
      <c r="I2012" s="5" t="s">
        <v>5878</v>
      </c>
      <c r="J2012" s="5" t="s">
        <v>5879</v>
      </c>
      <c r="K2012" s="7" t="str">
        <f ca="1">IFERROR(__xludf.DUMMYFUNCTION("GOOGLETRANSLATE(H2012,""EN"",""ES"")"),"MEDIOS DE CIERRE Y ACCESORIOS")</f>
        <v>MEDIOS DE CIERRE Y ACCESORIOS</v>
      </c>
      <c r="L2012" s="5" t="str">
        <f ca="1">IFERROR(__xludf.DUMMYFUNCTION("GOOGLETRANSLATE(J2012,""EN"",""ES"")"),"sujetadores de botellas")</f>
        <v>sujetadores de botellas</v>
      </c>
      <c r="M2012" s="8" t="s">
        <v>28</v>
      </c>
      <c r="N2012" s="8"/>
    </row>
    <row r="2013" spans="1:14" ht="11.25" customHeight="1">
      <c r="A2013" s="5" t="s">
        <v>5449</v>
      </c>
      <c r="B2013" s="5" t="s">
        <v>5828</v>
      </c>
      <c r="C2013" s="5" t="s">
        <v>5880</v>
      </c>
      <c r="D2013" s="5" t="s">
        <v>5452</v>
      </c>
      <c r="E2013" s="5" t="s">
        <v>29</v>
      </c>
      <c r="F2013" s="5" t="s">
        <v>5453</v>
      </c>
      <c r="G2013" s="5" t="s">
        <v>152</v>
      </c>
      <c r="H2013" s="5" t="s">
        <v>5830</v>
      </c>
      <c r="I2013" s="5" t="s">
        <v>5881</v>
      </c>
      <c r="J2013" s="5" t="s">
        <v>5882</v>
      </c>
      <c r="K2013" s="7" t="str">
        <f ca="1">IFERROR(__xludf.DUMMYFUNCTION("GOOGLETRANSLATE(H2013,""EN"",""ES"")"),"MEDIOS DE CIERRE Y ACCESORIOS")</f>
        <v>MEDIOS DE CIERRE Y ACCESORIOS</v>
      </c>
      <c r="L2013" s="5" t="str">
        <f ca="1">IFERROR(__xludf.DUMMYFUNCTION("GOOGLETRANSLATE(J2013,""EN"",""ES"")"),"Muselets [cierres de alambre] para botellas")</f>
        <v>Muselets [cierres de alambre] para botellas</v>
      </c>
      <c r="M2013" s="8" t="s">
        <v>28</v>
      </c>
      <c r="N2013" s="8"/>
    </row>
    <row r="2014" spans="1:14" ht="11.25" customHeight="1">
      <c r="A2014" s="5" t="s">
        <v>5449</v>
      </c>
      <c r="B2014" s="5" t="s">
        <v>5828</v>
      </c>
      <c r="C2014" s="5" t="s">
        <v>5883</v>
      </c>
      <c r="D2014" s="5" t="s">
        <v>5452</v>
      </c>
      <c r="E2014" s="5" t="s">
        <v>29</v>
      </c>
      <c r="F2014" s="5" t="s">
        <v>5453</v>
      </c>
      <c r="G2014" s="5" t="s">
        <v>152</v>
      </c>
      <c r="H2014" s="5" t="s">
        <v>5830</v>
      </c>
      <c r="I2014" s="5" t="s">
        <v>5884</v>
      </c>
      <c r="J2014" s="5" t="s">
        <v>5885</v>
      </c>
      <c r="K2014" s="7" t="str">
        <f ca="1">IFERROR(__xludf.DUMMYFUNCTION("GOOGLETRANSLATE(H2014,""EN"",""ES"")"),"MEDIOS DE CIERRE Y ACCESORIOS")</f>
        <v>MEDIOS DE CIERRE Y ACCESORIOS</v>
      </c>
      <c r="L2014" s="5" t="str">
        <f ca="1">IFERROR(__xludf.DUMMYFUNCTION("GOOGLETRANSLATE(J2014,""EN"",""ES"")"),"Sellos o precintos de plomo para envases de embalaje.")</f>
        <v>Sellos o precintos de plomo para envases de embalaje.</v>
      </c>
      <c r="M2014" s="8" t="s">
        <v>28</v>
      </c>
      <c r="N2014" s="8"/>
    </row>
    <row r="2015" spans="1:14" ht="11.25" customHeight="1">
      <c r="A2015" s="5" t="s">
        <v>5449</v>
      </c>
      <c r="B2015" s="5" t="s">
        <v>5828</v>
      </c>
      <c r="C2015" s="5" t="s">
        <v>5886</v>
      </c>
      <c r="D2015" s="5" t="s">
        <v>5452</v>
      </c>
      <c r="E2015" s="5" t="s">
        <v>29</v>
      </c>
      <c r="F2015" s="5" t="s">
        <v>5453</v>
      </c>
      <c r="G2015" s="5" t="s">
        <v>152</v>
      </c>
      <c r="H2015" s="5" t="s">
        <v>5830</v>
      </c>
      <c r="I2015" s="5" t="s">
        <v>5887</v>
      </c>
      <c r="J2015" s="5" t="s">
        <v>5888</v>
      </c>
      <c r="K2015" s="7" t="str">
        <f ca="1">IFERROR(__xludf.DUMMYFUNCTION("GOOGLETRANSLATE(H2015,""EN"",""ES"")"),"MEDIOS DE CIERRE Y ACCESORIOS")</f>
        <v>MEDIOS DE CIERRE Y ACCESORIOS</v>
      </c>
      <c r="L2015" s="5" t="str">
        <f ca="1">IFERROR(__xludf.DUMMYFUNCTION("GOOGLETRANSLATE(J2015,""EN"",""ES"")"),"Cápsulas selladoras para botellas.")</f>
        <v>Cápsulas selladoras para botellas.</v>
      </c>
      <c r="M2015" s="8" t="s">
        <v>28</v>
      </c>
      <c r="N2015" s="8"/>
    </row>
    <row r="2016" spans="1:14" ht="11.25" customHeight="1">
      <c r="A2016" s="5" t="s">
        <v>5449</v>
      </c>
      <c r="B2016" s="5" t="s">
        <v>5828</v>
      </c>
      <c r="C2016" s="5" t="s">
        <v>5889</v>
      </c>
      <c r="D2016" s="5" t="s">
        <v>5452</v>
      </c>
      <c r="E2016" s="5" t="s">
        <v>29</v>
      </c>
      <c r="F2016" s="5" t="s">
        <v>5453</v>
      </c>
      <c r="G2016" s="5" t="s">
        <v>152</v>
      </c>
      <c r="H2016" s="5" t="s">
        <v>5830</v>
      </c>
      <c r="I2016" s="5" t="s">
        <v>5890</v>
      </c>
      <c r="J2016" s="5" t="s">
        <v>5891</v>
      </c>
      <c r="K2016" s="7" t="str">
        <f ca="1">IFERROR(__xludf.DUMMYFUNCTION("GOOGLETRANSLATE(H2016,""EN"",""ES"")"),"MEDIOS DE CIERRE Y ACCESORIOS")</f>
        <v>MEDIOS DE CIERRE Y ACCESORIOS</v>
      </c>
      <c r="L2016" s="5" t="str">
        <f ca="1">IFERROR(__xludf.DUMMYFUNCTION("GOOGLETRANSLATE(J2016,""EN"",""ES"")"),"Tapas de perfusión")</f>
        <v>Tapas de perfusión</v>
      </c>
      <c r="M2016" s="8" t="s">
        <v>28</v>
      </c>
      <c r="N2016" s="8"/>
    </row>
    <row r="2017" spans="1:14" ht="11.25" customHeight="1">
      <c r="A2017" s="5" t="s">
        <v>5449</v>
      </c>
      <c r="B2017" s="5" t="s">
        <v>5828</v>
      </c>
      <c r="C2017" s="5" t="s">
        <v>5892</v>
      </c>
      <c r="D2017" s="5" t="s">
        <v>5452</v>
      </c>
      <c r="E2017" s="5" t="s">
        <v>29</v>
      </c>
      <c r="F2017" s="5" t="s">
        <v>5453</v>
      </c>
      <c r="G2017" s="5" t="s">
        <v>152</v>
      </c>
      <c r="H2017" s="5" t="s">
        <v>5830</v>
      </c>
      <c r="I2017" s="5" t="s">
        <v>5893</v>
      </c>
      <c r="J2017" s="5" t="s">
        <v>5894</v>
      </c>
      <c r="K2017" s="7" t="str">
        <f ca="1">IFERROR(__xludf.DUMMYFUNCTION("GOOGLETRANSLATE(H2017,""EN"",""ES"")"),"MEDIOS DE CIERRE Y ACCESORIOS")</f>
        <v>MEDIOS DE CIERRE Y ACCESORIOS</v>
      </c>
      <c r="L2017" s="5" t="str">
        <f ca="1">IFERROR(__xludf.DUMMYFUNCTION("GOOGLETRANSLATE(J2017,""EN"",""ES"")"),"Clips [medios de cierre] para embalajes")</f>
        <v>Clips [medios de cierre] para embalajes</v>
      </c>
      <c r="M2017" s="8" t="s">
        <v>28</v>
      </c>
      <c r="N2017" s="8"/>
    </row>
    <row r="2018" spans="1:14" ht="11.25" customHeight="1">
      <c r="A2018" s="5" t="s">
        <v>5449</v>
      </c>
      <c r="B2018" s="5" t="s">
        <v>5828</v>
      </c>
      <c r="C2018" s="5" t="s">
        <v>5895</v>
      </c>
      <c r="D2018" s="5" t="s">
        <v>5452</v>
      </c>
      <c r="E2018" s="5" t="s">
        <v>29</v>
      </c>
      <c r="F2018" s="5" t="s">
        <v>5453</v>
      </c>
      <c r="G2018" s="5" t="s">
        <v>152</v>
      </c>
      <c r="H2018" s="5" t="s">
        <v>5830</v>
      </c>
      <c r="I2018" s="5" t="s">
        <v>5896</v>
      </c>
      <c r="J2018" s="5" t="s">
        <v>5897</v>
      </c>
      <c r="K2018" s="7" t="str">
        <f ca="1">IFERROR(__xludf.DUMMYFUNCTION("GOOGLETRANSLATE(H2018,""EN"",""ES"")"),"MEDIOS DE CIERRE Y ACCESORIOS")</f>
        <v>MEDIOS DE CIERRE Y ACCESORIOS</v>
      </c>
      <c r="L2018" s="5" t="str">
        <f ca="1">IFERROR(__xludf.DUMMYFUNCTION("GOOGLETRANSLATE(J2018,""EN"",""ES"")"),"Sujetadores para embalaje")</f>
        <v>Sujetadores para embalaje</v>
      </c>
      <c r="M2018" s="8" t="s">
        <v>28</v>
      </c>
      <c r="N2018" s="8"/>
    </row>
    <row r="2019" spans="1:14" ht="11.25" customHeight="1">
      <c r="A2019" s="5" t="s">
        <v>5449</v>
      </c>
      <c r="B2019" s="5" t="s">
        <v>5898</v>
      </c>
      <c r="C2019" s="5" t="s">
        <v>5899</v>
      </c>
      <c r="D2019" s="5" t="s">
        <v>5452</v>
      </c>
      <c r="E2019" s="5" t="s">
        <v>29</v>
      </c>
      <c r="F2019" s="5" t="s">
        <v>5453</v>
      </c>
      <c r="G2019" s="5" t="s">
        <v>152</v>
      </c>
      <c r="H2019" s="5" t="s">
        <v>5900</v>
      </c>
      <c r="I2019" s="5" t="s">
        <v>5901</v>
      </c>
      <c r="J2019" s="5" t="s">
        <v>5902</v>
      </c>
      <c r="K2019" s="7" t="str">
        <f ca="1">IFERROR(__xludf.DUMMYFUNCTION("GOOGLETRANSLATE(H2019,""EN"",""ES"")"),"PALETS Y PLATAFORMAS PARA CARRETILLAS ELEVADORAS")</f>
        <v>PALETS Y PLATAFORMAS PARA CARRETILLAS ELEVADORAS</v>
      </c>
      <c r="L2019" s="5" t="str">
        <f ca="1">IFERROR(__xludf.DUMMYFUNCTION("GOOGLETRANSLATE(J2019,""EN"",""ES"")"),"Plataformas de manipulación para carretillas elevadoras")</f>
        <v>Plataformas de manipulación para carretillas elevadoras</v>
      </c>
      <c r="M2019" s="8" t="s">
        <v>28</v>
      </c>
      <c r="N2019" s="8"/>
    </row>
    <row r="2020" spans="1:14" ht="11.25" customHeight="1">
      <c r="A2020" s="5" t="s">
        <v>5449</v>
      </c>
      <c r="B2020" s="5" t="s">
        <v>5898</v>
      </c>
      <c r="C2020" s="5" t="s">
        <v>5903</v>
      </c>
      <c r="D2020" s="5" t="s">
        <v>5452</v>
      </c>
      <c r="E2020" s="5" t="s">
        <v>29</v>
      </c>
      <c r="F2020" s="5" t="s">
        <v>5453</v>
      </c>
      <c r="G2020" s="5" t="s">
        <v>152</v>
      </c>
      <c r="H2020" s="5" t="s">
        <v>5900</v>
      </c>
      <c r="I2020" s="5" t="s">
        <v>5904</v>
      </c>
      <c r="J2020" s="5" t="s">
        <v>5905</v>
      </c>
      <c r="K2020" s="7" t="str">
        <f ca="1">IFERROR(__xludf.DUMMYFUNCTION("GOOGLETRANSLATE(H2020,""EN"",""ES"")"),"PALETS Y PLATAFORMAS PARA CARRETILLAS ELEVADORAS")</f>
        <v>PALETS Y PLATAFORMAS PARA CARRETILLAS ELEVADORAS</v>
      </c>
      <c r="L2020" s="5" t="str">
        <f ca="1">IFERROR(__xludf.DUMMYFUNCTION("GOOGLETRANSLATE(J2020,""EN"",""ES"")"),"Palets para carretillas elevadoras")</f>
        <v>Palets para carretillas elevadoras</v>
      </c>
      <c r="M2020" s="8" t="s">
        <v>28</v>
      </c>
      <c r="N2020" s="8"/>
    </row>
    <row r="2021" spans="1:14" ht="11.25" customHeight="1">
      <c r="A2021" s="5" t="s">
        <v>5449</v>
      </c>
      <c r="B2021" s="5" t="s">
        <v>5898</v>
      </c>
      <c r="C2021" s="5" t="s">
        <v>5906</v>
      </c>
      <c r="D2021" s="5" t="s">
        <v>5452</v>
      </c>
      <c r="E2021" s="5" t="s">
        <v>29</v>
      </c>
      <c r="F2021" s="5" t="s">
        <v>5453</v>
      </c>
      <c r="G2021" s="5" t="s">
        <v>152</v>
      </c>
      <c r="H2021" s="5" t="s">
        <v>5900</v>
      </c>
      <c r="I2021" s="5" t="s">
        <v>5907</v>
      </c>
      <c r="J2021" s="5" t="s">
        <v>5908</v>
      </c>
      <c r="K2021" s="7" t="str">
        <f ca="1">IFERROR(__xludf.DUMMYFUNCTION("GOOGLETRANSLATE(H2021,""EN"",""ES"")"),"PALETS Y PLATAFORMAS PARA CARRETILLAS ELEVADORAS")</f>
        <v>PALETS Y PLATAFORMAS PARA CARRETILLAS ELEVADORAS</v>
      </c>
      <c r="L2021" s="5" t="str">
        <f ca="1">IFERROR(__xludf.DUMMYFUNCTION("GOOGLETRANSLATE(J2021,""EN"",""ES"")"),"Soportes para palets")</f>
        <v>Soportes para palets</v>
      </c>
      <c r="M2021" s="8" t="s">
        <v>28</v>
      </c>
      <c r="N2021" s="8"/>
    </row>
    <row r="2022" spans="1:14" ht="11.25" customHeight="1">
      <c r="A2022" s="5" t="s">
        <v>5449</v>
      </c>
      <c r="B2022" s="5" t="s">
        <v>5909</v>
      </c>
      <c r="C2022" s="5" t="s">
        <v>5910</v>
      </c>
      <c r="D2022" s="5" t="s">
        <v>5452</v>
      </c>
      <c r="E2022" s="5" t="s">
        <v>29</v>
      </c>
      <c r="F2022" s="5" t="s">
        <v>5453</v>
      </c>
      <c r="G2022" s="5" t="s">
        <v>152</v>
      </c>
      <c r="H2022" s="5" t="s">
        <v>5911</v>
      </c>
      <c r="I2022" s="5" t="s">
        <v>5912</v>
      </c>
      <c r="J2022" s="5" t="s">
        <v>5913</v>
      </c>
      <c r="K2022" s="7" t="str">
        <f ca="1">IFERROR(__xludf.DUMMYFUNCTION("GOOGLETRANSLATE(H2022,""EN"",""ES"")"),"CONTENEDORES DE BASURA Y BASURA Y SOPORTES PARA LOS MISMOS")</f>
        <v>CONTENEDORES DE BASURA Y BASURA Y SOPORTES PARA LOS MISMOS</v>
      </c>
      <c r="L2022" s="5" t="str">
        <f ca="1">IFERROR(__xludf.DUMMYFUNCTION("GOOGLETRANSLATE(J2022,""EN"",""ES"")"),"Ceniceros")</f>
        <v>Ceniceros</v>
      </c>
      <c r="M2022" s="8" t="s">
        <v>28</v>
      </c>
      <c r="N2022" s="8"/>
    </row>
    <row r="2023" spans="1:14" ht="11.25" customHeight="1">
      <c r="A2023" s="5" t="s">
        <v>5449</v>
      </c>
      <c r="B2023" s="5" t="s">
        <v>5909</v>
      </c>
      <c r="C2023" s="5" t="s">
        <v>5910</v>
      </c>
      <c r="D2023" s="5" t="s">
        <v>5452</v>
      </c>
      <c r="E2023" s="5" t="s">
        <v>29</v>
      </c>
      <c r="F2023" s="5" t="s">
        <v>5453</v>
      </c>
      <c r="G2023" s="5" t="s">
        <v>152</v>
      </c>
      <c r="H2023" s="5" t="s">
        <v>5911</v>
      </c>
      <c r="I2023" s="5" t="s">
        <v>5914</v>
      </c>
      <c r="J2023" s="5" t="s">
        <v>5915</v>
      </c>
      <c r="K2023" s="7" t="str">
        <f ca="1">IFERROR(__xludf.DUMMYFUNCTION("GOOGLETRANSLATE(H2023,""EN"",""ES"")"),"CONTENEDORES DE BASURA Y BASURA Y SOPORTES PARA LOS MISMOS")</f>
        <v>CONTENEDORES DE BASURA Y BASURA Y SOPORTES PARA LOS MISMOS</v>
      </c>
      <c r="L2023" s="5" t="str">
        <f ca="1">IFERROR(__xludf.DUMMYFUNCTION("GOOGLETRANSLATE(J2023,""EN"",""ES"")"),"Contenedores de cenizas")</f>
        <v>Contenedores de cenizas</v>
      </c>
      <c r="M2023" s="8" t="s">
        <v>28</v>
      </c>
      <c r="N2023" s="8"/>
    </row>
    <row r="2024" spans="1:14" ht="11.25" customHeight="1">
      <c r="A2024" s="5" t="s">
        <v>5449</v>
      </c>
      <c r="B2024" s="5" t="s">
        <v>5909</v>
      </c>
      <c r="C2024" s="5" t="s">
        <v>5916</v>
      </c>
      <c r="D2024" s="5" t="s">
        <v>5452</v>
      </c>
      <c r="E2024" s="5" t="s">
        <v>29</v>
      </c>
      <c r="F2024" s="5" t="s">
        <v>5453</v>
      </c>
      <c r="G2024" s="5" t="s">
        <v>152</v>
      </c>
      <c r="H2024" s="5" t="s">
        <v>5911</v>
      </c>
      <c r="I2024" s="5" t="s">
        <v>5917</v>
      </c>
      <c r="J2024" s="5" t="s">
        <v>5918</v>
      </c>
      <c r="K2024" s="7" t="str">
        <f ca="1">IFERROR(__xludf.DUMMYFUNCTION("GOOGLETRANSLATE(H2024,""EN"",""ES"")"),"CONTENEDORES DE BASURA Y BASURA Y SOPORTES PARA LOS MISMOS")</f>
        <v>CONTENEDORES DE BASURA Y BASURA Y SOPORTES PARA LOS MISMOS</v>
      </c>
      <c r="L2024" s="5" t="str">
        <f ca="1">IFERROR(__xludf.DUMMYFUNCTION("GOOGLETRANSLATE(J2024,""EN"",""ES"")"),"Papeleras")</f>
        <v>Papeleras</v>
      </c>
      <c r="M2024" s="8" t="s">
        <v>28</v>
      </c>
      <c r="N2024" s="8"/>
    </row>
    <row r="2025" spans="1:14" ht="11.25" customHeight="1">
      <c r="A2025" s="5" t="s">
        <v>5449</v>
      </c>
      <c r="B2025" s="5" t="s">
        <v>5909</v>
      </c>
      <c r="C2025" s="5" t="s">
        <v>5919</v>
      </c>
      <c r="D2025" s="5" t="s">
        <v>5452</v>
      </c>
      <c r="E2025" s="5" t="s">
        <v>29</v>
      </c>
      <c r="F2025" s="5" t="s">
        <v>5453</v>
      </c>
      <c r="G2025" s="5" t="s">
        <v>152</v>
      </c>
      <c r="H2025" s="5" t="s">
        <v>5911</v>
      </c>
      <c r="I2025" s="5" t="s">
        <v>5920</v>
      </c>
      <c r="J2025" s="5" t="s">
        <v>5921</v>
      </c>
      <c r="K2025" s="7" t="str">
        <f ca="1">IFERROR(__xludf.DUMMYFUNCTION("GOOGLETRANSLATE(H2025,""EN"",""ES"")"),"CONTENEDORES DE BASURA Y BASURA Y SOPORTES PARA LOS MISMOS")</f>
        <v>CONTENEDORES DE BASURA Y BASURA Y SOPORTES PARA LOS MISMOS</v>
      </c>
      <c r="L2025" s="5" t="str">
        <f ca="1">IFERROR(__xludf.DUMMYFUNCTION("GOOGLETRANSLATE(J2025,""EN"",""ES"")"),"Recipientes de basura")</f>
        <v>Recipientes de basura</v>
      </c>
      <c r="M2025" s="8" t="s">
        <v>28</v>
      </c>
      <c r="N2025" s="8"/>
    </row>
    <row r="2026" spans="1:14" ht="11.25" customHeight="1">
      <c r="A2026" s="5" t="s">
        <v>5449</v>
      </c>
      <c r="B2026" s="5" t="s">
        <v>5909</v>
      </c>
      <c r="C2026" s="5" t="s">
        <v>5919</v>
      </c>
      <c r="D2026" s="5" t="s">
        <v>5452</v>
      </c>
      <c r="E2026" s="5" t="s">
        <v>29</v>
      </c>
      <c r="F2026" s="5" t="s">
        <v>5453</v>
      </c>
      <c r="G2026" s="5" t="s">
        <v>152</v>
      </c>
      <c r="H2026" s="5" t="s">
        <v>5911</v>
      </c>
      <c r="I2026" s="5" t="s">
        <v>5922</v>
      </c>
      <c r="J2026" s="5" t="s">
        <v>152</v>
      </c>
      <c r="K2026" s="7" t="str">
        <f ca="1">IFERROR(__xludf.DUMMYFUNCTION("GOOGLETRANSLATE(H2026,""EN"",""ES"")"),"CONTENEDORES DE BASURA Y BASURA Y SOPORTES PARA LOS MISMOS")</f>
        <v>CONTENEDORES DE BASURA Y BASURA Y SOPORTES PARA LOS MISMOS</v>
      </c>
      <c r="L2026" s="5" t="str">
        <f ca="1">IFERROR(__xludf.DUMMYFUNCTION("GOOGLETRANSLATE(J2026,""EN"",""ES"")"),"cubos de basura")</f>
        <v>cubos de basura</v>
      </c>
      <c r="M2026" s="8" t="s">
        <v>28</v>
      </c>
      <c r="N2026" s="8"/>
    </row>
    <row r="2027" spans="1:14" ht="11.25" customHeight="1">
      <c r="A2027" s="5" t="s">
        <v>5449</v>
      </c>
      <c r="B2027" s="5" t="s">
        <v>5909</v>
      </c>
      <c r="C2027" s="5" t="s">
        <v>5919</v>
      </c>
      <c r="D2027" s="5" t="s">
        <v>5452</v>
      </c>
      <c r="E2027" s="5" t="s">
        <v>29</v>
      </c>
      <c r="F2027" s="5" t="s">
        <v>5453</v>
      </c>
      <c r="G2027" s="5" t="s">
        <v>152</v>
      </c>
      <c r="H2027" s="5" t="s">
        <v>5911</v>
      </c>
      <c r="I2027" s="5" t="s">
        <v>5923</v>
      </c>
      <c r="J2027" s="5" t="s">
        <v>152</v>
      </c>
      <c r="K2027" s="7" t="str">
        <f ca="1">IFERROR(__xludf.DUMMYFUNCTION("GOOGLETRANSLATE(H2027,""EN"",""ES"")"),"CONTENEDORES DE BASURA Y BASURA Y SOPORTES PARA LOS MISMOS")</f>
        <v>CONTENEDORES DE BASURA Y BASURA Y SOPORTES PARA LOS MISMOS</v>
      </c>
      <c r="L2027" s="5" t="str">
        <f ca="1">IFERROR(__xludf.DUMMYFUNCTION("GOOGLETRANSLATE(J2027,""EN"",""ES"")"),"botes de basura")</f>
        <v>botes de basura</v>
      </c>
      <c r="M2027" s="8" t="s">
        <v>28</v>
      </c>
      <c r="N2027" s="8"/>
    </row>
    <row r="2028" spans="1:14" ht="11.25" customHeight="1">
      <c r="A2028" s="5" t="s">
        <v>5449</v>
      </c>
      <c r="B2028" s="5" t="s">
        <v>5909</v>
      </c>
      <c r="C2028" s="5" t="s">
        <v>5924</v>
      </c>
      <c r="D2028" s="5" t="s">
        <v>5452</v>
      </c>
      <c r="E2028" s="5" t="s">
        <v>29</v>
      </c>
      <c r="F2028" s="5" t="s">
        <v>5453</v>
      </c>
      <c r="G2028" s="5" t="s">
        <v>152</v>
      </c>
      <c r="H2028" s="5" t="s">
        <v>5911</v>
      </c>
      <c r="I2028" s="5" t="s">
        <v>5925</v>
      </c>
      <c r="J2028" s="5" t="s">
        <v>5926</v>
      </c>
      <c r="K2028" s="7" t="str">
        <f ca="1">IFERROR(__xludf.DUMMYFUNCTION("GOOGLETRANSLATE(H2028,""EN"",""ES"")"),"CONTENEDORES DE BASURA Y BASURA Y SOPORTES PARA LOS MISMOS")</f>
        <v>CONTENEDORES DE BASURA Y BASURA Y SOPORTES PARA LOS MISMOS</v>
      </c>
      <c r="L2028" s="5" t="str">
        <f ca="1">IFERROR(__xludf.DUMMYFUNCTION("GOOGLETRANSLATE(J2028,""EN"",""ES"")"),"escupideras")</f>
        <v>escupideras</v>
      </c>
      <c r="M2028" s="8" t="s">
        <v>28</v>
      </c>
      <c r="N2028" s="8"/>
    </row>
    <row r="2029" spans="1:14" ht="11.25" customHeight="1">
      <c r="A2029" s="5" t="s">
        <v>5449</v>
      </c>
      <c r="B2029" s="5" t="s">
        <v>5909</v>
      </c>
      <c r="C2029" s="5" t="s">
        <v>5924</v>
      </c>
      <c r="D2029" s="5" t="s">
        <v>5452</v>
      </c>
      <c r="E2029" s="5" t="s">
        <v>29</v>
      </c>
      <c r="F2029" s="5" t="s">
        <v>5453</v>
      </c>
      <c r="G2029" s="5" t="s">
        <v>152</v>
      </c>
      <c r="H2029" s="5" t="s">
        <v>5911</v>
      </c>
      <c r="I2029" s="5" t="s">
        <v>5927</v>
      </c>
      <c r="J2029" s="5" t="s">
        <v>152</v>
      </c>
      <c r="K2029" s="7" t="str">
        <f ca="1">IFERROR(__xludf.DUMMYFUNCTION("GOOGLETRANSLATE(H2029,""EN"",""ES"")"),"CONTENEDORES DE BASURA Y BASURA Y SOPORTES PARA LOS MISMOS")</f>
        <v>CONTENEDORES DE BASURA Y BASURA Y SOPORTES PARA LOS MISMOS</v>
      </c>
      <c r="L2029" s="5" t="str">
        <f ca="1">IFERROR(__xludf.DUMMYFUNCTION("GOOGLETRANSLATE(J2029,""EN"",""ES"")"),"Escupideras")</f>
        <v>Escupideras</v>
      </c>
      <c r="M2029" s="8" t="s">
        <v>28</v>
      </c>
      <c r="N2029" s="8"/>
    </row>
    <row r="2030" spans="1:14" ht="11.25" customHeight="1">
      <c r="A2030" s="5" t="s">
        <v>5449</v>
      </c>
      <c r="B2030" s="5" t="s">
        <v>5909</v>
      </c>
      <c r="C2030" s="5" t="s">
        <v>5928</v>
      </c>
      <c r="D2030" s="5" t="s">
        <v>5452</v>
      </c>
      <c r="E2030" s="5" t="s">
        <v>29</v>
      </c>
      <c r="F2030" s="5" t="s">
        <v>5453</v>
      </c>
      <c r="G2030" s="5" t="s">
        <v>152</v>
      </c>
      <c r="H2030" s="5" t="s">
        <v>5911</v>
      </c>
      <c r="I2030" s="5" t="s">
        <v>5929</v>
      </c>
      <c r="J2030" s="5" t="s">
        <v>5930</v>
      </c>
      <c r="K2030" s="7" t="str">
        <f ca="1">IFERROR(__xludf.DUMMYFUNCTION("GOOGLETRANSLATE(H2030,""EN"",""ES"")"),"CONTENEDORES DE BASURA Y BASURA Y SOPORTES PARA LOS MISMOS")</f>
        <v>CONTENEDORES DE BASURA Y BASURA Y SOPORTES PARA LOS MISMOS</v>
      </c>
      <c r="L2030" s="5" t="str">
        <f ca="1">IFERROR(__xludf.DUMMYFUNCTION("GOOGLETRANSLATE(J2030,""EN"",""ES"")"),"Unidades de eliminación de basura")</f>
        <v>Unidades de eliminación de basura</v>
      </c>
      <c r="M2030" s="8" t="s">
        <v>28</v>
      </c>
      <c r="N2030" s="8"/>
    </row>
    <row r="2031" spans="1:14" ht="11.25" customHeight="1">
      <c r="A2031" s="5" t="s">
        <v>5449</v>
      </c>
      <c r="B2031" s="5" t="s">
        <v>5909</v>
      </c>
      <c r="C2031" s="5" t="s">
        <v>5931</v>
      </c>
      <c r="D2031" s="5" t="s">
        <v>5452</v>
      </c>
      <c r="E2031" s="5" t="s">
        <v>29</v>
      </c>
      <c r="F2031" s="5" t="s">
        <v>5453</v>
      </c>
      <c r="G2031" s="5" t="s">
        <v>152</v>
      </c>
      <c r="H2031" s="5" t="s">
        <v>5911</v>
      </c>
      <c r="I2031" s="5" t="s">
        <v>5932</v>
      </c>
      <c r="J2031" s="5" t="s">
        <v>5933</v>
      </c>
      <c r="K2031" s="7" t="str">
        <f ca="1">IFERROR(__xludf.DUMMYFUNCTION("GOOGLETRANSLATE(H2031,""EN"",""ES"")"),"CONTENEDORES DE BASURA Y BASURA Y SOPORTES PARA LOS MISMOS")</f>
        <v>CONTENEDORES DE BASURA Y BASURA Y SOPORTES PARA LOS MISMOS</v>
      </c>
      <c r="L2031" s="5" t="str">
        <f ca="1">IFERROR(__xludf.DUMMYFUNCTION("GOOGLETRANSLATE(J2031,""EN"",""ES"")"),"Receptáculos de basura")</f>
        <v>Receptáculos de basura</v>
      </c>
      <c r="M2031" s="8" t="s">
        <v>28</v>
      </c>
      <c r="N2031" s="8"/>
    </row>
    <row r="2032" spans="1:14" ht="11.25" customHeight="1">
      <c r="A2032" s="5" t="s">
        <v>5449</v>
      </c>
      <c r="B2032" s="5" t="s">
        <v>5909</v>
      </c>
      <c r="C2032" s="5" t="s">
        <v>5934</v>
      </c>
      <c r="D2032" s="5" t="s">
        <v>5452</v>
      </c>
      <c r="E2032" s="5" t="s">
        <v>29</v>
      </c>
      <c r="F2032" s="5" t="s">
        <v>5453</v>
      </c>
      <c r="G2032" s="5" t="s">
        <v>152</v>
      </c>
      <c r="H2032" s="5" t="s">
        <v>5911</v>
      </c>
      <c r="I2032" s="5" t="s">
        <v>5935</v>
      </c>
      <c r="J2032" s="5" t="s">
        <v>5936</v>
      </c>
      <c r="K2032" s="7" t="str">
        <f ca="1">IFERROR(__xludf.DUMMYFUNCTION("GOOGLETRANSLATE(H2032,""EN"",""ES"")"),"CONTENEDORES DE BASURA Y BASURA Y SOPORTES PARA LOS MISMOS")</f>
        <v>CONTENEDORES DE BASURA Y BASURA Y SOPORTES PARA LOS MISMOS</v>
      </c>
      <c r="L2032" s="5" t="str">
        <f ca="1">IFERROR(__xludf.DUMMYFUNCTION("GOOGLETRANSLATE(J2032,""EN"",""ES"")"),"Coleccionistas de papeles devueltos")</f>
        <v>Coleccionistas de papeles devueltos</v>
      </c>
      <c r="M2032" s="8" t="s">
        <v>28</v>
      </c>
      <c r="N2032" s="8"/>
    </row>
    <row r="2033" spans="1:14" ht="11.25" customHeight="1">
      <c r="A2033" s="5" t="s">
        <v>5449</v>
      </c>
      <c r="B2033" s="5" t="s">
        <v>5909</v>
      </c>
      <c r="C2033" s="5" t="s">
        <v>5937</v>
      </c>
      <c r="D2033" s="5" t="s">
        <v>5452</v>
      </c>
      <c r="E2033" s="5" t="s">
        <v>29</v>
      </c>
      <c r="F2033" s="5" t="s">
        <v>5453</v>
      </c>
      <c r="G2033" s="5" t="s">
        <v>152</v>
      </c>
      <c r="H2033" s="5" t="s">
        <v>5911</v>
      </c>
      <c r="I2033" s="5" t="s">
        <v>5938</v>
      </c>
      <c r="J2033" s="5" t="s">
        <v>5939</v>
      </c>
      <c r="K2033" s="7" t="str">
        <f ca="1">IFERROR(__xludf.DUMMYFUNCTION("GOOGLETRANSLATE(H2033,""EN"",""ES"")"),"CONTENEDORES DE BASURA Y BASURA Y SOPORTES PARA LOS MISMOS")</f>
        <v>CONTENEDORES DE BASURA Y BASURA Y SOPORTES PARA LOS MISMOS</v>
      </c>
      <c r="L2033" s="5" t="str">
        <f ca="1">IFERROR(__xludf.DUMMYFUNCTION("GOOGLETRANSLATE(J2033,""EN"",""ES"")"),"Soportes para bolsas de basura")</f>
        <v>Soportes para bolsas de basura</v>
      </c>
      <c r="M2033" s="8" t="s">
        <v>28</v>
      </c>
      <c r="N2033" s="8"/>
    </row>
    <row r="2034" spans="1:14" ht="11.25" customHeight="1">
      <c r="A2034" s="5" t="s">
        <v>5449</v>
      </c>
      <c r="B2034" s="5" t="s">
        <v>5909</v>
      </c>
      <c r="C2034" s="5" t="s">
        <v>5940</v>
      </c>
      <c r="D2034" s="5" t="s">
        <v>5452</v>
      </c>
      <c r="E2034" s="5" t="s">
        <v>29</v>
      </c>
      <c r="F2034" s="5" t="s">
        <v>5453</v>
      </c>
      <c r="G2034" s="5" t="s">
        <v>152</v>
      </c>
      <c r="H2034" s="5" t="s">
        <v>5911</v>
      </c>
      <c r="I2034" s="5" t="s">
        <v>5941</v>
      </c>
      <c r="J2034" s="5" t="s">
        <v>5942</v>
      </c>
      <c r="K2034" s="7" t="str">
        <f ca="1">IFERROR(__xludf.DUMMYFUNCTION("GOOGLETRANSLATE(H2034,""EN"",""ES"")"),"CONTENEDORES DE BASURA Y BASURA Y SOPORTES PARA LOS MISMOS")</f>
        <v>CONTENEDORES DE BASURA Y BASURA Y SOPORTES PARA LOS MISMOS</v>
      </c>
      <c r="L2034" s="5" t="str">
        <f ca="1">IFERROR(__xludf.DUMMYFUNCTION("GOOGLETRANSLATE(J2034,""EN"",""ES"")"),"Contenedores de basura")</f>
        <v>Contenedores de basura</v>
      </c>
      <c r="M2034" s="8" t="s">
        <v>28</v>
      </c>
      <c r="N2034" s="8"/>
    </row>
    <row r="2035" spans="1:14" ht="11.25" customHeight="1">
      <c r="A2035" s="5" t="s">
        <v>5449</v>
      </c>
      <c r="B2035" s="5" t="s">
        <v>5909</v>
      </c>
      <c r="C2035" s="5" t="s">
        <v>5943</v>
      </c>
      <c r="D2035" s="5" t="s">
        <v>5452</v>
      </c>
      <c r="E2035" s="5" t="s">
        <v>29</v>
      </c>
      <c r="F2035" s="5" t="s">
        <v>5453</v>
      </c>
      <c r="G2035" s="5" t="s">
        <v>152</v>
      </c>
      <c r="H2035" s="5" t="s">
        <v>5911</v>
      </c>
      <c r="I2035" s="5" t="s">
        <v>5944</v>
      </c>
      <c r="J2035" s="5" t="s">
        <v>5945</v>
      </c>
      <c r="K2035" s="7" t="str">
        <f ca="1">IFERROR(__xludf.DUMMYFUNCTION("GOOGLETRANSLATE(H2035,""EN"",""ES"")"),"CONTENEDORES DE BASURA Y BASURA Y SOPORTES PARA LOS MISMOS")</f>
        <v>CONTENEDORES DE BASURA Y BASURA Y SOPORTES PARA LOS MISMOS</v>
      </c>
      <c r="L2035" s="5" t="str">
        <f ca="1">IFERROR(__xludf.DUMMYFUNCTION("GOOGLETRANSLATE(J2035,""EN"",""ES"")"),"Travesías de basura")</f>
        <v>Travesías de basura</v>
      </c>
      <c r="M2035" s="8" t="s">
        <v>28</v>
      </c>
      <c r="N2035" s="8"/>
    </row>
    <row r="2036" spans="1:14" ht="11.25" customHeight="1">
      <c r="A2036" s="5" t="s">
        <v>5449</v>
      </c>
      <c r="B2036" s="5" t="s">
        <v>5909</v>
      </c>
      <c r="C2036" s="5" t="s">
        <v>5946</v>
      </c>
      <c r="D2036" s="5" t="s">
        <v>5452</v>
      </c>
      <c r="E2036" s="5" t="s">
        <v>29</v>
      </c>
      <c r="F2036" s="5" t="s">
        <v>5453</v>
      </c>
      <c r="G2036" s="5" t="s">
        <v>152</v>
      </c>
      <c r="H2036" s="5" t="s">
        <v>5911</v>
      </c>
      <c r="I2036" s="5" t="s">
        <v>5947</v>
      </c>
      <c r="J2036" s="5" t="s">
        <v>5948</v>
      </c>
      <c r="K2036" s="7" t="str">
        <f ca="1">IFERROR(__xludf.DUMMYFUNCTION("GOOGLETRANSLATE(H2036,""EN"",""ES"")"),"CONTENEDORES DE BASURA Y BASURA Y SOPORTES PARA LOS MISMOS")</f>
        <v>CONTENEDORES DE BASURA Y BASURA Y SOPORTES PARA LOS MISMOS</v>
      </c>
      <c r="L2036" s="5" t="str">
        <f ca="1">IFERROR(__xludf.DUMMYFUNCTION("GOOGLETRANSLATE(J2036,""EN"",""ES"")"),"Soportes para contenedores de basura")</f>
        <v>Soportes para contenedores de basura</v>
      </c>
      <c r="M2036" s="8" t="s">
        <v>28</v>
      </c>
      <c r="N2036" s="8"/>
    </row>
    <row r="2037" spans="1:14" ht="11.25" customHeight="1">
      <c r="A2037" s="5" t="s">
        <v>5449</v>
      </c>
      <c r="B2037" s="5" t="s">
        <v>5909</v>
      </c>
      <c r="C2037" s="5" t="s">
        <v>5949</v>
      </c>
      <c r="D2037" s="5" t="s">
        <v>5452</v>
      </c>
      <c r="E2037" s="5" t="s">
        <v>29</v>
      </c>
      <c r="F2037" s="5" t="s">
        <v>5453</v>
      </c>
      <c r="G2037" s="5" t="s">
        <v>152</v>
      </c>
      <c r="H2037" s="5" t="s">
        <v>5911</v>
      </c>
      <c r="I2037" s="5" t="s">
        <v>5950</v>
      </c>
      <c r="J2037" s="5" t="s">
        <v>5951</v>
      </c>
      <c r="K2037" s="7" t="str">
        <f ca="1">IFERROR(__xludf.DUMMYFUNCTION("GOOGLETRANSLATE(H2037,""EN"",""ES"")"),"CONTENEDORES DE BASURA Y BASURA Y SOPORTES PARA LOS MISMOS")</f>
        <v>CONTENEDORES DE BASURA Y BASURA Y SOPORTES PARA LOS MISMOS</v>
      </c>
      <c r="L2037" s="5" t="str">
        <f ca="1">IFERROR(__xludf.DUMMYFUNCTION("GOOGLETRANSLATE(J2037,""EN"",""ES"")"),"Soportes para travesadores de basura.")</f>
        <v>Soportes para travesadores de basura.</v>
      </c>
      <c r="M2037" s="8" t="s">
        <v>28</v>
      </c>
      <c r="N2037" s="8"/>
    </row>
    <row r="2038" spans="1:14" ht="11.25" customHeight="1">
      <c r="A2038" s="5" t="s">
        <v>5449</v>
      </c>
      <c r="B2038" s="5" t="s">
        <v>5909</v>
      </c>
      <c r="C2038" s="5" t="s">
        <v>5952</v>
      </c>
      <c r="D2038" s="5" t="s">
        <v>5452</v>
      </c>
      <c r="E2038" s="5" t="s">
        <v>29</v>
      </c>
      <c r="F2038" s="5" t="s">
        <v>5453</v>
      </c>
      <c r="G2038" s="5" t="s">
        <v>152</v>
      </c>
      <c r="H2038" s="5" t="s">
        <v>5911</v>
      </c>
      <c r="I2038" s="5" t="s">
        <v>5953</v>
      </c>
      <c r="J2038" s="5" t="s">
        <v>5954</v>
      </c>
      <c r="K2038" s="7" t="str">
        <f ca="1">IFERROR(__xludf.DUMMYFUNCTION("GOOGLETRANSLATE(H2038,""EN"",""ES"")"),"CONTENEDORES DE BASURA Y BASURA Y SOPORTES PARA LOS MISMOS")</f>
        <v>CONTENEDORES DE BASURA Y BASURA Y SOPORTES PARA LOS MISMOS</v>
      </c>
      <c r="L2038" s="5" t="str">
        <f ca="1">IFERROR(__xludf.DUMMYFUNCTION("GOOGLETRANSLATE(J2038,""EN"",""ES"")"),"Compactadores")</f>
        <v>Compactadores</v>
      </c>
      <c r="M2038" s="8" t="s">
        <v>28</v>
      </c>
      <c r="N2038" s="8"/>
    </row>
    <row r="2039" spans="1:14" ht="11.25" customHeight="1">
      <c r="A2039" s="5" t="s">
        <v>5449</v>
      </c>
      <c r="B2039" s="5" t="s">
        <v>5909</v>
      </c>
      <c r="C2039" s="5" t="s">
        <v>5955</v>
      </c>
      <c r="D2039" s="5" t="s">
        <v>5452</v>
      </c>
      <c r="E2039" s="5" t="s">
        <v>29</v>
      </c>
      <c r="F2039" s="5" t="s">
        <v>5453</v>
      </c>
      <c r="G2039" s="5" t="s">
        <v>152</v>
      </c>
      <c r="H2039" s="5" t="s">
        <v>5911</v>
      </c>
      <c r="I2039" s="5" t="s">
        <v>5956</v>
      </c>
      <c r="J2039" s="5" t="s">
        <v>5957</v>
      </c>
      <c r="K2039" s="7" t="str">
        <f ca="1">IFERROR(__xludf.DUMMYFUNCTION("GOOGLETRANSLATE(H2039,""EN"",""ES"")"),"CONTENEDORES DE BASURA Y BASURA Y SOPORTES PARA LOS MISMOS")</f>
        <v>CONTENEDORES DE BASURA Y BASURA Y SOPORTES PARA LOS MISMOS</v>
      </c>
      <c r="L2039" s="5" t="str">
        <f ca="1">IFERROR(__xludf.DUMMYFUNCTION("GOOGLETRANSLATE(J2039,""EN"",""ES"")"),"Compostadores de residuos orgánicos")</f>
        <v>Compostadores de residuos orgánicos</v>
      </c>
      <c r="M2039" s="8" t="s">
        <v>28</v>
      </c>
      <c r="N2039" s="8"/>
    </row>
    <row r="2040" spans="1:14" ht="11.25" customHeight="1">
      <c r="A2040" s="5" t="s">
        <v>5449</v>
      </c>
      <c r="B2040" s="5" t="s">
        <v>5909</v>
      </c>
      <c r="C2040" s="5" t="s">
        <v>5958</v>
      </c>
      <c r="D2040" s="5" t="s">
        <v>5452</v>
      </c>
      <c r="E2040" s="5" t="s">
        <v>29</v>
      </c>
      <c r="F2040" s="5" t="s">
        <v>5453</v>
      </c>
      <c r="G2040" s="5" t="s">
        <v>152</v>
      </c>
      <c r="H2040" s="5" t="s">
        <v>5911</v>
      </c>
      <c r="I2040" s="5" t="s">
        <v>5959</v>
      </c>
      <c r="J2040" s="5" t="s">
        <v>5960</v>
      </c>
      <c r="K2040" s="7" t="str">
        <f ca="1">IFERROR(__xludf.DUMMYFUNCTION("GOOGLETRANSLATE(H2040,""EN"",""ES"")"),"CONTENEDORES DE BASURA Y BASURA Y SOPORTES PARA LOS MISMOS")</f>
        <v>CONTENEDORES DE BASURA Y BASURA Y SOPORTES PARA LOS MISMOS</v>
      </c>
      <c r="L2040" s="5" t="str">
        <f ca="1">IFERROR(__xludf.DUMMYFUNCTION("GOOGLETRANSLATE(J2040,""EN"",""ES"")"),"Contenedores para productos sanitarios")</f>
        <v>Contenedores para productos sanitarios</v>
      </c>
      <c r="M2040" s="8" t="s">
        <v>28</v>
      </c>
      <c r="N2040" s="8"/>
    </row>
    <row r="2041" spans="1:14" ht="11.25" customHeight="1">
      <c r="A2041" s="5" t="s">
        <v>5449</v>
      </c>
      <c r="B2041" s="5" t="s">
        <v>5909</v>
      </c>
      <c r="C2041" s="5" t="s">
        <v>5958</v>
      </c>
      <c r="D2041" s="5" t="s">
        <v>5452</v>
      </c>
      <c r="E2041" s="5" t="s">
        <v>29</v>
      </c>
      <c r="F2041" s="5" t="s">
        <v>5453</v>
      </c>
      <c r="G2041" s="5" t="s">
        <v>152</v>
      </c>
      <c r="H2041" s="5" t="s">
        <v>5911</v>
      </c>
      <c r="I2041" s="5" t="s">
        <v>152</v>
      </c>
      <c r="J2041" s="5" t="s">
        <v>5961</v>
      </c>
      <c r="K2041" s="7" t="str">
        <f ca="1">IFERROR(__xludf.DUMMYFUNCTION("GOOGLETRANSLATE(H2041,""EN"",""ES"")"),"CONTENEDORES DE BASURA Y BASURA Y SOPORTES PARA LOS MISMOS")</f>
        <v>CONTENEDORES DE BASURA Y BASURA Y SOPORTES PARA LOS MISMOS</v>
      </c>
      <c r="L2041" s="5" t="str">
        <f ca="1">IFERROR(__xludf.DUMMYFUNCTION("GOOGLETRANSLATE(J2041,""EN"",""ES"")"),"N / A")</f>
        <v>N / A</v>
      </c>
      <c r="M2041" s="8" t="s">
        <v>28</v>
      </c>
      <c r="N2041" s="8"/>
    </row>
    <row r="2042" spans="1:14" ht="11.25" customHeight="1">
      <c r="A2042" s="5" t="s">
        <v>5449</v>
      </c>
      <c r="B2042" s="5" t="s">
        <v>5909</v>
      </c>
      <c r="C2042" s="5" t="s">
        <v>5962</v>
      </c>
      <c r="D2042" s="5" t="s">
        <v>5452</v>
      </c>
      <c r="E2042" s="5" t="s">
        <v>29</v>
      </c>
      <c r="F2042" s="5" t="s">
        <v>5453</v>
      </c>
      <c r="G2042" s="5" t="s">
        <v>152</v>
      </c>
      <c r="H2042" s="5" t="s">
        <v>5911</v>
      </c>
      <c r="I2042" s="5" t="s">
        <v>5963</v>
      </c>
      <c r="J2042" s="5" t="s">
        <v>5964</v>
      </c>
      <c r="K2042" s="7" t="str">
        <f ca="1">IFERROR(__xludf.DUMMYFUNCTION("GOOGLETRANSLATE(H2042,""EN"",""ES"")"),"CONTENEDORES DE BASURA Y BASURA Y SOPORTES PARA LOS MISMOS")</f>
        <v>CONTENEDORES DE BASURA Y BASURA Y SOPORTES PARA LOS MISMOS</v>
      </c>
      <c r="L2042" s="5" t="str">
        <f ca="1">IFERROR(__xludf.DUMMYFUNCTION("GOOGLETRANSLATE(J2042,""EN"",""ES"")"),"Cubos para desechar pañales")</f>
        <v>Cubos para desechar pañales</v>
      </c>
      <c r="M2042" s="8" t="s">
        <v>28</v>
      </c>
      <c r="N2042" s="8"/>
    </row>
    <row r="2043" spans="1:14" ht="11.25" customHeight="1">
      <c r="A2043" s="5" t="s">
        <v>5449</v>
      </c>
      <c r="B2043" s="5" t="s">
        <v>5909</v>
      </c>
      <c r="C2043" s="5" t="s">
        <v>5962</v>
      </c>
      <c r="D2043" s="5" t="s">
        <v>5452</v>
      </c>
      <c r="E2043" s="5" t="s">
        <v>29</v>
      </c>
      <c r="F2043" s="5" t="s">
        <v>5453</v>
      </c>
      <c r="G2043" s="5" t="s">
        <v>152</v>
      </c>
      <c r="H2043" s="5" t="s">
        <v>5911</v>
      </c>
      <c r="I2043" s="5" t="s">
        <v>5965</v>
      </c>
      <c r="J2043" s="5" t="s">
        <v>152</v>
      </c>
      <c r="K2043" s="7" t="str">
        <f ca="1">IFERROR(__xludf.DUMMYFUNCTION("GOOGLETRANSLATE(H2043,""EN"",""ES"")"),"CONTENEDORES DE BASURA Y BASURA Y SOPORTES PARA LOS MISMOS")</f>
        <v>CONTENEDORES DE BASURA Y BASURA Y SOPORTES PARA LOS MISMOS</v>
      </c>
      <c r="L2043" s="5" t="str">
        <f ca="1">IFERROR(__xludf.DUMMYFUNCTION("GOOGLETRANSLATE(J2043,""EN"",""ES"")"),"Contenedores para tirar pañales")</f>
        <v>Contenedores para tirar pañales</v>
      </c>
      <c r="M2043" s="8" t="s">
        <v>28</v>
      </c>
      <c r="N2043" s="8"/>
    </row>
    <row r="2044" spans="1:14" ht="11.25" customHeight="1">
      <c r="A2044" s="5" t="s">
        <v>5449</v>
      </c>
      <c r="B2044" s="5" t="s">
        <v>5966</v>
      </c>
      <c r="C2044" s="5" t="s">
        <v>5967</v>
      </c>
      <c r="D2044" s="5" t="s">
        <v>5452</v>
      </c>
      <c r="E2044" s="5" t="s">
        <v>29</v>
      </c>
      <c r="F2044" s="5" t="s">
        <v>5453</v>
      </c>
      <c r="G2044" s="5" t="s">
        <v>152</v>
      </c>
      <c r="H2044" s="5" t="s">
        <v>5968</v>
      </c>
      <c r="I2044" s="5" t="s">
        <v>5969</v>
      </c>
      <c r="J2044" s="5" t="s">
        <v>5970</v>
      </c>
      <c r="K2044" s="7" t="str">
        <f ca="1">IFERROR(__xludf.DUMMYFUNCTION("GOOGLETRANSLATE(H2044,""EN"",""ES"")"),"Asas y empuñaduras para el transporte o manipulación de bultos y contenedores")</f>
        <v>Asas y empuñaduras para el transporte o manipulación de bultos y contenedores</v>
      </c>
      <c r="L2044" s="5" t="str">
        <f ca="1">IFERROR(__xludf.DUMMYFUNCTION("GOOGLETRANSLATE(J2044,""EN"",""ES"")"),"Asas para cubos")</f>
        <v>Asas para cubos</v>
      </c>
      <c r="M2044" s="8" t="s">
        <v>28</v>
      </c>
      <c r="N2044" s="8"/>
    </row>
    <row r="2045" spans="1:14" ht="11.25" customHeight="1">
      <c r="A2045" s="5" t="s">
        <v>5449</v>
      </c>
      <c r="B2045" s="5" t="s">
        <v>5966</v>
      </c>
      <c r="C2045" s="5" t="s">
        <v>5971</v>
      </c>
      <c r="D2045" s="5" t="s">
        <v>5452</v>
      </c>
      <c r="E2045" s="5" t="s">
        <v>29</v>
      </c>
      <c r="F2045" s="5" t="s">
        <v>5453</v>
      </c>
      <c r="G2045" s="5" t="s">
        <v>152</v>
      </c>
      <c r="H2045" s="5" t="s">
        <v>5968</v>
      </c>
      <c r="I2045" s="5" t="s">
        <v>5972</v>
      </c>
      <c r="J2045" s="5" t="s">
        <v>5973</v>
      </c>
      <c r="K2045" s="7" t="str">
        <f ca="1">IFERROR(__xludf.DUMMYFUNCTION("GOOGLETRANSLATE(H2045,""EN"",""ES"")"),"Asas y empuñaduras para el transporte o manipulación de bultos y contenedores")</f>
        <v>Asas y empuñaduras para el transporte o manipulación de bultos y contenedores</v>
      </c>
      <c r="L2045" s="5" t="str">
        <f ca="1">IFERROR(__xludf.DUMMYFUNCTION("GOOGLETRANSLATE(J2045,""EN"",""ES"")"),"Asas para transportar paquetes.")</f>
        <v>Asas para transportar paquetes.</v>
      </c>
      <c r="M2045" s="8" t="s">
        <v>28</v>
      </c>
      <c r="N2045" s="8"/>
    </row>
    <row r="2046" spans="1:14" ht="11.25" customHeight="1">
      <c r="A2046" s="5" t="s">
        <v>5449</v>
      </c>
      <c r="B2046" s="5" t="s">
        <v>5966</v>
      </c>
      <c r="C2046" s="5" t="s">
        <v>5974</v>
      </c>
      <c r="D2046" s="5" t="s">
        <v>5452</v>
      </c>
      <c r="E2046" s="5" t="s">
        <v>29</v>
      </c>
      <c r="F2046" s="5" t="s">
        <v>5453</v>
      </c>
      <c r="G2046" s="5" t="s">
        <v>152</v>
      </c>
      <c r="H2046" s="5" t="s">
        <v>5968</v>
      </c>
      <c r="I2046" s="5" t="s">
        <v>5975</v>
      </c>
      <c r="J2046" s="5" t="s">
        <v>5976</v>
      </c>
      <c r="K2046" s="7" t="str">
        <f ca="1">IFERROR(__xludf.DUMMYFUNCTION("GOOGLETRANSLATE(H2046,""EN"",""ES"")"),"Asas y empuñaduras para el transporte o manipulación de bultos y contenedores")</f>
        <v>Asas y empuñaduras para el transporte o manipulación de bultos y contenedores</v>
      </c>
      <c r="L2046" s="5" t="str">
        <f ca="1">IFERROR(__xludf.DUMMYFUNCTION("GOOGLETRANSLATE(J2046,""EN"",""ES"")"),"Mangos de pistola para latas de pintura en aerosol.")</f>
        <v>Mangos de pistola para latas de pintura en aerosol.</v>
      </c>
      <c r="M2046" s="8" t="s">
        <v>28</v>
      </c>
      <c r="N2046" s="8"/>
    </row>
    <row r="2047" spans="1:14" ht="11.25" customHeight="1">
      <c r="A2047" s="5" t="s">
        <v>5449</v>
      </c>
      <c r="B2047" s="5" t="s">
        <v>5966</v>
      </c>
      <c r="C2047" s="5" t="s">
        <v>5977</v>
      </c>
      <c r="D2047" s="5" t="s">
        <v>5452</v>
      </c>
      <c r="E2047" s="5" t="s">
        <v>29</v>
      </c>
      <c r="F2047" s="5" t="s">
        <v>5453</v>
      </c>
      <c r="G2047" s="5" t="s">
        <v>152</v>
      </c>
      <c r="H2047" s="5" t="s">
        <v>5968</v>
      </c>
      <c r="I2047" s="5" t="s">
        <v>5978</v>
      </c>
      <c r="J2047" s="5" t="s">
        <v>5979</v>
      </c>
      <c r="K2047" s="7" t="str">
        <f ca="1">IFERROR(__xludf.DUMMYFUNCTION("GOOGLETRANSLATE(H2047,""EN"",""ES"")"),"Asas y empuñaduras para el transporte o manipulación de bultos y contenedores")</f>
        <v>Asas y empuñaduras para el transporte o manipulación de bultos y contenedores</v>
      </c>
      <c r="L2047" s="5" t="str">
        <f ca="1">IFERROR(__xludf.DUMMYFUNCTION("GOOGLETRANSLATE(J2047,""EN"",""ES"")"),"Asas para bolsas de la compra")</f>
        <v>Asas para bolsas de la compra</v>
      </c>
      <c r="M2047" s="8" t="s">
        <v>28</v>
      </c>
      <c r="N2047" s="8"/>
    </row>
    <row r="2048" spans="1:14" ht="11.25" customHeight="1">
      <c r="A2048" s="5" t="s">
        <v>5449</v>
      </c>
      <c r="B2048" s="5" t="s">
        <v>5980</v>
      </c>
      <c r="C2048" s="5" t="s">
        <v>5981</v>
      </c>
      <c r="D2048" s="5" t="s">
        <v>5452</v>
      </c>
      <c r="E2048" s="5" t="s">
        <v>29</v>
      </c>
      <c r="F2048" s="5" t="s">
        <v>5453</v>
      </c>
      <c r="G2048" s="5" t="s">
        <v>152</v>
      </c>
      <c r="H2048" s="5" t="s">
        <v>330</v>
      </c>
      <c r="I2048" s="5" t="s">
        <v>5982</v>
      </c>
      <c r="J2048" s="5" t="s">
        <v>5983</v>
      </c>
      <c r="K2048" s="7" t="str">
        <f ca="1">IFERROR(__xludf.DUMMYFUNCTION("GOOGLETRANSLATE(H2048,""EN"",""ES"")"),"MISCELÁNEAS")</f>
        <v>MISCELÁNEAS</v>
      </c>
      <c r="L2048" s="5" t="str">
        <f ca="1">IFERROR(__xludf.DUMMYFUNCTION("GOOGLETRANSLATE(J2048,""EN"",""ES"")"),"Protectores de esquinas para embalajes")</f>
        <v>Protectores de esquinas para embalajes</v>
      </c>
      <c r="M2048" s="8" t="s">
        <v>28</v>
      </c>
      <c r="N2048" s="8"/>
    </row>
    <row r="2049" spans="1:14" ht="11.25" customHeight="1">
      <c r="A2049" s="5" t="s">
        <v>5449</v>
      </c>
      <c r="B2049" s="5" t="s">
        <v>5980</v>
      </c>
      <c r="C2049" s="5" t="s">
        <v>5984</v>
      </c>
      <c r="D2049" s="5" t="s">
        <v>5452</v>
      </c>
      <c r="E2049" s="5" t="s">
        <v>29</v>
      </c>
      <c r="F2049" s="5" t="s">
        <v>5453</v>
      </c>
      <c r="G2049" s="5" t="s">
        <v>152</v>
      </c>
      <c r="H2049" s="5" t="s">
        <v>330</v>
      </c>
      <c r="I2049" s="5" t="s">
        <v>5985</v>
      </c>
      <c r="J2049" s="5" t="s">
        <v>5986</v>
      </c>
      <c r="K2049" s="7" t="str">
        <f ca="1">IFERROR(__xludf.DUMMYFUNCTION("GOOGLETRANSLATE(H2049,""EN"",""ES"")"),"MISCELÁNEAS")</f>
        <v>MISCELÁNEAS</v>
      </c>
      <c r="L2049" s="5" t="str">
        <f ca="1">IFERROR(__xludf.DUMMYFUNCTION("GOOGLETRANSLATE(J2049,""EN"",""ES"")"),"Dispositivos para llenar cajas de tabletas.")</f>
        <v>Dispositivos para llenar cajas de tabletas.</v>
      </c>
      <c r="M2049" s="8" t="s">
        <v>28</v>
      </c>
      <c r="N2049" s="8"/>
    </row>
    <row r="2050" spans="1:14" ht="11.25" customHeight="1">
      <c r="A2050" s="5" t="s">
        <v>5449</v>
      </c>
      <c r="B2050" s="5" t="s">
        <v>5980</v>
      </c>
      <c r="C2050" s="5" t="s">
        <v>5987</v>
      </c>
      <c r="D2050" s="5" t="s">
        <v>5452</v>
      </c>
      <c r="E2050" s="5" t="s">
        <v>29</v>
      </c>
      <c r="F2050" s="5" t="s">
        <v>5453</v>
      </c>
      <c r="G2050" s="5" t="s">
        <v>152</v>
      </c>
      <c r="H2050" s="5" t="s">
        <v>330</v>
      </c>
      <c r="I2050" s="5" t="s">
        <v>5988</v>
      </c>
      <c r="J2050" s="5" t="s">
        <v>5989</v>
      </c>
      <c r="K2050" s="7" t="str">
        <f ca="1">IFERROR(__xludf.DUMMYFUNCTION("GOOGLETRANSLATE(H2050,""EN"",""ES"")"),"MISCELÁNEAS")</f>
        <v>MISCELÁNEAS</v>
      </c>
      <c r="L2050" s="5" t="str">
        <f ca="1">IFERROR(__xludf.DUMMYFUNCTION("GOOGLETRANSLATE(J2050,""EN"",""ES"")"),"Material amortiguador para embalaje.")</f>
        <v>Material amortiguador para embalaje.</v>
      </c>
      <c r="M2050" s="8" t="s">
        <v>28</v>
      </c>
      <c r="N2050" s="8"/>
    </row>
    <row r="2051" spans="1:14" ht="11.25" customHeight="1">
      <c r="A2051" s="5" t="s">
        <v>5449</v>
      </c>
      <c r="B2051" s="5" t="s">
        <v>5980</v>
      </c>
      <c r="C2051" s="5" t="s">
        <v>5990</v>
      </c>
      <c r="D2051" s="5" t="s">
        <v>5452</v>
      </c>
      <c r="E2051" s="5" t="s">
        <v>29</v>
      </c>
      <c r="F2051" s="5" t="s">
        <v>5453</v>
      </c>
      <c r="G2051" s="5" t="s">
        <v>152</v>
      </c>
      <c r="H2051" s="5" t="s">
        <v>330</v>
      </c>
      <c r="I2051" s="5" t="s">
        <v>5991</v>
      </c>
      <c r="J2051" s="5" t="s">
        <v>5992</v>
      </c>
      <c r="K2051" s="7" t="str">
        <f ca="1">IFERROR(__xludf.DUMMYFUNCTION("GOOGLETRANSLATE(H2051,""EN"",""ES"")"),"MISCELÁNEAS")</f>
        <v>MISCELÁNEAS</v>
      </c>
      <c r="L2051" s="5" t="str">
        <f ca="1">IFERROR(__xludf.DUMMYFUNCTION("GOOGLETRANSLATE(J2051,""EN"",""ES"")"),"Protectores contra goteo para helado")</f>
        <v>Protectores contra goteo para helado</v>
      </c>
      <c r="M2051" s="8" t="s">
        <v>28</v>
      </c>
      <c r="N2051" s="8"/>
    </row>
    <row r="2052" spans="1:14" ht="11.25" customHeight="1">
      <c r="A2052" s="5" t="s">
        <v>5449</v>
      </c>
      <c r="B2052" s="5" t="s">
        <v>5980</v>
      </c>
      <c r="C2052" s="5" t="s">
        <v>5993</v>
      </c>
      <c r="D2052" s="5" t="s">
        <v>5452</v>
      </c>
      <c r="E2052" s="5" t="s">
        <v>29</v>
      </c>
      <c r="F2052" s="5" t="s">
        <v>5453</v>
      </c>
      <c r="G2052" s="5" t="s">
        <v>152</v>
      </c>
      <c r="H2052" s="5" t="s">
        <v>330</v>
      </c>
      <c r="I2052" s="5" t="s">
        <v>5994</v>
      </c>
      <c r="J2052" s="5" t="s">
        <v>5995</v>
      </c>
      <c r="K2052" s="7" t="str">
        <f ca="1">IFERROR(__xludf.DUMMYFUNCTION("GOOGLETRANSLATE(H2052,""EN"",""ES"")"),"MISCELÁNEAS")</f>
        <v>MISCELÁNEAS</v>
      </c>
      <c r="L2052" s="5" t="str">
        <f ca="1">IFERROR(__xludf.DUMMYFUNCTION("GOOGLETRANSLATE(J2052,""EN"",""ES"")"),"palitos de helado")</f>
        <v>palitos de helado</v>
      </c>
      <c r="M2052" s="8" t="s">
        <v>28</v>
      </c>
      <c r="N2052" s="8"/>
    </row>
    <row r="2053" spans="1:14" ht="11.25" customHeight="1">
      <c r="A2053" s="5" t="s">
        <v>5996</v>
      </c>
      <c r="B2053" s="5" t="s">
        <v>5997</v>
      </c>
      <c r="C2053" s="5" t="s">
        <v>5998</v>
      </c>
      <c r="D2053" s="5" t="s">
        <v>5999</v>
      </c>
      <c r="E2053" s="5" t="s">
        <v>31</v>
      </c>
      <c r="F2053" s="5" t="s">
        <v>6000</v>
      </c>
      <c r="G2053" s="5" t="s">
        <v>6001</v>
      </c>
      <c r="H2053" s="5" t="s">
        <v>6002</v>
      </c>
      <c r="I2053" s="5" t="s">
        <v>6003</v>
      </c>
      <c r="J2053" s="5" t="s">
        <v>6004</v>
      </c>
      <c r="K2053" s="7" t="str">
        <f ca="1">IFERROR(__xludf.DUMMYFUNCTION("GOOGLETRANSLATE(H2053,""EN"",""ES"")"),"RELOJES Y DESPERTADORES")</f>
        <v>RELOJES Y DESPERTADORES</v>
      </c>
      <c r="L2053" s="5" t="str">
        <f ca="1">IFERROR(__xludf.DUMMYFUNCTION("GOOGLETRANSLATE(J2053,""EN"",""ES"")"),"Relojes")</f>
        <v>Relojes</v>
      </c>
      <c r="M2053" s="8" t="s">
        <v>13</v>
      </c>
      <c r="N2053" s="8"/>
    </row>
    <row r="2054" spans="1:14" ht="11.25" customHeight="1">
      <c r="A2054" s="5" t="s">
        <v>5996</v>
      </c>
      <c r="B2054" s="5" t="s">
        <v>5997</v>
      </c>
      <c r="C2054" s="5" t="s">
        <v>5998</v>
      </c>
      <c r="D2054" s="5" t="s">
        <v>5999</v>
      </c>
      <c r="E2054" s="5" t="s">
        <v>31</v>
      </c>
      <c r="F2054" s="5" t="s">
        <v>6000</v>
      </c>
      <c r="G2054" s="5" t="s">
        <v>6001</v>
      </c>
      <c r="H2054" s="5" t="s">
        <v>6002</v>
      </c>
      <c r="I2054" s="5" t="s">
        <v>152</v>
      </c>
      <c r="J2054" s="5" t="s">
        <v>6005</v>
      </c>
      <c r="K2054" s="7" t="str">
        <f ca="1">IFERROR(__xludf.DUMMYFUNCTION("GOOGLETRANSLATE(H2054,""EN"",""ES"")"),"RELOJES Y DESPERTADORES")</f>
        <v>RELOJES Y DESPERTADORES</v>
      </c>
      <c r="L2054" s="5" t="str">
        <f ca="1">IFERROR(__xludf.DUMMYFUNCTION("GOOGLETRANSLATE(J2054,""EN"",""ES"")"),"N / A")</f>
        <v>N / A</v>
      </c>
      <c r="M2054" s="8" t="s">
        <v>13</v>
      </c>
      <c r="N2054" s="8"/>
    </row>
    <row r="2055" spans="1:14" ht="11.25" customHeight="1">
      <c r="A2055" s="5" t="s">
        <v>5996</v>
      </c>
      <c r="B2055" s="5" t="s">
        <v>5997</v>
      </c>
      <c r="C2055" s="5" t="s">
        <v>6006</v>
      </c>
      <c r="D2055" s="5" t="s">
        <v>5999</v>
      </c>
      <c r="E2055" s="5" t="s">
        <v>31</v>
      </c>
      <c r="F2055" s="5" t="s">
        <v>6000</v>
      </c>
      <c r="G2055" s="5" t="s">
        <v>6001</v>
      </c>
      <c r="H2055" s="5" t="s">
        <v>6002</v>
      </c>
      <c r="I2055" s="5" t="s">
        <v>6007</v>
      </c>
      <c r="J2055" s="5" t="s">
        <v>6008</v>
      </c>
      <c r="K2055" s="7" t="str">
        <f ca="1">IFERROR(__xludf.DUMMYFUNCTION("GOOGLETRANSLATE(H2055,""EN"",""ES"")"),"RELOJES Y DESPERTADORES")</f>
        <v>RELOJES Y DESPERTADORES</v>
      </c>
      <c r="L2055" s="5" t="str">
        <f ca="1">IFERROR(__xludf.DUMMYFUNCTION("GOOGLETRANSLATE(J2055,""EN"",""ES"")"),"Reguladores [relojes]")</f>
        <v>Reguladores [relojes]</v>
      </c>
      <c r="M2055" s="8" t="s">
        <v>13</v>
      </c>
      <c r="N2055" s="8"/>
    </row>
    <row r="2056" spans="1:14" ht="11.25" customHeight="1">
      <c r="A2056" s="5" t="s">
        <v>5996</v>
      </c>
      <c r="B2056" s="5" t="s">
        <v>5997</v>
      </c>
      <c r="C2056" s="5" t="s">
        <v>6009</v>
      </c>
      <c r="D2056" s="5" t="s">
        <v>5999</v>
      </c>
      <c r="E2056" s="5" t="s">
        <v>31</v>
      </c>
      <c r="F2056" s="5" t="s">
        <v>6000</v>
      </c>
      <c r="G2056" s="5" t="s">
        <v>6001</v>
      </c>
      <c r="H2056" s="5" t="s">
        <v>6002</v>
      </c>
      <c r="I2056" s="5" t="s">
        <v>6010</v>
      </c>
      <c r="J2056" s="5" t="s">
        <v>6011</v>
      </c>
      <c r="K2056" s="7" t="str">
        <f ca="1">IFERROR(__xludf.DUMMYFUNCTION("GOOGLETRANSLATE(H2056,""EN"",""ES"")"),"RELOJES Y DESPERTADORES")</f>
        <v>RELOJES Y DESPERTADORES</v>
      </c>
      <c r="L2056" s="5" t="str">
        <f ca="1">IFERROR(__xludf.DUMMYFUNCTION("GOOGLETRANSLATE(J2056,""EN"",""ES"")"),"Despertadores")</f>
        <v>Despertadores</v>
      </c>
      <c r="M2056" s="8" t="s">
        <v>13</v>
      </c>
      <c r="N2056" s="8"/>
    </row>
    <row r="2057" spans="1:14" ht="11.25" customHeight="1">
      <c r="A2057" s="5" t="s">
        <v>5996</v>
      </c>
      <c r="B2057" s="5" t="s">
        <v>5997</v>
      </c>
      <c r="C2057" s="5" t="s">
        <v>6012</v>
      </c>
      <c r="D2057" s="5" t="s">
        <v>5999</v>
      </c>
      <c r="E2057" s="5" t="s">
        <v>31</v>
      </c>
      <c r="F2057" s="5" t="s">
        <v>6000</v>
      </c>
      <c r="G2057" s="5" t="s">
        <v>6001</v>
      </c>
      <c r="H2057" s="5" t="s">
        <v>6002</v>
      </c>
      <c r="I2057" s="5" t="s">
        <v>6013</v>
      </c>
      <c r="J2057" s="5" t="s">
        <v>6014</v>
      </c>
      <c r="K2057" s="7" t="str">
        <f ca="1">IFERROR(__xludf.DUMMYFUNCTION("GOOGLETRANSLATE(H2057,""EN"",""ES"")"),"RELOJES Y DESPERTADORES")</f>
        <v>RELOJES Y DESPERTADORES</v>
      </c>
      <c r="L2057" s="5" t="str">
        <f ca="1">IFERROR(__xludf.DUMMYFUNCTION("GOOGLETRANSLATE(J2057,""EN"",""ES"")"),"Relojes astronómicos")</f>
        <v>Relojes astronómicos</v>
      </c>
      <c r="M2057" s="8" t="s">
        <v>13</v>
      </c>
      <c r="N2057" s="8"/>
    </row>
    <row r="2058" spans="1:14" ht="11.25" customHeight="1">
      <c r="A2058" s="5" t="s">
        <v>5996</v>
      </c>
      <c r="B2058" s="5" t="s">
        <v>5997</v>
      </c>
      <c r="C2058" s="5" t="s">
        <v>6015</v>
      </c>
      <c r="D2058" s="5" t="s">
        <v>5999</v>
      </c>
      <c r="E2058" s="5" t="s">
        <v>31</v>
      </c>
      <c r="F2058" s="5" t="s">
        <v>6000</v>
      </c>
      <c r="G2058" s="5" t="s">
        <v>6001</v>
      </c>
      <c r="H2058" s="5" t="s">
        <v>6002</v>
      </c>
      <c r="I2058" s="5" t="s">
        <v>6016</v>
      </c>
      <c r="J2058" s="5" t="s">
        <v>6017</v>
      </c>
      <c r="K2058" s="7" t="str">
        <f ca="1">IFERROR(__xludf.DUMMYFUNCTION("GOOGLETRANSLATE(H2058,""EN"",""ES"")"),"RELOJES Y DESPERTADORES")</f>
        <v>RELOJES Y DESPERTADORES</v>
      </c>
      <c r="L2058" s="5" t="str">
        <f ca="1">IFERROR(__xludf.DUMMYFUNCTION("GOOGLETRANSLATE(J2058,""EN"",""ES"")"),"Relojes geográficos")</f>
        <v>Relojes geográficos</v>
      </c>
      <c r="M2058" s="8" t="s">
        <v>13</v>
      </c>
      <c r="N2058" s="8"/>
    </row>
    <row r="2059" spans="1:14" ht="11.25" customHeight="1">
      <c r="A2059" s="5" t="s">
        <v>5996</v>
      </c>
      <c r="B2059" s="5" t="s">
        <v>5997</v>
      </c>
      <c r="C2059" s="5" t="s">
        <v>6018</v>
      </c>
      <c r="D2059" s="5" t="s">
        <v>5999</v>
      </c>
      <c r="E2059" s="5" t="s">
        <v>31</v>
      </c>
      <c r="F2059" s="5" t="s">
        <v>6000</v>
      </c>
      <c r="G2059" s="5" t="s">
        <v>6001</v>
      </c>
      <c r="H2059" s="5" t="s">
        <v>6002</v>
      </c>
      <c r="I2059" s="5" t="s">
        <v>6019</v>
      </c>
      <c r="J2059" s="5" t="s">
        <v>6020</v>
      </c>
      <c r="K2059" s="7" t="str">
        <f ca="1">IFERROR(__xludf.DUMMYFUNCTION("GOOGLETRANSLATE(H2059,""EN"",""ES"")"),"RELOJES Y DESPERTADORES")</f>
        <v>RELOJES Y DESPERTADORES</v>
      </c>
      <c r="L2059" s="5" t="str">
        <f ca="1">IFERROR(__xludf.DUMMYFUNCTION("GOOGLETRANSLATE(J2059,""EN"",""ES"")"),"Relojes de cuco")</f>
        <v>Relojes de cuco</v>
      </c>
      <c r="M2059" s="8" t="s">
        <v>13</v>
      </c>
      <c r="N2059" s="8"/>
    </row>
    <row r="2060" spans="1:14" ht="11.25" customHeight="1">
      <c r="A2060" s="5" t="s">
        <v>5996</v>
      </c>
      <c r="B2060" s="5" t="s">
        <v>5997</v>
      </c>
      <c r="C2060" s="5" t="s">
        <v>6021</v>
      </c>
      <c r="D2060" s="5" t="s">
        <v>5999</v>
      </c>
      <c r="E2060" s="5" t="s">
        <v>31</v>
      </c>
      <c r="F2060" s="5" t="s">
        <v>6000</v>
      </c>
      <c r="G2060" s="5" t="s">
        <v>6001</v>
      </c>
      <c r="H2060" s="5" t="s">
        <v>6002</v>
      </c>
      <c r="I2060" s="5" t="s">
        <v>6022</v>
      </c>
      <c r="J2060" s="5" t="s">
        <v>6023</v>
      </c>
      <c r="K2060" s="7" t="str">
        <f ca="1">IFERROR(__xludf.DUMMYFUNCTION("GOOGLETRANSLATE(H2060,""EN"",""ES"")"),"RELOJES Y DESPERTADORES")</f>
        <v>RELOJES Y DESPERTADORES</v>
      </c>
      <c r="L2060" s="5" t="str">
        <f ca="1">IFERROR(__xludf.DUMMYFUNCTION("GOOGLETRANSLATE(J2060,""EN"",""ES"")"),"Relojes de abuelo")</f>
        <v>Relojes de abuelo</v>
      </c>
      <c r="M2060" s="8" t="s">
        <v>13</v>
      </c>
      <c r="N2060" s="8"/>
    </row>
    <row r="2061" spans="1:14" ht="11.25" customHeight="1">
      <c r="A2061" s="5" t="s">
        <v>5996</v>
      </c>
      <c r="B2061" s="5" t="s">
        <v>5997</v>
      </c>
      <c r="C2061" s="5" t="s">
        <v>6024</v>
      </c>
      <c r="D2061" s="5" t="s">
        <v>5999</v>
      </c>
      <c r="E2061" s="5" t="s">
        <v>31</v>
      </c>
      <c r="F2061" s="5" t="s">
        <v>6000</v>
      </c>
      <c r="G2061" s="5" t="s">
        <v>6001</v>
      </c>
      <c r="H2061" s="5" t="s">
        <v>6002</v>
      </c>
      <c r="I2061" s="5" t="s">
        <v>6025</v>
      </c>
      <c r="J2061" s="5" t="s">
        <v>6026</v>
      </c>
      <c r="K2061" s="7" t="str">
        <f ca="1">IFERROR(__xludf.DUMMYFUNCTION("GOOGLETRANSLATE(H2061,""EN"",""ES"")"),"RELOJES Y DESPERTADORES")</f>
        <v>RELOJES Y DESPERTADORES</v>
      </c>
      <c r="L2061" s="5" t="str">
        <f ca="1">IFERROR(__xludf.DUMMYFUNCTION("GOOGLETRANSLATE(J2061,""EN"",""ES"")"),"Relojes de pared")</f>
        <v>Relojes de pared</v>
      </c>
      <c r="M2061" s="8" t="s">
        <v>13</v>
      </c>
      <c r="N2061" s="8"/>
    </row>
    <row r="2062" spans="1:14" ht="11.25" customHeight="1">
      <c r="A2062" s="5" t="s">
        <v>5996</v>
      </c>
      <c r="B2062" s="5" t="s">
        <v>5997</v>
      </c>
      <c r="C2062" s="5" t="s">
        <v>6027</v>
      </c>
      <c r="D2062" s="5" t="s">
        <v>5999</v>
      </c>
      <c r="E2062" s="5" t="s">
        <v>31</v>
      </c>
      <c r="F2062" s="5" t="s">
        <v>6000</v>
      </c>
      <c r="G2062" s="5" t="s">
        <v>6001</v>
      </c>
      <c r="H2062" s="5" t="s">
        <v>6002</v>
      </c>
      <c r="I2062" s="5" t="s">
        <v>6028</v>
      </c>
      <c r="J2062" s="5" t="s">
        <v>6029</v>
      </c>
      <c r="K2062" s="7" t="str">
        <f ca="1">IFERROR(__xludf.DUMMYFUNCTION("GOOGLETRANSLATE(H2062,""EN"",""ES"")"),"RELOJES Y DESPERTADORES")</f>
        <v>RELOJES Y DESPERTADORES</v>
      </c>
      <c r="L2062" s="5" t="str">
        <f ca="1">IFERROR(__xludf.DUMMYFUNCTION("GOOGLETRANSLATE(J2062,""EN"",""ES"")"),"Relojes calendario digitales")</f>
        <v>Relojes calendario digitales</v>
      </c>
      <c r="M2062" s="8" t="s">
        <v>13</v>
      </c>
      <c r="N2062" s="8"/>
    </row>
    <row r="2063" spans="1:14" ht="11.25" customHeight="1">
      <c r="A2063" s="5" t="s">
        <v>5996</v>
      </c>
      <c r="B2063" s="5" t="s">
        <v>6030</v>
      </c>
      <c r="C2063" s="5" t="s">
        <v>6031</v>
      </c>
      <c r="D2063" s="5" t="s">
        <v>5999</v>
      </c>
      <c r="E2063" s="5" t="s">
        <v>31</v>
      </c>
      <c r="F2063" s="5" t="s">
        <v>6000</v>
      </c>
      <c r="G2063" s="5" t="s">
        <v>6001</v>
      </c>
      <c r="H2063" s="5" t="s">
        <v>6032</v>
      </c>
      <c r="I2063" s="5" t="s">
        <v>6033</v>
      </c>
      <c r="J2063" s="5" t="s">
        <v>6034</v>
      </c>
      <c r="K2063" s="7" t="str">
        <f ca="1">IFERROR(__xludf.DUMMYFUNCTION("GOOGLETRANSLATE(H2063,""EN"",""ES"")"),"RELOJES Y RELOJES DE PULSERA")</f>
        <v>RELOJES Y RELOJES DE PULSERA</v>
      </c>
      <c r="L2063" s="5" t="str">
        <f ca="1">IFERROR(__xludf.DUMMYFUNCTION("GOOGLETRANSLATE(J2063,""EN"",""ES"")"),"Relojes de pulsera")</f>
        <v>Relojes de pulsera</v>
      </c>
      <c r="M2063" s="8" t="s">
        <v>34</v>
      </c>
      <c r="N2063" s="8"/>
    </row>
    <row r="2064" spans="1:14" ht="11.25" customHeight="1">
      <c r="A2064" s="5" t="s">
        <v>5996</v>
      </c>
      <c r="B2064" s="5" t="s">
        <v>6030</v>
      </c>
      <c r="C2064" s="5" t="s">
        <v>6035</v>
      </c>
      <c r="D2064" s="5" t="s">
        <v>5999</v>
      </c>
      <c r="E2064" s="5" t="s">
        <v>31</v>
      </c>
      <c r="F2064" s="5" t="s">
        <v>6000</v>
      </c>
      <c r="G2064" s="5" t="s">
        <v>6001</v>
      </c>
      <c r="H2064" s="5" t="s">
        <v>6032</v>
      </c>
      <c r="I2064" s="5" t="s">
        <v>6036</v>
      </c>
      <c r="J2064" s="5" t="s">
        <v>6037</v>
      </c>
      <c r="K2064" s="7" t="str">
        <f ca="1">IFERROR(__xludf.DUMMYFUNCTION("GOOGLETRANSLATE(H2064,""EN"",""ES"")"),"RELOJES Y RELOJES DE PULSERA")</f>
        <v>RELOJES Y RELOJES DE PULSERA</v>
      </c>
      <c r="L2064" s="5" t="str">
        <f ca="1">IFERROR(__xludf.DUMMYFUNCTION("GOOGLETRANSLATE(J2064,""EN"",""ES"")"),"Relojes")</f>
        <v>Relojes</v>
      </c>
      <c r="M2064" s="8" t="s">
        <v>34</v>
      </c>
      <c r="N2064" s="8"/>
    </row>
    <row r="2065" spans="1:14" ht="11.25" customHeight="1">
      <c r="A2065" s="5" t="s">
        <v>5996</v>
      </c>
      <c r="B2065" s="5" t="s">
        <v>6030</v>
      </c>
      <c r="C2065" s="5" t="s">
        <v>6038</v>
      </c>
      <c r="D2065" s="5" t="s">
        <v>5999</v>
      </c>
      <c r="E2065" s="5" t="s">
        <v>31</v>
      </c>
      <c r="F2065" s="5" t="s">
        <v>6000</v>
      </c>
      <c r="G2065" s="5" t="s">
        <v>6001</v>
      </c>
      <c r="H2065" s="5" t="s">
        <v>6032</v>
      </c>
      <c r="I2065" s="5" t="s">
        <v>6039</v>
      </c>
      <c r="J2065" s="5" t="s">
        <v>6040</v>
      </c>
      <c r="K2065" s="7" t="str">
        <f ca="1">IFERROR(__xludf.DUMMYFUNCTION("GOOGLETRANSLATE(H2065,""EN"",""ES"")"),"RELOJES Y RELOJES DE PULSERA")</f>
        <v>RELOJES Y RELOJES DE PULSERA</v>
      </c>
      <c r="L2065" s="5" t="str">
        <f ca="1">IFERROR(__xludf.DUMMYFUNCTION("GOOGLETRANSLATE(J2065,""EN"",""ES"")"),"Relojes de alarma")</f>
        <v>Relojes de alarma</v>
      </c>
      <c r="M2065" s="8" t="s">
        <v>34</v>
      </c>
      <c r="N2065" s="8"/>
    </row>
    <row r="2066" spans="1:14" ht="11.25" customHeight="1">
      <c r="A2066" s="5" t="s">
        <v>5996</v>
      </c>
      <c r="B2066" s="5" t="s">
        <v>6030</v>
      </c>
      <c r="C2066" s="5" t="s">
        <v>6041</v>
      </c>
      <c r="D2066" s="5" t="s">
        <v>5999</v>
      </c>
      <c r="E2066" s="5" t="s">
        <v>31</v>
      </c>
      <c r="F2066" s="5" t="s">
        <v>6000</v>
      </c>
      <c r="G2066" s="5" t="s">
        <v>6001</v>
      </c>
      <c r="H2066" s="5" t="s">
        <v>6032</v>
      </c>
      <c r="I2066" s="5" t="s">
        <v>6042</v>
      </c>
      <c r="J2066" s="5" t="s">
        <v>6043</v>
      </c>
      <c r="K2066" s="7" t="str">
        <f ca="1">IFERROR(__xludf.DUMMYFUNCTION("GOOGLETRANSLATE(H2066,""EN"",""ES"")"),"RELOJES Y RELOJES DE PULSERA")</f>
        <v>RELOJES Y RELOJES DE PULSERA</v>
      </c>
      <c r="L2066" s="5" t="str">
        <f ca="1">IFERROR(__xludf.DUMMYFUNCTION("GOOGLETRANSLATE(J2066,""EN"",""ES"")"),"Relojes colgantes")</f>
        <v>Relojes colgantes</v>
      </c>
      <c r="M2066" s="8" t="s">
        <v>34</v>
      </c>
      <c r="N2066" s="8"/>
    </row>
    <row r="2067" spans="1:14" ht="11.25" customHeight="1">
      <c r="A2067" s="5" t="s">
        <v>5996</v>
      </c>
      <c r="B2067" s="5" t="s">
        <v>6030</v>
      </c>
      <c r="C2067" s="5" t="s">
        <v>6044</v>
      </c>
      <c r="D2067" s="5" t="s">
        <v>5999</v>
      </c>
      <c r="E2067" s="5" t="s">
        <v>31</v>
      </c>
      <c r="F2067" s="5" t="s">
        <v>6000</v>
      </c>
      <c r="G2067" s="5" t="s">
        <v>6001</v>
      </c>
      <c r="H2067" s="5" t="s">
        <v>6032</v>
      </c>
      <c r="I2067" s="5" t="s">
        <v>6045</v>
      </c>
      <c r="J2067" s="5" t="s">
        <v>6046</v>
      </c>
      <c r="K2067" s="7" t="str">
        <f ca="1">IFERROR(__xludf.DUMMYFUNCTION("GOOGLETRANSLATE(H2067,""EN"",""ES"")"),"RELOJES Y RELOJES DE PULSERA")</f>
        <v>RELOJES Y RELOJES DE PULSERA</v>
      </c>
      <c r="L2067" s="5" t="str">
        <f ca="1">IFERROR(__xludf.DUMMYFUNCTION("GOOGLETRANSLATE(J2067,""EN"",""ES"")"),"Relojes cronógrafo")</f>
        <v>Relojes cronógrafo</v>
      </c>
      <c r="M2067" s="8" t="s">
        <v>34</v>
      </c>
      <c r="N2067" s="8"/>
    </row>
    <row r="2068" spans="1:14" ht="11.25" customHeight="1">
      <c r="A2068" s="5" t="s">
        <v>5996</v>
      </c>
      <c r="B2068" s="5" t="s">
        <v>6030</v>
      </c>
      <c r="C2068" s="5" t="s">
        <v>6047</v>
      </c>
      <c r="D2068" s="5" t="s">
        <v>5999</v>
      </c>
      <c r="E2068" s="5" t="s">
        <v>31</v>
      </c>
      <c r="F2068" s="5" t="s">
        <v>6000</v>
      </c>
      <c r="G2068" s="5" t="s">
        <v>6001</v>
      </c>
      <c r="H2068" s="5" t="s">
        <v>6032</v>
      </c>
      <c r="I2068" s="5" t="s">
        <v>6048</v>
      </c>
      <c r="J2068" s="5" t="s">
        <v>6049</v>
      </c>
      <c r="K2068" s="7" t="str">
        <f ca="1">IFERROR(__xludf.DUMMYFUNCTION("GOOGLETRANSLATE(H2068,""EN"",""ES"")"),"RELOJES Y RELOJES DE PULSERA")</f>
        <v>RELOJES Y RELOJES DE PULSERA</v>
      </c>
      <c r="L2068" s="5" t="str">
        <f ca="1">IFERROR(__xludf.DUMMYFUNCTION("GOOGLETRANSLATE(J2068,""EN"",""ES"")"),"Relojes inteligentes")</f>
        <v>Relojes inteligentes</v>
      </c>
      <c r="M2068" s="8" t="s">
        <v>34</v>
      </c>
      <c r="N2068" s="8"/>
    </row>
    <row r="2069" spans="1:14" ht="11.25" customHeight="1">
      <c r="A2069" s="5" t="s">
        <v>5996</v>
      </c>
      <c r="B2069" s="5" t="s">
        <v>6050</v>
      </c>
      <c r="C2069" s="5" t="s">
        <v>6051</v>
      </c>
      <c r="D2069" s="5" t="s">
        <v>5999</v>
      </c>
      <c r="E2069" s="5" t="s">
        <v>31</v>
      </c>
      <c r="F2069" s="5" t="s">
        <v>6000</v>
      </c>
      <c r="G2069" s="5" t="s">
        <v>6001</v>
      </c>
      <c r="H2069" s="5" t="s">
        <v>6052</v>
      </c>
      <c r="I2069" s="5" t="s">
        <v>6053</v>
      </c>
      <c r="J2069" s="5" t="s">
        <v>6054</v>
      </c>
      <c r="K2069" s="7" t="str">
        <f ca="1">IFERROR(__xludf.DUMMYFUNCTION("GOOGLETRANSLATE(H2069,""EN"",""ES"")"),"OTROS INSTRUMENTOS PARA MEDIR EL TIEMPO")</f>
        <v>OTROS INSTRUMENTOS PARA MEDIR EL TIEMPO</v>
      </c>
      <c r="L2069" s="5" t="str">
        <f ca="1">IFERROR(__xludf.DUMMYFUNCTION("GOOGLETRANSLATE(J2069,""EN"",""ES"")"),"Cronómetros")</f>
        <v>Cronómetros</v>
      </c>
      <c r="M2069" s="8" t="s">
        <v>30</v>
      </c>
      <c r="N2069" s="8"/>
    </row>
    <row r="2070" spans="1:14" ht="11.25" customHeight="1">
      <c r="A2070" s="5" t="s">
        <v>5996</v>
      </c>
      <c r="B2070" s="5" t="s">
        <v>6050</v>
      </c>
      <c r="C2070" s="5" t="s">
        <v>6055</v>
      </c>
      <c r="D2070" s="5" t="s">
        <v>5999</v>
      </c>
      <c r="E2070" s="5" t="s">
        <v>31</v>
      </c>
      <c r="F2070" s="5" t="s">
        <v>6000</v>
      </c>
      <c r="G2070" s="5" t="s">
        <v>6001</v>
      </c>
      <c r="H2070" s="5" t="s">
        <v>6052</v>
      </c>
      <c r="I2070" s="5" t="s">
        <v>6056</v>
      </c>
      <c r="J2070" s="5" t="s">
        <v>6057</v>
      </c>
      <c r="K2070" s="7" t="str">
        <f ca="1">IFERROR(__xludf.DUMMYFUNCTION("GOOGLETRANSLATE(H2070,""EN"",""ES"")"),"OTROS INSTRUMENTOS PARA MEDIR EL TIEMPO")</f>
        <v>OTROS INSTRUMENTOS PARA MEDIR EL TIEMPO</v>
      </c>
      <c r="L2070" s="5" t="str">
        <f ca="1">IFERROR(__xludf.DUMMYFUNCTION("GOOGLETRANSLATE(J2070,""EN"",""ES"")"),"Parquímetros")</f>
        <v>Parquímetros</v>
      </c>
      <c r="M2070" s="8" t="s">
        <v>30</v>
      </c>
      <c r="N2070" s="8"/>
    </row>
    <row r="2071" spans="1:14" ht="11.25" customHeight="1">
      <c r="A2071" s="5" t="s">
        <v>5996</v>
      </c>
      <c r="B2071" s="5" t="s">
        <v>6050</v>
      </c>
      <c r="C2071" s="5" t="s">
        <v>6055</v>
      </c>
      <c r="D2071" s="5" t="s">
        <v>5999</v>
      </c>
      <c r="E2071" s="5" t="s">
        <v>31</v>
      </c>
      <c r="F2071" s="5" t="s">
        <v>6000</v>
      </c>
      <c r="G2071" s="5" t="s">
        <v>6001</v>
      </c>
      <c r="H2071" s="5" t="s">
        <v>6052</v>
      </c>
      <c r="I2071" s="5" t="s">
        <v>152</v>
      </c>
      <c r="J2071" s="5" t="s">
        <v>6058</v>
      </c>
      <c r="K2071" s="7" t="str">
        <f ca="1">IFERROR(__xludf.DUMMYFUNCTION("GOOGLETRANSLATE(H2071,""EN"",""ES"")"),"OTROS INSTRUMENTOS PARA MEDIR EL TIEMPO")</f>
        <v>OTROS INSTRUMENTOS PARA MEDIR EL TIEMPO</v>
      </c>
      <c r="L2071" s="5" t="str">
        <f ca="1">IFERROR(__xludf.DUMMYFUNCTION("GOOGLETRANSLATE(J2071,""EN"",""ES"")"),"N / A")</f>
        <v>N / A</v>
      </c>
      <c r="M2071" s="8" t="s">
        <v>30</v>
      </c>
      <c r="N2071" s="8"/>
    </row>
    <row r="2072" spans="1:14" ht="11.25" customHeight="1">
      <c r="A2072" s="5" t="s">
        <v>5996</v>
      </c>
      <c r="B2072" s="5" t="s">
        <v>6050</v>
      </c>
      <c r="C2072" s="5" t="s">
        <v>6059</v>
      </c>
      <c r="D2072" s="5" t="s">
        <v>5999</v>
      </c>
      <c r="E2072" s="5" t="s">
        <v>31</v>
      </c>
      <c r="F2072" s="5" t="s">
        <v>6000</v>
      </c>
      <c r="G2072" s="5" t="s">
        <v>6001</v>
      </c>
      <c r="H2072" s="5" t="s">
        <v>6052</v>
      </c>
      <c r="I2072" s="5" t="s">
        <v>6060</v>
      </c>
      <c r="J2072" s="5" t="s">
        <v>6061</v>
      </c>
      <c r="K2072" s="7" t="str">
        <f ca="1">IFERROR(__xludf.DUMMYFUNCTION("GOOGLETRANSLATE(H2072,""EN"",""ES"")"),"OTROS INSTRUMENTOS PARA MEDIR EL TIEMPO")</f>
        <v>OTROS INSTRUMENTOS PARA MEDIR EL TIEMPO</v>
      </c>
      <c r="L2072" s="5" t="str">
        <f ca="1">IFERROR(__xludf.DUMMYFUNCTION("GOOGLETRANSLATE(J2072,""EN"",""ES"")"),"Metrónomos")</f>
        <v>Metrónomos</v>
      </c>
      <c r="M2072" s="8" t="s">
        <v>30</v>
      </c>
      <c r="N2072" s="8"/>
    </row>
    <row r="2073" spans="1:14" ht="11.25" customHeight="1">
      <c r="A2073" s="5" t="s">
        <v>5996</v>
      </c>
      <c r="B2073" s="5" t="s">
        <v>6050</v>
      </c>
      <c r="C2073" s="5" t="s">
        <v>6062</v>
      </c>
      <c r="D2073" s="5" t="s">
        <v>5999</v>
      </c>
      <c r="E2073" s="5" t="s">
        <v>31</v>
      </c>
      <c r="F2073" s="5" t="s">
        <v>6000</v>
      </c>
      <c r="G2073" s="5" t="s">
        <v>6001</v>
      </c>
      <c r="H2073" s="5" t="s">
        <v>6052</v>
      </c>
      <c r="I2073" s="5" t="s">
        <v>6063</v>
      </c>
      <c r="J2073" s="5" t="s">
        <v>6064</v>
      </c>
      <c r="K2073" s="7" t="str">
        <f ca="1">IFERROR(__xludf.DUMMYFUNCTION("GOOGLETRANSLATE(H2073,""EN"",""ES"")"),"OTROS INSTRUMENTOS PARA MEDIR EL TIEMPO")</f>
        <v>OTROS INSTRUMENTOS PARA MEDIR EL TIEMPO</v>
      </c>
      <c r="L2073" s="5" t="str">
        <f ca="1">IFERROR(__xludf.DUMMYFUNCTION("GOOGLETRANSLATE(J2073,""EN"",""ES"")"),"Temporizadores [automáticos]")</f>
        <v>Temporizadores [automáticos]</v>
      </c>
      <c r="M2073" s="8" t="s">
        <v>30</v>
      </c>
      <c r="N2073" s="8"/>
    </row>
    <row r="2074" spans="1:14" ht="11.25" customHeight="1">
      <c r="A2074" s="5" t="s">
        <v>5996</v>
      </c>
      <c r="B2074" s="5" t="s">
        <v>6050</v>
      </c>
      <c r="C2074" s="5" t="s">
        <v>6065</v>
      </c>
      <c r="D2074" s="5" t="s">
        <v>5999</v>
      </c>
      <c r="E2074" s="5" t="s">
        <v>31</v>
      </c>
      <c r="F2074" s="5" t="s">
        <v>6000</v>
      </c>
      <c r="G2074" s="5" t="s">
        <v>6001</v>
      </c>
      <c r="H2074" s="5" t="s">
        <v>6052</v>
      </c>
      <c r="I2074" s="5" t="s">
        <v>6066</v>
      </c>
      <c r="J2074" s="5" t="s">
        <v>6067</v>
      </c>
      <c r="K2074" s="7" t="str">
        <f ca="1">IFERROR(__xludf.DUMMYFUNCTION("GOOGLETRANSLATE(H2074,""EN"",""ES"")"),"OTROS INSTRUMENTOS PARA MEDIR EL TIEMPO")</f>
        <v>OTROS INSTRUMENTOS PARA MEDIR EL TIEMPO</v>
      </c>
      <c r="L2074" s="5" t="str">
        <f ca="1">IFERROR(__xludf.DUMMYFUNCTION("GOOGLETRANSLATE(J2074,""EN"",""ES"")"),"Temporizadores de huevos [vasos de arena]")</f>
        <v>Temporizadores de huevos [vasos de arena]</v>
      </c>
      <c r="M2074" s="8" t="s">
        <v>30</v>
      </c>
      <c r="N2074" s="8"/>
    </row>
    <row r="2075" spans="1:14" ht="11.25" customHeight="1">
      <c r="A2075" s="5" t="s">
        <v>5996</v>
      </c>
      <c r="B2075" s="5" t="s">
        <v>6050</v>
      </c>
      <c r="C2075" s="5" t="s">
        <v>6065</v>
      </c>
      <c r="D2075" s="5" t="s">
        <v>5999</v>
      </c>
      <c r="E2075" s="5" t="s">
        <v>31</v>
      </c>
      <c r="F2075" s="5" t="s">
        <v>6000</v>
      </c>
      <c r="G2075" s="5" t="s">
        <v>6001</v>
      </c>
      <c r="H2075" s="5" t="s">
        <v>6052</v>
      </c>
      <c r="I2075" s="5" t="s">
        <v>6068</v>
      </c>
      <c r="J2075" s="5" t="s">
        <v>152</v>
      </c>
      <c r="K2075" s="7" t="str">
        <f ca="1">IFERROR(__xludf.DUMMYFUNCTION("GOOGLETRANSLATE(H2075,""EN"",""ES"")"),"OTROS INSTRUMENTOS PARA MEDIR EL TIEMPO")</f>
        <v>OTROS INSTRUMENTOS PARA MEDIR EL TIEMPO</v>
      </c>
      <c r="L2075" s="5" t="str">
        <f ca="1">IFERROR(__xludf.DUMMYFUNCTION("GOOGLETRANSLATE(J2075,""EN"",""ES"")"),"Relojes de arena")</f>
        <v>Relojes de arena</v>
      </c>
      <c r="M2075" s="8" t="s">
        <v>30</v>
      </c>
      <c r="N2075" s="8"/>
    </row>
    <row r="2076" spans="1:14" ht="11.25" customHeight="1">
      <c r="A2076" s="5" t="s">
        <v>5996</v>
      </c>
      <c r="B2076" s="5" t="s">
        <v>6050</v>
      </c>
      <c r="C2076" s="5" t="s">
        <v>6069</v>
      </c>
      <c r="D2076" s="5" t="s">
        <v>5999</v>
      </c>
      <c r="E2076" s="5" t="s">
        <v>31</v>
      </c>
      <c r="F2076" s="5" t="s">
        <v>6000</v>
      </c>
      <c r="G2076" s="5" t="s">
        <v>6001</v>
      </c>
      <c r="H2076" s="5" t="s">
        <v>6052</v>
      </c>
      <c r="I2076" s="5" t="s">
        <v>6070</v>
      </c>
      <c r="J2076" s="5" t="s">
        <v>6071</v>
      </c>
      <c r="K2076" s="7" t="str">
        <f ca="1">IFERROR(__xludf.DUMMYFUNCTION("GOOGLETRANSLATE(H2076,""EN"",""ES"")"),"OTROS INSTRUMENTOS PARA MEDIR EL TIEMPO")</f>
        <v>OTROS INSTRUMENTOS PARA MEDIR EL TIEMPO</v>
      </c>
      <c r="L2076" s="5" t="str">
        <f ca="1">IFERROR(__xludf.DUMMYFUNCTION("GOOGLETRANSLATE(J2076,""EN"",""ES"")"),"Relojes de sol")</f>
        <v>Relojes de sol</v>
      </c>
      <c r="M2076" s="8" t="s">
        <v>30</v>
      </c>
      <c r="N2076" s="8"/>
    </row>
    <row r="2077" spans="1:14" ht="11.25" customHeight="1">
      <c r="A2077" s="5" t="s">
        <v>5996</v>
      </c>
      <c r="B2077" s="5" t="s">
        <v>6050</v>
      </c>
      <c r="C2077" s="5" t="s">
        <v>6072</v>
      </c>
      <c r="D2077" s="5" t="s">
        <v>5999</v>
      </c>
      <c r="E2077" s="5" t="s">
        <v>31</v>
      </c>
      <c r="F2077" s="5" t="s">
        <v>6000</v>
      </c>
      <c r="G2077" s="5" t="s">
        <v>6001</v>
      </c>
      <c r="H2077" s="5" t="s">
        <v>6052</v>
      </c>
      <c r="I2077" s="5" t="s">
        <v>6073</v>
      </c>
      <c r="J2077" s="5" t="s">
        <v>6074</v>
      </c>
      <c r="K2077" s="7" t="str">
        <f ca="1">IFERROR(__xludf.DUMMYFUNCTION("GOOGLETRANSLATE(H2077,""EN"",""ES"")"),"OTROS INSTRUMENTOS PARA MEDIR EL TIEMPO")</f>
        <v>OTROS INSTRUMENTOS PARA MEDIR EL TIEMPO</v>
      </c>
      <c r="L2077" s="5" t="str">
        <f ca="1">IFERROR(__xludf.DUMMYFUNCTION("GOOGLETRANSLATE(J2077,""EN"",""ES"")"),"Contadores cronométricos")</f>
        <v>Contadores cronométricos</v>
      </c>
      <c r="M2077" s="8" t="s">
        <v>30</v>
      </c>
      <c r="N2077" s="8"/>
    </row>
    <row r="2078" spans="1:14" ht="11.25" customHeight="1">
      <c r="A2078" s="5" t="s">
        <v>5996</v>
      </c>
      <c r="B2078" s="5" t="s">
        <v>6075</v>
      </c>
      <c r="C2078" s="5" t="s">
        <v>6076</v>
      </c>
      <c r="D2078" s="5" t="s">
        <v>5999</v>
      </c>
      <c r="E2078" s="5" t="s">
        <v>31</v>
      </c>
      <c r="F2078" s="5" t="s">
        <v>6000</v>
      </c>
      <c r="G2078" s="5" t="s">
        <v>6001</v>
      </c>
      <c r="H2078" s="5" t="s">
        <v>6077</v>
      </c>
      <c r="I2078" s="5" t="s">
        <v>6078</v>
      </c>
      <c r="J2078" s="5" t="s">
        <v>6079</v>
      </c>
      <c r="K2078" s="7" t="str">
        <f ca="1">IFERROR(__xludf.DUMMYFUNCTION("GOOGLETRANSLATE(H2078,""EN"",""ES"")"),"OTROS INSTRUMENTOS, APARATOS Y DISPOSITIVOS DE MEDICIÓN")</f>
        <v>OTROS INSTRUMENTOS, APARATOS Y DISPOSITIVOS DE MEDICIÓN</v>
      </c>
      <c r="L2078" s="5" t="str">
        <f ca="1">IFERROR(__xludf.DUMMYFUNCTION("GOOGLETRANSLATE(J2078,""EN"",""ES"")"),"Líneas de plomada")</f>
        <v>Líneas de plomada</v>
      </c>
      <c r="M2078" s="8" t="s">
        <v>30</v>
      </c>
      <c r="N2078" s="8"/>
    </row>
    <row r="2079" spans="1:14" ht="11.25" customHeight="1">
      <c r="A2079" s="5" t="s">
        <v>5996</v>
      </c>
      <c r="B2079" s="5" t="s">
        <v>6075</v>
      </c>
      <c r="C2079" s="5" t="s">
        <v>6076</v>
      </c>
      <c r="D2079" s="5" t="s">
        <v>5999</v>
      </c>
      <c r="E2079" s="5" t="s">
        <v>31</v>
      </c>
      <c r="F2079" s="5" t="s">
        <v>6000</v>
      </c>
      <c r="G2079" s="5" t="s">
        <v>6001</v>
      </c>
      <c r="H2079" s="5" t="s">
        <v>6077</v>
      </c>
      <c r="I2079" s="5" t="s">
        <v>6080</v>
      </c>
      <c r="J2079" s="5" t="s">
        <v>152</v>
      </c>
      <c r="K2079" s="7" t="str">
        <f ca="1">IFERROR(__xludf.DUMMYFUNCTION("GOOGLETRANSLATE(H2079,""EN"",""ES"")"),"OTROS INSTRUMENTOS, APARATOS Y DISPOSITIVOS DE MEDICIÓN")</f>
        <v>OTROS INSTRUMENTOS, APARATOS Y DISPOSITIVOS DE MEDICIÓN</v>
      </c>
      <c r="L2079" s="5" t="str">
        <f ca="1">IFERROR(__xludf.DUMMYFUNCTION("GOOGLETRANSLATE(J2079,""EN"",""ES"")"),"plomadas")</f>
        <v>plomadas</v>
      </c>
      <c r="M2079" s="8" t="s">
        <v>30</v>
      </c>
      <c r="N2079" s="8"/>
    </row>
    <row r="2080" spans="1:14" ht="11.25" customHeight="1">
      <c r="A2080" s="5" t="s">
        <v>5996</v>
      </c>
      <c r="B2080" s="5" t="s">
        <v>6075</v>
      </c>
      <c r="C2080" s="5" t="s">
        <v>6081</v>
      </c>
      <c r="D2080" s="5" t="s">
        <v>5999</v>
      </c>
      <c r="E2080" s="5" t="s">
        <v>31</v>
      </c>
      <c r="F2080" s="5" t="s">
        <v>6000</v>
      </c>
      <c r="G2080" s="5" t="s">
        <v>6001</v>
      </c>
      <c r="H2080" s="5" t="s">
        <v>6077</v>
      </c>
      <c r="I2080" s="5" t="s">
        <v>6082</v>
      </c>
      <c r="J2080" s="5" t="s">
        <v>6083</v>
      </c>
      <c r="K2080" s="7" t="str">
        <f ca="1">IFERROR(__xludf.DUMMYFUNCTION("GOOGLETRANSLATE(H2080,""EN"",""ES"")"),"OTROS INSTRUMENTOS, APARATOS Y DISPOSITIVOS DE MEDICIÓN")</f>
        <v>OTROS INSTRUMENTOS, APARATOS Y DISPOSITIVOS DE MEDICIÓN</v>
      </c>
      <c r="L2080" s="5" t="str">
        <f ca="1">IFERROR(__xludf.DUMMYFUNCTION("GOOGLETRANSLATE(J2080,""EN"",""ES"")"),"Acelerómetros")</f>
        <v>Acelerómetros</v>
      </c>
      <c r="M2080" s="8" t="s">
        <v>30</v>
      </c>
      <c r="N2080" s="8"/>
    </row>
    <row r="2081" spans="1:14" ht="11.25" customHeight="1">
      <c r="A2081" s="5" t="s">
        <v>5996</v>
      </c>
      <c r="B2081" s="5" t="s">
        <v>6075</v>
      </c>
      <c r="C2081" s="5" t="s">
        <v>6084</v>
      </c>
      <c r="D2081" s="5" t="s">
        <v>5999</v>
      </c>
      <c r="E2081" s="5" t="s">
        <v>31</v>
      </c>
      <c r="F2081" s="5" t="s">
        <v>6000</v>
      </c>
      <c r="G2081" s="5" t="s">
        <v>6001</v>
      </c>
      <c r="H2081" s="5" t="s">
        <v>6077</v>
      </c>
      <c r="I2081" s="5" t="s">
        <v>6085</v>
      </c>
      <c r="J2081" s="5" t="s">
        <v>6086</v>
      </c>
      <c r="K2081" s="7" t="str">
        <f ca="1">IFERROR(__xludf.DUMMYFUNCTION("GOOGLETRANSLATE(H2081,""EN"",""ES"")"),"OTROS INSTRUMENTOS, APARATOS Y DISPOSITIVOS DE MEDICIÓN")</f>
        <v>OTROS INSTRUMENTOS, APARATOS Y DISPOSITIVOS DE MEDICIÓN</v>
      </c>
      <c r="L2081" s="5" t="str">
        <f ca="1">IFERROR(__xludf.DUMMYFUNCTION("GOOGLETRANSLATE(J2081,""EN"",""ES"")"),"Acómetros")</f>
        <v>Acómetros</v>
      </c>
      <c r="M2081" s="8" t="s">
        <v>30</v>
      </c>
      <c r="N2081" s="8"/>
    </row>
    <row r="2082" spans="1:14" ht="11.25" customHeight="1">
      <c r="A2082" s="5" t="s">
        <v>5996</v>
      </c>
      <c r="B2082" s="5" t="s">
        <v>6075</v>
      </c>
      <c r="C2082" s="5" t="s">
        <v>6087</v>
      </c>
      <c r="D2082" s="5" t="s">
        <v>5999</v>
      </c>
      <c r="E2082" s="5" t="s">
        <v>31</v>
      </c>
      <c r="F2082" s="5" t="s">
        <v>6000</v>
      </c>
      <c r="G2082" s="5" t="s">
        <v>6001</v>
      </c>
      <c r="H2082" s="5" t="s">
        <v>6077</v>
      </c>
      <c r="I2082" s="5" t="s">
        <v>6088</v>
      </c>
      <c r="J2082" s="5" t="s">
        <v>6089</v>
      </c>
      <c r="K2082" s="7" t="str">
        <f ca="1">IFERROR(__xludf.DUMMYFUNCTION("GOOGLETRANSLATE(H2082,""EN"",""ES"")"),"OTROS INSTRUMENTOS, APARATOS Y DISPOSITIVOS DE MEDICIÓN")</f>
        <v>OTROS INSTRUMENTOS, APARATOS Y DISPOSITIVOS DE MEDICIÓN</v>
      </c>
      <c r="L2082" s="5" t="str">
        <f ca="1">IFERROR(__xludf.DUMMYFUNCTION("GOOGLETRANSLATE(J2082,""EN"",""ES"")"),"Instrumentos de medición acústica.")</f>
        <v>Instrumentos de medición acústica.</v>
      </c>
      <c r="M2082" s="8" t="s">
        <v>30</v>
      </c>
      <c r="N2082" s="8"/>
    </row>
    <row r="2083" spans="1:14" ht="11.25" customHeight="1">
      <c r="A2083" s="5" t="s">
        <v>5996</v>
      </c>
      <c r="B2083" s="5" t="s">
        <v>6075</v>
      </c>
      <c r="C2083" s="5" t="s">
        <v>6090</v>
      </c>
      <c r="D2083" s="5" t="s">
        <v>5999</v>
      </c>
      <c r="E2083" s="5" t="s">
        <v>31</v>
      </c>
      <c r="F2083" s="5" t="s">
        <v>6000</v>
      </c>
      <c r="G2083" s="5" t="s">
        <v>6001</v>
      </c>
      <c r="H2083" s="5" t="s">
        <v>6077</v>
      </c>
      <c r="I2083" s="5" t="s">
        <v>6091</v>
      </c>
      <c r="J2083" s="5" t="s">
        <v>6092</v>
      </c>
      <c r="K2083" s="7" t="str">
        <f ca="1">IFERROR(__xludf.DUMMYFUNCTION("GOOGLETRANSLATE(H2083,""EN"",""ES"")"),"OTROS INSTRUMENTOS, APARATOS Y DISPOSITIVOS DE MEDICIÓN")</f>
        <v>OTROS INSTRUMENTOS, APARATOS Y DISPOSITIVOS DE MEDICIÓN</v>
      </c>
      <c r="L2083" s="5" t="str">
        <f ca="1">IFERROR(__xludf.DUMMYFUNCTION("GOOGLETRANSLATE(J2083,""EN"",""ES"")"),"aerómetros")</f>
        <v>aerómetros</v>
      </c>
      <c r="M2083" s="8" t="s">
        <v>30</v>
      </c>
      <c r="N2083" s="8"/>
    </row>
    <row r="2084" spans="1:14" ht="11.25" customHeight="1">
      <c r="A2084" s="5" t="s">
        <v>5996</v>
      </c>
      <c r="B2084" s="5" t="s">
        <v>6075</v>
      </c>
      <c r="C2084" s="5" t="s">
        <v>6093</v>
      </c>
      <c r="D2084" s="5" t="s">
        <v>5999</v>
      </c>
      <c r="E2084" s="5" t="s">
        <v>31</v>
      </c>
      <c r="F2084" s="5" t="s">
        <v>6000</v>
      </c>
      <c r="G2084" s="5" t="s">
        <v>6001</v>
      </c>
      <c r="H2084" s="5" t="s">
        <v>6077</v>
      </c>
      <c r="I2084" s="5" t="s">
        <v>6094</v>
      </c>
      <c r="J2084" s="5" t="s">
        <v>6095</v>
      </c>
      <c r="K2084" s="7" t="str">
        <f ca="1">IFERROR(__xludf.DUMMYFUNCTION("GOOGLETRANSLATE(H2084,""EN"",""ES"")"),"OTROS INSTRUMENTOS, APARATOS Y DISPOSITIVOS DE MEDICIÓN")</f>
        <v>OTROS INSTRUMENTOS, APARATOS Y DISPOSITIVOS DE MEDICIÓN</v>
      </c>
      <c r="L2084" s="5" t="str">
        <f ca="1">IFERROR(__xludf.DUMMYFUNCTION("GOOGLETRANSLATE(J2084,""EN"",""ES"")"),"alcoholímetros")</f>
        <v>alcoholímetros</v>
      </c>
      <c r="M2084" s="8" t="s">
        <v>30</v>
      </c>
      <c r="N2084" s="8"/>
    </row>
    <row r="2085" spans="1:14" ht="11.25" customHeight="1">
      <c r="A2085" s="5" t="s">
        <v>5996</v>
      </c>
      <c r="B2085" s="5" t="s">
        <v>6075</v>
      </c>
      <c r="C2085" s="5" t="s">
        <v>6096</v>
      </c>
      <c r="D2085" s="5" t="s">
        <v>5999</v>
      </c>
      <c r="E2085" s="5" t="s">
        <v>31</v>
      </c>
      <c r="F2085" s="5" t="s">
        <v>6000</v>
      </c>
      <c r="G2085" s="5" t="s">
        <v>6001</v>
      </c>
      <c r="H2085" s="5" t="s">
        <v>6077</v>
      </c>
      <c r="I2085" s="5" t="s">
        <v>6097</v>
      </c>
      <c r="J2085" s="5" t="s">
        <v>6098</v>
      </c>
      <c r="K2085" s="7" t="str">
        <f ca="1">IFERROR(__xludf.DUMMYFUNCTION("GOOGLETRANSLATE(H2085,""EN"",""ES"")"),"OTROS INSTRUMENTOS, APARATOS Y DISPOSITIVOS DE MEDICIÓN")</f>
        <v>OTROS INSTRUMENTOS, APARATOS Y DISPOSITIVOS DE MEDICIÓN</v>
      </c>
      <c r="L2085" s="5" t="str">
        <f ca="1">IFERROR(__xludf.DUMMYFUNCTION("GOOGLETRANSLATE(J2085,""EN"",""ES"")"),"Altímetros")</f>
        <v>Altímetros</v>
      </c>
      <c r="M2085" s="8" t="s">
        <v>30</v>
      </c>
      <c r="N2085" s="8"/>
    </row>
    <row r="2086" spans="1:14" ht="11.25" customHeight="1">
      <c r="A2086" s="5" t="s">
        <v>5996</v>
      </c>
      <c r="B2086" s="5" t="s">
        <v>6075</v>
      </c>
      <c r="C2086" s="5" t="s">
        <v>6099</v>
      </c>
      <c r="D2086" s="5" t="s">
        <v>5999</v>
      </c>
      <c r="E2086" s="5" t="s">
        <v>31</v>
      </c>
      <c r="F2086" s="5" t="s">
        <v>6000</v>
      </c>
      <c r="G2086" s="5" t="s">
        <v>6001</v>
      </c>
      <c r="H2086" s="5" t="s">
        <v>6077</v>
      </c>
      <c r="I2086" s="5" t="s">
        <v>6100</v>
      </c>
      <c r="J2086" s="5" t="s">
        <v>6101</v>
      </c>
      <c r="K2086" s="7" t="str">
        <f ca="1">IFERROR(__xludf.DUMMYFUNCTION("GOOGLETRANSLATE(H2086,""EN"",""ES"")"),"OTROS INSTRUMENTOS, APARATOS Y DISPOSITIVOS DE MEDICIÓN")</f>
        <v>OTROS INSTRUMENTOS, APARATOS Y DISPOSITIVOS DE MEDICIÓN</v>
      </c>
      <c r="L2086" s="5" t="str">
        <f ca="1">IFERROR(__xludf.DUMMYFUNCTION("GOOGLETRANSLATE(J2086,""EN"",""ES"")"),"Amperímetros")</f>
        <v>Amperímetros</v>
      </c>
      <c r="M2086" s="8" t="s">
        <v>30</v>
      </c>
      <c r="N2086" s="8"/>
    </row>
    <row r="2087" spans="1:14" ht="11.25" customHeight="1">
      <c r="A2087" s="5" t="s">
        <v>5996</v>
      </c>
      <c r="B2087" s="5" t="s">
        <v>6075</v>
      </c>
      <c r="C2087" s="5" t="s">
        <v>6102</v>
      </c>
      <c r="D2087" s="5" t="s">
        <v>5999</v>
      </c>
      <c r="E2087" s="5" t="s">
        <v>31</v>
      </c>
      <c r="F2087" s="5" t="s">
        <v>6000</v>
      </c>
      <c r="G2087" s="5" t="s">
        <v>6001</v>
      </c>
      <c r="H2087" s="5" t="s">
        <v>6077</v>
      </c>
      <c r="I2087" s="5" t="s">
        <v>6103</v>
      </c>
      <c r="J2087" s="5" t="s">
        <v>6104</v>
      </c>
      <c r="K2087" s="7" t="str">
        <f ca="1">IFERROR(__xludf.DUMMYFUNCTION("GOOGLETRANSLATE(H2087,""EN"",""ES"")"),"OTROS INSTRUMENTOS, APARATOS Y DISPOSITIVOS DE MEDICIÓN")</f>
        <v>OTROS INSTRUMENTOS, APARATOS Y DISPOSITIVOS DE MEDICIÓN</v>
      </c>
      <c r="L2087" s="5" t="str">
        <f ca="1">IFERROR(__xludf.DUMMYFUNCTION("GOOGLETRANSLATE(J2087,""EN"",""ES"")"),"Anemómetros")</f>
        <v>Anemómetros</v>
      </c>
      <c r="M2087" s="8" t="s">
        <v>30</v>
      </c>
      <c r="N2087" s="8"/>
    </row>
    <row r="2088" spans="1:14" ht="11.25" customHeight="1">
      <c r="A2088" s="5" t="s">
        <v>5996</v>
      </c>
      <c r="B2088" s="5" t="s">
        <v>6075</v>
      </c>
      <c r="C2088" s="5" t="s">
        <v>6105</v>
      </c>
      <c r="D2088" s="5" t="s">
        <v>5999</v>
      </c>
      <c r="E2088" s="5" t="s">
        <v>31</v>
      </c>
      <c r="F2088" s="5" t="s">
        <v>6000</v>
      </c>
      <c r="G2088" s="5" t="s">
        <v>6001</v>
      </c>
      <c r="H2088" s="5" t="s">
        <v>6077</v>
      </c>
      <c r="I2088" s="5" t="s">
        <v>6106</v>
      </c>
      <c r="J2088" s="5" t="s">
        <v>6107</v>
      </c>
      <c r="K2088" s="7" t="str">
        <f ca="1">IFERROR(__xludf.DUMMYFUNCTION("GOOGLETRANSLATE(H2088,""EN"",""ES"")"),"OTROS INSTRUMENTOS, APARATOS Y DISPOSITIVOS DE MEDICIÓN")</f>
        <v>OTROS INSTRUMENTOS, APARATOS Y DISPOSITIVOS DE MEDICIÓN</v>
      </c>
      <c r="L2088" s="5" t="str">
        <f ca="1">IFERROR(__xludf.DUMMYFUNCTION("GOOGLETRANSLATE(J2088,""EN"",""ES"")"),"Instrumentos topográficos")</f>
        <v>Instrumentos topográficos</v>
      </c>
      <c r="M2088" s="8" t="s">
        <v>30</v>
      </c>
      <c r="N2088" s="8"/>
    </row>
    <row r="2089" spans="1:14" ht="11.25" customHeight="1">
      <c r="A2089" s="5" t="s">
        <v>5996</v>
      </c>
      <c r="B2089" s="5" t="s">
        <v>6075</v>
      </c>
      <c r="C2089" s="5" t="s">
        <v>6108</v>
      </c>
      <c r="D2089" s="5" t="s">
        <v>5999</v>
      </c>
      <c r="E2089" s="5" t="s">
        <v>31</v>
      </c>
      <c r="F2089" s="5" t="s">
        <v>6000</v>
      </c>
      <c r="G2089" s="5" t="s">
        <v>6001</v>
      </c>
      <c r="H2089" s="5" t="s">
        <v>6077</v>
      </c>
      <c r="I2089" s="5" t="s">
        <v>6109</v>
      </c>
      <c r="J2089" s="5" t="s">
        <v>6110</v>
      </c>
      <c r="K2089" s="7" t="str">
        <f ca="1">IFERROR(__xludf.DUMMYFUNCTION("GOOGLETRANSLATE(H2089,""EN"",""ES"")"),"OTROS INSTRUMENTOS, APARATOS Y DISPOSITIVOS DE MEDICIÓN")</f>
        <v>OTROS INSTRUMENTOS, APARATOS Y DISPOSITIVOS DE MEDICIÓN</v>
      </c>
      <c r="L2089" s="5" t="str">
        <f ca="1">IFERROR(__xludf.DUMMYFUNCTION("GOOGLETRANSLATE(J2089,""EN"",""ES"")"),"Balanza")</f>
        <v>Balanza</v>
      </c>
      <c r="M2089" s="8" t="s">
        <v>30</v>
      </c>
      <c r="N2089" s="8"/>
    </row>
    <row r="2090" spans="1:14" ht="11.25" customHeight="1">
      <c r="A2090" s="5" t="s">
        <v>5996</v>
      </c>
      <c r="B2090" s="5" t="s">
        <v>6075</v>
      </c>
      <c r="C2090" s="5" t="s">
        <v>6111</v>
      </c>
      <c r="D2090" s="5" t="s">
        <v>5999</v>
      </c>
      <c r="E2090" s="5" t="s">
        <v>31</v>
      </c>
      <c r="F2090" s="5" t="s">
        <v>6000</v>
      </c>
      <c r="G2090" s="5" t="s">
        <v>6001</v>
      </c>
      <c r="H2090" s="5" t="s">
        <v>6077</v>
      </c>
      <c r="I2090" s="5" t="s">
        <v>6110</v>
      </c>
      <c r="J2090" s="5" t="s">
        <v>6112</v>
      </c>
      <c r="K2090" s="7" t="str">
        <f ca="1">IFERROR(__xludf.DUMMYFUNCTION("GOOGLETRANSLATE(H2090,""EN"",""ES"")"),"OTROS INSTRUMENTOS, APARATOS Y DISPOSITIVOS DE MEDICIÓN")</f>
        <v>OTROS INSTRUMENTOS, APARATOS Y DISPOSITIVOS DE MEDICIÓN</v>
      </c>
      <c r="L2090" s="5" t="str">
        <f ca="1">IFERROR(__xludf.DUMMYFUNCTION("GOOGLETRANSLATE(J2090,""EN"",""ES"")"),"Saldos")</f>
        <v>Saldos</v>
      </c>
      <c r="M2090" s="8" t="s">
        <v>30</v>
      </c>
      <c r="N2090" s="8"/>
    </row>
    <row r="2091" spans="1:14" ht="11.25" customHeight="1">
      <c r="A2091" s="5" t="s">
        <v>5996</v>
      </c>
      <c r="B2091" s="5" t="s">
        <v>6075</v>
      </c>
      <c r="C2091" s="5" t="s">
        <v>6113</v>
      </c>
      <c r="D2091" s="5" t="s">
        <v>5999</v>
      </c>
      <c r="E2091" s="5" t="s">
        <v>31</v>
      </c>
      <c r="F2091" s="5" t="s">
        <v>6000</v>
      </c>
      <c r="G2091" s="5" t="s">
        <v>6001</v>
      </c>
      <c r="H2091" s="5" t="s">
        <v>6077</v>
      </c>
      <c r="I2091" s="5" t="s">
        <v>6114</v>
      </c>
      <c r="J2091" s="5" t="s">
        <v>6115</v>
      </c>
      <c r="K2091" s="7" t="str">
        <f ca="1">IFERROR(__xludf.DUMMYFUNCTION("GOOGLETRANSLATE(H2091,""EN"",""ES"")"),"OTROS INSTRUMENTOS, APARATOS Y DISPOSITIVOS DE MEDICIÓN")</f>
        <v>OTROS INSTRUMENTOS, APARATOS Y DISPOSITIVOS DE MEDICIÓN</v>
      </c>
      <c r="L2091" s="5" t="str">
        <f ca="1">IFERROR(__xludf.DUMMYFUNCTION("GOOGLETRANSLATE(J2091,""EN"",""ES"")"),"Barómetros")</f>
        <v>Barómetros</v>
      </c>
      <c r="M2091" s="8" t="s">
        <v>30</v>
      </c>
      <c r="N2091" s="8"/>
    </row>
    <row r="2092" spans="1:14" ht="11.25" customHeight="1">
      <c r="A2092" s="5" t="s">
        <v>5996</v>
      </c>
      <c r="B2092" s="5" t="s">
        <v>6075</v>
      </c>
      <c r="C2092" s="5" t="s">
        <v>6116</v>
      </c>
      <c r="D2092" s="5" t="s">
        <v>5999</v>
      </c>
      <c r="E2092" s="5" t="s">
        <v>31</v>
      </c>
      <c r="F2092" s="5" t="s">
        <v>6000</v>
      </c>
      <c r="G2092" s="5" t="s">
        <v>6001</v>
      </c>
      <c r="H2092" s="5" t="s">
        <v>6077</v>
      </c>
      <c r="I2092" s="5" t="s">
        <v>6117</v>
      </c>
      <c r="J2092" s="5" t="s">
        <v>6118</v>
      </c>
      <c r="K2092" s="7" t="str">
        <f ca="1">IFERROR(__xludf.DUMMYFUNCTION("GOOGLETRANSLATE(H2092,""EN"",""ES"")"),"OTROS INSTRUMENTOS, APARATOS Y DISPOSITIVOS DE MEDICIÓN")</f>
        <v>OTROS INSTRUMENTOS, APARATOS Y DISPOSITIVOS DE MEDICIÓN</v>
      </c>
      <c r="L2092" s="5" t="str">
        <f ca="1">IFERROR(__xludf.DUMMYFUNCTION("GOOGLETRANSLATE(J2092,""EN"",""ES"")"),"maquinas de pesaje")</f>
        <v>maquinas de pesaje</v>
      </c>
      <c r="M2092" s="8" t="s">
        <v>30</v>
      </c>
      <c r="N2092" s="8"/>
    </row>
    <row r="2093" spans="1:14" ht="11.25" customHeight="1">
      <c r="A2093" s="5" t="s">
        <v>5996</v>
      </c>
      <c r="B2093" s="5" t="s">
        <v>6075</v>
      </c>
      <c r="C2093" s="5" t="s">
        <v>6119</v>
      </c>
      <c r="D2093" s="5" t="s">
        <v>5999</v>
      </c>
      <c r="E2093" s="5" t="s">
        <v>31</v>
      </c>
      <c r="F2093" s="5" t="s">
        <v>6000</v>
      </c>
      <c r="G2093" s="5" t="s">
        <v>6001</v>
      </c>
      <c r="H2093" s="5" t="s">
        <v>6077</v>
      </c>
      <c r="I2093" s="5" t="s">
        <v>6120</v>
      </c>
      <c r="J2093" s="5" t="s">
        <v>6121</v>
      </c>
      <c r="K2093" s="7" t="str">
        <f ca="1">IFERROR(__xludf.DUMMYFUNCTION("GOOGLETRANSLATE(H2093,""EN"",""ES"")"),"OTROS INSTRUMENTOS, APARATOS Y DISPOSITIVOS DE MEDICIÓN")</f>
        <v>OTROS INSTRUMENTOS, APARATOS Y DISPOSITIVOS DE MEDICIÓN</v>
      </c>
      <c r="L2093" s="5" t="str">
        <f ca="1">IFERROR(__xludf.DUMMYFUNCTION("GOOGLETRANSLATE(J2093,""EN"",""ES"")"),"butirómetros")</f>
        <v>butirómetros</v>
      </c>
      <c r="M2093" s="8" t="s">
        <v>30</v>
      </c>
      <c r="N2093" s="8"/>
    </row>
    <row r="2094" spans="1:14" ht="11.25" customHeight="1">
      <c r="A2094" s="5" t="s">
        <v>5996</v>
      </c>
      <c r="B2094" s="5" t="s">
        <v>6075</v>
      </c>
      <c r="C2094" s="5" t="s">
        <v>6122</v>
      </c>
      <c r="D2094" s="5" t="s">
        <v>5999</v>
      </c>
      <c r="E2094" s="5" t="s">
        <v>31</v>
      </c>
      <c r="F2094" s="5" t="s">
        <v>6000</v>
      </c>
      <c r="G2094" s="5" t="s">
        <v>6001</v>
      </c>
      <c r="H2094" s="5" t="s">
        <v>6077</v>
      </c>
      <c r="I2094" s="5" t="s">
        <v>6123</v>
      </c>
      <c r="J2094" s="5" t="s">
        <v>6124</v>
      </c>
      <c r="K2094" s="7" t="str">
        <f ca="1">IFERROR(__xludf.DUMMYFUNCTION("GOOGLETRANSLATE(H2094,""EN"",""ES"")"),"OTROS INSTRUMENTOS, APARATOS Y DISPOSITIVOS DE MEDICIÓN")</f>
        <v>OTROS INSTRUMENTOS, APARATOS Y DISPOSITIVOS DE MEDICIÓN</v>
      </c>
      <c r="L2094" s="5" t="str">
        <f ca="1">IFERROR(__xludf.DUMMYFUNCTION("GOOGLETRANSLATE(J2094,""EN"",""ES"")"),"Calibrador")</f>
        <v>Calibrador</v>
      </c>
      <c r="M2094" s="8" t="s">
        <v>30</v>
      </c>
      <c r="N2094" s="8"/>
    </row>
    <row r="2095" spans="1:14" ht="11.25" customHeight="1">
      <c r="A2095" s="5" t="s">
        <v>5996</v>
      </c>
      <c r="B2095" s="5" t="s">
        <v>6075</v>
      </c>
      <c r="C2095" s="5" t="s">
        <v>6125</v>
      </c>
      <c r="D2095" s="5" t="s">
        <v>5999</v>
      </c>
      <c r="E2095" s="5" t="s">
        <v>31</v>
      </c>
      <c r="F2095" s="5" t="s">
        <v>6000</v>
      </c>
      <c r="G2095" s="5" t="s">
        <v>6001</v>
      </c>
      <c r="H2095" s="5" t="s">
        <v>6077</v>
      </c>
      <c r="I2095" s="5" t="s">
        <v>6126</v>
      </c>
      <c r="J2095" s="5" t="s">
        <v>6127</v>
      </c>
      <c r="K2095" s="7" t="str">
        <f ca="1">IFERROR(__xludf.DUMMYFUNCTION("GOOGLETRANSLATE(H2095,""EN"",""ES"")"),"OTROS INSTRUMENTOS, APARATOS Y DISPOSITIVOS DE MEDICIÓN")</f>
        <v>OTROS INSTRUMENTOS, APARATOS Y DISPOSITIVOS DE MEDICIÓN</v>
      </c>
      <c r="L2095" s="5" t="str">
        <f ca="1">IFERROR(__xludf.DUMMYFUNCTION("GOOGLETRANSLATE(J2095,""EN"",""ES"")"),"Medidores para productos agrícolas.")</f>
        <v>Medidores para productos agrícolas.</v>
      </c>
      <c r="M2095" s="8" t="s">
        <v>30</v>
      </c>
      <c r="N2095" s="8"/>
    </row>
    <row r="2096" spans="1:14" ht="11.25" customHeight="1">
      <c r="A2096" s="5" t="s">
        <v>5996</v>
      </c>
      <c r="B2096" s="5" t="s">
        <v>6075</v>
      </c>
      <c r="C2096" s="5" t="s">
        <v>6128</v>
      </c>
      <c r="D2096" s="5" t="s">
        <v>5999</v>
      </c>
      <c r="E2096" s="5" t="s">
        <v>31</v>
      </c>
      <c r="F2096" s="5" t="s">
        <v>6000</v>
      </c>
      <c r="G2096" s="5" t="s">
        <v>6001</v>
      </c>
      <c r="H2096" s="5" t="s">
        <v>6077</v>
      </c>
      <c r="I2096" s="5" t="s">
        <v>6129</v>
      </c>
      <c r="J2096" s="5" t="s">
        <v>6130</v>
      </c>
      <c r="K2096" s="7" t="str">
        <f ca="1">IFERROR(__xludf.DUMMYFUNCTION("GOOGLETRANSLATE(H2096,""EN"",""ES"")"),"OTROS INSTRUMENTOS, APARATOS Y DISPOSITIVOS DE MEDICIÓN")</f>
        <v>OTROS INSTRUMENTOS, APARATOS Y DISPOSITIVOS DE MEDICIÓN</v>
      </c>
      <c r="L2096" s="5" t="str">
        <f ca="1">IFERROR(__xludf.DUMMYFUNCTION("GOOGLETRANSLATE(J2096,""EN"",""ES"")"),"Calorímetros")</f>
        <v>Calorímetros</v>
      </c>
      <c r="M2096" s="8" t="s">
        <v>30</v>
      </c>
      <c r="N2096" s="8"/>
    </row>
    <row r="2097" spans="1:14" ht="11.25" customHeight="1">
      <c r="A2097" s="5" t="s">
        <v>5996</v>
      </c>
      <c r="B2097" s="5" t="s">
        <v>6075</v>
      </c>
      <c r="C2097" s="5" t="s">
        <v>6131</v>
      </c>
      <c r="D2097" s="5" t="s">
        <v>5999</v>
      </c>
      <c r="E2097" s="5" t="s">
        <v>31</v>
      </c>
      <c r="F2097" s="5" t="s">
        <v>6000</v>
      </c>
      <c r="G2097" s="5" t="s">
        <v>6001</v>
      </c>
      <c r="H2097" s="5" t="s">
        <v>6077</v>
      </c>
      <c r="I2097" s="5" t="s">
        <v>6132</v>
      </c>
      <c r="J2097" s="5" t="s">
        <v>6133</v>
      </c>
      <c r="K2097" s="7" t="str">
        <f ca="1">IFERROR(__xludf.DUMMYFUNCTION("GOOGLETRANSLATE(H2097,""EN"",""ES"")"),"OTROS INSTRUMENTOS, APARATOS Y DISPOSITIVOS DE MEDICIÓN")</f>
        <v>OTROS INSTRUMENTOS, APARATOS Y DISPOSITIVOS DE MEDICIÓN</v>
      </c>
      <c r="L2097" s="5" t="str">
        <f ca="1">IFERROR(__xludf.DUMMYFUNCTION("GOOGLETRANSLATE(J2097,""EN"",""ES"")"),"Clinómetros")</f>
        <v>Clinómetros</v>
      </c>
      <c r="M2097" s="8" t="s">
        <v>30</v>
      </c>
      <c r="N2097" s="8"/>
    </row>
    <row r="2098" spans="1:14" ht="11.25" customHeight="1">
      <c r="A2098" s="5" t="s">
        <v>5996</v>
      </c>
      <c r="B2098" s="5" t="s">
        <v>6075</v>
      </c>
      <c r="C2098" s="5" t="s">
        <v>6131</v>
      </c>
      <c r="D2098" s="5" t="s">
        <v>5999</v>
      </c>
      <c r="E2098" s="5" t="s">
        <v>31</v>
      </c>
      <c r="F2098" s="5" t="s">
        <v>6000</v>
      </c>
      <c r="G2098" s="5" t="s">
        <v>6001</v>
      </c>
      <c r="H2098" s="5" t="s">
        <v>6077</v>
      </c>
      <c r="I2098" s="5" t="s">
        <v>6134</v>
      </c>
      <c r="J2098" s="5" t="s">
        <v>152</v>
      </c>
      <c r="K2098" s="7" t="str">
        <f ca="1">IFERROR(__xludf.DUMMYFUNCTION("GOOGLETRANSLATE(H2098,""EN"",""ES"")"),"OTROS INSTRUMENTOS, APARATOS Y DISPOSITIVOS DE MEDICIÓN")</f>
        <v>OTROS INSTRUMENTOS, APARATOS Y DISPOSITIVOS DE MEDICIÓN</v>
      </c>
      <c r="L2098" s="5" t="str">
        <f ca="1">IFERROR(__xludf.DUMMYFUNCTION("GOOGLETRANSLATE(J2098,""EN"",""ES"")"),"Inclinómetros")</f>
        <v>Inclinómetros</v>
      </c>
      <c r="M2098" s="8" t="s">
        <v>30</v>
      </c>
      <c r="N2098" s="8"/>
    </row>
    <row r="2099" spans="1:14" ht="11.25" customHeight="1">
      <c r="A2099" s="5" t="s">
        <v>5996</v>
      </c>
      <c r="B2099" s="5" t="s">
        <v>6075</v>
      </c>
      <c r="C2099" s="5" t="s">
        <v>6135</v>
      </c>
      <c r="D2099" s="5" t="s">
        <v>5999</v>
      </c>
      <c r="E2099" s="5" t="s">
        <v>31</v>
      </c>
      <c r="F2099" s="5" t="s">
        <v>6000</v>
      </c>
      <c r="G2099" s="5" t="s">
        <v>6001</v>
      </c>
      <c r="H2099" s="5" t="s">
        <v>6077</v>
      </c>
      <c r="I2099" s="5" t="s">
        <v>6136</v>
      </c>
      <c r="J2099" s="5" t="s">
        <v>6137</v>
      </c>
      <c r="K2099" s="7" t="str">
        <f ca="1">IFERROR(__xludf.DUMMYFUNCTION("GOOGLETRANSLATE(H2099,""EN"",""ES"")"),"OTROS INSTRUMENTOS, APARATOS Y DISPOSITIVOS DE MEDICIÓN")</f>
        <v>OTROS INSTRUMENTOS, APARATOS Y DISPOSITIVOS DE MEDICIÓN</v>
      </c>
      <c r="L2099" s="5" t="str">
        <f ca="1">IFERROR(__xludf.DUMMYFUNCTION("GOOGLETRANSLATE(J2099,""EN"",""ES"")"),"Comparadores")</f>
        <v>Comparadores</v>
      </c>
      <c r="M2099" s="8" t="s">
        <v>30</v>
      </c>
      <c r="N2099" s="8"/>
    </row>
    <row r="2100" spans="1:14" ht="11.25" customHeight="1">
      <c r="A2100" s="5" t="s">
        <v>5996</v>
      </c>
      <c r="B2100" s="5" t="s">
        <v>6075</v>
      </c>
      <c r="C2100" s="5" t="s">
        <v>6138</v>
      </c>
      <c r="D2100" s="5" t="s">
        <v>5999</v>
      </c>
      <c r="E2100" s="5" t="s">
        <v>31</v>
      </c>
      <c r="F2100" s="5" t="s">
        <v>6000</v>
      </c>
      <c r="G2100" s="5" t="s">
        <v>6001</v>
      </c>
      <c r="H2100" s="5" t="s">
        <v>6077</v>
      </c>
      <c r="I2100" s="5" t="s">
        <v>6139</v>
      </c>
      <c r="J2100" s="5" t="s">
        <v>6140</v>
      </c>
      <c r="K2100" s="7" t="str">
        <f ca="1">IFERROR(__xludf.DUMMYFUNCTION("GOOGLETRANSLATE(H2100,""EN"",""ES"")"),"OTROS INSTRUMENTOS, APARATOS Y DISPOSITIVOS DE MEDICIÓN")</f>
        <v>OTROS INSTRUMENTOS, APARATOS Y DISPOSITIVOS DE MEDICIÓN</v>
      </c>
      <c r="L2100" s="5" t="str">
        <f ca="1">IFERROR(__xludf.DUMMYFUNCTION("GOOGLETRANSLATE(J2100,""EN"",""ES"")"),"Contadores de agua")</f>
        <v>Contadores de agua</v>
      </c>
      <c r="M2100" s="8" t="s">
        <v>30</v>
      </c>
      <c r="N2100" s="8"/>
    </row>
    <row r="2101" spans="1:14" ht="11.25" customHeight="1">
      <c r="A2101" s="5" t="s">
        <v>5996</v>
      </c>
      <c r="B2101" s="5" t="s">
        <v>6075</v>
      </c>
      <c r="C2101" s="5" t="s">
        <v>6141</v>
      </c>
      <c r="D2101" s="5" t="s">
        <v>5999</v>
      </c>
      <c r="E2101" s="5" t="s">
        <v>31</v>
      </c>
      <c r="F2101" s="5" t="s">
        <v>6000</v>
      </c>
      <c r="G2101" s="5" t="s">
        <v>6001</v>
      </c>
      <c r="H2101" s="5" t="s">
        <v>6077</v>
      </c>
      <c r="I2101" s="5" t="s">
        <v>6142</v>
      </c>
      <c r="J2101" s="5" t="s">
        <v>6143</v>
      </c>
      <c r="K2101" s="7" t="str">
        <f ca="1">IFERROR(__xludf.DUMMYFUNCTION("GOOGLETRANSLATE(H2101,""EN"",""ES"")"),"OTROS INSTRUMENTOS, APARATOS Y DISPOSITIVOS DE MEDICIÓN")</f>
        <v>OTROS INSTRUMENTOS, APARATOS Y DISPOSITIVOS DE MEDICIÓN</v>
      </c>
      <c r="L2101" s="5" t="str">
        <f ca="1">IFERROR(__xludf.DUMMYFUNCTION("GOOGLETRANSLATE(J2101,""EN"",""ES"")"),"medidores de electricidad")</f>
        <v>medidores de electricidad</v>
      </c>
      <c r="M2101" s="8" t="s">
        <v>30</v>
      </c>
      <c r="N2101" s="8"/>
    </row>
    <row r="2102" spans="1:14" ht="11.25" customHeight="1">
      <c r="A2102" s="5" t="s">
        <v>5996</v>
      </c>
      <c r="B2102" s="5" t="s">
        <v>6075</v>
      </c>
      <c r="C2102" s="5" t="s">
        <v>6144</v>
      </c>
      <c r="D2102" s="5" t="s">
        <v>5999</v>
      </c>
      <c r="E2102" s="5" t="s">
        <v>31</v>
      </c>
      <c r="F2102" s="5" t="s">
        <v>6000</v>
      </c>
      <c r="G2102" s="5" t="s">
        <v>6001</v>
      </c>
      <c r="H2102" s="5" t="s">
        <v>6077</v>
      </c>
      <c r="I2102" s="5" t="s">
        <v>6145</v>
      </c>
      <c r="J2102" s="5" t="s">
        <v>6146</v>
      </c>
      <c r="K2102" s="7" t="str">
        <f ca="1">IFERROR(__xludf.DUMMYFUNCTION("GOOGLETRANSLATE(H2102,""EN"",""ES"")"),"OTROS INSTRUMENTOS, APARATOS Y DISPOSITIVOS DE MEDICIÓN")</f>
        <v>OTROS INSTRUMENTOS, APARATOS Y DISPOSITIVOS DE MEDICIÓN</v>
      </c>
      <c r="L2102" s="5" t="str">
        <f ca="1">IFERROR(__xludf.DUMMYFUNCTION("GOOGLETRANSLATE(J2102,""EN"",""ES"")"),"Aparatos de medición del contenido de depósitos.")</f>
        <v>Aparatos de medición del contenido de depósitos.</v>
      </c>
      <c r="M2102" s="8" t="s">
        <v>30</v>
      </c>
      <c r="N2102" s="8"/>
    </row>
    <row r="2103" spans="1:14" ht="11.25" customHeight="1">
      <c r="A2103" s="5" t="s">
        <v>5996</v>
      </c>
      <c r="B2103" s="5" t="s">
        <v>6075</v>
      </c>
      <c r="C2103" s="5" t="s">
        <v>6147</v>
      </c>
      <c r="D2103" s="5" t="s">
        <v>5999</v>
      </c>
      <c r="E2103" s="5" t="s">
        <v>31</v>
      </c>
      <c r="F2103" s="5" t="s">
        <v>6000</v>
      </c>
      <c r="G2103" s="5" t="s">
        <v>6001</v>
      </c>
      <c r="H2103" s="5" t="s">
        <v>6077</v>
      </c>
      <c r="I2103" s="5" t="s">
        <v>6148</v>
      </c>
      <c r="J2103" s="5" t="s">
        <v>6149</v>
      </c>
      <c r="K2103" s="7" t="str">
        <f ca="1">IFERROR(__xludf.DUMMYFUNCTION("GOOGLETRANSLATE(H2103,""EN"",""ES"")"),"OTROS INSTRUMENTOS, APARATOS Y DISPOSITIVOS DE MEDICIÓN")</f>
        <v>OTROS INSTRUMENTOS, APARATOS Y DISPOSITIVOS DE MEDICIÓN</v>
      </c>
      <c r="L2103" s="5" t="str">
        <f ca="1">IFERROR(__xludf.DUMMYFUNCTION("GOOGLETRANSLATE(J2103,""EN"",""ES"")"),"Medidores de flujo")</f>
        <v>Medidores de flujo</v>
      </c>
      <c r="M2103" s="8" t="s">
        <v>30</v>
      </c>
      <c r="N2103" s="8"/>
    </row>
    <row r="2104" spans="1:14" ht="11.25" customHeight="1">
      <c r="A2104" s="5" t="s">
        <v>5996</v>
      </c>
      <c r="B2104" s="5" t="s">
        <v>6075</v>
      </c>
      <c r="C2104" s="5" t="s">
        <v>6150</v>
      </c>
      <c r="D2104" s="5" t="s">
        <v>5999</v>
      </c>
      <c r="E2104" s="5" t="s">
        <v>31</v>
      </c>
      <c r="F2104" s="5" t="s">
        <v>6000</v>
      </c>
      <c r="G2104" s="5" t="s">
        <v>6001</v>
      </c>
      <c r="H2104" s="5" t="s">
        <v>6077</v>
      </c>
      <c r="I2104" s="5" t="s">
        <v>6151</v>
      </c>
      <c r="J2104" s="5" t="s">
        <v>6152</v>
      </c>
      <c r="K2104" s="7" t="str">
        <f ca="1">IFERROR(__xludf.DUMMYFUNCTION("GOOGLETRANSLATE(H2104,""EN"",""ES"")"),"OTROS INSTRUMENTOS, APARATOS Y DISPOSITIVOS DE MEDICIÓN")</f>
        <v>OTROS INSTRUMENTOS, APARATOS Y DISPOSITIVOS DE MEDICIÓN</v>
      </c>
      <c r="L2104" s="5" t="str">
        <f ca="1">IFERROR(__xludf.DUMMYFUNCTION("GOOGLETRANSLATE(J2104,""EN"",""ES"")"),"Reglas para medir")</f>
        <v>Reglas para medir</v>
      </c>
      <c r="M2104" s="8" t="s">
        <v>30</v>
      </c>
      <c r="N2104" s="8"/>
    </row>
    <row r="2105" spans="1:14" ht="11.25" customHeight="1">
      <c r="A2105" s="5" t="s">
        <v>5996</v>
      </c>
      <c r="B2105" s="5" t="s">
        <v>6075</v>
      </c>
      <c r="C2105" s="5" t="s">
        <v>6153</v>
      </c>
      <c r="D2105" s="5" t="s">
        <v>5999</v>
      </c>
      <c r="E2105" s="5" t="s">
        <v>31</v>
      </c>
      <c r="F2105" s="5" t="s">
        <v>6000</v>
      </c>
      <c r="G2105" s="5" t="s">
        <v>6001</v>
      </c>
      <c r="H2105" s="5" t="s">
        <v>6077</v>
      </c>
      <c r="I2105" s="5" t="s">
        <v>6154</v>
      </c>
      <c r="J2105" s="5" t="s">
        <v>6155</v>
      </c>
      <c r="K2105" s="7" t="str">
        <f ca="1">IFERROR(__xludf.DUMMYFUNCTION("GOOGLETRANSLATE(H2105,""EN"",""ES"")"),"OTROS INSTRUMENTOS, APARATOS Y DISPOSITIVOS DE MEDICIÓN")</f>
        <v>OTROS INSTRUMENTOS, APARATOS Y DISPOSITIVOS DE MEDICIÓN</v>
      </c>
      <c r="L2105" s="5" t="str">
        <f ca="1">IFERROR(__xludf.DUMMYFUNCTION("GOOGLETRANSLATE(J2105,""EN"",""ES"")"),"Densímetros")</f>
        <v>Densímetros</v>
      </c>
      <c r="M2105" s="8" t="s">
        <v>30</v>
      </c>
      <c r="N2105" s="8"/>
    </row>
    <row r="2106" spans="1:14" ht="11.25" customHeight="1">
      <c r="A2106" s="5" t="s">
        <v>5996</v>
      </c>
      <c r="B2106" s="5" t="s">
        <v>6075</v>
      </c>
      <c r="C2106" s="5" t="s">
        <v>6156</v>
      </c>
      <c r="D2106" s="5" t="s">
        <v>5999</v>
      </c>
      <c r="E2106" s="5" t="s">
        <v>31</v>
      </c>
      <c r="F2106" s="5" t="s">
        <v>6000</v>
      </c>
      <c r="G2106" s="5" t="s">
        <v>6001</v>
      </c>
      <c r="H2106" s="5" t="s">
        <v>6077</v>
      </c>
      <c r="I2106" s="5" t="s">
        <v>6157</v>
      </c>
      <c r="J2106" s="5" t="s">
        <v>6158</v>
      </c>
      <c r="K2106" s="7" t="str">
        <f ca="1">IFERROR(__xludf.DUMMYFUNCTION("GOOGLETRANSLATE(H2106,""EN"",""ES"")"),"OTROS INSTRUMENTOS, APARATOS Y DISPOSITIVOS DE MEDICIÓN")</f>
        <v>OTROS INSTRUMENTOS, APARATOS Y DISPOSITIVOS DE MEDICIÓN</v>
      </c>
      <c r="L2106" s="5" t="str">
        <f ca="1">IFERROR(__xludf.DUMMYFUNCTION("GOOGLETRANSLATE(J2106,""EN"",""ES"")"),"Dispositivos de medición del pie")</f>
        <v>Dispositivos de medición del pie</v>
      </c>
      <c r="M2106" s="8" t="s">
        <v>30</v>
      </c>
      <c r="N2106" s="8"/>
    </row>
    <row r="2107" spans="1:14" ht="11.25" customHeight="1">
      <c r="A2107" s="5" t="s">
        <v>5996</v>
      </c>
      <c r="B2107" s="5" t="s">
        <v>6075</v>
      </c>
      <c r="C2107" s="5" t="s">
        <v>6159</v>
      </c>
      <c r="D2107" s="5" t="s">
        <v>5999</v>
      </c>
      <c r="E2107" s="5" t="s">
        <v>31</v>
      </c>
      <c r="F2107" s="5" t="s">
        <v>6000</v>
      </c>
      <c r="G2107" s="5" t="s">
        <v>6001</v>
      </c>
      <c r="H2107" s="5" t="s">
        <v>6077</v>
      </c>
      <c r="I2107" s="5" t="s">
        <v>6160</v>
      </c>
      <c r="J2107" s="5" t="s">
        <v>6161</v>
      </c>
      <c r="K2107" s="7" t="str">
        <f ca="1">IFERROR(__xludf.DUMMYFUNCTION("GOOGLETRANSLATE(H2107,""EN"",""ES"")"),"OTROS INSTRUMENTOS, APARATOS Y DISPOSITIVOS DE MEDICIÓN")</f>
        <v>OTROS INSTRUMENTOS, APARATOS Y DISPOSITIVOS DE MEDICIÓN</v>
      </c>
      <c r="L2107" s="5" t="str">
        <f ca="1">IFERROR(__xludf.DUMMYFUNCTION("GOOGLETRANSLATE(J2107,""EN"",""ES"")"),"Aparato de medición de distancias")</f>
        <v>Aparato de medición de distancias</v>
      </c>
      <c r="M2107" s="8" t="s">
        <v>30</v>
      </c>
      <c r="N2107" s="8"/>
    </row>
    <row r="2108" spans="1:14" ht="11.25" customHeight="1">
      <c r="A2108" s="5" t="s">
        <v>5996</v>
      </c>
      <c r="B2108" s="5" t="s">
        <v>6075</v>
      </c>
      <c r="C2108" s="5" t="s">
        <v>6162</v>
      </c>
      <c r="D2108" s="5" t="s">
        <v>5999</v>
      </c>
      <c r="E2108" s="5" t="s">
        <v>31</v>
      </c>
      <c r="F2108" s="5" t="s">
        <v>6000</v>
      </c>
      <c r="G2108" s="5" t="s">
        <v>6001</v>
      </c>
      <c r="H2108" s="5" t="s">
        <v>6077</v>
      </c>
      <c r="I2108" s="5" t="s">
        <v>6163</v>
      </c>
      <c r="J2108" s="5" t="s">
        <v>6164</v>
      </c>
      <c r="K2108" s="7" t="str">
        <f ca="1">IFERROR(__xludf.DUMMYFUNCTION("GOOGLETRANSLATE(H2108,""EN"",""ES"")"),"OTROS INSTRUMENTOS, APARATOS Y DISPOSITIVOS DE MEDICIÓN")</f>
        <v>OTROS INSTRUMENTOS, APARATOS Y DISPOSITIVOS DE MEDICIÓN</v>
      </c>
      <c r="L2108" s="5" t="str">
        <f ca="1">IFERROR(__xludf.DUMMYFUNCTION("GOOGLETRANSLATE(J2108,""EN"",""ES"")"),"Dinamómetros")</f>
        <v>Dinamómetros</v>
      </c>
      <c r="M2108" s="8" t="s">
        <v>30</v>
      </c>
      <c r="N2108" s="8"/>
    </row>
    <row r="2109" spans="1:14" ht="11.25" customHeight="1">
      <c r="A2109" s="5" t="s">
        <v>5996</v>
      </c>
      <c r="B2109" s="5" t="s">
        <v>6075</v>
      </c>
      <c r="C2109" s="5" t="s">
        <v>6165</v>
      </c>
      <c r="D2109" s="5" t="s">
        <v>5999</v>
      </c>
      <c r="E2109" s="5" t="s">
        <v>31</v>
      </c>
      <c r="F2109" s="5" t="s">
        <v>6000</v>
      </c>
      <c r="G2109" s="5" t="s">
        <v>6001</v>
      </c>
      <c r="H2109" s="5" t="s">
        <v>6077</v>
      </c>
      <c r="I2109" s="5" t="s">
        <v>6166</v>
      </c>
      <c r="J2109" s="5" t="s">
        <v>6167</v>
      </c>
      <c r="K2109" s="7" t="str">
        <f ca="1">IFERROR(__xludf.DUMMYFUNCTION("GOOGLETRANSLATE(H2109,""EN"",""ES"")"),"OTROS INSTRUMENTOS, APARATOS Y DISPOSITIVOS DE MEDICIÓN")</f>
        <v>OTROS INSTRUMENTOS, APARATOS Y DISPOSITIVOS DE MEDICIÓN</v>
      </c>
      <c r="L2109" s="5" t="str">
        <f ca="1">IFERROR(__xludf.DUMMYFUNCTION("GOOGLETRANSLATE(J2109,""EN"",""ES"")"),"Ebulliómetros")</f>
        <v>Ebulliómetros</v>
      </c>
      <c r="M2109" s="8" t="s">
        <v>30</v>
      </c>
      <c r="N2109" s="8"/>
    </row>
    <row r="2110" spans="1:14" ht="11.25" customHeight="1">
      <c r="A2110" s="5" t="s">
        <v>5996</v>
      </c>
      <c r="B2110" s="5" t="s">
        <v>6075</v>
      </c>
      <c r="C2110" s="5" t="s">
        <v>6168</v>
      </c>
      <c r="D2110" s="5" t="s">
        <v>5999</v>
      </c>
      <c r="E2110" s="5" t="s">
        <v>31</v>
      </c>
      <c r="F2110" s="5" t="s">
        <v>6000</v>
      </c>
      <c r="G2110" s="5" t="s">
        <v>6001</v>
      </c>
      <c r="H2110" s="5" t="s">
        <v>6077</v>
      </c>
      <c r="I2110" s="5" t="s">
        <v>6169</v>
      </c>
      <c r="J2110" s="5" t="s">
        <v>6170</v>
      </c>
      <c r="K2110" s="7" t="str">
        <f ca="1">IFERROR(__xludf.DUMMYFUNCTION("GOOGLETRANSLATE(H2110,""EN"",""ES"")"),"OTROS INSTRUMENTOS, APARATOS Y DISPOSITIVOS DE MEDICIÓN")</f>
        <v>OTROS INSTRUMENTOS, APARATOS Y DISPOSITIVOS DE MEDICIÓN</v>
      </c>
      <c r="L2110" s="5" t="str">
        <f ca="1">IFERROR(__xludf.DUMMYFUNCTION("GOOGLETRANSLATE(J2110,""EN"",""ES"")"),"Estuches para cinta métrica")</f>
        <v>Estuches para cinta métrica</v>
      </c>
      <c r="M2110" s="8" t="s">
        <v>30</v>
      </c>
      <c r="N2110" s="8"/>
    </row>
    <row r="2111" spans="1:14" ht="11.25" customHeight="1">
      <c r="A2111" s="5" t="s">
        <v>5996</v>
      </c>
      <c r="B2111" s="5" t="s">
        <v>6075</v>
      </c>
      <c r="C2111" s="5" t="s">
        <v>6171</v>
      </c>
      <c r="D2111" s="5" t="s">
        <v>5999</v>
      </c>
      <c r="E2111" s="5" t="s">
        <v>31</v>
      </c>
      <c r="F2111" s="5" t="s">
        <v>6000</v>
      </c>
      <c r="G2111" s="5" t="s">
        <v>6001</v>
      </c>
      <c r="H2111" s="5" t="s">
        <v>6077</v>
      </c>
      <c r="I2111" s="5" t="s">
        <v>6172</v>
      </c>
      <c r="J2111" s="5" t="s">
        <v>6173</v>
      </c>
      <c r="K2111" s="7" t="str">
        <f ca="1">IFERROR(__xludf.DUMMYFUNCTION("GOOGLETRANSLATE(H2111,""EN"",""ES"")"),"OTROS INSTRUMENTOS, APARATOS Y DISPOSITIVOS DE MEDICIÓN")</f>
        <v>OTROS INSTRUMENTOS, APARATOS Y DISPOSITIVOS DE MEDICIÓN</v>
      </c>
      <c r="L2111" s="5" t="str">
        <f ca="1">IFERROR(__xludf.DUMMYFUNCTION("GOOGLETRANSLATE(J2111,""EN"",""ES"")"),"Galvanómetros")</f>
        <v>Galvanómetros</v>
      </c>
      <c r="M2111" s="8" t="s">
        <v>30</v>
      </c>
      <c r="N2111" s="8"/>
    </row>
    <row r="2112" spans="1:14" ht="11.25" customHeight="1">
      <c r="A2112" s="5" t="s">
        <v>5996</v>
      </c>
      <c r="B2112" s="5" t="s">
        <v>6075</v>
      </c>
      <c r="C2112" s="5" t="s">
        <v>6174</v>
      </c>
      <c r="D2112" s="5" t="s">
        <v>5999</v>
      </c>
      <c r="E2112" s="5" t="s">
        <v>31</v>
      </c>
      <c r="F2112" s="5" t="s">
        <v>6000</v>
      </c>
      <c r="G2112" s="5" t="s">
        <v>6001</v>
      </c>
      <c r="H2112" s="5" t="s">
        <v>6077</v>
      </c>
      <c r="I2112" s="5" t="s">
        <v>6175</v>
      </c>
      <c r="J2112" s="5" t="s">
        <v>6176</v>
      </c>
      <c r="K2112" s="7" t="str">
        <f ca="1">IFERROR(__xludf.DUMMYFUNCTION("GOOGLETRANSLATE(H2112,""EN"",""ES"")"),"OTROS INSTRUMENTOS, APARATOS Y DISPOSITIVOS DE MEDICIÓN")</f>
        <v>OTROS INSTRUMENTOS, APARATOS Y DISPOSITIVOS DE MEDICIÓN</v>
      </c>
      <c r="L2112" s="5" t="str">
        <f ca="1">IFERROR(__xludf.DUMMYFUNCTION("GOOGLETRANSLATE(J2112,""EN"",""ES"")"),"Aparatos e instrumentos geodésicos.")</f>
        <v>Aparatos e instrumentos geodésicos.</v>
      </c>
      <c r="M2112" s="8" t="s">
        <v>30</v>
      </c>
      <c r="N2112" s="8"/>
    </row>
    <row r="2113" spans="1:14" ht="11.25" customHeight="1">
      <c r="A2113" s="5" t="s">
        <v>5996</v>
      </c>
      <c r="B2113" s="5" t="s">
        <v>6075</v>
      </c>
      <c r="C2113" s="5" t="s">
        <v>6177</v>
      </c>
      <c r="D2113" s="5" t="s">
        <v>5999</v>
      </c>
      <c r="E2113" s="5" t="s">
        <v>31</v>
      </c>
      <c r="F2113" s="5" t="s">
        <v>6000</v>
      </c>
      <c r="G2113" s="5" t="s">
        <v>6001</v>
      </c>
      <c r="H2113" s="5" t="s">
        <v>6077</v>
      </c>
      <c r="I2113" s="5" t="s">
        <v>6178</v>
      </c>
      <c r="J2113" s="5" t="s">
        <v>6179</v>
      </c>
      <c r="K2113" s="7" t="str">
        <f ca="1">IFERROR(__xludf.DUMMYFUNCTION("GOOGLETRANSLATE(H2113,""EN"",""ES"")"),"OTROS INSTRUMENTOS, APARATOS Y DISPOSITIVOS DE MEDICIÓN")</f>
        <v>OTROS INSTRUMENTOS, APARATOS Y DISPOSITIVOS DE MEDICIÓN</v>
      </c>
      <c r="L2113" s="5" t="str">
        <f ca="1">IFERROR(__xludf.DUMMYFUNCTION("GOOGLETRANSLATE(J2113,""EN"",""ES"")"),"Goniómetros")</f>
        <v>Goniómetros</v>
      </c>
      <c r="M2113" s="8" t="s">
        <v>30</v>
      </c>
      <c r="N2113" s="8"/>
    </row>
    <row r="2114" spans="1:14" ht="11.25" customHeight="1">
      <c r="A2114" s="5" t="s">
        <v>5996</v>
      </c>
      <c r="B2114" s="5" t="s">
        <v>6075</v>
      </c>
      <c r="C2114" s="5" t="s">
        <v>6180</v>
      </c>
      <c r="D2114" s="5" t="s">
        <v>5999</v>
      </c>
      <c r="E2114" s="5" t="s">
        <v>31</v>
      </c>
      <c r="F2114" s="5" t="s">
        <v>6000</v>
      </c>
      <c r="G2114" s="5" t="s">
        <v>6001</v>
      </c>
      <c r="H2114" s="5" t="s">
        <v>6077</v>
      </c>
      <c r="I2114" s="5" t="s">
        <v>6181</v>
      </c>
      <c r="J2114" s="5" t="s">
        <v>6182</v>
      </c>
      <c r="K2114" s="7" t="str">
        <f ca="1">IFERROR(__xludf.DUMMYFUNCTION("GOOGLETRANSLATE(H2114,""EN"",""ES"")"),"OTROS INSTRUMENTOS, APARATOS Y DISPOSITIVOS DE MEDICIÓN")</f>
        <v>OTROS INSTRUMENTOS, APARATOS Y DISPOSITIVOS DE MEDICIÓN</v>
      </c>
      <c r="L2114" s="5" t="str">
        <f ca="1">IFERROR(__xludf.DUMMYFUNCTION("GOOGLETRANSLATE(J2114,""EN"",""ES"")"),"Instrumentos de medición de la dureza del agua.")</f>
        <v>Instrumentos de medición de la dureza del agua.</v>
      </c>
      <c r="M2114" s="8" t="s">
        <v>30</v>
      </c>
      <c r="N2114" s="8"/>
    </row>
    <row r="2115" spans="1:14" ht="11.25" customHeight="1">
      <c r="A2115" s="5" t="s">
        <v>5996</v>
      </c>
      <c r="B2115" s="5" t="s">
        <v>6075</v>
      </c>
      <c r="C2115" s="5" t="s">
        <v>6183</v>
      </c>
      <c r="D2115" s="5" t="s">
        <v>5999</v>
      </c>
      <c r="E2115" s="5" t="s">
        <v>31</v>
      </c>
      <c r="F2115" s="5" t="s">
        <v>6000</v>
      </c>
      <c r="G2115" s="5" t="s">
        <v>6001</v>
      </c>
      <c r="H2115" s="5" t="s">
        <v>6077</v>
      </c>
      <c r="I2115" s="5" t="s">
        <v>6184</v>
      </c>
      <c r="J2115" s="5" t="s">
        <v>6185</v>
      </c>
      <c r="K2115" s="7" t="str">
        <f ca="1">IFERROR(__xludf.DUMMYFUNCTION("GOOGLETRANSLATE(H2115,""EN"",""ES"")"),"OTROS INSTRUMENTOS, APARATOS Y DISPOSITIVOS DE MEDICIÓN")</f>
        <v>OTROS INSTRUMENTOS, APARATOS Y DISPOSITIVOS DE MEDICIÓN</v>
      </c>
      <c r="L2115" s="5" t="str">
        <f ca="1">IFERROR(__xludf.DUMMYFUNCTION("GOOGLETRANSLATE(J2115,""EN"",""ES"")"),"Higrómetros")</f>
        <v>Higrómetros</v>
      </c>
      <c r="M2115" s="8" t="s">
        <v>30</v>
      </c>
      <c r="N2115" s="8"/>
    </row>
    <row r="2116" spans="1:14" ht="11.25" customHeight="1">
      <c r="A2116" s="5" t="s">
        <v>5996</v>
      </c>
      <c r="B2116" s="5" t="s">
        <v>6075</v>
      </c>
      <c r="C2116" s="5" t="s">
        <v>6186</v>
      </c>
      <c r="D2116" s="5" t="s">
        <v>5999</v>
      </c>
      <c r="E2116" s="5" t="s">
        <v>31</v>
      </c>
      <c r="F2116" s="5" t="s">
        <v>6000</v>
      </c>
      <c r="G2116" s="5" t="s">
        <v>6001</v>
      </c>
      <c r="H2116" s="5" t="s">
        <v>6077</v>
      </c>
      <c r="I2116" s="5" t="s">
        <v>6187</v>
      </c>
      <c r="J2116" s="5" t="s">
        <v>6188</v>
      </c>
      <c r="K2116" s="7" t="str">
        <f ca="1">IFERROR(__xludf.DUMMYFUNCTION("GOOGLETRANSLATE(H2116,""EN"",""ES"")"),"OTROS INSTRUMENTOS, APARATOS Y DISPOSITIVOS DE MEDICIÓN")</f>
        <v>OTROS INSTRUMENTOS, APARATOS Y DISPOSITIVOS DE MEDICIÓN</v>
      </c>
      <c r="L2116" s="5" t="str">
        <f ca="1">IFERROR(__xludf.DUMMYFUNCTION("GOOGLETRANSLATE(J2116,""EN"",""ES"")"),"Indicadores de consumo de combustible para vehículos.")</f>
        <v>Indicadores de consumo de combustible para vehículos.</v>
      </c>
      <c r="M2116" s="8" t="s">
        <v>30</v>
      </c>
      <c r="N2116" s="8"/>
    </row>
    <row r="2117" spans="1:14" ht="11.25" customHeight="1">
      <c r="A2117" s="5" t="s">
        <v>5996</v>
      </c>
      <c r="B2117" s="5" t="s">
        <v>6075</v>
      </c>
      <c r="C2117" s="5" t="s">
        <v>6189</v>
      </c>
      <c r="D2117" s="5" t="s">
        <v>5999</v>
      </c>
      <c r="E2117" s="5" t="s">
        <v>31</v>
      </c>
      <c r="F2117" s="5" t="s">
        <v>6000</v>
      </c>
      <c r="G2117" s="5" t="s">
        <v>6001</v>
      </c>
      <c r="H2117" s="5" t="s">
        <v>6077</v>
      </c>
      <c r="I2117" s="5" t="s">
        <v>6190</v>
      </c>
      <c r="J2117" s="5" t="s">
        <v>6191</v>
      </c>
      <c r="K2117" s="7" t="str">
        <f ca="1">IFERROR(__xludf.DUMMYFUNCTION("GOOGLETRANSLATE(H2117,""EN"",""ES"")"),"OTROS INSTRUMENTOS, APARATOS Y DISPOSITIVOS DE MEDICIÓN")</f>
        <v>OTROS INSTRUMENTOS, APARATOS Y DISPOSITIVOS DE MEDICIÓN</v>
      </c>
      <c r="L2117" s="5" t="str">
        <f ca="1">IFERROR(__xludf.DUMMYFUNCTION("GOOGLETRANSLATE(J2117,""EN"",""ES"")"),"Indicadores de cocción [cocina]")</f>
        <v>Indicadores de cocción [cocina]</v>
      </c>
      <c r="M2117" s="8" t="s">
        <v>30</v>
      </c>
      <c r="N2117" s="8"/>
    </row>
    <row r="2118" spans="1:14" ht="11.25" customHeight="1">
      <c r="A2118" s="5" t="s">
        <v>5996</v>
      </c>
      <c r="B2118" s="5" t="s">
        <v>6075</v>
      </c>
      <c r="C2118" s="5" t="s">
        <v>6192</v>
      </c>
      <c r="D2118" s="5" t="s">
        <v>5999</v>
      </c>
      <c r="E2118" s="5" t="s">
        <v>31</v>
      </c>
      <c r="F2118" s="5" t="s">
        <v>6000</v>
      </c>
      <c r="G2118" s="5" t="s">
        <v>6001</v>
      </c>
      <c r="H2118" s="5" t="s">
        <v>6077</v>
      </c>
      <c r="I2118" s="5" t="s">
        <v>6193</v>
      </c>
      <c r="J2118" s="5" t="s">
        <v>6194</v>
      </c>
      <c r="K2118" s="7" t="str">
        <f ca="1">IFERROR(__xludf.DUMMYFUNCTION("GOOGLETRANSLATE(H2118,""EN"",""ES"")"),"OTROS INSTRUMENTOS, APARATOS Y DISPOSITIVOS DE MEDICIÓN")</f>
        <v>OTROS INSTRUMENTOS, APARATOS Y DISPOSITIVOS DE MEDICIÓN</v>
      </c>
      <c r="L2118" s="5" t="str">
        <f ca="1">IFERROR(__xludf.DUMMYFUNCTION("GOOGLETRANSLATE(J2118,""EN"",""ES"")"),"Medidores de temperatura")</f>
        <v>Medidores de temperatura</v>
      </c>
      <c r="M2118" s="8" t="s">
        <v>30</v>
      </c>
      <c r="N2118" s="8"/>
    </row>
    <row r="2119" spans="1:14" ht="11.25" customHeight="1">
      <c r="A2119" s="5" t="s">
        <v>5996</v>
      </c>
      <c r="B2119" s="5" t="s">
        <v>6075</v>
      </c>
      <c r="C2119" s="5" t="s">
        <v>6195</v>
      </c>
      <c r="D2119" s="5" t="s">
        <v>5999</v>
      </c>
      <c r="E2119" s="5" t="s">
        <v>31</v>
      </c>
      <c r="F2119" s="5" t="s">
        <v>6000</v>
      </c>
      <c r="G2119" s="5" t="s">
        <v>6001</v>
      </c>
      <c r="H2119" s="5" t="s">
        <v>6077</v>
      </c>
      <c r="I2119" s="5" t="s">
        <v>6196</v>
      </c>
      <c r="J2119" s="5" t="s">
        <v>6197</v>
      </c>
      <c r="K2119" s="7" t="str">
        <f ca="1">IFERROR(__xludf.DUMMYFUNCTION("GOOGLETRANSLATE(H2119,""EN"",""ES"")"),"OTROS INSTRUMENTOS, APARATOS Y DISPOSITIVOS DE MEDICIÓN")</f>
        <v>OTROS INSTRUMENTOS, APARATOS Y DISPOSITIVOS DE MEDICIÓN</v>
      </c>
      <c r="L2119" s="5" t="str">
        <f ca="1">IFERROR(__xludf.DUMMYFUNCTION("GOOGLETRANSLATE(J2119,""EN"",""ES"")"),"Velocímetros")</f>
        <v>Velocímetros</v>
      </c>
      <c r="M2119" s="8" t="s">
        <v>30</v>
      </c>
      <c r="N2119" s="8"/>
    </row>
    <row r="2120" spans="1:14" ht="11.25" customHeight="1">
      <c r="A2120" s="5" t="s">
        <v>5996</v>
      </c>
      <c r="B2120" s="5" t="s">
        <v>6075</v>
      </c>
      <c r="C2120" s="5" t="s">
        <v>6198</v>
      </c>
      <c r="D2120" s="5" t="s">
        <v>5999</v>
      </c>
      <c r="E2120" s="5" t="s">
        <v>31</v>
      </c>
      <c r="F2120" s="5" t="s">
        <v>6000</v>
      </c>
      <c r="G2120" s="5" t="s">
        <v>6001</v>
      </c>
      <c r="H2120" s="5" t="s">
        <v>6077</v>
      </c>
      <c r="I2120" s="5" t="s">
        <v>6199</v>
      </c>
      <c r="J2120" s="5" t="s">
        <v>6200</v>
      </c>
      <c r="K2120" s="7" t="str">
        <f ca="1">IFERROR(__xludf.DUMMYFUNCTION("GOOGLETRANSLATE(H2120,""EN"",""ES"")"),"OTROS INSTRUMENTOS, APARATOS Y DISPOSITIVOS DE MEDICIÓN")</f>
        <v>OTROS INSTRUMENTOS, APARATOS Y DISPOSITIVOS DE MEDICIÓN</v>
      </c>
      <c r="L2120" s="5" t="str">
        <f ca="1">IFERROR(__xludf.DUMMYFUNCTION("GOOGLETRANSLATE(J2120,""EN"",""ES"")"),"medidores")</f>
        <v>medidores</v>
      </c>
      <c r="M2120" s="8" t="s">
        <v>30</v>
      </c>
      <c r="N2120" s="8"/>
    </row>
    <row r="2121" spans="1:14" ht="11.25" customHeight="1">
      <c r="A2121" s="5" t="s">
        <v>5996</v>
      </c>
      <c r="B2121" s="5" t="s">
        <v>6075</v>
      </c>
      <c r="C2121" s="5" t="s">
        <v>6201</v>
      </c>
      <c r="D2121" s="5" t="s">
        <v>5999</v>
      </c>
      <c r="E2121" s="5" t="s">
        <v>31</v>
      </c>
      <c r="F2121" s="5" t="s">
        <v>6000</v>
      </c>
      <c r="G2121" s="5" t="s">
        <v>6001</v>
      </c>
      <c r="H2121" s="5" t="s">
        <v>6077</v>
      </c>
      <c r="I2121" s="5" t="s">
        <v>6202</v>
      </c>
      <c r="J2121" s="5" t="s">
        <v>6203</v>
      </c>
      <c r="K2121" s="7" t="str">
        <f ca="1">IFERROR(__xludf.DUMMYFUNCTION("GOOGLETRANSLATE(H2121,""EN"",""ES"")"),"OTROS INSTRUMENTOS, APARATOS Y DISPOSITIVOS DE MEDICIÓN")</f>
        <v>OTROS INSTRUMENTOS, APARATOS Y DISPOSITIVOS DE MEDICIÓN</v>
      </c>
      <c r="L2121" s="5" t="str">
        <f ca="1">IFERROR(__xludf.DUMMYFUNCTION("GOOGLETRANSLATE(J2121,""EN"",""ES"")"),"Bitácoras de barcos")</f>
        <v>Bitácoras de barcos</v>
      </c>
      <c r="M2121" s="8" t="s">
        <v>30</v>
      </c>
      <c r="N2121" s="8"/>
    </row>
    <row r="2122" spans="1:14" ht="11.25" customHeight="1">
      <c r="A2122" s="5" t="s">
        <v>5996</v>
      </c>
      <c r="B2122" s="5" t="s">
        <v>6075</v>
      </c>
      <c r="C2122" s="5" t="s">
        <v>6204</v>
      </c>
      <c r="D2122" s="5" t="s">
        <v>5999</v>
      </c>
      <c r="E2122" s="5" t="s">
        <v>31</v>
      </c>
      <c r="F2122" s="5" t="s">
        <v>6000</v>
      </c>
      <c r="G2122" s="5" t="s">
        <v>6001</v>
      </c>
      <c r="H2122" s="5" t="s">
        <v>6077</v>
      </c>
      <c r="I2122" s="5" t="s">
        <v>6205</v>
      </c>
      <c r="J2122" s="5" t="s">
        <v>6206</v>
      </c>
      <c r="K2122" s="7" t="str">
        <f ca="1">IFERROR(__xludf.DUMMYFUNCTION("GOOGLETRANSLATE(H2122,""EN"",""ES"")"),"OTROS INSTRUMENTOS, APARATOS Y DISPOSITIVOS DE MEDICIÓN")</f>
        <v>OTROS INSTRUMENTOS, APARATOS Y DISPOSITIVOS DE MEDICIÓN</v>
      </c>
      <c r="L2122" s="5" t="str">
        <f ca="1">IFERROR(__xludf.DUMMYFUNCTION("GOOGLETRANSLATE(J2122,""EN"",""ES"")"),"Luxómetros")</f>
        <v>Luxómetros</v>
      </c>
      <c r="M2122" s="8" t="s">
        <v>30</v>
      </c>
      <c r="N2122" s="8"/>
    </row>
    <row r="2123" spans="1:14" ht="11.25" customHeight="1">
      <c r="A2123" s="5" t="s">
        <v>5996</v>
      </c>
      <c r="B2123" s="5" t="s">
        <v>6075</v>
      </c>
      <c r="C2123" s="5" t="s">
        <v>6207</v>
      </c>
      <c r="D2123" s="5" t="s">
        <v>5999</v>
      </c>
      <c r="E2123" s="5" t="s">
        <v>31</v>
      </c>
      <c r="F2123" s="5" t="s">
        <v>6000</v>
      </c>
      <c r="G2123" s="5" t="s">
        <v>6001</v>
      </c>
      <c r="H2123" s="5" t="s">
        <v>6077</v>
      </c>
      <c r="I2123" s="5" t="s">
        <v>6208</v>
      </c>
      <c r="J2123" s="5" t="s">
        <v>6209</v>
      </c>
      <c r="K2123" s="7" t="str">
        <f ca="1">IFERROR(__xludf.DUMMYFUNCTION("GOOGLETRANSLATE(H2123,""EN"",""ES"")"),"OTROS INSTRUMENTOS, APARATOS Y DISPOSITIVOS DE MEDICIÓN")</f>
        <v>OTROS INSTRUMENTOS, APARATOS Y DISPOSITIVOS DE MEDICIÓN</v>
      </c>
      <c r="L2123" s="5" t="str">
        <f ca="1">IFERROR(__xludf.DUMMYFUNCTION("GOOGLETRANSLATE(J2123,""EN"",""ES"")"),"manómetros")</f>
        <v>manómetros</v>
      </c>
      <c r="M2123" s="8" t="s">
        <v>30</v>
      </c>
      <c r="N2123" s="8"/>
    </row>
    <row r="2124" spans="1:14" ht="11.25" customHeight="1">
      <c r="A2124" s="5" t="s">
        <v>5996</v>
      </c>
      <c r="B2124" s="5" t="s">
        <v>6075</v>
      </c>
      <c r="C2124" s="5" t="s">
        <v>6207</v>
      </c>
      <c r="D2124" s="5" t="s">
        <v>5999</v>
      </c>
      <c r="E2124" s="5" t="s">
        <v>31</v>
      </c>
      <c r="F2124" s="5" t="s">
        <v>6000</v>
      </c>
      <c r="G2124" s="5" t="s">
        <v>6001</v>
      </c>
      <c r="H2124" s="5" t="s">
        <v>6077</v>
      </c>
      <c r="I2124" s="5" t="s">
        <v>6210</v>
      </c>
      <c r="J2124" s="5" t="s">
        <v>152</v>
      </c>
      <c r="K2124" s="7" t="str">
        <f ca="1">IFERROR(__xludf.DUMMYFUNCTION("GOOGLETRANSLATE(H2124,""EN"",""ES"")"),"OTROS INSTRUMENTOS, APARATOS Y DISPOSITIVOS DE MEDICIÓN")</f>
        <v>OTROS INSTRUMENTOS, APARATOS Y DISPOSITIVOS DE MEDICIÓN</v>
      </c>
      <c r="L2124" s="5" t="str">
        <f ca="1">IFERROR(__xludf.DUMMYFUNCTION("GOOGLETRANSLATE(J2124,""EN"",""ES"")"),"Manómetros")</f>
        <v>Manómetros</v>
      </c>
      <c r="M2124" s="8" t="s">
        <v>30</v>
      </c>
      <c r="N2124" s="8"/>
    </row>
    <row r="2125" spans="1:14" ht="11.25" customHeight="1">
      <c r="A2125" s="5" t="s">
        <v>5996</v>
      </c>
      <c r="B2125" s="5" t="s">
        <v>6075</v>
      </c>
      <c r="C2125" s="5" t="s">
        <v>6211</v>
      </c>
      <c r="D2125" s="5" t="s">
        <v>5999</v>
      </c>
      <c r="E2125" s="5" t="s">
        <v>31</v>
      </c>
      <c r="F2125" s="5" t="s">
        <v>6000</v>
      </c>
      <c r="G2125" s="5" t="s">
        <v>6001</v>
      </c>
      <c r="H2125" s="5" t="s">
        <v>6077</v>
      </c>
      <c r="I2125" s="5" t="s">
        <v>6212</v>
      </c>
      <c r="J2125" s="5" t="s">
        <v>6213</v>
      </c>
      <c r="K2125" s="7" t="str">
        <f ca="1">IFERROR(__xludf.DUMMYFUNCTION("GOOGLETRANSLATE(H2125,""EN"",""ES"")"),"OTROS INSTRUMENTOS, APARATOS Y DISPOSITIVOS DE MEDICIÓN")</f>
        <v>OTROS INSTRUMENTOS, APARATOS Y DISPOSITIVOS DE MEDICIÓN</v>
      </c>
      <c r="L2125" s="5" t="str">
        <f ca="1">IFERROR(__xludf.DUMMYFUNCTION("GOOGLETRANSLATE(J2125,""EN"",""ES"")"),"Instrumentos de medida [excepto para medir el tiempo]")</f>
        <v>Instrumentos de medida [excepto para medir el tiempo]</v>
      </c>
      <c r="M2125" s="8" t="s">
        <v>30</v>
      </c>
      <c r="N2125" s="8"/>
    </row>
    <row r="2126" spans="1:14" ht="11.25" customHeight="1">
      <c r="A2126" s="5" t="s">
        <v>5996</v>
      </c>
      <c r="B2126" s="5" t="s">
        <v>6075</v>
      </c>
      <c r="C2126" s="5" t="s">
        <v>6214</v>
      </c>
      <c r="D2126" s="5" t="s">
        <v>5999</v>
      </c>
      <c r="E2126" s="5" t="s">
        <v>31</v>
      </c>
      <c r="F2126" s="5" t="s">
        <v>6000</v>
      </c>
      <c r="G2126" s="5" t="s">
        <v>6001</v>
      </c>
      <c r="H2126" s="5" t="s">
        <v>6077</v>
      </c>
      <c r="I2126" s="5" t="s">
        <v>6215</v>
      </c>
      <c r="J2126" s="5" t="s">
        <v>6216</v>
      </c>
      <c r="K2126" s="7" t="str">
        <f ca="1">IFERROR(__xludf.DUMMYFUNCTION("GOOGLETRANSLATE(H2126,""EN"",""ES"")"),"OTROS INSTRUMENTOS, APARATOS Y DISPOSITIVOS DE MEDICIÓN")</f>
        <v>OTROS INSTRUMENTOS, APARATOS Y DISPOSITIVOS DE MEDICIÓN</v>
      </c>
      <c r="L2126" s="5" t="str">
        <f ca="1">IFERROR(__xludf.DUMMYFUNCTION("GOOGLETRANSLATE(J2126,""EN"",""ES"")"),"Instrumentos de medida para sastres.")</f>
        <v>Instrumentos de medida para sastres.</v>
      </c>
      <c r="M2126" s="8" t="s">
        <v>30</v>
      </c>
      <c r="N2126" s="8"/>
    </row>
    <row r="2127" spans="1:14" ht="11.25" customHeight="1">
      <c r="A2127" s="5" t="s">
        <v>5996</v>
      </c>
      <c r="B2127" s="5" t="s">
        <v>6075</v>
      </c>
      <c r="C2127" s="5" t="s">
        <v>6217</v>
      </c>
      <c r="D2127" s="5" t="s">
        <v>5999</v>
      </c>
      <c r="E2127" s="5" t="s">
        <v>31</v>
      </c>
      <c r="F2127" s="5" t="s">
        <v>6000</v>
      </c>
      <c r="G2127" s="5" t="s">
        <v>6001</v>
      </c>
      <c r="H2127" s="5" t="s">
        <v>6077</v>
      </c>
      <c r="I2127" s="5" t="s">
        <v>6218</v>
      </c>
      <c r="J2127" s="5" t="s">
        <v>6219</v>
      </c>
      <c r="K2127" s="7" t="str">
        <f ca="1">IFERROR(__xludf.DUMMYFUNCTION("GOOGLETRANSLATE(H2127,""EN"",""ES"")"),"OTROS INSTRUMENTOS, APARATOS Y DISPOSITIVOS DE MEDICIÓN")</f>
        <v>OTROS INSTRUMENTOS, APARATOS Y DISPOSITIVOS DE MEDICIÓN</v>
      </c>
      <c r="L2127" s="5" t="str">
        <f ca="1">IFERROR(__xludf.DUMMYFUNCTION("GOOGLETRANSLATE(J2127,""EN"",""ES"")"),"Cintas métricas")</f>
        <v>Cintas métricas</v>
      </c>
      <c r="M2127" s="8" t="s">
        <v>30</v>
      </c>
      <c r="N2127" s="8"/>
    </row>
    <row r="2128" spans="1:14" ht="11.25" customHeight="1">
      <c r="A2128" s="5" t="s">
        <v>5996</v>
      </c>
      <c r="B2128" s="5" t="s">
        <v>6075</v>
      </c>
      <c r="C2128" s="5" t="s">
        <v>6217</v>
      </c>
      <c r="D2128" s="5" t="s">
        <v>5999</v>
      </c>
      <c r="E2128" s="5" t="s">
        <v>31</v>
      </c>
      <c r="F2128" s="5" t="s">
        <v>6000</v>
      </c>
      <c r="G2128" s="5" t="s">
        <v>6001</v>
      </c>
      <c r="H2128" s="5" t="s">
        <v>6077</v>
      </c>
      <c r="I2128" s="5" t="s">
        <v>6220</v>
      </c>
      <c r="J2128" s="5" t="s">
        <v>152</v>
      </c>
      <c r="K2128" s="7" t="str">
        <f ca="1">IFERROR(__xludf.DUMMYFUNCTION("GOOGLETRANSLATE(H2128,""EN"",""ES"")"),"OTROS INSTRUMENTOS, APARATOS Y DISPOSITIVOS DE MEDICIÓN")</f>
        <v>OTROS INSTRUMENTOS, APARATOS Y DISPOSITIVOS DE MEDICIÓN</v>
      </c>
      <c r="L2128" s="5" t="str">
        <f ca="1">IFERROR(__xludf.DUMMYFUNCTION("GOOGLETRANSLATE(J2128,""EN"",""ES"")"),"Cintas métricas")</f>
        <v>Cintas métricas</v>
      </c>
      <c r="M2128" s="8" t="s">
        <v>30</v>
      </c>
      <c r="N2128" s="8"/>
    </row>
    <row r="2129" spans="1:14" ht="11.25" customHeight="1">
      <c r="A2129" s="5" t="s">
        <v>5996</v>
      </c>
      <c r="B2129" s="5" t="s">
        <v>6075</v>
      </c>
      <c r="C2129" s="5" t="s">
        <v>6221</v>
      </c>
      <c r="D2129" s="5" t="s">
        <v>5999</v>
      </c>
      <c r="E2129" s="5" t="s">
        <v>31</v>
      </c>
      <c r="F2129" s="5" t="s">
        <v>6000</v>
      </c>
      <c r="G2129" s="5" t="s">
        <v>6001</v>
      </c>
      <c r="H2129" s="5" t="s">
        <v>6077</v>
      </c>
      <c r="I2129" s="5" t="s">
        <v>6222</v>
      </c>
      <c r="J2129" s="5" t="s">
        <v>6223</v>
      </c>
      <c r="K2129" s="7" t="str">
        <f ca="1">IFERROR(__xludf.DUMMYFUNCTION("GOOGLETRANSLATE(H2129,""EN"",""ES"")"),"OTROS INSTRUMENTOS, APARATOS Y DISPOSITIVOS DE MEDICIÓN")</f>
        <v>OTROS INSTRUMENTOS, APARATOS Y DISPOSITIVOS DE MEDICIÓN</v>
      </c>
      <c r="L2129" s="5" t="str">
        <f ca="1">IFERROR(__xludf.DUMMYFUNCTION("GOOGLETRANSLATE(J2129,""EN"",""ES"")"),"micrómetros")</f>
        <v>micrómetros</v>
      </c>
      <c r="M2129" s="8" t="s">
        <v>30</v>
      </c>
      <c r="N2129" s="8"/>
    </row>
    <row r="2130" spans="1:14" ht="11.25" customHeight="1">
      <c r="A2130" s="5" t="s">
        <v>5996</v>
      </c>
      <c r="B2130" s="5" t="s">
        <v>6075</v>
      </c>
      <c r="C2130" s="5" t="s">
        <v>6224</v>
      </c>
      <c r="D2130" s="5" t="s">
        <v>5999</v>
      </c>
      <c r="E2130" s="5" t="s">
        <v>31</v>
      </c>
      <c r="F2130" s="5" t="s">
        <v>6000</v>
      </c>
      <c r="G2130" s="5" t="s">
        <v>6001</v>
      </c>
      <c r="H2130" s="5" t="s">
        <v>6077</v>
      </c>
      <c r="I2130" s="5" t="s">
        <v>6225</v>
      </c>
      <c r="J2130" s="5" t="s">
        <v>6226</v>
      </c>
      <c r="K2130" s="7" t="str">
        <f ca="1">IFERROR(__xludf.DUMMYFUNCTION("GOOGLETRANSLATE(H2130,""EN"",""ES"")"),"OTROS INSTRUMENTOS, APARATOS Y DISPOSITIVOS DE MEDICIÓN")</f>
        <v>OTROS INSTRUMENTOS, APARATOS Y DISPOSITIVOS DE MEDICIÓN</v>
      </c>
      <c r="L2130" s="5" t="str">
        <f ca="1">IFERROR(__xludf.DUMMYFUNCTION("GOOGLETRANSLATE(J2130,""EN"",""ES"")"),"Miliamperios")</f>
        <v>Miliamperios</v>
      </c>
      <c r="M2130" s="8" t="s">
        <v>30</v>
      </c>
      <c r="N2130" s="8"/>
    </row>
    <row r="2131" spans="1:14" ht="11.25" customHeight="1">
      <c r="A2131" s="5" t="s">
        <v>5996</v>
      </c>
      <c r="B2131" s="5" t="s">
        <v>6075</v>
      </c>
      <c r="C2131" s="5" t="s">
        <v>6227</v>
      </c>
      <c r="D2131" s="5" t="s">
        <v>5999</v>
      </c>
      <c r="E2131" s="5" t="s">
        <v>31</v>
      </c>
      <c r="F2131" s="5" t="s">
        <v>6000</v>
      </c>
      <c r="G2131" s="5" t="s">
        <v>6001</v>
      </c>
      <c r="H2131" s="5" t="s">
        <v>6077</v>
      </c>
      <c r="I2131" s="5" t="s">
        <v>6228</v>
      </c>
      <c r="J2131" s="5" t="s">
        <v>6229</v>
      </c>
      <c r="K2131" s="7" t="str">
        <f ca="1">IFERROR(__xludf.DUMMYFUNCTION("GOOGLETRANSLATE(H2131,""EN"",""ES"")"),"OTROS INSTRUMENTOS, APARATOS Y DISPOSITIVOS DE MEDICIÓN")</f>
        <v>OTROS INSTRUMENTOS, APARATOS Y DISPOSITIVOS DE MEDICIÓN</v>
      </c>
      <c r="L2131" s="5" t="str">
        <f ca="1">IFERROR(__xludf.DUMMYFUNCTION("GOOGLETRANSLATE(J2131,""EN"",""ES"")"),"Varillas niveladoras para topógrafos")</f>
        <v>Varillas niveladoras para topógrafos</v>
      </c>
      <c r="M2131" s="8" t="s">
        <v>30</v>
      </c>
      <c r="N2131" s="8"/>
    </row>
    <row r="2132" spans="1:14" ht="11.25" customHeight="1">
      <c r="A2132" s="5" t="s">
        <v>5996</v>
      </c>
      <c r="B2132" s="5" t="s">
        <v>6075</v>
      </c>
      <c r="C2132" s="5" t="s">
        <v>6230</v>
      </c>
      <c r="D2132" s="5" t="s">
        <v>5999</v>
      </c>
      <c r="E2132" s="5" t="s">
        <v>31</v>
      </c>
      <c r="F2132" s="5" t="s">
        <v>6000</v>
      </c>
      <c r="G2132" s="5" t="s">
        <v>6001</v>
      </c>
      <c r="H2132" s="5" t="s">
        <v>6077</v>
      </c>
      <c r="I2132" s="5" t="s">
        <v>6231</v>
      </c>
      <c r="J2132" s="5" t="s">
        <v>6231</v>
      </c>
      <c r="K2132" s="7" t="str">
        <f ca="1">IFERROR(__xludf.DUMMYFUNCTION("GOOGLETRANSLATE(H2132,""EN"",""ES"")"),"OTROS INSTRUMENTOS, APARATOS Y DISPOSITIVOS DE MEDICIÓN")</f>
        <v>OTROS INSTRUMENTOS, APARATOS Y DISPOSITIVOS DE MEDICIÓN</v>
      </c>
      <c r="L2132" s="5" t="str">
        <f ca="1">IFERROR(__xludf.DUMMYFUNCTION("GOOGLETRANSLATE(J2132,""EN"",""ES"")"),"Octantes")</f>
        <v>Octantes</v>
      </c>
      <c r="M2132" s="8" t="s">
        <v>30</v>
      </c>
      <c r="N2132" s="8"/>
    </row>
    <row r="2133" spans="1:14" ht="11.25" customHeight="1">
      <c r="A2133" s="5" t="s">
        <v>5996</v>
      </c>
      <c r="B2133" s="5" t="s">
        <v>6075</v>
      </c>
      <c r="C2133" s="5" t="s">
        <v>6232</v>
      </c>
      <c r="D2133" s="5" t="s">
        <v>5999</v>
      </c>
      <c r="E2133" s="5" t="s">
        <v>31</v>
      </c>
      <c r="F2133" s="5" t="s">
        <v>6000</v>
      </c>
      <c r="G2133" s="5" t="s">
        <v>6001</v>
      </c>
      <c r="H2133" s="5" t="s">
        <v>6077</v>
      </c>
      <c r="I2133" s="5" t="s">
        <v>6233</v>
      </c>
      <c r="J2133" s="5" t="s">
        <v>6234</v>
      </c>
      <c r="K2133" s="7" t="str">
        <f ca="1">IFERROR(__xludf.DUMMYFUNCTION("GOOGLETRANSLATE(H2133,""EN"",""ES"")"),"OTROS INSTRUMENTOS, APARATOS Y DISPOSITIVOS DE MEDICIÓN")</f>
        <v>OTROS INSTRUMENTOS, APARATOS Y DISPOSITIVOS DE MEDICIÓN</v>
      </c>
      <c r="L2133" s="5" t="str">
        <f ca="1">IFERROR(__xludf.DUMMYFUNCTION("GOOGLETRANSLATE(J2133,""EN"",""ES"")"),"Odómetros")</f>
        <v>Odómetros</v>
      </c>
      <c r="M2133" s="8" t="s">
        <v>30</v>
      </c>
      <c r="N2133" s="8"/>
    </row>
    <row r="2134" spans="1:14" ht="11.25" customHeight="1">
      <c r="A2134" s="5" t="s">
        <v>5996</v>
      </c>
      <c r="B2134" s="5" t="s">
        <v>6075</v>
      </c>
      <c r="C2134" s="5" t="s">
        <v>6235</v>
      </c>
      <c r="D2134" s="5" t="s">
        <v>5999</v>
      </c>
      <c r="E2134" s="5" t="s">
        <v>31</v>
      </c>
      <c r="F2134" s="5" t="s">
        <v>6000</v>
      </c>
      <c r="G2134" s="5" t="s">
        <v>6001</v>
      </c>
      <c r="H2134" s="5" t="s">
        <v>6077</v>
      </c>
      <c r="I2134" s="5" t="s">
        <v>6236</v>
      </c>
      <c r="J2134" s="5" t="s">
        <v>6237</v>
      </c>
      <c r="K2134" s="7" t="str">
        <f ca="1">IFERROR(__xludf.DUMMYFUNCTION("GOOGLETRANSLATE(H2134,""EN"",""ES"")"),"OTROS INSTRUMENTOS, APARATOS Y DISPOSITIVOS DE MEDICIÓN")</f>
        <v>OTROS INSTRUMENTOS, APARATOS Y DISPOSITIVOS DE MEDICIÓN</v>
      </c>
      <c r="L2134" s="5" t="str">
        <f ca="1">IFERROR(__xludf.DUMMYFUNCTION("GOOGLETRANSLATE(J2134,""EN"",""ES"")"),"Ohmetros")</f>
        <v>Ohmetros</v>
      </c>
      <c r="M2134" s="8" t="s">
        <v>30</v>
      </c>
      <c r="N2134" s="8"/>
    </row>
    <row r="2135" spans="1:14" ht="11.25" customHeight="1">
      <c r="A2135" s="5" t="s">
        <v>5996</v>
      </c>
      <c r="B2135" s="5" t="s">
        <v>6075</v>
      </c>
      <c r="C2135" s="5" t="s">
        <v>6238</v>
      </c>
      <c r="D2135" s="5" t="s">
        <v>5999</v>
      </c>
      <c r="E2135" s="5" t="s">
        <v>31</v>
      </c>
      <c r="F2135" s="5" t="s">
        <v>6000</v>
      </c>
      <c r="G2135" s="5" t="s">
        <v>6001</v>
      </c>
      <c r="H2135" s="5" t="s">
        <v>6077</v>
      </c>
      <c r="I2135" s="5" t="s">
        <v>6239</v>
      </c>
      <c r="J2135" s="5" t="s">
        <v>6240</v>
      </c>
      <c r="K2135" s="7" t="str">
        <f ca="1">IFERROR(__xludf.DUMMYFUNCTION("GOOGLETRANSLATE(H2135,""EN"",""ES"")"),"OTROS INSTRUMENTOS, APARATOS Y DISPOSITIVOS DE MEDICIÓN")</f>
        <v>OTROS INSTRUMENTOS, APARATOS Y DISPOSITIVOS DE MEDICIÓN</v>
      </c>
      <c r="L2135" s="5" t="str">
        <f ca="1">IFERROR(__xludf.DUMMYFUNCTION("GOOGLETRANSLATE(J2135,""EN"",""ES"")"),"Ondametros")</f>
        <v>Ondametros</v>
      </c>
      <c r="M2135" s="8" t="s">
        <v>30</v>
      </c>
      <c r="N2135" s="8"/>
    </row>
    <row r="2136" spans="1:14" ht="11.25" customHeight="1">
      <c r="A2136" s="5" t="s">
        <v>5996</v>
      </c>
      <c r="B2136" s="5" t="s">
        <v>6075</v>
      </c>
      <c r="C2136" s="5" t="s">
        <v>6241</v>
      </c>
      <c r="D2136" s="5" t="s">
        <v>5999</v>
      </c>
      <c r="E2136" s="5" t="s">
        <v>31</v>
      </c>
      <c r="F2136" s="5" t="s">
        <v>6000</v>
      </c>
      <c r="G2136" s="5" t="s">
        <v>6001</v>
      </c>
      <c r="H2136" s="5" t="s">
        <v>6077</v>
      </c>
      <c r="I2136" s="5" t="s">
        <v>6242</v>
      </c>
      <c r="J2136" s="5" t="s">
        <v>6243</v>
      </c>
      <c r="K2136" s="7" t="str">
        <f ca="1">IFERROR(__xludf.DUMMYFUNCTION("GOOGLETRANSLATE(H2136,""EN"",""ES"")"),"OTROS INSTRUMENTOS, APARATOS Y DISPOSITIVOS DE MEDICIÓN")</f>
        <v>OTROS INSTRUMENTOS, APARATOS Y DISPOSITIVOS DE MEDICIÓN</v>
      </c>
      <c r="L2136" s="5" t="str">
        <f ca="1">IFERROR(__xludf.DUMMYFUNCTION("GOOGLETRANSLATE(J2136,""EN"",""ES"")"),"Calibres micrométricos")</f>
        <v>Calibres micrométricos</v>
      </c>
      <c r="M2136" s="8" t="s">
        <v>30</v>
      </c>
      <c r="N2136" s="8"/>
    </row>
    <row r="2137" spans="1:14" ht="11.25" customHeight="1">
      <c r="A2137" s="5" t="s">
        <v>5996</v>
      </c>
      <c r="B2137" s="5" t="s">
        <v>6075</v>
      </c>
      <c r="C2137" s="5" t="s">
        <v>6244</v>
      </c>
      <c r="D2137" s="5" t="s">
        <v>5999</v>
      </c>
      <c r="E2137" s="5" t="s">
        <v>31</v>
      </c>
      <c r="F2137" s="5" t="s">
        <v>6000</v>
      </c>
      <c r="G2137" s="5" t="s">
        <v>6001</v>
      </c>
      <c r="H2137" s="5" t="s">
        <v>6077</v>
      </c>
      <c r="I2137" s="5" t="s">
        <v>6245</v>
      </c>
      <c r="J2137" s="5" t="s">
        <v>6246</v>
      </c>
      <c r="K2137" s="7" t="str">
        <f ca="1">IFERROR(__xludf.DUMMYFUNCTION("GOOGLETRANSLATE(H2137,""EN"",""ES"")"),"OTROS INSTRUMENTOS, APARATOS Y DISPOSITIVOS DE MEDICIÓN")</f>
        <v>OTROS INSTRUMENTOS, APARATOS Y DISPOSITIVOS DE MEDICIÓN</v>
      </c>
      <c r="L2137" s="5" t="str">
        <f ca="1">IFERROR(__xludf.DUMMYFUNCTION("GOOGLETRANSLATE(J2137,""EN"",""ES"")"),"Aparatos e instrumentos de pesaje.")</f>
        <v>Aparatos e instrumentos de pesaje.</v>
      </c>
      <c r="M2137" s="8" t="s">
        <v>30</v>
      </c>
      <c r="N2137" s="8"/>
    </row>
    <row r="2138" spans="1:14" ht="11.25" customHeight="1">
      <c r="A2138" s="5" t="s">
        <v>5996</v>
      </c>
      <c r="B2138" s="5" t="s">
        <v>6075</v>
      </c>
      <c r="C2138" s="5" t="s">
        <v>6247</v>
      </c>
      <c r="D2138" s="5" t="s">
        <v>5999</v>
      </c>
      <c r="E2138" s="5" t="s">
        <v>31</v>
      </c>
      <c r="F2138" s="5" t="s">
        <v>6000</v>
      </c>
      <c r="G2138" s="5" t="s">
        <v>6001</v>
      </c>
      <c r="H2138" s="5" t="s">
        <v>6077</v>
      </c>
      <c r="I2138" s="5" t="s">
        <v>6248</v>
      </c>
      <c r="J2138" s="5" t="s">
        <v>6249</v>
      </c>
      <c r="K2138" s="7" t="str">
        <f ca="1">IFERROR(__xludf.DUMMYFUNCTION("GOOGLETRANSLATE(H2138,""EN"",""ES"")"),"OTROS INSTRUMENTOS, APARATOS Y DISPOSITIVOS DE MEDICIÓN")</f>
        <v>OTROS INSTRUMENTOS, APARATOS Y DISPOSITIVOS DE MEDICIÓN</v>
      </c>
      <c r="L2138" s="5" t="str">
        <f ca="1">IFERROR(__xludf.DUMMYFUNCTION("GOOGLETRANSLATE(J2138,""EN"",""ES"")"),"Lactómetros")</f>
        <v>Lactómetros</v>
      </c>
      <c r="M2138" s="8" t="s">
        <v>30</v>
      </c>
      <c r="N2138" s="8"/>
    </row>
    <row r="2139" spans="1:14" ht="11.25" customHeight="1">
      <c r="A2139" s="5" t="s">
        <v>5996</v>
      </c>
      <c r="B2139" s="5" t="s">
        <v>6075</v>
      </c>
      <c r="C2139" s="5" t="s">
        <v>6250</v>
      </c>
      <c r="D2139" s="5" t="s">
        <v>5999</v>
      </c>
      <c r="E2139" s="5" t="s">
        <v>31</v>
      </c>
      <c r="F2139" s="5" t="s">
        <v>6000</v>
      </c>
      <c r="G2139" s="5" t="s">
        <v>6001</v>
      </c>
      <c r="H2139" s="5" t="s">
        <v>6077</v>
      </c>
      <c r="I2139" s="5" t="s">
        <v>6251</v>
      </c>
      <c r="J2139" s="5" t="s">
        <v>6252</v>
      </c>
      <c r="K2139" s="7" t="str">
        <f ca="1">IFERROR(__xludf.DUMMYFUNCTION("GOOGLETRANSLATE(H2139,""EN"",""ES"")"),"OTROS INSTRUMENTOS, APARATOS Y DISPOSITIVOS DE MEDICIÓN")</f>
        <v>OTROS INSTRUMENTOS, APARATOS Y DISPOSITIVOS DE MEDICIÓN</v>
      </c>
      <c r="L2139" s="5" t="str">
        <f ca="1">IFERROR(__xludf.DUMMYFUNCTION("GOOGLETRANSLATE(J2139,""EN"",""ES"")"),"Básculas para pesar personas.")</f>
        <v>Básculas para pesar personas.</v>
      </c>
      <c r="M2139" s="8" t="s">
        <v>30</v>
      </c>
      <c r="N2139" s="8"/>
    </row>
    <row r="2140" spans="1:14" ht="11.25" customHeight="1">
      <c r="A2140" s="5" t="s">
        <v>5996</v>
      </c>
      <c r="B2140" s="5" t="s">
        <v>6075</v>
      </c>
      <c r="C2140" s="5" t="s">
        <v>6250</v>
      </c>
      <c r="D2140" s="5" t="s">
        <v>5999</v>
      </c>
      <c r="E2140" s="5" t="s">
        <v>31</v>
      </c>
      <c r="F2140" s="5" t="s">
        <v>6000</v>
      </c>
      <c r="G2140" s="5" t="s">
        <v>6001</v>
      </c>
      <c r="H2140" s="5" t="s">
        <v>6077</v>
      </c>
      <c r="I2140" s="5" t="s">
        <v>6253</v>
      </c>
      <c r="J2140" s="5" t="s">
        <v>152</v>
      </c>
      <c r="K2140" s="7" t="str">
        <f ca="1">IFERROR(__xludf.DUMMYFUNCTION("GOOGLETRANSLATE(H2140,""EN"",""ES"")"),"OTROS INSTRUMENTOS, APARATOS Y DISPOSITIVOS DE MEDICIÓN")</f>
        <v>OTROS INSTRUMENTOS, APARATOS Y DISPOSITIVOS DE MEDICIÓN</v>
      </c>
      <c r="L2140" s="5" t="str">
        <f ca="1">IFERROR(__xludf.DUMMYFUNCTION("GOOGLETRANSLATE(J2140,""EN"",""ES"")"),"Básculas de baño")</f>
        <v>Básculas de baño</v>
      </c>
      <c r="M2140" s="8" t="s">
        <v>30</v>
      </c>
      <c r="N2140" s="8"/>
    </row>
    <row r="2141" spans="1:14" ht="11.25" customHeight="1">
      <c r="A2141" s="5" t="s">
        <v>5996</v>
      </c>
      <c r="B2141" s="5" t="s">
        <v>6075</v>
      </c>
      <c r="C2141" s="5" t="s">
        <v>6254</v>
      </c>
      <c r="D2141" s="5" t="s">
        <v>5999</v>
      </c>
      <c r="E2141" s="5" t="s">
        <v>31</v>
      </c>
      <c r="F2141" s="5" t="s">
        <v>6000</v>
      </c>
      <c r="G2141" s="5" t="s">
        <v>6001</v>
      </c>
      <c r="H2141" s="5" t="s">
        <v>6077</v>
      </c>
      <c r="I2141" s="5" t="s">
        <v>6255</v>
      </c>
      <c r="J2141" s="5" t="s">
        <v>6256</v>
      </c>
      <c r="K2141" s="7" t="str">
        <f ca="1">IFERROR(__xludf.DUMMYFUNCTION("GOOGLETRANSLATE(H2141,""EN"",""ES"")"),"OTROS INSTRUMENTOS, APARATOS Y DISPOSITIVOS DE MEDICIÓN")</f>
        <v>OTROS INSTRUMENTOS, APARATOS Y DISPOSITIVOS DE MEDICIÓN</v>
      </c>
      <c r="L2141" s="5" t="str">
        <f ca="1">IFERROR(__xludf.DUMMYFUNCTION("GOOGLETRANSLATE(J2141,""EN"",""ES"")"),"Planímetros")</f>
        <v>Planímetros</v>
      </c>
      <c r="M2141" s="8" t="s">
        <v>30</v>
      </c>
      <c r="N2141" s="8"/>
    </row>
    <row r="2142" spans="1:14" ht="11.25" customHeight="1">
      <c r="A2142" s="5" t="s">
        <v>5996</v>
      </c>
      <c r="B2142" s="5" t="s">
        <v>6075</v>
      </c>
      <c r="C2142" s="5" t="s">
        <v>6257</v>
      </c>
      <c r="D2142" s="5" t="s">
        <v>5999</v>
      </c>
      <c r="E2142" s="5" t="s">
        <v>31</v>
      </c>
      <c r="F2142" s="5" t="s">
        <v>6000</v>
      </c>
      <c r="G2142" s="5" t="s">
        <v>6001</v>
      </c>
      <c r="H2142" s="5" t="s">
        <v>6077</v>
      </c>
      <c r="I2142" s="5" t="s">
        <v>6258</v>
      </c>
      <c r="J2142" s="5" t="s">
        <v>6259</v>
      </c>
      <c r="K2142" s="7" t="str">
        <f ca="1">IFERROR(__xludf.DUMMYFUNCTION("GOOGLETRANSLATE(H2142,""EN"",""ES"")"),"OTROS INSTRUMENTOS, APARATOS Y DISPOSITIVOS DE MEDICIÓN")</f>
        <v>OTROS INSTRUMENTOS, APARATOS Y DISPOSITIVOS DE MEDICIÓN</v>
      </c>
      <c r="L2142" s="5" t="str">
        <f ca="1">IFERROR(__xludf.DUMMYFUNCTION("GOOGLETRANSLATE(J2142,""EN"",""ES"")"),"pluviómetros")</f>
        <v>pluviómetros</v>
      </c>
      <c r="M2142" s="8" t="s">
        <v>30</v>
      </c>
      <c r="N2142" s="8"/>
    </row>
    <row r="2143" spans="1:14" ht="11.25" customHeight="1">
      <c r="A2143" s="5" t="s">
        <v>5996</v>
      </c>
      <c r="B2143" s="5" t="s">
        <v>6075</v>
      </c>
      <c r="C2143" s="5" t="s">
        <v>6260</v>
      </c>
      <c r="D2143" s="5" t="s">
        <v>5999</v>
      </c>
      <c r="E2143" s="5" t="s">
        <v>31</v>
      </c>
      <c r="F2143" s="5" t="s">
        <v>6000</v>
      </c>
      <c r="G2143" s="5" t="s">
        <v>6001</v>
      </c>
      <c r="H2143" s="5" t="s">
        <v>6077</v>
      </c>
      <c r="I2143" s="5" t="s">
        <v>6261</v>
      </c>
      <c r="J2143" s="5" t="s">
        <v>6262</v>
      </c>
      <c r="K2143" s="7" t="str">
        <f ca="1">IFERROR(__xludf.DUMMYFUNCTION("GOOGLETRANSLATE(H2143,""EN"",""ES"")"),"OTROS INSTRUMENTOS, APARATOS Y DISPOSITIVOS DE MEDICIÓN")</f>
        <v>OTROS INSTRUMENTOS, APARATOS Y DISPOSITIVOS DE MEDICIÓN</v>
      </c>
      <c r="L2143" s="5" t="str">
        <f ca="1">IFERROR(__xludf.DUMMYFUNCTION("GOOGLETRANSLATE(J2143,""EN"",""ES"")"),"Pesos para básculas")</f>
        <v>Pesos para básculas</v>
      </c>
      <c r="M2143" s="8" t="s">
        <v>30</v>
      </c>
      <c r="N2143" s="8"/>
    </row>
    <row r="2144" spans="1:14" ht="11.25" customHeight="1">
      <c r="A2144" s="5" t="s">
        <v>5996</v>
      </c>
      <c r="B2144" s="5" t="s">
        <v>6075</v>
      </c>
      <c r="C2144" s="5" t="s">
        <v>6263</v>
      </c>
      <c r="D2144" s="5" t="s">
        <v>5999</v>
      </c>
      <c r="E2144" s="5" t="s">
        <v>31</v>
      </c>
      <c r="F2144" s="5" t="s">
        <v>6000</v>
      </c>
      <c r="G2144" s="5" t="s">
        <v>6001</v>
      </c>
      <c r="H2144" s="5" t="s">
        <v>6077</v>
      </c>
      <c r="I2144" s="5" t="s">
        <v>6264</v>
      </c>
      <c r="J2144" s="5" t="s">
        <v>6265</v>
      </c>
      <c r="K2144" s="7" t="str">
        <f ca="1">IFERROR(__xludf.DUMMYFUNCTION("GOOGLETRANSLATE(H2144,""EN"",""ES"")"),"OTROS INSTRUMENTOS, APARATOS Y DISPOSITIVOS DE MEDICIÓN")</f>
        <v>OTROS INSTRUMENTOS, APARATOS Y DISPOSITIVOS DE MEDICIÓN</v>
      </c>
      <c r="L2144" s="5" t="str">
        <f ca="1">IFERROR(__xludf.DUMMYFUNCTION("GOOGLETRANSLATE(J2144,""EN"",""ES"")"),"Polarímetros")</f>
        <v>Polarímetros</v>
      </c>
      <c r="M2144" s="8" t="s">
        <v>30</v>
      </c>
      <c r="N2144" s="8"/>
    </row>
    <row r="2145" spans="1:14" ht="11.25" customHeight="1">
      <c r="A2145" s="5" t="s">
        <v>5996</v>
      </c>
      <c r="B2145" s="5" t="s">
        <v>6075</v>
      </c>
      <c r="C2145" s="5" t="s">
        <v>6266</v>
      </c>
      <c r="D2145" s="5" t="s">
        <v>5999</v>
      </c>
      <c r="E2145" s="5" t="s">
        <v>31</v>
      </c>
      <c r="F2145" s="5" t="s">
        <v>6000</v>
      </c>
      <c r="G2145" s="5" t="s">
        <v>6001</v>
      </c>
      <c r="H2145" s="5" t="s">
        <v>6077</v>
      </c>
      <c r="I2145" s="5" t="s">
        <v>6267</v>
      </c>
      <c r="J2145" s="5" t="s">
        <v>6268</v>
      </c>
      <c r="K2145" s="7" t="str">
        <f ca="1">IFERROR(__xludf.DUMMYFUNCTION("GOOGLETRANSLATE(H2145,""EN"",""ES"")"),"OTROS INSTRUMENTOS, APARATOS Y DISPOSITIVOS DE MEDICIÓN")</f>
        <v>OTROS INSTRUMENTOS, APARATOS Y DISPOSITIVOS DE MEDICIÓN</v>
      </c>
      <c r="L2145" s="5" t="str">
        <f ca="1">IFERROR(__xludf.DUMMYFUNCTION("GOOGLETRANSLATE(J2145,""EN"",""ES"")"),"Pirómetros")</f>
        <v>Pirómetros</v>
      </c>
      <c r="M2145" s="8" t="s">
        <v>30</v>
      </c>
      <c r="N2145" s="8"/>
    </row>
    <row r="2146" spans="1:14" ht="11.25" customHeight="1">
      <c r="A2146" s="5" t="s">
        <v>5996</v>
      </c>
      <c r="B2146" s="5" t="s">
        <v>6075</v>
      </c>
      <c r="C2146" s="5" t="s">
        <v>6269</v>
      </c>
      <c r="D2146" s="5" t="s">
        <v>5999</v>
      </c>
      <c r="E2146" s="5" t="s">
        <v>31</v>
      </c>
      <c r="F2146" s="5" t="s">
        <v>6000</v>
      </c>
      <c r="G2146" s="5" t="s">
        <v>6001</v>
      </c>
      <c r="H2146" s="5" t="s">
        <v>6077</v>
      </c>
      <c r="I2146" s="5" t="s">
        <v>6270</v>
      </c>
      <c r="J2146" s="5" t="s">
        <v>6271</v>
      </c>
      <c r="K2146" s="7" t="str">
        <f ca="1">IFERROR(__xludf.DUMMYFUNCTION("GOOGLETRANSLATE(H2146,""EN"",""ES"")"),"OTROS INSTRUMENTOS, APARATOS Y DISPOSITIVOS DE MEDICIÓN")</f>
        <v>OTROS INSTRUMENTOS, APARATOS Y DISPOSITIVOS DE MEDICIÓN</v>
      </c>
      <c r="L2146" s="5" t="str">
        <f ca="1">IFERROR(__xludf.DUMMYFUNCTION("GOOGLETRANSLATE(J2146,""EN"",""ES"")"),"Radiómetros")</f>
        <v>Radiómetros</v>
      </c>
      <c r="M2146" s="8" t="s">
        <v>30</v>
      </c>
      <c r="N2146" s="8"/>
    </row>
    <row r="2147" spans="1:14" ht="11.25" customHeight="1">
      <c r="A2147" s="5" t="s">
        <v>5996</v>
      </c>
      <c r="B2147" s="5" t="s">
        <v>6075</v>
      </c>
      <c r="C2147" s="5" t="s">
        <v>6272</v>
      </c>
      <c r="D2147" s="5" t="s">
        <v>5999</v>
      </c>
      <c r="E2147" s="5" t="s">
        <v>31</v>
      </c>
      <c r="F2147" s="5" t="s">
        <v>6000</v>
      </c>
      <c r="G2147" s="5" t="s">
        <v>6001</v>
      </c>
      <c r="H2147" s="5" t="s">
        <v>6077</v>
      </c>
      <c r="I2147" s="5" t="s">
        <v>6273</v>
      </c>
      <c r="J2147" s="5" t="s">
        <v>6274</v>
      </c>
      <c r="K2147" s="7" t="str">
        <f ca="1">IFERROR(__xludf.DUMMYFUNCTION("GOOGLETRANSLATE(H2147,""EN"",""ES"")"),"OTROS INSTRUMENTOS, APARATOS Y DISPOSITIVOS DE MEDICIÓN")</f>
        <v>OTROS INSTRUMENTOS, APARATOS Y DISPOSITIVOS DE MEDICIÓN</v>
      </c>
      <c r="L2147" s="5" t="str">
        <f ca="1">IFERROR(__xludf.DUMMYFUNCTION("GOOGLETRANSLATE(J2147,""EN"",""ES"")"),"Cintas métricas")</f>
        <v>Cintas métricas</v>
      </c>
      <c r="M2147" s="8" t="s">
        <v>30</v>
      </c>
      <c r="N2147" s="8"/>
    </row>
    <row r="2148" spans="1:14" ht="11.25" customHeight="1">
      <c r="A2148" s="5" t="s">
        <v>5996</v>
      </c>
      <c r="B2148" s="5" t="s">
        <v>6075</v>
      </c>
      <c r="C2148" s="5" t="s">
        <v>6275</v>
      </c>
      <c r="D2148" s="5" t="s">
        <v>5999</v>
      </c>
      <c r="E2148" s="5" t="s">
        <v>31</v>
      </c>
      <c r="F2148" s="5" t="s">
        <v>6000</v>
      </c>
      <c r="G2148" s="5" t="s">
        <v>6001</v>
      </c>
      <c r="H2148" s="5" t="s">
        <v>6077</v>
      </c>
      <c r="I2148" s="5" t="s">
        <v>6276</v>
      </c>
      <c r="J2148" s="5" t="s">
        <v>6276</v>
      </c>
      <c r="K2148" s="7" t="str">
        <f ca="1">IFERROR(__xludf.DUMMYFUNCTION("GOOGLETRANSLATE(H2148,""EN"",""ES"")"),"OTROS INSTRUMENTOS, APARATOS Y DISPOSITIVOS DE MEDICIÓN")</f>
        <v>OTROS INSTRUMENTOS, APARATOS Y DISPOSITIVOS DE MEDICIÓN</v>
      </c>
      <c r="L2148" s="5" t="str">
        <f ca="1">IFERROR(__xludf.DUMMYFUNCTION("GOOGLETRANSLATE(J2148,""EN"",""ES"")"),"sextantes")</f>
        <v>sextantes</v>
      </c>
      <c r="M2148" s="8" t="s">
        <v>30</v>
      </c>
      <c r="N2148" s="8"/>
    </row>
    <row r="2149" spans="1:14" ht="11.25" customHeight="1">
      <c r="A2149" s="5" t="s">
        <v>5996</v>
      </c>
      <c r="B2149" s="5" t="s">
        <v>6075</v>
      </c>
      <c r="C2149" s="5" t="s">
        <v>6277</v>
      </c>
      <c r="D2149" s="5" t="s">
        <v>5999</v>
      </c>
      <c r="E2149" s="5" t="s">
        <v>31</v>
      </c>
      <c r="F2149" s="5" t="s">
        <v>6000</v>
      </c>
      <c r="G2149" s="5" t="s">
        <v>6001</v>
      </c>
      <c r="H2149" s="5" t="s">
        <v>6077</v>
      </c>
      <c r="I2149" s="5" t="s">
        <v>6278</v>
      </c>
      <c r="J2149" s="5" t="s">
        <v>6279</v>
      </c>
      <c r="K2149" s="7" t="str">
        <f ca="1">IFERROR(__xludf.DUMMYFUNCTION("GOOGLETRANSLATE(H2149,""EN"",""ES"")"),"OTROS INSTRUMENTOS, APARATOS Y DISPOSITIVOS DE MEDICIÓN")</f>
        <v>OTROS INSTRUMENTOS, APARATOS Y DISPOSITIVOS DE MEDICIÓN</v>
      </c>
      <c r="L2149" s="5" t="str">
        <f ca="1">IFERROR(__xludf.DUMMYFUNCTION("GOOGLETRANSLATE(J2149,""EN"",""ES"")"),"Sismógrafos")</f>
        <v>Sismógrafos</v>
      </c>
      <c r="M2149" s="8" t="s">
        <v>30</v>
      </c>
      <c r="N2149" s="8"/>
    </row>
    <row r="2150" spans="1:14" ht="11.25" customHeight="1">
      <c r="A2150" s="5" t="s">
        <v>5996</v>
      </c>
      <c r="B2150" s="5" t="s">
        <v>6075</v>
      </c>
      <c r="C2150" s="5" t="s">
        <v>6280</v>
      </c>
      <c r="D2150" s="5" t="s">
        <v>5999</v>
      </c>
      <c r="E2150" s="5" t="s">
        <v>31</v>
      </c>
      <c r="F2150" s="5" t="s">
        <v>6000</v>
      </c>
      <c r="G2150" s="5" t="s">
        <v>6001</v>
      </c>
      <c r="H2150" s="5" t="s">
        <v>6077</v>
      </c>
      <c r="I2150" s="5" t="s">
        <v>6281</v>
      </c>
      <c r="J2150" s="5" t="s">
        <v>6282</v>
      </c>
      <c r="K2150" s="7" t="str">
        <f ca="1">IFERROR(__xludf.DUMMYFUNCTION("GOOGLETRANSLATE(H2150,""EN"",""ES"")"),"OTROS INSTRUMENTOS, APARATOS Y DISPOSITIVOS DE MEDICIÓN")</f>
        <v>OTROS INSTRUMENTOS, APARATOS Y DISPOSITIVOS DE MEDICIÓN</v>
      </c>
      <c r="L2150" s="5" t="str">
        <f ca="1">IFERROR(__xludf.DUMMYFUNCTION("GOOGLETRANSLATE(J2150,""EN"",""ES"")"),"Sismómetros")</f>
        <v>Sismómetros</v>
      </c>
      <c r="M2150" s="8" t="s">
        <v>30</v>
      </c>
      <c r="N2150" s="8"/>
    </row>
    <row r="2151" spans="1:14" ht="11.25" customHeight="1">
      <c r="A2151" s="5" t="s">
        <v>5996</v>
      </c>
      <c r="B2151" s="5" t="s">
        <v>6075</v>
      </c>
      <c r="C2151" s="5" t="s">
        <v>6283</v>
      </c>
      <c r="D2151" s="5" t="s">
        <v>5999</v>
      </c>
      <c r="E2151" s="5" t="s">
        <v>31</v>
      </c>
      <c r="F2151" s="5" t="s">
        <v>6000</v>
      </c>
      <c r="G2151" s="5" t="s">
        <v>6001</v>
      </c>
      <c r="H2151" s="5" t="s">
        <v>6077</v>
      </c>
      <c r="I2151" s="5" t="s">
        <v>6284</v>
      </c>
      <c r="J2151" s="5" t="s">
        <v>6285</v>
      </c>
      <c r="K2151" s="7" t="str">
        <f ca="1">IFERROR(__xludf.DUMMYFUNCTION("GOOGLETRANSLATE(H2151,""EN"",""ES"")"),"OTROS INSTRUMENTOS, APARATOS Y DISPOSITIVOS DE MEDICIÓN")</f>
        <v>OTROS INSTRUMENTOS, APARATOS Y DISPOSITIVOS DE MEDICIÓN</v>
      </c>
      <c r="L2151" s="5" t="str">
        <f ca="1">IFERROR(__xludf.DUMMYFUNCTION("GOOGLETRANSLATE(J2151,""EN"",""ES"")"),"Sondas ultrasónicas")</f>
        <v>Sondas ultrasónicas</v>
      </c>
      <c r="M2151" s="8" t="s">
        <v>30</v>
      </c>
      <c r="N2151" s="8"/>
    </row>
    <row r="2152" spans="1:14" ht="11.25" customHeight="1">
      <c r="A2152" s="5" t="s">
        <v>5996</v>
      </c>
      <c r="B2152" s="5" t="s">
        <v>6075</v>
      </c>
      <c r="C2152" s="5" t="s">
        <v>6286</v>
      </c>
      <c r="D2152" s="5" t="s">
        <v>5999</v>
      </c>
      <c r="E2152" s="5" t="s">
        <v>31</v>
      </c>
      <c r="F2152" s="5" t="s">
        <v>6000</v>
      </c>
      <c r="G2152" s="5" t="s">
        <v>6001</v>
      </c>
      <c r="H2152" s="5" t="s">
        <v>6077</v>
      </c>
      <c r="I2152" s="5" t="s">
        <v>6287</v>
      </c>
      <c r="J2152" s="5" t="s">
        <v>6288</v>
      </c>
      <c r="K2152" s="7" t="str">
        <f ca="1">IFERROR(__xludf.DUMMYFUNCTION("GOOGLETRANSLATE(H2152,""EN"",""ES"")"),"OTROS INSTRUMENTOS, APARATOS Y DISPOSITIVOS DE MEDICIÓN")</f>
        <v>OTROS INSTRUMENTOS, APARATOS Y DISPOSITIVOS DE MEDICIÓN</v>
      </c>
      <c r="L2152" s="5" t="str">
        <f ca="1">IFERROR(__xludf.DUMMYFUNCTION("GOOGLETRANSLATE(J2152,""EN"",""ES"")"),"pistas de sondeo")</f>
        <v>pistas de sondeo</v>
      </c>
      <c r="M2152" s="8" t="s">
        <v>30</v>
      </c>
      <c r="N2152" s="8"/>
    </row>
    <row r="2153" spans="1:14" ht="11.25" customHeight="1">
      <c r="A2153" s="5" t="s">
        <v>5996</v>
      </c>
      <c r="B2153" s="5" t="s">
        <v>6075</v>
      </c>
      <c r="C2153" s="5" t="s">
        <v>6289</v>
      </c>
      <c r="D2153" s="5" t="s">
        <v>5999</v>
      </c>
      <c r="E2153" s="5" t="s">
        <v>31</v>
      </c>
      <c r="F2153" s="5" t="s">
        <v>6000</v>
      </c>
      <c r="G2153" s="5" t="s">
        <v>6001</v>
      </c>
      <c r="H2153" s="5" t="s">
        <v>6077</v>
      </c>
      <c r="I2153" s="5" t="s">
        <v>6290</v>
      </c>
      <c r="J2153" s="5" t="s">
        <v>6291</v>
      </c>
      <c r="K2153" s="7" t="str">
        <f ca="1">IFERROR(__xludf.DUMMYFUNCTION("GOOGLETRANSLATE(H2153,""EN"",""ES"")"),"OTROS INSTRUMENTOS, APARATOS Y DISPOSITIVOS DE MEDICIÓN")</f>
        <v>OTROS INSTRUMENTOS, APARATOS Y DISPOSITIVOS DE MEDICIÓN</v>
      </c>
      <c r="L2153" s="5" t="str">
        <f ca="1">IFERROR(__xludf.DUMMYFUNCTION("GOOGLETRANSLATE(J2153,""EN"",""ES"")"),"Espectrofotómetros")</f>
        <v>Espectrofotómetros</v>
      </c>
      <c r="M2153" s="8" t="s">
        <v>30</v>
      </c>
      <c r="N2153" s="8"/>
    </row>
    <row r="2154" spans="1:14" ht="11.25" customHeight="1">
      <c r="A2154" s="5" t="s">
        <v>5996</v>
      </c>
      <c r="B2154" s="5" t="s">
        <v>6075</v>
      </c>
      <c r="C2154" s="5" t="s">
        <v>6292</v>
      </c>
      <c r="D2154" s="5" t="s">
        <v>5999</v>
      </c>
      <c r="E2154" s="5" t="s">
        <v>31</v>
      </c>
      <c r="F2154" s="5" t="s">
        <v>6000</v>
      </c>
      <c r="G2154" s="5" t="s">
        <v>6001</v>
      </c>
      <c r="H2154" s="5" t="s">
        <v>6077</v>
      </c>
      <c r="I2154" s="5" t="s">
        <v>6293</v>
      </c>
      <c r="J2154" s="5" t="s">
        <v>6294</v>
      </c>
      <c r="K2154" s="7" t="str">
        <f ca="1">IFERROR(__xludf.DUMMYFUNCTION("GOOGLETRANSLATE(H2154,""EN"",""ES"")"),"OTROS INSTRUMENTOS, APARATOS Y DISPOSITIVOS DE MEDICIÓN")</f>
        <v>OTROS INSTRUMENTOS, APARATOS Y DISPOSITIVOS DE MEDICIÓN</v>
      </c>
      <c r="L2154" s="5" t="str">
        <f ca="1">IFERROR(__xludf.DUMMYFUNCTION("GOOGLETRANSLATE(J2154,""EN"",""ES"")"),"taquímetros")</f>
        <v>taquímetros</v>
      </c>
      <c r="M2154" s="8" t="s">
        <v>30</v>
      </c>
      <c r="N2154" s="8"/>
    </row>
    <row r="2155" spans="1:14" ht="11.25" customHeight="1">
      <c r="A2155" s="5" t="s">
        <v>5996</v>
      </c>
      <c r="B2155" s="5" t="s">
        <v>6075</v>
      </c>
      <c r="C2155" s="5" t="s">
        <v>6295</v>
      </c>
      <c r="D2155" s="5" t="s">
        <v>5999</v>
      </c>
      <c r="E2155" s="5" t="s">
        <v>31</v>
      </c>
      <c r="F2155" s="5" t="s">
        <v>6000</v>
      </c>
      <c r="G2155" s="5" t="s">
        <v>6001</v>
      </c>
      <c r="H2155" s="5" t="s">
        <v>6077</v>
      </c>
      <c r="I2155" s="5" t="s">
        <v>6296</v>
      </c>
      <c r="J2155" s="5" t="s">
        <v>6297</v>
      </c>
      <c r="K2155" s="7" t="str">
        <f ca="1">IFERROR(__xludf.DUMMYFUNCTION("GOOGLETRANSLATE(H2155,""EN"",""ES"")"),"OTROS INSTRUMENTOS, APARATOS Y DISPOSITIVOS DE MEDICIÓN")</f>
        <v>OTROS INSTRUMENTOS, APARATOS Y DISPOSITIVOS DE MEDICIÓN</v>
      </c>
      <c r="L2155" s="5" t="str">
        <f ca="1">IFERROR(__xludf.DUMMYFUNCTION("GOOGLETRANSLATE(J2155,""EN"",""ES"")"),"Tacómetros")</f>
        <v>Tacómetros</v>
      </c>
      <c r="M2155" s="8" t="s">
        <v>30</v>
      </c>
      <c r="N2155" s="8"/>
    </row>
    <row r="2156" spans="1:14" ht="11.25" customHeight="1">
      <c r="A2156" s="5" t="s">
        <v>5996</v>
      </c>
      <c r="B2156" s="5" t="s">
        <v>6075</v>
      </c>
      <c r="C2156" s="5" t="s">
        <v>6298</v>
      </c>
      <c r="D2156" s="5" t="s">
        <v>5999</v>
      </c>
      <c r="E2156" s="5" t="s">
        <v>31</v>
      </c>
      <c r="F2156" s="5" t="s">
        <v>6000</v>
      </c>
      <c r="G2156" s="5" t="s">
        <v>6001</v>
      </c>
      <c r="H2156" s="5" t="s">
        <v>6077</v>
      </c>
      <c r="I2156" s="5" t="s">
        <v>6299</v>
      </c>
      <c r="J2156" s="5" t="s">
        <v>6300</v>
      </c>
      <c r="K2156" s="7" t="str">
        <f ca="1">IFERROR(__xludf.DUMMYFUNCTION("GOOGLETRANSLATE(H2156,""EN"",""ES"")"),"OTROS INSTRUMENTOS, APARATOS Y DISPOSITIVOS DE MEDICIÓN")</f>
        <v>OTROS INSTRUMENTOS, APARATOS Y DISPOSITIVOS DE MEDICIÓN</v>
      </c>
      <c r="L2156" s="5" t="str">
        <f ca="1">IFERROR(__xludf.DUMMYFUNCTION("GOOGLETRANSLATE(J2156,""EN"",""ES"")"),"Taxímetros")</f>
        <v>Taxímetros</v>
      </c>
      <c r="M2156" s="8" t="s">
        <v>30</v>
      </c>
      <c r="N2156" s="8"/>
    </row>
    <row r="2157" spans="1:14" ht="11.25" customHeight="1">
      <c r="A2157" s="5" t="s">
        <v>5996</v>
      </c>
      <c r="B2157" s="5" t="s">
        <v>6075</v>
      </c>
      <c r="C2157" s="5" t="s">
        <v>6301</v>
      </c>
      <c r="D2157" s="5" t="s">
        <v>5999</v>
      </c>
      <c r="E2157" s="5" t="s">
        <v>31</v>
      </c>
      <c r="F2157" s="5" t="s">
        <v>6000</v>
      </c>
      <c r="G2157" s="5" t="s">
        <v>6001</v>
      </c>
      <c r="H2157" s="5" t="s">
        <v>6077</v>
      </c>
      <c r="I2157" s="5" t="s">
        <v>6302</v>
      </c>
      <c r="J2157" s="5" t="s">
        <v>6303</v>
      </c>
      <c r="K2157" s="7" t="str">
        <f ca="1">IFERROR(__xludf.DUMMYFUNCTION("GOOGLETRANSLATE(H2157,""EN"",""ES"")"),"OTROS INSTRUMENTOS, APARATOS Y DISPOSITIVOS DE MEDICIÓN")</f>
        <v>OTROS INSTRUMENTOS, APARATOS Y DISPOSITIVOS DE MEDICIÓN</v>
      </c>
      <c r="L2157" s="5" t="str">
        <f ca="1">IFERROR(__xludf.DUMMYFUNCTION("GOOGLETRANSLATE(J2157,""EN"",""ES"")"),"telémetros")</f>
        <v>telémetros</v>
      </c>
      <c r="M2157" s="8" t="s">
        <v>30</v>
      </c>
      <c r="N2157" s="8"/>
    </row>
    <row r="2158" spans="1:14" ht="11.25" customHeight="1">
      <c r="A2158" s="5" t="s">
        <v>5996</v>
      </c>
      <c r="B2158" s="5" t="s">
        <v>6075</v>
      </c>
      <c r="C2158" s="5" t="s">
        <v>6301</v>
      </c>
      <c r="D2158" s="5" t="s">
        <v>5999</v>
      </c>
      <c r="E2158" s="5" t="s">
        <v>31</v>
      </c>
      <c r="F2158" s="5" t="s">
        <v>6000</v>
      </c>
      <c r="G2158" s="5" t="s">
        <v>6001</v>
      </c>
      <c r="H2158" s="5" t="s">
        <v>6077</v>
      </c>
      <c r="I2158" s="5" t="s">
        <v>6304</v>
      </c>
      <c r="J2158" s="5" t="s">
        <v>152</v>
      </c>
      <c r="K2158" s="7" t="str">
        <f ca="1">IFERROR(__xludf.DUMMYFUNCTION("GOOGLETRANSLATE(H2158,""EN"",""ES"")"),"OTROS INSTRUMENTOS, APARATOS Y DISPOSITIVOS DE MEDICIÓN")</f>
        <v>OTROS INSTRUMENTOS, APARATOS Y DISPOSITIVOS DE MEDICIÓN</v>
      </c>
      <c r="L2158" s="5" t="str">
        <f ca="1">IFERROR(__xludf.DUMMYFUNCTION("GOOGLETRANSLATE(J2158,""EN"",""ES"")"),"Telémetros")</f>
        <v>Telémetros</v>
      </c>
      <c r="M2158" s="8" t="s">
        <v>30</v>
      </c>
      <c r="N2158" s="8"/>
    </row>
    <row r="2159" spans="1:14" ht="11.25" customHeight="1">
      <c r="A2159" s="5" t="s">
        <v>5996</v>
      </c>
      <c r="B2159" s="5" t="s">
        <v>6075</v>
      </c>
      <c r="C2159" s="5" t="s">
        <v>6305</v>
      </c>
      <c r="D2159" s="5" t="s">
        <v>5999</v>
      </c>
      <c r="E2159" s="5" t="s">
        <v>31</v>
      </c>
      <c r="F2159" s="5" t="s">
        <v>6000</v>
      </c>
      <c r="G2159" s="5" t="s">
        <v>6001</v>
      </c>
      <c r="H2159" s="5" t="s">
        <v>6077</v>
      </c>
      <c r="I2159" s="5" t="s">
        <v>6306</v>
      </c>
      <c r="J2159" s="5" t="s">
        <v>6307</v>
      </c>
      <c r="K2159" s="7" t="str">
        <f ca="1">IFERROR(__xludf.DUMMYFUNCTION("GOOGLETRANSLATE(H2159,""EN"",""ES"")"),"OTROS INSTRUMENTOS, APARATOS Y DISPOSITIVOS DE MEDICIÓN")</f>
        <v>OTROS INSTRUMENTOS, APARATOS Y DISPOSITIVOS DE MEDICIÓN</v>
      </c>
      <c r="L2159" s="5" t="str">
        <f ca="1">IFERROR(__xludf.DUMMYFUNCTION("GOOGLETRANSLATE(J2159,""EN"",""ES"")"),"teodolitos")</f>
        <v>teodolitos</v>
      </c>
      <c r="M2159" s="8" t="s">
        <v>30</v>
      </c>
      <c r="N2159" s="8"/>
    </row>
    <row r="2160" spans="1:14" ht="11.25" customHeight="1">
      <c r="A2160" s="5" t="s">
        <v>5996</v>
      </c>
      <c r="B2160" s="5" t="s">
        <v>6075</v>
      </c>
      <c r="C2160" s="5" t="s">
        <v>6308</v>
      </c>
      <c r="D2160" s="5" t="s">
        <v>5999</v>
      </c>
      <c r="E2160" s="5" t="s">
        <v>31</v>
      </c>
      <c r="F2160" s="5" t="s">
        <v>6000</v>
      </c>
      <c r="G2160" s="5" t="s">
        <v>6001</v>
      </c>
      <c r="H2160" s="5" t="s">
        <v>6077</v>
      </c>
      <c r="I2160" s="5" t="s">
        <v>6309</v>
      </c>
      <c r="J2160" s="5" t="s">
        <v>6310</v>
      </c>
      <c r="K2160" s="7" t="str">
        <f ca="1">IFERROR(__xludf.DUMMYFUNCTION("GOOGLETRANSLATE(H2160,""EN"",""ES"")"),"OTROS INSTRUMENTOS, APARATOS Y DISPOSITIVOS DE MEDICIÓN")</f>
        <v>OTROS INSTRUMENTOS, APARATOS Y DISPOSITIVOS DE MEDICIÓN</v>
      </c>
      <c r="L2160" s="5" t="str">
        <f ca="1">IFERROR(__xludf.DUMMYFUNCTION("GOOGLETRANSLATE(J2160,""EN"",""ES"")"),"Termómetros [incluidos los termómetros médicos]")</f>
        <v>Termómetros [incluidos los termómetros médicos]</v>
      </c>
      <c r="M2160" s="8" t="s">
        <v>30</v>
      </c>
      <c r="N2160" s="8"/>
    </row>
    <row r="2161" spans="1:14" ht="11.25" customHeight="1">
      <c r="A2161" s="5" t="s">
        <v>5996</v>
      </c>
      <c r="B2161" s="5" t="s">
        <v>6075</v>
      </c>
      <c r="C2161" s="5" t="s">
        <v>6311</v>
      </c>
      <c r="D2161" s="5" t="s">
        <v>5999</v>
      </c>
      <c r="E2161" s="5" t="s">
        <v>31</v>
      </c>
      <c r="F2161" s="5" t="s">
        <v>6000</v>
      </c>
      <c r="G2161" s="5" t="s">
        <v>6001</v>
      </c>
      <c r="H2161" s="5" t="s">
        <v>6077</v>
      </c>
      <c r="I2161" s="5" t="s">
        <v>6312</v>
      </c>
      <c r="J2161" s="5" t="s">
        <v>6313</v>
      </c>
      <c r="K2161" s="7" t="str">
        <f ca="1">IFERROR(__xludf.DUMMYFUNCTION("GOOGLETRANSLATE(H2161,""EN"",""ES"")"),"OTROS INSTRUMENTOS, APARATOS Y DISPOSITIVOS DE MEDICIÓN")</f>
        <v>OTROS INSTRUMENTOS, APARATOS Y DISPOSITIVOS DE MEDICIÓN</v>
      </c>
      <c r="L2161" s="5" t="str">
        <f ca="1">IFERROR(__xludf.DUMMYFUNCTION("GOOGLETRANSLATE(J2161,""EN"",""ES"")"),"Balanzas de ensayo")</f>
        <v>Balanzas de ensayo</v>
      </c>
      <c r="M2161" s="8" t="s">
        <v>30</v>
      </c>
      <c r="N2161" s="8"/>
    </row>
    <row r="2162" spans="1:14" ht="11.25" customHeight="1">
      <c r="A2162" s="5" t="s">
        <v>5996</v>
      </c>
      <c r="B2162" s="5" t="s">
        <v>6075</v>
      </c>
      <c r="C2162" s="5" t="s">
        <v>6314</v>
      </c>
      <c r="D2162" s="5" t="s">
        <v>5999</v>
      </c>
      <c r="E2162" s="5" t="s">
        <v>31</v>
      </c>
      <c r="F2162" s="5" t="s">
        <v>6000</v>
      </c>
      <c r="G2162" s="5" t="s">
        <v>6001</v>
      </c>
      <c r="H2162" s="5" t="s">
        <v>6077</v>
      </c>
      <c r="I2162" s="5" t="s">
        <v>6315</v>
      </c>
      <c r="J2162" s="5" t="s">
        <v>6316</v>
      </c>
      <c r="K2162" s="7" t="str">
        <f ca="1">IFERROR(__xludf.DUMMYFUNCTION("GOOGLETRANSLATE(H2162,""EN"",""ES"")"),"OTROS INSTRUMENTOS, APARATOS Y DISPOSITIVOS DE MEDICIÓN")</f>
        <v>OTROS INSTRUMENTOS, APARATOS Y DISPOSITIVOS DE MEDICIÓN</v>
      </c>
      <c r="L2162" s="5" t="str">
        <f ca="1">IFERROR(__xludf.DUMMYFUNCTION("GOOGLETRANSLATE(J2162,""EN"",""ES"")"),"Tipómetros")</f>
        <v>Tipómetros</v>
      </c>
      <c r="M2162" s="8" t="s">
        <v>30</v>
      </c>
      <c r="N2162" s="8"/>
    </row>
    <row r="2163" spans="1:14" ht="11.25" customHeight="1">
      <c r="A2163" s="5" t="s">
        <v>5996</v>
      </c>
      <c r="B2163" s="5" t="s">
        <v>6075</v>
      </c>
      <c r="C2163" s="5" t="s">
        <v>6317</v>
      </c>
      <c r="D2163" s="5" t="s">
        <v>5999</v>
      </c>
      <c r="E2163" s="5" t="s">
        <v>31</v>
      </c>
      <c r="F2163" s="5" t="s">
        <v>6000</v>
      </c>
      <c r="G2163" s="5" t="s">
        <v>6001</v>
      </c>
      <c r="H2163" s="5" t="s">
        <v>6077</v>
      </c>
      <c r="I2163" s="5" t="s">
        <v>6318</v>
      </c>
      <c r="J2163" s="5" t="s">
        <v>6319</v>
      </c>
      <c r="K2163" s="7" t="str">
        <f ca="1">IFERROR(__xludf.DUMMYFUNCTION("GOOGLETRANSLATE(H2163,""EN"",""ES"")"),"OTROS INSTRUMENTOS, APARATOS Y DISPOSITIVOS DE MEDICIÓN")</f>
        <v>OTROS INSTRUMENTOS, APARATOS Y DISPOSITIVOS DE MEDICIÓN</v>
      </c>
      <c r="L2163" s="5" t="str">
        <f ca="1">IFERROR(__xludf.DUMMYFUNCTION("GOOGLETRANSLATE(J2163,""EN"",""ES"")"),"Variómetros")</f>
        <v>Variómetros</v>
      </c>
      <c r="M2163" s="8" t="s">
        <v>30</v>
      </c>
      <c r="N2163" s="8"/>
    </row>
    <row r="2164" spans="1:14" ht="11.25" customHeight="1">
      <c r="A2164" s="5" t="s">
        <v>5996</v>
      </c>
      <c r="B2164" s="5" t="s">
        <v>6075</v>
      </c>
      <c r="C2164" s="5" t="s">
        <v>6320</v>
      </c>
      <c r="D2164" s="5" t="s">
        <v>5999</v>
      </c>
      <c r="E2164" s="5" t="s">
        <v>31</v>
      </c>
      <c r="F2164" s="5" t="s">
        <v>6000</v>
      </c>
      <c r="G2164" s="5" t="s">
        <v>6001</v>
      </c>
      <c r="H2164" s="5" t="s">
        <v>6077</v>
      </c>
      <c r="I2164" s="5" t="s">
        <v>6321</v>
      </c>
      <c r="J2164" s="5" t="s">
        <v>6321</v>
      </c>
      <c r="K2164" s="7" t="str">
        <f ca="1">IFERROR(__xludf.DUMMYFUNCTION("GOOGLETRANSLATE(H2164,""EN"",""ES"")"),"OTROS INSTRUMENTOS, APARATOS Y DISPOSITIVOS DE MEDICIÓN")</f>
        <v>OTROS INSTRUMENTOS, APARATOS Y DISPOSITIVOS DE MEDICIÓN</v>
      </c>
      <c r="L2164" s="5" t="str">
        <f ca="1">IFERROR(__xludf.DUMMYFUNCTION("GOOGLETRANSLATE(J2164,""EN"",""ES"")"),"Verniers")</f>
        <v>Verniers</v>
      </c>
      <c r="M2164" s="8" t="s">
        <v>30</v>
      </c>
      <c r="N2164" s="8"/>
    </row>
    <row r="2165" spans="1:14" ht="11.25" customHeight="1">
      <c r="A2165" s="5" t="s">
        <v>5996</v>
      </c>
      <c r="B2165" s="5" t="s">
        <v>6075</v>
      </c>
      <c r="C2165" s="5" t="s">
        <v>6322</v>
      </c>
      <c r="D2165" s="5" t="s">
        <v>5999</v>
      </c>
      <c r="E2165" s="5" t="s">
        <v>31</v>
      </c>
      <c r="F2165" s="5" t="s">
        <v>6000</v>
      </c>
      <c r="G2165" s="5" t="s">
        <v>6001</v>
      </c>
      <c r="H2165" s="5" t="s">
        <v>6077</v>
      </c>
      <c r="I2165" s="5" t="s">
        <v>6323</v>
      </c>
      <c r="J2165" s="5" t="s">
        <v>6324</v>
      </c>
      <c r="K2165" s="7" t="str">
        <f ca="1">IFERROR(__xludf.DUMMYFUNCTION("GOOGLETRANSLATE(H2165,""EN"",""ES"")"),"OTROS INSTRUMENTOS, APARATOS Y DISPOSITIVOS DE MEDICIÓN")</f>
        <v>OTROS INSTRUMENTOS, APARATOS Y DISPOSITIVOS DE MEDICIÓN</v>
      </c>
      <c r="L2165" s="5" t="str">
        <f ca="1">IFERROR(__xludf.DUMMYFUNCTION("GOOGLETRANSLATE(J2165,""EN"",""ES"")"),"Vacuómetros")</f>
        <v>Vacuómetros</v>
      </c>
      <c r="M2165" s="8" t="s">
        <v>30</v>
      </c>
      <c r="N2165" s="8"/>
    </row>
    <row r="2166" spans="1:14" ht="11.25" customHeight="1">
      <c r="A2166" s="5" t="s">
        <v>5996</v>
      </c>
      <c r="B2166" s="5" t="s">
        <v>6075</v>
      </c>
      <c r="C2166" s="5" t="s">
        <v>6325</v>
      </c>
      <c r="D2166" s="5" t="s">
        <v>5999</v>
      </c>
      <c r="E2166" s="5" t="s">
        <v>31</v>
      </c>
      <c r="F2166" s="5" t="s">
        <v>6000</v>
      </c>
      <c r="G2166" s="5" t="s">
        <v>6001</v>
      </c>
      <c r="H2166" s="5" t="s">
        <v>6077</v>
      </c>
      <c r="I2166" s="5" t="s">
        <v>6326</v>
      </c>
      <c r="J2166" s="5" t="s">
        <v>6327</v>
      </c>
      <c r="K2166" s="7" t="str">
        <f ca="1">IFERROR(__xludf.DUMMYFUNCTION("GOOGLETRANSLATE(H2166,""EN"",""ES"")"),"OTROS INSTRUMENTOS, APARATOS Y DISPOSITIVOS DE MEDICIÓN")</f>
        <v>OTROS INSTRUMENTOS, APARATOS Y DISPOSITIVOS DE MEDICIÓN</v>
      </c>
      <c r="L2166" s="5" t="str">
        <f ca="1">IFERROR(__xludf.DUMMYFUNCTION("GOOGLETRANSLATE(J2166,""EN"",""ES"")"),"viscosímetros")</f>
        <v>viscosímetros</v>
      </c>
      <c r="M2166" s="8" t="s">
        <v>30</v>
      </c>
      <c r="N2166" s="8"/>
    </row>
    <row r="2167" spans="1:14" ht="11.25" customHeight="1">
      <c r="A2167" s="5" t="s">
        <v>5996</v>
      </c>
      <c r="B2167" s="5" t="s">
        <v>6075</v>
      </c>
      <c r="C2167" s="5" t="s">
        <v>6325</v>
      </c>
      <c r="D2167" s="5" t="s">
        <v>5999</v>
      </c>
      <c r="E2167" s="5" t="s">
        <v>31</v>
      </c>
      <c r="F2167" s="5" t="s">
        <v>6000</v>
      </c>
      <c r="G2167" s="5" t="s">
        <v>6001</v>
      </c>
      <c r="H2167" s="5" t="s">
        <v>6077</v>
      </c>
      <c r="I2167" s="5" t="s">
        <v>6328</v>
      </c>
      <c r="J2167" s="5" t="s">
        <v>152</v>
      </c>
      <c r="K2167" s="7" t="str">
        <f ca="1">IFERROR(__xludf.DUMMYFUNCTION("GOOGLETRANSLATE(H2167,""EN"",""ES"")"),"OTROS INSTRUMENTOS, APARATOS Y DISPOSITIVOS DE MEDICIÓN")</f>
        <v>OTROS INSTRUMENTOS, APARATOS Y DISPOSITIVOS DE MEDICIÓN</v>
      </c>
      <c r="L2167" s="5" t="str">
        <f ca="1">IFERROR(__xludf.DUMMYFUNCTION("GOOGLETRANSLATE(J2167,""EN"",""ES"")"),"Viscosímetros")</f>
        <v>Viscosímetros</v>
      </c>
      <c r="M2167" s="8" t="s">
        <v>30</v>
      </c>
      <c r="N2167" s="8"/>
    </row>
    <row r="2168" spans="1:14" ht="11.25" customHeight="1">
      <c r="A2168" s="5" t="s">
        <v>5996</v>
      </c>
      <c r="B2168" s="5" t="s">
        <v>6075</v>
      </c>
      <c r="C2168" s="5" t="s">
        <v>6329</v>
      </c>
      <c r="D2168" s="5" t="s">
        <v>5999</v>
      </c>
      <c r="E2168" s="5" t="s">
        <v>31</v>
      </c>
      <c r="F2168" s="5" t="s">
        <v>6000</v>
      </c>
      <c r="G2168" s="5" t="s">
        <v>6001</v>
      </c>
      <c r="H2168" s="5" t="s">
        <v>6077</v>
      </c>
      <c r="I2168" s="5" t="s">
        <v>6330</v>
      </c>
      <c r="J2168" s="5" t="s">
        <v>6331</v>
      </c>
      <c r="K2168" s="7" t="str">
        <f ca="1">IFERROR(__xludf.DUMMYFUNCTION("GOOGLETRANSLATE(H2168,""EN"",""ES"")"),"OTROS INSTRUMENTOS, APARATOS Y DISPOSITIVOS DE MEDICIÓN")</f>
        <v>OTROS INSTRUMENTOS, APARATOS Y DISPOSITIVOS DE MEDICIÓN</v>
      </c>
      <c r="L2168" s="5" t="str">
        <f ca="1">IFERROR(__xludf.DUMMYFUNCTION("GOOGLETRANSLATE(J2168,""EN"",""ES"")"),"Voltímetros")</f>
        <v>Voltímetros</v>
      </c>
      <c r="M2168" s="8" t="s">
        <v>30</v>
      </c>
      <c r="N2168" s="8"/>
    </row>
    <row r="2169" spans="1:14" ht="11.25" customHeight="1">
      <c r="A2169" s="5" t="s">
        <v>5996</v>
      </c>
      <c r="B2169" s="5" t="s">
        <v>6075</v>
      </c>
      <c r="C2169" s="5" t="s">
        <v>6332</v>
      </c>
      <c r="D2169" s="5" t="s">
        <v>5999</v>
      </c>
      <c r="E2169" s="5" t="s">
        <v>31</v>
      </c>
      <c r="F2169" s="5" t="s">
        <v>6000</v>
      </c>
      <c r="G2169" s="5" t="s">
        <v>6001</v>
      </c>
      <c r="H2169" s="5" t="s">
        <v>6077</v>
      </c>
      <c r="I2169" s="5" t="s">
        <v>6333</v>
      </c>
      <c r="J2169" s="5" t="s">
        <v>6334</v>
      </c>
      <c r="K2169" s="7" t="str">
        <f ca="1">IFERROR(__xludf.DUMMYFUNCTION("GOOGLETRANSLATE(H2169,""EN"",""ES"")"),"OTROS INSTRUMENTOS, APARATOS Y DISPOSITIVOS DE MEDICIÓN")</f>
        <v>OTROS INSTRUMENTOS, APARATOS Y DISPOSITIVOS DE MEDICIÓN</v>
      </c>
      <c r="L2169" s="5" t="str">
        <f ca="1">IFERROR(__xludf.DUMMYFUNCTION("GOOGLETRANSLATE(J2169,""EN"",""ES"")"),"Vatímetros")</f>
        <v>Vatímetros</v>
      </c>
      <c r="M2169" s="8" t="s">
        <v>30</v>
      </c>
      <c r="N2169" s="8"/>
    </row>
    <row r="2170" spans="1:14" ht="11.25" customHeight="1">
      <c r="A2170" s="5" t="s">
        <v>5996</v>
      </c>
      <c r="B2170" s="5" t="s">
        <v>6075</v>
      </c>
      <c r="C2170" s="5" t="s">
        <v>6335</v>
      </c>
      <c r="D2170" s="5" t="s">
        <v>5999</v>
      </c>
      <c r="E2170" s="5" t="s">
        <v>31</v>
      </c>
      <c r="F2170" s="5" t="s">
        <v>6000</v>
      </c>
      <c r="G2170" s="5" t="s">
        <v>6001</v>
      </c>
      <c r="H2170" s="5" t="s">
        <v>6077</v>
      </c>
      <c r="I2170" s="5" t="s">
        <v>6336</v>
      </c>
      <c r="J2170" s="5" t="s">
        <v>6337</v>
      </c>
      <c r="K2170" s="7" t="str">
        <f ca="1">IFERROR(__xludf.DUMMYFUNCTION("GOOGLETRANSLATE(H2170,""EN"",""ES"")"),"OTROS INSTRUMENTOS, APARATOS Y DISPOSITIVOS DE MEDICIÓN")</f>
        <v>OTROS INSTRUMENTOS, APARATOS Y DISPOSITIVOS DE MEDICIÓN</v>
      </c>
      <c r="L2170" s="5" t="str">
        <f ca="1">IFERROR(__xludf.DUMMYFUNCTION("GOOGLETRANSLATE(J2170,""EN"",""ES"")"),"Criterios")</f>
        <v>Criterios</v>
      </c>
      <c r="M2170" s="8" t="s">
        <v>30</v>
      </c>
      <c r="N2170" s="8"/>
    </row>
    <row r="2171" spans="1:14" ht="11.25" customHeight="1">
      <c r="A2171" s="5" t="s">
        <v>5996</v>
      </c>
      <c r="B2171" s="5" t="s">
        <v>6075</v>
      </c>
      <c r="C2171" s="5" t="s">
        <v>6338</v>
      </c>
      <c r="D2171" s="5" t="s">
        <v>5999</v>
      </c>
      <c r="E2171" s="5" t="s">
        <v>31</v>
      </c>
      <c r="F2171" s="5" t="s">
        <v>6000</v>
      </c>
      <c r="G2171" s="5" t="s">
        <v>6001</v>
      </c>
      <c r="H2171" s="5" t="s">
        <v>6077</v>
      </c>
      <c r="I2171" s="5" t="s">
        <v>6339</v>
      </c>
      <c r="J2171" s="5" t="s">
        <v>6340</v>
      </c>
      <c r="K2171" s="7" t="str">
        <f ca="1">IFERROR(__xludf.DUMMYFUNCTION("GOOGLETRANSLATE(H2171,""EN"",""ES"")"),"OTROS INSTRUMENTOS, APARATOS Y DISPOSITIVOS DE MEDICIÓN")</f>
        <v>OTROS INSTRUMENTOS, APARATOS Y DISPOSITIVOS DE MEDICIÓN</v>
      </c>
      <c r="L2171" s="5" t="str">
        <f ca="1">IFERROR(__xludf.DUMMYFUNCTION("GOOGLETRANSLATE(J2171,""EN"",""ES"")"),"Varillas topográficas")</f>
        <v>Varillas topográficas</v>
      </c>
      <c r="M2171" s="8" t="s">
        <v>30</v>
      </c>
      <c r="N2171" s="8"/>
    </row>
    <row r="2172" spans="1:14" ht="11.25" customHeight="1">
      <c r="A2172" s="5" t="s">
        <v>5996</v>
      </c>
      <c r="B2172" s="5" t="s">
        <v>6075</v>
      </c>
      <c r="C2172" s="5" t="s">
        <v>6341</v>
      </c>
      <c r="D2172" s="5" t="s">
        <v>5999</v>
      </c>
      <c r="E2172" s="5" t="s">
        <v>31</v>
      </c>
      <c r="F2172" s="5" t="s">
        <v>6000</v>
      </c>
      <c r="G2172" s="5" t="s">
        <v>6001</v>
      </c>
      <c r="H2172" s="5" t="s">
        <v>6077</v>
      </c>
      <c r="I2172" s="5" t="s">
        <v>6342</v>
      </c>
      <c r="J2172" s="5" t="s">
        <v>6343</v>
      </c>
      <c r="K2172" s="7" t="str">
        <f ca="1">IFERROR(__xludf.DUMMYFUNCTION("GOOGLETRANSLATE(H2172,""EN"",""ES"")"),"OTROS INSTRUMENTOS, APARATOS Y DISPOSITIVOS DE MEDICIÓN")</f>
        <v>OTROS INSTRUMENTOS, APARATOS Y DISPOSITIVOS DE MEDICIÓN</v>
      </c>
      <c r="L2172" s="5" t="str">
        <f ca="1">IFERROR(__xludf.DUMMYFUNCTION("GOOGLETRANSLATE(J2172,""EN"",""ES"")"),"Brújulas [navegación]")</f>
        <v>Brújulas [navegación]</v>
      </c>
      <c r="M2172" s="8" t="s">
        <v>30</v>
      </c>
      <c r="N2172" s="8"/>
    </row>
    <row r="2173" spans="1:14" ht="11.25" customHeight="1">
      <c r="A2173" s="5" t="s">
        <v>5996</v>
      </c>
      <c r="B2173" s="5" t="s">
        <v>6075</v>
      </c>
      <c r="C2173" s="5" t="s">
        <v>6344</v>
      </c>
      <c r="D2173" s="5" t="s">
        <v>5999</v>
      </c>
      <c r="E2173" s="5" t="s">
        <v>31</v>
      </c>
      <c r="F2173" s="5" t="s">
        <v>6000</v>
      </c>
      <c r="G2173" s="5" t="s">
        <v>6001</v>
      </c>
      <c r="H2173" s="5" t="s">
        <v>6077</v>
      </c>
      <c r="I2173" s="5" t="s">
        <v>6345</v>
      </c>
      <c r="J2173" s="5" t="s">
        <v>6346</v>
      </c>
      <c r="K2173" s="7" t="str">
        <f ca="1">IFERROR(__xludf.DUMMYFUNCTION("GOOGLETRANSLATE(H2173,""EN"",""ES"")"),"OTROS INSTRUMENTOS, APARATOS Y DISPOSITIVOS DE MEDICIÓN")</f>
        <v>OTROS INSTRUMENTOS, APARATOS Y DISPOSITIVOS DE MEDICIÓN</v>
      </c>
      <c r="L2173" s="5" t="str">
        <f ca="1">IFERROR(__xludf.DUMMYFUNCTION("GOOGLETRANSLATE(J2173,""EN"",""ES"")"),"Brújulas marinas")</f>
        <v>Brújulas marinas</v>
      </c>
      <c r="M2173" s="8" t="s">
        <v>30</v>
      </c>
      <c r="N2173" s="8"/>
    </row>
    <row r="2174" spans="1:14" ht="11.25" customHeight="1">
      <c r="A2174" s="5" t="s">
        <v>5996</v>
      </c>
      <c r="B2174" s="5" t="s">
        <v>6075</v>
      </c>
      <c r="C2174" s="5" t="s">
        <v>6347</v>
      </c>
      <c r="D2174" s="5" t="s">
        <v>5999</v>
      </c>
      <c r="E2174" s="5" t="s">
        <v>31</v>
      </c>
      <c r="F2174" s="5" t="s">
        <v>6000</v>
      </c>
      <c r="G2174" s="5" t="s">
        <v>6001</v>
      </c>
      <c r="H2174" s="5" t="s">
        <v>6077</v>
      </c>
      <c r="I2174" s="5" t="s">
        <v>6348</v>
      </c>
      <c r="J2174" s="5" t="s">
        <v>6349</v>
      </c>
      <c r="K2174" s="7" t="str">
        <f ca="1">IFERROR(__xludf.DUMMYFUNCTION("GOOGLETRANSLATE(H2174,""EN"",""ES"")"),"OTROS INSTRUMENTOS, APARATOS Y DISPOSITIVOS DE MEDICIÓN")</f>
        <v>OTROS INSTRUMENTOS, APARATOS Y DISPOSITIVOS DE MEDICIÓN</v>
      </c>
      <c r="L2174" s="5" t="str">
        <f ca="1">IFERROR(__xludf.DUMMYFUNCTION("GOOGLETRANSLATE(J2174,""EN"",""ES"")"),"Registro de contadores para cargos telefónicos.")</f>
        <v>Registro de contadores para cargos telefónicos.</v>
      </c>
      <c r="M2174" s="8" t="s">
        <v>30</v>
      </c>
      <c r="N2174" s="8"/>
    </row>
    <row r="2175" spans="1:14" ht="11.25" customHeight="1">
      <c r="A2175" s="5" t="s">
        <v>5996</v>
      </c>
      <c r="B2175" s="5" t="s">
        <v>6075</v>
      </c>
      <c r="C2175" s="5" t="s">
        <v>6350</v>
      </c>
      <c r="D2175" s="5" t="s">
        <v>5999</v>
      </c>
      <c r="E2175" s="5" t="s">
        <v>31</v>
      </c>
      <c r="F2175" s="5" t="s">
        <v>6000</v>
      </c>
      <c r="G2175" s="5" t="s">
        <v>6001</v>
      </c>
      <c r="H2175" s="5" t="s">
        <v>6077</v>
      </c>
      <c r="I2175" s="5" t="s">
        <v>6351</v>
      </c>
      <c r="J2175" s="5" t="s">
        <v>6352</v>
      </c>
      <c r="K2175" s="7" t="str">
        <f ca="1">IFERROR(__xludf.DUMMYFUNCTION("GOOGLETRANSLATE(H2175,""EN"",""ES"")"),"OTROS INSTRUMENTOS, APARATOS Y DISPOSITIVOS DE MEDICIÓN")</f>
        <v>OTROS INSTRUMENTOS, APARATOS Y DISPOSITIVOS DE MEDICIÓN</v>
      </c>
      <c r="L2175" s="5" t="str">
        <f ca="1">IFERROR(__xludf.DUMMYFUNCTION("GOOGLETRANSLATE(J2175,""EN"",""ES"")"),"registros de tarifas")</f>
        <v>registros de tarifas</v>
      </c>
      <c r="M2175" s="8" t="s">
        <v>30</v>
      </c>
      <c r="N2175" s="8"/>
    </row>
    <row r="2176" spans="1:14" ht="11.25" customHeight="1">
      <c r="A2176" s="5" t="s">
        <v>5996</v>
      </c>
      <c r="B2176" s="5" t="s">
        <v>6075</v>
      </c>
      <c r="C2176" s="5" t="s">
        <v>6353</v>
      </c>
      <c r="D2176" s="5" t="s">
        <v>5999</v>
      </c>
      <c r="E2176" s="5" t="s">
        <v>31</v>
      </c>
      <c r="F2176" s="5" t="s">
        <v>6000</v>
      </c>
      <c r="G2176" s="5" t="s">
        <v>6001</v>
      </c>
      <c r="H2176" s="5" t="s">
        <v>6077</v>
      </c>
      <c r="I2176" s="5" t="s">
        <v>6354</v>
      </c>
      <c r="J2176" s="5" t="s">
        <v>6355</v>
      </c>
      <c r="K2176" s="7" t="str">
        <f ca="1">IFERROR(__xludf.DUMMYFUNCTION("GOOGLETRANSLATE(H2176,""EN"",""ES"")"),"OTROS INSTRUMENTOS, APARATOS Y DISPOSITIVOS DE MEDICIÓN")</f>
        <v>OTROS INSTRUMENTOS, APARATOS Y DISPOSITIVOS DE MEDICIÓN</v>
      </c>
      <c r="L2176" s="5" t="str">
        <f ca="1">IFERROR(__xludf.DUMMYFUNCTION("GOOGLETRANSLATE(J2176,""EN"",""ES"")"),"Placas de superficie")</f>
        <v>Placas de superficie</v>
      </c>
      <c r="M2176" s="8" t="s">
        <v>30</v>
      </c>
      <c r="N2176" s="8"/>
    </row>
    <row r="2177" spans="1:14" ht="11.25" customHeight="1">
      <c r="A2177" s="5" t="s">
        <v>5996</v>
      </c>
      <c r="B2177" s="5" t="s">
        <v>6075</v>
      </c>
      <c r="C2177" s="5" t="s">
        <v>6356</v>
      </c>
      <c r="D2177" s="5" t="s">
        <v>5999</v>
      </c>
      <c r="E2177" s="5" t="s">
        <v>31</v>
      </c>
      <c r="F2177" s="5" t="s">
        <v>6000</v>
      </c>
      <c r="G2177" s="5" t="s">
        <v>6001</v>
      </c>
      <c r="H2177" s="5" t="s">
        <v>6077</v>
      </c>
      <c r="I2177" s="5" t="s">
        <v>6357</v>
      </c>
      <c r="J2177" s="5" t="s">
        <v>6358</v>
      </c>
      <c r="K2177" s="7" t="str">
        <f ca="1">IFERROR(__xludf.DUMMYFUNCTION("GOOGLETRANSLATE(H2177,""EN"",""ES"")"),"OTROS INSTRUMENTOS, APARATOS Y DISPOSITIVOS DE MEDICIÓN")</f>
        <v>OTROS INSTRUMENTOS, APARATOS Y DISPOSITIVOS DE MEDICIÓN</v>
      </c>
      <c r="L2177" s="5" t="str">
        <f ca="1">IFERROR(__xludf.DUMMYFUNCTION("GOOGLETRANSLATE(J2177,""EN"",""ES"")"),"Tarjetas de compás")</f>
        <v>Tarjetas de compás</v>
      </c>
      <c r="M2177" s="8" t="s">
        <v>30</v>
      </c>
      <c r="N2177" s="8"/>
    </row>
    <row r="2178" spans="1:14" ht="11.25" customHeight="1">
      <c r="A2178" s="5" t="s">
        <v>5996</v>
      </c>
      <c r="B2178" s="5" t="s">
        <v>6075</v>
      </c>
      <c r="C2178" s="5" t="s">
        <v>6359</v>
      </c>
      <c r="D2178" s="5" t="s">
        <v>5999</v>
      </c>
      <c r="E2178" s="5" t="s">
        <v>31</v>
      </c>
      <c r="F2178" s="5" t="s">
        <v>6000</v>
      </c>
      <c r="G2178" s="5" t="s">
        <v>6001</v>
      </c>
      <c r="H2178" s="5" t="s">
        <v>6077</v>
      </c>
      <c r="I2178" s="5" t="s">
        <v>6360</v>
      </c>
      <c r="J2178" s="5" t="s">
        <v>6361</v>
      </c>
      <c r="K2178" s="7" t="str">
        <f ca="1">IFERROR(__xludf.DUMMYFUNCTION("GOOGLETRANSLATE(H2178,""EN"",""ES"")"),"OTROS INSTRUMENTOS, APARATOS Y DISPOSITIVOS DE MEDICIÓN")</f>
        <v>OTROS INSTRUMENTOS, APARATOS Y DISPOSITIVOS DE MEDICIÓN</v>
      </c>
      <c r="L2178" s="5" t="str">
        <f ca="1">IFERROR(__xludf.DUMMYFUNCTION("GOOGLETRANSLATE(J2178,""EN"",""ES"")"),"Indicadores de carga para acumuladores.")</f>
        <v>Indicadores de carga para acumuladores.</v>
      </c>
      <c r="M2178" s="8" t="s">
        <v>30</v>
      </c>
      <c r="N2178" s="8"/>
    </row>
    <row r="2179" spans="1:14" ht="11.25" customHeight="1">
      <c r="A2179" s="5" t="s">
        <v>5996</v>
      </c>
      <c r="B2179" s="5" t="s">
        <v>6075</v>
      </c>
      <c r="C2179" s="5" t="s">
        <v>6362</v>
      </c>
      <c r="D2179" s="5" t="s">
        <v>5999</v>
      </c>
      <c r="E2179" s="5" t="s">
        <v>31</v>
      </c>
      <c r="F2179" s="5" t="s">
        <v>6000</v>
      </c>
      <c r="G2179" s="5" t="s">
        <v>6001</v>
      </c>
      <c r="H2179" s="5" t="s">
        <v>6077</v>
      </c>
      <c r="I2179" s="5" t="s">
        <v>6363</v>
      </c>
      <c r="J2179" s="5" t="s">
        <v>6364</v>
      </c>
      <c r="K2179" s="7" t="str">
        <f ca="1">IFERROR(__xludf.DUMMYFUNCTION("GOOGLETRANSLATE(H2179,""EN"",""ES"")"),"OTROS INSTRUMENTOS, APARATOS Y DISPOSITIVOS DE MEDICIÓN")</f>
        <v>OTROS INSTRUMENTOS, APARATOS Y DISPOSITIVOS DE MEDICIÓN</v>
      </c>
      <c r="L2179" s="5" t="str">
        <f ca="1">IFERROR(__xludf.DUMMYFUNCTION("GOOGLETRANSLATE(J2179,""EN"",""ES"")"),"registradores de tarifas")</f>
        <v>registradores de tarifas</v>
      </c>
      <c r="M2179" s="8" t="s">
        <v>30</v>
      </c>
      <c r="N2179" s="8"/>
    </row>
    <row r="2180" spans="1:14" ht="11.25" customHeight="1">
      <c r="A2180" s="5" t="s">
        <v>5996</v>
      </c>
      <c r="B2180" s="5" t="s">
        <v>6075</v>
      </c>
      <c r="C2180" s="5" t="s">
        <v>6365</v>
      </c>
      <c r="D2180" s="5" t="s">
        <v>5999</v>
      </c>
      <c r="E2180" s="5" t="s">
        <v>31</v>
      </c>
      <c r="F2180" s="5" t="s">
        <v>6000</v>
      </c>
      <c r="G2180" s="5" t="s">
        <v>6001</v>
      </c>
      <c r="H2180" s="5" t="s">
        <v>6077</v>
      </c>
      <c r="I2180" s="5" t="s">
        <v>6366</v>
      </c>
      <c r="J2180" s="5" t="s">
        <v>6367</v>
      </c>
      <c r="K2180" s="7" t="str">
        <f ca="1">IFERROR(__xludf.DUMMYFUNCTION("GOOGLETRANSLATE(H2180,""EN"",""ES"")"),"OTROS INSTRUMENTOS, APARATOS Y DISPOSITIVOS DE MEDICIÓN")</f>
        <v>OTROS INSTRUMENTOS, APARATOS Y DISPOSITIVOS DE MEDICIÓN</v>
      </c>
      <c r="L2180" s="5" t="str">
        <f ca="1">IFERROR(__xludf.DUMMYFUNCTION("GOOGLETRANSLATE(J2180,""EN"",""ES"")"),"Escuadras ópticas de agrimensores.")</f>
        <v>Escuadras ópticas de agrimensores.</v>
      </c>
      <c r="M2180" s="8" t="s">
        <v>30</v>
      </c>
      <c r="N2180" s="8"/>
    </row>
    <row r="2181" spans="1:14" ht="11.25" customHeight="1">
      <c r="A2181" s="5" t="s">
        <v>5996</v>
      </c>
      <c r="B2181" s="5" t="s">
        <v>6075</v>
      </c>
      <c r="C2181" s="5" t="s">
        <v>6365</v>
      </c>
      <c r="D2181" s="5" t="s">
        <v>5999</v>
      </c>
      <c r="E2181" s="5" t="s">
        <v>31</v>
      </c>
      <c r="F2181" s="5" t="s">
        <v>6000</v>
      </c>
      <c r="G2181" s="5" t="s">
        <v>6001</v>
      </c>
      <c r="H2181" s="5" t="s">
        <v>6077</v>
      </c>
      <c r="I2181" s="5" t="s">
        <v>6368</v>
      </c>
      <c r="J2181" s="5" t="s">
        <v>152</v>
      </c>
      <c r="K2181" s="7" t="str">
        <f ca="1">IFERROR(__xludf.DUMMYFUNCTION("GOOGLETRANSLATE(H2181,""EN"",""ES"")"),"OTROS INSTRUMENTOS, APARATOS Y DISPOSITIVOS DE MEDICIÓN")</f>
        <v>OTROS INSTRUMENTOS, APARATOS Y DISPOSITIVOS DE MEDICIÓN</v>
      </c>
      <c r="L2181" s="5" t="str">
        <f ca="1">IFERROR(__xludf.DUMMYFUNCTION("GOOGLETRANSLATE(J2181,""EN"",""ES"")"),"Personal cruzado [encuesta]")</f>
        <v>Personal cruzado [encuesta]</v>
      </c>
      <c r="M2181" s="8" t="s">
        <v>30</v>
      </c>
      <c r="N2181" s="8"/>
    </row>
    <row r="2182" spans="1:14" ht="11.25" customHeight="1">
      <c r="A2182" s="5" t="s">
        <v>5996</v>
      </c>
      <c r="B2182" s="5" t="s">
        <v>6075</v>
      </c>
      <c r="C2182" s="5" t="s">
        <v>6369</v>
      </c>
      <c r="D2182" s="5" t="s">
        <v>5999</v>
      </c>
      <c r="E2182" s="5" t="s">
        <v>31</v>
      </c>
      <c r="F2182" s="5" t="s">
        <v>6000</v>
      </c>
      <c r="G2182" s="5" t="s">
        <v>6001</v>
      </c>
      <c r="H2182" s="5" t="s">
        <v>6077</v>
      </c>
      <c r="I2182" s="5" t="s">
        <v>6370</v>
      </c>
      <c r="J2182" s="5" t="s">
        <v>6371</v>
      </c>
      <c r="K2182" s="7" t="str">
        <f ca="1">IFERROR(__xludf.DUMMYFUNCTION("GOOGLETRANSLATE(H2182,""EN"",""ES"")"),"OTROS INSTRUMENTOS, APARATOS Y DISPOSITIVOS DE MEDICIÓN")</f>
        <v>OTROS INSTRUMENTOS, APARATOS Y DISPOSITIVOS DE MEDICIÓN</v>
      </c>
      <c r="L2182" s="5" t="str">
        <f ca="1">IFERROR(__xludf.DUMMYFUNCTION("GOOGLETRANSLATE(J2182,""EN"",""ES"")"),"medidores de gas")</f>
        <v>medidores de gas</v>
      </c>
      <c r="M2182" s="8" t="s">
        <v>30</v>
      </c>
      <c r="N2182" s="8"/>
    </row>
    <row r="2183" spans="1:14" ht="11.25" customHeight="1">
      <c r="A2183" s="5" t="s">
        <v>5996</v>
      </c>
      <c r="B2183" s="5" t="s">
        <v>6075</v>
      </c>
      <c r="C2183" s="5" t="s">
        <v>6372</v>
      </c>
      <c r="D2183" s="5" t="s">
        <v>5999</v>
      </c>
      <c r="E2183" s="5" t="s">
        <v>31</v>
      </c>
      <c r="F2183" s="5" t="s">
        <v>6000</v>
      </c>
      <c r="G2183" s="5" t="s">
        <v>6001</v>
      </c>
      <c r="H2183" s="5" t="s">
        <v>6077</v>
      </c>
      <c r="I2183" s="5" t="s">
        <v>6373</v>
      </c>
      <c r="J2183" s="5" t="s">
        <v>6374</v>
      </c>
      <c r="K2183" s="7" t="str">
        <f ca="1">IFERROR(__xludf.DUMMYFUNCTION("GOOGLETRANSLATE(H2183,""EN"",""ES"")"),"OTROS INSTRUMENTOS, APARATOS Y DISPOSITIVOS DE MEDICIÓN")</f>
        <v>OTROS INSTRUMENTOS, APARATOS Y DISPOSITIVOS DE MEDICIÓN</v>
      </c>
      <c r="L2183" s="5" t="str">
        <f ca="1">IFERROR(__xludf.DUMMYFUNCTION("GOOGLETRANSLATE(J2183,""EN"",""ES"")"),"niveles de burbuja")</f>
        <v>niveles de burbuja</v>
      </c>
      <c r="M2183" s="8" t="s">
        <v>30</v>
      </c>
      <c r="N2183" s="8"/>
    </row>
    <row r="2184" spans="1:14" ht="11.25" customHeight="1">
      <c r="A2184" s="5" t="s">
        <v>5996</v>
      </c>
      <c r="B2184" s="5" t="s">
        <v>6075</v>
      </c>
      <c r="C2184" s="5" t="s">
        <v>6375</v>
      </c>
      <c r="D2184" s="5" t="s">
        <v>5999</v>
      </c>
      <c r="E2184" s="5" t="s">
        <v>31</v>
      </c>
      <c r="F2184" s="5" t="s">
        <v>6000</v>
      </c>
      <c r="G2184" s="5" t="s">
        <v>6001</v>
      </c>
      <c r="H2184" s="5" t="s">
        <v>6077</v>
      </c>
      <c r="I2184" s="5" t="s">
        <v>6376</v>
      </c>
      <c r="J2184" s="5" t="s">
        <v>6377</v>
      </c>
      <c r="K2184" s="7" t="str">
        <f ca="1">IFERROR(__xludf.DUMMYFUNCTION("GOOGLETRANSLATE(H2184,""EN"",""ES"")"),"OTROS INSTRUMENTOS, APARATOS Y DISPOSITIVOS DE MEDICIÓN")</f>
        <v>OTROS INSTRUMENTOS, APARATOS Y DISPOSITIVOS DE MEDICIÓN</v>
      </c>
      <c r="L2184" s="5" t="str">
        <f ca="1">IFERROR(__xludf.DUMMYFUNCTION("GOOGLETRANSLATE(J2184,""EN"",""ES"")"),"Medidores de nivel de agua")</f>
        <v>Medidores de nivel de agua</v>
      </c>
      <c r="M2184" s="8" t="s">
        <v>30</v>
      </c>
      <c r="N2184" s="8"/>
    </row>
    <row r="2185" spans="1:14" ht="11.25" customHeight="1">
      <c r="A2185" s="5" t="s">
        <v>5996</v>
      </c>
      <c r="B2185" s="5" t="s">
        <v>6075</v>
      </c>
      <c r="C2185" s="5" t="s">
        <v>6375</v>
      </c>
      <c r="D2185" s="5" t="s">
        <v>5999</v>
      </c>
      <c r="E2185" s="5" t="s">
        <v>31</v>
      </c>
      <c r="F2185" s="5" t="s">
        <v>6000</v>
      </c>
      <c r="G2185" s="5" t="s">
        <v>6001</v>
      </c>
      <c r="H2185" s="5" t="s">
        <v>6077</v>
      </c>
      <c r="I2185" s="5" t="s">
        <v>152</v>
      </c>
      <c r="J2185" s="5" t="s">
        <v>6378</v>
      </c>
      <c r="K2185" s="7" t="str">
        <f ca="1">IFERROR(__xludf.DUMMYFUNCTION("GOOGLETRANSLATE(H2185,""EN"",""ES"")"),"OTROS INSTRUMENTOS, APARATOS Y DISPOSITIVOS DE MEDICIÓN")</f>
        <v>OTROS INSTRUMENTOS, APARATOS Y DISPOSITIVOS DE MEDICIÓN</v>
      </c>
      <c r="L2185" s="5" t="str">
        <f ca="1">IFERROR(__xludf.DUMMYFUNCTION("GOOGLETRANSLATE(J2185,""EN"",""ES"")"),"N / A")</f>
        <v>N / A</v>
      </c>
      <c r="M2185" s="8" t="s">
        <v>30</v>
      </c>
      <c r="N2185" s="8"/>
    </row>
    <row r="2186" spans="1:14" ht="11.25" customHeight="1">
      <c r="A2186" s="5" t="s">
        <v>5996</v>
      </c>
      <c r="B2186" s="5" t="s">
        <v>6075</v>
      </c>
      <c r="C2186" s="5" t="s">
        <v>6379</v>
      </c>
      <c r="D2186" s="5" t="s">
        <v>5999</v>
      </c>
      <c r="E2186" s="5" t="s">
        <v>31</v>
      </c>
      <c r="F2186" s="5" t="s">
        <v>6000</v>
      </c>
      <c r="G2186" s="5" t="s">
        <v>6001</v>
      </c>
      <c r="H2186" s="5" t="s">
        <v>6077</v>
      </c>
      <c r="I2186" s="5" t="s">
        <v>6380</v>
      </c>
      <c r="J2186" s="5" t="s">
        <v>6381</v>
      </c>
      <c r="K2186" s="7" t="str">
        <f ca="1">IFERROR(__xludf.DUMMYFUNCTION("GOOGLETRANSLATE(H2186,""EN"",""ES"")"),"OTROS INSTRUMENTOS, APARATOS Y DISPOSITIVOS DE MEDICIÓN")</f>
        <v>OTROS INSTRUMENTOS, APARATOS Y DISPOSITIVOS DE MEDICIÓN</v>
      </c>
      <c r="L2186" s="5" t="str">
        <f ca="1">IFERROR(__xludf.DUMMYFUNCTION("GOOGLETRANSLATE(J2186,""EN"",""ES"")"),"Escalas de letras")</f>
        <v>Escalas de letras</v>
      </c>
      <c r="M2186" s="8" t="s">
        <v>30</v>
      </c>
      <c r="N2186" s="8"/>
    </row>
    <row r="2187" spans="1:14" ht="11.25" customHeight="1">
      <c r="A2187" s="5" t="s">
        <v>5996</v>
      </c>
      <c r="B2187" s="5" t="s">
        <v>6075</v>
      </c>
      <c r="C2187" s="5" t="s">
        <v>6382</v>
      </c>
      <c r="D2187" s="5" t="s">
        <v>5999</v>
      </c>
      <c r="E2187" s="5" t="s">
        <v>31</v>
      </c>
      <c r="F2187" s="5" t="s">
        <v>6000</v>
      </c>
      <c r="G2187" s="5" t="s">
        <v>6001</v>
      </c>
      <c r="H2187" s="5" t="s">
        <v>6077</v>
      </c>
      <c r="I2187" s="5" t="s">
        <v>6383</v>
      </c>
      <c r="J2187" s="5" t="s">
        <v>6384</v>
      </c>
      <c r="K2187" s="7" t="str">
        <f ca="1">IFERROR(__xludf.DUMMYFUNCTION("GOOGLETRANSLATE(H2187,""EN"",""ES"")"),"OTROS INSTRUMENTOS, APARATOS Y DISPOSITIVOS DE MEDICIÓN")</f>
        <v>OTROS INSTRUMENTOS, APARATOS Y DISPOSITIVOS DE MEDICIÓN</v>
      </c>
      <c r="L2187" s="5" t="str">
        <f ca="1">IFERROR(__xludf.DUMMYFUNCTION("GOOGLETRANSLATE(J2187,""EN"",""ES"")"),"Medidas de diapositivas")</f>
        <v>Medidas de diapositivas</v>
      </c>
      <c r="M2187" s="8" t="s">
        <v>30</v>
      </c>
      <c r="N2187" s="8"/>
    </row>
    <row r="2188" spans="1:14" ht="11.25" customHeight="1">
      <c r="A2188" s="5" t="s">
        <v>5996</v>
      </c>
      <c r="B2188" s="5" t="s">
        <v>6075</v>
      </c>
      <c r="C2188" s="5" t="s">
        <v>6385</v>
      </c>
      <c r="D2188" s="5" t="s">
        <v>5999</v>
      </c>
      <c r="E2188" s="5" t="s">
        <v>31</v>
      </c>
      <c r="F2188" s="5" t="s">
        <v>6000</v>
      </c>
      <c r="G2188" s="5" t="s">
        <v>6001</v>
      </c>
      <c r="H2188" s="5" t="s">
        <v>6077</v>
      </c>
      <c r="I2188" s="5" t="s">
        <v>6386</v>
      </c>
      <c r="J2188" s="5" t="s">
        <v>6387</v>
      </c>
      <c r="K2188" s="7" t="str">
        <f ca="1">IFERROR(__xludf.DUMMYFUNCTION("GOOGLETRANSLATE(H2188,""EN"",""ES"")"),"OTROS INSTRUMENTOS, APARATOS Y DISPOSITIVOS DE MEDICIÓN")</f>
        <v>OTROS INSTRUMENTOS, APARATOS Y DISPOSITIVOS DE MEDICIÓN</v>
      </c>
      <c r="L2188" s="5" t="str">
        <f ca="1">IFERROR(__xludf.DUMMYFUNCTION("GOOGLETRANSLATE(J2188,""EN"",""ES"")"),"Manómetros de presión de neumáticos")</f>
        <v>Manómetros de presión de neumáticos</v>
      </c>
      <c r="M2188" s="8" t="s">
        <v>30</v>
      </c>
      <c r="N2188" s="8"/>
    </row>
    <row r="2189" spans="1:14" ht="11.25" customHeight="1">
      <c r="A2189" s="5" t="s">
        <v>5996</v>
      </c>
      <c r="B2189" s="5" t="s">
        <v>6075</v>
      </c>
      <c r="C2189" s="5" t="s">
        <v>6385</v>
      </c>
      <c r="D2189" s="5" t="s">
        <v>5999</v>
      </c>
      <c r="E2189" s="5" t="s">
        <v>31</v>
      </c>
      <c r="F2189" s="5" t="s">
        <v>6000</v>
      </c>
      <c r="G2189" s="5" t="s">
        <v>6001</v>
      </c>
      <c r="H2189" s="5" t="s">
        <v>6077</v>
      </c>
      <c r="I2189" s="5" t="s">
        <v>6388</v>
      </c>
      <c r="J2189" s="5" t="s">
        <v>152</v>
      </c>
      <c r="K2189" s="7" t="str">
        <f ca="1">IFERROR(__xludf.DUMMYFUNCTION("GOOGLETRANSLATE(H2189,""EN"",""ES"")"),"OTROS INSTRUMENTOS, APARATOS Y DISPOSITIVOS DE MEDICIÓN")</f>
        <v>OTROS INSTRUMENTOS, APARATOS Y DISPOSITIVOS DE MEDICIÓN</v>
      </c>
      <c r="L2189" s="5" t="str">
        <f ca="1">IFERROR(__xludf.DUMMYFUNCTION("GOOGLETRANSLATE(J2189,""EN"",""ES"")"),"Manómetros de presión de neumáticos")</f>
        <v>Manómetros de presión de neumáticos</v>
      </c>
      <c r="M2189" s="8" t="s">
        <v>30</v>
      </c>
      <c r="N2189" s="8"/>
    </row>
    <row r="2190" spans="1:14" ht="11.25" customHeight="1">
      <c r="A2190" s="5" t="s">
        <v>5996</v>
      </c>
      <c r="B2190" s="5" t="s">
        <v>6075</v>
      </c>
      <c r="C2190" s="5" t="s">
        <v>6389</v>
      </c>
      <c r="D2190" s="5" t="s">
        <v>5999</v>
      </c>
      <c r="E2190" s="5" t="s">
        <v>31</v>
      </c>
      <c r="F2190" s="5" t="s">
        <v>6000</v>
      </c>
      <c r="G2190" s="5" t="s">
        <v>6001</v>
      </c>
      <c r="H2190" s="5" t="s">
        <v>6077</v>
      </c>
      <c r="I2190" s="5" t="s">
        <v>6390</v>
      </c>
      <c r="J2190" s="5" t="s">
        <v>6391</v>
      </c>
      <c r="K2190" s="7" t="str">
        <f ca="1">IFERROR(__xludf.DUMMYFUNCTION("GOOGLETRANSLATE(H2190,""EN"",""ES"")"),"OTROS INSTRUMENTOS, APARATOS Y DISPOSITIVOS DE MEDICIÓN")</f>
        <v>OTROS INSTRUMENTOS, APARATOS Y DISPOSITIVOS DE MEDICIÓN</v>
      </c>
      <c r="L2190" s="5" t="str">
        <f ca="1">IFERROR(__xludf.DUMMYFUNCTION("GOOGLETRANSLATE(J2190,""EN"",""ES"")"),"tazas medidoras")</f>
        <v>tazas medidoras</v>
      </c>
      <c r="M2190" s="8" t="s">
        <v>30</v>
      </c>
      <c r="N2190" s="8"/>
    </row>
    <row r="2191" spans="1:14" ht="11.25" customHeight="1">
      <c r="A2191" s="5" t="s">
        <v>5996</v>
      </c>
      <c r="B2191" s="5" t="s">
        <v>6075</v>
      </c>
      <c r="C2191" s="5" t="s">
        <v>6392</v>
      </c>
      <c r="D2191" s="5" t="s">
        <v>5999</v>
      </c>
      <c r="E2191" s="5" t="s">
        <v>31</v>
      </c>
      <c r="F2191" s="5" t="s">
        <v>6000</v>
      </c>
      <c r="G2191" s="5" t="s">
        <v>6001</v>
      </c>
      <c r="H2191" s="5" t="s">
        <v>6077</v>
      </c>
      <c r="I2191" s="5" t="s">
        <v>6393</v>
      </c>
      <c r="J2191" s="5" t="s">
        <v>6394</v>
      </c>
      <c r="K2191" s="7" t="str">
        <f ca="1">IFERROR(__xludf.DUMMYFUNCTION("GOOGLETRANSLATE(H2191,""EN"",""ES"")"),"OTROS INSTRUMENTOS, APARATOS Y DISPOSITIVOS DE MEDICIÓN")</f>
        <v>OTROS INSTRUMENTOS, APARATOS Y DISPOSITIVOS DE MEDICIÓN</v>
      </c>
      <c r="L2191" s="5" t="str">
        <f ca="1">IFERROR(__xludf.DUMMYFUNCTION("GOOGLETRANSLATE(J2191,""EN"",""ES"")"),"Patios de acero")</f>
        <v>Patios de acero</v>
      </c>
      <c r="M2191" s="8" t="s">
        <v>30</v>
      </c>
      <c r="N2191" s="8"/>
    </row>
    <row r="2192" spans="1:14" ht="11.25" customHeight="1">
      <c r="A2192" s="5" t="s">
        <v>5996</v>
      </c>
      <c r="B2192" s="5" t="s">
        <v>6075</v>
      </c>
      <c r="C2192" s="5" t="s">
        <v>6395</v>
      </c>
      <c r="D2192" s="5" t="s">
        <v>5999</v>
      </c>
      <c r="E2192" s="5" t="s">
        <v>31</v>
      </c>
      <c r="F2192" s="5" t="s">
        <v>6000</v>
      </c>
      <c r="G2192" s="5" t="s">
        <v>6001</v>
      </c>
      <c r="H2192" s="5" t="s">
        <v>6077</v>
      </c>
      <c r="I2192" s="5" t="s">
        <v>6396</v>
      </c>
      <c r="J2192" s="5" t="s">
        <v>6397</v>
      </c>
      <c r="K2192" s="7" t="str">
        <f ca="1">IFERROR(__xludf.DUMMYFUNCTION("GOOGLETRANSLATE(H2192,""EN"",""ES"")"),"OTROS INSTRUMENTOS, APARATOS Y DISPOSITIVOS DE MEDICIÓN")</f>
        <v>OTROS INSTRUMENTOS, APARATOS Y DISPOSITIVOS DE MEDICIÓN</v>
      </c>
      <c r="L2192" s="5" t="str">
        <f ca="1">IFERROR(__xludf.DUMMYFUNCTION("GOOGLETRANSLATE(J2192,""EN"",""ES"")"),"ecosondas")</f>
        <v>ecosondas</v>
      </c>
      <c r="M2192" s="8" t="s">
        <v>30</v>
      </c>
      <c r="N2192" s="8"/>
    </row>
    <row r="2193" spans="1:14" ht="11.25" customHeight="1">
      <c r="A2193" s="5" t="s">
        <v>5996</v>
      </c>
      <c r="B2193" s="5" t="s">
        <v>6075</v>
      </c>
      <c r="C2193" s="5" t="s">
        <v>6398</v>
      </c>
      <c r="D2193" s="5" t="s">
        <v>5999</v>
      </c>
      <c r="E2193" s="5" t="s">
        <v>31</v>
      </c>
      <c r="F2193" s="5" t="s">
        <v>6000</v>
      </c>
      <c r="G2193" s="5" t="s">
        <v>6001</v>
      </c>
      <c r="H2193" s="5" t="s">
        <v>6077</v>
      </c>
      <c r="I2193" s="5" t="s">
        <v>6399</v>
      </c>
      <c r="J2193" s="5" t="s">
        <v>6400</v>
      </c>
      <c r="K2193" s="7" t="str">
        <f ca="1">IFERROR(__xludf.DUMMYFUNCTION("GOOGLETRANSLATE(H2193,""EN"",""ES"")"),"OTROS INSTRUMENTOS, APARATOS Y DISPOSITIVOS DE MEDICIÓN")</f>
        <v>OTROS INSTRUMENTOS, APARATOS Y DISPOSITIVOS DE MEDICIÓN</v>
      </c>
      <c r="L2193" s="5" t="str">
        <f ca="1">IFERROR(__xludf.DUMMYFUNCTION("GOOGLETRANSLATE(J2193,""EN"",""ES"")"),"Aparatos para medir el calado de los buques.")</f>
        <v>Aparatos para medir el calado de los buques.</v>
      </c>
      <c r="M2193" s="8" t="s">
        <v>30</v>
      </c>
      <c r="N2193" s="8"/>
    </row>
    <row r="2194" spans="1:14" ht="11.25" customHeight="1">
      <c r="A2194" s="5" t="s">
        <v>5996</v>
      </c>
      <c r="B2194" s="5" t="s">
        <v>6075</v>
      </c>
      <c r="C2194" s="5" t="s">
        <v>6401</v>
      </c>
      <c r="D2194" s="5" t="s">
        <v>5999</v>
      </c>
      <c r="E2194" s="5" t="s">
        <v>31</v>
      </c>
      <c r="F2194" s="5" t="s">
        <v>6000</v>
      </c>
      <c r="G2194" s="5" t="s">
        <v>6001</v>
      </c>
      <c r="H2194" s="5" t="s">
        <v>6077</v>
      </c>
      <c r="I2194" s="5" t="s">
        <v>6402</v>
      </c>
      <c r="J2194" s="5" t="s">
        <v>6403</v>
      </c>
      <c r="K2194" s="7" t="str">
        <f ca="1">IFERROR(__xludf.DUMMYFUNCTION("GOOGLETRANSLATE(H2194,""EN"",""ES"")"),"OTROS INSTRUMENTOS, APARATOS Y DISPOSITIVOS DE MEDICIÓN")</f>
        <v>OTROS INSTRUMENTOS, APARATOS Y DISPOSITIVOS DE MEDICIÓN</v>
      </c>
      <c r="L2194" s="5" t="str">
        <f ca="1">IFERROR(__xludf.DUMMYFUNCTION("GOOGLETRANSLATE(J2194,""EN"",""ES"")"),"Goteros [excepto para fines médicos o de laboratorio]")</f>
        <v>Goteros [excepto para fines médicos o de laboratorio]</v>
      </c>
      <c r="M2194" s="8" t="s">
        <v>30</v>
      </c>
      <c r="N2194" s="8"/>
    </row>
    <row r="2195" spans="1:14" ht="11.25" customHeight="1">
      <c r="A2195" s="5" t="s">
        <v>5996</v>
      </c>
      <c r="B2195" s="5" t="s">
        <v>6075</v>
      </c>
      <c r="C2195" s="5" t="s">
        <v>6404</v>
      </c>
      <c r="D2195" s="5" t="s">
        <v>5999</v>
      </c>
      <c r="E2195" s="5" t="s">
        <v>31</v>
      </c>
      <c r="F2195" s="5" t="s">
        <v>6000</v>
      </c>
      <c r="G2195" s="5" t="s">
        <v>6001</v>
      </c>
      <c r="H2195" s="5" t="s">
        <v>6077</v>
      </c>
      <c r="I2195" s="5" t="s">
        <v>6405</v>
      </c>
      <c r="J2195" s="5" t="s">
        <v>6406</v>
      </c>
      <c r="K2195" s="7" t="str">
        <f ca="1">IFERROR(__xludf.DUMMYFUNCTION("GOOGLETRANSLATE(H2195,""EN"",""ES"")"),"OTROS INSTRUMENTOS, APARATOS Y DISPOSITIVOS DE MEDICIÓN")</f>
        <v>OTROS INSTRUMENTOS, APARATOS Y DISPOSITIVOS DE MEDICIÓN</v>
      </c>
      <c r="L2195" s="5" t="str">
        <f ca="1">IFERROR(__xludf.DUMMYFUNCTION("GOOGLETRANSLATE(J2195,""EN"",""ES"")"),"Cucharas medidoras")</f>
        <v>Cucharas medidoras</v>
      </c>
      <c r="M2195" s="8" t="s">
        <v>30</v>
      </c>
      <c r="N2195" s="8"/>
    </row>
    <row r="2196" spans="1:14" ht="11.25" customHeight="1">
      <c r="A2196" s="5" t="s">
        <v>5996</v>
      </c>
      <c r="B2196" s="5" t="s">
        <v>6075</v>
      </c>
      <c r="C2196" s="5" t="s">
        <v>6407</v>
      </c>
      <c r="D2196" s="5" t="s">
        <v>5999</v>
      </c>
      <c r="E2196" s="5" t="s">
        <v>31</v>
      </c>
      <c r="F2196" s="5" t="s">
        <v>6000</v>
      </c>
      <c r="G2196" s="5" t="s">
        <v>6001</v>
      </c>
      <c r="H2196" s="5" t="s">
        <v>6077</v>
      </c>
      <c r="I2196" s="5" t="s">
        <v>6408</v>
      </c>
      <c r="J2196" s="5" t="s">
        <v>6409</v>
      </c>
      <c r="K2196" s="7" t="str">
        <f ca="1">IFERROR(__xludf.DUMMYFUNCTION("GOOGLETRANSLATE(H2196,""EN"",""ES"")"),"OTROS INSTRUMENTOS, APARATOS Y DISPOSITIVOS DE MEDICIÓN")</f>
        <v>OTROS INSTRUMENTOS, APARATOS Y DISPOSITIVOS DE MEDICIÓN</v>
      </c>
      <c r="L2196" s="5" t="str">
        <f ca="1">IFERROR(__xludf.DUMMYFUNCTION("GOOGLETRANSLATE(J2196,""EN"",""ES"")"),"Recipientes de medición [hogar]")</f>
        <v>Recipientes de medición [hogar]</v>
      </c>
      <c r="M2196" s="8" t="s">
        <v>30</v>
      </c>
      <c r="N2196" s="8"/>
    </row>
    <row r="2197" spans="1:14" ht="11.25" customHeight="1">
      <c r="A2197" s="5" t="s">
        <v>5996</v>
      </c>
      <c r="B2197" s="5" t="s">
        <v>6075</v>
      </c>
      <c r="C2197" s="5" t="s">
        <v>6410</v>
      </c>
      <c r="D2197" s="5" t="s">
        <v>5999</v>
      </c>
      <c r="E2197" s="5" t="s">
        <v>31</v>
      </c>
      <c r="F2197" s="5" t="s">
        <v>6000</v>
      </c>
      <c r="G2197" s="5" t="s">
        <v>6001</v>
      </c>
      <c r="H2197" s="5" t="s">
        <v>6077</v>
      </c>
      <c r="I2197" s="5" t="s">
        <v>6411</v>
      </c>
      <c r="J2197" s="5" t="s">
        <v>6412</v>
      </c>
      <c r="K2197" s="7" t="str">
        <f ca="1">IFERROR(__xludf.DUMMYFUNCTION("GOOGLETRANSLATE(H2197,""EN"",""ES"")"),"OTROS INSTRUMENTOS, APARATOS Y DISPOSITIVOS DE MEDICIÓN")</f>
        <v>OTROS INSTRUMENTOS, APARATOS Y DISPOSITIVOS DE MEDICIÓN</v>
      </c>
      <c r="L2197" s="5" t="str">
        <f ca="1">IFERROR(__xludf.DUMMYFUNCTION("GOOGLETRANSLATE(J2197,""EN"",""ES"")"),"registradores de kilometraje")</f>
        <v>registradores de kilometraje</v>
      </c>
      <c r="M2197" s="8" t="s">
        <v>30</v>
      </c>
      <c r="N2197" s="8"/>
    </row>
    <row r="2198" spans="1:14" ht="11.25" customHeight="1">
      <c r="A2198" s="5" t="s">
        <v>5996</v>
      </c>
      <c r="B2198" s="5" t="s">
        <v>6075</v>
      </c>
      <c r="C2198" s="5" t="s">
        <v>6410</v>
      </c>
      <c r="D2198" s="5" t="s">
        <v>5999</v>
      </c>
      <c r="E2198" s="5" t="s">
        <v>31</v>
      </c>
      <c r="F2198" s="5" t="s">
        <v>6000</v>
      </c>
      <c r="G2198" s="5" t="s">
        <v>6001</v>
      </c>
      <c r="H2198" s="5" t="s">
        <v>6077</v>
      </c>
      <c r="I2198" s="5" t="s">
        <v>6413</v>
      </c>
      <c r="J2198" s="5" t="s">
        <v>152</v>
      </c>
      <c r="K2198" s="7" t="str">
        <f ca="1">IFERROR(__xludf.DUMMYFUNCTION("GOOGLETRANSLATE(H2198,""EN"",""ES"")"),"OTROS INSTRUMENTOS, APARATOS Y DISPOSITIVOS DE MEDICIÓN")</f>
        <v>OTROS INSTRUMENTOS, APARATOS Y DISPOSITIVOS DE MEDICIÓN</v>
      </c>
      <c r="L2198" s="5" t="str">
        <f ca="1">IFERROR(__xludf.DUMMYFUNCTION("GOOGLETRANSLATE(J2198,""EN"",""ES"")"),"Registradores de kilómetros")</f>
        <v>Registradores de kilómetros</v>
      </c>
      <c r="M2198" s="8" t="s">
        <v>30</v>
      </c>
      <c r="N2198" s="8"/>
    </row>
    <row r="2199" spans="1:14" ht="11.25" customHeight="1">
      <c r="A2199" s="5" t="s">
        <v>5996</v>
      </c>
      <c r="B2199" s="5" t="s">
        <v>6075</v>
      </c>
      <c r="C2199" s="5" t="s">
        <v>6410</v>
      </c>
      <c r="D2199" s="5" t="s">
        <v>5999</v>
      </c>
      <c r="E2199" s="5" t="s">
        <v>31</v>
      </c>
      <c r="F2199" s="5" t="s">
        <v>6000</v>
      </c>
      <c r="G2199" s="5" t="s">
        <v>6001</v>
      </c>
      <c r="H2199" s="5" t="s">
        <v>6077</v>
      </c>
      <c r="I2199" s="5" t="s">
        <v>6414</v>
      </c>
      <c r="J2199" s="5" t="s">
        <v>152</v>
      </c>
      <c r="K2199" s="7" t="str">
        <f ca="1">IFERROR(__xludf.DUMMYFUNCTION("GOOGLETRANSLATE(H2199,""EN"",""ES"")"),"OTROS INSTRUMENTOS, APARATOS Y DISPOSITIVOS DE MEDICIÓN")</f>
        <v>OTROS INSTRUMENTOS, APARATOS Y DISPOSITIVOS DE MEDICIÓN</v>
      </c>
      <c r="L2199" s="5" t="str">
        <f ca="1">IFERROR(__xludf.DUMMYFUNCTION("GOOGLETRANSLATE(J2199,""EN"",""ES"")"),"Kilómetros")</f>
        <v>Kilómetros</v>
      </c>
      <c r="M2199" s="8" t="s">
        <v>30</v>
      </c>
      <c r="N2199" s="8"/>
    </row>
    <row r="2200" spans="1:14" ht="11.25" customHeight="1">
      <c r="A2200" s="5" t="s">
        <v>5996</v>
      </c>
      <c r="B2200" s="5" t="s">
        <v>6075</v>
      </c>
      <c r="C2200" s="5" t="s">
        <v>6415</v>
      </c>
      <c r="D2200" s="5" t="s">
        <v>5999</v>
      </c>
      <c r="E2200" s="5" t="s">
        <v>31</v>
      </c>
      <c r="F2200" s="5" t="s">
        <v>6000</v>
      </c>
      <c r="G2200" s="5" t="s">
        <v>6001</v>
      </c>
      <c r="H2200" s="5" t="s">
        <v>6077</v>
      </c>
      <c r="I2200" s="5" t="s">
        <v>6416</v>
      </c>
      <c r="J2200" s="5" t="s">
        <v>6417</v>
      </c>
      <c r="K2200" s="7" t="str">
        <f ca="1">IFERROR(__xludf.DUMMYFUNCTION("GOOGLETRANSLATE(H2200,""EN"",""ES"")"),"OTROS INSTRUMENTOS, APARATOS Y DISPOSITIVOS DE MEDICIÓN")</f>
        <v>OTROS INSTRUMENTOS, APARATOS Y DISPOSITIVOS DE MEDICIÓN</v>
      </c>
      <c r="L2200" s="5" t="str">
        <f ca="1">IFERROR(__xludf.DUMMYFUNCTION("GOOGLETRANSLATE(J2200,""EN"",""ES"")"),"contadores de revoluciones")</f>
        <v>contadores de revoluciones</v>
      </c>
      <c r="M2200" s="8" t="s">
        <v>30</v>
      </c>
      <c r="N2200" s="8"/>
    </row>
    <row r="2201" spans="1:14" ht="11.25" customHeight="1">
      <c r="A2201" s="5" t="s">
        <v>5996</v>
      </c>
      <c r="B2201" s="5" t="s">
        <v>6075</v>
      </c>
      <c r="C2201" s="5" t="s">
        <v>6418</v>
      </c>
      <c r="D2201" s="5" t="s">
        <v>5999</v>
      </c>
      <c r="E2201" s="5" t="s">
        <v>31</v>
      </c>
      <c r="F2201" s="5" t="s">
        <v>6000</v>
      </c>
      <c r="G2201" s="5" t="s">
        <v>6001</v>
      </c>
      <c r="H2201" s="5" t="s">
        <v>6077</v>
      </c>
      <c r="I2201" s="5" t="s">
        <v>6419</v>
      </c>
      <c r="J2201" s="5" t="s">
        <v>6420</v>
      </c>
      <c r="K2201" s="7" t="str">
        <f ca="1">IFERROR(__xludf.DUMMYFUNCTION("GOOGLETRANSLATE(H2201,""EN"",""ES"")"),"OTROS INSTRUMENTOS, APARATOS Y DISPOSITIVOS DE MEDICIÓN")</f>
        <v>OTROS INSTRUMENTOS, APARATOS Y DISPOSITIVOS DE MEDICIÓN</v>
      </c>
      <c r="L2201" s="5" t="str">
        <f ca="1">IFERROR(__xludf.DUMMYFUNCTION("GOOGLETRANSLATE(J2201,""EN"",""ES"")"),"Sonómetros [aparatos de medición]")</f>
        <v>Sonómetros [aparatos de medición]</v>
      </c>
      <c r="M2201" s="8" t="s">
        <v>30</v>
      </c>
      <c r="N2201" s="8"/>
    </row>
    <row r="2202" spans="1:14" ht="11.25" customHeight="1">
      <c r="A2202" s="5" t="s">
        <v>5996</v>
      </c>
      <c r="B2202" s="5" t="s">
        <v>6075</v>
      </c>
      <c r="C2202" s="5" t="s">
        <v>6421</v>
      </c>
      <c r="D2202" s="5" t="s">
        <v>5999</v>
      </c>
      <c r="E2202" s="5" t="s">
        <v>31</v>
      </c>
      <c r="F2202" s="5" t="s">
        <v>6000</v>
      </c>
      <c r="G2202" s="5" t="s">
        <v>6001</v>
      </c>
      <c r="H2202" s="5" t="s">
        <v>6077</v>
      </c>
      <c r="I2202" s="5" t="s">
        <v>6422</v>
      </c>
      <c r="J2202" s="5" t="s">
        <v>6423</v>
      </c>
      <c r="K2202" s="7" t="str">
        <f ca="1">IFERROR(__xludf.DUMMYFUNCTION("GOOGLETRANSLATE(H2202,""EN"",""ES"")"),"OTROS INSTRUMENTOS, APARATOS Y DISPOSITIVOS DE MEDICIÓN")</f>
        <v>OTROS INSTRUMENTOS, APARATOS Y DISPOSITIVOS DE MEDICIÓN</v>
      </c>
      <c r="L2202" s="5" t="str">
        <f ca="1">IFERROR(__xludf.DUMMYFUNCTION("GOOGLETRANSLATE(J2202,""EN"",""ES"")"),"Aparato de señalización vial")</f>
        <v>Aparato de señalización vial</v>
      </c>
      <c r="M2202" s="8" t="s">
        <v>30</v>
      </c>
      <c r="N2202" s="8"/>
    </row>
    <row r="2203" spans="1:14" ht="11.25" customHeight="1">
      <c r="A2203" s="5" t="s">
        <v>5996</v>
      </c>
      <c r="B2203" s="5" t="s">
        <v>6075</v>
      </c>
      <c r="C2203" s="5" t="s">
        <v>6424</v>
      </c>
      <c r="D2203" s="5" t="s">
        <v>5999</v>
      </c>
      <c r="E2203" s="5" t="s">
        <v>31</v>
      </c>
      <c r="F2203" s="5" t="s">
        <v>6000</v>
      </c>
      <c r="G2203" s="5" t="s">
        <v>6001</v>
      </c>
      <c r="H2203" s="5" t="s">
        <v>6077</v>
      </c>
      <c r="I2203" s="5" t="s">
        <v>6425</v>
      </c>
      <c r="J2203" s="5" t="s">
        <v>6426</v>
      </c>
      <c r="K2203" s="7" t="str">
        <f ca="1">IFERROR(__xludf.DUMMYFUNCTION("GOOGLETRANSLATE(H2203,""EN"",""ES"")"),"OTROS INSTRUMENTOS, APARATOS Y DISPOSITIVOS DE MEDICIÓN")</f>
        <v>OTROS INSTRUMENTOS, APARATOS Y DISPOSITIVOS DE MEDICIÓN</v>
      </c>
      <c r="L2203" s="5" t="str">
        <f ca="1">IFERROR(__xludf.DUMMYFUNCTION("GOOGLETRANSLATE(J2203,""EN"",""ES"")"),"Aparatos para dosificar alimentos.")</f>
        <v>Aparatos para dosificar alimentos.</v>
      </c>
      <c r="M2203" s="8" t="s">
        <v>30</v>
      </c>
      <c r="N2203" s="8"/>
    </row>
    <row r="2204" spans="1:14" ht="11.25" customHeight="1">
      <c r="A2204" s="5" t="s">
        <v>5996</v>
      </c>
      <c r="B2204" s="5" t="s">
        <v>6075</v>
      </c>
      <c r="C2204" s="5" t="s">
        <v>6427</v>
      </c>
      <c r="D2204" s="5" t="s">
        <v>5999</v>
      </c>
      <c r="E2204" s="5" t="s">
        <v>31</v>
      </c>
      <c r="F2204" s="5" t="s">
        <v>6000</v>
      </c>
      <c r="G2204" s="5" t="s">
        <v>6001</v>
      </c>
      <c r="H2204" s="5" t="s">
        <v>6077</v>
      </c>
      <c r="I2204" s="5" t="s">
        <v>6428</v>
      </c>
      <c r="J2204" s="5" t="s">
        <v>6429</v>
      </c>
      <c r="K2204" s="7" t="str">
        <f ca="1">IFERROR(__xludf.DUMMYFUNCTION("GOOGLETRANSLATE(H2204,""EN"",""ES"")"),"OTROS INSTRUMENTOS, APARATOS Y DISPOSITIVOS DE MEDICIÓN")</f>
        <v>OTROS INSTRUMENTOS, APARATOS Y DISPOSITIVOS DE MEDICIÓN</v>
      </c>
      <c r="L2204" s="5" t="str">
        <f ca="1">IFERROR(__xludf.DUMMYFUNCTION("GOOGLETRANSLATE(J2204,""EN"",""ES"")"),"Ciclómetros [computadores para bicicletas]")</f>
        <v>Ciclómetros [computadores para bicicletas]</v>
      </c>
      <c r="M2204" s="8" t="s">
        <v>30</v>
      </c>
      <c r="N2204" s="8"/>
    </row>
    <row r="2205" spans="1:14" ht="11.25" customHeight="1">
      <c r="A2205" s="5" t="s">
        <v>5996</v>
      </c>
      <c r="B2205" s="5" t="s">
        <v>6075</v>
      </c>
      <c r="C2205" s="5" t="s">
        <v>6430</v>
      </c>
      <c r="D2205" s="5" t="s">
        <v>5999</v>
      </c>
      <c r="E2205" s="5" t="s">
        <v>31</v>
      </c>
      <c r="F2205" s="5" t="s">
        <v>6000</v>
      </c>
      <c r="G2205" s="5" t="s">
        <v>6001</v>
      </c>
      <c r="H2205" s="5" t="s">
        <v>6077</v>
      </c>
      <c r="I2205" s="5" t="s">
        <v>6431</v>
      </c>
      <c r="J2205" s="5" t="s">
        <v>6432</v>
      </c>
      <c r="K2205" s="7" t="str">
        <f ca="1">IFERROR(__xludf.DUMMYFUNCTION("GOOGLETRANSLATE(H2205,""EN"",""ES"")"),"OTROS INSTRUMENTOS, APARATOS Y DISPOSITIVOS DE MEDICIÓN")</f>
        <v>OTROS INSTRUMENTOS, APARATOS Y DISPOSITIVOS DE MEDICIÓN</v>
      </c>
      <c r="L2205" s="5" t="str">
        <f ca="1">IFERROR(__xludf.DUMMYFUNCTION("GOOGLETRANSLATE(J2205,""EN"",""ES"")"),"Básculas de cocina")</f>
        <v>Básculas de cocina</v>
      </c>
      <c r="M2205" s="8" t="s">
        <v>30</v>
      </c>
      <c r="N2205" s="8"/>
    </row>
    <row r="2206" spans="1:14" ht="11.25" customHeight="1">
      <c r="A2206" s="5" t="s">
        <v>5996</v>
      </c>
      <c r="B2206" s="5" t="s">
        <v>6075</v>
      </c>
      <c r="C2206" s="5" t="s">
        <v>6433</v>
      </c>
      <c r="D2206" s="5" t="s">
        <v>5999</v>
      </c>
      <c r="E2206" s="5" t="s">
        <v>31</v>
      </c>
      <c r="F2206" s="5" t="s">
        <v>6000</v>
      </c>
      <c r="G2206" s="5" t="s">
        <v>6001</v>
      </c>
      <c r="H2206" s="5" t="s">
        <v>6077</v>
      </c>
      <c r="I2206" s="5" t="s">
        <v>6434</v>
      </c>
      <c r="J2206" s="5" t="s">
        <v>6435</v>
      </c>
      <c r="K2206" s="7" t="str">
        <f ca="1">IFERROR(__xludf.DUMMYFUNCTION("GOOGLETRANSLATE(H2206,""EN"",""ES"")"),"OTROS INSTRUMENTOS, APARATOS Y DISPOSITIVOS DE MEDICIÓN")</f>
        <v>OTROS INSTRUMENTOS, APARATOS Y DISPOSITIVOS DE MEDICIÓN</v>
      </c>
      <c r="L2206" s="5" t="str">
        <f ca="1">IFERROR(__xludf.DUMMYFUNCTION("GOOGLETRANSLATE(J2206,""EN"",""ES"")"),"Estaciones meteorológicas")</f>
        <v>Estaciones meteorológicas</v>
      </c>
      <c r="M2206" s="8" t="s">
        <v>30</v>
      </c>
      <c r="N2206" s="8"/>
    </row>
    <row r="2207" spans="1:14" ht="11.25" customHeight="1">
      <c r="A2207" s="5" t="s">
        <v>5996</v>
      </c>
      <c r="B2207" s="5" t="s">
        <v>6075</v>
      </c>
      <c r="C2207" s="5" t="s">
        <v>6436</v>
      </c>
      <c r="D2207" s="5" t="s">
        <v>5999</v>
      </c>
      <c r="E2207" s="5" t="s">
        <v>31</v>
      </c>
      <c r="F2207" s="5" t="s">
        <v>6000</v>
      </c>
      <c r="G2207" s="5" t="s">
        <v>6001</v>
      </c>
      <c r="H2207" s="5" t="s">
        <v>6077</v>
      </c>
      <c r="I2207" s="5" t="s">
        <v>6437</v>
      </c>
      <c r="J2207" s="5" t="s">
        <v>6438</v>
      </c>
      <c r="K2207" s="7" t="str">
        <f ca="1">IFERROR(__xludf.DUMMYFUNCTION("GOOGLETRANSLATE(H2207,""EN"",""ES"")"),"OTROS INSTRUMENTOS, APARATOS Y DISPOSITIVOS DE MEDICIÓN")</f>
        <v>OTROS INSTRUMENTOS, APARATOS Y DISPOSITIVOS DE MEDICIÓN</v>
      </c>
      <c r="L2207" s="5" t="str">
        <f ca="1">IFERROR(__xludf.DUMMYFUNCTION("GOOGLETRANSLATE(J2207,""EN"",""ES"")"),"Relojes de pulso")</f>
        <v>Relojes de pulso</v>
      </c>
      <c r="M2207" s="8" t="s">
        <v>30</v>
      </c>
      <c r="N2207" s="8"/>
    </row>
    <row r="2208" spans="1:14" ht="11.25" customHeight="1">
      <c r="A2208" s="5" t="s">
        <v>5996</v>
      </c>
      <c r="B2208" s="5" t="s">
        <v>6075</v>
      </c>
      <c r="C2208" s="5" t="s">
        <v>6439</v>
      </c>
      <c r="D2208" s="5" t="s">
        <v>5999</v>
      </c>
      <c r="E2208" s="5" t="s">
        <v>31</v>
      </c>
      <c r="F2208" s="5" t="s">
        <v>6000</v>
      </c>
      <c r="G2208" s="5" t="s">
        <v>6001</v>
      </c>
      <c r="H2208" s="5" t="s">
        <v>6077</v>
      </c>
      <c r="I2208" s="5" t="s">
        <v>6440</v>
      </c>
      <c r="J2208" s="5" t="s">
        <v>6441</v>
      </c>
      <c r="K2208" s="7" t="str">
        <f ca="1">IFERROR(__xludf.DUMMYFUNCTION("GOOGLETRANSLATE(H2208,""EN"",""ES"")"),"OTROS INSTRUMENTOS, APARATOS Y DISPOSITIVOS DE MEDICIÓN")</f>
        <v>OTROS INSTRUMENTOS, APARATOS Y DISPOSITIVOS DE MEDICIÓN</v>
      </c>
      <c r="L2208" s="5" t="str">
        <f ca="1">IFERROR(__xludf.DUMMYFUNCTION("GOOGLETRANSLATE(J2208,""EN"",""ES"")"),"Rastreadores de actividad portátiles")</f>
        <v>Rastreadores de actividad portátiles</v>
      </c>
      <c r="M2208" s="8" t="s">
        <v>30</v>
      </c>
      <c r="N2208" s="8"/>
    </row>
    <row r="2209" spans="1:14" ht="11.25" customHeight="1">
      <c r="A2209" s="5" t="s">
        <v>5996</v>
      </c>
      <c r="B2209" s="5" t="s">
        <v>6075</v>
      </c>
      <c r="C2209" s="5" t="s">
        <v>6442</v>
      </c>
      <c r="D2209" s="5" t="s">
        <v>5999</v>
      </c>
      <c r="E2209" s="5" t="s">
        <v>31</v>
      </c>
      <c r="F2209" s="5" t="s">
        <v>6000</v>
      </c>
      <c r="G2209" s="5" t="s">
        <v>6001</v>
      </c>
      <c r="H2209" s="5" t="s">
        <v>6077</v>
      </c>
      <c r="I2209" s="5" t="s">
        <v>6443</v>
      </c>
      <c r="J2209" s="5" t="s">
        <v>6444</v>
      </c>
      <c r="K2209" s="7" t="str">
        <f ca="1">IFERROR(__xludf.DUMMYFUNCTION("GOOGLETRANSLATE(H2209,""EN"",""ES"")"),"OTROS INSTRUMENTOS, APARATOS Y DISPOSITIVOS DE MEDICIÓN")</f>
        <v>OTROS INSTRUMENTOS, APARATOS Y DISPOSITIVOS DE MEDICIÓN</v>
      </c>
      <c r="L2209" s="5" t="str">
        <f ca="1">IFERROR(__xludf.DUMMYFUNCTION("GOOGLETRANSLATE(J2209,""EN"",""ES"")"),"Podómetros")</f>
        <v>Podómetros</v>
      </c>
      <c r="M2209" s="8" t="s">
        <v>30</v>
      </c>
      <c r="N2209" s="8"/>
    </row>
    <row r="2210" spans="1:14" ht="11.25" customHeight="1">
      <c r="A2210" s="5" t="s">
        <v>5996</v>
      </c>
      <c r="B2210" s="5" t="s">
        <v>6075</v>
      </c>
      <c r="C2210" s="5" t="s">
        <v>6445</v>
      </c>
      <c r="D2210" s="5" t="s">
        <v>5999</v>
      </c>
      <c r="E2210" s="5" t="s">
        <v>31</v>
      </c>
      <c r="F2210" s="5" t="s">
        <v>6000</v>
      </c>
      <c r="G2210" s="5" t="s">
        <v>6001</v>
      </c>
      <c r="H2210" s="5" t="s">
        <v>6077</v>
      </c>
      <c r="I2210" s="5" t="s">
        <v>6446</v>
      </c>
      <c r="J2210" s="5" t="s">
        <v>6447</v>
      </c>
      <c r="K2210" s="7" t="str">
        <f ca="1">IFERROR(__xludf.DUMMYFUNCTION("GOOGLETRANSLATE(H2210,""EN"",""ES"")"),"OTROS INSTRUMENTOS, APARATOS Y DISPOSITIVOS DE MEDICIÓN")</f>
        <v>OTROS INSTRUMENTOS, APARATOS Y DISPOSITIVOS DE MEDICIÓN</v>
      </c>
      <c r="L2210" s="5" t="str">
        <f ca="1">IFERROR(__xludf.DUMMYFUNCTION("GOOGLETRANSLATE(J2210,""EN"",""ES"")"),"Medidores de altura")</f>
        <v>Medidores de altura</v>
      </c>
      <c r="M2210" s="8" t="s">
        <v>30</v>
      </c>
      <c r="N2210" s="8"/>
    </row>
    <row r="2211" spans="1:14" ht="11.25" customHeight="1">
      <c r="A2211" s="5" t="s">
        <v>5996</v>
      </c>
      <c r="B2211" s="5" t="s">
        <v>6075</v>
      </c>
      <c r="C2211" s="5" t="s">
        <v>6448</v>
      </c>
      <c r="D2211" s="5" t="s">
        <v>5999</v>
      </c>
      <c r="E2211" s="5" t="s">
        <v>31</v>
      </c>
      <c r="F2211" s="5" t="s">
        <v>6000</v>
      </c>
      <c r="G2211" s="5" t="s">
        <v>6001</v>
      </c>
      <c r="H2211" s="5" t="s">
        <v>6077</v>
      </c>
      <c r="I2211" s="5" t="s">
        <v>6449</v>
      </c>
      <c r="J2211" s="5" t="s">
        <v>6450</v>
      </c>
      <c r="K2211" s="7" t="str">
        <f ca="1">IFERROR(__xludf.DUMMYFUNCTION("GOOGLETRANSLATE(H2211,""EN"",""ES"")"),"OTROS INSTRUMENTOS, APARATOS Y DISPOSITIVOS DE MEDICIÓN")</f>
        <v>OTROS INSTRUMENTOS, APARATOS Y DISPOSITIVOS DE MEDICIÓN</v>
      </c>
      <c r="L2211" s="5" t="str">
        <f ca="1">IFERROR(__xludf.DUMMYFUNCTION("GOOGLETRANSLATE(J2211,""EN"",""ES"")"),"Contadores de conteo")</f>
        <v>Contadores de conteo</v>
      </c>
      <c r="M2211" s="8" t="s">
        <v>30</v>
      </c>
      <c r="N2211" s="8"/>
    </row>
    <row r="2212" spans="1:14" ht="11.25" customHeight="1">
      <c r="A2212" s="5" t="s">
        <v>5996</v>
      </c>
      <c r="B2212" s="5" t="s">
        <v>6075</v>
      </c>
      <c r="C2212" s="5" t="s">
        <v>6451</v>
      </c>
      <c r="D2212" s="5" t="s">
        <v>5999</v>
      </c>
      <c r="E2212" s="5" t="s">
        <v>31</v>
      </c>
      <c r="F2212" s="5" t="s">
        <v>6000</v>
      </c>
      <c r="G2212" s="5" t="s">
        <v>6001</v>
      </c>
      <c r="H2212" s="5" t="s">
        <v>6077</v>
      </c>
      <c r="I2212" s="5" t="s">
        <v>6452</v>
      </c>
      <c r="J2212" s="5" t="s">
        <v>6453</v>
      </c>
      <c r="K2212" s="7" t="str">
        <f ca="1">IFERROR(__xludf.DUMMYFUNCTION("GOOGLETRANSLATE(H2212,""EN"",""ES"")"),"OTROS INSTRUMENTOS, APARATOS Y DISPOSITIVOS DE MEDICIÓN")</f>
        <v>OTROS INSTRUMENTOS, APARATOS Y DISPOSITIVOS DE MEDICIÓN</v>
      </c>
      <c r="L2212" s="5" t="str">
        <f ca="1">IFERROR(__xludf.DUMMYFUNCTION("GOOGLETRANSLATE(J2212,""EN"",""ES"")"),"Contadores de filas [tejido]")</f>
        <v>Contadores de filas [tejido]</v>
      </c>
      <c r="M2212" s="8" t="s">
        <v>30</v>
      </c>
      <c r="N2212" s="8"/>
    </row>
    <row r="2213" spans="1:14" ht="11.25" customHeight="1">
      <c r="A2213" s="5" t="s">
        <v>5996</v>
      </c>
      <c r="B2213" s="5" t="s">
        <v>6454</v>
      </c>
      <c r="C2213" s="5" t="s">
        <v>6455</v>
      </c>
      <c r="D2213" s="5" t="s">
        <v>5999</v>
      </c>
      <c r="E2213" s="5" t="s">
        <v>31</v>
      </c>
      <c r="F2213" s="5" t="s">
        <v>6000</v>
      </c>
      <c r="G2213" s="5" t="s">
        <v>6001</v>
      </c>
      <c r="H2213" s="5" t="s">
        <v>6456</v>
      </c>
      <c r="I2213" s="5" t="s">
        <v>6457</v>
      </c>
      <c r="J2213" s="5" t="s">
        <v>6458</v>
      </c>
      <c r="K2213" s="7" t="str">
        <f ca="1">IFERROR(__xludf.DUMMYFUNCTION("GOOGLETRANSLATE(H2213,""EN"",""ES"")"),"INSTRUMENTOS, APARATOS Y DISPOSITIVOS DE VERIFICACIÓN, SEGURIDAD O PRUEBAS")</f>
        <v>INSTRUMENTOS, APARATOS Y DISPOSITIVOS DE VERIFICACIÓN, SEGURIDAD O PRUEBAS</v>
      </c>
      <c r="L2213" s="5" t="str">
        <f ca="1">IFERROR(__xludf.DUMMYFUNCTION("GOOGLETRANSLATE(J2213,""EN"",""ES"")"),"polos taquiometricos")</f>
        <v>polos taquiometricos</v>
      </c>
      <c r="M2213" s="8" t="s">
        <v>30</v>
      </c>
      <c r="N2213" s="8"/>
    </row>
    <row r="2214" spans="1:14" ht="11.25" customHeight="1">
      <c r="A2214" s="5" t="s">
        <v>5996</v>
      </c>
      <c r="B2214" s="5" t="s">
        <v>6454</v>
      </c>
      <c r="C2214" s="5" t="s">
        <v>6459</v>
      </c>
      <c r="D2214" s="5" t="s">
        <v>5999</v>
      </c>
      <c r="E2214" s="5" t="s">
        <v>31</v>
      </c>
      <c r="F2214" s="5" t="s">
        <v>6000</v>
      </c>
      <c r="G2214" s="5" t="s">
        <v>6001</v>
      </c>
      <c r="H2214" s="5" t="s">
        <v>6456</v>
      </c>
      <c r="I2214" s="5" t="s">
        <v>6460</v>
      </c>
      <c r="J2214" s="5" t="s">
        <v>6461</v>
      </c>
      <c r="K2214" s="7" t="str">
        <f ca="1">IFERROR(__xludf.DUMMYFUNCTION("GOOGLETRANSLATE(H2214,""EN"",""ES"")"),"INSTRUMENTOS, APARATOS Y DISPOSITIVOS DE VERIFICACIÓN, SEGURIDAD O PRUEBAS")</f>
        <v>INSTRUMENTOS, APARATOS Y DISPOSITIVOS DE VERIFICACIÓN, SEGURIDAD O PRUEBAS</v>
      </c>
      <c r="L2214" s="5" t="str">
        <f ca="1">IFERROR(__xludf.DUMMYFUNCTION("GOOGLETRANSLATE(J2214,""EN"",""ES"")"),"Aparato de análisis de fluidos")</f>
        <v>Aparato de análisis de fluidos</v>
      </c>
      <c r="M2214" s="8" t="s">
        <v>30</v>
      </c>
      <c r="N2214" s="8"/>
    </row>
    <row r="2215" spans="1:14" ht="11.25" customHeight="1">
      <c r="A2215" s="5" t="s">
        <v>5996</v>
      </c>
      <c r="B2215" s="5" t="s">
        <v>6454</v>
      </c>
      <c r="C2215" s="5" t="s">
        <v>6462</v>
      </c>
      <c r="D2215" s="5" t="s">
        <v>5999</v>
      </c>
      <c r="E2215" s="5" t="s">
        <v>31</v>
      </c>
      <c r="F2215" s="5" t="s">
        <v>6000</v>
      </c>
      <c r="G2215" s="5" t="s">
        <v>6001</v>
      </c>
      <c r="H2215" s="5" t="s">
        <v>6456</v>
      </c>
      <c r="I2215" s="5" t="s">
        <v>6463</v>
      </c>
      <c r="J2215" s="5" t="s">
        <v>6464</v>
      </c>
      <c r="K2215" s="7" t="str">
        <f ca="1">IFERROR(__xludf.DUMMYFUNCTION("GOOGLETRANSLATE(H2215,""EN"",""ES"")"),"INSTRUMENTOS, APARATOS Y DISPOSITIVOS DE VERIFICACIÓN, SEGURIDAD O PRUEBAS")</f>
        <v>INSTRUMENTOS, APARATOS Y DISPOSITIVOS DE VERIFICACIÓN, SEGURIDAD O PRUEBAS</v>
      </c>
      <c r="L2215" s="5" t="str">
        <f ca="1">IFERROR(__xludf.DUMMYFUNCTION("GOOGLETRANSLATE(J2215,""EN"",""ES"")"),"alarmas antirrobo")</f>
        <v>alarmas antirrobo</v>
      </c>
      <c r="M2215" s="8" t="s">
        <v>30</v>
      </c>
      <c r="N2215" s="8"/>
    </row>
    <row r="2216" spans="1:14" ht="11.25" customHeight="1">
      <c r="A2216" s="5" t="s">
        <v>5996</v>
      </c>
      <c r="B2216" s="5" t="s">
        <v>6454</v>
      </c>
      <c r="C2216" s="5" t="s">
        <v>6465</v>
      </c>
      <c r="D2216" s="5" t="s">
        <v>5999</v>
      </c>
      <c r="E2216" s="5" t="s">
        <v>31</v>
      </c>
      <c r="F2216" s="5" t="s">
        <v>6000</v>
      </c>
      <c r="G2216" s="5" t="s">
        <v>6001</v>
      </c>
      <c r="H2216" s="5" t="s">
        <v>6456</v>
      </c>
      <c r="I2216" s="5" t="s">
        <v>6466</v>
      </c>
      <c r="J2216" s="5" t="s">
        <v>6467</v>
      </c>
      <c r="K2216" s="7" t="str">
        <f ca="1">IFERROR(__xludf.DUMMYFUNCTION("GOOGLETRANSLATE(H2216,""EN"",""ES"")"),"INSTRUMENTOS, APARATOS Y DISPOSITIVOS DE VERIFICACIÓN, SEGURIDAD O PRUEBAS")</f>
        <v>INSTRUMENTOS, APARATOS Y DISPOSITIVOS DE VERIFICACIÓN, SEGURIDAD O PRUEBAS</v>
      </c>
      <c r="L2216" s="5" t="str">
        <f ca="1">IFERROR(__xludf.DUMMYFUNCTION("GOOGLETRANSLATE(J2216,""EN"",""ES"")"),"alarmas de incendio")</f>
        <v>alarmas de incendio</v>
      </c>
      <c r="M2216" s="8" t="s">
        <v>30</v>
      </c>
      <c r="N2216" s="8"/>
    </row>
    <row r="2217" spans="1:14" ht="11.25" customHeight="1">
      <c r="A2217" s="5" t="s">
        <v>5996</v>
      </c>
      <c r="B2217" s="5" t="s">
        <v>6454</v>
      </c>
      <c r="C2217" s="5" t="s">
        <v>6468</v>
      </c>
      <c r="D2217" s="5" t="s">
        <v>5999</v>
      </c>
      <c r="E2217" s="5" t="s">
        <v>31</v>
      </c>
      <c r="F2217" s="5" t="s">
        <v>6000</v>
      </c>
      <c r="G2217" s="5" t="s">
        <v>6001</v>
      </c>
      <c r="H2217" s="5" t="s">
        <v>6456</v>
      </c>
      <c r="I2217" s="5" t="s">
        <v>6469</v>
      </c>
      <c r="J2217" s="5" t="s">
        <v>6470</v>
      </c>
      <c r="K2217" s="7" t="str">
        <f ca="1">IFERROR(__xludf.DUMMYFUNCTION("GOOGLETRANSLATE(H2217,""EN"",""ES"")"),"INSTRUMENTOS, APARATOS Y DISPOSITIVOS DE VERIFICACIÓN, SEGURIDAD O PRUEBAS")</f>
        <v>INSTRUMENTOS, APARATOS Y DISPOSITIVOS DE VERIFICACIÓN, SEGURIDAD O PRUEBAS</v>
      </c>
      <c r="L2217" s="5" t="str">
        <f ca="1">IFERROR(__xludf.DUMMYFUNCTION("GOOGLETRANSLATE(J2217,""EN"",""ES"")"),"Indicadores de heladas [eléctricos]")</f>
        <v>Indicadores de heladas [eléctricos]</v>
      </c>
      <c r="M2217" s="8" t="s">
        <v>30</v>
      </c>
      <c r="N2217" s="8"/>
    </row>
    <row r="2218" spans="1:14" ht="11.25" customHeight="1">
      <c r="A2218" s="5" t="s">
        <v>5996</v>
      </c>
      <c r="B2218" s="5" t="s">
        <v>6454</v>
      </c>
      <c r="C2218" s="5" t="s">
        <v>6471</v>
      </c>
      <c r="D2218" s="5" t="s">
        <v>5999</v>
      </c>
      <c r="E2218" s="5" t="s">
        <v>31</v>
      </c>
      <c r="F2218" s="5" t="s">
        <v>6000</v>
      </c>
      <c r="G2218" s="5" t="s">
        <v>6001</v>
      </c>
      <c r="H2218" s="5" t="s">
        <v>6456</v>
      </c>
      <c r="I2218" s="5" t="s">
        <v>6472</v>
      </c>
      <c r="J2218" s="5" t="s">
        <v>6473</v>
      </c>
      <c r="K2218" s="7" t="str">
        <f ca="1">IFERROR(__xludf.DUMMYFUNCTION("GOOGLETRANSLATE(H2218,""EN"",""ES"")"),"INSTRUMENTOS, APARATOS Y DISPOSITIVOS DE VERIFICACIÓN, SEGURIDAD O PRUEBAS")</f>
        <v>INSTRUMENTOS, APARATOS Y DISPOSITIVOS DE VERIFICACIÓN, SEGURIDAD O PRUEBAS</v>
      </c>
      <c r="L2218" s="5" t="str">
        <f ca="1">IFERROR(__xludf.DUMMYFUNCTION("GOOGLETRANSLATE(J2218,""EN"",""ES"")"),"Alarmas que indican escasez de agua en calderas")</f>
        <v>Alarmas que indican escasez de agua en calderas</v>
      </c>
      <c r="M2218" s="8" t="s">
        <v>30</v>
      </c>
      <c r="N2218" s="8"/>
    </row>
    <row r="2219" spans="1:14" ht="11.25" customHeight="1">
      <c r="A2219" s="5" t="s">
        <v>5996</v>
      </c>
      <c r="B2219" s="5" t="s">
        <v>6454</v>
      </c>
      <c r="C2219" s="5" t="s">
        <v>6474</v>
      </c>
      <c r="D2219" s="5" t="s">
        <v>5999</v>
      </c>
      <c r="E2219" s="5" t="s">
        <v>31</v>
      </c>
      <c r="F2219" s="5" t="s">
        <v>6000</v>
      </c>
      <c r="G2219" s="5" t="s">
        <v>6001</v>
      </c>
      <c r="H2219" s="5" t="s">
        <v>6456</v>
      </c>
      <c r="I2219" s="5" t="s">
        <v>6475</v>
      </c>
      <c r="J2219" s="5" t="s">
        <v>6476</v>
      </c>
      <c r="K2219" s="7" t="str">
        <f ca="1">IFERROR(__xludf.DUMMYFUNCTION("GOOGLETRANSLATE(H2219,""EN"",""ES"")"),"INSTRUMENTOS, APARATOS Y DISPOSITIVOS DE VERIFICACIÓN, SEGURIDAD O PRUEBAS")</f>
        <v>INSTRUMENTOS, APARATOS Y DISPOSITIVOS DE VERIFICACIÓN, SEGURIDAD O PRUEBAS</v>
      </c>
      <c r="L2219" s="5" t="str">
        <f ca="1">IFERROR(__xludf.DUMMYFUNCTION("GOOGLETRANSLATE(J2219,""EN"",""ES"")"),"Fotocélulas de control")</f>
        <v>Fotocélulas de control</v>
      </c>
      <c r="M2219" s="8" t="s">
        <v>30</v>
      </c>
      <c r="N2219" s="8"/>
    </row>
    <row r="2220" spans="1:14" ht="11.25" customHeight="1">
      <c r="A2220" s="5" t="s">
        <v>5996</v>
      </c>
      <c r="B2220" s="5" t="s">
        <v>6454</v>
      </c>
      <c r="C2220" s="5" t="s">
        <v>6477</v>
      </c>
      <c r="D2220" s="5" t="s">
        <v>5999</v>
      </c>
      <c r="E2220" s="5" t="s">
        <v>31</v>
      </c>
      <c r="F2220" s="5" t="s">
        <v>6000</v>
      </c>
      <c r="G2220" s="5" t="s">
        <v>6001</v>
      </c>
      <c r="H2220" s="5" t="s">
        <v>6456</v>
      </c>
      <c r="I2220" s="5" t="s">
        <v>6478</v>
      </c>
      <c r="J2220" s="5" t="s">
        <v>6479</v>
      </c>
      <c r="K2220" s="7" t="str">
        <f ca="1">IFERROR(__xludf.DUMMYFUNCTION("GOOGLETRANSLATE(H2220,""EN"",""ES"")"),"INSTRUMENTOS, APARATOS Y DISPOSITIVOS DE VERIFICACIÓN, SEGURIDAD O PRUEBAS")</f>
        <v>INSTRUMENTOS, APARATOS Y DISPOSITIVOS DE VERIFICACIÓN, SEGURIDAD O PRUEBAS</v>
      </c>
      <c r="L2220" s="5" t="str">
        <f ca="1">IFERROR(__xludf.DUMMYFUNCTION("GOOGLETRANSLATE(J2220,""EN"",""ES"")"),"Contadores Geiger-Müller")</f>
        <v>Contadores Geiger-Müller</v>
      </c>
      <c r="M2220" s="8" t="s">
        <v>30</v>
      </c>
      <c r="N2220" s="8"/>
    </row>
    <row r="2221" spans="1:14" ht="11.25" customHeight="1">
      <c r="A2221" s="5" t="s">
        <v>5996</v>
      </c>
      <c r="B2221" s="5" t="s">
        <v>6454</v>
      </c>
      <c r="C2221" s="5" t="s">
        <v>6480</v>
      </c>
      <c r="D2221" s="5" t="s">
        <v>5999</v>
      </c>
      <c r="E2221" s="5" t="s">
        <v>31</v>
      </c>
      <c r="F2221" s="5" t="s">
        <v>6000</v>
      </c>
      <c r="G2221" s="5" t="s">
        <v>6001</v>
      </c>
      <c r="H2221" s="5" t="s">
        <v>6456</v>
      </c>
      <c r="I2221" s="5" t="s">
        <v>6481</v>
      </c>
      <c r="J2221" s="5" t="s">
        <v>6482</v>
      </c>
      <c r="K2221" s="7" t="str">
        <f ca="1">IFERROR(__xludf.DUMMYFUNCTION("GOOGLETRANSLATE(H2221,""EN"",""ES"")"),"INSTRUMENTOS, APARATOS Y DISPOSITIVOS DE VERIFICACIÓN, SEGURIDAD O PRUEBAS")</f>
        <v>INSTRUMENTOS, APARATOS Y DISPOSITIVOS DE VERIFICACIÓN, SEGURIDAD O PRUEBAS</v>
      </c>
      <c r="L2221" s="5" t="str">
        <f ca="1">IFERROR(__xludf.DUMMYFUNCTION("GOOGLETRANSLATE(J2221,""EN"",""ES"")"),"Aparato de control")</f>
        <v>Aparato de control</v>
      </c>
      <c r="M2221" s="8" t="s">
        <v>30</v>
      </c>
      <c r="N2221" s="8"/>
    </row>
    <row r="2222" spans="1:14" ht="11.25" customHeight="1">
      <c r="A2222" s="5" t="s">
        <v>5996</v>
      </c>
      <c r="B2222" s="5" t="s">
        <v>6454</v>
      </c>
      <c r="C2222" s="5" t="s">
        <v>6483</v>
      </c>
      <c r="D2222" s="5" t="s">
        <v>5999</v>
      </c>
      <c r="E2222" s="5" t="s">
        <v>31</v>
      </c>
      <c r="F2222" s="5" t="s">
        <v>6000</v>
      </c>
      <c r="G2222" s="5" t="s">
        <v>6001</v>
      </c>
      <c r="H2222" s="5" t="s">
        <v>6456</v>
      </c>
      <c r="I2222" s="5" t="s">
        <v>6484</v>
      </c>
      <c r="J2222" s="5" t="s">
        <v>6485</v>
      </c>
      <c r="K2222" s="7" t="str">
        <f ca="1">IFERROR(__xludf.DUMMYFUNCTION("GOOGLETRANSLATE(H2222,""EN"",""ES"")"),"INSTRUMENTOS, APARATOS Y DISPOSITIVOS DE VERIFICACIÓN, SEGURIDAD O PRUEBAS")</f>
        <v>INSTRUMENTOS, APARATOS Y DISPOSITIVOS DE VERIFICACIÓN, SEGURIDAD O PRUEBAS</v>
      </c>
      <c r="L2222" s="5" t="str">
        <f ca="1">IFERROR(__xludf.DUMMYFUNCTION("GOOGLETRANSLATE(J2222,""EN"",""ES"")"),"Aparato de control de entrada")</f>
        <v>Aparato de control de entrada</v>
      </c>
      <c r="M2222" s="8" t="s">
        <v>30</v>
      </c>
      <c r="N2222" s="8"/>
    </row>
    <row r="2223" spans="1:14" ht="11.25" customHeight="1">
      <c r="A2223" s="5" t="s">
        <v>5996</v>
      </c>
      <c r="B2223" s="5" t="s">
        <v>6454</v>
      </c>
      <c r="C2223" s="5" t="s">
        <v>6486</v>
      </c>
      <c r="D2223" s="5" t="s">
        <v>5999</v>
      </c>
      <c r="E2223" s="5" t="s">
        <v>31</v>
      </c>
      <c r="F2223" s="5" t="s">
        <v>6000</v>
      </c>
      <c r="G2223" s="5" t="s">
        <v>6001</v>
      </c>
      <c r="H2223" s="5" t="s">
        <v>6456</v>
      </c>
      <c r="I2223" s="5" t="s">
        <v>6487</v>
      </c>
      <c r="J2223" s="5" t="s">
        <v>6488</v>
      </c>
      <c r="K2223" s="7" t="str">
        <f ca="1">IFERROR(__xludf.DUMMYFUNCTION("GOOGLETRANSLATE(H2223,""EN"",""ES"")"),"INSTRUMENTOS, APARATOS Y DISPOSITIVOS DE VERIFICACIÓN, SEGURIDAD O PRUEBAS")</f>
        <v>INSTRUMENTOS, APARATOS Y DISPOSITIVOS DE VERIFICACIÓN, SEGURIDAD O PRUEBAS</v>
      </c>
      <c r="L2223" s="5" t="str">
        <f ca="1">IFERROR(__xludf.DUMMYFUNCTION("GOOGLETRANSLATE(J2223,""EN"",""ES"")"),"Controladores de llama térmicos")</f>
        <v>Controladores de llama térmicos</v>
      </c>
      <c r="M2223" s="8" t="s">
        <v>30</v>
      </c>
      <c r="N2223" s="8"/>
    </row>
    <row r="2224" spans="1:14" ht="11.25" customHeight="1">
      <c r="A2224" s="5" t="s">
        <v>5996</v>
      </c>
      <c r="B2224" s="5" t="s">
        <v>6454</v>
      </c>
      <c r="C2224" s="5" t="s">
        <v>6489</v>
      </c>
      <c r="D2224" s="5" t="s">
        <v>5999</v>
      </c>
      <c r="E2224" s="5" t="s">
        <v>31</v>
      </c>
      <c r="F2224" s="5" t="s">
        <v>6000</v>
      </c>
      <c r="G2224" s="5" t="s">
        <v>6001</v>
      </c>
      <c r="H2224" s="5" t="s">
        <v>6456</v>
      </c>
      <c r="I2224" s="5" t="s">
        <v>6490</v>
      </c>
      <c r="J2224" s="5" t="s">
        <v>6491</v>
      </c>
      <c r="K2224" s="7" t="str">
        <f ca="1">IFERROR(__xludf.DUMMYFUNCTION("GOOGLETRANSLATE(H2224,""EN"",""ES"")"),"INSTRUMENTOS, APARATOS Y DISPOSITIVOS DE VERIFICACIÓN, SEGURIDAD O PRUEBAS")</f>
        <v>INSTRUMENTOS, APARATOS Y DISPOSITIVOS DE VERIFICACIÓN, SEGURIDAD O PRUEBAS</v>
      </c>
      <c r="L2224" s="5" t="str">
        <f ca="1">IFERROR(__xludf.DUMMYFUNCTION("GOOGLETRANSLATE(J2224,""EN"",""ES"")"),"Detectores de humedad")</f>
        <v>Detectores de humedad</v>
      </c>
      <c r="M2224" s="8" t="s">
        <v>30</v>
      </c>
      <c r="N2224" s="8"/>
    </row>
    <row r="2225" spans="1:14" ht="11.25" customHeight="1">
      <c r="A2225" s="5" t="s">
        <v>5996</v>
      </c>
      <c r="B2225" s="5" t="s">
        <v>6454</v>
      </c>
      <c r="C2225" s="5" t="s">
        <v>6492</v>
      </c>
      <c r="D2225" s="5" t="s">
        <v>5999</v>
      </c>
      <c r="E2225" s="5" t="s">
        <v>31</v>
      </c>
      <c r="F2225" s="5" t="s">
        <v>6000</v>
      </c>
      <c r="G2225" s="5" t="s">
        <v>6001</v>
      </c>
      <c r="H2225" s="5" t="s">
        <v>6456</v>
      </c>
      <c r="I2225" s="5" t="s">
        <v>6493</v>
      </c>
      <c r="J2225" s="5" t="s">
        <v>6494</v>
      </c>
      <c r="K2225" s="7" t="str">
        <f ca="1">IFERROR(__xludf.DUMMYFUNCTION("GOOGLETRANSLATE(H2225,""EN"",""ES"")"),"INSTRUMENTOS, APARATOS Y DISPOSITIVOS DE VERIFICACIÓN, SEGURIDAD O PRUEBAS")</f>
        <v>INSTRUMENTOS, APARATOS Y DISPOSITIVOS DE VERIFICACIÓN, SEGURIDAD O PRUEBAS</v>
      </c>
      <c r="L2225" s="5" t="str">
        <f ca="1">IFERROR(__xludf.DUMMYFUNCTION("GOOGLETRANSLATE(J2225,""EN"",""ES"")"),"detectores de incendios")</f>
        <v>detectores de incendios</v>
      </c>
      <c r="M2225" s="8" t="s">
        <v>30</v>
      </c>
      <c r="N2225" s="8"/>
    </row>
    <row r="2226" spans="1:14" ht="11.25" customHeight="1">
      <c r="A2226" s="5" t="s">
        <v>5996</v>
      </c>
      <c r="B2226" s="5" t="s">
        <v>6454</v>
      </c>
      <c r="C2226" s="5" t="s">
        <v>6495</v>
      </c>
      <c r="D2226" s="5" t="s">
        <v>5999</v>
      </c>
      <c r="E2226" s="5" t="s">
        <v>31</v>
      </c>
      <c r="F2226" s="5" t="s">
        <v>6000</v>
      </c>
      <c r="G2226" s="5" t="s">
        <v>6001</v>
      </c>
      <c r="H2226" s="5" t="s">
        <v>6456</v>
      </c>
      <c r="I2226" s="5" t="s">
        <v>6496</v>
      </c>
      <c r="J2226" s="5" t="s">
        <v>6497</v>
      </c>
      <c r="K2226" s="7" t="str">
        <f ca="1">IFERROR(__xludf.DUMMYFUNCTION("GOOGLETRANSLATE(H2226,""EN"",""ES"")"),"INSTRUMENTOS, APARATOS Y DISPOSITIVOS DE VERIFICACIÓN, SEGURIDAD O PRUEBAS")</f>
        <v>INSTRUMENTOS, APARATOS Y DISPOSITIVOS DE VERIFICACIÓN, SEGURIDAD O PRUEBAS</v>
      </c>
      <c r="L2226" s="5" t="str">
        <f ca="1">IFERROR(__xludf.DUMMYFUNCTION("GOOGLETRANSLATE(J2226,""EN"",""ES"")"),"Detectores de radiación")</f>
        <v>Detectores de radiación</v>
      </c>
      <c r="M2226" s="8" t="s">
        <v>30</v>
      </c>
      <c r="N2226" s="8"/>
    </row>
    <row r="2227" spans="1:14" ht="11.25" customHeight="1">
      <c r="A2227" s="5" t="s">
        <v>5996</v>
      </c>
      <c r="B2227" s="5" t="s">
        <v>6454</v>
      </c>
      <c r="C2227" s="5" t="s">
        <v>6498</v>
      </c>
      <c r="D2227" s="5" t="s">
        <v>5999</v>
      </c>
      <c r="E2227" s="5" t="s">
        <v>31</v>
      </c>
      <c r="F2227" s="5" t="s">
        <v>6000</v>
      </c>
      <c r="G2227" s="5" t="s">
        <v>6001</v>
      </c>
      <c r="H2227" s="5" t="s">
        <v>6456</v>
      </c>
      <c r="I2227" s="5" t="s">
        <v>6499</v>
      </c>
      <c r="J2227" s="5" t="s">
        <v>6500</v>
      </c>
      <c r="K2227" s="7" t="str">
        <f ca="1">IFERROR(__xludf.DUMMYFUNCTION("GOOGLETRANSLATE(H2227,""EN"",""ES"")"),"INSTRUMENTOS, APARATOS Y DISPOSITIVOS DE VERIFICACIÓN, SEGURIDAD O PRUEBAS")</f>
        <v>INSTRUMENTOS, APARATOS Y DISPOSITIVOS DE VERIFICACIÓN, SEGURIDAD O PRUEBAS</v>
      </c>
      <c r="L2227" s="5" t="str">
        <f ca="1">IFERROR(__xludf.DUMMYFUNCTION("GOOGLETRANSLATE(J2227,""EN"",""ES"")"),"detectores de minerales")</f>
        <v>detectores de minerales</v>
      </c>
      <c r="M2227" s="8" t="s">
        <v>30</v>
      </c>
      <c r="N2227" s="8"/>
    </row>
    <row r="2228" spans="1:14" ht="11.25" customHeight="1">
      <c r="A2228" s="5" t="s">
        <v>5996</v>
      </c>
      <c r="B2228" s="5" t="s">
        <v>6454</v>
      </c>
      <c r="C2228" s="5" t="s">
        <v>6501</v>
      </c>
      <c r="D2228" s="5" t="s">
        <v>5999</v>
      </c>
      <c r="E2228" s="5" t="s">
        <v>31</v>
      </c>
      <c r="F2228" s="5" t="s">
        <v>6000</v>
      </c>
      <c r="G2228" s="5" t="s">
        <v>6001</v>
      </c>
      <c r="H2228" s="5" t="s">
        <v>6456</v>
      </c>
      <c r="I2228" s="5" t="s">
        <v>6502</v>
      </c>
      <c r="J2228" s="5" t="s">
        <v>6503</v>
      </c>
      <c r="K2228" s="7" t="str">
        <f ca="1">IFERROR(__xludf.DUMMYFUNCTION("GOOGLETRANSLATE(H2228,""EN"",""ES"")"),"INSTRUMENTOS, APARATOS Y DISPOSITIVOS DE VERIFICACIÓN, SEGURIDAD O PRUEBAS")</f>
        <v>INSTRUMENTOS, APARATOS Y DISPOSITIVOS DE VERIFICACIÓN, SEGURIDAD O PRUEBAS</v>
      </c>
      <c r="L2228" s="5" t="str">
        <f ca="1">IFERROR(__xludf.DUMMYFUNCTION("GOOGLETRANSLATE(J2228,""EN"",""ES"")"),"Instrumentos de prueba")</f>
        <v>Instrumentos de prueba</v>
      </c>
      <c r="M2228" s="8" t="s">
        <v>30</v>
      </c>
      <c r="N2228" s="8"/>
    </row>
    <row r="2229" spans="1:14" ht="11.25" customHeight="1">
      <c r="A2229" s="5" t="s">
        <v>5996</v>
      </c>
      <c r="B2229" s="5" t="s">
        <v>6454</v>
      </c>
      <c r="C2229" s="5" t="s">
        <v>6504</v>
      </c>
      <c r="D2229" s="5" t="s">
        <v>5999</v>
      </c>
      <c r="E2229" s="5" t="s">
        <v>31</v>
      </c>
      <c r="F2229" s="5" t="s">
        <v>6000</v>
      </c>
      <c r="G2229" s="5" t="s">
        <v>6001</v>
      </c>
      <c r="H2229" s="5" t="s">
        <v>6456</v>
      </c>
      <c r="I2229" s="5" t="s">
        <v>6505</v>
      </c>
      <c r="J2229" s="5" t="s">
        <v>6506</v>
      </c>
      <c r="K2229" s="7" t="str">
        <f ca="1">IFERROR(__xludf.DUMMYFUNCTION("GOOGLETRANSLATE(H2229,""EN"",""ES"")"),"INSTRUMENTOS, APARATOS Y DISPOSITIVOS DE VERIFICACIÓN, SEGURIDAD O PRUEBAS")</f>
        <v>INSTRUMENTOS, APARATOS Y DISPOSITIVOS DE VERIFICACIÓN, SEGURIDAD O PRUEBAS</v>
      </c>
      <c r="L2229" s="5" t="str">
        <f ca="1">IFERROR(__xludf.DUMMYFUNCTION("GOOGLETRANSLATE(J2229,""EN"",""ES"")"),"Máquinas de prueba de frenos")</f>
        <v>Máquinas de prueba de frenos</v>
      </c>
      <c r="M2229" s="8" t="s">
        <v>30</v>
      </c>
      <c r="N2229" s="8"/>
    </row>
    <row r="2230" spans="1:14" ht="11.25" customHeight="1">
      <c r="A2230" s="5" t="s">
        <v>5996</v>
      </c>
      <c r="B2230" s="5" t="s">
        <v>6454</v>
      </c>
      <c r="C2230" s="5" t="s">
        <v>6507</v>
      </c>
      <c r="D2230" s="5" t="s">
        <v>5999</v>
      </c>
      <c r="E2230" s="5" t="s">
        <v>31</v>
      </c>
      <c r="F2230" s="5" t="s">
        <v>6000</v>
      </c>
      <c r="G2230" s="5" t="s">
        <v>6001</v>
      </c>
      <c r="H2230" s="5" t="s">
        <v>6456</v>
      </c>
      <c r="I2230" s="5" t="s">
        <v>6508</v>
      </c>
      <c r="J2230" s="5" t="s">
        <v>6509</v>
      </c>
      <c r="K2230" s="7" t="str">
        <f ca="1">IFERROR(__xludf.DUMMYFUNCTION("GOOGLETRANSLATE(H2230,""EN"",""ES"")"),"INSTRUMENTOS, APARATOS Y DISPOSITIVOS DE VERIFICACIÓN, SEGURIDAD O PRUEBAS")</f>
        <v>INSTRUMENTOS, APARATOS Y DISPOSITIVOS DE VERIFICACIÓN, SEGURIDAD O PRUEBAS</v>
      </c>
      <c r="L2230" s="5" t="str">
        <f ca="1">IFERROR(__xludf.DUMMYFUNCTION("GOOGLETRANSLATE(J2230,""EN"",""ES"")"),"Detectores de grisú")</f>
        <v>Detectores de grisú</v>
      </c>
      <c r="M2230" s="8" t="s">
        <v>30</v>
      </c>
      <c r="N2230" s="8"/>
    </row>
    <row r="2231" spans="1:14" ht="11.25" customHeight="1">
      <c r="A2231" s="5" t="s">
        <v>5996</v>
      </c>
      <c r="B2231" s="5" t="s">
        <v>6454</v>
      </c>
      <c r="C2231" s="5" t="s">
        <v>6510</v>
      </c>
      <c r="D2231" s="5" t="s">
        <v>5999</v>
      </c>
      <c r="E2231" s="5" t="s">
        <v>31</v>
      </c>
      <c r="F2231" s="5" t="s">
        <v>6000</v>
      </c>
      <c r="G2231" s="5" t="s">
        <v>6001</v>
      </c>
      <c r="H2231" s="5" t="s">
        <v>6456</v>
      </c>
      <c r="I2231" s="5" t="s">
        <v>6511</v>
      </c>
      <c r="J2231" s="5" t="s">
        <v>6511</v>
      </c>
      <c r="K2231" s="7" t="str">
        <f ca="1">IFERROR(__xludf.DUMMYFUNCTION("GOOGLETRANSLATE(H2231,""EN"",""ES"")"),"INSTRUMENTOS, APARATOS Y DISPOSITIVOS DE VERIFICACIÓN, SEGURIDAD O PRUEBAS")</f>
        <v>INSTRUMENTOS, APARATOS Y DISPOSITIVOS DE VERIFICACIÓN, SEGURIDAD O PRUEBAS</v>
      </c>
      <c r="L2231" s="5" t="str">
        <f ca="1">IFERROR(__xludf.DUMMYFUNCTION("GOOGLETRANSLATE(J2231,""EN"",""ES"")"),"Giroscopios [aviación, navegación]")</f>
        <v>Giroscopios [aviación, navegación]</v>
      </c>
      <c r="M2231" s="8" t="s">
        <v>30</v>
      </c>
      <c r="N2231" s="8"/>
    </row>
    <row r="2232" spans="1:14" ht="11.25" customHeight="1">
      <c r="A2232" s="5" t="s">
        <v>5996</v>
      </c>
      <c r="B2232" s="5" t="s">
        <v>6454</v>
      </c>
      <c r="C2232" s="5" t="s">
        <v>6512</v>
      </c>
      <c r="D2232" s="5" t="s">
        <v>5999</v>
      </c>
      <c r="E2232" s="5" t="s">
        <v>31</v>
      </c>
      <c r="F2232" s="5" t="s">
        <v>6000</v>
      </c>
      <c r="G2232" s="5" t="s">
        <v>6001</v>
      </c>
      <c r="H2232" s="5" t="s">
        <v>6456</v>
      </c>
      <c r="I2232" s="5" t="s">
        <v>6513</v>
      </c>
      <c r="J2232" s="5" t="s">
        <v>6513</v>
      </c>
      <c r="K2232" s="7" t="str">
        <f ca="1">IFERROR(__xludf.DUMMYFUNCTION("GOOGLETRANSLATE(H2232,""EN"",""ES"")"),"INSTRUMENTOS, APARATOS Y DISPOSITIVOS DE VERIFICACIÓN, SEGURIDAD O PRUEBAS")</f>
        <v>INSTRUMENTOS, APARATOS Y DISPOSITIVOS DE VERIFICACIÓN, SEGURIDAD O PRUEBAS</v>
      </c>
      <c r="L2232" s="5" t="str">
        <f ca="1">IFERROR(__xludf.DUMMYFUNCTION("GOOGLETRANSLATE(J2232,""EN"",""ES"")"),"hidrófonos")</f>
        <v>hidrófonos</v>
      </c>
      <c r="M2232" s="8" t="s">
        <v>30</v>
      </c>
      <c r="N2232" s="8"/>
    </row>
    <row r="2233" spans="1:14" ht="11.25" customHeight="1">
      <c r="A2233" s="5" t="s">
        <v>5996</v>
      </c>
      <c r="B2233" s="5" t="s">
        <v>6454</v>
      </c>
      <c r="C2233" s="5" t="s">
        <v>6514</v>
      </c>
      <c r="D2233" s="5" t="s">
        <v>5999</v>
      </c>
      <c r="E2233" s="5" t="s">
        <v>31</v>
      </c>
      <c r="F2233" s="5" t="s">
        <v>6000</v>
      </c>
      <c r="G2233" s="5" t="s">
        <v>6001</v>
      </c>
      <c r="H2233" s="5" t="s">
        <v>6456</v>
      </c>
      <c r="I2233" s="5" t="s">
        <v>6515</v>
      </c>
      <c r="J2233" s="5" t="s">
        <v>6515</v>
      </c>
      <c r="K2233" s="7" t="str">
        <f ca="1">IFERROR(__xludf.DUMMYFUNCTION("GOOGLETRANSLATE(H2233,""EN"",""ES"")"),"INSTRUMENTOS, APARATOS Y DISPOSITIVOS DE VERIFICACIÓN, SEGURIDAD O PRUEBAS")</f>
        <v>INSTRUMENTOS, APARATOS Y DISPOSITIVOS DE VERIFICACIÓN, SEGURIDAD O PRUEBAS</v>
      </c>
      <c r="L2233" s="5" t="str">
        <f ca="1">IFERROR(__xludf.DUMMYFUNCTION("GOOGLETRANSLATE(J2233,""EN"",""ES"")"),"Higrostatos")</f>
        <v>Higrostatos</v>
      </c>
      <c r="M2233" s="8" t="s">
        <v>30</v>
      </c>
      <c r="N2233" s="8"/>
    </row>
    <row r="2234" spans="1:14" ht="11.25" customHeight="1">
      <c r="A2234" s="5" t="s">
        <v>5996</v>
      </c>
      <c r="B2234" s="5" t="s">
        <v>6454</v>
      </c>
      <c r="C2234" s="5" t="s">
        <v>6516</v>
      </c>
      <c r="D2234" s="5" t="s">
        <v>5999</v>
      </c>
      <c r="E2234" s="5" t="s">
        <v>31</v>
      </c>
      <c r="F2234" s="5" t="s">
        <v>6000</v>
      </c>
      <c r="G2234" s="5" t="s">
        <v>6001</v>
      </c>
      <c r="H2234" s="5" t="s">
        <v>6456</v>
      </c>
      <c r="I2234" s="5" t="s">
        <v>6517</v>
      </c>
      <c r="J2234" s="5" t="s">
        <v>6517</v>
      </c>
      <c r="K2234" s="7" t="str">
        <f ca="1">IFERROR(__xludf.DUMMYFUNCTION("GOOGLETRANSLATE(H2234,""EN"",""ES"")"),"INSTRUMENTOS, APARATOS Y DISPOSITIVOS DE VERIFICACIÓN, SEGURIDAD O PRUEBAS")</f>
        <v>INSTRUMENTOS, APARATOS Y DISPOSITIVOS DE VERIFICACIÓN, SEGURIDAD O PRUEBAS</v>
      </c>
      <c r="L2234" s="5" t="str">
        <f ca="1">IFERROR(__xludf.DUMMYFUNCTION("GOOGLETRANSLATE(J2234,""EN"",""ES"")"),"Osciloscopios")</f>
        <v>Osciloscopios</v>
      </c>
      <c r="M2234" s="8" t="s">
        <v>30</v>
      </c>
      <c r="N2234" s="8"/>
    </row>
    <row r="2235" spans="1:14" ht="11.25" customHeight="1">
      <c r="A2235" s="5" t="s">
        <v>5996</v>
      </c>
      <c r="B2235" s="5" t="s">
        <v>6454</v>
      </c>
      <c r="C2235" s="5" t="s">
        <v>6518</v>
      </c>
      <c r="D2235" s="5" t="s">
        <v>5999</v>
      </c>
      <c r="E2235" s="5" t="s">
        <v>31</v>
      </c>
      <c r="F2235" s="5" t="s">
        <v>6000</v>
      </c>
      <c r="G2235" s="5" t="s">
        <v>6001</v>
      </c>
      <c r="H2235" s="5" t="s">
        <v>6456</v>
      </c>
      <c r="I2235" s="5" t="s">
        <v>6519</v>
      </c>
      <c r="J2235" s="5" t="s">
        <v>6520</v>
      </c>
      <c r="K2235" s="7" t="str">
        <f ca="1">IFERROR(__xludf.DUMMYFUNCTION("GOOGLETRANSLATE(H2235,""EN"",""ES"")"),"INSTRUMENTOS, APARATOS Y DISPOSITIVOS DE VERIFICACIÓN, SEGURIDAD O PRUEBAS")</f>
        <v>INSTRUMENTOS, APARATOS Y DISPOSITIVOS DE VERIFICACIÓN, SEGURIDAD O PRUEBAS</v>
      </c>
      <c r="L2235" s="5" t="str">
        <f ca="1">IFERROR(__xludf.DUMMYFUNCTION("GOOGLETRANSLATE(J2235,""EN"",""ES"")"),"Pararrayos")</f>
        <v>Pararrayos</v>
      </c>
      <c r="M2235" s="8" t="s">
        <v>30</v>
      </c>
      <c r="N2235" s="8"/>
    </row>
    <row r="2236" spans="1:14" ht="11.25" customHeight="1">
      <c r="A2236" s="5" t="s">
        <v>5996</v>
      </c>
      <c r="B2236" s="5" t="s">
        <v>6454</v>
      </c>
      <c r="C2236" s="5" t="s">
        <v>6518</v>
      </c>
      <c r="D2236" s="5" t="s">
        <v>5999</v>
      </c>
      <c r="E2236" s="5" t="s">
        <v>31</v>
      </c>
      <c r="F2236" s="5" t="s">
        <v>6000</v>
      </c>
      <c r="G2236" s="5" t="s">
        <v>6001</v>
      </c>
      <c r="H2236" s="5" t="s">
        <v>6456</v>
      </c>
      <c r="I2236" s="5" t="s">
        <v>6521</v>
      </c>
      <c r="J2236" s="5" t="s">
        <v>6522</v>
      </c>
      <c r="K2236" s="7" t="str">
        <f ca="1">IFERROR(__xludf.DUMMYFUNCTION("GOOGLETRANSLATE(H2236,""EN"",""ES"")"),"INSTRUMENTOS, APARATOS Y DISPOSITIVOS DE VERIFICACIÓN, SEGURIDAD O PRUEBAS")</f>
        <v>INSTRUMENTOS, APARATOS Y DISPOSITIVOS DE VERIFICACIÓN, SEGURIDAD O PRUEBAS</v>
      </c>
      <c r="L2236" s="5" t="str">
        <f ca="1">IFERROR(__xludf.DUMMYFUNCTION("GOOGLETRANSLATE(J2236,""EN"",""ES"")"),"Pararrayos")</f>
        <v>Pararrayos</v>
      </c>
      <c r="M2236" s="8" t="s">
        <v>30</v>
      </c>
      <c r="N2236" s="8"/>
    </row>
    <row r="2237" spans="1:14" ht="11.25" customHeight="1">
      <c r="A2237" s="5" t="s">
        <v>5996</v>
      </c>
      <c r="B2237" s="5" t="s">
        <v>6454</v>
      </c>
      <c r="C2237" s="5" t="s">
        <v>6518</v>
      </c>
      <c r="D2237" s="5" t="s">
        <v>5999</v>
      </c>
      <c r="E2237" s="5" t="s">
        <v>31</v>
      </c>
      <c r="F2237" s="5" t="s">
        <v>6000</v>
      </c>
      <c r="G2237" s="5" t="s">
        <v>6001</v>
      </c>
      <c r="H2237" s="5" t="s">
        <v>6456</v>
      </c>
      <c r="I2237" s="5" t="s">
        <v>6523</v>
      </c>
      <c r="J2237" s="5" t="s">
        <v>152</v>
      </c>
      <c r="K2237" s="7" t="str">
        <f ca="1">IFERROR(__xludf.DUMMYFUNCTION("GOOGLETRANSLATE(H2237,""EN"",""ES"")"),"INSTRUMENTOS, APARATOS Y DISPOSITIVOS DE VERIFICACIÓN, SEGURIDAD O PRUEBAS")</f>
        <v>INSTRUMENTOS, APARATOS Y DISPOSITIVOS DE VERIFICACIÓN, SEGURIDAD O PRUEBAS</v>
      </c>
      <c r="L2237" s="5" t="str">
        <f ca="1">IFERROR(__xludf.DUMMYFUNCTION("GOOGLETRANSLATE(J2237,""EN"",""ES"")"),"Pararrayos")</f>
        <v>Pararrayos</v>
      </c>
      <c r="M2237" s="8" t="s">
        <v>30</v>
      </c>
      <c r="N2237" s="8"/>
    </row>
    <row r="2238" spans="1:14" ht="11.25" customHeight="1">
      <c r="A2238" s="5" t="s">
        <v>5996</v>
      </c>
      <c r="B2238" s="5" t="s">
        <v>6454</v>
      </c>
      <c r="C2238" s="5" t="s">
        <v>6524</v>
      </c>
      <c r="D2238" s="5" t="s">
        <v>5999</v>
      </c>
      <c r="E2238" s="5" t="s">
        <v>31</v>
      </c>
      <c r="F2238" s="5" t="s">
        <v>6000</v>
      </c>
      <c r="G2238" s="5" t="s">
        <v>6001</v>
      </c>
      <c r="H2238" s="5" t="s">
        <v>6456</v>
      </c>
      <c r="I2238" s="5" t="s">
        <v>6525</v>
      </c>
      <c r="J2238" s="5" t="s">
        <v>6526</v>
      </c>
      <c r="K2238" s="7" t="str">
        <f ca="1">IFERROR(__xludf.DUMMYFUNCTION("GOOGLETRANSLATE(H2238,""EN"",""ES"")"),"INSTRUMENTOS, APARATOS Y DISPOSITIVOS DE VERIFICACIÓN, SEGURIDAD O PRUEBAS")</f>
        <v>INSTRUMENTOS, APARATOS Y DISPOSITIVOS DE VERIFICACIÓN, SEGURIDAD O PRUEBAS</v>
      </c>
      <c r="L2238" s="5" t="str">
        <f ca="1">IFERROR(__xludf.DUMMYFUNCTION("GOOGLETRANSLATE(J2238,""EN"",""ES"")"),"Aparato para ajustar los faros de los vehículos.")</f>
        <v>Aparato para ajustar los faros de los vehículos.</v>
      </c>
      <c r="M2238" s="8" t="s">
        <v>30</v>
      </c>
      <c r="N2238" s="8"/>
    </row>
    <row r="2239" spans="1:14" ht="11.25" customHeight="1">
      <c r="A2239" s="5" t="s">
        <v>5996</v>
      </c>
      <c r="B2239" s="5" t="s">
        <v>6454</v>
      </c>
      <c r="C2239" s="5" t="s">
        <v>6527</v>
      </c>
      <c r="D2239" s="5" t="s">
        <v>5999</v>
      </c>
      <c r="E2239" s="5" t="s">
        <v>31</v>
      </c>
      <c r="F2239" s="5" t="s">
        <v>6000</v>
      </c>
      <c r="G2239" s="5" t="s">
        <v>6001</v>
      </c>
      <c r="H2239" s="5" t="s">
        <v>6456</v>
      </c>
      <c r="I2239" s="5" t="s">
        <v>6528</v>
      </c>
      <c r="J2239" s="5" t="s">
        <v>6529</v>
      </c>
      <c r="K2239" s="7" t="str">
        <f ca="1">IFERROR(__xludf.DUMMYFUNCTION("GOOGLETRANSLATE(H2239,""EN"",""ES"")"),"INSTRUMENTOS, APARATOS Y DISPOSITIVOS DE VERIFICACIÓN, SEGURIDAD O PRUEBAS")</f>
        <v>INSTRUMENTOS, APARATOS Y DISPOSITIVOS DE VERIFICACIÓN, SEGURIDAD O PRUEBAS</v>
      </c>
      <c r="L2239" s="5" t="str">
        <f ca="1">IFERROR(__xludf.DUMMYFUNCTION("GOOGLETRANSLATE(J2239,""EN"",""ES"")"),"Fotómetros [aparatos de control]")</f>
        <v>Fotómetros [aparatos de control]</v>
      </c>
      <c r="M2239" s="8" t="s">
        <v>30</v>
      </c>
      <c r="N2239" s="8"/>
    </row>
    <row r="2240" spans="1:14" ht="11.25" customHeight="1">
      <c r="A2240" s="5" t="s">
        <v>5996</v>
      </c>
      <c r="B2240" s="5" t="s">
        <v>6454</v>
      </c>
      <c r="C2240" s="5" t="s">
        <v>6530</v>
      </c>
      <c r="D2240" s="5" t="s">
        <v>5999</v>
      </c>
      <c r="E2240" s="5" t="s">
        <v>31</v>
      </c>
      <c r="F2240" s="5" t="s">
        <v>6000</v>
      </c>
      <c r="G2240" s="5" t="s">
        <v>6001</v>
      </c>
      <c r="H2240" s="5" t="s">
        <v>6456</v>
      </c>
      <c r="I2240" s="5" t="s">
        <v>6531</v>
      </c>
      <c r="J2240" s="5" t="s">
        <v>6532</v>
      </c>
      <c r="K2240" s="7" t="str">
        <f ca="1">IFERROR(__xludf.DUMMYFUNCTION("GOOGLETRANSLATE(H2240,""EN"",""ES"")"),"INSTRUMENTOS, APARATOS Y DISPOSITIVOS DE VERIFICACIÓN, SEGURIDAD O PRUEBAS")</f>
        <v>INSTRUMENTOS, APARATOS Y DISPOSITIVOS DE VERIFICACIÓN, SEGURIDAD O PRUEBAS</v>
      </c>
      <c r="L2240" s="5" t="str">
        <f ca="1">IFERROR(__xludf.DUMMYFUNCTION("GOOGLETRANSLATE(J2240,""EN"",""ES"")"),"relojes de tiempo")</f>
        <v>relojes de tiempo</v>
      </c>
      <c r="M2240" s="8" t="s">
        <v>30</v>
      </c>
      <c r="N2240" s="8"/>
    </row>
    <row r="2241" spans="1:14" ht="11.25" customHeight="1">
      <c r="A2241" s="5" t="s">
        <v>5996</v>
      </c>
      <c r="B2241" s="5" t="s">
        <v>6454</v>
      </c>
      <c r="C2241" s="5" t="s">
        <v>6533</v>
      </c>
      <c r="D2241" s="5" t="s">
        <v>5999</v>
      </c>
      <c r="E2241" s="5" t="s">
        <v>31</v>
      </c>
      <c r="F2241" s="5" t="s">
        <v>6000</v>
      </c>
      <c r="G2241" s="5" t="s">
        <v>6001</v>
      </c>
      <c r="H2241" s="5" t="s">
        <v>6456</v>
      </c>
      <c r="I2241" s="5" t="s">
        <v>6534</v>
      </c>
      <c r="J2241" s="5" t="s">
        <v>6535</v>
      </c>
      <c r="K2241" s="7" t="str">
        <f ca="1">IFERROR(__xludf.DUMMYFUNCTION("GOOGLETRANSLATE(H2241,""EN"",""ES"")"),"INSTRUMENTOS, APARATOS Y DISPOSITIVOS DE VERIFICACIÓN, SEGURIDAD O PRUEBAS")</f>
        <v>INSTRUMENTOS, APARATOS Y DISPOSITIVOS DE VERIFICACIÓN, SEGURIDAD O PRUEBAS</v>
      </c>
      <c r="L2241" s="5" t="str">
        <f ca="1">IFERROR(__xludf.DUMMYFUNCTION("GOOGLETRANSLATE(J2241,""EN"",""ES"")"),"Aparato de radar")</f>
        <v>Aparato de radar</v>
      </c>
      <c r="M2241" s="8" t="s">
        <v>30</v>
      </c>
      <c r="N2241" s="8"/>
    </row>
    <row r="2242" spans="1:14" ht="11.25" customHeight="1">
      <c r="A2242" s="5" t="s">
        <v>5996</v>
      </c>
      <c r="B2242" s="5" t="s">
        <v>6454</v>
      </c>
      <c r="C2242" s="5" t="s">
        <v>6536</v>
      </c>
      <c r="D2242" s="5" t="s">
        <v>5999</v>
      </c>
      <c r="E2242" s="5" t="s">
        <v>31</v>
      </c>
      <c r="F2242" s="5" t="s">
        <v>6000</v>
      </c>
      <c r="G2242" s="5" t="s">
        <v>6001</v>
      </c>
      <c r="H2242" s="5" t="s">
        <v>6456</v>
      </c>
      <c r="I2242" s="5" t="s">
        <v>6537</v>
      </c>
      <c r="J2242" s="5" t="s">
        <v>6537</v>
      </c>
      <c r="K2242" s="7" t="str">
        <f ca="1">IFERROR(__xludf.DUMMYFUNCTION("GOOGLETRANSLATE(H2242,""EN"",""ES"")"),"INSTRUMENTOS, APARATOS Y DISPOSITIVOS DE VERIFICACIÓN, SEGURIDAD O PRUEBAS")</f>
        <v>INSTRUMENTOS, APARATOS Y DISPOSITIVOS DE VERIFICACIÓN, SEGURIDAD O PRUEBAS</v>
      </c>
      <c r="L2242" s="5" t="str">
        <f ca="1">IFERROR(__xludf.DUMMYFUNCTION("GOOGLETRANSLATE(J2242,""EN"",""ES"")"),"Termostatos")</f>
        <v>Termostatos</v>
      </c>
      <c r="M2242" s="8" t="s">
        <v>30</v>
      </c>
      <c r="N2242" s="8"/>
    </row>
    <row r="2243" spans="1:14" ht="11.25" customHeight="1">
      <c r="A2243" s="5" t="s">
        <v>5996</v>
      </c>
      <c r="B2243" s="5" t="s">
        <v>6454</v>
      </c>
      <c r="C2243" s="5" t="s">
        <v>6536</v>
      </c>
      <c r="D2243" s="5" t="s">
        <v>5999</v>
      </c>
      <c r="E2243" s="5" t="s">
        <v>31</v>
      </c>
      <c r="F2243" s="5" t="s">
        <v>6000</v>
      </c>
      <c r="G2243" s="5" t="s">
        <v>6001</v>
      </c>
      <c r="H2243" s="5" t="s">
        <v>6456</v>
      </c>
      <c r="I2243" s="5" t="s">
        <v>152</v>
      </c>
      <c r="J2243" s="5" t="s">
        <v>6538</v>
      </c>
      <c r="K2243" s="7" t="str">
        <f ca="1">IFERROR(__xludf.DUMMYFUNCTION("GOOGLETRANSLATE(H2243,""EN"",""ES"")"),"INSTRUMENTOS, APARATOS Y DISPOSITIVOS DE VERIFICACIÓN, SEGURIDAD O PRUEBAS")</f>
        <v>INSTRUMENTOS, APARATOS Y DISPOSITIVOS DE VERIFICACIÓN, SEGURIDAD O PRUEBAS</v>
      </c>
      <c r="L2243" s="5" t="str">
        <f ca="1">IFERROR(__xludf.DUMMYFUNCTION("GOOGLETRANSLATE(J2243,""EN"",""ES"")"),"N / A")</f>
        <v>N / A</v>
      </c>
      <c r="M2243" s="8" t="s">
        <v>30</v>
      </c>
      <c r="N2243" s="8"/>
    </row>
    <row r="2244" spans="1:14" ht="11.25" customHeight="1">
      <c r="A2244" s="5" t="s">
        <v>5996</v>
      </c>
      <c r="B2244" s="5" t="s">
        <v>6454</v>
      </c>
      <c r="C2244" s="5" t="s">
        <v>6539</v>
      </c>
      <c r="D2244" s="5" t="s">
        <v>5999</v>
      </c>
      <c r="E2244" s="5" t="s">
        <v>31</v>
      </c>
      <c r="F2244" s="5" t="s">
        <v>6000</v>
      </c>
      <c r="G2244" s="5" t="s">
        <v>6001</v>
      </c>
      <c r="H2244" s="5" t="s">
        <v>6456</v>
      </c>
      <c r="I2244" s="5" t="s">
        <v>6540</v>
      </c>
      <c r="J2244" s="5" t="s">
        <v>6541</v>
      </c>
      <c r="K2244" s="7" t="str">
        <f ca="1">IFERROR(__xludf.DUMMYFUNCTION("GOOGLETRANSLATE(H2244,""EN"",""ES"")"),"INSTRUMENTOS, APARATOS Y DISPOSITIVOS DE VERIFICACIÓN, SEGURIDAD O PRUEBAS")</f>
        <v>INSTRUMENTOS, APARATOS Y DISPOSITIVOS DE VERIFICACIÓN, SEGURIDAD O PRUEBAS</v>
      </c>
      <c r="L2244" s="5" t="str">
        <f ca="1">IFERROR(__xludf.DUMMYFUNCTION("GOOGLETRANSLATE(J2244,""EN"",""ES"")"),"Sonómetros [aparatos de control]")</f>
        <v>Sonómetros [aparatos de control]</v>
      </c>
      <c r="M2244" s="8" t="s">
        <v>30</v>
      </c>
      <c r="N2244" s="8"/>
    </row>
    <row r="2245" spans="1:14" ht="11.25" customHeight="1">
      <c r="A2245" s="5" t="s">
        <v>5996</v>
      </c>
      <c r="B2245" s="5" t="s">
        <v>6454</v>
      </c>
      <c r="C2245" s="5" t="s">
        <v>6542</v>
      </c>
      <c r="D2245" s="5" t="s">
        <v>5999</v>
      </c>
      <c r="E2245" s="5" t="s">
        <v>31</v>
      </c>
      <c r="F2245" s="5" t="s">
        <v>6000</v>
      </c>
      <c r="G2245" s="5" t="s">
        <v>6001</v>
      </c>
      <c r="H2245" s="5" t="s">
        <v>6456</v>
      </c>
      <c r="I2245" s="5" t="s">
        <v>6543</v>
      </c>
      <c r="J2245" s="5" t="s">
        <v>6544</v>
      </c>
      <c r="K2245" s="7" t="str">
        <f ca="1">IFERROR(__xludf.DUMMYFUNCTION("GOOGLETRANSLATE(H2245,""EN"",""ES"")"),"INSTRUMENTOS, APARATOS Y DISPOSITIVOS DE VERIFICACIÓN, SEGURIDAD O PRUEBAS")</f>
        <v>INSTRUMENTOS, APARATOS Y DISPOSITIVOS DE VERIFICACIÓN, SEGURIDAD O PRUEBAS</v>
      </c>
      <c r="L2245" s="5" t="str">
        <f ca="1">IFERROR(__xludf.DUMMYFUNCTION("GOOGLETRANSLATE(J2245,""EN"",""ES"")"),"Máquinas de ensayo para tejidos")</f>
        <v>Máquinas de ensayo para tejidos</v>
      </c>
      <c r="M2245" s="8" t="s">
        <v>30</v>
      </c>
      <c r="N2245" s="8"/>
    </row>
    <row r="2246" spans="1:14" ht="11.25" customHeight="1">
      <c r="A2246" s="5" t="s">
        <v>5996</v>
      </c>
      <c r="B2246" s="5" t="s">
        <v>6454</v>
      </c>
      <c r="C2246" s="5" t="s">
        <v>6545</v>
      </c>
      <c r="D2246" s="5" t="s">
        <v>5999</v>
      </c>
      <c r="E2246" s="5" t="s">
        <v>31</v>
      </c>
      <c r="F2246" s="5" t="s">
        <v>6000</v>
      </c>
      <c r="G2246" s="5" t="s">
        <v>6001</v>
      </c>
      <c r="H2246" s="5" t="s">
        <v>6456</v>
      </c>
      <c r="I2246" s="5" t="s">
        <v>6546</v>
      </c>
      <c r="J2246" s="5" t="s">
        <v>6547</v>
      </c>
      <c r="K2246" s="7" t="str">
        <f ca="1">IFERROR(__xludf.DUMMYFUNCTION("GOOGLETRANSLATE(H2246,""EN"",""ES"")"),"INSTRUMENTOS, APARATOS Y DISPOSITIVOS DE VERIFICACIÓN, SEGURIDAD O PRUEBAS")</f>
        <v>INSTRUMENTOS, APARATOS Y DISPOSITIVOS DE VERIFICACIÓN, SEGURIDAD O PRUEBAS</v>
      </c>
      <c r="L2246" s="5" t="str">
        <f ca="1">IFERROR(__xludf.DUMMYFUNCTION("GOOGLETRANSLATE(J2246,""EN"",""ES"")"),"Controladores de caída para paracaidistas")</f>
        <v>Controladores de caída para paracaidistas</v>
      </c>
      <c r="M2246" s="8" t="s">
        <v>30</v>
      </c>
      <c r="N2246" s="8"/>
    </row>
    <row r="2247" spans="1:14" ht="11.25" customHeight="1">
      <c r="A2247" s="5" t="s">
        <v>5996</v>
      </c>
      <c r="B2247" s="5" t="s">
        <v>6454</v>
      </c>
      <c r="C2247" s="5" t="s">
        <v>6548</v>
      </c>
      <c r="D2247" s="5" t="s">
        <v>5999</v>
      </c>
      <c r="E2247" s="5" t="s">
        <v>31</v>
      </c>
      <c r="F2247" s="5" t="s">
        <v>6000</v>
      </c>
      <c r="G2247" s="5" t="s">
        <v>6001</v>
      </c>
      <c r="H2247" s="5" t="s">
        <v>6456</v>
      </c>
      <c r="I2247" s="5" t="s">
        <v>6549</v>
      </c>
      <c r="J2247" s="5" t="s">
        <v>6550</v>
      </c>
      <c r="K2247" s="7" t="str">
        <f ca="1">IFERROR(__xludf.DUMMYFUNCTION("GOOGLETRANSLATE(H2247,""EN"",""ES"")"),"INSTRUMENTOS, APARATOS Y DISPOSITIVOS DE VERIFICACIÓN, SEGURIDAD O PRUEBAS")</f>
        <v>INSTRUMENTOS, APARATOS Y DISPOSITIVOS DE VERIFICACIÓN, SEGURIDAD O PRUEBAS</v>
      </c>
      <c r="L2247" s="5" t="str">
        <f ca="1">IFERROR(__xludf.DUMMYFUNCTION("GOOGLETRANSLATE(J2247,""EN"",""ES"")"),"detectores de gas")</f>
        <v>detectores de gas</v>
      </c>
      <c r="M2247" s="8" t="s">
        <v>30</v>
      </c>
      <c r="N2247" s="8"/>
    </row>
    <row r="2248" spans="1:14" ht="11.25" customHeight="1">
      <c r="A2248" s="5" t="s">
        <v>5996</v>
      </c>
      <c r="B2248" s="5" t="s">
        <v>6454</v>
      </c>
      <c r="C2248" s="5" t="s">
        <v>6551</v>
      </c>
      <c r="D2248" s="5" t="s">
        <v>5999</v>
      </c>
      <c r="E2248" s="5" t="s">
        <v>31</v>
      </c>
      <c r="F2248" s="5" t="s">
        <v>6000</v>
      </c>
      <c r="G2248" s="5" t="s">
        <v>6001</v>
      </c>
      <c r="H2248" s="5" t="s">
        <v>6456</v>
      </c>
      <c r="I2248" s="5" t="s">
        <v>6552</v>
      </c>
      <c r="J2248" s="5" t="s">
        <v>6553</v>
      </c>
      <c r="K2248" s="7" t="str">
        <f ca="1">IFERROR(__xludf.DUMMYFUNCTION("GOOGLETRANSLATE(H2248,""EN"",""ES"")"),"INSTRUMENTOS, APARATOS Y DISPOSITIVOS DE VERIFICACIÓN, SEGURIDAD O PRUEBAS")</f>
        <v>INSTRUMENTOS, APARATOS Y DISPOSITIVOS DE VERIFICACIÓN, SEGURIDAD O PRUEBAS</v>
      </c>
      <c r="L2248" s="5" t="str">
        <f ca="1">IFERROR(__xludf.DUMMYFUNCTION("GOOGLETRANSLATE(J2248,""EN"",""ES"")"),"personal de topógrafos")</f>
        <v>personal de topógrafos</v>
      </c>
      <c r="M2248" s="8" t="s">
        <v>30</v>
      </c>
      <c r="N2248" s="8"/>
    </row>
    <row r="2249" spans="1:14" ht="11.25" customHeight="1">
      <c r="A2249" s="5" t="s">
        <v>5996</v>
      </c>
      <c r="B2249" s="5" t="s">
        <v>6454</v>
      </c>
      <c r="C2249" s="5" t="s">
        <v>6554</v>
      </c>
      <c r="D2249" s="5" t="s">
        <v>5999</v>
      </c>
      <c r="E2249" s="5" t="s">
        <v>31</v>
      </c>
      <c r="F2249" s="5" t="s">
        <v>6000</v>
      </c>
      <c r="G2249" s="5" t="s">
        <v>6001</v>
      </c>
      <c r="H2249" s="5" t="s">
        <v>6456</v>
      </c>
      <c r="I2249" s="5" t="s">
        <v>6555</v>
      </c>
      <c r="J2249" s="5" t="s">
        <v>6556</v>
      </c>
      <c r="K2249" s="7" t="str">
        <f ca="1">IFERROR(__xludf.DUMMYFUNCTION("GOOGLETRANSLATE(H2249,""EN"",""ES"")"),"INSTRUMENTOS, APARATOS Y DISPOSITIVOS DE VERIFICACIÓN, SEGURIDAD O PRUEBAS")</f>
        <v>INSTRUMENTOS, APARATOS Y DISPOSITIVOS DE VERIFICACIÓN, SEGURIDAD O PRUEBAS</v>
      </c>
      <c r="L2249" s="5" t="str">
        <f ca="1">IFERROR(__xludf.DUMMYFUNCTION("GOOGLETRANSLATE(J2249,""EN"",""ES"")"),"detectores de mentiras")</f>
        <v>detectores de mentiras</v>
      </c>
      <c r="M2249" s="8" t="s">
        <v>30</v>
      </c>
      <c r="N2249" s="8"/>
    </row>
    <row r="2250" spans="1:14" ht="11.25" customHeight="1">
      <c r="A2250" s="5" t="s">
        <v>5996</v>
      </c>
      <c r="B2250" s="5" t="s">
        <v>6454</v>
      </c>
      <c r="C2250" s="5" t="s">
        <v>6557</v>
      </c>
      <c r="D2250" s="5" t="s">
        <v>5999</v>
      </c>
      <c r="E2250" s="5" t="s">
        <v>31</v>
      </c>
      <c r="F2250" s="5" t="s">
        <v>6000</v>
      </c>
      <c r="G2250" s="5" t="s">
        <v>6001</v>
      </c>
      <c r="H2250" s="5" t="s">
        <v>6456</v>
      </c>
      <c r="I2250" s="5" t="s">
        <v>6558</v>
      </c>
      <c r="J2250" s="5" t="s">
        <v>6559</v>
      </c>
      <c r="K2250" s="7" t="str">
        <f ca="1">IFERROR(__xludf.DUMMYFUNCTION("GOOGLETRANSLATE(H2250,""EN"",""ES"")"),"INSTRUMENTOS, APARATOS Y DISPOSITIVOS DE VERIFICACIÓN, SEGURIDAD O PRUEBAS")</f>
        <v>INSTRUMENTOS, APARATOS Y DISPOSITIVOS DE VERIFICACIÓN, SEGURIDAD O PRUEBAS</v>
      </c>
      <c r="L2250" s="5" t="str">
        <f ca="1">IFERROR(__xludf.DUMMYFUNCTION("GOOGLETRANSLATE(J2250,""EN"",""ES"")"),"Lámparas para huevos al trasluz")</f>
        <v>Lámparas para huevos al trasluz</v>
      </c>
      <c r="M2250" s="8" t="s">
        <v>30</v>
      </c>
      <c r="N2250" s="8"/>
    </row>
    <row r="2251" spans="1:14" ht="11.25" customHeight="1">
      <c r="A2251" s="5" t="s">
        <v>5996</v>
      </c>
      <c r="B2251" s="5" t="s">
        <v>6454</v>
      </c>
      <c r="C2251" s="5" t="s">
        <v>6560</v>
      </c>
      <c r="D2251" s="5" t="s">
        <v>5999</v>
      </c>
      <c r="E2251" s="5" t="s">
        <v>31</v>
      </c>
      <c r="F2251" s="5" t="s">
        <v>6000</v>
      </c>
      <c r="G2251" s="5" t="s">
        <v>6001</v>
      </c>
      <c r="H2251" s="5" t="s">
        <v>6456</v>
      </c>
      <c r="I2251" s="5" t="s">
        <v>6561</v>
      </c>
      <c r="J2251" s="5" t="s">
        <v>6562</v>
      </c>
      <c r="K2251" s="7" t="str">
        <f ca="1">IFERROR(__xludf.DUMMYFUNCTION("GOOGLETRANSLATE(H2251,""EN"",""ES"")"),"INSTRUMENTOS, APARATOS Y DISPOSITIVOS DE VERIFICACIÓN, SEGURIDAD O PRUEBAS")</f>
        <v>INSTRUMENTOS, APARATOS Y DISPOSITIVOS DE VERIFICACIÓN, SEGURIDAD O PRUEBAS</v>
      </c>
      <c r="L2251" s="5" t="str">
        <f ca="1">IFERROR(__xludf.DUMMYFUNCTION("GOOGLETRANSLATE(J2251,""EN"",""ES"")"),"Espejos de cruce")</f>
        <v>Espejos de cruce</v>
      </c>
      <c r="M2251" s="8" t="s">
        <v>30</v>
      </c>
      <c r="N2251" s="8"/>
    </row>
    <row r="2252" spans="1:14" ht="11.25" customHeight="1">
      <c r="A2252" s="5" t="s">
        <v>5996</v>
      </c>
      <c r="B2252" s="5" t="s">
        <v>6454</v>
      </c>
      <c r="C2252" s="5" t="s">
        <v>6563</v>
      </c>
      <c r="D2252" s="5" t="s">
        <v>5999</v>
      </c>
      <c r="E2252" s="5" t="s">
        <v>31</v>
      </c>
      <c r="F2252" s="5" t="s">
        <v>6000</v>
      </c>
      <c r="G2252" s="5" t="s">
        <v>6001</v>
      </c>
      <c r="H2252" s="5" t="s">
        <v>6456</v>
      </c>
      <c r="I2252" s="5" t="s">
        <v>6564</v>
      </c>
      <c r="J2252" s="5" t="s">
        <v>6565</v>
      </c>
      <c r="K2252" s="7" t="str">
        <f ca="1">IFERROR(__xludf.DUMMYFUNCTION("GOOGLETRANSLATE(H2252,""EN"",""ES"")"),"INSTRUMENTOS, APARATOS Y DISPOSITIVOS DE VERIFICACIÓN, SEGURIDAD O PRUEBAS")</f>
        <v>INSTRUMENTOS, APARATOS Y DISPOSITIVOS DE VERIFICACIÓN, SEGURIDAD O PRUEBAS</v>
      </c>
      <c r="L2252" s="5" t="str">
        <f ca="1">IFERROR(__xludf.DUMMYFUNCTION("GOOGLETRANSLATE(J2252,""EN"",""ES"")"),"Reguladores de calderas")</f>
        <v>Reguladores de calderas</v>
      </c>
      <c r="M2252" s="8" t="s">
        <v>30</v>
      </c>
      <c r="N2252" s="8"/>
    </row>
    <row r="2253" spans="1:14" ht="11.25" customHeight="1">
      <c r="A2253" s="5" t="s">
        <v>5996</v>
      </c>
      <c r="B2253" s="5" t="s">
        <v>6454</v>
      </c>
      <c r="C2253" s="5" t="s">
        <v>6566</v>
      </c>
      <c r="D2253" s="5" t="s">
        <v>5999</v>
      </c>
      <c r="E2253" s="5" t="s">
        <v>31</v>
      </c>
      <c r="F2253" s="5" t="s">
        <v>6000</v>
      </c>
      <c r="G2253" s="5" t="s">
        <v>6001</v>
      </c>
      <c r="H2253" s="5" t="s">
        <v>6456</v>
      </c>
      <c r="I2253" s="5" t="s">
        <v>6567</v>
      </c>
      <c r="J2253" s="5" t="s">
        <v>6568</v>
      </c>
      <c r="K2253" s="7" t="str">
        <f ca="1">IFERROR(__xludf.DUMMYFUNCTION("GOOGLETRANSLATE(H2253,""EN"",""ES"")"),"INSTRUMENTOS, APARATOS Y DISPOSITIVOS DE VERIFICACIÓN, SEGURIDAD O PRUEBAS")</f>
        <v>INSTRUMENTOS, APARATOS Y DISPOSITIVOS DE VERIFICACIÓN, SEGURIDAD O PRUEBAS</v>
      </c>
      <c r="L2253" s="5" t="str">
        <f ca="1">IFERROR(__xludf.DUMMYFUNCTION("GOOGLETRANSLATE(J2253,""EN"",""ES"")"),"Reguladores para instalaciones de calefacción.")</f>
        <v>Reguladores para instalaciones de calefacción.</v>
      </c>
      <c r="M2253" s="8" t="s">
        <v>30</v>
      </c>
      <c r="N2253" s="8"/>
    </row>
    <row r="2254" spans="1:14" ht="11.25" customHeight="1">
      <c r="A2254" s="5" t="s">
        <v>5996</v>
      </c>
      <c r="B2254" s="5" t="s">
        <v>6454</v>
      </c>
      <c r="C2254" s="5" t="s">
        <v>6569</v>
      </c>
      <c r="D2254" s="5" t="s">
        <v>5999</v>
      </c>
      <c r="E2254" s="5" t="s">
        <v>31</v>
      </c>
      <c r="F2254" s="5" t="s">
        <v>6000</v>
      </c>
      <c r="G2254" s="5" t="s">
        <v>6001</v>
      </c>
      <c r="H2254" s="5" t="s">
        <v>6456</v>
      </c>
      <c r="I2254" s="5" t="s">
        <v>6570</v>
      </c>
      <c r="J2254" s="5" t="s">
        <v>6571</v>
      </c>
      <c r="K2254" s="7" t="str">
        <f ca="1">IFERROR(__xludf.DUMMYFUNCTION("GOOGLETRANSLATE(H2254,""EN"",""ES"")"),"INSTRUMENTOS, APARATOS Y DISPOSITIVOS DE VERIFICACIÓN, SEGURIDAD O PRUEBAS")</f>
        <v>INSTRUMENTOS, APARATOS Y DISPOSITIVOS DE VERIFICACIÓN, SEGURIDAD O PRUEBAS</v>
      </c>
      <c r="L2254" s="5" t="str">
        <f ca="1">IFERROR(__xludf.DUMMYFUNCTION("GOOGLETRANSLATE(J2254,""EN"",""ES"")"),"Alarmas antirrobo")</f>
        <v>Alarmas antirrobo</v>
      </c>
      <c r="M2254" s="8" t="s">
        <v>30</v>
      </c>
      <c r="N2254" s="8"/>
    </row>
    <row r="2255" spans="1:14" ht="11.25" customHeight="1">
      <c r="A2255" s="5" t="s">
        <v>5996</v>
      </c>
      <c r="B2255" s="5" t="s">
        <v>6454</v>
      </c>
      <c r="C2255" s="5" t="s">
        <v>6572</v>
      </c>
      <c r="D2255" s="5" t="s">
        <v>5999</v>
      </c>
      <c r="E2255" s="5" t="s">
        <v>31</v>
      </c>
      <c r="F2255" s="5" t="s">
        <v>6000</v>
      </c>
      <c r="G2255" s="5" t="s">
        <v>6001</v>
      </c>
      <c r="H2255" s="5" t="s">
        <v>6456</v>
      </c>
      <c r="I2255" s="5" t="s">
        <v>6573</v>
      </c>
      <c r="J2255" s="5" t="s">
        <v>6574</v>
      </c>
      <c r="K2255" s="7" t="str">
        <f ca="1">IFERROR(__xludf.DUMMYFUNCTION("GOOGLETRANSLATE(H2255,""EN"",""ES"")"),"INSTRUMENTOS, APARATOS Y DISPOSITIVOS DE VERIFICACIÓN, SEGURIDAD O PRUEBAS")</f>
        <v>INSTRUMENTOS, APARATOS Y DISPOSITIVOS DE VERIFICACIÓN, SEGURIDAD O PRUEBAS</v>
      </c>
      <c r="L2255" s="5" t="str">
        <f ca="1">IFERROR(__xludf.DUMMYFUNCTION("GOOGLETRANSLATE(J2255,""EN"",""ES"")"),"Varas de adivinación")</f>
        <v>Varas de adivinación</v>
      </c>
      <c r="M2255" s="8" t="s">
        <v>30</v>
      </c>
      <c r="N2255" s="8"/>
    </row>
    <row r="2256" spans="1:14" ht="11.25" customHeight="1">
      <c r="A2256" s="5" t="s">
        <v>5996</v>
      </c>
      <c r="B2256" s="5" t="s">
        <v>6454</v>
      </c>
      <c r="C2256" s="5" t="s">
        <v>6575</v>
      </c>
      <c r="D2256" s="5" t="s">
        <v>5999</v>
      </c>
      <c r="E2256" s="5" t="s">
        <v>31</v>
      </c>
      <c r="F2256" s="5" t="s">
        <v>6000</v>
      </c>
      <c r="G2256" s="5" t="s">
        <v>6001</v>
      </c>
      <c r="H2256" s="5" t="s">
        <v>6456</v>
      </c>
      <c r="I2256" s="5" t="s">
        <v>6576</v>
      </c>
      <c r="J2256" s="5" t="s">
        <v>6577</v>
      </c>
      <c r="K2256" s="7" t="str">
        <f ca="1">IFERROR(__xludf.DUMMYFUNCTION("GOOGLETRANSLATE(H2256,""EN"",""ES"")"),"INSTRUMENTOS, APARATOS Y DISPOSITIVOS DE VERIFICACIÓN, SEGURIDAD O PRUEBAS")</f>
        <v>INSTRUMENTOS, APARATOS Y DISPOSITIVOS DE VERIFICACIÓN, SEGURIDAD O PRUEBAS</v>
      </c>
      <c r="L2256" s="5" t="str">
        <f ca="1">IFERROR(__xludf.DUMMYFUNCTION("GOOGLETRANSLATE(J2256,""EN"",""ES"")"),"Péndulos de radiestesia")</f>
        <v>Péndulos de radiestesia</v>
      </c>
      <c r="M2256" s="8" t="s">
        <v>30</v>
      </c>
      <c r="N2256" s="8"/>
    </row>
    <row r="2257" spans="1:14" ht="11.25" customHeight="1">
      <c r="A2257" s="5" t="s">
        <v>5996</v>
      </c>
      <c r="B2257" s="5" t="s">
        <v>6454</v>
      </c>
      <c r="C2257" s="5" t="s">
        <v>6578</v>
      </c>
      <c r="D2257" s="5" t="s">
        <v>5999</v>
      </c>
      <c r="E2257" s="5" t="s">
        <v>31</v>
      </c>
      <c r="F2257" s="5" t="s">
        <v>6000</v>
      </c>
      <c r="G2257" s="5" t="s">
        <v>6001</v>
      </c>
      <c r="H2257" s="5" t="s">
        <v>6456</v>
      </c>
      <c r="I2257" s="5" t="s">
        <v>6579</v>
      </c>
      <c r="J2257" s="5" t="s">
        <v>6580</v>
      </c>
      <c r="K2257" s="7" t="str">
        <f ca="1">IFERROR(__xludf.DUMMYFUNCTION("GOOGLETRANSLATE(H2257,""EN"",""ES"")"),"INSTRUMENTOS, APARATOS Y DISPOSITIVOS DE VERIFICACIÓN, SEGURIDAD O PRUEBAS")</f>
        <v>INSTRUMENTOS, APARATOS Y DISPOSITIVOS DE VERIFICACIÓN, SEGURIDAD O PRUEBAS</v>
      </c>
      <c r="L2257" s="5" t="str">
        <f ca="1">IFERROR(__xludf.DUMMYFUNCTION("GOOGLETRANSLATE(J2257,""EN"",""ES"")"),"detectores de humo")</f>
        <v>detectores de humo</v>
      </c>
      <c r="M2257" s="8" t="s">
        <v>30</v>
      </c>
      <c r="N2257" s="8"/>
    </row>
    <row r="2258" spans="1:14" ht="11.25" customHeight="1">
      <c r="A2258" s="5" t="s">
        <v>5996</v>
      </c>
      <c r="B2258" s="5" t="s">
        <v>6454</v>
      </c>
      <c r="C2258" s="5" t="s">
        <v>6581</v>
      </c>
      <c r="D2258" s="5" t="s">
        <v>5999</v>
      </c>
      <c r="E2258" s="5" t="s">
        <v>31</v>
      </c>
      <c r="F2258" s="5" t="s">
        <v>6000</v>
      </c>
      <c r="G2258" s="5" t="s">
        <v>6001</v>
      </c>
      <c r="H2258" s="5" t="s">
        <v>6456</v>
      </c>
      <c r="I2258" s="5" t="s">
        <v>6582</v>
      </c>
      <c r="J2258" s="5" t="s">
        <v>6583</v>
      </c>
      <c r="K2258" s="7" t="str">
        <f ca="1">IFERROR(__xludf.DUMMYFUNCTION("GOOGLETRANSLATE(H2258,""EN"",""ES"")"),"INSTRUMENTOS, APARATOS Y DISPOSITIVOS DE VERIFICACIÓN, SEGURIDAD O PRUEBAS")</f>
        <v>INSTRUMENTOS, APARATOS Y DISPOSITIVOS DE VERIFICACIÓN, SEGURIDAD O PRUEBAS</v>
      </c>
      <c r="L2258" s="5" t="str">
        <f ca="1">IFERROR(__xludf.DUMMYFUNCTION("GOOGLETRANSLATE(J2258,""EN"",""ES"")"),"Aparatos de pruebas de diagnóstico [excepto para fines médicos o de laboratorio]")</f>
        <v>Aparatos de pruebas de diagnóstico [excepto para fines médicos o de laboratorio]</v>
      </c>
      <c r="M2258" s="8" t="s">
        <v>30</v>
      </c>
      <c r="N2258" s="8"/>
    </row>
    <row r="2259" spans="1:14" ht="11.25" customHeight="1">
      <c r="A2259" s="5" t="s">
        <v>5996</v>
      </c>
      <c r="B2259" s="5" t="s">
        <v>6454</v>
      </c>
      <c r="C2259" s="5" t="s">
        <v>6584</v>
      </c>
      <c r="D2259" s="5" t="s">
        <v>5999</v>
      </c>
      <c r="E2259" s="5" t="s">
        <v>31</v>
      </c>
      <c r="F2259" s="5" t="s">
        <v>6000</v>
      </c>
      <c r="G2259" s="5" t="s">
        <v>6001</v>
      </c>
      <c r="H2259" s="5" t="s">
        <v>6456</v>
      </c>
      <c r="I2259" s="5" t="s">
        <v>6585</v>
      </c>
      <c r="J2259" s="5" t="s">
        <v>6586</v>
      </c>
      <c r="K2259" s="7" t="str">
        <f ca="1">IFERROR(__xludf.DUMMYFUNCTION("GOOGLETRANSLATE(H2259,""EN"",""ES"")"),"INSTRUMENTOS, APARATOS Y DISPOSITIVOS DE VERIFICACIÓN, SEGURIDAD O PRUEBAS")</f>
        <v>INSTRUMENTOS, APARATOS Y DISPOSITIVOS DE VERIFICACIÓN, SEGURIDAD O PRUEBAS</v>
      </c>
      <c r="L2259" s="5" t="str">
        <f ca="1">IFERROR(__xludf.DUMMYFUNCTION("GOOGLETRANSLATE(J2259,""EN"",""ES"")"),"Aparatos de control de billetes de lotería y juegos de azar.")</f>
        <v>Aparatos de control de billetes de lotería y juegos de azar.</v>
      </c>
      <c r="M2259" s="8" t="s">
        <v>30</v>
      </c>
      <c r="N2259" s="8"/>
    </row>
    <row r="2260" spans="1:14" ht="11.25" customHeight="1">
      <c r="A2260" s="5" t="s">
        <v>5996</v>
      </c>
      <c r="B2260" s="5" t="s">
        <v>6454</v>
      </c>
      <c r="C2260" s="5" t="s">
        <v>6587</v>
      </c>
      <c r="D2260" s="5" t="s">
        <v>5999</v>
      </c>
      <c r="E2260" s="5" t="s">
        <v>31</v>
      </c>
      <c r="F2260" s="5" t="s">
        <v>6000</v>
      </c>
      <c r="G2260" s="5" t="s">
        <v>6001</v>
      </c>
      <c r="H2260" s="5" t="s">
        <v>6456</v>
      </c>
      <c r="I2260" s="5" t="s">
        <v>6588</v>
      </c>
      <c r="J2260" s="5" t="s">
        <v>6589</v>
      </c>
      <c r="K2260" s="7" t="str">
        <f ca="1">IFERROR(__xludf.DUMMYFUNCTION("GOOGLETRANSLATE(H2260,""EN"",""ES"")"),"INSTRUMENTOS, APARATOS Y DISPOSITIVOS DE VERIFICACIÓN, SEGURIDAD O PRUEBAS")</f>
        <v>INSTRUMENTOS, APARATOS Y DISPOSITIVOS DE VERIFICACIÓN, SEGURIDAD O PRUEBAS</v>
      </c>
      <c r="L2260" s="5" t="str">
        <f ca="1">IFERROR(__xludf.DUMMYFUNCTION("GOOGLETRANSLATE(J2260,""EN"",""ES"")"),"Oscilógrafos")</f>
        <v>Oscilógrafos</v>
      </c>
      <c r="M2260" s="8" t="s">
        <v>30</v>
      </c>
      <c r="N2260" s="8"/>
    </row>
    <row r="2261" spans="1:14" ht="11.25" customHeight="1">
      <c r="A2261" s="5" t="s">
        <v>5996</v>
      </c>
      <c r="B2261" s="5" t="s">
        <v>6454</v>
      </c>
      <c r="C2261" s="5" t="s">
        <v>6590</v>
      </c>
      <c r="D2261" s="5" t="s">
        <v>5999</v>
      </c>
      <c r="E2261" s="5" t="s">
        <v>31</v>
      </c>
      <c r="F2261" s="5" t="s">
        <v>6000</v>
      </c>
      <c r="G2261" s="5" t="s">
        <v>6001</v>
      </c>
      <c r="H2261" s="5" t="s">
        <v>6456</v>
      </c>
      <c r="I2261" s="5" t="s">
        <v>6591</v>
      </c>
      <c r="J2261" s="5" t="s">
        <v>6592</v>
      </c>
      <c r="K2261" s="7" t="str">
        <f ca="1">IFERROR(__xludf.DUMMYFUNCTION("GOOGLETRANSLATE(H2261,""EN"",""ES"")"),"INSTRUMENTOS, APARATOS Y DISPOSITIVOS DE VERIFICACIÓN, SEGURIDAD O PRUEBAS")</f>
        <v>INSTRUMENTOS, APARATOS Y DISPOSITIVOS DE VERIFICACIÓN, SEGURIDAD O PRUEBAS</v>
      </c>
      <c r="L2261" s="5" t="str">
        <f ca="1">IFERROR(__xludf.DUMMYFUNCTION("GOOGLETRANSLATE(J2261,""EN"",""ES"")"),"Aparato de control de flujo")</f>
        <v>Aparato de control de flujo</v>
      </c>
      <c r="M2261" s="8" t="s">
        <v>30</v>
      </c>
      <c r="N2261" s="8"/>
    </row>
    <row r="2262" spans="1:14" ht="11.25" customHeight="1">
      <c r="A2262" s="5" t="s">
        <v>5996</v>
      </c>
      <c r="B2262" s="5" t="s">
        <v>6454</v>
      </c>
      <c r="C2262" s="5" t="s">
        <v>6593</v>
      </c>
      <c r="D2262" s="5" t="s">
        <v>5999</v>
      </c>
      <c r="E2262" s="5" t="s">
        <v>31</v>
      </c>
      <c r="F2262" s="5" t="s">
        <v>6000</v>
      </c>
      <c r="G2262" s="5" t="s">
        <v>6001</v>
      </c>
      <c r="H2262" s="5" t="s">
        <v>6456</v>
      </c>
      <c r="I2262" s="5" t="s">
        <v>6594</v>
      </c>
      <c r="J2262" s="5" t="s">
        <v>6595</v>
      </c>
      <c r="K2262" s="7" t="str">
        <f ca="1">IFERROR(__xludf.DUMMYFUNCTION("GOOGLETRANSLATE(H2262,""EN"",""ES"")"),"INSTRUMENTOS, APARATOS Y DISPOSITIVOS DE VERIFICACIÓN, SEGURIDAD O PRUEBAS")</f>
        <v>INSTRUMENTOS, APARATOS Y DISPOSITIVOS DE VERIFICACIÓN, SEGURIDAD O PRUEBAS</v>
      </c>
      <c r="L2262" s="5" t="str">
        <f ca="1">IFERROR(__xludf.DUMMYFUNCTION("GOOGLETRANSLATE(J2262,""EN"",""ES"")"),"Aparato de vigilancia para bebés")</f>
        <v>Aparato de vigilancia para bebés</v>
      </c>
      <c r="M2262" s="8" t="s">
        <v>30</v>
      </c>
      <c r="N2262" s="8"/>
    </row>
    <row r="2263" spans="1:14" ht="11.25" customHeight="1">
      <c r="A2263" s="5" t="s">
        <v>5996</v>
      </c>
      <c r="B2263" s="5" t="s">
        <v>6454</v>
      </c>
      <c r="C2263" s="5" t="s">
        <v>6596</v>
      </c>
      <c r="D2263" s="5" t="s">
        <v>5999</v>
      </c>
      <c r="E2263" s="5" t="s">
        <v>31</v>
      </c>
      <c r="F2263" s="5" t="s">
        <v>6000</v>
      </c>
      <c r="G2263" s="5" t="s">
        <v>6001</v>
      </c>
      <c r="H2263" s="5" t="s">
        <v>6456</v>
      </c>
      <c r="I2263" s="5" t="s">
        <v>6597</v>
      </c>
      <c r="J2263" s="5" t="s">
        <v>6598</v>
      </c>
      <c r="K2263" s="7" t="str">
        <f ca="1">IFERROR(__xludf.DUMMYFUNCTION("GOOGLETRANSLATE(H2263,""EN"",""ES"")"),"INSTRUMENTOS, APARATOS Y DISPOSITIVOS DE VERIFICACIÓN, SEGURIDAD O PRUEBAS")</f>
        <v>INSTRUMENTOS, APARATOS Y DISPOSITIVOS DE VERIFICACIÓN, SEGURIDAD O PRUEBAS</v>
      </c>
      <c r="L2263" s="5" t="str">
        <f ca="1">IFERROR(__xludf.DUMMYFUNCTION("GOOGLETRANSLATE(J2263,""EN"",""ES"")"),"detectores de dinero falso")</f>
        <v>detectores de dinero falso</v>
      </c>
      <c r="M2263" s="8" t="s">
        <v>30</v>
      </c>
      <c r="N2263" s="8"/>
    </row>
    <row r="2264" spans="1:14" ht="11.25" customHeight="1">
      <c r="A2264" s="5" t="s">
        <v>5996</v>
      </c>
      <c r="B2264" s="5" t="s">
        <v>6454</v>
      </c>
      <c r="C2264" s="5" t="s">
        <v>6599</v>
      </c>
      <c r="D2264" s="5" t="s">
        <v>5999</v>
      </c>
      <c r="E2264" s="5" t="s">
        <v>31</v>
      </c>
      <c r="F2264" s="5" t="s">
        <v>6000</v>
      </c>
      <c r="G2264" s="5" t="s">
        <v>6001</v>
      </c>
      <c r="H2264" s="5" t="s">
        <v>6456</v>
      </c>
      <c r="I2264" s="5" t="s">
        <v>6600</v>
      </c>
      <c r="J2264" s="5" t="s">
        <v>6601</v>
      </c>
      <c r="K2264" s="7" t="str">
        <f ca="1">IFERROR(__xludf.DUMMYFUNCTION("GOOGLETRANSLATE(H2264,""EN"",""ES"")"),"INSTRUMENTOS, APARATOS Y DISPOSITIVOS DE VERIFICACIÓN, SEGURIDAD O PRUEBAS")</f>
        <v>INSTRUMENTOS, APARATOS Y DISPOSITIVOS DE VERIFICACIÓN, SEGURIDAD O PRUEBAS</v>
      </c>
      <c r="L2264" s="5" t="str">
        <f ca="1">IFERROR(__xludf.DUMMYFUNCTION("GOOGLETRANSLATE(J2264,""EN"",""ES"")"),"Sensores de movimiento")</f>
        <v>Sensores de movimiento</v>
      </c>
      <c r="M2264" s="8" t="s">
        <v>30</v>
      </c>
      <c r="N2264" s="8"/>
    </row>
    <row r="2265" spans="1:14" ht="11.25" customHeight="1">
      <c r="A2265" s="5" t="s">
        <v>5996</v>
      </c>
      <c r="B2265" s="5" t="s">
        <v>6454</v>
      </c>
      <c r="C2265" s="5" t="s">
        <v>6602</v>
      </c>
      <c r="D2265" s="5" t="s">
        <v>5999</v>
      </c>
      <c r="E2265" s="5" t="s">
        <v>31</v>
      </c>
      <c r="F2265" s="5" t="s">
        <v>6000</v>
      </c>
      <c r="G2265" s="5" t="s">
        <v>6001</v>
      </c>
      <c r="H2265" s="5" t="s">
        <v>6456</v>
      </c>
      <c r="I2265" s="5" t="s">
        <v>6603</v>
      </c>
      <c r="J2265" s="5" t="s">
        <v>6604</v>
      </c>
      <c r="K2265" s="7" t="str">
        <f ca="1">IFERROR(__xludf.DUMMYFUNCTION("GOOGLETRANSLATE(H2265,""EN"",""ES"")"),"INSTRUMENTOS, APARATOS Y DISPOSITIVOS DE VERIFICACIÓN, SEGURIDAD O PRUEBAS")</f>
        <v>INSTRUMENTOS, APARATOS Y DISPOSITIVOS DE VERIFICACIÓN, SEGURIDAD O PRUEBAS</v>
      </c>
      <c r="L2265" s="5" t="str">
        <f ca="1">IFERROR(__xludf.DUMMYFUNCTION("GOOGLETRANSLATE(J2265,""EN"",""ES"")"),"Puertas de control de acceso")</f>
        <v>Puertas de control de acceso</v>
      </c>
      <c r="M2265" s="8" t="s">
        <v>30</v>
      </c>
      <c r="N2265" s="8"/>
    </row>
    <row r="2266" spans="1:14" ht="11.25" customHeight="1">
      <c r="A2266" s="5" t="s">
        <v>5996</v>
      </c>
      <c r="B2266" s="5" t="s">
        <v>6454</v>
      </c>
      <c r="C2266" s="5" t="s">
        <v>6605</v>
      </c>
      <c r="D2266" s="5" t="s">
        <v>5999</v>
      </c>
      <c r="E2266" s="5" t="s">
        <v>31</v>
      </c>
      <c r="F2266" s="5" t="s">
        <v>6000</v>
      </c>
      <c r="G2266" s="5" t="s">
        <v>6001</v>
      </c>
      <c r="H2266" s="5" t="s">
        <v>6456</v>
      </c>
      <c r="I2266" s="5" t="s">
        <v>6606</v>
      </c>
      <c r="J2266" s="5" t="s">
        <v>6607</v>
      </c>
      <c r="K2266" s="7" t="str">
        <f ca="1">IFERROR(__xludf.DUMMYFUNCTION("GOOGLETRANSLATE(H2266,""EN"",""ES"")"),"INSTRUMENTOS, APARATOS Y DISPOSITIVOS DE VERIFICACIÓN, SEGURIDAD O PRUEBAS")</f>
        <v>INSTRUMENTOS, APARATOS Y DISPOSITIVOS DE VERIFICACIÓN, SEGURIDAD O PRUEBAS</v>
      </c>
      <c r="L2266" s="5" t="str">
        <f ca="1">IFERROR(__xludf.DUMMYFUNCTION("GOOGLETRANSLATE(J2266,""EN"",""ES"")"),"Mecedores para bebés accionados por sensores")</f>
        <v>Mecedores para bebés accionados por sensores</v>
      </c>
      <c r="M2266" s="8" t="s">
        <v>30</v>
      </c>
      <c r="N2266" s="8"/>
    </row>
    <row r="2267" spans="1:14" ht="11.25" customHeight="1">
      <c r="A2267" s="5" t="s">
        <v>5996</v>
      </c>
      <c r="B2267" s="5" t="s">
        <v>6454</v>
      </c>
      <c r="C2267" s="5" t="s">
        <v>6608</v>
      </c>
      <c r="D2267" s="5" t="s">
        <v>5999</v>
      </c>
      <c r="E2267" s="5" t="s">
        <v>31</v>
      </c>
      <c r="F2267" s="5" t="s">
        <v>6000</v>
      </c>
      <c r="G2267" s="5" t="s">
        <v>6001</v>
      </c>
      <c r="H2267" s="5" t="s">
        <v>6456</v>
      </c>
      <c r="I2267" s="5" t="s">
        <v>6609</v>
      </c>
      <c r="J2267" s="5" t="s">
        <v>6610</v>
      </c>
      <c r="K2267" s="7" t="str">
        <f ca="1">IFERROR(__xludf.DUMMYFUNCTION("GOOGLETRANSLATE(H2267,""EN"",""ES"")"),"INSTRUMENTOS, APARATOS Y DISPOSITIVOS DE VERIFICACIÓN, SEGURIDAD O PRUEBAS")</f>
        <v>INSTRUMENTOS, APARATOS Y DISPOSITIVOS DE VERIFICACIÓN, SEGURIDAD O PRUEBAS</v>
      </c>
      <c r="L2267" s="5" t="str">
        <f ca="1">IFERROR(__xludf.DUMMYFUNCTION("GOOGLETRANSLATE(J2267,""EN"",""ES"")"),"Dispositivos inteligentes de control de acceso")</f>
        <v>Dispositivos inteligentes de control de acceso</v>
      </c>
      <c r="M2267" s="8" t="s">
        <v>30</v>
      </c>
      <c r="N2267" s="8"/>
    </row>
    <row r="2268" spans="1:14" ht="11.25" customHeight="1">
      <c r="A2268" s="5" t="s">
        <v>5996</v>
      </c>
      <c r="B2268" s="5" t="s">
        <v>6454</v>
      </c>
      <c r="C2268" s="5" t="s">
        <v>6611</v>
      </c>
      <c r="D2268" s="5" t="s">
        <v>5999</v>
      </c>
      <c r="E2268" s="5" t="s">
        <v>31</v>
      </c>
      <c r="F2268" s="5" t="s">
        <v>6000</v>
      </c>
      <c r="G2268" s="5" t="s">
        <v>6001</v>
      </c>
      <c r="H2268" s="5" t="s">
        <v>6456</v>
      </c>
      <c r="I2268" s="5" t="s">
        <v>6612</v>
      </c>
      <c r="J2268" s="5" t="s">
        <v>6613</v>
      </c>
      <c r="K2268" s="7" t="str">
        <f ca="1">IFERROR(__xludf.DUMMYFUNCTION("GOOGLETRANSLATE(H2268,""EN"",""ES"")"),"INSTRUMENTOS, APARATOS Y DISPOSITIVOS DE VERIFICACIÓN, SEGURIDAD O PRUEBAS")</f>
        <v>INSTRUMENTOS, APARATOS Y DISPOSITIVOS DE VERIFICACIÓN, SEGURIDAD O PRUEBAS</v>
      </c>
      <c r="L2268" s="5" t="str">
        <f ca="1">IFERROR(__xludf.DUMMYFUNCTION("GOOGLETRANSLATE(J2268,""EN"",""ES"")"),"Robots de inspección")</f>
        <v>Robots de inspección</v>
      </c>
      <c r="M2268" s="8" t="s">
        <v>30</v>
      </c>
      <c r="N2268" s="8"/>
    </row>
    <row r="2269" spans="1:14" ht="11.25" customHeight="1">
      <c r="A2269" s="5" t="s">
        <v>5996</v>
      </c>
      <c r="B2269" s="5" t="s">
        <v>6454</v>
      </c>
      <c r="C2269" s="5" t="s">
        <v>6614</v>
      </c>
      <c r="D2269" s="5" t="s">
        <v>5999</v>
      </c>
      <c r="E2269" s="5" t="s">
        <v>31</v>
      </c>
      <c r="F2269" s="5" t="s">
        <v>6000</v>
      </c>
      <c r="G2269" s="5" t="s">
        <v>6001</v>
      </c>
      <c r="H2269" s="5" t="s">
        <v>6456</v>
      </c>
      <c r="I2269" s="5" t="s">
        <v>6615</v>
      </c>
      <c r="J2269" s="5" t="s">
        <v>6616</v>
      </c>
      <c r="K2269" s="7" t="str">
        <f ca="1">IFERROR(__xludf.DUMMYFUNCTION("GOOGLETRANSLATE(H2269,""EN"",""ES"")"),"INSTRUMENTOS, APARATOS Y DISPOSITIVOS DE VERIFICACIÓN, SEGURIDAD O PRUEBAS")</f>
        <v>INSTRUMENTOS, APARATOS Y DISPOSITIVOS DE VERIFICACIÓN, SEGURIDAD O PRUEBAS</v>
      </c>
      <c r="L2269" s="5" t="str">
        <f ca="1">IFERROR(__xludf.DUMMYFUNCTION("GOOGLETRANSLATE(J2269,""EN"",""ES"")"),"Dispositivos de medición de temperatura corporal para control de acceso.")</f>
        <v>Dispositivos de medición de temperatura corporal para control de acceso.</v>
      </c>
      <c r="M2269" s="8" t="s">
        <v>30</v>
      </c>
      <c r="N2269" s="8"/>
    </row>
    <row r="2270" spans="1:14" ht="11.25" customHeight="1">
      <c r="A2270" s="5" t="s">
        <v>5996</v>
      </c>
      <c r="B2270" s="5" t="s">
        <v>6454</v>
      </c>
      <c r="C2270" s="5" t="s">
        <v>6617</v>
      </c>
      <c r="D2270" s="5" t="s">
        <v>5999</v>
      </c>
      <c r="E2270" s="5" t="s">
        <v>31</v>
      </c>
      <c r="F2270" s="5" t="s">
        <v>6000</v>
      </c>
      <c r="G2270" s="5" t="s">
        <v>6001</v>
      </c>
      <c r="H2270" s="5" t="s">
        <v>6456</v>
      </c>
      <c r="I2270" s="5" t="s">
        <v>6618</v>
      </c>
      <c r="J2270" s="5" t="s">
        <v>6619</v>
      </c>
      <c r="K2270" s="7" t="str">
        <f ca="1">IFERROR(__xludf.DUMMYFUNCTION("GOOGLETRANSLATE(H2270,""EN"",""ES"")"),"INSTRUMENTOS, APARATOS Y DISPOSITIVOS DE VERIFICACIÓN, SEGURIDAD O PRUEBAS")</f>
        <v>INSTRUMENTOS, APARATOS Y DISPOSITIVOS DE VERIFICACIÓN, SEGURIDAD O PRUEBAS</v>
      </c>
      <c r="L2270" s="5" t="str">
        <f ca="1">IFERROR(__xludf.DUMMYFUNCTION("GOOGLETRANSLATE(J2270,""EN"",""ES"")"),"Puertas de control de acceso sanitario")</f>
        <v>Puertas de control de acceso sanitario</v>
      </c>
      <c r="M2270" s="8" t="s">
        <v>30</v>
      </c>
      <c r="N2270" s="8"/>
    </row>
    <row r="2271" spans="1:14" ht="11.25" customHeight="1">
      <c r="A2271" s="5" t="s">
        <v>5996</v>
      </c>
      <c r="B2271" s="5" t="s">
        <v>6620</v>
      </c>
      <c r="C2271" s="5" t="s">
        <v>6621</v>
      </c>
      <c r="D2271" s="5" t="s">
        <v>5999</v>
      </c>
      <c r="E2271" s="5" t="s">
        <v>31</v>
      </c>
      <c r="F2271" s="5" t="s">
        <v>6000</v>
      </c>
      <c r="G2271" s="5" t="s">
        <v>6001</v>
      </c>
      <c r="H2271" s="5" t="s">
        <v>6622</v>
      </c>
      <c r="I2271" s="5" t="s">
        <v>6623</v>
      </c>
      <c r="J2271" s="5" t="s">
        <v>6624</v>
      </c>
      <c r="K2271" s="7" t="str">
        <f ca="1">IFERROR(__xludf.DUMMYFUNCTION("GOOGLETRANSLATE(H2271,""EN"",""ES"")"),"APARATOS Y DISPOSITIVOS DE SEÑALIZACIÓN")</f>
        <v>APARATOS Y DISPOSITIVOS DE SEÑALIZACIÓN</v>
      </c>
      <c r="L2271" s="5" t="str">
        <f ca="1">IFERROR(__xludf.DUMMYFUNCTION("GOOGLETRANSLATE(J2271,""EN"",""ES"")"),"Dispositivos de señalización vial")</f>
        <v>Dispositivos de señalización vial</v>
      </c>
      <c r="M2271" s="8" t="s">
        <v>60</v>
      </c>
      <c r="N2271" s="8"/>
    </row>
    <row r="2272" spans="1:14" ht="11.25" customHeight="1">
      <c r="A2272" s="5" t="s">
        <v>5996</v>
      </c>
      <c r="B2272" s="5" t="s">
        <v>6620</v>
      </c>
      <c r="C2272" s="5" t="s">
        <v>6625</v>
      </c>
      <c r="D2272" s="5" t="s">
        <v>5999</v>
      </c>
      <c r="E2272" s="5" t="s">
        <v>31</v>
      </c>
      <c r="F2272" s="5" t="s">
        <v>6000</v>
      </c>
      <c r="G2272" s="5" t="s">
        <v>6001</v>
      </c>
      <c r="H2272" s="5" t="s">
        <v>6622</v>
      </c>
      <c r="I2272" s="5" t="s">
        <v>6626</v>
      </c>
      <c r="J2272" s="5" t="s">
        <v>6627</v>
      </c>
      <c r="K2272" s="7" t="str">
        <f ca="1">IFERROR(__xludf.DUMMYFUNCTION("GOOGLETRANSLATE(H2272,""EN"",""ES"")"),"APARATOS Y DISPOSITIVOS DE SEÑALIZACIÓN")</f>
        <v>APARATOS Y DISPOSITIVOS DE SEÑALIZACIÓN</v>
      </c>
      <c r="L2272" s="5" t="str">
        <f ca="1">IFERROR(__xludf.DUMMYFUNCTION("GOOGLETRANSLATE(J2272,""EN"",""ES"")"),"Hitos")</f>
        <v>Hitos</v>
      </c>
      <c r="M2272" s="8" t="s">
        <v>60</v>
      </c>
      <c r="N2272" s="8"/>
    </row>
    <row r="2273" spans="1:14" ht="11.25" customHeight="1">
      <c r="A2273" s="5" t="s">
        <v>5996</v>
      </c>
      <c r="B2273" s="5" t="s">
        <v>6620</v>
      </c>
      <c r="C2273" s="5" t="s">
        <v>6628</v>
      </c>
      <c r="D2273" s="5" t="s">
        <v>5999</v>
      </c>
      <c r="E2273" s="5" t="s">
        <v>31</v>
      </c>
      <c r="F2273" s="5" t="s">
        <v>6000</v>
      </c>
      <c r="G2273" s="5" t="s">
        <v>6001</v>
      </c>
      <c r="H2273" s="5" t="s">
        <v>6622</v>
      </c>
      <c r="I2273" s="5" t="s">
        <v>6629</v>
      </c>
      <c r="J2273" s="5" t="s">
        <v>6630</v>
      </c>
      <c r="K2273" s="7" t="str">
        <f ca="1">IFERROR(__xludf.DUMMYFUNCTION("GOOGLETRANSLATE(H2273,""EN"",""ES"")"),"APARATOS Y DISPOSITIVOS DE SEÑALIZACIÓN")</f>
        <v>APARATOS Y DISPOSITIVOS DE SEÑALIZACIÓN</v>
      </c>
      <c r="L2273" s="5" t="str">
        <f ca="1">IFERROR(__xludf.DUMMYFUNCTION("GOOGLETRANSLATE(J2273,""EN"",""ES"")"),"Boyas marcadoras")</f>
        <v>Boyas marcadoras</v>
      </c>
      <c r="M2273" s="8" t="s">
        <v>60</v>
      </c>
      <c r="N2273" s="8"/>
    </row>
    <row r="2274" spans="1:14" ht="11.25" customHeight="1">
      <c r="A2274" s="5" t="s">
        <v>5996</v>
      </c>
      <c r="B2274" s="5" t="s">
        <v>6620</v>
      </c>
      <c r="C2274" s="5" t="s">
        <v>6631</v>
      </c>
      <c r="D2274" s="5" t="s">
        <v>5999</v>
      </c>
      <c r="E2274" s="5" t="s">
        <v>31</v>
      </c>
      <c r="F2274" s="5" t="s">
        <v>6000</v>
      </c>
      <c r="G2274" s="5" t="s">
        <v>6001</v>
      </c>
      <c r="H2274" s="5" t="s">
        <v>6622</v>
      </c>
      <c r="I2274" s="5" t="s">
        <v>6632</v>
      </c>
      <c r="J2274" s="5" t="s">
        <v>6633</v>
      </c>
      <c r="K2274" s="7" t="str">
        <f ca="1">IFERROR(__xludf.DUMMYFUNCTION("GOOGLETRANSLATE(H2274,""EN"",""ES"")"),"APARATOS Y DISPOSITIVOS DE SEÑALIZACIÓN")</f>
        <v>APARATOS Y DISPOSITIVOS DE SEÑALIZACIÓN</v>
      </c>
      <c r="L2274" s="5" t="str">
        <f ca="1">IFERROR(__xludf.DUMMYFUNCTION("GOOGLETRANSLATE(J2274,""EN"",""ES"")"),"Reflectores catadióptricos")</f>
        <v>Reflectores catadióptricos</v>
      </c>
      <c r="M2274" s="8" t="s">
        <v>60</v>
      </c>
      <c r="N2274" s="8"/>
    </row>
    <row r="2275" spans="1:14" ht="11.25" customHeight="1">
      <c r="A2275" s="5" t="s">
        <v>5996</v>
      </c>
      <c r="B2275" s="5" t="s">
        <v>6620</v>
      </c>
      <c r="C2275" s="5" t="s">
        <v>6634</v>
      </c>
      <c r="D2275" s="5" t="s">
        <v>5999</v>
      </c>
      <c r="E2275" s="5" t="s">
        <v>31</v>
      </c>
      <c r="F2275" s="5" t="s">
        <v>6000</v>
      </c>
      <c r="G2275" s="5" t="s">
        <v>6001</v>
      </c>
      <c r="H2275" s="5" t="s">
        <v>6622</v>
      </c>
      <c r="I2275" s="5" t="s">
        <v>6635</v>
      </c>
      <c r="J2275" s="5" t="s">
        <v>6636</v>
      </c>
      <c r="K2275" s="7" t="str">
        <f ca="1">IFERROR(__xludf.DUMMYFUNCTION("GOOGLETRANSLATE(H2275,""EN"",""ES"")"),"APARATOS Y DISPOSITIVOS DE SEÑALIZACIÓN")</f>
        <v>APARATOS Y DISPOSITIVOS DE SEÑALIZACIÓN</v>
      </c>
      <c r="L2275" s="5" t="str">
        <f ca="1">IFERROR(__xludf.DUMMYFUNCTION("GOOGLETRANSLATE(J2275,""EN"",""ES"")"),"Discos de señales ferroviarias")</f>
        <v>Discos de señales ferroviarias</v>
      </c>
      <c r="M2275" s="8" t="s">
        <v>60</v>
      </c>
      <c r="N2275" s="8"/>
    </row>
    <row r="2276" spans="1:14" ht="11.25" customHeight="1">
      <c r="A2276" s="5" t="s">
        <v>5996</v>
      </c>
      <c r="B2276" s="5" t="s">
        <v>6620</v>
      </c>
      <c r="C2276" s="5" t="s">
        <v>6637</v>
      </c>
      <c r="D2276" s="5" t="s">
        <v>5999</v>
      </c>
      <c r="E2276" s="5" t="s">
        <v>31</v>
      </c>
      <c r="F2276" s="5" t="s">
        <v>6000</v>
      </c>
      <c r="G2276" s="5" t="s">
        <v>6001</v>
      </c>
      <c r="H2276" s="5" t="s">
        <v>6622</v>
      </c>
      <c r="I2276" s="5" t="s">
        <v>6638</v>
      </c>
      <c r="J2276" s="5" t="s">
        <v>6639</v>
      </c>
      <c r="K2276" s="7" t="str">
        <f ca="1">IFERROR(__xludf.DUMMYFUNCTION("GOOGLETRANSLATE(H2276,""EN"",""ES"")"),"APARATOS Y DISPOSITIVOS DE SEÑALIZACIÓN")</f>
        <v>APARATOS Y DISPOSITIVOS DE SEÑALIZACIÓN</v>
      </c>
      <c r="L2276" s="5" t="str">
        <f ca="1">IFERROR(__xludf.DUMMYFUNCTION("GOOGLETRANSLATE(J2276,""EN"",""ES"")"),"Lámparas de señal")</f>
        <v>Lámparas de señal</v>
      </c>
      <c r="M2276" s="8" t="s">
        <v>60</v>
      </c>
      <c r="N2276" s="8"/>
    </row>
    <row r="2277" spans="1:14" ht="11.25" customHeight="1">
      <c r="A2277" s="5" t="s">
        <v>5996</v>
      </c>
      <c r="B2277" s="5" t="s">
        <v>6620</v>
      </c>
      <c r="C2277" s="5" t="s">
        <v>6640</v>
      </c>
      <c r="D2277" s="5" t="s">
        <v>5999</v>
      </c>
      <c r="E2277" s="5" t="s">
        <v>31</v>
      </c>
      <c r="F2277" s="5" t="s">
        <v>6000</v>
      </c>
      <c r="G2277" s="5" t="s">
        <v>6001</v>
      </c>
      <c r="H2277" s="5" t="s">
        <v>6622</v>
      </c>
      <c r="I2277" s="5" t="s">
        <v>6641</v>
      </c>
      <c r="J2277" s="5" t="s">
        <v>6642</v>
      </c>
      <c r="K2277" s="7" t="str">
        <f ca="1">IFERROR(__xludf.DUMMYFUNCTION("GOOGLETRANSLATE(H2277,""EN"",""ES"")"),"APARATOS Y DISPOSITIVOS DE SEÑALIZACIÓN")</f>
        <v>APARATOS Y DISPOSITIVOS DE SEÑALIZACIÓN</v>
      </c>
      <c r="L2277" s="5" t="str">
        <f ca="1">IFERROR(__xludf.DUMMYFUNCTION("GOOGLETRANSLATE(J2277,""EN"",""ES"")"),"Señales de tráfico")</f>
        <v>Señales de tráfico</v>
      </c>
      <c r="M2277" s="8" t="s">
        <v>60</v>
      </c>
      <c r="N2277" s="8"/>
    </row>
    <row r="2278" spans="1:14" ht="11.25" customHeight="1">
      <c r="A2278" s="5" t="s">
        <v>5996</v>
      </c>
      <c r="B2278" s="5" t="s">
        <v>6620</v>
      </c>
      <c r="C2278" s="5" t="s">
        <v>6643</v>
      </c>
      <c r="D2278" s="5" t="s">
        <v>5999</v>
      </c>
      <c r="E2278" s="5" t="s">
        <v>31</v>
      </c>
      <c r="F2278" s="5" t="s">
        <v>6000</v>
      </c>
      <c r="G2278" s="5" t="s">
        <v>6001</v>
      </c>
      <c r="H2278" s="5" t="s">
        <v>6622</v>
      </c>
      <c r="I2278" s="5" t="s">
        <v>6644</v>
      </c>
      <c r="J2278" s="5" t="s">
        <v>6645</v>
      </c>
      <c r="K2278" s="7" t="str">
        <f ca="1">IFERROR(__xludf.DUMMYFUNCTION("GOOGLETRANSLATE(H2278,""EN"",""ES"")"),"APARATOS Y DISPOSITIVOS DE SEÑALIZACIÓN")</f>
        <v>APARATOS Y DISPOSITIVOS DE SEÑALIZACIÓN</v>
      </c>
      <c r="L2278" s="5" t="str">
        <f ca="1">IFERROR(__xludf.DUMMYFUNCTION("GOOGLETRANSLATE(J2278,""EN"",""ES"")"),"faros")</f>
        <v>faros</v>
      </c>
      <c r="M2278" s="8" t="s">
        <v>60</v>
      </c>
      <c r="N2278" s="8"/>
    </row>
    <row r="2279" spans="1:14" ht="11.25" customHeight="1">
      <c r="A2279" s="5" t="s">
        <v>5996</v>
      </c>
      <c r="B2279" s="5" t="s">
        <v>6620</v>
      </c>
      <c r="C2279" s="5" t="s">
        <v>6646</v>
      </c>
      <c r="D2279" s="5" t="s">
        <v>5999</v>
      </c>
      <c r="E2279" s="5" t="s">
        <v>31</v>
      </c>
      <c r="F2279" s="5" t="s">
        <v>6000</v>
      </c>
      <c r="G2279" s="5" t="s">
        <v>6001</v>
      </c>
      <c r="H2279" s="5" t="s">
        <v>6622</v>
      </c>
      <c r="I2279" s="5" t="s">
        <v>6647</v>
      </c>
      <c r="J2279" s="5" t="s">
        <v>6648</v>
      </c>
      <c r="K2279" s="7" t="str">
        <f ca="1">IFERROR(__xludf.DUMMYFUNCTION("GOOGLETRANSLATE(H2279,""EN"",""ES"")"),"APARATOS Y DISPOSITIVOS DE SEÑALIZACIÓN")</f>
        <v>APARATOS Y DISPOSITIVOS DE SEÑALIZACIÓN</v>
      </c>
      <c r="L2279" s="5" t="str">
        <f ca="1">IFERROR(__xludf.DUMMYFUNCTION("GOOGLETRANSLATE(J2279,""EN"",""ES"")"),"Pórticos de señal")</f>
        <v>Pórticos de señal</v>
      </c>
      <c r="M2279" s="8" t="s">
        <v>60</v>
      </c>
      <c r="N2279" s="8"/>
    </row>
    <row r="2280" spans="1:14" ht="11.25" customHeight="1">
      <c r="A2280" s="5" t="s">
        <v>5996</v>
      </c>
      <c r="B2280" s="5" t="s">
        <v>6620</v>
      </c>
      <c r="C2280" s="5" t="s">
        <v>6646</v>
      </c>
      <c r="D2280" s="5" t="s">
        <v>5999</v>
      </c>
      <c r="E2280" s="5" t="s">
        <v>31</v>
      </c>
      <c r="F2280" s="5" t="s">
        <v>6000</v>
      </c>
      <c r="G2280" s="5" t="s">
        <v>6001</v>
      </c>
      <c r="H2280" s="5" t="s">
        <v>6622</v>
      </c>
      <c r="I2280" s="5" t="s">
        <v>152</v>
      </c>
      <c r="J2280" s="5" t="s">
        <v>6649</v>
      </c>
      <c r="K2280" s="7" t="str">
        <f ca="1">IFERROR(__xludf.DUMMYFUNCTION("GOOGLETRANSLATE(H2280,""EN"",""ES"")"),"APARATOS Y DISPOSITIVOS DE SEÑALIZACIÓN")</f>
        <v>APARATOS Y DISPOSITIVOS DE SEÑALIZACIÓN</v>
      </c>
      <c r="L2280" s="5" t="str">
        <f ca="1">IFERROR(__xludf.DUMMYFUNCTION("GOOGLETRANSLATE(J2280,""EN"",""ES"")"),"N / A")</f>
        <v>N / A</v>
      </c>
      <c r="M2280" s="8" t="s">
        <v>60</v>
      </c>
      <c r="N2280" s="8"/>
    </row>
    <row r="2281" spans="1:14" ht="11.25" customHeight="1">
      <c r="A2281" s="5" t="s">
        <v>5996</v>
      </c>
      <c r="B2281" s="5" t="s">
        <v>6620</v>
      </c>
      <c r="C2281" s="5" t="s">
        <v>6650</v>
      </c>
      <c r="D2281" s="5" t="s">
        <v>5999</v>
      </c>
      <c r="E2281" s="5" t="s">
        <v>31</v>
      </c>
      <c r="F2281" s="5" t="s">
        <v>6000</v>
      </c>
      <c r="G2281" s="5" t="s">
        <v>6001</v>
      </c>
      <c r="H2281" s="5" t="s">
        <v>6622</v>
      </c>
      <c r="I2281" s="5" t="s">
        <v>6651</v>
      </c>
      <c r="J2281" s="5" t="s">
        <v>6652</v>
      </c>
      <c r="K2281" s="7" t="str">
        <f ca="1">IFERROR(__xludf.DUMMYFUNCTION("GOOGLETRANSLATE(H2281,""EN"",""ES"")"),"APARATOS Y DISPOSITIVOS DE SEÑALIZACIÓN")</f>
        <v>APARATOS Y DISPOSITIVOS DE SEÑALIZACIÓN</v>
      </c>
      <c r="L2281" s="5" t="str">
        <f ca="1">IFERROR(__xludf.DUMMYFUNCTION("GOOGLETRANSLATE(J2281,""EN"",""ES"")"),"Semáforos")</f>
        <v>Semáforos</v>
      </c>
      <c r="M2281" s="8" t="s">
        <v>60</v>
      </c>
      <c r="N2281" s="8"/>
    </row>
    <row r="2282" spans="1:14" ht="11.25" customHeight="1">
      <c r="A2282" s="5" t="s">
        <v>5996</v>
      </c>
      <c r="B2282" s="5" t="s">
        <v>6620</v>
      </c>
      <c r="C2282" s="5" t="s">
        <v>6653</v>
      </c>
      <c r="D2282" s="5" t="s">
        <v>5999</v>
      </c>
      <c r="E2282" s="5" t="s">
        <v>31</v>
      </c>
      <c r="F2282" s="5" t="s">
        <v>6000</v>
      </c>
      <c r="G2282" s="5" t="s">
        <v>6001</v>
      </c>
      <c r="H2282" s="5" t="s">
        <v>6622</v>
      </c>
      <c r="I2282" s="5" t="s">
        <v>6654</v>
      </c>
      <c r="J2282" s="5" t="s">
        <v>6655</v>
      </c>
      <c r="K2282" s="7" t="str">
        <f ca="1">IFERROR(__xludf.DUMMYFUNCTION("GOOGLETRANSLATE(H2282,""EN"",""ES"")"),"APARATOS Y DISPOSITIVOS DE SEÑALIZACIÓN")</f>
        <v>APARATOS Y DISPOSITIVOS DE SEÑALIZACIÓN</v>
      </c>
      <c r="L2282" s="5" t="str">
        <f ca="1">IFERROR(__xludf.DUMMYFUNCTION("GOOGLETRANSLATE(J2282,""EN"",""ES"")"),"Señales de niebla")</f>
        <v>Señales de niebla</v>
      </c>
      <c r="M2282" s="8" t="s">
        <v>60</v>
      </c>
      <c r="N2282" s="8"/>
    </row>
    <row r="2283" spans="1:14" ht="11.25" customHeight="1">
      <c r="A2283" s="5" t="s">
        <v>5996</v>
      </c>
      <c r="B2283" s="5" t="s">
        <v>6620</v>
      </c>
      <c r="C2283" s="5" t="s">
        <v>6656</v>
      </c>
      <c r="D2283" s="5" t="s">
        <v>5999</v>
      </c>
      <c r="E2283" s="5" t="s">
        <v>31</v>
      </c>
      <c r="F2283" s="5" t="s">
        <v>6000</v>
      </c>
      <c r="G2283" s="5" t="s">
        <v>6001</v>
      </c>
      <c r="H2283" s="5" t="s">
        <v>6622</v>
      </c>
      <c r="I2283" s="5" t="s">
        <v>6657</v>
      </c>
      <c r="J2283" s="5" t="s">
        <v>6658</v>
      </c>
      <c r="K2283" s="7" t="str">
        <f ca="1">IFERROR(__xludf.DUMMYFUNCTION("GOOGLETRANSLATE(H2283,""EN"",""ES"")"),"APARATOS Y DISPOSITIVOS DE SEÑALIZACIÓN")</f>
        <v>APARATOS Y DISPOSITIVOS DE SEÑALIZACIÓN</v>
      </c>
      <c r="L2283" s="5" t="str">
        <f ca="1">IFERROR(__xludf.DUMMYFUNCTION("GOOGLETRANSLATE(J2283,""EN"",""ES"")"),"timbres de puerta")</f>
        <v>timbres de puerta</v>
      </c>
      <c r="M2283" s="8" t="s">
        <v>60</v>
      </c>
      <c r="N2283" s="8"/>
    </row>
    <row r="2284" spans="1:14" ht="11.25" customHeight="1">
      <c r="A2284" s="5" t="s">
        <v>5996</v>
      </c>
      <c r="B2284" s="5" t="s">
        <v>6620</v>
      </c>
      <c r="C2284" s="5" t="s">
        <v>6659</v>
      </c>
      <c r="D2284" s="5" t="s">
        <v>5999</v>
      </c>
      <c r="E2284" s="5" t="s">
        <v>31</v>
      </c>
      <c r="F2284" s="5" t="s">
        <v>6000</v>
      </c>
      <c r="G2284" s="5" t="s">
        <v>6001</v>
      </c>
      <c r="H2284" s="5" t="s">
        <v>6622</v>
      </c>
      <c r="I2284" s="5" t="s">
        <v>6660</v>
      </c>
      <c r="J2284" s="5" t="s">
        <v>6661</v>
      </c>
      <c r="K2284" s="7" t="str">
        <f ca="1">IFERROR(__xludf.DUMMYFUNCTION("GOOGLETRANSLATE(H2284,""EN"",""ES"")"),"APARATOS Y DISPOSITIVOS DE SEÑALIZACIÓN")</f>
        <v>APARATOS Y DISPOSITIVOS DE SEÑALIZACIÓN</v>
      </c>
      <c r="L2284" s="5" t="str">
        <f ca="1">IFERROR(__xludf.DUMMYFUNCTION("GOOGLETRANSLATE(J2284,""EN"",""ES"")"),"Silbatos")</f>
        <v>Silbatos</v>
      </c>
      <c r="M2284" s="8" t="s">
        <v>60</v>
      </c>
      <c r="N2284" s="8"/>
    </row>
    <row r="2285" spans="1:14" ht="11.25" customHeight="1">
      <c r="A2285" s="5" t="s">
        <v>5996</v>
      </c>
      <c r="B2285" s="5" t="s">
        <v>6620</v>
      </c>
      <c r="C2285" s="5" t="s">
        <v>6662</v>
      </c>
      <c r="D2285" s="5" t="s">
        <v>5999</v>
      </c>
      <c r="E2285" s="5" t="s">
        <v>31</v>
      </c>
      <c r="F2285" s="5" t="s">
        <v>6000</v>
      </c>
      <c r="G2285" s="5" t="s">
        <v>6001</v>
      </c>
      <c r="H2285" s="5" t="s">
        <v>6622</v>
      </c>
      <c r="I2285" s="5" t="s">
        <v>6663</v>
      </c>
      <c r="J2285" s="5" t="s">
        <v>6664</v>
      </c>
      <c r="K2285" s="7" t="str">
        <f ca="1">IFERROR(__xludf.DUMMYFUNCTION("GOOGLETRANSLATE(H2285,""EN"",""ES"")"),"APARATOS Y DISPOSITIVOS DE SEÑALIZACIÓN")</f>
        <v>APARATOS Y DISPOSITIVOS DE SEÑALIZACIÓN</v>
      </c>
      <c r="L2285" s="5" t="str">
        <f ca="1">IFERROR(__xludf.DUMMYFUNCTION("GOOGLETRANSLATE(J2285,""EN"",""ES"")"),"sirenas")</f>
        <v>sirenas</v>
      </c>
      <c r="M2285" s="8" t="s">
        <v>60</v>
      </c>
      <c r="N2285" s="8"/>
    </row>
    <row r="2286" spans="1:14" ht="11.25" customHeight="1">
      <c r="A2286" s="5" t="s">
        <v>5996</v>
      </c>
      <c r="B2286" s="5" t="s">
        <v>6620</v>
      </c>
      <c r="C2286" s="5" t="s">
        <v>6665</v>
      </c>
      <c r="D2286" s="5" t="s">
        <v>5999</v>
      </c>
      <c r="E2286" s="5" t="s">
        <v>31</v>
      </c>
      <c r="F2286" s="5" t="s">
        <v>6000</v>
      </c>
      <c r="G2286" s="5" t="s">
        <v>6001</v>
      </c>
      <c r="H2286" s="5" t="s">
        <v>6622</v>
      </c>
      <c r="I2286" s="5" t="s">
        <v>6666</v>
      </c>
      <c r="J2286" s="5" t="s">
        <v>6667</v>
      </c>
      <c r="K2286" s="7" t="str">
        <f ca="1">IFERROR(__xludf.DUMMYFUNCTION("GOOGLETRANSLATE(H2286,""EN"",""ES"")"),"APARATOS Y DISPOSITIVOS DE SEÑALIZACIÓN")</f>
        <v>APARATOS Y DISPOSITIVOS DE SEÑALIZACIÓN</v>
      </c>
      <c r="L2286" s="5" t="str">
        <f ca="1">IFERROR(__xludf.DUMMYFUNCTION("GOOGLETRANSLATE(J2286,""EN"",""ES"")"),"Campanas [eléctricas]")</f>
        <v>Campanas [eléctricas]</v>
      </c>
      <c r="M2286" s="8" t="s">
        <v>60</v>
      </c>
      <c r="N2286" s="8"/>
    </row>
    <row r="2287" spans="1:14" ht="11.25" customHeight="1">
      <c r="A2287" s="5" t="s">
        <v>5996</v>
      </c>
      <c r="B2287" s="5" t="s">
        <v>6620</v>
      </c>
      <c r="C2287" s="5" t="s">
        <v>6668</v>
      </c>
      <c r="D2287" s="5" t="s">
        <v>5999</v>
      </c>
      <c r="E2287" s="5" t="s">
        <v>31</v>
      </c>
      <c r="F2287" s="5" t="s">
        <v>6000</v>
      </c>
      <c r="G2287" s="5" t="s">
        <v>6001</v>
      </c>
      <c r="H2287" s="5" t="s">
        <v>6622</v>
      </c>
      <c r="I2287" s="5" t="s">
        <v>6669</v>
      </c>
      <c r="J2287" s="5" t="s">
        <v>6670</v>
      </c>
      <c r="K2287" s="7" t="str">
        <f ca="1">IFERROR(__xludf.DUMMYFUNCTION("GOOGLETRANSLATE(H2287,""EN"",""ES"")"),"APARATOS Y DISPOSITIVOS DE SEÑALIZACIÓN")</f>
        <v>APARATOS Y DISPOSITIVOS DE SEÑALIZACIÓN</v>
      </c>
      <c r="L2287" s="5" t="str">
        <f ca="1">IFERROR(__xludf.DUMMYFUNCTION("GOOGLETRANSLATE(J2287,""EN"",""ES"")"),"Campanas de señal")</f>
        <v>Campanas de señal</v>
      </c>
      <c r="M2287" s="8" t="s">
        <v>60</v>
      </c>
      <c r="N2287" s="8"/>
    </row>
    <row r="2288" spans="1:14" ht="11.25" customHeight="1">
      <c r="A2288" s="5" t="s">
        <v>5996</v>
      </c>
      <c r="B2288" s="5" t="s">
        <v>6620</v>
      </c>
      <c r="C2288" s="5" t="s">
        <v>6671</v>
      </c>
      <c r="D2288" s="5" t="s">
        <v>5999</v>
      </c>
      <c r="E2288" s="5" t="s">
        <v>31</v>
      </c>
      <c r="F2288" s="5" t="s">
        <v>6000</v>
      </c>
      <c r="G2288" s="5" t="s">
        <v>6001</v>
      </c>
      <c r="H2288" s="5" t="s">
        <v>6622</v>
      </c>
      <c r="I2288" s="5" t="s">
        <v>6672</v>
      </c>
      <c r="J2288" s="5" t="s">
        <v>6673</v>
      </c>
      <c r="K2288" s="7" t="str">
        <f ca="1">IFERROR(__xludf.DUMMYFUNCTION("GOOGLETRANSLATE(H2288,""EN"",""ES"")"),"APARATOS Y DISPOSITIVOS DE SEÑALIZACIÓN")</f>
        <v>APARATOS Y DISPOSITIVOS DE SEÑALIZACIÓN</v>
      </c>
      <c r="L2288" s="5" t="str">
        <f ca="1">IFERROR(__xludf.DUMMYFUNCTION("GOOGLETRANSLATE(J2288,""EN"",""ES"")"),"Bocinas de vehículos")</f>
        <v>Bocinas de vehículos</v>
      </c>
      <c r="M2288" s="8" t="s">
        <v>60</v>
      </c>
      <c r="N2288" s="8"/>
    </row>
    <row r="2289" spans="1:14" ht="11.25" customHeight="1">
      <c r="A2289" s="5" t="s">
        <v>5996</v>
      </c>
      <c r="B2289" s="5" t="s">
        <v>6620</v>
      </c>
      <c r="C2289" s="5" t="s">
        <v>6671</v>
      </c>
      <c r="D2289" s="5" t="s">
        <v>5999</v>
      </c>
      <c r="E2289" s="5" t="s">
        <v>31</v>
      </c>
      <c r="F2289" s="5" t="s">
        <v>6000</v>
      </c>
      <c r="G2289" s="5" t="s">
        <v>6001</v>
      </c>
      <c r="H2289" s="5" t="s">
        <v>6622</v>
      </c>
      <c r="I2289" s="5" t="s">
        <v>152</v>
      </c>
      <c r="J2289" s="5" t="s">
        <v>6674</v>
      </c>
      <c r="K2289" s="7" t="str">
        <f ca="1">IFERROR(__xludf.DUMMYFUNCTION("GOOGLETRANSLATE(H2289,""EN"",""ES"")"),"APARATOS Y DISPOSITIVOS DE SEÑALIZACIÓN")</f>
        <v>APARATOS Y DISPOSITIVOS DE SEÑALIZACIÓN</v>
      </c>
      <c r="L2289" s="5" t="str">
        <f ca="1">IFERROR(__xludf.DUMMYFUNCTION("GOOGLETRANSLATE(J2289,""EN"",""ES"")"),"N / A")</f>
        <v>N / A</v>
      </c>
      <c r="M2289" s="8" t="s">
        <v>60</v>
      </c>
      <c r="N2289" s="8"/>
    </row>
    <row r="2290" spans="1:14" ht="11.25" customHeight="1">
      <c r="A2290" s="5" t="s">
        <v>5996</v>
      </c>
      <c r="B2290" s="5" t="s">
        <v>6620</v>
      </c>
      <c r="C2290" s="5" t="s">
        <v>6675</v>
      </c>
      <c r="D2290" s="5" t="s">
        <v>5999</v>
      </c>
      <c r="E2290" s="5" t="s">
        <v>31</v>
      </c>
      <c r="F2290" s="5" t="s">
        <v>6000</v>
      </c>
      <c r="G2290" s="5" t="s">
        <v>6001</v>
      </c>
      <c r="H2290" s="5" t="s">
        <v>6622</v>
      </c>
      <c r="I2290" s="5" t="s">
        <v>6676</v>
      </c>
      <c r="J2290" s="5" t="s">
        <v>6677</v>
      </c>
      <c r="K2290" s="7" t="str">
        <f ca="1">IFERROR(__xludf.DUMMYFUNCTION("GOOGLETRANSLATE(H2290,""EN"",""ES"")"),"APARATOS Y DISPOSITIVOS DE SEÑALIZACIÓN")</f>
        <v>APARATOS Y DISPOSITIVOS DE SEÑALIZACIÓN</v>
      </c>
      <c r="L2290" s="5" t="str">
        <f ca="1">IFERROR(__xludf.DUMMYFUNCTION("GOOGLETRANSLATE(J2290,""EN"",""ES"")"),"Bandas reflectantes para los pies.")</f>
        <v>Bandas reflectantes para los pies.</v>
      </c>
      <c r="M2290" s="8" t="s">
        <v>60</v>
      </c>
      <c r="N2290" s="8"/>
    </row>
    <row r="2291" spans="1:14" ht="11.25" customHeight="1">
      <c r="A2291" s="5" t="s">
        <v>5996</v>
      </c>
      <c r="B2291" s="5" t="s">
        <v>6620</v>
      </c>
      <c r="C2291" s="5" t="s">
        <v>6678</v>
      </c>
      <c r="D2291" s="5" t="s">
        <v>5999</v>
      </c>
      <c r="E2291" s="5" t="s">
        <v>31</v>
      </c>
      <c r="F2291" s="5" t="s">
        <v>6000</v>
      </c>
      <c r="G2291" s="5" t="s">
        <v>6001</v>
      </c>
      <c r="H2291" s="5" t="s">
        <v>6622</v>
      </c>
      <c r="I2291" s="5" t="s">
        <v>6679</v>
      </c>
      <c r="J2291" s="5" t="s">
        <v>6680</v>
      </c>
      <c r="K2291" s="7" t="str">
        <f ca="1">IFERROR(__xludf.DUMMYFUNCTION("GOOGLETRANSLATE(H2291,""EN"",""ES"")"),"APARATOS Y DISPOSITIVOS DE SEÑALIZACIÓN")</f>
        <v>APARATOS Y DISPOSITIVOS DE SEÑALIZACIÓN</v>
      </c>
      <c r="L2291" s="5" t="str">
        <f ca="1">IFERROR(__xludf.DUMMYFUNCTION("GOOGLETRANSLATE(J2291,""EN"",""ES"")"),"Silbatos para perros")</f>
        <v>Silbatos para perros</v>
      </c>
      <c r="M2291" s="8" t="s">
        <v>60</v>
      </c>
      <c r="N2291" s="8"/>
    </row>
    <row r="2292" spans="1:14" ht="11.25" customHeight="1">
      <c r="A2292" s="5" t="s">
        <v>5996</v>
      </c>
      <c r="B2292" s="5" t="s">
        <v>6620</v>
      </c>
      <c r="C2292" s="5" t="s">
        <v>6681</v>
      </c>
      <c r="D2292" s="5" t="s">
        <v>5999</v>
      </c>
      <c r="E2292" s="5" t="s">
        <v>31</v>
      </c>
      <c r="F2292" s="5" t="s">
        <v>6000</v>
      </c>
      <c r="G2292" s="5" t="s">
        <v>6001</v>
      </c>
      <c r="H2292" s="5" t="s">
        <v>6622</v>
      </c>
      <c r="I2292" s="5" t="s">
        <v>6682</v>
      </c>
      <c r="J2292" s="5" t="s">
        <v>6683</v>
      </c>
      <c r="K2292" s="7" t="str">
        <f ca="1">IFERROR(__xludf.DUMMYFUNCTION("GOOGLETRANSLATE(H2292,""EN"",""ES"")"),"APARATOS Y DISPOSITIVOS DE SEÑALIZACIÓN")</f>
        <v>APARATOS Y DISPOSITIVOS DE SEÑALIZACIÓN</v>
      </c>
      <c r="L2292" s="5" t="str">
        <f ca="1">IFERROR(__xludf.DUMMYFUNCTION("GOOGLETRANSLATE(J2292,""EN"",""ES"")"),"Bocinas de advertencia")</f>
        <v>Bocinas de advertencia</v>
      </c>
      <c r="M2292" s="8" t="s">
        <v>60</v>
      </c>
      <c r="N2292" s="8"/>
    </row>
    <row r="2293" spans="1:14" ht="11.25" customHeight="1">
      <c r="A2293" s="5" t="s">
        <v>5996</v>
      </c>
      <c r="B2293" s="5" t="s">
        <v>6620</v>
      </c>
      <c r="C2293" s="5" t="s">
        <v>6684</v>
      </c>
      <c r="D2293" s="5" t="s">
        <v>5999</v>
      </c>
      <c r="E2293" s="5" t="s">
        <v>31</v>
      </c>
      <c r="F2293" s="5" t="s">
        <v>6000</v>
      </c>
      <c r="G2293" s="5" t="s">
        <v>6001</v>
      </c>
      <c r="H2293" s="5" t="s">
        <v>6622</v>
      </c>
      <c r="I2293" s="5" t="s">
        <v>6685</v>
      </c>
      <c r="J2293" s="5" t="s">
        <v>6686</v>
      </c>
      <c r="K2293" s="7" t="str">
        <f ca="1">IFERROR(__xludf.DUMMYFUNCTION("GOOGLETRANSLATE(H2293,""EN"",""ES"")"),"APARATOS Y DISPOSITIVOS DE SEÑALIZACIÓN")</f>
        <v>APARATOS Y DISPOSITIVOS DE SEÑALIZACIÓN</v>
      </c>
      <c r="L2293" s="5" t="str">
        <f ca="1">IFERROR(__xludf.DUMMYFUNCTION("GOOGLETRANSLATE(J2293,""EN"",""ES"")"),"Balizas [aviación, navegación]")</f>
        <v>Balizas [aviación, navegación]</v>
      </c>
      <c r="M2293" s="8" t="s">
        <v>60</v>
      </c>
      <c r="N2293" s="8"/>
    </row>
    <row r="2294" spans="1:14" ht="11.25" customHeight="1">
      <c r="A2294" s="5" t="s">
        <v>5996</v>
      </c>
      <c r="B2294" s="5" t="s">
        <v>6620</v>
      </c>
      <c r="C2294" s="5" t="s">
        <v>6687</v>
      </c>
      <c r="D2294" s="5" t="s">
        <v>5999</v>
      </c>
      <c r="E2294" s="5" t="s">
        <v>31</v>
      </c>
      <c r="F2294" s="5" t="s">
        <v>6000</v>
      </c>
      <c r="G2294" s="5" t="s">
        <v>6001</v>
      </c>
      <c r="H2294" s="5" t="s">
        <v>6622</v>
      </c>
      <c r="I2294" s="5" t="s">
        <v>6688</v>
      </c>
      <c r="J2294" s="5" t="s">
        <v>6689</v>
      </c>
      <c r="K2294" s="7" t="str">
        <f ca="1">IFERROR(__xludf.DUMMYFUNCTION("GOOGLETRANSLATE(H2294,""EN"",""ES"")"),"APARATOS Y DISPOSITIVOS DE SEÑALIZACIÓN")</f>
        <v>APARATOS Y DISPOSITIVOS DE SEÑALIZACIÓN</v>
      </c>
      <c r="L2294" s="5" t="str">
        <f ca="1">IFERROR(__xludf.DUMMYFUNCTION("GOOGLETRANSLATE(J2294,""EN"",""ES"")"),"Aldabas")</f>
        <v>Aldabas</v>
      </c>
      <c r="M2294" s="8" t="s">
        <v>60</v>
      </c>
      <c r="N2294" s="8"/>
    </row>
    <row r="2295" spans="1:14" ht="11.25" customHeight="1">
      <c r="A2295" s="5" t="s">
        <v>5996</v>
      </c>
      <c r="B2295" s="5" t="s">
        <v>6620</v>
      </c>
      <c r="C2295" s="5" t="s">
        <v>6687</v>
      </c>
      <c r="D2295" s="5" t="s">
        <v>5999</v>
      </c>
      <c r="E2295" s="5" t="s">
        <v>31</v>
      </c>
      <c r="F2295" s="5" t="s">
        <v>6000</v>
      </c>
      <c r="G2295" s="5" t="s">
        <v>6001</v>
      </c>
      <c r="H2295" s="5" t="s">
        <v>6622</v>
      </c>
      <c r="I2295" s="5" t="s">
        <v>152</v>
      </c>
      <c r="J2295" s="5" t="s">
        <v>6690</v>
      </c>
      <c r="K2295" s="7" t="str">
        <f ca="1">IFERROR(__xludf.DUMMYFUNCTION("GOOGLETRANSLATE(H2295,""EN"",""ES"")"),"APARATOS Y DISPOSITIVOS DE SEÑALIZACIÓN")</f>
        <v>APARATOS Y DISPOSITIVOS DE SEÑALIZACIÓN</v>
      </c>
      <c r="L2295" s="5" t="str">
        <f ca="1">IFERROR(__xludf.DUMMYFUNCTION("GOOGLETRANSLATE(J2295,""EN"",""ES"")"),"N / A")</f>
        <v>N / A</v>
      </c>
      <c r="M2295" s="8" t="s">
        <v>60</v>
      </c>
      <c r="N2295" s="8"/>
    </row>
    <row r="2296" spans="1:14" ht="11.25" customHeight="1">
      <c r="A2296" s="5" t="s">
        <v>5996</v>
      </c>
      <c r="B2296" s="5" t="s">
        <v>6620</v>
      </c>
      <c r="C2296" s="5" t="s">
        <v>6691</v>
      </c>
      <c r="D2296" s="5" t="s">
        <v>5999</v>
      </c>
      <c r="E2296" s="5" t="s">
        <v>31</v>
      </c>
      <c r="F2296" s="5" t="s">
        <v>6000</v>
      </c>
      <c r="G2296" s="5" t="s">
        <v>6001</v>
      </c>
      <c r="H2296" s="5" t="s">
        <v>6622</v>
      </c>
      <c r="I2296" s="5" t="s">
        <v>6692</v>
      </c>
      <c r="J2296" s="5" t="s">
        <v>6693</v>
      </c>
      <c r="K2296" s="7" t="str">
        <f ca="1">IFERROR(__xludf.DUMMYFUNCTION("GOOGLETRANSLATE(H2296,""EN"",""ES"")"),"APARATOS Y DISPOSITIVOS DE SEÑALIZACIÓN")</f>
        <v>APARATOS Y DISPOSITIVOS DE SEÑALIZACIÓN</v>
      </c>
      <c r="L2296" s="5" t="str">
        <f ca="1">IFERROR(__xludf.DUMMYFUNCTION("GOOGLETRANSLATE(J2296,""EN"",""ES"")"),"Dispositivos de señalización de accidentes")</f>
        <v>Dispositivos de señalización de accidentes</v>
      </c>
      <c r="M2296" s="8" t="s">
        <v>60</v>
      </c>
      <c r="N2296" s="8"/>
    </row>
    <row r="2297" spans="1:14" ht="11.25" customHeight="1">
      <c r="A2297" s="5" t="s">
        <v>5996</v>
      </c>
      <c r="B2297" s="5" t="s">
        <v>6620</v>
      </c>
      <c r="C2297" s="5" t="s">
        <v>6694</v>
      </c>
      <c r="D2297" s="5" t="s">
        <v>5999</v>
      </c>
      <c r="E2297" s="5" t="s">
        <v>31</v>
      </c>
      <c r="F2297" s="5" t="s">
        <v>6000</v>
      </c>
      <c r="G2297" s="5" t="s">
        <v>6001</v>
      </c>
      <c r="H2297" s="5" t="s">
        <v>6622</v>
      </c>
      <c r="I2297" s="5" t="s">
        <v>6695</v>
      </c>
      <c r="J2297" s="5" t="s">
        <v>6696</v>
      </c>
      <c r="K2297" s="7" t="str">
        <f ca="1">IFERROR(__xludf.DUMMYFUNCTION("GOOGLETRANSLATE(H2297,""EN"",""ES"")"),"APARATOS Y DISPOSITIVOS DE SEÑALIZACIÓN")</f>
        <v>APARATOS Y DISPOSITIVOS DE SEÑALIZACIÓN</v>
      </c>
      <c r="L2297" s="5" t="str">
        <f ca="1">IFERROR(__xludf.DUMMYFUNCTION("GOOGLETRANSLATE(J2297,""EN"",""ES"")"),"Semáforo")</f>
        <v>Semáforo</v>
      </c>
      <c r="M2297" s="8" t="s">
        <v>60</v>
      </c>
      <c r="N2297" s="8"/>
    </row>
    <row r="2298" spans="1:14" ht="11.25" customHeight="1">
      <c r="A2298" s="5" t="s">
        <v>5996</v>
      </c>
      <c r="B2298" s="5" t="s">
        <v>6620</v>
      </c>
      <c r="C2298" s="5" t="s">
        <v>6697</v>
      </c>
      <c r="D2298" s="5" t="s">
        <v>5999</v>
      </c>
      <c r="E2298" s="5" t="s">
        <v>31</v>
      </c>
      <c r="F2298" s="5" t="s">
        <v>6000</v>
      </c>
      <c r="G2298" s="5" t="s">
        <v>6001</v>
      </c>
      <c r="H2298" s="5" t="s">
        <v>6622</v>
      </c>
      <c r="I2298" s="5" t="s">
        <v>6698</v>
      </c>
      <c r="J2298" s="5" t="s">
        <v>6699</v>
      </c>
      <c r="K2298" s="7" t="str">
        <f ca="1">IFERROR(__xludf.DUMMYFUNCTION("GOOGLETRANSLATE(H2298,""EN"",""ES"")"),"APARATOS Y DISPOSITIVOS DE SEÑALIZACIÓN")</f>
        <v>APARATOS Y DISPOSITIVOS DE SEÑALIZACIÓN</v>
      </c>
      <c r="L2298" s="5" t="str">
        <f ca="1">IFERROR(__xludf.DUMMYFUNCTION("GOOGLETRANSLATE(J2298,""EN"",""ES"")"),"Señales ferroviarias [fijas]")</f>
        <v>Señales ferroviarias [fijas]</v>
      </c>
      <c r="M2298" s="8" t="s">
        <v>60</v>
      </c>
      <c r="N2298" s="8"/>
    </row>
    <row r="2299" spans="1:14" ht="11.25" customHeight="1">
      <c r="A2299" s="5" t="s">
        <v>5996</v>
      </c>
      <c r="B2299" s="5" t="s">
        <v>6620</v>
      </c>
      <c r="C2299" s="5" t="s">
        <v>6700</v>
      </c>
      <c r="D2299" s="5" t="s">
        <v>5999</v>
      </c>
      <c r="E2299" s="5" t="s">
        <v>31</v>
      </c>
      <c r="F2299" s="5" t="s">
        <v>6000</v>
      </c>
      <c r="G2299" s="5" t="s">
        <v>6001</v>
      </c>
      <c r="H2299" s="5" t="s">
        <v>6622</v>
      </c>
      <c r="I2299" s="5" t="s">
        <v>6701</v>
      </c>
      <c r="J2299" s="5" t="s">
        <v>6702</v>
      </c>
      <c r="K2299" s="7" t="str">
        <f ca="1">IFERROR(__xludf.DUMMYFUNCTION("GOOGLETRANSLATE(H2299,""EN"",""ES"")"),"APARATOS Y DISPOSITIVOS DE SEÑALIZACIÓN")</f>
        <v>APARATOS Y DISPOSITIVOS DE SEÑALIZACIÓN</v>
      </c>
      <c r="L2299" s="5" t="str">
        <f ca="1">IFERROR(__xludf.DUMMYFUNCTION("GOOGLETRANSLATE(J2299,""EN"",""ES"")"),"Marcadores para pistas de esquí.")</f>
        <v>Marcadores para pistas de esquí.</v>
      </c>
      <c r="M2299" s="8" t="s">
        <v>60</v>
      </c>
      <c r="N2299" s="8"/>
    </row>
    <row r="2300" spans="1:14" ht="11.25" customHeight="1">
      <c r="A2300" s="5" t="s">
        <v>5996</v>
      </c>
      <c r="B2300" s="5" t="s">
        <v>6620</v>
      </c>
      <c r="C2300" s="5" t="s">
        <v>6703</v>
      </c>
      <c r="D2300" s="5" t="s">
        <v>5999</v>
      </c>
      <c r="E2300" s="5" t="s">
        <v>31</v>
      </c>
      <c r="F2300" s="5" t="s">
        <v>6000</v>
      </c>
      <c r="G2300" s="5" t="s">
        <v>6001</v>
      </c>
      <c r="H2300" s="5" t="s">
        <v>6622</v>
      </c>
      <c r="I2300" s="5" t="s">
        <v>6704</v>
      </c>
      <c r="J2300" s="5" t="s">
        <v>6705</v>
      </c>
      <c r="K2300" s="7" t="str">
        <f ca="1">IFERROR(__xludf.DUMMYFUNCTION("GOOGLETRANSLATE(H2300,""EN"",""ES"")"),"APARATOS Y DISPOSITIVOS DE SEÑALIZACIÓN")</f>
        <v>APARATOS Y DISPOSITIVOS DE SEÑALIZACIÓN</v>
      </c>
      <c r="L2300" s="5" t="str">
        <f ca="1">IFERROR(__xludf.DUMMYFUNCTION("GOOGLETRANSLATE(J2300,""EN"",""ES"")"),"Señales de tráfico")</f>
        <v>Señales de tráfico</v>
      </c>
      <c r="M2300" s="8" t="s">
        <v>60</v>
      </c>
      <c r="N2300" s="8"/>
    </row>
    <row r="2301" spans="1:14" ht="11.25" customHeight="1">
      <c r="A2301" s="5" t="s">
        <v>5996</v>
      </c>
      <c r="B2301" s="5" t="s">
        <v>6620</v>
      </c>
      <c r="C2301" s="5" t="s">
        <v>6706</v>
      </c>
      <c r="D2301" s="5" t="s">
        <v>5999</v>
      </c>
      <c r="E2301" s="5" t="s">
        <v>31</v>
      </c>
      <c r="F2301" s="5" t="s">
        <v>6000</v>
      </c>
      <c r="G2301" s="5" t="s">
        <v>6001</v>
      </c>
      <c r="H2301" s="5" t="s">
        <v>6622</v>
      </c>
      <c r="I2301" s="5" t="s">
        <v>6707</v>
      </c>
      <c r="J2301" s="5" t="s">
        <v>6708</v>
      </c>
      <c r="K2301" s="7" t="str">
        <f ca="1">IFERROR(__xludf.DUMMYFUNCTION("GOOGLETRANSLATE(H2301,""EN"",""ES"")"),"APARATOS Y DISPOSITIVOS DE SEÑALIZACIÓN")</f>
        <v>APARATOS Y DISPOSITIVOS DE SEÑALIZACIÓN</v>
      </c>
      <c r="L2301" s="5" t="str">
        <f ca="1">IFERROR(__xludf.DUMMYFUNCTION("GOOGLETRANSLATE(J2301,""EN"",""ES"")"),"Campanas de ciclo")</f>
        <v>Campanas de ciclo</v>
      </c>
      <c r="M2301" s="8" t="s">
        <v>60</v>
      </c>
      <c r="N2301" s="8"/>
    </row>
    <row r="2302" spans="1:14" ht="11.25" customHeight="1">
      <c r="A2302" s="5" t="s">
        <v>5996</v>
      </c>
      <c r="B2302" s="5" t="s">
        <v>6620</v>
      </c>
      <c r="C2302" s="5" t="s">
        <v>6709</v>
      </c>
      <c r="D2302" s="5" t="s">
        <v>5999</v>
      </c>
      <c r="E2302" s="5" t="s">
        <v>31</v>
      </c>
      <c r="F2302" s="5" t="s">
        <v>6000</v>
      </c>
      <c r="G2302" s="5" t="s">
        <v>6001</v>
      </c>
      <c r="H2302" s="5" t="s">
        <v>6622</v>
      </c>
      <c r="I2302" s="5" t="s">
        <v>6710</v>
      </c>
      <c r="J2302" s="5" t="s">
        <v>6711</v>
      </c>
      <c r="K2302" s="7" t="str">
        <f ca="1">IFERROR(__xludf.DUMMYFUNCTION("GOOGLETRANSLATE(H2302,""EN"",""ES"")"),"APARATOS Y DISPOSITIVOS DE SEÑALIZACIÓN")</f>
        <v>APARATOS Y DISPOSITIVOS DE SEÑALIZACIÓN</v>
      </c>
      <c r="L2302" s="5" t="str">
        <f ca="1">IFERROR(__xludf.DUMMYFUNCTION("GOOGLETRANSLATE(J2302,""EN"",""ES"")"),"Triángulos de avería para automovilistas.")</f>
        <v>Triángulos de avería para automovilistas.</v>
      </c>
      <c r="M2302" s="8" t="s">
        <v>60</v>
      </c>
      <c r="N2302" s="8"/>
    </row>
    <row r="2303" spans="1:14" ht="11.25" customHeight="1">
      <c r="A2303" s="5" t="s">
        <v>5996</v>
      </c>
      <c r="B2303" s="5" t="s">
        <v>6620</v>
      </c>
      <c r="C2303" s="5" t="s">
        <v>6712</v>
      </c>
      <c r="D2303" s="5" t="s">
        <v>5999</v>
      </c>
      <c r="E2303" s="5" t="s">
        <v>31</v>
      </c>
      <c r="F2303" s="5" t="s">
        <v>6000</v>
      </c>
      <c r="G2303" s="5" t="s">
        <v>6001</v>
      </c>
      <c r="H2303" s="5" t="s">
        <v>6622</v>
      </c>
      <c r="I2303" s="5" t="s">
        <v>6713</v>
      </c>
      <c r="J2303" s="5" t="s">
        <v>6714</v>
      </c>
      <c r="K2303" s="7" t="str">
        <f ca="1">IFERROR(__xludf.DUMMYFUNCTION("GOOGLETRANSLATE(H2303,""EN"",""ES"")"),"APARATOS Y DISPOSITIVOS DE SEÑALIZACIÓN")</f>
        <v>APARATOS Y DISPOSITIVOS DE SEÑALIZACIÓN</v>
      </c>
      <c r="L2303" s="5" t="str">
        <f ca="1">IFERROR(__xludf.DUMMYFUNCTION("GOOGLETRANSLATE(J2303,""EN"",""ES"")"),"Marcadores de carril de piscina")</f>
        <v>Marcadores de carril de piscina</v>
      </c>
      <c r="M2303" s="8" t="s">
        <v>60</v>
      </c>
      <c r="N2303" s="8"/>
    </row>
    <row r="2304" spans="1:14" ht="11.25" customHeight="1">
      <c r="A2304" s="5" t="s">
        <v>5996</v>
      </c>
      <c r="B2304" s="5" t="s">
        <v>6620</v>
      </c>
      <c r="C2304" s="5" t="s">
        <v>6715</v>
      </c>
      <c r="D2304" s="5" t="s">
        <v>5999</v>
      </c>
      <c r="E2304" s="5" t="s">
        <v>31</v>
      </c>
      <c r="F2304" s="5" t="s">
        <v>6000</v>
      </c>
      <c r="G2304" s="5" t="s">
        <v>6001</v>
      </c>
      <c r="H2304" s="5" t="s">
        <v>6622</v>
      </c>
      <c r="I2304" s="5" t="s">
        <v>6716</v>
      </c>
      <c r="J2304" s="5" t="s">
        <v>6717</v>
      </c>
      <c r="K2304" s="7" t="str">
        <f ca="1">IFERROR(__xludf.DUMMYFUNCTION("GOOGLETRANSLATE(H2304,""EN"",""ES"")"),"APARATOS Y DISPOSITIVOS DE SEÑALIZACIÓN")</f>
        <v>APARATOS Y DISPOSITIVOS DE SEÑALIZACIÓN</v>
      </c>
      <c r="L2304" s="5" t="str">
        <f ca="1">IFERROR(__xludf.DUMMYFUNCTION("GOOGLETRANSLATE(J2304,""EN"",""ES"")"),"Señales de parada de autobús")</f>
        <v>Señales de parada de autobús</v>
      </c>
      <c r="M2304" s="8" t="s">
        <v>60</v>
      </c>
      <c r="N2304" s="8"/>
    </row>
    <row r="2305" spans="1:14" ht="11.25" customHeight="1">
      <c r="A2305" s="5" t="s">
        <v>5996</v>
      </c>
      <c r="B2305" s="5" t="s">
        <v>6620</v>
      </c>
      <c r="C2305" s="5" t="s">
        <v>6718</v>
      </c>
      <c r="D2305" s="5" t="s">
        <v>5999</v>
      </c>
      <c r="E2305" s="5" t="s">
        <v>31</v>
      </c>
      <c r="F2305" s="5" t="s">
        <v>6000</v>
      </c>
      <c r="G2305" s="5" t="s">
        <v>6001</v>
      </c>
      <c r="H2305" s="5" t="s">
        <v>6622</v>
      </c>
      <c r="I2305" s="5" t="s">
        <v>6719</v>
      </c>
      <c r="J2305" s="5" t="s">
        <v>6720</v>
      </c>
      <c r="K2305" s="7" t="str">
        <f ca="1">IFERROR(__xludf.DUMMYFUNCTION("GOOGLETRANSLATE(H2305,""EN"",""ES"")"),"APARATOS Y DISPOSITIVOS DE SEÑALIZACIÓN")</f>
        <v>APARATOS Y DISPOSITIVOS DE SEÑALIZACIÓN</v>
      </c>
      <c r="L2305" s="5" t="str">
        <f ca="1">IFERROR(__xludf.DUMMYFUNCTION("GOOGLETRANSLATE(J2305,""EN"",""ES"")"),"Señales de tráfico luminosas")</f>
        <v>Señales de tráfico luminosas</v>
      </c>
      <c r="M2305" s="8" t="s">
        <v>60</v>
      </c>
      <c r="N2305" s="8"/>
    </row>
    <row r="2306" spans="1:14" ht="11.25" customHeight="1">
      <c r="A2306" s="5" t="s">
        <v>5996</v>
      </c>
      <c r="B2306" s="5" t="s">
        <v>6620</v>
      </c>
      <c r="C2306" s="5" t="s">
        <v>6721</v>
      </c>
      <c r="D2306" s="5" t="s">
        <v>5999</v>
      </c>
      <c r="E2306" s="5" t="s">
        <v>31</v>
      </c>
      <c r="F2306" s="5" t="s">
        <v>6000</v>
      </c>
      <c r="G2306" s="5" t="s">
        <v>6001</v>
      </c>
      <c r="H2306" s="5" t="s">
        <v>6622</v>
      </c>
      <c r="I2306" s="5" t="s">
        <v>6722</v>
      </c>
      <c r="J2306" s="5" t="s">
        <v>6723</v>
      </c>
      <c r="K2306" s="7" t="str">
        <f ca="1">IFERROR(__xludf.DUMMYFUNCTION("GOOGLETRANSLATE(H2306,""EN"",""ES"")"),"APARATOS Y DISPOSITIVOS DE SEÑALIZACIÓN")</f>
        <v>APARATOS Y DISPOSITIVOS DE SEÑALIZACIÓN</v>
      </c>
      <c r="L2306" s="5" t="str">
        <f ca="1">IFERROR(__xludf.DUMMYFUNCTION("GOOGLETRANSLATE(J2306,""EN"",""ES"")"),"Luces reveladoras")</f>
        <v>Luces reveladoras</v>
      </c>
      <c r="M2306" s="8" t="s">
        <v>60</v>
      </c>
      <c r="N2306" s="8"/>
    </row>
    <row r="2307" spans="1:14" ht="11.25" customHeight="1">
      <c r="A2307" s="5" t="s">
        <v>5996</v>
      </c>
      <c r="B2307" s="5" t="s">
        <v>6620</v>
      </c>
      <c r="C2307" s="5" t="s">
        <v>6721</v>
      </c>
      <c r="D2307" s="5" t="s">
        <v>5999</v>
      </c>
      <c r="E2307" s="5" t="s">
        <v>31</v>
      </c>
      <c r="F2307" s="5" t="s">
        <v>6000</v>
      </c>
      <c r="G2307" s="5" t="s">
        <v>6001</v>
      </c>
      <c r="H2307" s="5" t="s">
        <v>6622</v>
      </c>
      <c r="I2307" s="5" t="s">
        <v>152</v>
      </c>
      <c r="J2307" s="5" t="s">
        <v>6724</v>
      </c>
      <c r="K2307" s="7" t="str">
        <f ca="1">IFERROR(__xludf.DUMMYFUNCTION("GOOGLETRANSLATE(H2307,""EN"",""ES"")"),"APARATOS Y DISPOSITIVOS DE SEÑALIZACIÓN")</f>
        <v>APARATOS Y DISPOSITIVOS DE SEÑALIZACIÓN</v>
      </c>
      <c r="L2307" s="5" t="str">
        <f ca="1">IFERROR(__xludf.DUMMYFUNCTION("GOOGLETRANSLATE(J2307,""EN"",""ES"")"),"N / A")</f>
        <v>N / A</v>
      </c>
      <c r="M2307" s="8" t="s">
        <v>60</v>
      </c>
      <c r="N2307" s="8"/>
    </row>
    <row r="2308" spans="1:14" ht="11.25" customHeight="1">
      <c r="A2308" s="5" t="s">
        <v>5996</v>
      </c>
      <c r="B2308" s="5" t="s">
        <v>6620</v>
      </c>
      <c r="C2308" s="5" t="s">
        <v>6725</v>
      </c>
      <c r="D2308" s="5" t="s">
        <v>5999</v>
      </c>
      <c r="E2308" s="5" t="s">
        <v>31</v>
      </c>
      <c r="F2308" s="5" t="s">
        <v>6000</v>
      </c>
      <c r="G2308" s="5" t="s">
        <v>6001</v>
      </c>
      <c r="H2308" s="5" t="s">
        <v>6622</v>
      </c>
      <c r="I2308" s="5" t="s">
        <v>6726</v>
      </c>
      <c r="J2308" s="5" t="s">
        <v>6727</v>
      </c>
      <c r="K2308" s="7" t="str">
        <f ca="1">IFERROR(__xludf.DUMMYFUNCTION("GOOGLETRANSLATE(H2308,""EN"",""ES"")"),"APARATOS Y DISPOSITIVOS DE SEÑALIZACIÓN")</f>
        <v>APARATOS Y DISPOSITIVOS DE SEÑALIZACIÓN</v>
      </c>
      <c r="L2308" s="5" t="str">
        <f ca="1">IFERROR(__xludf.DUMMYFUNCTION("GOOGLETRANSLATE(J2308,""EN"",""ES"")"),"mazos")</f>
        <v>mazos</v>
      </c>
      <c r="M2308" s="8" t="s">
        <v>60</v>
      </c>
      <c r="N2308" s="8"/>
    </row>
    <row r="2309" spans="1:14" ht="11.25" customHeight="1">
      <c r="A2309" s="5" t="s">
        <v>5996</v>
      </c>
      <c r="B2309" s="5" t="s">
        <v>6620</v>
      </c>
      <c r="C2309" s="5" t="s">
        <v>6728</v>
      </c>
      <c r="D2309" s="5" t="s">
        <v>5999</v>
      </c>
      <c r="E2309" s="5" t="s">
        <v>31</v>
      </c>
      <c r="F2309" s="5" t="s">
        <v>6000</v>
      </c>
      <c r="G2309" s="5" t="s">
        <v>6001</v>
      </c>
      <c r="H2309" s="5" t="s">
        <v>6622</v>
      </c>
      <c r="I2309" s="5" t="s">
        <v>6729</v>
      </c>
      <c r="J2309" s="5" t="s">
        <v>6730</v>
      </c>
      <c r="K2309" s="7" t="str">
        <f ca="1">IFERROR(__xludf.DUMMYFUNCTION("GOOGLETRANSLATE(H2309,""EN"",""ES"")"),"APARATOS Y DISPOSITIVOS DE SEÑALIZACIÓN")</f>
        <v>APARATOS Y DISPOSITIVOS DE SEÑALIZACIÓN</v>
      </c>
      <c r="L2309" s="5" t="str">
        <f ca="1">IFERROR(__xludf.DUMMYFUNCTION("GOOGLETRANSLATE(J2309,""EN"",""ES"")"),"Veletas")</f>
        <v>Veletas</v>
      </c>
      <c r="M2309" s="8" t="s">
        <v>60</v>
      </c>
      <c r="N2309" s="8"/>
    </row>
    <row r="2310" spans="1:14" ht="11.25" customHeight="1">
      <c r="A2310" s="5" t="s">
        <v>5996</v>
      </c>
      <c r="B2310" s="5" t="s">
        <v>6620</v>
      </c>
      <c r="C2310" s="5" t="s">
        <v>6731</v>
      </c>
      <c r="D2310" s="5" t="s">
        <v>5999</v>
      </c>
      <c r="E2310" s="5" t="s">
        <v>31</v>
      </c>
      <c r="F2310" s="5" t="s">
        <v>6000</v>
      </c>
      <c r="G2310" s="5" t="s">
        <v>6001</v>
      </c>
      <c r="H2310" s="5" t="s">
        <v>6622</v>
      </c>
      <c r="I2310" s="5" t="s">
        <v>6732</v>
      </c>
      <c r="J2310" s="5" t="s">
        <v>6733</v>
      </c>
      <c r="K2310" s="7" t="str">
        <f ca="1">IFERROR(__xludf.DUMMYFUNCTION("GOOGLETRANSLATE(H2310,""EN"",""ES"")"),"APARATOS Y DISPOSITIVOS DE SEÑALIZACIÓN")</f>
        <v>APARATOS Y DISPOSITIVOS DE SEÑALIZACIÓN</v>
      </c>
      <c r="L2310" s="5" t="str">
        <f ca="1">IFERROR(__xludf.DUMMYFUNCTION("GOOGLETRANSLATE(J2310,""EN"",""ES"")"),"Señales de paso de peatones")</f>
        <v>Señales de paso de peatones</v>
      </c>
      <c r="M2310" s="8" t="s">
        <v>60</v>
      </c>
      <c r="N2310" s="8"/>
    </row>
    <row r="2311" spans="1:14" ht="11.25" customHeight="1">
      <c r="A2311" s="5" t="s">
        <v>5996</v>
      </c>
      <c r="B2311" s="5" t="s">
        <v>6620</v>
      </c>
      <c r="C2311" s="5" t="s">
        <v>6734</v>
      </c>
      <c r="D2311" s="5" t="s">
        <v>5999</v>
      </c>
      <c r="E2311" s="5" t="s">
        <v>31</v>
      </c>
      <c r="F2311" s="5" t="s">
        <v>6000</v>
      </c>
      <c r="G2311" s="5" t="s">
        <v>6001</v>
      </c>
      <c r="H2311" s="5" t="s">
        <v>6622</v>
      </c>
      <c r="I2311" s="5" t="s">
        <v>6735</v>
      </c>
      <c r="J2311" s="5" t="s">
        <v>6736</v>
      </c>
      <c r="K2311" s="7" t="str">
        <f ca="1">IFERROR(__xludf.DUMMYFUNCTION("GOOGLETRANSLATE(H2311,""EN"",""ES"")"),"APARATOS Y DISPOSITIVOS DE SEÑALIZACIÓN")</f>
        <v>APARATOS Y DISPOSITIVOS DE SEÑALIZACIÓN</v>
      </c>
      <c r="L2311" s="5" t="str">
        <f ca="1">IFERROR(__xludf.DUMMYFUNCTION("GOOGLETRANSLATE(J2311,""EN"",""ES"")"),"Flejes reflectantes")</f>
        <v>Flejes reflectantes</v>
      </c>
      <c r="M2311" s="8" t="s">
        <v>60</v>
      </c>
      <c r="N2311" s="8"/>
    </row>
    <row r="2312" spans="1:14" ht="11.25" customHeight="1">
      <c r="A2312" s="5" t="s">
        <v>5996</v>
      </c>
      <c r="B2312" s="5" t="s">
        <v>6737</v>
      </c>
      <c r="C2312" s="5" t="s">
        <v>6738</v>
      </c>
      <c r="D2312" s="5" t="s">
        <v>5999</v>
      </c>
      <c r="E2312" s="5" t="s">
        <v>31</v>
      </c>
      <c r="F2312" s="5" t="s">
        <v>6000</v>
      </c>
      <c r="G2312" s="5" t="s">
        <v>6001</v>
      </c>
      <c r="H2312" s="5" t="s">
        <v>6739</v>
      </c>
      <c r="I2312" s="5" t="s">
        <v>6740</v>
      </c>
      <c r="J2312" s="5" t="s">
        <v>6741</v>
      </c>
      <c r="K2312" s="7" t="str">
        <f ca="1">IFERROR(__xludf.DUMMYFUNCTION("GOOGLETRANSLATE(H2312,""EN"",""ES"")"),"CARCASAS, CAJAS, ESFERAS, MANECILLAS Y TODAS LAS DEMÁS PARTES Y ACCESORIOS DE INSTRUMENTOS DE MEDIDA, CONTROL Y SEÑALIZACIÓN")</f>
        <v>CARCASAS, CAJAS, ESFERAS, MANECILLAS Y TODAS LAS DEMÁS PARTES Y ACCESORIOS DE INSTRUMENTOS DE MEDIDA, CONTROL Y SEÑALIZACIÓN</v>
      </c>
      <c r="L2312" s="5" t="str">
        <f ca="1">IFERROR(__xludf.DUMMYFUNCTION("GOOGLETRANSLATE(J2312,""EN"",""ES"")"),"Muelles para relojes y relojes")</f>
        <v>Muelles para relojes y relojes</v>
      </c>
      <c r="M2312" s="1" t="s">
        <v>15</v>
      </c>
      <c r="N2312" s="8"/>
    </row>
    <row r="2313" spans="1:14" ht="11.25" customHeight="1">
      <c r="A2313" s="5" t="s">
        <v>5996</v>
      </c>
      <c r="B2313" s="5" t="s">
        <v>6737</v>
      </c>
      <c r="C2313" s="5" t="s">
        <v>6742</v>
      </c>
      <c r="D2313" s="5" t="s">
        <v>5999</v>
      </c>
      <c r="E2313" s="5" t="s">
        <v>31</v>
      </c>
      <c r="F2313" s="5" t="s">
        <v>6000</v>
      </c>
      <c r="G2313" s="5" t="s">
        <v>6001</v>
      </c>
      <c r="H2313" s="5" t="s">
        <v>6739</v>
      </c>
      <c r="I2313" s="5" t="s">
        <v>6743</v>
      </c>
      <c r="J2313" s="5" t="s">
        <v>6744</v>
      </c>
      <c r="K2313" s="7" t="str">
        <f ca="1">IFERROR(__xludf.DUMMYFUNCTION("GOOGLETRANSLATE(H2313,""EN"",""ES"")"),"CARCASAS, CAJAS, ESFERAS, MANECILLAS Y TODAS LAS DEMÁS PARTES Y ACCESORIOS DE INSTRUMENTOS DE MEDIDA, CONTROL Y SEÑALIZACIÓN")</f>
        <v>CARCASAS, CAJAS, ESFERAS, MANECILLAS Y TODAS LAS DEMÁS PARTES Y ACCESORIOS DE INSTRUMENTOS DE MEDIDA, CONTROL Y SEÑALIZACIÓN</v>
      </c>
      <c r="L2313" s="5" t="str">
        <f ca="1">IFERROR(__xludf.DUMMYFUNCTION("GOOGLETRANSLATE(J2313,""EN"",""ES"")"),"Manecillas de diales")</f>
        <v>Manecillas de diales</v>
      </c>
      <c r="M2313" s="1" t="s">
        <v>15</v>
      </c>
      <c r="N2313" s="8"/>
    </row>
    <row r="2314" spans="1:14" ht="11.25" customHeight="1">
      <c r="A2314" s="5" t="s">
        <v>5996</v>
      </c>
      <c r="B2314" s="5" t="s">
        <v>6737</v>
      </c>
      <c r="C2314" s="5" t="s">
        <v>6745</v>
      </c>
      <c r="D2314" s="5" t="s">
        <v>5999</v>
      </c>
      <c r="E2314" s="5" t="s">
        <v>31</v>
      </c>
      <c r="F2314" s="5" t="s">
        <v>6000</v>
      </c>
      <c r="G2314" s="5" t="s">
        <v>6001</v>
      </c>
      <c r="H2314" s="5" t="s">
        <v>6739</v>
      </c>
      <c r="I2314" s="5" t="s">
        <v>6746</v>
      </c>
      <c r="J2314" s="5" t="s">
        <v>6747</v>
      </c>
      <c r="K2314" s="7" t="str">
        <f ca="1">IFERROR(__xludf.DUMMYFUNCTION("GOOGLETRANSLATE(H2314,""EN"",""ES"")"),"CARCASAS, CAJAS, ESFERAS, MANECILLAS Y TODAS LAS DEMÁS PARTES Y ACCESORIOS DE INSTRUMENTOS DE MEDIDA, CONTROL Y SEÑALIZACIÓN")</f>
        <v>CARCASAS, CAJAS, ESFERAS, MANECILLAS Y TODAS LAS DEMÁS PARTES Y ACCESORIOS DE INSTRUMENTOS DE MEDIDA, CONTROL Y SEÑALIZACIÓN</v>
      </c>
      <c r="L2314" s="5" t="str">
        <f ca="1">IFERROR(__xludf.DUMMYFUNCTION("GOOGLETRANSLATE(J2314,""EN"",""ES"")"),"Indicando punteros")</f>
        <v>Indicando punteros</v>
      </c>
      <c r="M2314" s="1" t="s">
        <v>15</v>
      </c>
      <c r="N2314" s="8"/>
    </row>
    <row r="2315" spans="1:14" ht="11.25" customHeight="1">
      <c r="A2315" s="5" t="s">
        <v>5996</v>
      </c>
      <c r="B2315" s="5" t="s">
        <v>6737</v>
      </c>
      <c r="C2315" s="5" t="s">
        <v>6748</v>
      </c>
      <c r="D2315" s="5" t="s">
        <v>5999</v>
      </c>
      <c r="E2315" s="5" t="s">
        <v>31</v>
      </c>
      <c r="F2315" s="5" t="s">
        <v>6000</v>
      </c>
      <c r="G2315" s="5" t="s">
        <v>6001</v>
      </c>
      <c r="H2315" s="5" t="s">
        <v>6739</v>
      </c>
      <c r="I2315" s="5" t="s">
        <v>6749</v>
      </c>
      <c r="J2315" s="5" t="s">
        <v>6750</v>
      </c>
      <c r="K2315" s="7" t="str">
        <f ca="1">IFERROR(__xludf.DUMMYFUNCTION("GOOGLETRANSLATE(H2315,""EN"",""ES"")"),"CARCASAS, CAJAS, ESFERAS, MANECILLAS Y TODAS LAS DEMÁS PARTES Y ACCESORIOS DE INSTRUMENTOS DE MEDIDA, CONTROL Y SEÑALIZACIÓN")</f>
        <v>CARCASAS, CAJAS, ESFERAS, MANECILLAS Y TODAS LAS DEMÁS PARTES Y ACCESORIOS DE INSTRUMENTOS DE MEDIDA, CONTROL Y SEÑALIZACIÓN</v>
      </c>
      <c r="L2315" s="5" t="str">
        <f ca="1">IFERROR(__xludf.DUMMYFUNCTION("GOOGLETRANSLATE(J2315,""EN"",""ES"")"),"Lazos de reloj de bolsillo")</f>
        <v>Lazos de reloj de bolsillo</v>
      </c>
      <c r="M2315" s="1" t="s">
        <v>15</v>
      </c>
      <c r="N2315" s="8"/>
    </row>
    <row r="2316" spans="1:14" ht="11.25" customHeight="1">
      <c r="A2316" s="5" t="s">
        <v>5996</v>
      </c>
      <c r="B2316" s="5" t="s">
        <v>6737</v>
      </c>
      <c r="C2316" s="5" t="s">
        <v>6751</v>
      </c>
      <c r="D2316" s="5" t="s">
        <v>5999</v>
      </c>
      <c r="E2316" s="5" t="s">
        <v>31</v>
      </c>
      <c r="F2316" s="5" t="s">
        <v>6000</v>
      </c>
      <c r="G2316" s="5" t="s">
        <v>6001</v>
      </c>
      <c r="H2316" s="5" t="s">
        <v>6739</v>
      </c>
      <c r="I2316" s="5" t="s">
        <v>6752</v>
      </c>
      <c r="J2316" s="5" t="s">
        <v>6753</v>
      </c>
      <c r="K2316" s="7" t="str">
        <f ca="1">IFERROR(__xludf.DUMMYFUNCTION("GOOGLETRANSLATE(H2316,""EN"",""ES"")"),"CARCASAS, CAJAS, ESFERAS, MANECILLAS Y TODAS LAS DEMÁS PARTES Y ACCESORIOS DE INSTRUMENTOS DE MEDIDA, CONTROL Y SEÑALIZACIÓN")</f>
        <v>CARCASAS, CAJAS, ESFERAS, MANECILLAS Y TODAS LAS DEMÁS PARTES Y ACCESORIOS DE INSTRUMENTOS DE MEDIDA, CONTROL Y SEÑALIZACIÓN</v>
      </c>
      <c r="L2316" s="5" t="str">
        <f ca="1">IFERROR(__xludf.DUMMYFUNCTION("GOOGLETRANSLATE(J2316,""EN"",""ES"")"),"Péndulos para relojes")</f>
        <v>Péndulos para relojes</v>
      </c>
      <c r="M2316" s="1" t="s">
        <v>15</v>
      </c>
      <c r="N2316" s="8"/>
    </row>
    <row r="2317" spans="1:14" ht="11.25" customHeight="1">
      <c r="A2317" s="5" t="s">
        <v>5996</v>
      </c>
      <c r="B2317" s="5" t="s">
        <v>6737</v>
      </c>
      <c r="C2317" s="5" t="s">
        <v>6754</v>
      </c>
      <c r="D2317" s="5" t="s">
        <v>5999</v>
      </c>
      <c r="E2317" s="5" t="s">
        <v>31</v>
      </c>
      <c r="F2317" s="5" t="s">
        <v>6000</v>
      </c>
      <c r="G2317" s="5" t="s">
        <v>6001</v>
      </c>
      <c r="H2317" s="5" t="s">
        <v>6739</v>
      </c>
      <c r="I2317" s="5" t="s">
        <v>6755</v>
      </c>
      <c r="J2317" s="5" t="s">
        <v>6756</v>
      </c>
      <c r="K2317" s="7" t="str">
        <f ca="1">IFERROR(__xludf.DUMMYFUNCTION("GOOGLETRANSLATE(H2317,""EN"",""ES"")"),"CARCASAS, CAJAS, ESFERAS, MANECILLAS Y TODAS LAS DEMÁS PARTES Y ACCESORIOS DE INSTRUMENTOS DE MEDIDA, CONTROL Y SEÑALIZACIÓN")</f>
        <v>CARCASAS, CAJAS, ESFERAS, MANECILLAS Y TODAS LAS DEMÁS PARTES Y ACCESORIOS DE INSTRUMENTOS DE MEDIDA, CONTROL Y SEÑALIZACIÓN</v>
      </c>
      <c r="L2317" s="5" t="str">
        <f ca="1">IFERROR(__xludf.DUMMYFUNCTION("GOOGLETRANSLATE(J2317,""EN"",""ES"")"),"Barriles [relojes y relojes]")</f>
        <v>Barriles [relojes y relojes]</v>
      </c>
      <c r="M2317" s="1" t="s">
        <v>15</v>
      </c>
      <c r="N2317" s="8"/>
    </row>
    <row r="2318" spans="1:14" ht="11.25" customHeight="1">
      <c r="A2318" s="5" t="s">
        <v>5996</v>
      </c>
      <c r="B2318" s="5" t="s">
        <v>6737</v>
      </c>
      <c r="C2318" s="5" t="s">
        <v>6757</v>
      </c>
      <c r="D2318" s="5" t="s">
        <v>5999</v>
      </c>
      <c r="E2318" s="5" t="s">
        <v>31</v>
      </c>
      <c r="F2318" s="5" t="s">
        <v>6000</v>
      </c>
      <c r="G2318" s="5" t="s">
        <v>6001</v>
      </c>
      <c r="H2318" s="5" t="s">
        <v>6739</v>
      </c>
      <c r="I2318" s="5" t="s">
        <v>6758</v>
      </c>
      <c r="J2318" s="5" t="s">
        <v>6759</v>
      </c>
      <c r="K2318" s="7" t="str">
        <f ca="1">IFERROR(__xludf.DUMMYFUNCTION("GOOGLETRANSLATE(H2318,""EN"",""ES"")"),"CARCASAS, CAJAS, ESFERAS, MANECILLAS Y TODAS LAS DEMÁS PARTES Y ACCESORIOS DE INSTRUMENTOS DE MEDIDA, CONTROL Y SEÑALIZACIÓN")</f>
        <v>CARCASAS, CAJAS, ESFERAS, MANECILLAS Y TODAS LAS DEMÁS PARTES Y ACCESORIOS DE INSTRUMENTOS DE MEDIDA, CONTROL Y SEÑALIZACIÓN</v>
      </c>
      <c r="L2318" s="5" t="str">
        <f ca="1">IFERROR(__xludf.DUMMYFUNCTION("GOOGLETRANSLATE(J2318,""EN"",""ES"")"),"Cajas de relojes")</f>
        <v>Cajas de relojes</v>
      </c>
      <c r="M2318" s="1" t="s">
        <v>15</v>
      </c>
      <c r="N2318" s="8"/>
    </row>
    <row r="2319" spans="1:14" ht="11.25" customHeight="1">
      <c r="A2319" s="5" t="s">
        <v>5996</v>
      </c>
      <c r="B2319" s="5" t="s">
        <v>6737</v>
      </c>
      <c r="C2319" s="5" t="s">
        <v>6760</v>
      </c>
      <c r="D2319" s="5" t="s">
        <v>5999</v>
      </c>
      <c r="E2319" s="5" t="s">
        <v>31</v>
      </c>
      <c r="F2319" s="5" t="s">
        <v>6000</v>
      </c>
      <c r="G2319" s="5" t="s">
        <v>6001</v>
      </c>
      <c r="H2319" s="5" t="s">
        <v>6739</v>
      </c>
      <c r="I2319" s="5" t="s">
        <v>6761</v>
      </c>
      <c r="J2319" s="5" t="s">
        <v>6762</v>
      </c>
      <c r="K2319" s="7" t="str">
        <f ca="1">IFERROR(__xludf.DUMMYFUNCTION("GOOGLETRANSLATE(H2319,""EN"",""ES"")"),"CARCASAS, CAJAS, ESFERAS, MANECILLAS Y TODAS LAS DEMÁS PARTES Y ACCESORIOS DE INSTRUMENTOS DE MEDIDA, CONTROL Y SEÑALIZACIÓN")</f>
        <v>CARCASAS, CAJAS, ESFERAS, MANECILLAS Y TODAS LAS DEMÁS PARTES Y ACCESORIOS DE INSTRUMENTOS DE MEDIDA, CONTROL Y SEÑALIZACIÓN</v>
      </c>
      <c r="L2319" s="5" t="str">
        <f ca="1">IFERROR(__xludf.DUMMYFUNCTION("GOOGLETRANSLATE(J2319,""EN"",""ES"")"),"ver pulseras")</f>
        <v>ver pulseras</v>
      </c>
      <c r="M2319" s="1" t="s">
        <v>15</v>
      </c>
      <c r="N2319" s="8"/>
    </row>
    <row r="2320" spans="1:14" ht="11.25" customHeight="1">
      <c r="A2320" s="5" t="s">
        <v>5996</v>
      </c>
      <c r="B2320" s="5" t="s">
        <v>6737</v>
      </c>
      <c r="C2320" s="5" t="s">
        <v>6760</v>
      </c>
      <c r="D2320" s="5" t="s">
        <v>5999</v>
      </c>
      <c r="E2320" s="5" t="s">
        <v>31</v>
      </c>
      <c r="F2320" s="5" t="s">
        <v>6000</v>
      </c>
      <c r="G2320" s="5" t="s">
        <v>6001</v>
      </c>
      <c r="H2320" s="5" t="s">
        <v>6739</v>
      </c>
      <c r="I2320" s="5" t="s">
        <v>6763</v>
      </c>
      <c r="J2320" s="5" t="s">
        <v>152</v>
      </c>
      <c r="K2320" s="7" t="str">
        <f ca="1">IFERROR(__xludf.DUMMYFUNCTION("GOOGLETRANSLATE(H2320,""EN"",""ES"")"),"CARCASAS, CAJAS, ESFERAS, MANECILLAS Y TODAS LAS DEMÁS PARTES Y ACCESORIOS DE INSTRUMENTOS DE MEDIDA, CONTROL Y SEÑALIZACIÓN")</f>
        <v>CARCASAS, CAJAS, ESFERAS, MANECILLAS Y TODAS LAS DEMÁS PARTES Y ACCESORIOS DE INSTRUMENTOS DE MEDIDA, CONTROL Y SEÑALIZACIÓN</v>
      </c>
      <c r="L2320" s="5" t="str">
        <f ca="1">IFERROR(__xludf.DUMMYFUNCTION("GOOGLETRANSLATE(J2320,""EN"",""ES"")"),"Correas de reloj de pulsera")</f>
        <v>Correas de reloj de pulsera</v>
      </c>
      <c r="M2320" s="1" t="s">
        <v>15</v>
      </c>
      <c r="N2320" s="8"/>
    </row>
    <row r="2321" spans="1:14" ht="11.25" customHeight="1">
      <c r="A2321" s="5" t="s">
        <v>5996</v>
      </c>
      <c r="B2321" s="5" t="s">
        <v>6737</v>
      </c>
      <c r="C2321" s="5" t="s">
        <v>6764</v>
      </c>
      <c r="D2321" s="5" t="s">
        <v>5999</v>
      </c>
      <c r="E2321" s="5" t="s">
        <v>31</v>
      </c>
      <c r="F2321" s="5" t="s">
        <v>6000</v>
      </c>
      <c r="G2321" s="5" t="s">
        <v>6001</v>
      </c>
      <c r="H2321" s="5" t="s">
        <v>6739</v>
      </c>
      <c r="I2321" s="5" t="s">
        <v>6765</v>
      </c>
      <c r="J2321" s="5" t="s">
        <v>6766</v>
      </c>
      <c r="K2321" s="7" t="str">
        <f ca="1">IFERROR(__xludf.DUMMYFUNCTION("GOOGLETRANSLATE(H2321,""EN"",""ES"")"),"CARCASAS, CAJAS, ESFERAS, MANECILLAS Y TODAS LAS DEMÁS PARTES Y ACCESORIOS DE INSTRUMENTOS DE MEDIDA, CONTROL Y SEÑALIZACIÓN")</f>
        <v>CARCASAS, CAJAS, ESFERAS, MANECILLAS Y TODAS LAS DEMÁS PARTES Y ACCESORIOS DE INSTRUMENTOS DE MEDIDA, CONTROL Y SEÑALIZACIÓN</v>
      </c>
      <c r="L2321" s="5" t="str">
        <f ca="1">IFERROR(__xludf.DUMMYFUNCTION("GOOGLETRANSLATE(J2321,""EN"",""ES"")"),"Diales para instrumentos de medida, control y señalización.")</f>
        <v>Diales para instrumentos de medida, control y señalización.</v>
      </c>
      <c r="M2321" s="1" t="s">
        <v>15</v>
      </c>
      <c r="N2321" s="8"/>
    </row>
    <row r="2322" spans="1:14" ht="11.25" customHeight="1">
      <c r="A2322" s="5" t="s">
        <v>5996</v>
      </c>
      <c r="B2322" s="5" t="s">
        <v>6737</v>
      </c>
      <c r="C2322" s="5" t="s">
        <v>6767</v>
      </c>
      <c r="D2322" s="5" t="s">
        <v>5999</v>
      </c>
      <c r="E2322" s="5" t="s">
        <v>31</v>
      </c>
      <c r="F2322" s="5" t="s">
        <v>6000</v>
      </c>
      <c r="G2322" s="5" t="s">
        <v>6001</v>
      </c>
      <c r="H2322" s="5" t="s">
        <v>6739</v>
      </c>
      <c r="I2322" s="5" t="s">
        <v>6768</v>
      </c>
      <c r="J2322" s="5" t="s">
        <v>6769</v>
      </c>
      <c r="K2322" s="7" t="str">
        <f ca="1">IFERROR(__xludf.DUMMYFUNCTION("GOOGLETRANSLATE(H2322,""EN"",""ES"")"),"CARCASAS, CAJAS, ESFERAS, MANECILLAS Y TODAS LAS DEMÁS PARTES Y ACCESORIOS DE INSTRUMENTOS DE MEDIDA, CONTROL Y SEÑALIZACIÓN")</f>
        <v>CARCASAS, CAJAS, ESFERAS, MANECILLAS Y TODAS LAS DEMÁS PARTES Y ACCESORIOS DE INSTRUMENTOS DE MEDIDA, CONTROL Y SEÑALIZACIÓN</v>
      </c>
      <c r="L2322" s="5" t="str">
        <f ca="1">IFERROR(__xludf.DUMMYFUNCTION("GOOGLETRANSLATE(J2322,""EN"",""ES"")"),"cadenas de reloj")</f>
        <v>cadenas de reloj</v>
      </c>
      <c r="M2322" s="1" t="s">
        <v>15</v>
      </c>
      <c r="N2322" s="8"/>
    </row>
    <row r="2323" spans="1:14" ht="11.25" customHeight="1">
      <c r="A2323" s="5" t="s">
        <v>5996</v>
      </c>
      <c r="B2323" s="5" t="s">
        <v>6737</v>
      </c>
      <c r="C2323" s="5" t="s">
        <v>6770</v>
      </c>
      <c r="D2323" s="5" t="s">
        <v>5999</v>
      </c>
      <c r="E2323" s="5" t="s">
        <v>31</v>
      </c>
      <c r="F2323" s="5" t="s">
        <v>6000</v>
      </c>
      <c r="G2323" s="5" t="s">
        <v>6001</v>
      </c>
      <c r="H2323" s="5" t="s">
        <v>6739</v>
      </c>
      <c r="I2323" s="5" t="s">
        <v>6771</v>
      </c>
      <c r="J2323" s="5" t="s">
        <v>6772</v>
      </c>
      <c r="K2323" s="7" t="str">
        <f ca="1">IFERROR(__xludf.DUMMYFUNCTION("GOOGLETRANSLATE(H2323,""EN"",""ES"")"),"CARCASAS, CAJAS, ESFERAS, MANECILLAS Y TODAS LAS DEMÁS PARTES Y ACCESORIOS DE INSTRUMENTOS DE MEDIDA, CONTROL Y SEÑALIZACIÓN")</f>
        <v>CARCASAS, CAJAS, ESFERAS, MANECILLAS Y TODAS LAS DEMÁS PARTES Y ACCESORIOS DE INSTRUMENTOS DE MEDIDA, CONTROL Y SEÑALIZACIÓN</v>
      </c>
      <c r="L2323" s="5" t="str">
        <f ca="1">IFERROR(__xludf.DUMMYFUNCTION("GOOGLETRANSLATE(J2323,""EN"",""ES"")"),"Marcos para movimientos [relojes y relojes]")</f>
        <v>Marcos para movimientos [relojes y relojes]</v>
      </c>
      <c r="M2323" s="1" t="s">
        <v>15</v>
      </c>
      <c r="N2323" s="8"/>
    </row>
    <row r="2324" spans="1:14" ht="11.25" customHeight="1">
      <c r="A2324" s="5" t="s">
        <v>5996</v>
      </c>
      <c r="B2324" s="5" t="s">
        <v>6737</v>
      </c>
      <c r="C2324" s="5" t="s">
        <v>6773</v>
      </c>
      <c r="D2324" s="5" t="s">
        <v>5999</v>
      </c>
      <c r="E2324" s="5" t="s">
        <v>31</v>
      </c>
      <c r="F2324" s="5" t="s">
        <v>6000</v>
      </c>
      <c r="G2324" s="5" t="s">
        <v>6001</v>
      </c>
      <c r="H2324" s="5" t="s">
        <v>6739</v>
      </c>
      <c r="I2324" s="5" t="s">
        <v>6774</v>
      </c>
      <c r="J2324" s="5" t="s">
        <v>6775</v>
      </c>
      <c r="K2324" s="7" t="str">
        <f ca="1">IFERROR(__xludf.DUMMYFUNCTION("GOOGLETRANSLATE(H2324,""EN"",""ES"")"),"CARCASAS, CAJAS, ESFERAS, MANECILLAS Y TODAS LAS DEMÁS PARTES Y ACCESORIOS DE INSTRUMENTOS DE MEDIDA, CONTROL Y SEÑALIZACIÓN")</f>
        <v>CARCASAS, CAJAS, ESFERAS, MANECILLAS Y TODAS LAS DEMÁS PARTES Y ACCESORIOS DE INSTRUMENTOS DE MEDIDA, CONTROL Y SEÑALIZACIÓN</v>
      </c>
      <c r="L2324" s="5" t="str">
        <f ca="1">IFERROR(__xludf.DUMMYFUNCTION("GOOGLETRANSLATE(J2324,""EN"",""ES"")"),"Engastes de joyas [relojes y relojes]")</f>
        <v>Engastes de joyas [relojes y relojes]</v>
      </c>
      <c r="M2324" s="1" t="s">
        <v>15</v>
      </c>
      <c r="N2324" s="8"/>
    </row>
    <row r="2325" spans="1:14" ht="11.25" customHeight="1">
      <c r="A2325" s="5" t="s">
        <v>5996</v>
      </c>
      <c r="B2325" s="5" t="s">
        <v>6737</v>
      </c>
      <c r="C2325" s="5" t="s">
        <v>6776</v>
      </c>
      <c r="D2325" s="5" t="s">
        <v>5999</v>
      </c>
      <c r="E2325" s="5" t="s">
        <v>31</v>
      </c>
      <c r="F2325" s="5" t="s">
        <v>6000</v>
      </c>
      <c r="G2325" s="5" t="s">
        <v>6001</v>
      </c>
      <c r="H2325" s="5" t="s">
        <v>6739</v>
      </c>
      <c r="I2325" s="5" t="s">
        <v>6777</v>
      </c>
      <c r="J2325" s="5" t="s">
        <v>6778</v>
      </c>
      <c r="K2325" s="7" t="str">
        <f ca="1">IFERROR(__xludf.DUMMYFUNCTION("GOOGLETRANSLATE(H2325,""EN"",""ES"")"),"CARCASAS, CAJAS, ESFERAS, MANECILLAS Y TODAS LAS DEMÁS PARTES Y ACCESORIOS DE INSTRUMENTOS DE MEDIDA, CONTROL Y SEÑALIZACIÓN")</f>
        <v>CARCASAS, CAJAS, ESFERAS, MANECILLAS Y TODAS LAS DEMÁS PARTES Y ACCESORIOS DE INSTRUMENTOS DE MEDIDA, CONTROL Y SEÑALIZACIÓN</v>
      </c>
      <c r="L2325" s="5" t="str">
        <f ca="1">IFERROR(__xludf.DUMMYFUNCTION("GOOGLETRANSLATE(J2325,""EN"",""ES"")"),"Coronas de cuerda para relojes")</f>
        <v>Coronas de cuerda para relojes</v>
      </c>
      <c r="M2325" s="1" t="s">
        <v>15</v>
      </c>
      <c r="N2325" s="8"/>
    </row>
    <row r="2326" spans="1:14" ht="11.25" customHeight="1">
      <c r="A2326" s="5" t="s">
        <v>5996</v>
      </c>
      <c r="B2326" s="5" t="s">
        <v>6737</v>
      </c>
      <c r="C2326" s="5" t="s">
        <v>6779</v>
      </c>
      <c r="D2326" s="5" t="s">
        <v>5999</v>
      </c>
      <c r="E2326" s="5" t="s">
        <v>31</v>
      </c>
      <c r="F2326" s="5" t="s">
        <v>6000</v>
      </c>
      <c r="G2326" s="5" t="s">
        <v>6001</v>
      </c>
      <c r="H2326" s="5" t="s">
        <v>6739</v>
      </c>
      <c r="I2326" s="5" t="s">
        <v>6780</v>
      </c>
      <c r="J2326" s="5" t="s">
        <v>6781</v>
      </c>
      <c r="K2326" s="7" t="str">
        <f ca="1">IFERROR(__xludf.DUMMYFUNCTION("GOOGLETRANSLATE(H2326,""EN"",""ES"")"),"CARCASAS, CAJAS, ESFERAS, MANECILLAS Y TODAS LAS DEMÁS PARTES Y ACCESORIOS DE INSTRUMENTOS DE MEDIDA, CONTROL Y SEÑALIZACIÓN")</f>
        <v>CARCASAS, CAJAS, ESFERAS, MANECILLAS Y TODAS LAS DEMÁS PARTES Y ACCESORIOS DE INSTRUMENTOS DE MEDIDA, CONTROL Y SEÑALIZACIÓN</v>
      </c>
      <c r="L2326" s="5" t="str">
        <f ca="1">IFERROR(__xludf.DUMMYFUNCTION("GOOGLETRANSLATE(J2326,""EN"",""ES"")"),"Escapes [relojes y relojes]")</f>
        <v>Escapes [relojes y relojes]</v>
      </c>
      <c r="M2326" s="1" t="s">
        <v>15</v>
      </c>
      <c r="N2326" s="8"/>
    </row>
    <row r="2327" spans="1:14" ht="11.25" customHeight="1">
      <c r="A2327" s="5" t="s">
        <v>5996</v>
      </c>
      <c r="B2327" s="5" t="s">
        <v>6737</v>
      </c>
      <c r="C2327" s="5" t="s">
        <v>6782</v>
      </c>
      <c r="D2327" s="5" t="s">
        <v>5999</v>
      </c>
      <c r="E2327" s="5" t="s">
        <v>31</v>
      </c>
      <c r="F2327" s="5" t="s">
        <v>6000</v>
      </c>
      <c r="G2327" s="5" t="s">
        <v>6001</v>
      </c>
      <c r="H2327" s="5" t="s">
        <v>6739</v>
      </c>
      <c r="I2327" s="5" t="s">
        <v>6783</v>
      </c>
      <c r="J2327" s="5" t="s">
        <v>6784</v>
      </c>
      <c r="K2327" s="7" t="str">
        <f ca="1">IFERROR(__xludf.DUMMYFUNCTION("GOOGLETRANSLATE(H2327,""EN"",""ES"")"),"CARCASAS, CAJAS, ESFERAS, MANECILLAS Y TODAS LAS DEMÁS PARTES Y ACCESORIOS DE INSTRUMENTOS DE MEDIDA, CONTROL Y SEÑALIZACIÓN")</f>
        <v>CARCASAS, CAJAS, ESFERAS, MANECILLAS Y TODAS LAS DEMÁS PARTES Y ACCESORIOS DE INSTRUMENTOS DE MEDIDA, CONTROL Y SEÑALIZACIÓN</v>
      </c>
      <c r="L2327" s="5" t="str">
        <f ca="1">IFERROR(__xludf.DUMMYFUNCTION("GOOGLETRANSLATE(J2327,""EN"",""ES"")"),"ver llantas")</f>
        <v>ver llantas</v>
      </c>
      <c r="M2327" s="1" t="s">
        <v>15</v>
      </c>
      <c r="N2327" s="8"/>
    </row>
    <row r="2328" spans="1:14" ht="11.25" customHeight="1">
      <c r="A2328" s="5" t="s">
        <v>5996</v>
      </c>
      <c r="B2328" s="5" t="s">
        <v>6737</v>
      </c>
      <c r="C2328" s="5" t="s">
        <v>6785</v>
      </c>
      <c r="D2328" s="5" t="s">
        <v>5999</v>
      </c>
      <c r="E2328" s="5" t="s">
        <v>31</v>
      </c>
      <c r="F2328" s="5" t="s">
        <v>6000</v>
      </c>
      <c r="G2328" s="5" t="s">
        <v>6001</v>
      </c>
      <c r="H2328" s="5" t="s">
        <v>6739</v>
      </c>
      <c r="I2328" s="5" t="s">
        <v>6786</v>
      </c>
      <c r="J2328" s="5" t="s">
        <v>6787</v>
      </c>
      <c r="K2328" s="7" t="str">
        <f ca="1">IFERROR(__xludf.DUMMYFUNCTION("GOOGLETRANSLATE(H2328,""EN"",""ES"")"),"CARCASAS, CAJAS, ESFERAS, MANECILLAS Y TODAS LAS DEMÁS PARTES Y ACCESORIOS DE INSTRUMENTOS DE MEDIDA, CONTROL Y SEÑALIZACIÓN")</f>
        <v>CARCASAS, CAJAS, ESFERAS, MANECILLAS Y TODAS LAS DEMÁS PARTES Y ACCESORIOS DE INSTRUMENTOS DE MEDIDA, CONTROL Y SEÑALIZACIÓN</v>
      </c>
      <c r="L2328" s="5" t="str">
        <f ca="1">IFERROR(__xludf.DUMMYFUNCTION("GOOGLETRANSLATE(J2328,""EN"",""ES"")"),"Movimientos para relojes y relojes.")</f>
        <v>Movimientos para relojes y relojes.</v>
      </c>
      <c r="M2328" s="1" t="s">
        <v>15</v>
      </c>
      <c r="N2328" s="8"/>
    </row>
    <row r="2329" spans="1:14" ht="11.25" customHeight="1">
      <c r="A2329" s="5" t="s">
        <v>5996</v>
      </c>
      <c r="B2329" s="5" t="s">
        <v>6737</v>
      </c>
      <c r="C2329" s="5" t="s">
        <v>6788</v>
      </c>
      <c r="D2329" s="5" t="s">
        <v>5999</v>
      </c>
      <c r="E2329" s="5" t="s">
        <v>31</v>
      </c>
      <c r="F2329" s="5" t="s">
        <v>6000</v>
      </c>
      <c r="G2329" s="5" t="s">
        <v>6001</v>
      </c>
      <c r="H2329" s="5" t="s">
        <v>6739</v>
      </c>
      <c r="I2329" s="5" t="s">
        <v>6789</v>
      </c>
      <c r="J2329" s="5" t="s">
        <v>6790</v>
      </c>
      <c r="K2329" s="7" t="str">
        <f ca="1">IFERROR(__xludf.DUMMYFUNCTION("GOOGLETRANSLATE(H2329,""EN"",""ES"")"),"CARCASAS, CAJAS, ESFERAS, MANECILLAS Y TODAS LAS DEMÁS PARTES Y ACCESORIOS DE INSTRUMENTOS DE MEDIDA, CONTROL Y SEÑALIZACIÓN")</f>
        <v>CARCASAS, CAJAS, ESFERAS, MANECILLAS Y TODAS LAS DEMÁS PARTES Y ACCESORIOS DE INSTRUMENTOS DE MEDIDA, CONTROL Y SEÑALIZACIÓN</v>
      </c>
      <c r="L2329" s="5" t="str">
        <f ca="1">IFERROR(__xludf.DUMMYFUNCTION("GOOGLETRANSLATE(J2329,""EN"",""ES"")"),"Joyas para relojes y mecanismos de relojería.")</f>
        <v>Joyas para relojes y mecanismos de relojería.</v>
      </c>
      <c r="M2329" s="1" t="s">
        <v>15</v>
      </c>
      <c r="N2329" s="8"/>
    </row>
    <row r="2330" spans="1:14" ht="11.25" customHeight="1">
      <c r="A2330" s="5" t="s">
        <v>5996</v>
      </c>
      <c r="B2330" s="5" t="s">
        <v>6737</v>
      </c>
      <c r="C2330" s="5" t="s">
        <v>6791</v>
      </c>
      <c r="D2330" s="5" t="s">
        <v>5999</v>
      </c>
      <c r="E2330" s="5" t="s">
        <v>31</v>
      </c>
      <c r="F2330" s="5" t="s">
        <v>6000</v>
      </c>
      <c r="G2330" s="5" t="s">
        <v>6001</v>
      </c>
      <c r="H2330" s="5" t="s">
        <v>6739</v>
      </c>
      <c r="I2330" s="5" t="s">
        <v>6792</v>
      </c>
      <c r="J2330" s="5" t="s">
        <v>6793</v>
      </c>
      <c r="K2330" s="7" t="str">
        <f ca="1">IFERROR(__xludf.DUMMYFUNCTION("GOOGLETRANSLATE(H2330,""EN"",""ES"")"),"CARCASAS, CAJAS, ESFERAS, MANECILLAS Y TODAS LAS DEMÁS PARTES Y ACCESORIOS DE INSTRUMENTOS DE MEDIDA, CONTROL Y SEÑALIZACIÓN")</f>
        <v>CARCASAS, CAJAS, ESFERAS, MANECILLAS Y TODAS LAS DEMÁS PARTES Y ACCESORIOS DE INSTRUMENTOS DE MEDIDA, CONTROL Y SEÑALIZACIÓN</v>
      </c>
      <c r="L2330" s="5" t="str">
        <f ca="1">IFERROR(__xludf.DUMMYFUNCTION("GOOGLETRANSLATE(J2330,""EN"",""ES"")"),"Pivotes para relojes y relojes")</f>
        <v>Pivotes para relojes y relojes</v>
      </c>
      <c r="M2330" s="1" t="s">
        <v>15</v>
      </c>
      <c r="N2330" s="8"/>
    </row>
    <row r="2331" spans="1:14" ht="11.25" customHeight="1">
      <c r="A2331" s="5" t="s">
        <v>5996</v>
      </c>
      <c r="B2331" s="5" t="s">
        <v>6737</v>
      </c>
      <c r="C2331" s="5" t="s">
        <v>6794</v>
      </c>
      <c r="D2331" s="5" t="s">
        <v>5999</v>
      </c>
      <c r="E2331" s="5" t="s">
        <v>31</v>
      </c>
      <c r="F2331" s="5" t="s">
        <v>6000</v>
      </c>
      <c r="G2331" s="5" t="s">
        <v>6001</v>
      </c>
      <c r="H2331" s="5" t="s">
        <v>6739</v>
      </c>
      <c r="I2331" s="5" t="s">
        <v>6795</v>
      </c>
      <c r="J2331" s="5" t="s">
        <v>6796</v>
      </c>
      <c r="K2331" s="7" t="str">
        <f ca="1">IFERROR(__xludf.DUMMYFUNCTION("GOOGLETRANSLATE(H2331,""EN"",""ES"")"),"CARCASAS, CAJAS, ESFERAS, MANECILLAS Y TODAS LAS DEMÁS PARTES Y ACCESORIOS DE INSTRUMENTOS DE MEDIDA, CONTROL Y SEÑALIZACIÓN")</f>
        <v>CARCASAS, CAJAS, ESFERAS, MANECILLAS Y TODAS LAS DEMÁS PARTES Y ACCESORIOS DE INSTRUMENTOS DE MEDIDA, CONTROL Y SEÑALIZACIÓN</v>
      </c>
      <c r="L2331" s="5" t="str">
        <f ca="1">IFERROR(__xludf.DUMMYFUNCTION("GOOGLETRANSLATE(J2331,""EN"",""ES"")"),"Eslabones para pulseras de reloj.")</f>
        <v>Eslabones para pulseras de reloj.</v>
      </c>
      <c r="M2331" s="1" t="s">
        <v>15</v>
      </c>
      <c r="N2331" s="8"/>
    </row>
    <row r="2332" spans="1:14" ht="11.25" customHeight="1">
      <c r="A2332" s="5" t="s">
        <v>5996</v>
      </c>
      <c r="B2332" s="5" t="s">
        <v>6737</v>
      </c>
      <c r="C2332" s="5" t="s">
        <v>6797</v>
      </c>
      <c r="D2332" s="5" t="s">
        <v>5999</v>
      </c>
      <c r="E2332" s="5" t="s">
        <v>31</v>
      </c>
      <c r="F2332" s="5" t="s">
        <v>6000</v>
      </c>
      <c r="G2332" s="5" t="s">
        <v>6001</v>
      </c>
      <c r="H2332" s="5" t="s">
        <v>6739</v>
      </c>
      <c r="I2332" s="5" t="s">
        <v>6798</v>
      </c>
      <c r="J2332" s="5" t="s">
        <v>6799</v>
      </c>
      <c r="K2332" s="7" t="str">
        <f ca="1">IFERROR(__xludf.DUMMYFUNCTION("GOOGLETRANSLATE(H2332,""EN"",""ES"")"),"CARCASAS, CAJAS, ESFERAS, MANECILLAS Y TODAS LAS DEMÁS PARTES Y ACCESORIOS DE INSTRUMENTOS DE MEDIDA, CONTROL Y SEÑALIZACIÓN")</f>
        <v>CARCASAS, CAJAS, ESFERAS, MANECILLAS Y TODAS LAS DEMÁS PARTES Y ACCESORIOS DE INSTRUMENTOS DE MEDIDA, CONTROL Y SEÑALIZACIÓN</v>
      </c>
      <c r="L2332" s="5" t="str">
        <f ca="1">IFERROR(__xludf.DUMMYFUNCTION("GOOGLETRANSLATE(J2332,""EN"",""ES"")"),"Cierres para pulseras de reloj.")</f>
        <v>Cierres para pulseras de reloj.</v>
      </c>
      <c r="M2332" s="1" t="s">
        <v>15</v>
      </c>
      <c r="N2332" s="8"/>
    </row>
    <row r="2333" spans="1:14" ht="11.25" customHeight="1">
      <c r="A2333" s="5" t="s">
        <v>5996</v>
      </c>
      <c r="B2333" s="5" t="s">
        <v>6737</v>
      </c>
      <c r="C2333" s="5" t="s">
        <v>6797</v>
      </c>
      <c r="D2333" s="5" t="s">
        <v>5999</v>
      </c>
      <c r="E2333" s="5" t="s">
        <v>31</v>
      </c>
      <c r="F2333" s="5" t="s">
        <v>6000</v>
      </c>
      <c r="G2333" s="5" t="s">
        <v>6001</v>
      </c>
      <c r="H2333" s="5" t="s">
        <v>6739</v>
      </c>
      <c r="I2333" s="5" t="s">
        <v>6800</v>
      </c>
      <c r="J2333" s="5" t="s">
        <v>152</v>
      </c>
      <c r="K2333" s="7" t="str">
        <f ca="1">IFERROR(__xludf.DUMMYFUNCTION("GOOGLETRANSLATE(H2333,""EN"",""ES"")"),"CARCASAS, CAJAS, ESFERAS, MANECILLAS Y TODAS LAS DEMÁS PARTES Y ACCESORIOS DE INSTRUMENTOS DE MEDIDA, CONTROL Y SEÑALIZACIÓN")</f>
        <v>CARCASAS, CAJAS, ESFERAS, MANECILLAS Y TODAS LAS DEMÁS PARTES Y ACCESORIOS DE INSTRUMENTOS DE MEDIDA, CONTROL Y SEÑALIZACIÓN</v>
      </c>
      <c r="L2333" s="5" t="str">
        <f ca="1">IFERROR(__xludf.DUMMYFUNCTION("GOOGLETRANSLATE(J2333,""EN"",""ES"")"),"Cierres de correa de reloj")</f>
        <v>Cierres de correa de reloj</v>
      </c>
      <c r="M2333" s="1" t="s">
        <v>15</v>
      </c>
      <c r="N2333" s="8"/>
    </row>
    <row r="2334" spans="1:14" ht="11.25" customHeight="1">
      <c r="A2334" s="5" t="s">
        <v>5996</v>
      </c>
      <c r="B2334" s="5" t="s">
        <v>6737</v>
      </c>
      <c r="C2334" s="5" t="s">
        <v>6801</v>
      </c>
      <c r="D2334" s="5" t="s">
        <v>5999</v>
      </c>
      <c r="E2334" s="5" t="s">
        <v>31</v>
      </c>
      <c r="F2334" s="5" t="s">
        <v>6000</v>
      </c>
      <c r="G2334" s="5" t="s">
        <v>6001</v>
      </c>
      <c r="H2334" s="5" t="s">
        <v>6739</v>
      </c>
      <c r="I2334" s="5" t="s">
        <v>6802</v>
      </c>
      <c r="J2334" s="5" t="s">
        <v>6803</v>
      </c>
      <c r="K2334" s="7" t="str">
        <f ca="1">IFERROR(__xludf.DUMMYFUNCTION("GOOGLETRANSLATE(H2334,""EN"",""ES"")"),"CARCASAS, CAJAS, ESFERAS, MANECILLAS Y TODAS LAS DEMÁS PARTES Y ACCESORIOS DE INSTRUMENTOS DE MEDIDA, CONTROL Y SEÑALIZACIÓN")</f>
        <v>CARCASAS, CAJAS, ESFERAS, MANECILLAS Y TODAS LAS DEMÁS PARTES Y ACCESORIOS DE INSTRUMENTOS DE MEDIDA, CONTROL Y SEÑALIZACIÓN</v>
      </c>
      <c r="L2334" s="5" t="str">
        <f ca="1">IFERROR(__xludf.DUMMYFUNCTION("GOOGLETRANSLATE(J2334,""EN"",""ES"")"),"Pasadores de bisagra para cajas de relojes")</f>
        <v>Pasadores de bisagra para cajas de relojes</v>
      </c>
      <c r="M2334" s="1" t="s">
        <v>15</v>
      </c>
      <c r="N2334" s="8"/>
    </row>
    <row r="2335" spans="1:14" ht="11.25" customHeight="1">
      <c r="A2335" s="5" t="s">
        <v>5996</v>
      </c>
      <c r="B2335" s="5" t="s">
        <v>6737</v>
      </c>
      <c r="C2335" s="5" t="s">
        <v>6804</v>
      </c>
      <c r="D2335" s="5" t="s">
        <v>5999</v>
      </c>
      <c r="E2335" s="5" t="s">
        <v>31</v>
      </c>
      <c r="F2335" s="5" t="s">
        <v>6000</v>
      </c>
      <c r="G2335" s="5" t="s">
        <v>6001</v>
      </c>
      <c r="H2335" s="5" t="s">
        <v>6739</v>
      </c>
      <c r="I2335" s="5" t="s">
        <v>6805</v>
      </c>
      <c r="J2335" s="5" t="s">
        <v>6806</v>
      </c>
      <c r="K2335" s="7" t="str">
        <f ca="1">IFERROR(__xludf.DUMMYFUNCTION("GOOGLETRANSLATE(H2335,""EN"",""ES"")"),"CARCASAS, CAJAS, ESFERAS, MANECILLAS Y TODAS LAS DEMÁS PARTES Y ACCESORIOS DE INSTRUMENTOS DE MEDIDA, CONTROL Y SEÑALIZACIÓN")</f>
        <v>CARCASAS, CAJAS, ESFERAS, MANECILLAS Y TODAS LAS DEMÁS PARTES Y ACCESORIOS DE INSTRUMENTOS DE MEDIDA, CONTROL Y SEÑALIZACIÓN</v>
      </c>
      <c r="L2335" s="5" t="str">
        <f ca="1">IFERROR(__xludf.DUMMYFUNCTION("GOOGLETRANSLATE(J2335,""EN"",""ES"")"),"enrolladores para relojes")</f>
        <v>enrolladores para relojes</v>
      </c>
      <c r="M2335" s="1" t="s">
        <v>15</v>
      </c>
      <c r="N2335" s="8"/>
    </row>
    <row r="2336" spans="1:14" ht="11.25" customHeight="1">
      <c r="A2336" s="5" t="s">
        <v>5996</v>
      </c>
      <c r="B2336" s="5" t="s">
        <v>6737</v>
      </c>
      <c r="C2336" s="5" t="s">
        <v>6807</v>
      </c>
      <c r="D2336" s="5" t="s">
        <v>5999</v>
      </c>
      <c r="E2336" s="5" t="s">
        <v>31</v>
      </c>
      <c r="F2336" s="5" t="s">
        <v>6000</v>
      </c>
      <c r="G2336" s="5" t="s">
        <v>6001</v>
      </c>
      <c r="H2336" s="5" t="s">
        <v>6739</v>
      </c>
      <c r="I2336" s="5" t="s">
        <v>6808</v>
      </c>
      <c r="J2336" s="5" t="s">
        <v>6809</v>
      </c>
      <c r="K2336" s="7" t="str">
        <f ca="1">IFERROR(__xludf.DUMMYFUNCTION("GOOGLETRANSLATE(H2336,""EN"",""ES"")"),"CARCASAS, CAJAS, ESFERAS, MANECILLAS Y TODAS LAS DEMÁS PARTES Y ACCESORIOS DE INSTRUMENTOS DE MEDIDA, CONTROL Y SEÑALIZACIÓN")</f>
        <v>CARCASAS, CAJAS, ESFERAS, MANECILLAS Y TODAS LAS DEMÁS PARTES Y ACCESORIOS DE INSTRUMENTOS DE MEDIDA, CONTROL Y SEÑALIZACIÓN</v>
      </c>
      <c r="L2336" s="5" t="str">
        <f ca="1">IFERROR(__xludf.DUMMYFUNCTION("GOOGLETRANSLATE(J2336,""EN"",""ES"")"),"Mecanismos de sonería para relojes")</f>
        <v>Mecanismos de sonería para relojes</v>
      </c>
      <c r="M2336" s="1" t="s">
        <v>15</v>
      </c>
      <c r="N2336" s="8"/>
    </row>
    <row r="2337" spans="1:14" ht="11.25" customHeight="1">
      <c r="A2337" s="5" t="s">
        <v>5996</v>
      </c>
      <c r="B2337" s="5" t="s">
        <v>6737</v>
      </c>
      <c r="C2337" s="5" t="s">
        <v>6810</v>
      </c>
      <c r="D2337" s="5" t="s">
        <v>5999</v>
      </c>
      <c r="E2337" s="5" t="s">
        <v>31</v>
      </c>
      <c r="F2337" s="5" t="s">
        <v>6000</v>
      </c>
      <c r="G2337" s="5" t="s">
        <v>6001</v>
      </c>
      <c r="H2337" s="5" t="s">
        <v>6739</v>
      </c>
      <c r="I2337" s="5" t="s">
        <v>6811</v>
      </c>
      <c r="J2337" s="5" t="s">
        <v>6812</v>
      </c>
      <c r="K2337" s="7" t="str">
        <f ca="1">IFERROR(__xludf.DUMMYFUNCTION("GOOGLETRANSLATE(H2337,""EN"",""ES"")"),"CARCASAS, CAJAS, ESFERAS, MANECILLAS Y TODAS LAS DEMÁS PARTES Y ACCESORIOS DE INSTRUMENTOS DE MEDIDA, CONTROL Y SEÑALIZACIÓN")</f>
        <v>CARCASAS, CAJAS, ESFERAS, MANECILLAS Y TODAS LAS DEMÁS PARTES Y ACCESORIOS DE INSTRUMENTOS DE MEDIDA, CONTROL Y SEÑALIZACIÓN</v>
      </c>
      <c r="L2337" s="5" t="str">
        <f ca="1">IFERROR(__xludf.DUMMYFUNCTION("GOOGLETRANSLATE(J2337,""EN"",""ES"")"),"Ver resortes")</f>
        <v>Ver resortes</v>
      </c>
      <c r="M2337" s="1" t="s">
        <v>15</v>
      </c>
      <c r="N2337" s="8"/>
    </row>
    <row r="2338" spans="1:14" ht="11.25" customHeight="1">
      <c r="A2338" s="5" t="s">
        <v>5996</v>
      </c>
      <c r="B2338" s="5" t="s">
        <v>6737</v>
      </c>
      <c r="C2338" s="5" t="s">
        <v>6813</v>
      </c>
      <c r="D2338" s="5" t="s">
        <v>5999</v>
      </c>
      <c r="E2338" s="5" t="s">
        <v>31</v>
      </c>
      <c r="F2338" s="5" t="s">
        <v>6000</v>
      </c>
      <c r="G2338" s="5" t="s">
        <v>6001</v>
      </c>
      <c r="H2338" s="5" t="s">
        <v>6739</v>
      </c>
      <c r="I2338" s="5" t="s">
        <v>6814</v>
      </c>
      <c r="J2338" s="5" t="s">
        <v>6815</v>
      </c>
      <c r="K2338" s="7" t="str">
        <f ca="1">IFERROR(__xludf.DUMMYFUNCTION("GOOGLETRANSLATE(H2338,""EN"",""ES"")"),"CARCASAS, CAJAS, ESFERAS, MANECILLAS Y TODAS LAS DEMÁS PARTES Y ACCESORIOS DE INSTRUMENTOS DE MEDIDA, CONTROL Y SEÑALIZACIÓN")</f>
        <v>CARCASAS, CAJAS, ESFERAS, MANECILLAS Y TODAS LAS DEMÁS PARTES Y ACCESORIOS DE INSTRUMENTOS DE MEDIDA, CONTROL Y SEÑALIZACIÓN</v>
      </c>
      <c r="L2338" s="5" t="str">
        <f ca="1">IFERROR(__xludf.DUMMYFUNCTION("GOOGLETRANSLATE(J2338,""EN"",""ES"")"),"gafas de reloj")</f>
        <v>gafas de reloj</v>
      </c>
      <c r="M2338" s="1" t="s">
        <v>15</v>
      </c>
      <c r="N2338" s="8"/>
    </row>
    <row r="2339" spans="1:14" ht="11.25" customHeight="1">
      <c r="A2339" s="5" t="s">
        <v>5996</v>
      </c>
      <c r="B2339" s="5" t="s">
        <v>6737</v>
      </c>
      <c r="C2339" s="5" t="s">
        <v>6813</v>
      </c>
      <c r="D2339" s="5" t="s">
        <v>5999</v>
      </c>
      <c r="E2339" s="5" t="s">
        <v>31</v>
      </c>
      <c r="F2339" s="5" t="s">
        <v>6000</v>
      </c>
      <c r="G2339" s="5" t="s">
        <v>6001</v>
      </c>
      <c r="H2339" s="5" t="s">
        <v>6739</v>
      </c>
      <c r="I2339" s="5" t="s">
        <v>6816</v>
      </c>
      <c r="J2339" s="5" t="s">
        <v>152</v>
      </c>
      <c r="K2339" s="7" t="str">
        <f ca="1">IFERROR(__xludf.DUMMYFUNCTION("GOOGLETRANSLATE(H2339,""EN"",""ES"")"),"CARCASAS, CAJAS, ESFERAS, MANECILLAS Y TODAS LAS DEMÁS PARTES Y ACCESORIOS DE INSTRUMENTOS DE MEDIDA, CONTROL Y SEÑALIZACIÓN")</f>
        <v>CARCASAS, CAJAS, ESFERAS, MANECILLAS Y TODAS LAS DEMÁS PARTES Y ACCESORIOS DE INSTRUMENTOS DE MEDIDA, CONTROL Y SEÑALIZACIÓN</v>
      </c>
      <c r="L2339" s="5" t="str">
        <f ca="1">IFERROR(__xludf.DUMMYFUNCTION("GOOGLETRANSLATE(J2339,""EN"",""ES"")"),"ver cristales")</f>
        <v>ver cristales</v>
      </c>
      <c r="M2339" s="1" t="s">
        <v>15</v>
      </c>
      <c r="N2339" s="8"/>
    </row>
    <row r="2340" spans="1:14" ht="11.25" customHeight="1">
      <c r="A2340" s="5" t="s">
        <v>5996</v>
      </c>
      <c r="B2340" s="5" t="s">
        <v>6737</v>
      </c>
      <c r="C2340" s="5" t="s">
        <v>6817</v>
      </c>
      <c r="D2340" s="5" t="s">
        <v>5999</v>
      </c>
      <c r="E2340" s="5" t="s">
        <v>31</v>
      </c>
      <c r="F2340" s="5" t="s">
        <v>6000</v>
      </c>
      <c r="G2340" s="5" t="s">
        <v>6001</v>
      </c>
      <c r="H2340" s="5" t="s">
        <v>6739</v>
      </c>
      <c r="I2340" s="5" t="s">
        <v>6818</v>
      </c>
      <c r="J2340" s="5" t="s">
        <v>6819</v>
      </c>
      <c r="K2340" s="7" t="str">
        <f ca="1">IFERROR(__xludf.DUMMYFUNCTION("GOOGLETRANSLATE(H2340,""EN"",""ES"")"),"CARCASAS, CAJAS, ESFERAS, MANECILLAS Y TODAS LAS DEMÁS PARTES Y ACCESORIOS DE INSTRUMENTOS DE MEDIDA, CONTROL Y SEÑALIZACIÓN")</f>
        <v>CARCASAS, CAJAS, ESFERAS, MANECILLAS Y TODAS LAS DEMÁS PARTES Y ACCESORIOS DE INSTRUMENTOS DE MEDIDA, CONTROL Y SEÑALIZACIÓN</v>
      </c>
      <c r="L2340" s="5" t="str">
        <f ca="1">IFERROR(__xludf.DUMMYFUNCTION("GOOGLETRANSLATE(J2340,""EN"",""ES"")"),"Esferas de reloj")</f>
        <v>Esferas de reloj</v>
      </c>
      <c r="M2340" s="1" t="s">
        <v>15</v>
      </c>
      <c r="N2340" s="8"/>
    </row>
    <row r="2341" spans="1:14" ht="11.25" customHeight="1">
      <c r="A2341" s="5" t="s">
        <v>5996</v>
      </c>
      <c r="B2341" s="5" t="s">
        <v>6737</v>
      </c>
      <c r="C2341" s="5" t="s">
        <v>6820</v>
      </c>
      <c r="D2341" s="5" t="s">
        <v>5999</v>
      </c>
      <c r="E2341" s="5" t="s">
        <v>31</v>
      </c>
      <c r="F2341" s="5" t="s">
        <v>6000</v>
      </c>
      <c r="G2341" s="5" t="s">
        <v>6001</v>
      </c>
      <c r="H2341" s="5" t="s">
        <v>6739</v>
      </c>
      <c r="I2341" s="5" t="s">
        <v>6821</v>
      </c>
      <c r="J2341" s="5" t="s">
        <v>6822</v>
      </c>
      <c r="K2341" s="7" t="str">
        <f ca="1">IFERROR(__xludf.DUMMYFUNCTION("GOOGLETRANSLATE(H2341,""EN"",""ES"")"),"CARCASAS, CAJAS, ESFERAS, MANECILLAS Y TODAS LAS DEMÁS PARTES Y ACCESORIOS DE INSTRUMENTOS DE MEDIDA, CONTROL Y SEÑALIZACIÓN")</f>
        <v>CARCASAS, CAJAS, ESFERAS, MANECILLAS Y TODAS LAS DEMÁS PARTES Y ACCESORIOS DE INSTRUMENTOS DE MEDIDA, CONTROL Y SEÑALIZACIÓN</v>
      </c>
      <c r="L2341" s="5" t="str">
        <f ca="1">IFERROR(__xludf.DUMMYFUNCTION("GOOGLETRANSLATE(J2341,""EN"",""ES"")"),"Enlaces de correa de reloj")</f>
        <v>Enlaces de correa de reloj</v>
      </c>
      <c r="M2341" s="1" t="s">
        <v>15</v>
      </c>
      <c r="N2341" s="8"/>
    </row>
    <row r="2342" spans="1:14" ht="11.25" customHeight="1">
      <c r="A2342" s="5" t="s">
        <v>5996</v>
      </c>
      <c r="B2342" s="5" t="s">
        <v>6737</v>
      </c>
      <c r="C2342" s="5" t="s">
        <v>6823</v>
      </c>
      <c r="D2342" s="5" t="s">
        <v>5999</v>
      </c>
      <c r="E2342" s="5" t="s">
        <v>31</v>
      </c>
      <c r="F2342" s="5" t="s">
        <v>6000</v>
      </c>
      <c r="G2342" s="5" t="s">
        <v>6001</v>
      </c>
      <c r="H2342" s="5" t="s">
        <v>6739</v>
      </c>
      <c r="I2342" s="5" t="s">
        <v>6824</v>
      </c>
      <c r="J2342" s="5" t="s">
        <v>6825</v>
      </c>
      <c r="K2342" s="7" t="str">
        <f ca="1">IFERROR(__xludf.DUMMYFUNCTION("GOOGLETRANSLATE(H2342,""EN"",""ES"")"),"CARCASAS, CAJAS, ESFERAS, MANECILLAS Y TODAS LAS DEMÁS PARTES Y ACCESORIOS DE INSTRUMENTOS DE MEDIDA, CONTROL Y SEÑALIZACIÓN")</f>
        <v>CARCASAS, CAJAS, ESFERAS, MANECILLAS Y TODAS LAS DEMÁS PARTES Y ACCESORIOS DE INSTRUMENTOS DE MEDIDA, CONTROL Y SEÑALIZACIÓN</v>
      </c>
      <c r="L2342" s="5" t="str">
        <f ca="1">IFERROR(__xludf.DUMMYFUNCTION("GOOGLETRANSLATE(J2342,""EN"",""ES"")"),"manecillas del reloj")</f>
        <v>manecillas del reloj</v>
      </c>
      <c r="M2342" s="1" t="s">
        <v>15</v>
      </c>
      <c r="N2342" s="8"/>
    </row>
    <row r="2343" spans="1:14" ht="11.25" customHeight="1">
      <c r="A2343" s="5" t="s">
        <v>5996</v>
      </c>
      <c r="B2343" s="5" t="s">
        <v>6737</v>
      </c>
      <c r="C2343" s="5" t="s">
        <v>6826</v>
      </c>
      <c r="D2343" s="5" t="s">
        <v>5999</v>
      </c>
      <c r="E2343" s="5" t="s">
        <v>31</v>
      </c>
      <c r="F2343" s="5" t="s">
        <v>6000</v>
      </c>
      <c r="G2343" s="5" t="s">
        <v>6001</v>
      </c>
      <c r="H2343" s="5" t="s">
        <v>6739</v>
      </c>
      <c r="I2343" s="5" t="s">
        <v>6827</v>
      </c>
      <c r="J2343" s="5" t="s">
        <v>6828</v>
      </c>
      <c r="K2343" s="7" t="str">
        <f ca="1">IFERROR(__xludf.DUMMYFUNCTION("GOOGLETRANSLATE(H2343,""EN"",""ES"")"),"CARCASAS, CAJAS, ESFERAS, MANECILLAS Y TODAS LAS DEMÁS PARTES Y ACCESORIOS DE INSTRUMENTOS DE MEDIDA, CONTROL Y SEÑALIZACIÓN")</f>
        <v>CARCASAS, CAJAS, ESFERAS, MANECILLAS Y TODAS LAS DEMÁS PARTES Y ACCESORIOS DE INSTRUMENTOS DE MEDIDA, CONTROL Y SEÑALIZACIÓN</v>
      </c>
      <c r="L2343" s="5" t="str">
        <f ca="1">IFERROR(__xludf.DUMMYFUNCTION("GOOGLETRANSLATE(J2343,""EN"",""ES"")"),"Pulseras para relojes inteligentes")</f>
        <v>Pulseras para relojes inteligentes</v>
      </c>
      <c r="M2343" s="1" t="s">
        <v>15</v>
      </c>
      <c r="N2343" s="8"/>
    </row>
    <row r="2344" spans="1:14" ht="11.25" customHeight="1">
      <c r="A2344" s="5" t="s">
        <v>5996</v>
      </c>
      <c r="B2344" s="5" t="s">
        <v>6737</v>
      </c>
      <c r="C2344" s="5" t="s">
        <v>6829</v>
      </c>
      <c r="D2344" s="5" t="s">
        <v>5999</v>
      </c>
      <c r="E2344" s="5" t="s">
        <v>31</v>
      </c>
      <c r="F2344" s="5" t="s">
        <v>6000</v>
      </c>
      <c r="G2344" s="5" t="s">
        <v>6001</v>
      </c>
      <c r="H2344" s="5" t="s">
        <v>6739</v>
      </c>
      <c r="I2344" s="5" t="s">
        <v>6830</v>
      </c>
      <c r="J2344" s="5" t="s">
        <v>6831</v>
      </c>
      <c r="K2344" s="7" t="str">
        <f ca="1">IFERROR(__xludf.DUMMYFUNCTION("GOOGLETRANSLATE(H2344,""EN"",""ES"")"),"CARCASAS, CAJAS, ESFERAS, MANECILLAS Y TODAS LAS DEMÁS PARTES Y ACCESORIOS DE INSTRUMENTOS DE MEDIDA, CONTROL Y SEÑALIZACIÓN")</f>
        <v>CARCASAS, CAJAS, ESFERAS, MANECILLAS Y TODAS LAS DEMÁS PARTES Y ACCESORIOS DE INSTRUMENTOS DE MEDIDA, CONTROL Y SEÑALIZACIÓN</v>
      </c>
      <c r="L2344" s="5" t="str">
        <f ca="1">IFERROR(__xludf.DUMMYFUNCTION("GOOGLETRANSLATE(J2344,""EN"",""ES"")"),"Aparato de cuerda para relojes")</f>
        <v>Aparato de cuerda para relojes</v>
      </c>
      <c r="M2344" s="1" t="s">
        <v>15</v>
      </c>
      <c r="N2344" s="8"/>
    </row>
    <row r="2345" spans="1:14" ht="11.25" customHeight="1">
      <c r="A2345" s="5" t="s">
        <v>5996</v>
      </c>
      <c r="B2345" s="5" t="s">
        <v>6832</v>
      </c>
      <c r="C2345" s="5" t="s">
        <v>152</v>
      </c>
      <c r="D2345" s="5" t="s">
        <v>5999</v>
      </c>
      <c r="E2345" s="5" t="s">
        <v>31</v>
      </c>
      <c r="F2345" s="5" t="s">
        <v>6000</v>
      </c>
      <c r="G2345" s="5" t="s">
        <v>6001</v>
      </c>
      <c r="H2345" s="5" t="s">
        <v>330</v>
      </c>
      <c r="I2345" s="5" t="s">
        <v>152</v>
      </c>
      <c r="J2345" s="5" t="s">
        <v>152</v>
      </c>
      <c r="K2345" s="7" t="str">
        <f ca="1">IFERROR(__xludf.DUMMYFUNCTION("GOOGLETRANSLATE(H2345,""EN"",""ES"")"),"MISCELÁNEAS")</f>
        <v>MISCELÁNEAS</v>
      </c>
      <c r="L2345" s="5" t="str">
        <f ca="1">IFERROR(__xludf.DUMMYFUNCTION("GOOGLETRANSLATE(J2345,""EN"",""ES"")"),"N / A")</f>
        <v>N / A</v>
      </c>
      <c r="M2345" s="1" t="s">
        <v>15</v>
      </c>
      <c r="N2345" s="8"/>
    </row>
    <row r="2346" spans="1:14" ht="11.25" customHeight="1">
      <c r="A2346" s="5" t="s">
        <v>6833</v>
      </c>
      <c r="B2346" s="5" t="s">
        <v>6834</v>
      </c>
      <c r="C2346" s="5" t="s">
        <v>6835</v>
      </c>
      <c r="D2346" s="5" t="s">
        <v>6836</v>
      </c>
      <c r="E2346" s="5" t="s">
        <v>18</v>
      </c>
      <c r="F2346" s="5" t="s">
        <v>6837</v>
      </c>
      <c r="G2346" s="5" t="s">
        <v>152</v>
      </c>
      <c r="H2346" s="5" t="s">
        <v>6838</v>
      </c>
      <c r="I2346" s="5" t="s">
        <v>6839</v>
      </c>
      <c r="J2346" s="5" t="s">
        <v>6840</v>
      </c>
      <c r="K2346" s="7" t="str">
        <f ca="1">IFERROR(__xludf.DUMMYFUNCTION("GOOGLETRANSLATE(H2346,""EN"",""ES"")"),"JOYERÍA")</f>
        <v>JOYERÍA</v>
      </c>
      <c r="L2346" s="5" t="str">
        <f ca="1">IFERROR(__xludf.DUMMYFUNCTION("GOOGLETRANSLATE(J2346,""EN"",""ES"")"),"anillos de boda")</f>
        <v>anillos de boda</v>
      </c>
      <c r="M2346" s="8" t="s">
        <v>34</v>
      </c>
      <c r="N2346" s="8"/>
    </row>
    <row r="2347" spans="1:14" ht="11.25" customHeight="1">
      <c r="A2347" s="5" t="s">
        <v>6833</v>
      </c>
      <c r="B2347" s="5" t="s">
        <v>6834</v>
      </c>
      <c r="C2347" s="5" t="s">
        <v>6841</v>
      </c>
      <c r="D2347" s="5" t="s">
        <v>6836</v>
      </c>
      <c r="E2347" s="5" t="s">
        <v>18</v>
      </c>
      <c r="F2347" s="5" t="s">
        <v>6837</v>
      </c>
      <c r="G2347" s="5" t="s">
        <v>152</v>
      </c>
      <c r="H2347" s="5" t="s">
        <v>6838</v>
      </c>
      <c r="I2347" s="5" t="s">
        <v>6842</v>
      </c>
      <c r="J2347" s="5" t="s">
        <v>6843</v>
      </c>
      <c r="K2347" s="7" t="str">
        <f ca="1">IFERROR(__xludf.DUMMYFUNCTION("GOOGLETRANSLATE(H2347,""EN"",""ES"")"),"JOYERÍA")</f>
        <v>JOYERÍA</v>
      </c>
      <c r="L2347" s="5" t="str">
        <f ca="1">IFERROR(__xludf.DUMMYFUNCTION("GOOGLETRANSLATE(J2347,""EN"",""ES"")"),"Anillos de dedo")</f>
        <v>Anillos de dedo</v>
      </c>
      <c r="M2347" s="8" t="s">
        <v>34</v>
      </c>
      <c r="N2347" s="8"/>
    </row>
    <row r="2348" spans="1:14" ht="11.25" customHeight="1">
      <c r="A2348" s="5" t="s">
        <v>6833</v>
      </c>
      <c r="B2348" s="5" t="s">
        <v>6834</v>
      </c>
      <c r="C2348" s="5" t="s">
        <v>6844</v>
      </c>
      <c r="D2348" s="5" t="s">
        <v>6836</v>
      </c>
      <c r="E2348" s="5" t="s">
        <v>18</v>
      </c>
      <c r="F2348" s="5" t="s">
        <v>6837</v>
      </c>
      <c r="G2348" s="5" t="s">
        <v>152</v>
      </c>
      <c r="H2348" s="5" t="s">
        <v>6838</v>
      </c>
      <c r="I2348" s="5" t="s">
        <v>6845</v>
      </c>
      <c r="J2348" s="5" t="s">
        <v>6846</v>
      </c>
      <c r="K2348" s="7" t="str">
        <f ca="1">IFERROR(__xludf.DUMMYFUNCTION("GOOGLETRANSLATE(H2348,""EN"",""ES"")"),"JOYERÍA")</f>
        <v>JOYERÍA</v>
      </c>
      <c r="L2348" s="5" t="str">
        <f ca="1">IFERROR(__xludf.DUMMYFUNCTION("GOOGLETRANSLATE(J2348,""EN"",""ES"")"),"Pendientes")</f>
        <v>Pendientes</v>
      </c>
      <c r="M2348" s="8" t="s">
        <v>34</v>
      </c>
      <c r="N2348" s="8"/>
    </row>
    <row r="2349" spans="1:14" ht="11.25" customHeight="1">
      <c r="A2349" s="5" t="s">
        <v>6833</v>
      </c>
      <c r="B2349" s="5" t="s">
        <v>6834</v>
      </c>
      <c r="C2349" s="5" t="s">
        <v>6844</v>
      </c>
      <c r="D2349" s="5" t="s">
        <v>6836</v>
      </c>
      <c r="E2349" s="5" t="s">
        <v>18</v>
      </c>
      <c r="F2349" s="5" t="s">
        <v>6837</v>
      </c>
      <c r="G2349" s="5" t="s">
        <v>152</v>
      </c>
      <c r="H2349" s="5" t="s">
        <v>6838</v>
      </c>
      <c r="I2349" s="5" t="s">
        <v>6847</v>
      </c>
      <c r="J2349" s="5" t="s">
        <v>6848</v>
      </c>
      <c r="K2349" s="7" t="str">
        <f ca="1">IFERROR(__xludf.DUMMYFUNCTION("GOOGLETRANSLATE(H2349,""EN"",""ES"")"),"JOYERÍA")</f>
        <v>JOYERÍA</v>
      </c>
      <c r="L2349" s="5" t="str">
        <f ca="1">IFERROR(__xludf.DUMMYFUNCTION("GOOGLETRANSLATE(J2349,""EN"",""ES"")"),"Colgantes de oreja")</f>
        <v>Colgantes de oreja</v>
      </c>
      <c r="M2349" s="8" t="s">
        <v>34</v>
      </c>
      <c r="N2349" s="8"/>
    </row>
    <row r="2350" spans="1:14" ht="11.25" customHeight="1">
      <c r="A2350" s="5" t="s">
        <v>6833</v>
      </c>
      <c r="B2350" s="5" t="s">
        <v>6834</v>
      </c>
      <c r="C2350" s="5" t="s">
        <v>6844</v>
      </c>
      <c r="D2350" s="5" t="s">
        <v>6836</v>
      </c>
      <c r="E2350" s="5" t="s">
        <v>18</v>
      </c>
      <c r="F2350" s="5" t="s">
        <v>6837</v>
      </c>
      <c r="G2350" s="5" t="s">
        <v>152</v>
      </c>
      <c r="H2350" s="5" t="s">
        <v>6838</v>
      </c>
      <c r="I2350" s="5" t="s">
        <v>152</v>
      </c>
      <c r="J2350" s="5" t="s">
        <v>6849</v>
      </c>
      <c r="K2350" s="7" t="str">
        <f ca="1">IFERROR(__xludf.DUMMYFUNCTION("GOOGLETRANSLATE(H2350,""EN"",""ES"")"),"JOYERÍA")</f>
        <v>JOYERÍA</v>
      </c>
      <c r="L2350" s="5" t="str">
        <f ca="1">IFERROR(__xludf.DUMMYFUNCTION("GOOGLETRANSLATE(J2350,""EN"",""ES"")"),"N / A")</f>
        <v>N / A</v>
      </c>
      <c r="M2350" s="8" t="s">
        <v>34</v>
      </c>
      <c r="N2350" s="8"/>
    </row>
    <row r="2351" spans="1:14" ht="11.25" customHeight="1">
      <c r="A2351" s="5" t="s">
        <v>6833</v>
      </c>
      <c r="B2351" s="5" t="s">
        <v>6834</v>
      </c>
      <c r="C2351" s="5" t="s">
        <v>6850</v>
      </c>
      <c r="D2351" s="5" t="s">
        <v>6836</v>
      </c>
      <c r="E2351" s="5" t="s">
        <v>18</v>
      </c>
      <c r="F2351" s="5" t="s">
        <v>6837</v>
      </c>
      <c r="G2351" s="5" t="s">
        <v>152</v>
      </c>
      <c r="H2351" s="5" t="s">
        <v>6838</v>
      </c>
      <c r="I2351" s="5" t="s">
        <v>6851</v>
      </c>
      <c r="J2351" s="5" t="s">
        <v>6851</v>
      </c>
      <c r="K2351" s="7" t="str">
        <f ca="1">IFERROR(__xludf.DUMMYFUNCTION("GOOGLETRANSLATE(H2351,""EN"",""ES"")"),"JOYERÍA")</f>
        <v>JOYERÍA</v>
      </c>
      <c r="L2351" s="5" t="str">
        <f ca="1">IFERROR(__xludf.DUMMYFUNCTION("GOOGLETRANSLATE(J2351,""EN"",""ES"")"),"Esposas")</f>
        <v>Esposas</v>
      </c>
      <c r="M2351" s="8" t="s">
        <v>34</v>
      </c>
      <c r="N2351" s="8"/>
    </row>
    <row r="2352" spans="1:14" ht="11.25" customHeight="1">
      <c r="A2352" s="5" t="s">
        <v>6833</v>
      </c>
      <c r="B2352" s="5" t="s">
        <v>6834</v>
      </c>
      <c r="C2352" s="5" t="s">
        <v>6852</v>
      </c>
      <c r="D2352" s="5" t="s">
        <v>6836</v>
      </c>
      <c r="E2352" s="5" t="s">
        <v>18</v>
      </c>
      <c r="F2352" s="5" t="s">
        <v>6837</v>
      </c>
      <c r="G2352" s="5" t="s">
        <v>152</v>
      </c>
      <c r="H2352" s="5" t="s">
        <v>6838</v>
      </c>
      <c r="I2352" s="5" t="s">
        <v>6853</v>
      </c>
      <c r="J2352" s="5" t="s">
        <v>6854</v>
      </c>
      <c r="K2352" s="7" t="str">
        <f ca="1">IFERROR(__xludf.DUMMYFUNCTION("GOOGLETRANSLATE(H2352,""EN"",""ES"")"),"JOYERÍA")</f>
        <v>JOYERÍA</v>
      </c>
      <c r="L2352" s="5" t="str">
        <f ca="1">IFERROR(__xludf.DUMMYFUNCTION("GOOGLETRANSLATE(J2352,""EN"",""ES"")"),"Encantos")</f>
        <v>Encantos</v>
      </c>
      <c r="M2352" s="8" t="s">
        <v>34</v>
      </c>
      <c r="N2352" s="8"/>
    </row>
    <row r="2353" spans="1:14" ht="11.25" customHeight="1">
      <c r="A2353" s="5" t="s">
        <v>6833</v>
      </c>
      <c r="B2353" s="5" t="s">
        <v>6834</v>
      </c>
      <c r="C2353" s="5" t="s">
        <v>6855</v>
      </c>
      <c r="D2353" s="5" t="s">
        <v>6836</v>
      </c>
      <c r="E2353" s="5" t="s">
        <v>18</v>
      </c>
      <c r="F2353" s="5" t="s">
        <v>6837</v>
      </c>
      <c r="G2353" s="5" t="s">
        <v>152</v>
      </c>
      <c r="H2353" s="5" t="s">
        <v>6838</v>
      </c>
      <c r="I2353" s="5" t="s">
        <v>6856</v>
      </c>
      <c r="J2353" s="5" t="s">
        <v>6857</v>
      </c>
      <c r="K2353" s="7" t="str">
        <f ca="1">IFERROR(__xludf.DUMMYFUNCTION("GOOGLETRANSLATE(H2353,""EN"",""ES"")"),"JOYERÍA")</f>
        <v>JOYERÍA</v>
      </c>
      <c r="L2353" s="5" t="str">
        <f ca="1">IFERROR(__xludf.DUMMYFUNCTION("GOOGLETRANSLATE(J2353,""EN"",""ES"")"),"Brillantes")</f>
        <v>Brillantes</v>
      </c>
      <c r="M2353" s="8" t="s">
        <v>34</v>
      </c>
      <c r="N2353" s="8"/>
    </row>
    <row r="2354" spans="1:14" ht="11.25" customHeight="1">
      <c r="A2354" s="5" t="s">
        <v>6833</v>
      </c>
      <c r="B2354" s="5" t="s">
        <v>6834</v>
      </c>
      <c r="C2354" s="5" t="s">
        <v>6858</v>
      </c>
      <c r="D2354" s="5" t="s">
        <v>6836</v>
      </c>
      <c r="E2354" s="5" t="s">
        <v>18</v>
      </c>
      <c r="F2354" s="5" t="s">
        <v>6837</v>
      </c>
      <c r="G2354" s="5" t="s">
        <v>152</v>
      </c>
      <c r="H2354" s="5" t="s">
        <v>6838</v>
      </c>
      <c r="I2354" s="5" t="s">
        <v>6859</v>
      </c>
      <c r="J2354" s="5" t="s">
        <v>6860</v>
      </c>
      <c r="K2354" s="7" t="str">
        <f ca="1">IFERROR(__xludf.DUMMYFUNCTION("GOOGLETRANSLATE(H2354,""EN"",""ES"")"),"JOYERÍA")</f>
        <v>JOYERÍA</v>
      </c>
      <c r="L2354" s="5" t="str">
        <f ca="1">IFERROR(__xludf.DUMMYFUNCTION("GOOGLETRANSLATE(J2354,""EN"",""ES"")"),"Broches [joyas]")</f>
        <v>Broches [joyas]</v>
      </c>
      <c r="M2354" s="8" t="s">
        <v>34</v>
      </c>
      <c r="N2354" s="8"/>
    </row>
    <row r="2355" spans="1:14" ht="11.25" customHeight="1">
      <c r="A2355" s="5" t="s">
        <v>6833</v>
      </c>
      <c r="B2355" s="5" t="s">
        <v>6834</v>
      </c>
      <c r="C2355" s="5" t="s">
        <v>6861</v>
      </c>
      <c r="D2355" s="5" t="s">
        <v>6836</v>
      </c>
      <c r="E2355" s="5" t="s">
        <v>18</v>
      </c>
      <c r="F2355" s="5" t="s">
        <v>6837</v>
      </c>
      <c r="G2355" s="5" t="s">
        <v>152</v>
      </c>
      <c r="H2355" s="5" t="s">
        <v>6838</v>
      </c>
      <c r="I2355" s="5" t="s">
        <v>6862</v>
      </c>
      <c r="J2355" s="5" t="s">
        <v>6863</v>
      </c>
      <c r="K2355" s="7" t="str">
        <f ca="1">IFERROR(__xludf.DUMMYFUNCTION("GOOGLETRANSLATE(H2355,""EN"",""ES"")"),"JOYERÍA")</f>
        <v>JOYERÍA</v>
      </c>
      <c r="L2355" s="5" t="str">
        <f ca="1">IFERROR(__xludf.DUMMYFUNCTION("GOOGLETRANSLATE(J2355,""EN"",""ES"")"),"Cadenas [joyas]")</f>
        <v>Cadenas [joyas]</v>
      </c>
      <c r="M2355" s="8" t="s">
        <v>34</v>
      </c>
      <c r="N2355" s="8"/>
    </row>
    <row r="2356" spans="1:14" ht="11.25" customHeight="1">
      <c r="A2356" s="5" t="s">
        <v>6833</v>
      </c>
      <c r="B2356" s="5" t="s">
        <v>6834</v>
      </c>
      <c r="C2356" s="5" t="s">
        <v>6864</v>
      </c>
      <c r="D2356" s="5" t="s">
        <v>6836</v>
      </c>
      <c r="E2356" s="5" t="s">
        <v>18</v>
      </c>
      <c r="F2356" s="5" t="s">
        <v>6837</v>
      </c>
      <c r="G2356" s="5" t="s">
        <v>152</v>
      </c>
      <c r="H2356" s="5" t="s">
        <v>6838</v>
      </c>
      <c r="I2356" s="5" t="s">
        <v>6865</v>
      </c>
      <c r="J2356" s="5" t="s">
        <v>6866</v>
      </c>
      <c r="K2356" s="7" t="str">
        <f ca="1">IFERROR(__xludf.DUMMYFUNCTION("GOOGLETRANSLATE(H2356,""EN"",""ES"")"),"JOYERÍA")</f>
        <v>JOYERÍA</v>
      </c>
      <c r="L2356" s="5" t="str">
        <f ca="1">IFERROR(__xludf.DUMMYFUNCTION("GOOGLETRANSLATE(J2356,""EN"",""ES"")"),"Anillos de sello")</f>
        <v>Anillos de sello</v>
      </c>
      <c r="M2356" s="8" t="s">
        <v>34</v>
      </c>
      <c r="N2356" s="8"/>
    </row>
    <row r="2357" spans="1:14" ht="11.25" customHeight="1">
      <c r="A2357" s="5" t="s">
        <v>6833</v>
      </c>
      <c r="B2357" s="5" t="s">
        <v>6834</v>
      </c>
      <c r="C2357" s="5" t="s">
        <v>6867</v>
      </c>
      <c r="D2357" s="5" t="s">
        <v>6836</v>
      </c>
      <c r="E2357" s="5" t="s">
        <v>18</v>
      </c>
      <c r="F2357" s="5" t="s">
        <v>6837</v>
      </c>
      <c r="G2357" s="5" t="s">
        <v>152</v>
      </c>
      <c r="H2357" s="5" t="s">
        <v>6838</v>
      </c>
      <c r="I2357" s="5" t="s">
        <v>6868</v>
      </c>
      <c r="J2357" s="5" t="s">
        <v>6869</v>
      </c>
      <c r="K2357" s="7" t="str">
        <f ca="1">IFERROR(__xludf.DUMMYFUNCTION("GOOGLETRANSLATE(H2357,""EN"",""ES"")"),"JOYERÍA")</f>
        <v>JOYERÍA</v>
      </c>
      <c r="L2357" s="5" t="str">
        <f ca="1">IFERROR(__xludf.DUMMYFUNCTION("GOOGLETRANSLATE(J2357,""EN"",""ES"")"),"Clips [joyas]")</f>
        <v>Clips [joyas]</v>
      </c>
      <c r="M2357" s="8" t="s">
        <v>34</v>
      </c>
      <c r="N2357" s="8"/>
    </row>
    <row r="2358" spans="1:14" ht="11.25" customHeight="1">
      <c r="A2358" s="5" t="s">
        <v>6833</v>
      </c>
      <c r="B2358" s="5" t="s">
        <v>6834</v>
      </c>
      <c r="C2358" s="5" t="s">
        <v>6870</v>
      </c>
      <c r="D2358" s="5" t="s">
        <v>6836</v>
      </c>
      <c r="E2358" s="5" t="s">
        <v>18</v>
      </c>
      <c r="F2358" s="5" t="s">
        <v>6837</v>
      </c>
      <c r="G2358" s="5" t="s">
        <v>152</v>
      </c>
      <c r="H2358" s="5" t="s">
        <v>6838</v>
      </c>
      <c r="I2358" s="5" t="s">
        <v>6871</v>
      </c>
      <c r="J2358" s="5" t="s">
        <v>6872</v>
      </c>
      <c r="K2358" s="7" t="str">
        <f ca="1">IFERROR(__xludf.DUMMYFUNCTION("GOOGLETRANSLATE(H2358,""EN"",""ES"")"),"JOYERÍA")</f>
        <v>JOYERÍA</v>
      </c>
      <c r="L2358" s="5" t="str">
        <f ca="1">IFERROR(__xludf.DUMMYFUNCTION("GOOGLETRANSLATE(J2358,""EN"",""ES"")"),"Collares [joyas]")</f>
        <v>Collares [joyas]</v>
      </c>
      <c r="M2358" s="8" t="s">
        <v>34</v>
      </c>
      <c r="N2358" s="8"/>
    </row>
    <row r="2359" spans="1:14" ht="11.25" customHeight="1">
      <c r="A2359" s="5" t="s">
        <v>6833</v>
      </c>
      <c r="B2359" s="5" t="s">
        <v>6834</v>
      </c>
      <c r="C2359" s="5" t="s">
        <v>6873</v>
      </c>
      <c r="D2359" s="5" t="s">
        <v>6836</v>
      </c>
      <c r="E2359" s="5" t="s">
        <v>18</v>
      </c>
      <c r="F2359" s="5" t="s">
        <v>6837</v>
      </c>
      <c r="G2359" s="5" t="s">
        <v>152</v>
      </c>
      <c r="H2359" s="5" t="s">
        <v>6838</v>
      </c>
      <c r="I2359" s="5" t="s">
        <v>6874</v>
      </c>
      <c r="J2359" s="5" t="s">
        <v>6875</v>
      </c>
      <c r="K2359" s="7" t="str">
        <f ca="1">IFERROR(__xludf.DUMMYFUNCTION("GOOGLETRANSLATE(H2359,""EN"",""ES"")"),"JOYERÍA")</f>
        <v>JOYERÍA</v>
      </c>
      <c r="L2359" s="5" t="str">
        <f ca="1">IFERROR(__xludf.DUMMYFUNCTION("GOOGLETRANSLATE(J2359,""EN"",""ES"")"),"diademas")</f>
        <v>diademas</v>
      </c>
      <c r="M2359" s="8" t="s">
        <v>34</v>
      </c>
      <c r="N2359" s="8"/>
    </row>
    <row r="2360" spans="1:14" ht="11.25" customHeight="1">
      <c r="A2360" s="5" t="s">
        <v>6833</v>
      </c>
      <c r="B2360" s="5" t="s">
        <v>6834</v>
      </c>
      <c r="C2360" s="5" t="s">
        <v>6876</v>
      </c>
      <c r="D2360" s="5" t="s">
        <v>6836</v>
      </c>
      <c r="E2360" s="5" t="s">
        <v>18</v>
      </c>
      <c r="F2360" s="5" t="s">
        <v>6837</v>
      </c>
      <c r="G2360" s="5" t="s">
        <v>152</v>
      </c>
      <c r="H2360" s="5" t="s">
        <v>6838</v>
      </c>
      <c r="I2360" s="5" t="s">
        <v>6877</v>
      </c>
      <c r="J2360" s="5" t="s">
        <v>6878</v>
      </c>
      <c r="K2360" s="7" t="str">
        <f ca="1">IFERROR(__xludf.DUMMYFUNCTION("GOOGLETRANSLATE(H2360,""EN"",""ES"")"),"JOYERÍA")</f>
        <v>JOYERÍA</v>
      </c>
      <c r="L2360" s="5" t="str">
        <f ca="1">IFERROR(__xludf.DUMMYFUNCTION("GOOGLETRANSLATE(J2360,""EN"",""ES"")"),"diamantes")</f>
        <v>diamantes</v>
      </c>
      <c r="M2360" s="8" t="s">
        <v>34</v>
      </c>
      <c r="N2360" s="8"/>
    </row>
    <row r="2361" spans="1:14" ht="11.25" customHeight="1">
      <c r="A2361" s="5" t="s">
        <v>6833</v>
      </c>
      <c r="B2361" s="5" t="s">
        <v>6834</v>
      </c>
      <c r="C2361" s="5" t="s">
        <v>6879</v>
      </c>
      <c r="D2361" s="5" t="s">
        <v>6836</v>
      </c>
      <c r="E2361" s="5" t="s">
        <v>18</v>
      </c>
      <c r="F2361" s="5" t="s">
        <v>6837</v>
      </c>
      <c r="G2361" s="5" t="s">
        <v>152</v>
      </c>
      <c r="H2361" s="5" t="s">
        <v>6838</v>
      </c>
      <c r="I2361" s="5" t="s">
        <v>6880</v>
      </c>
      <c r="J2361" s="5" t="s">
        <v>6881</v>
      </c>
      <c r="K2361" s="7" t="str">
        <f ca="1">IFERROR(__xludf.DUMMYFUNCTION("GOOGLETRANSLATE(H2361,""EN"",""ES"")"),"JOYERÍA")</f>
        <v>JOYERÍA</v>
      </c>
      <c r="L2361" s="5" t="str">
        <f ca="1">IFERROR(__xludf.DUMMYFUNCTION("GOOGLETRANSLATE(J2361,""EN"",""ES"")"),"Alfileres [joyas]")</f>
        <v>Alfileres [joyas]</v>
      </c>
      <c r="M2361" s="8" t="s">
        <v>34</v>
      </c>
      <c r="N2361" s="8"/>
    </row>
    <row r="2362" spans="1:14" ht="11.25" customHeight="1">
      <c r="A2362" s="5" t="s">
        <v>6833</v>
      </c>
      <c r="B2362" s="5" t="s">
        <v>6834</v>
      </c>
      <c r="C2362" s="5" t="s">
        <v>6882</v>
      </c>
      <c r="D2362" s="5" t="s">
        <v>6836</v>
      </c>
      <c r="E2362" s="5" t="s">
        <v>18</v>
      </c>
      <c r="F2362" s="5" t="s">
        <v>6837</v>
      </c>
      <c r="G2362" s="5" t="s">
        <v>152</v>
      </c>
      <c r="H2362" s="5" t="s">
        <v>6838</v>
      </c>
      <c r="I2362" s="5" t="s">
        <v>6883</v>
      </c>
      <c r="J2362" s="5" t="s">
        <v>6884</v>
      </c>
      <c r="K2362" s="7" t="str">
        <f ca="1">IFERROR(__xludf.DUMMYFUNCTION("GOOGLETRANSLATE(H2362,""EN"",""ES"")"),"JOYERÍA")</f>
        <v>JOYERÍA</v>
      </c>
      <c r="L2362" s="5" t="str">
        <f ca="1">IFERROR(__xludf.DUMMYFUNCTION("GOOGLETRANSLATE(J2362,""EN"",""ES"")"),"Joyería")</f>
        <v>Joyería</v>
      </c>
      <c r="M2362" s="8" t="s">
        <v>34</v>
      </c>
      <c r="N2362" s="8"/>
    </row>
    <row r="2363" spans="1:14" ht="11.25" customHeight="1">
      <c r="A2363" s="5" t="s">
        <v>6833</v>
      </c>
      <c r="B2363" s="5" t="s">
        <v>6834</v>
      </c>
      <c r="C2363" s="5" t="s">
        <v>6882</v>
      </c>
      <c r="D2363" s="5" t="s">
        <v>6836</v>
      </c>
      <c r="E2363" s="5" t="s">
        <v>18</v>
      </c>
      <c r="F2363" s="5" t="s">
        <v>6837</v>
      </c>
      <c r="G2363" s="5" t="s">
        <v>152</v>
      </c>
      <c r="H2363" s="5" t="s">
        <v>6838</v>
      </c>
      <c r="I2363" s="5" t="s">
        <v>152</v>
      </c>
      <c r="J2363" s="5" t="s">
        <v>6885</v>
      </c>
      <c r="K2363" s="7" t="str">
        <f ca="1">IFERROR(__xludf.DUMMYFUNCTION("GOOGLETRANSLATE(H2363,""EN"",""ES"")"),"JOYERÍA")</f>
        <v>JOYERÍA</v>
      </c>
      <c r="L2363" s="5" t="str">
        <f ca="1">IFERROR(__xludf.DUMMYFUNCTION("GOOGLETRANSLATE(J2363,""EN"",""ES"")"),"N / A")</f>
        <v>N / A</v>
      </c>
      <c r="M2363" s="8" t="s">
        <v>34</v>
      </c>
      <c r="N2363" s="8"/>
    </row>
    <row r="2364" spans="1:14" ht="11.25" customHeight="1">
      <c r="A2364" s="5" t="s">
        <v>6833</v>
      </c>
      <c r="B2364" s="5" t="s">
        <v>6834</v>
      </c>
      <c r="C2364" s="5" t="s">
        <v>6886</v>
      </c>
      <c r="D2364" s="5" t="s">
        <v>6836</v>
      </c>
      <c r="E2364" s="5" t="s">
        <v>18</v>
      </c>
      <c r="F2364" s="5" t="s">
        <v>6837</v>
      </c>
      <c r="G2364" s="5" t="s">
        <v>152</v>
      </c>
      <c r="H2364" s="5" t="s">
        <v>6838</v>
      </c>
      <c r="I2364" s="5" t="s">
        <v>6887</v>
      </c>
      <c r="J2364" s="5" t="s">
        <v>6888</v>
      </c>
      <c r="K2364" s="7" t="str">
        <f ca="1">IFERROR(__xludf.DUMMYFUNCTION("GOOGLETRANSLATE(H2364,""EN"",""ES"")"),"JOYERÍA")</f>
        <v>JOYERÍA</v>
      </c>
      <c r="L2364" s="5" t="str">
        <f ca="1">IFERROR(__xludf.DUMMYFUNCTION("GOOGLETRANSLATE(J2364,""EN"",""ES"")"),"Medallones")</f>
        <v>Medallones</v>
      </c>
      <c r="M2364" s="8" t="s">
        <v>34</v>
      </c>
      <c r="N2364" s="8"/>
    </row>
    <row r="2365" spans="1:14" ht="11.25" customHeight="1">
      <c r="A2365" s="5" t="s">
        <v>6833</v>
      </c>
      <c r="B2365" s="5" t="s">
        <v>6834</v>
      </c>
      <c r="C2365" s="5" t="s">
        <v>6886</v>
      </c>
      <c r="D2365" s="5" t="s">
        <v>6836</v>
      </c>
      <c r="E2365" s="5" t="s">
        <v>18</v>
      </c>
      <c r="F2365" s="5" t="s">
        <v>6837</v>
      </c>
      <c r="G2365" s="5" t="s">
        <v>152</v>
      </c>
      <c r="H2365" s="5" t="s">
        <v>6838</v>
      </c>
      <c r="I2365" s="5" t="s">
        <v>6889</v>
      </c>
      <c r="J2365" s="5" t="s">
        <v>152</v>
      </c>
      <c r="K2365" s="7" t="str">
        <f ca="1">IFERROR(__xludf.DUMMYFUNCTION("GOOGLETRANSLATE(H2365,""EN"",""ES"")"),"JOYERÍA")</f>
        <v>JOYERÍA</v>
      </c>
      <c r="L2365" s="5" t="str">
        <f ca="1">IFERROR(__xludf.DUMMYFUNCTION("GOOGLETRANSLATE(J2365,""EN"",""ES"")"),"Medallones")</f>
        <v>Medallones</v>
      </c>
      <c r="M2365" s="8" t="s">
        <v>34</v>
      </c>
      <c r="N2365" s="8"/>
    </row>
    <row r="2366" spans="1:14" ht="11.25" customHeight="1">
      <c r="A2366" s="5" t="s">
        <v>6833</v>
      </c>
      <c r="B2366" s="5" t="s">
        <v>6834</v>
      </c>
      <c r="C2366" s="5" t="s">
        <v>6890</v>
      </c>
      <c r="D2366" s="5" t="s">
        <v>6836</v>
      </c>
      <c r="E2366" s="5" t="s">
        <v>18</v>
      </c>
      <c r="F2366" s="5" t="s">
        <v>6837</v>
      </c>
      <c r="G2366" s="5" t="s">
        <v>152</v>
      </c>
      <c r="H2366" s="5" t="s">
        <v>6838</v>
      </c>
      <c r="I2366" s="5" t="s">
        <v>6891</v>
      </c>
      <c r="J2366" s="5" t="s">
        <v>6892</v>
      </c>
      <c r="K2366" s="7" t="str">
        <f ca="1">IFERROR(__xludf.DUMMYFUNCTION("GOOGLETRANSLATE(H2366,""EN"",""ES"")"),"JOYERÍA")</f>
        <v>JOYERÍA</v>
      </c>
      <c r="L2366" s="5" t="str">
        <f ca="1">IFERROR(__xludf.DUMMYFUNCTION("GOOGLETRANSLATE(J2366,""EN"",""ES"")"),"Colgantes [joyas]")</f>
        <v>Colgantes [joyas]</v>
      </c>
      <c r="M2366" s="8" t="s">
        <v>34</v>
      </c>
      <c r="N2366" s="8"/>
    </row>
    <row r="2367" spans="1:14" ht="11.25" customHeight="1">
      <c r="A2367" s="5" t="s">
        <v>6833</v>
      </c>
      <c r="B2367" s="5" t="s">
        <v>6834</v>
      </c>
      <c r="C2367" s="5" t="s">
        <v>6893</v>
      </c>
      <c r="D2367" s="5" t="s">
        <v>6836</v>
      </c>
      <c r="E2367" s="5" t="s">
        <v>18</v>
      </c>
      <c r="F2367" s="5" t="s">
        <v>6837</v>
      </c>
      <c r="G2367" s="5" t="s">
        <v>152</v>
      </c>
      <c r="H2367" s="5" t="s">
        <v>6838</v>
      </c>
      <c r="I2367" s="5" t="s">
        <v>6894</v>
      </c>
      <c r="J2367" s="5" t="s">
        <v>6895</v>
      </c>
      <c r="K2367" s="7" t="str">
        <f ca="1">IFERROR(__xludf.DUMMYFUNCTION("GOOGLETRANSLATE(H2367,""EN"",""ES"")"),"JOYERÍA")</f>
        <v>JOYERÍA</v>
      </c>
      <c r="L2367" s="5" t="str">
        <f ca="1">IFERROR(__xludf.DUMMYFUNCTION("GOOGLETRANSLATE(J2367,""EN"",""ES"")"),"Perlas")</f>
        <v>Perlas</v>
      </c>
      <c r="M2367" s="8" t="s">
        <v>34</v>
      </c>
      <c r="N2367" s="8"/>
    </row>
    <row r="2368" spans="1:14" ht="11.25" customHeight="1">
      <c r="A2368" s="5" t="s">
        <v>6833</v>
      </c>
      <c r="B2368" s="5" t="s">
        <v>6834</v>
      </c>
      <c r="C2368" s="5" t="s">
        <v>6896</v>
      </c>
      <c r="D2368" s="5" t="s">
        <v>6836</v>
      </c>
      <c r="E2368" s="5" t="s">
        <v>18</v>
      </c>
      <c r="F2368" s="5" t="s">
        <v>6837</v>
      </c>
      <c r="G2368" s="5" t="s">
        <v>152</v>
      </c>
      <c r="H2368" s="5" t="s">
        <v>6838</v>
      </c>
      <c r="I2368" s="5" t="s">
        <v>6897</v>
      </c>
      <c r="J2368" s="5" t="s">
        <v>6898</v>
      </c>
      <c r="K2368" s="7" t="str">
        <f ca="1">IFERROR(__xludf.DUMMYFUNCTION("GOOGLETRANSLATE(H2368,""EN"",""ES"")"),"JOYERÍA")</f>
        <v>JOYERÍA</v>
      </c>
      <c r="L2368" s="5" t="str">
        <f ca="1">IFERROR(__xludf.DUMMYFUNCTION("GOOGLETRANSLATE(J2368,""EN"",""ES"")"),"Gemas")</f>
        <v>Gemas</v>
      </c>
      <c r="M2368" s="8" t="s">
        <v>34</v>
      </c>
      <c r="N2368" s="8"/>
    </row>
    <row r="2369" spans="1:14" ht="11.25" customHeight="1">
      <c r="A2369" s="5" t="s">
        <v>6833</v>
      </c>
      <c r="B2369" s="5" t="s">
        <v>6834</v>
      </c>
      <c r="C2369" s="5" t="s">
        <v>6896</v>
      </c>
      <c r="D2369" s="5" t="s">
        <v>6836</v>
      </c>
      <c r="E2369" s="5" t="s">
        <v>18</v>
      </c>
      <c r="F2369" s="5" t="s">
        <v>6837</v>
      </c>
      <c r="G2369" s="5" t="s">
        <v>152</v>
      </c>
      <c r="H2369" s="5" t="s">
        <v>6838</v>
      </c>
      <c r="I2369" s="5" t="s">
        <v>6899</v>
      </c>
      <c r="J2369" s="5" t="s">
        <v>152</v>
      </c>
      <c r="K2369" s="7" t="str">
        <f ca="1">IFERROR(__xludf.DUMMYFUNCTION("GOOGLETRANSLATE(H2369,""EN"",""ES"")"),"JOYERÍA")</f>
        <v>JOYERÍA</v>
      </c>
      <c r="L2369" s="5" t="str">
        <f ca="1">IFERROR(__xludf.DUMMYFUNCTION("GOOGLETRANSLATE(J2369,""EN"",""ES"")"),"piedras preciosas")</f>
        <v>piedras preciosas</v>
      </c>
      <c r="M2369" s="8" t="s">
        <v>34</v>
      </c>
      <c r="N2369" s="8"/>
    </row>
    <row r="2370" spans="1:14" ht="11.25" customHeight="1">
      <c r="A2370" s="5" t="s">
        <v>6833</v>
      </c>
      <c r="B2370" s="5" t="s">
        <v>6834</v>
      </c>
      <c r="C2370" s="5" t="s">
        <v>6900</v>
      </c>
      <c r="D2370" s="5" t="s">
        <v>6836</v>
      </c>
      <c r="E2370" s="5" t="s">
        <v>18</v>
      </c>
      <c r="F2370" s="5" t="s">
        <v>6837</v>
      </c>
      <c r="G2370" s="5" t="s">
        <v>152</v>
      </c>
      <c r="H2370" s="5" t="s">
        <v>6838</v>
      </c>
      <c r="I2370" s="5" t="s">
        <v>6901</v>
      </c>
      <c r="J2370" s="5" t="s">
        <v>6902</v>
      </c>
      <c r="K2370" s="7" t="str">
        <f ca="1">IFERROR(__xludf.DUMMYFUNCTION("GOOGLETRANSLATE(H2370,""EN"",""ES"")"),"JOYERÍA")</f>
        <v>JOYERÍA</v>
      </c>
      <c r="L2370" s="5" t="str">
        <f ca="1">IFERROR(__xludf.DUMMYFUNCTION("GOOGLETRANSLATE(J2370,""EN"",""ES"")"),"diamantes solitarios")</f>
        <v>diamantes solitarios</v>
      </c>
      <c r="M2370" s="8" t="s">
        <v>34</v>
      </c>
      <c r="N2370" s="8"/>
    </row>
    <row r="2371" spans="1:14" ht="11.25" customHeight="1">
      <c r="A2371" s="5" t="s">
        <v>6833</v>
      </c>
      <c r="B2371" s="5" t="s">
        <v>6834</v>
      </c>
      <c r="C2371" s="5" t="s">
        <v>6903</v>
      </c>
      <c r="D2371" s="5" t="s">
        <v>6836</v>
      </c>
      <c r="E2371" s="5" t="s">
        <v>18</v>
      </c>
      <c r="F2371" s="5" t="s">
        <v>6837</v>
      </c>
      <c r="G2371" s="5" t="s">
        <v>152</v>
      </c>
      <c r="H2371" s="5" t="s">
        <v>6838</v>
      </c>
      <c r="I2371" s="5" t="s">
        <v>6904</v>
      </c>
      <c r="J2371" s="5" t="s">
        <v>6905</v>
      </c>
      <c r="K2371" s="7" t="str">
        <f ca="1">IFERROR(__xludf.DUMMYFUNCTION("GOOGLETRANSLATE(H2371,""EN"",""ES"")"),"JOYERÍA")</f>
        <v>JOYERÍA</v>
      </c>
      <c r="L2371" s="5" t="str">
        <f ca="1">IFERROR(__xludf.DUMMYFUNCTION("GOOGLETRANSLATE(J2371,""EN"",""ES"")"),"rosarios")</f>
        <v>rosarios</v>
      </c>
      <c r="M2371" s="8" t="s">
        <v>34</v>
      </c>
      <c r="N2371" s="8"/>
    </row>
    <row r="2372" spans="1:14" ht="11.25" customHeight="1">
      <c r="A2372" s="5" t="s">
        <v>6833</v>
      </c>
      <c r="B2372" s="5" t="s">
        <v>6834</v>
      </c>
      <c r="C2372" s="5" t="s">
        <v>6903</v>
      </c>
      <c r="D2372" s="5" t="s">
        <v>6836</v>
      </c>
      <c r="E2372" s="5" t="s">
        <v>18</v>
      </c>
      <c r="F2372" s="5" t="s">
        <v>6837</v>
      </c>
      <c r="G2372" s="5" t="s">
        <v>152</v>
      </c>
      <c r="H2372" s="5" t="s">
        <v>6838</v>
      </c>
      <c r="I2372" s="5" t="s">
        <v>152</v>
      </c>
      <c r="J2372" s="5" t="s">
        <v>6906</v>
      </c>
      <c r="K2372" s="7" t="str">
        <f ca="1">IFERROR(__xludf.DUMMYFUNCTION("GOOGLETRANSLATE(H2372,""EN"",""ES"")"),"JOYERÍA")</f>
        <v>JOYERÍA</v>
      </c>
      <c r="L2372" s="5" t="str">
        <f ca="1">IFERROR(__xludf.DUMMYFUNCTION("GOOGLETRANSLATE(J2372,""EN"",""ES"")"),"N / A")</f>
        <v>N / A</v>
      </c>
      <c r="M2372" s="8" t="s">
        <v>34</v>
      </c>
      <c r="N2372" s="8"/>
    </row>
    <row r="2373" spans="1:14" ht="11.25" customHeight="1">
      <c r="A2373" s="5" t="s">
        <v>6833</v>
      </c>
      <c r="B2373" s="5" t="s">
        <v>6834</v>
      </c>
      <c r="C2373" s="5" t="s">
        <v>6907</v>
      </c>
      <c r="D2373" s="5" t="s">
        <v>6836</v>
      </c>
      <c r="E2373" s="5" t="s">
        <v>18</v>
      </c>
      <c r="F2373" s="5" t="s">
        <v>6837</v>
      </c>
      <c r="G2373" s="5" t="s">
        <v>152</v>
      </c>
      <c r="H2373" s="5" t="s">
        <v>6838</v>
      </c>
      <c r="I2373" s="5" t="s">
        <v>6908</v>
      </c>
      <c r="J2373" s="5" t="s">
        <v>6909</v>
      </c>
      <c r="K2373" s="7" t="str">
        <f ca="1">IFERROR(__xludf.DUMMYFUNCTION("GOOGLETRANSLATE(H2373,""EN"",""ES"")"),"JOYERÍA")</f>
        <v>JOYERÍA</v>
      </c>
      <c r="L2373" s="5" t="str">
        <f ca="1">IFERROR(__xludf.DUMMYFUNCTION("GOOGLETRANSLATE(J2373,""EN"",""ES"")"),"Objetos religiosos [joyas]")</f>
        <v>Objetos religiosos [joyas]</v>
      </c>
      <c r="M2373" s="8" t="s">
        <v>34</v>
      </c>
      <c r="N2373" s="8"/>
    </row>
    <row r="2374" spans="1:14" ht="11.25" customHeight="1">
      <c r="A2374" s="5" t="s">
        <v>6833</v>
      </c>
      <c r="B2374" s="5" t="s">
        <v>6834</v>
      </c>
      <c r="C2374" s="5" t="s">
        <v>6910</v>
      </c>
      <c r="D2374" s="5" t="s">
        <v>6836</v>
      </c>
      <c r="E2374" s="5" t="s">
        <v>18</v>
      </c>
      <c r="F2374" s="5" t="s">
        <v>6837</v>
      </c>
      <c r="G2374" s="5" t="s">
        <v>152</v>
      </c>
      <c r="H2374" s="5" t="s">
        <v>6838</v>
      </c>
      <c r="I2374" s="5" t="s">
        <v>6911</v>
      </c>
      <c r="J2374" s="5" t="s">
        <v>6912</v>
      </c>
      <c r="K2374" s="7" t="str">
        <f ca="1">IFERROR(__xludf.DUMMYFUNCTION("GOOGLETRANSLATE(H2374,""EN"",""ES"")"),"JOYERÍA")</f>
        <v>JOYERÍA</v>
      </c>
      <c r="L2374" s="5" t="str">
        <f ca="1">IFERROR(__xludf.DUMMYFUNCTION("GOOGLETRANSLATE(J2374,""EN"",""ES"")"),"Enlaces de pulsera")</f>
        <v>Enlaces de pulsera</v>
      </c>
      <c r="M2374" s="8" t="s">
        <v>34</v>
      </c>
      <c r="N2374" s="8"/>
    </row>
    <row r="2375" spans="1:14" ht="11.25" customHeight="1">
      <c r="A2375" s="5" t="s">
        <v>6833</v>
      </c>
      <c r="B2375" s="5" t="s">
        <v>6834</v>
      </c>
      <c r="C2375" s="5" t="s">
        <v>6913</v>
      </c>
      <c r="D2375" s="5" t="s">
        <v>6836</v>
      </c>
      <c r="E2375" s="5" t="s">
        <v>18</v>
      </c>
      <c r="F2375" s="5" t="s">
        <v>6837</v>
      </c>
      <c r="G2375" s="5" t="s">
        <v>152</v>
      </c>
      <c r="H2375" s="5" t="s">
        <v>6838</v>
      </c>
      <c r="I2375" s="5" t="s">
        <v>6914</v>
      </c>
      <c r="J2375" s="5" t="s">
        <v>6915</v>
      </c>
      <c r="K2375" s="7" t="str">
        <f ca="1">IFERROR(__xludf.DUMMYFUNCTION("GOOGLETRANSLATE(H2375,""EN"",""ES"")"),"JOYERÍA")</f>
        <v>JOYERÍA</v>
      </c>
      <c r="L2375" s="5" t="str">
        <f ca="1">IFERROR(__xludf.DUMMYFUNCTION("GOOGLETRANSLATE(J2375,""EN"",""ES"")"),"Sujetadores para el cabello [joyas]")</f>
        <v>Sujetadores para el cabello [joyas]</v>
      </c>
      <c r="M2375" s="8" t="s">
        <v>34</v>
      </c>
      <c r="N2375" s="8"/>
    </row>
    <row r="2376" spans="1:14" ht="11.25" customHeight="1">
      <c r="A2376" s="5" t="s">
        <v>6833</v>
      </c>
      <c r="B2376" s="5" t="s">
        <v>6834</v>
      </c>
      <c r="C2376" s="5" t="s">
        <v>6916</v>
      </c>
      <c r="D2376" s="5" t="s">
        <v>6836</v>
      </c>
      <c r="E2376" s="5" t="s">
        <v>18</v>
      </c>
      <c r="F2376" s="5" t="s">
        <v>6837</v>
      </c>
      <c r="G2376" s="5" t="s">
        <v>152</v>
      </c>
      <c r="H2376" s="5" t="s">
        <v>6838</v>
      </c>
      <c r="I2376" s="5" t="s">
        <v>6917</v>
      </c>
      <c r="J2376" s="5" t="s">
        <v>6918</v>
      </c>
      <c r="K2376" s="7" t="str">
        <f ca="1">IFERROR(__xludf.DUMMYFUNCTION("GOOGLETRANSLATE(H2376,""EN"",""ES"")"),"JOYERÍA")</f>
        <v>JOYERÍA</v>
      </c>
      <c r="L2376" s="5" t="str">
        <f ca="1">IFERROR(__xludf.DUMMYFUNCTION("GOOGLETRANSLATE(J2376,""EN"",""ES"")"),"Sautoirs [joyas]")</f>
        <v>Sautoirs [joyas]</v>
      </c>
      <c r="M2376" s="8" t="s">
        <v>34</v>
      </c>
      <c r="N2376" s="8"/>
    </row>
    <row r="2377" spans="1:14" ht="11.25" customHeight="1">
      <c r="A2377" s="5" t="s">
        <v>6833</v>
      </c>
      <c r="B2377" s="5" t="s">
        <v>6834</v>
      </c>
      <c r="C2377" s="5" t="s">
        <v>6919</v>
      </c>
      <c r="D2377" s="5" t="s">
        <v>6836</v>
      </c>
      <c r="E2377" s="5" t="s">
        <v>18</v>
      </c>
      <c r="F2377" s="5" t="s">
        <v>6837</v>
      </c>
      <c r="G2377" s="5" t="s">
        <v>152</v>
      </c>
      <c r="H2377" s="5" t="s">
        <v>6838</v>
      </c>
      <c r="I2377" s="5" t="s">
        <v>6920</v>
      </c>
      <c r="J2377" s="5" t="s">
        <v>6921</v>
      </c>
      <c r="K2377" s="7" t="str">
        <f ca="1">IFERROR(__xludf.DUMMYFUNCTION("GOOGLETRANSLATE(H2377,""EN"",""ES"")"),"JOYERÍA")</f>
        <v>JOYERÍA</v>
      </c>
      <c r="L2377" s="5" t="str">
        <f ca="1">IFERROR(__xludf.DUMMYFUNCTION("GOOGLETRANSLATE(J2377,""EN"",""ES"")"),"Eslabones de cadena [joyas]")</f>
        <v>Eslabones de cadena [joyas]</v>
      </c>
      <c r="M2377" s="8" t="s">
        <v>34</v>
      </c>
      <c r="N2377" s="8"/>
    </row>
    <row r="2378" spans="1:14" ht="11.25" customHeight="1">
      <c r="A2378" s="5" t="s">
        <v>6833</v>
      </c>
      <c r="B2378" s="5" t="s">
        <v>6834</v>
      </c>
      <c r="C2378" s="5" t="s">
        <v>6922</v>
      </c>
      <c r="D2378" s="5" t="s">
        <v>6836</v>
      </c>
      <c r="E2378" s="5" t="s">
        <v>18</v>
      </c>
      <c r="F2378" s="5" t="s">
        <v>6837</v>
      </c>
      <c r="G2378" s="5" t="s">
        <v>152</v>
      </c>
      <c r="H2378" s="5" t="s">
        <v>6838</v>
      </c>
      <c r="I2378" s="5" t="s">
        <v>6923</v>
      </c>
      <c r="J2378" s="5" t="s">
        <v>6924</v>
      </c>
      <c r="K2378" s="7" t="str">
        <f ca="1">IFERROR(__xludf.DUMMYFUNCTION("GOOGLETRANSLATE(H2378,""EN"",""ES"")"),"JOYERÍA")</f>
        <v>JOYERÍA</v>
      </c>
      <c r="L2378" s="5" t="str">
        <f ca="1">IFERROR(__xludf.DUMMYFUNCTION("GOOGLETRANSLATE(J2378,""EN"",""ES"")"),"Conjuntos de joyería")</f>
        <v>Conjuntos de joyería</v>
      </c>
      <c r="M2378" s="8" t="s">
        <v>34</v>
      </c>
      <c r="N2378" s="8"/>
    </row>
    <row r="2379" spans="1:14" ht="11.25" customHeight="1">
      <c r="A2379" s="5" t="s">
        <v>6833</v>
      </c>
      <c r="B2379" s="5" t="s">
        <v>6834</v>
      </c>
      <c r="C2379" s="5" t="s">
        <v>6925</v>
      </c>
      <c r="D2379" s="5" t="s">
        <v>6836</v>
      </c>
      <c r="E2379" s="5" t="s">
        <v>18</v>
      </c>
      <c r="F2379" s="5" t="s">
        <v>6837</v>
      </c>
      <c r="G2379" s="5" t="s">
        <v>152</v>
      </c>
      <c r="H2379" s="5" t="s">
        <v>6838</v>
      </c>
      <c r="I2379" s="5" t="s">
        <v>6926</v>
      </c>
      <c r="J2379" s="5" t="s">
        <v>6927</v>
      </c>
      <c r="K2379" s="7" t="str">
        <f ca="1">IFERROR(__xludf.DUMMYFUNCTION("GOOGLETRANSLATE(H2379,""EN"",""ES"")"),"JOYERÍA")</f>
        <v>JOYERÍA</v>
      </c>
      <c r="L2379" s="5" t="str">
        <f ca="1">IFERROR(__xludf.DUMMYFUNCTION("GOOGLETRANSLATE(J2379,""EN"",""ES"")"),"Joyas para perforar")</f>
        <v>Joyas para perforar</v>
      </c>
      <c r="M2379" s="8" t="s">
        <v>34</v>
      </c>
      <c r="N2379" s="8"/>
    </row>
    <row r="2380" spans="1:14" ht="11.25" customHeight="1">
      <c r="A2380" s="5" t="s">
        <v>6833</v>
      </c>
      <c r="B2380" s="5" t="s">
        <v>6834</v>
      </c>
      <c r="C2380" s="5" t="s">
        <v>6928</v>
      </c>
      <c r="D2380" s="5" t="s">
        <v>6836</v>
      </c>
      <c r="E2380" s="5" t="s">
        <v>18</v>
      </c>
      <c r="F2380" s="5" t="s">
        <v>6837</v>
      </c>
      <c r="G2380" s="5" t="s">
        <v>152</v>
      </c>
      <c r="H2380" s="5" t="s">
        <v>6838</v>
      </c>
      <c r="I2380" s="5" t="s">
        <v>6929</v>
      </c>
      <c r="J2380" s="5" t="s">
        <v>6930</v>
      </c>
      <c r="K2380" s="7" t="str">
        <f ca="1">IFERROR(__xludf.DUMMYFUNCTION("GOOGLETRANSLATE(H2380,""EN"",""ES"")"),"JOYERÍA")</f>
        <v>JOYERÍA</v>
      </c>
      <c r="L2380" s="5" t="str">
        <f ca="1">IFERROR(__xludf.DUMMYFUNCTION("GOOGLETRANSLATE(J2380,""EN"",""ES"")"),"Pulseras de puño")</f>
        <v>Pulseras de puño</v>
      </c>
      <c r="M2380" s="8" t="s">
        <v>34</v>
      </c>
      <c r="N2380" s="8"/>
    </row>
    <row r="2381" spans="1:14" ht="11.25" customHeight="1">
      <c r="A2381" s="5" t="s">
        <v>6833</v>
      </c>
      <c r="B2381" s="5" t="s">
        <v>6834</v>
      </c>
      <c r="C2381" s="5" t="s">
        <v>6931</v>
      </c>
      <c r="D2381" s="5" t="s">
        <v>6836</v>
      </c>
      <c r="E2381" s="5" t="s">
        <v>18</v>
      </c>
      <c r="F2381" s="5" t="s">
        <v>6837</v>
      </c>
      <c r="G2381" s="5" t="s">
        <v>152</v>
      </c>
      <c r="H2381" s="5" t="s">
        <v>6838</v>
      </c>
      <c r="I2381" s="5" t="s">
        <v>6932</v>
      </c>
      <c r="J2381" s="5" t="s">
        <v>6933</v>
      </c>
      <c r="K2381" s="7" t="str">
        <f ca="1">IFERROR(__xludf.DUMMYFUNCTION("GOOGLETRANSLATE(H2381,""EN"",""ES"")"),"JOYERÍA")</f>
        <v>JOYERÍA</v>
      </c>
      <c r="L2381" s="5" t="str">
        <f ca="1">IFERROR(__xludf.DUMMYFUNCTION("GOOGLETRANSLATE(J2381,""EN"",""ES"")"),"Cierres de joyería [incluidos los magnéticos]")</f>
        <v>Cierres de joyería [incluidos los magnéticos]</v>
      </c>
      <c r="M2381" s="8" t="s">
        <v>34</v>
      </c>
      <c r="N2381" s="8"/>
    </row>
    <row r="2382" spans="1:14" ht="11.25" customHeight="1">
      <c r="A2382" s="5" t="s">
        <v>6833</v>
      </c>
      <c r="B2382" s="5" t="s">
        <v>6934</v>
      </c>
      <c r="C2382" s="5" t="s">
        <v>6935</v>
      </c>
      <c r="D2382" s="5" t="s">
        <v>6836</v>
      </c>
      <c r="E2382" s="5" t="s">
        <v>18</v>
      </c>
      <c r="F2382" s="5" t="s">
        <v>6837</v>
      </c>
      <c r="G2382" s="5" t="s">
        <v>152</v>
      </c>
      <c r="H2382" s="5" t="s">
        <v>6936</v>
      </c>
      <c r="I2382" s="5" t="s">
        <v>6937</v>
      </c>
      <c r="J2382" s="5" t="s">
        <v>6938</v>
      </c>
      <c r="K2382" s="7" t="str">
        <f ca="1">IFERROR(__xludf.DUMMYFUNCTION("GOOGLETRANSLATE(H2382,""EN"",""ES"")"),"baratijas, adornos de mesa, repisa y pared, floreros y maceteros.")</f>
        <v>baratijas, adornos de mesa, repisa y pared, floreros y maceteros.</v>
      </c>
      <c r="L2382" s="5" t="str">
        <f ca="1">IFERROR(__xludf.DUMMYFUNCTION("GOOGLETRANSLATE(J2382,""EN"",""ES"")"),"Adornos de pared")</f>
        <v>Adornos de pared</v>
      </c>
      <c r="M2382" s="8" t="s">
        <v>33</v>
      </c>
      <c r="N2382" s="8"/>
    </row>
    <row r="2383" spans="1:14" ht="11.25" customHeight="1">
      <c r="A2383" s="5" t="s">
        <v>6833</v>
      </c>
      <c r="B2383" s="5" t="s">
        <v>6934</v>
      </c>
      <c r="C2383" s="5" t="s">
        <v>6935</v>
      </c>
      <c r="D2383" s="5" t="s">
        <v>6836</v>
      </c>
      <c r="E2383" s="5" t="s">
        <v>18</v>
      </c>
      <c r="F2383" s="5" t="s">
        <v>6837</v>
      </c>
      <c r="G2383" s="5" t="s">
        <v>152</v>
      </c>
      <c r="H2383" s="5" t="s">
        <v>6936</v>
      </c>
      <c r="I2383" s="5" t="s">
        <v>152</v>
      </c>
      <c r="J2383" s="5" t="s">
        <v>6939</v>
      </c>
      <c r="K2383" s="7" t="str">
        <f ca="1">IFERROR(__xludf.DUMMYFUNCTION("GOOGLETRANSLATE(H2383,""EN"",""ES"")"),"baratijas, adornos de mesa, repisa y pared, floreros y maceteros.")</f>
        <v>baratijas, adornos de mesa, repisa y pared, floreros y maceteros.</v>
      </c>
      <c r="L2383" s="5" t="str">
        <f ca="1">IFERROR(__xludf.DUMMYFUNCTION("GOOGLETRANSLATE(J2383,""EN"",""ES"")"),"N / A")</f>
        <v>N / A</v>
      </c>
      <c r="M2383" s="8" t="s">
        <v>33</v>
      </c>
      <c r="N2383" s="8"/>
    </row>
    <row r="2384" spans="1:14" ht="11.25" customHeight="1">
      <c r="A2384" s="5" t="s">
        <v>6833</v>
      </c>
      <c r="B2384" s="5" t="s">
        <v>6934</v>
      </c>
      <c r="C2384" s="5" t="s">
        <v>6940</v>
      </c>
      <c r="D2384" s="5" t="s">
        <v>6836</v>
      </c>
      <c r="E2384" s="5" t="s">
        <v>18</v>
      </c>
      <c r="F2384" s="5" t="s">
        <v>6837</v>
      </c>
      <c r="G2384" s="5" t="s">
        <v>152</v>
      </c>
      <c r="H2384" s="5" t="s">
        <v>6936</v>
      </c>
      <c r="I2384" s="5" t="s">
        <v>6941</v>
      </c>
      <c r="J2384" s="5" t="s">
        <v>6942</v>
      </c>
      <c r="K2384" s="7" t="str">
        <f ca="1">IFERROR(__xludf.DUMMYFUNCTION("GOOGLETRANSLATE(H2384,""EN"",""ES"")"),"baratijas, adornos de mesa, repisa y pared, floreros y maceteros.")</f>
        <v>baratijas, adornos de mesa, repisa y pared, floreros y maceteros.</v>
      </c>
      <c r="L2384" s="5" t="str">
        <f ca="1">IFERROR(__xludf.DUMMYFUNCTION("GOOGLETRANSLATE(J2384,""EN"",""ES"")"),"Acuarios para flores")</f>
        <v>Acuarios para flores</v>
      </c>
      <c r="M2384" s="8" t="s">
        <v>33</v>
      </c>
      <c r="N2384" s="8"/>
    </row>
    <row r="2385" spans="1:14" ht="11.25" customHeight="1">
      <c r="A2385" s="5" t="s">
        <v>6833</v>
      </c>
      <c r="B2385" s="5" t="s">
        <v>6934</v>
      </c>
      <c r="C2385" s="5" t="s">
        <v>6943</v>
      </c>
      <c r="D2385" s="5" t="s">
        <v>6836</v>
      </c>
      <c r="E2385" s="5" t="s">
        <v>18</v>
      </c>
      <c r="F2385" s="5" t="s">
        <v>6837</v>
      </c>
      <c r="G2385" s="5" t="s">
        <v>152</v>
      </c>
      <c r="H2385" s="5" t="s">
        <v>6936</v>
      </c>
      <c r="I2385" s="5" t="s">
        <v>6944</v>
      </c>
      <c r="J2385" s="5" t="s">
        <v>6944</v>
      </c>
      <c r="K2385" s="7" t="str">
        <f ca="1">IFERROR(__xludf.DUMMYFUNCTION("GOOGLETRANSLATE(H2385,""EN"",""ES"")"),"baratijas, adornos de mesa, repisa y pared, floreros y maceteros.")</f>
        <v>baratijas, adornos de mesa, repisa y pared, floreros y maceteros.</v>
      </c>
      <c r="L2385" s="5" t="str">
        <f ca="1">IFERROR(__xludf.DUMMYFUNCTION("GOOGLETRANSLATE(J2385,""EN"",""ES"")"),"Bajorrelieves")</f>
        <v>Bajorrelieves</v>
      </c>
      <c r="M2385" s="8" t="s">
        <v>33</v>
      </c>
      <c r="N2385" s="8"/>
    </row>
    <row r="2386" spans="1:14" ht="11.25" customHeight="1">
      <c r="A2386" s="5" t="s">
        <v>6833</v>
      </c>
      <c r="B2386" s="5" t="s">
        <v>6934</v>
      </c>
      <c r="C2386" s="5" t="s">
        <v>6945</v>
      </c>
      <c r="D2386" s="5" t="s">
        <v>6836</v>
      </c>
      <c r="E2386" s="5" t="s">
        <v>18</v>
      </c>
      <c r="F2386" s="5" t="s">
        <v>6837</v>
      </c>
      <c r="G2386" s="5" t="s">
        <v>152</v>
      </c>
      <c r="H2386" s="5" t="s">
        <v>6936</v>
      </c>
      <c r="I2386" s="5" t="s">
        <v>6946</v>
      </c>
      <c r="J2386" s="5" t="s">
        <v>6947</v>
      </c>
      <c r="K2386" s="7" t="str">
        <f ca="1">IFERROR(__xludf.DUMMYFUNCTION("GOOGLETRANSLATE(H2386,""EN"",""ES"")"),"baratijas, adornos de mesa, repisa y pared, floreros y maceteros.")</f>
        <v>baratijas, adornos de mesa, repisa y pared, floreros y maceteros.</v>
      </c>
      <c r="L2386" s="5" t="str">
        <f ca="1">IFERROR(__xludf.DUMMYFUNCTION("GOOGLETRANSLATE(J2386,""EN"",""ES"")"),"Baratijas")</f>
        <v>Baratijas</v>
      </c>
      <c r="M2386" s="8" t="s">
        <v>33</v>
      </c>
      <c r="N2386" s="8"/>
    </row>
    <row r="2387" spans="1:14" ht="11.25" customHeight="1">
      <c r="A2387" s="5" t="s">
        <v>6833</v>
      </c>
      <c r="B2387" s="5" t="s">
        <v>6934</v>
      </c>
      <c r="C2387" s="5" t="s">
        <v>6948</v>
      </c>
      <c r="D2387" s="5" t="s">
        <v>6836</v>
      </c>
      <c r="E2387" s="5" t="s">
        <v>18</v>
      </c>
      <c r="F2387" s="5" t="s">
        <v>6837</v>
      </c>
      <c r="G2387" s="5" t="s">
        <v>152</v>
      </c>
      <c r="H2387" s="5" t="s">
        <v>6936</v>
      </c>
      <c r="I2387" s="5" t="s">
        <v>6949</v>
      </c>
      <c r="J2387" s="5" t="s">
        <v>6950</v>
      </c>
      <c r="K2387" s="7" t="str">
        <f ca="1">IFERROR(__xludf.DUMMYFUNCTION("GOOGLETRANSLATE(H2387,""EN"",""ES"")"),"baratijas, adornos de mesa, repisa y pared, floreros y maceteros.")</f>
        <v>baratijas, adornos de mesa, repisa y pared, floreros y maceteros.</v>
      </c>
      <c r="L2387" s="5" t="str">
        <f ca="1">IFERROR(__xludf.DUMMYFUNCTION("GOOGLETRANSLATE(J2387,""EN"",""ES"")"),"Fundas para macetas")</f>
        <v>Fundas para macetas</v>
      </c>
      <c r="M2387" s="8" t="s">
        <v>33</v>
      </c>
      <c r="N2387" s="8"/>
    </row>
    <row r="2388" spans="1:14" ht="11.25" customHeight="1">
      <c r="A2388" s="5" t="s">
        <v>6833</v>
      </c>
      <c r="B2388" s="5" t="s">
        <v>6934</v>
      </c>
      <c r="C2388" s="5" t="s">
        <v>6951</v>
      </c>
      <c r="D2388" s="5" t="s">
        <v>6836</v>
      </c>
      <c r="E2388" s="5" t="s">
        <v>18</v>
      </c>
      <c r="F2388" s="5" t="s">
        <v>6837</v>
      </c>
      <c r="G2388" s="5" t="s">
        <v>152</v>
      </c>
      <c r="H2388" s="5" t="s">
        <v>6936</v>
      </c>
      <c r="I2388" s="5" t="s">
        <v>6952</v>
      </c>
      <c r="J2388" s="5" t="s">
        <v>6953</v>
      </c>
      <c r="K2388" s="7" t="str">
        <f ca="1">IFERROR(__xludf.DUMMYFUNCTION("GOOGLETRANSLATE(H2388,""EN"",""ES"")"),"baratijas, adornos de mesa, repisa y pared, floreros y maceteros.")</f>
        <v>baratijas, adornos de mesa, repisa y pared, floreros y maceteros.</v>
      </c>
      <c r="L2388" s="5" t="str">
        <f ca="1">IFERROR(__xludf.DUMMYFUNCTION("GOOGLETRANSLATE(J2388,""EN"",""ES"")"),"Cerámica")</f>
        <v>Cerámica</v>
      </c>
      <c r="M2388" s="8" t="s">
        <v>33</v>
      </c>
      <c r="N2388" s="8"/>
    </row>
    <row r="2389" spans="1:14" ht="11.25" customHeight="1">
      <c r="A2389" s="5" t="s">
        <v>6833</v>
      </c>
      <c r="B2389" s="5" t="s">
        <v>6934</v>
      </c>
      <c r="C2389" s="5" t="s">
        <v>6954</v>
      </c>
      <c r="D2389" s="5" t="s">
        <v>6836</v>
      </c>
      <c r="E2389" s="5" t="s">
        <v>18</v>
      </c>
      <c r="F2389" s="5" t="s">
        <v>6837</v>
      </c>
      <c r="G2389" s="5" t="s">
        <v>152</v>
      </c>
      <c r="H2389" s="5" t="s">
        <v>6936</v>
      </c>
      <c r="I2389" s="5" t="s">
        <v>6955</v>
      </c>
      <c r="J2389" s="5" t="s">
        <v>6956</v>
      </c>
      <c r="K2389" s="7" t="str">
        <f ca="1">IFERROR(__xludf.DUMMYFUNCTION("GOOGLETRANSLATE(H2389,""EN"",""ES"")"),"baratijas, adornos de mesa, repisa y pared, floreros y maceteros.")</f>
        <v>baratijas, adornos de mesa, repisa y pared, floreros y maceteros.</v>
      </c>
      <c r="L2389" s="5" t="str">
        <f ca="1">IFERROR(__xludf.DUMMYFUNCTION("GOOGLETRANSLATE(J2389,""EN"",""ES"")"),"Cestas para sujetar maceteros.")</f>
        <v>Cestas para sujetar maceteros.</v>
      </c>
      <c r="M2389" s="8" t="s">
        <v>33</v>
      </c>
      <c r="N2389" s="8"/>
    </row>
    <row r="2390" spans="1:14" ht="11.25" customHeight="1">
      <c r="A2390" s="5" t="s">
        <v>6833</v>
      </c>
      <c r="B2390" s="5" t="s">
        <v>6934</v>
      </c>
      <c r="C2390" s="5" t="s">
        <v>6957</v>
      </c>
      <c r="D2390" s="5" t="s">
        <v>6836</v>
      </c>
      <c r="E2390" s="5" t="s">
        <v>18</v>
      </c>
      <c r="F2390" s="5" t="s">
        <v>6837</v>
      </c>
      <c r="G2390" s="5" t="s">
        <v>152</v>
      </c>
      <c r="H2390" s="5" t="s">
        <v>6936</v>
      </c>
      <c r="I2390" s="5" t="s">
        <v>6958</v>
      </c>
      <c r="J2390" s="5" t="s">
        <v>6959</v>
      </c>
      <c r="K2390" s="7" t="str">
        <f ca="1">IFERROR(__xludf.DUMMYFUNCTION("GOOGLETRANSLATE(H2390,""EN"",""ES"")"),"baratijas, adornos de mesa, repisa y pared, floreros y maceteros.")</f>
        <v>baratijas, adornos de mesa, repisa y pared, floreros y maceteros.</v>
      </c>
      <c r="L2390" s="5" t="str">
        <f ca="1">IFERROR(__xludf.DUMMYFUNCTION("GOOGLETRANSLATE(J2390,""EN"",""ES"")"),"Tazones de flores")</f>
        <v>Tazones de flores</v>
      </c>
      <c r="M2390" s="8" t="s">
        <v>33</v>
      </c>
      <c r="N2390" s="8"/>
    </row>
    <row r="2391" spans="1:14" ht="11.25" customHeight="1">
      <c r="A2391" s="5" t="s">
        <v>6833</v>
      </c>
      <c r="B2391" s="5" t="s">
        <v>6934</v>
      </c>
      <c r="C2391" s="5" t="s">
        <v>6960</v>
      </c>
      <c r="D2391" s="5" t="s">
        <v>6836</v>
      </c>
      <c r="E2391" s="5" t="s">
        <v>18</v>
      </c>
      <c r="F2391" s="5" t="s">
        <v>6837</v>
      </c>
      <c r="G2391" s="5" t="s">
        <v>152</v>
      </c>
      <c r="H2391" s="5" t="s">
        <v>6936</v>
      </c>
      <c r="I2391" s="5" t="s">
        <v>6961</v>
      </c>
      <c r="J2391" s="5" t="s">
        <v>6962</v>
      </c>
      <c r="K2391" s="7" t="str">
        <f ca="1">IFERROR(__xludf.DUMMYFUNCTION("GOOGLETRANSLATE(H2391,""EN"",""ES"")"),"baratijas, adornos de mesa, repisa y pared, floreros y maceteros.")</f>
        <v>baratijas, adornos de mesa, repisa y pared, floreros y maceteros.</v>
      </c>
      <c r="L2391" s="5" t="str">
        <f ca="1">IFERROR(__xludf.DUMMYFUNCTION("GOOGLETRANSLATE(J2391,""EN"",""ES"")"),"Cerámica [artículos de arte]")</f>
        <v>Cerámica [artículos de arte]</v>
      </c>
      <c r="M2391" s="8" t="s">
        <v>33</v>
      </c>
      <c r="N2391" s="8"/>
    </row>
    <row r="2392" spans="1:14" ht="11.25" customHeight="1">
      <c r="A2392" s="5" t="s">
        <v>6833</v>
      </c>
      <c r="B2392" s="5" t="s">
        <v>6934</v>
      </c>
      <c r="C2392" s="5" t="s">
        <v>6963</v>
      </c>
      <c r="D2392" s="5" t="s">
        <v>6836</v>
      </c>
      <c r="E2392" s="5" t="s">
        <v>18</v>
      </c>
      <c r="F2392" s="5" t="s">
        <v>6837</v>
      </c>
      <c r="G2392" s="5" t="s">
        <v>152</v>
      </c>
      <c r="H2392" s="5" t="s">
        <v>6936</v>
      </c>
      <c r="I2392" s="5" t="s">
        <v>6964</v>
      </c>
      <c r="J2392" s="5" t="s">
        <v>6964</v>
      </c>
      <c r="K2392" s="7" t="str">
        <f ca="1">IFERROR(__xludf.DUMMYFUNCTION("GOOGLETRANSLATE(H2392,""EN"",""ES"")"),"baratijas, adornos de mesa, repisa y pared, floreros y maceteros.")</f>
        <v>baratijas, adornos de mesa, repisa y pared, floreros y maceteros.</v>
      </c>
      <c r="L2392" s="5" t="str">
        <f ca="1">IFERROR(__xludf.DUMMYFUNCTION("GOOGLETRANSLATE(J2392,""EN"",""ES"")"),"Figuras")</f>
        <v>Figuras</v>
      </c>
      <c r="M2392" s="8" t="s">
        <v>33</v>
      </c>
      <c r="N2392" s="8"/>
    </row>
    <row r="2393" spans="1:14" ht="11.25" customHeight="1">
      <c r="A2393" s="5" t="s">
        <v>6833</v>
      </c>
      <c r="B2393" s="5" t="s">
        <v>6934</v>
      </c>
      <c r="C2393" s="5" t="s">
        <v>6965</v>
      </c>
      <c r="D2393" s="5" t="s">
        <v>6836</v>
      </c>
      <c r="E2393" s="5" t="s">
        <v>18</v>
      </c>
      <c r="F2393" s="5" t="s">
        <v>6837</v>
      </c>
      <c r="G2393" s="5" t="s">
        <v>152</v>
      </c>
      <c r="H2393" s="5" t="s">
        <v>6936</v>
      </c>
      <c r="I2393" s="5" t="s">
        <v>6966</v>
      </c>
      <c r="J2393" s="5" t="s">
        <v>6967</v>
      </c>
      <c r="K2393" s="7" t="str">
        <f ca="1">IFERROR(__xludf.DUMMYFUNCTION("GOOGLETRANSLATE(H2393,""EN"",""ES"")"),"baratijas, adornos de mesa, repisa y pared, floreros y maceteros.")</f>
        <v>baratijas, adornos de mesa, repisa y pared, floreros y maceteros.</v>
      </c>
      <c r="L2393" s="5" t="str">
        <f ca="1">IFERROR(__xludf.DUMMYFUNCTION("GOOGLETRANSLATE(J2393,""EN"",""ES"")"),"Móviles [decoración]")</f>
        <v>Móviles [decoración]</v>
      </c>
      <c r="M2393" s="8" t="s">
        <v>33</v>
      </c>
      <c r="N2393" s="8"/>
    </row>
    <row r="2394" spans="1:14" ht="11.25" customHeight="1">
      <c r="A2394" s="5" t="s">
        <v>6833</v>
      </c>
      <c r="B2394" s="5" t="s">
        <v>6934</v>
      </c>
      <c r="C2394" s="5" t="s">
        <v>6968</v>
      </c>
      <c r="D2394" s="5" t="s">
        <v>6836</v>
      </c>
      <c r="E2394" s="5" t="s">
        <v>18</v>
      </c>
      <c r="F2394" s="5" t="s">
        <v>6837</v>
      </c>
      <c r="G2394" s="5" t="s">
        <v>152</v>
      </c>
      <c r="H2394" s="5" t="s">
        <v>6936</v>
      </c>
      <c r="I2394" s="5" t="s">
        <v>6969</v>
      </c>
      <c r="J2394" s="5" t="s">
        <v>6970</v>
      </c>
      <c r="K2394" s="7" t="str">
        <f ca="1">IFERROR(__xludf.DUMMYFUNCTION("GOOGLETRANSLATE(H2394,""EN"",""ES"")"),"baratijas, adornos de mesa, repisa y pared, floreros y maceteros.")</f>
        <v>baratijas, adornos de mesa, repisa y pared, floreros y maceteros.</v>
      </c>
      <c r="L2394" s="5" t="str">
        <f ca="1">IFERROR(__xludf.DUMMYFUNCTION("GOOGLETRANSLATE(J2394,""EN"",""ES"")"),"mosaicos")</f>
        <v>mosaicos</v>
      </c>
      <c r="M2394" s="8" t="s">
        <v>33</v>
      </c>
      <c r="N2394" s="8"/>
    </row>
    <row r="2395" spans="1:14" ht="11.25" customHeight="1">
      <c r="A2395" s="5" t="s">
        <v>6833</v>
      </c>
      <c r="B2395" s="5" t="s">
        <v>6934</v>
      </c>
      <c r="C2395" s="5" t="s">
        <v>6971</v>
      </c>
      <c r="D2395" s="5" t="s">
        <v>6836</v>
      </c>
      <c r="E2395" s="5" t="s">
        <v>18</v>
      </c>
      <c r="F2395" s="5" t="s">
        <v>6837</v>
      </c>
      <c r="G2395" s="5" t="s">
        <v>152</v>
      </c>
      <c r="H2395" s="5" t="s">
        <v>6936</v>
      </c>
      <c r="I2395" s="5" t="s">
        <v>6972</v>
      </c>
      <c r="J2395" s="5" t="s">
        <v>6973</v>
      </c>
      <c r="K2395" s="7" t="str">
        <f ca="1">IFERROR(__xludf.DUMMYFUNCTION("GOOGLETRANSLATE(H2395,""EN"",""ES"")"),"baratijas, adornos de mesa, repisa y pared, floreros y maceteros.")</f>
        <v>baratijas, adornos de mesa, repisa y pared, floreros y maceteros.</v>
      </c>
      <c r="L2395" s="5" t="str">
        <f ca="1">IFERROR(__xludf.DUMMYFUNCTION("GOOGLETRANSLATE(J2395,""EN"",""ES"")"),"Adornos de mesa")</f>
        <v>Adornos de mesa</v>
      </c>
      <c r="M2395" s="8" t="s">
        <v>33</v>
      </c>
      <c r="N2395" s="8"/>
    </row>
    <row r="2396" spans="1:14" ht="11.25" customHeight="1">
      <c r="A2396" s="5" t="s">
        <v>6833</v>
      </c>
      <c r="B2396" s="5" t="s">
        <v>6934</v>
      </c>
      <c r="C2396" s="5" t="s">
        <v>6974</v>
      </c>
      <c r="D2396" s="5" t="s">
        <v>6836</v>
      </c>
      <c r="E2396" s="5" t="s">
        <v>18</v>
      </c>
      <c r="F2396" s="5" t="s">
        <v>6837</v>
      </c>
      <c r="G2396" s="5" t="s">
        <v>152</v>
      </c>
      <c r="H2396" s="5" t="s">
        <v>6936</v>
      </c>
      <c r="I2396" s="5" t="s">
        <v>6975</v>
      </c>
      <c r="J2396" s="5" t="s">
        <v>6976</v>
      </c>
      <c r="K2396" s="7" t="str">
        <f ca="1">IFERROR(__xludf.DUMMYFUNCTION("GOOGLETRANSLATE(H2396,""EN"",""ES"")"),"baratijas, adornos de mesa, repisa y pared, floreros y maceteros.")</f>
        <v>baratijas, adornos de mesa, repisa y pared, floreros y maceteros.</v>
      </c>
      <c r="L2396" s="5" t="str">
        <f ca="1">IFERROR(__xludf.DUMMYFUNCTION("GOOGLETRANSLATE(J2396,""EN"",""ES"")"),"Porcelana pintada [puramente ornamental]")</f>
        <v>Porcelana pintada [puramente ornamental]</v>
      </c>
      <c r="M2396" s="8" t="s">
        <v>33</v>
      </c>
      <c r="N2396" s="8"/>
    </row>
    <row r="2397" spans="1:14" ht="11.25" customHeight="1">
      <c r="A2397" s="5" t="s">
        <v>6833</v>
      </c>
      <c r="B2397" s="5" t="s">
        <v>6934</v>
      </c>
      <c r="C2397" s="5" t="s">
        <v>6977</v>
      </c>
      <c r="D2397" s="5" t="s">
        <v>6836</v>
      </c>
      <c r="E2397" s="5" t="s">
        <v>18</v>
      </c>
      <c r="F2397" s="5" t="s">
        <v>6837</v>
      </c>
      <c r="G2397" s="5" t="s">
        <v>152</v>
      </c>
      <c r="H2397" s="5" t="s">
        <v>6936</v>
      </c>
      <c r="I2397" s="5" t="s">
        <v>6978</v>
      </c>
      <c r="J2397" s="5" t="s">
        <v>6978</v>
      </c>
      <c r="K2397" s="7" t="str">
        <f ca="1">IFERROR(__xludf.DUMMYFUNCTION("GOOGLETRANSLATE(H2397,""EN"",""ES"")"),"baratijas, adornos de mesa, repisa y pared, floreros y maceteros.")</f>
        <v>baratijas, adornos de mesa, repisa y pared, floreros y maceteros.</v>
      </c>
      <c r="L2397" s="5" t="str">
        <f ca="1">IFERROR(__xludf.DUMMYFUNCTION("GOOGLETRANSLATE(J2397,""EN"",""ES"")"),"Esculturas")</f>
        <v>Esculturas</v>
      </c>
      <c r="M2397" s="8" t="s">
        <v>33</v>
      </c>
      <c r="N2397" s="8"/>
    </row>
    <row r="2398" spans="1:14" ht="11.25" customHeight="1">
      <c r="A2398" s="5" t="s">
        <v>6833</v>
      </c>
      <c r="B2398" s="5" t="s">
        <v>6934</v>
      </c>
      <c r="C2398" s="5" t="s">
        <v>6979</v>
      </c>
      <c r="D2398" s="5" t="s">
        <v>6836</v>
      </c>
      <c r="E2398" s="5" t="s">
        <v>18</v>
      </c>
      <c r="F2398" s="5" t="s">
        <v>6837</v>
      </c>
      <c r="G2398" s="5" t="s">
        <v>152</v>
      </c>
      <c r="H2398" s="5" t="s">
        <v>6936</v>
      </c>
      <c r="I2398" s="5" t="s">
        <v>6980</v>
      </c>
      <c r="J2398" s="5" t="s">
        <v>6980</v>
      </c>
      <c r="K2398" s="7" t="str">
        <f ca="1">IFERROR(__xludf.DUMMYFUNCTION("GOOGLETRANSLATE(H2398,""EN"",""ES"")"),"baratijas, adornos de mesa, repisa y pared, floreros y maceteros.")</f>
        <v>baratijas, adornos de mesa, repisa y pared, floreros y maceteros.</v>
      </c>
      <c r="L2398" s="5" t="str">
        <f ca="1">IFERROR(__xludf.DUMMYFUNCTION("GOOGLETRANSLATE(J2398,""EN"",""ES"")"),"Estatuillas")</f>
        <v>Estatuillas</v>
      </c>
      <c r="M2398" s="8" t="s">
        <v>33</v>
      </c>
      <c r="N2398" s="8"/>
    </row>
    <row r="2399" spans="1:14" ht="11.25" customHeight="1">
      <c r="A2399" s="5" t="s">
        <v>6833</v>
      </c>
      <c r="B2399" s="5" t="s">
        <v>6934</v>
      </c>
      <c r="C2399" s="5" t="s">
        <v>6981</v>
      </c>
      <c r="D2399" s="5" t="s">
        <v>6836</v>
      </c>
      <c r="E2399" s="5" t="s">
        <v>18</v>
      </c>
      <c r="F2399" s="5" t="s">
        <v>6837</v>
      </c>
      <c r="G2399" s="5" t="s">
        <v>152</v>
      </c>
      <c r="H2399" s="5" t="s">
        <v>6936</v>
      </c>
      <c r="I2399" s="5" t="s">
        <v>6982</v>
      </c>
      <c r="J2399" s="5" t="s">
        <v>6983</v>
      </c>
      <c r="K2399" s="7" t="str">
        <f ca="1">IFERROR(__xludf.DUMMYFUNCTION("GOOGLETRANSLATE(H2399,""EN"",""ES"")"),"baratijas, adornos de mesa, repisa y pared, floreros y maceteros.")</f>
        <v>baratijas, adornos de mesa, repisa y pared, floreros y maceteros.</v>
      </c>
      <c r="L2399" s="5" t="str">
        <f ca="1">IFERROR(__xludf.DUMMYFUNCTION("GOOGLETRANSLATE(J2399,""EN"",""ES"")"),"Centros de mesa")</f>
        <v>Centros de mesa</v>
      </c>
      <c r="M2399" s="8" t="s">
        <v>33</v>
      </c>
      <c r="N2399" s="8"/>
    </row>
    <row r="2400" spans="1:14" ht="11.25" customHeight="1">
      <c r="A2400" s="5" t="s">
        <v>6833</v>
      </c>
      <c r="B2400" s="5" t="s">
        <v>6934</v>
      </c>
      <c r="C2400" s="5" t="s">
        <v>6981</v>
      </c>
      <c r="D2400" s="5" t="s">
        <v>6836</v>
      </c>
      <c r="E2400" s="5" t="s">
        <v>18</v>
      </c>
      <c r="F2400" s="5" t="s">
        <v>6837</v>
      </c>
      <c r="G2400" s="5" t="s">
        <v>152</v>
      </c>
      <c r="H2400" s="5" t="s">
        <v>6936</v>
      </c>
      <c r="I2400" s="5" t="s">
        <v>6984</v>
      </c>
      <c r="J2400" s="5" t="s">
        <v>152</v>
      </c>
      <c r="K2400" s="7" t="str">
        <f ca="1">IFERROR(__xludf.DUMMYFUNCTION("GOOGLETRANSLATE(H2400,""EN"",""ES"")"),"baratijas, adornos de mesa, repisa y pared, floreros y maceteros.")</f>
        <v>baratijas, adornos de mesa, repisa y pared, floreros y maceteros.</v>
      </c>
      <c r="L2400" s="5" t="str">
        <f ca="1">IFERROR(__xludf.DUMMYFUNCTION("GOOGLETRANSLATE(J2400,""EN"",""ES"")"),"Épergnes")</f>
        <v>Épergnes</v>
      </c>
      <c r="M2400" s="8" t="s">
        <v>33</v>
      </c>
      <c r="N2400" s="8"/>
    </row>
    <row r="2401" spans="1:14" ht="11.25" customHeight="1">
      <c r="A2401" s="5" t="s">
        <v>6833</v>
      </c>
      <c r="B2401" s="5" t="s">
        <v>6934</v>
      </c>
      <c r="C2401" s="5" t="s">
        <v>6985</v>
      </c>
      <c r="D2401" s="5" t="s">
        <v>6836</v>
      </c>
      <c r="E2401" s="5" t="s">
        <v>18</v>
      </c>
      <c r="F2401" s="5" t="s">
        <v>6837</v>
      </c>
      <c r="G2401" s="5" t="s">
        <v>152</v>
      </c>
      <c r="H2401" s="5" t="s">
        <v>6936</v>
      </c>
      <c r="I2401" s="5" t="s">
        <v>6986</v>
      </c>
      <c r="J2401" s="5" t="s">
        <v>6987</v>
      </c>
      <c r="K2401" s="7" t="str">
        <f ca="1">IFERROR(__xludf.DUMMYFUNCTION("GOOGLETRANSLATE(H2401,""EN"",""ES"")"),"baratijas, adornos de mesa, repisa y pared, floreros y maceteros.")</f>
        <v>baratijas, adornos de mesa, repisa y pared, floreros y maceteros.</v>
      </c>
      <c r="L2401" s="5" t="str">
        <f ca="1">IFERROR(__xludf.DUMMYFUNCTION("GOOGLETRANSLATE(J2401,""EN"",""ES"")"),"Crucifijos")</f>
        <v>Crucifijos</v>
      </c>
      <c r="M2401" s="8" t="s">
        <v>33</v>
      </c>
      <c r="N2401" s="8"/>
    </row>
    <row r="2402" spans="1:14" ht="11.25" customHeight="1">
      <c r="A2402" s="5" t="s">
        <v>6833</v>
      </c>
      <c r="B2402" s="5" t="s">
        <v>6934</v>
      </c>
      <c r="C2402" s="5" t="s">
        <v>6988</v>
      </c>
      <c r="D2402" s="5" t="s">
        <v>6836</v>
      </c>
      <c r="E2402" s="5" t="s">
        <v>18</v>
      </c>
      <c r="F2402" s="5" t="s">
        <v>6837</v>
      </c>
      <c r="G2402" s="5" t="s">
        <v>152</v>
      </c>
      <c r="H2402" s="5" t="s">
        <v>6936</v>
      </c>
      <c r="I2402" s="5" t="s">
        <v>6989</v>
      </c>
      <c r="J2402" s="5" t="s">
        <v>6990</v>
      </c>
      <c r="K2402" s="7" t="str">
        <f ca="1">IFERROR(__xludf.DUMMYFUNCTION("GOOGLETRANSLATE(H2402,""EN"",""ES"")"),"baratijas, adornos de mesa, repisa y pared, floreros y maceteros.")</f>
        <v>baratijas, adornos de mesa, repisa y pared, floreros y maceteros.</v>
      </c>
      <c r="L2402" s="5" t="str">
        <f ca="1">IFERROR(__xludf.DUMMYFUNCTION("GOOGLETRANSLATE(J2402,""EN"",""ES"")"),"Adornos de repisa de chimenea")</f>
        <v>Adornos de repisa de chimenea</v>
      </c>
      <c r="M2402" s="8" t="s">
        <v>33</v>
      </c>
      <c r="N2402" s="8"/>
    </row>
    <row r="2403" spans="1:14" ht="11.25" customHeight="1">
      <c r="A2403" s="5" t="s">
        <v>6833</v>
      </c>
      <c r="B2403" s="5" t="s">
        <v>6934</v>
      </c>
      <c r="C2403" s="5" t="s">
        <v>6991</v>
      </c>
      <c r="D2403" s="5" t="s">
        <v>6836</v>
      </c>
      <c r="E2403" s="5" t="s">
        <v>18</v>
      </c>
      <c r="F2403" s="5" t="s">
        <v>6837</v>
      </c>
      <c r="G2403" s="5" t="s">
        <v>152</v>
      </c>
      <c r="H2403" s="5" t="s">
        <v>6936</v>
      </c>
      <c r="I2403" s="5" t="s">
        <v>6992</v>
      </c>
      <c r="J2403" s="5" t="s">
        <v>6993</v>
      </c>
      <c r="K2403" s="7" t="str">
        <f ca="1">IFERROR(__xludf.DUMMYFUNCTION("GOOGLETRANSLATE(H2403,""EN"",""ES"")"),"baratijas, adornos de mesa, repisa y pared, floreros y maceteros.")</f>
        <v>baratijas, adornos de mesa, repisa y pared, floreros y maceteros.</v>
      </c>
      <c r="L2403" s="5" t="str">
        <f ca="1">IFERROR(__xludf.DUMMYFUNCTION("GOOGLETRANSLATE(J2403,""EN"",""ES"")"),"Cestas [ornamentales]")</f>
        <v>Cestas [ornamentales]</v>
      </c>
      <c r="M2403" s="8" t="s">
        <v>33</v>
      </c>
      <c r="N2403" s="8"/>
    </row>
    <row r="2404" spans="1:14" ht="11.25" customHeight="1">
      <c r="A2404" s="5" t="s">
        <v>6833</v>
      </c>
      <c r="B2404" s="5" t="s">
        <v>6934</v>
      </c>
      <c r="C2404" s="5" t="s">
        <v>6991</v>
      </c>
      <c r="D2404" s="5" t="s">
        <v>6836</v>
      </c>
      <c r="E2404" s="5" t="s">
        <v>18</v>
      </c>
      <c r="F2404" s="5" t="s">
        <v>6837</v>
      </c>
      <c r="G2404" s="5" t="s">
        <v>152</v>
      </c>
      <c r="H2404" s="5" t="s">
        <v>6936</v>
      </c>
      <c r="I2404" s="5" t="s">
        <v>6994</v>
      </c>
      <c r="J2404" s="5" t="s">
        <v>152</v>
      </c>
      <c r="K2404" s="7" t="str">
        <f ca="1">IFERROR(__xludf.DUMMYFUNCTION("GOOGLETRANSLATE(H2404,""EN"",""ES"")"),"baratijas, adornos de mesa, repisa y pared, floreros y maceteros.")</f>
        <v>baratijas, adornos de mesa, repisa y pared, floreros y maceteros.</v>
      </c>
      <c r="L2404" s="5" t="str">
        <f ca="1">IFERROR(__xludf.DUMMYFUNCTION("GOOGLETRANSLATE(J2404,""EN"",""ES"")"),"Cestas ornamentales")</f>
        <v>Cestas ornamentales</v>
      </c>
      <c r="M2404" s="8" t="s">
        <v>33</v>
      </c>
      <c r="N2404" s="8"/>
    </row>
    <row r="2405" spans="1:14" ht="11.25" customHeight="1">
      <c r="A2405" s="5" t="s">
        <v>6833</v>
      </c>
      <c r="B2405" s="5" t="s">
        <v>6934</v>
      </c>
      <c r="C2405" s="5" t="s">
        <v>6995</v>
      </c>
      <c r="D2405" s="5" t="s">
        <v>6836</v>
      </c>
      <c r="E2405" s="5" t="s">
        <v>18</v>
      </c>
      <c r="F2405" s="5" t="s">
        <v>6837</v>
      </c>
      <c r="G2405" s="5" t="s">
        <v>152</v>
      </c>
      <c r="H2405" s="5" t="s">
        <v>6936</v>
      </c>
      <c r="I2405" s="5" t="s">
        <v>6996</v>
      </c>
      <c r="J2405" s="5" t="s">
        <v>6997</v>
      </c>
      <c r="K2405" s="7" t="str">
        <f ca="1">IFERROR(__xludf.DUMMYFUNCTION("GOOGLETRANSLATE(H2405,""EN"",""ES"")"),"baratijas, adornos de mesa, repisa y pared, floreros y maceteros.")</f>
        <v>baratijas, adornos de mesa, repisa y pared, floreros y maceteros.</v>
      </c>
      <c r="L2405" s="5" t="str">
        <f ca="1">IFERROR(__xludf.DUMMYFUNCTION("GOOGLETRANSLATE(J2405,""EN"",""ES"")"),"titulares de flores")</f>
        <v>titulares de flores</v>
      </c>
      <c r="M2405" s="8" t="s">
        <v>33</v>
      </c>
      <c r="N2405" s="8"/>
    </row>
    <row r="2406" spans="1:14" ht="11.25" customHeight="1">
      <c r="A2406" s="5" t="s">
        <v>6833</v>
      </c>
      <c r="B2406" s="5" t="s">
        <v>6934</v>
      </c>
      <c r="C2406" s="5" t="s">
        <v>6998</v>
      </c>
      <c r="D2406" s="5" t="s">
        <v>6836</v>
      </c>
      <c r="E2406" s="5" t="s">
        <v>18</v>
      </c>
      <c r="F2406" s="5" t="s">
        <v>6837</v>
      </c>
      <c r="G2406" s="5" t="s">
        <v>152</v>
      </c>
      <c r="H2406" s="5" t="s">
        <v>6936</v>
      </c>
      <c r="I2406" s="5" t="s">
        <v>6999</v>
      </c>
      <c r="J2406" s="5" t="s">
        <v>7000</v>
      </c>
      <c r="K2406" s="7" t="str">
        <f ca="1">IFERROR(__xludf.DUMMYFUNCTION("GOOGLETRANSLATE(H2406,""EN"",""ES"")"),"baratijas, adornos de mesa, repisa y pared, floreros y maceteros.")</f>
        <v>baratijas, adornos de mesa, repisa y pared, floreros y maceteros.</v>
      </c>
      <c r="L2406" s="5" t="str">
        <f ca="1">IFERROR(__xludf.DUMMYFUNCTION("GOOGLETRANSLATE(J2406,""EN"",""ES"")"),"Macetas")</f>
        <v>Macetas</v>
      </c>
      <c r="M2406" s="8" t="s">
        <v>33</v>
      </c>
      <c r="N2406" s="8"/>
    </row>
    <row r="2407" spans="1:14" ht="11.25" customHeight="1">
      <c r="A2407" s="5" t="s">
        <v>6833</v>
      </c>
      <c r="B2407" s="5" t="s">
        <v>6934</v>
      </c>
      <c r="C2407" s="5" t="s">
        <v>7001</v>
      </c>
      <c r="D2407" s="5" t="s">
        <v>6836</v>
      </c>
      <c r="E2407" s="5" t="s">
        <v>18</v>
      </c>
      <c r="F2407" s="5" t="s">
        <v>6837</v>
      </c>
      <c r="G2407" s="5" t="s">
        <v>152</v>
      </c>
      <c r="H2407" s="5" t="s">
        <v>6936</v>
      </c>
      <c r="I2407" s="5" t="s">
        <v>7002</v>
      </c>
      <c r="J2407" s="5" t="s">
        <v>7003</v>
      </c>
      <c r="K2407" s="7" t="str">
        <f ca="1">IFERROR(__xludf.DUMMYFUNCTION("GOOGLETRANSLATE(H2407,""EN"",""ES"")"),"baratijas, adornos de mesa, repisa y pared, floreros y maceteros.")</f>
        <v>baratijas, adornos de mesa, repisa y pared, floreros y maceteros.</v>
      </c>
      <c r="L2407" s="5" t="str">
        <f ca="1">IFERROR(__xludf.DUMMYFUNCTION("GOOGLETRANSLATE(J2407,""EN"",""ES"")"),"Soportes para arreglos florales.")</f>
        <v>Soportes para arreglos florales.</v>
      </c>
      <c r="M2407" s="8" t="s">
        <v>33</v>
      </c>
      <c r="N2407" s="8"/>
    </row>
    <row r="2408" spans="1:14" ht="11.25" customHeight="1">
      <c r="A2408" s="5" t="s">
        <v>6833</v>
      </c>
      <c r="B2408" s="5" t="s">
        <v>6934</v>
      </c>
      <c r="C2408" s="5" t="s">
        <v>7001</v>
      </c>
      <c r="D2408" s="5" t="s">
        <v>6836</v>
      </c>
      <c r="E2408" s="5" t="s">
        <v>18</v>
      </c>
      <c r="F2408" s="5" t="s">
        <v>6837</v>
      </c>
      <c r="G2408" s="5" t="s">
        <v>152</v>
      </c>
      <c r="H2408" s="5" t="s">
        <v>6936</v>
      </c>
      <c r="I2408" s="5" t="s">
        <v>7004</v>
      </c>
      <c r="J2408" s="5" t="s">
        <v>152</v>
      </c>
      <c r="K2408" s="7" t="str">
        <f ca="1">IFERROR(__xludf.DUMMYFUNCTION("GOOGLETRANSLATE(H2408,""EN"",""ES"")"),"baratijas, adornos de mesa, repisa y pared, floreros y maceteros.")</f>
        <v>baratijas, adornos de mesa, repisa y pared, floreros y maceteros.</v>
      </c>
      <c r="L2408" s="5" t="str">
        <f ca="1">IFERROR(__xludf.DUMMYFUNCTION("GOOGLETRANSLATE(J2408,""EN"",""ES"")"),"Soportes para arreglos florales")</f>
        <v>Soportes para arreglos florales</v>
      </c>
      <c r="M2408" s="8" t="s">
        <v>33</v>
      </c>
      <c r="N2408" s="8"/>
    </row>
    <row r="2409" spans="1:14" ht="11.25" customHeight="1">
      <c r="A2409" s="5" t="s">
        <v>6833</v>
      </c>
      <c r="B2409" s="5" t="s">
        <v>6934</v>
      </c>
      <c r="C2409" s="5" t="s">
        <v>7005</v>
      </c>
      <c r="D2409" s="5" t="s">
        <v>6836</v>
      </c>
      <c r="E2409" s="5" t="s">
        <v>18</v>
      </c>
      <c r="F2409" s="5" t="s">
        <v>6837</v>
      </c>
      <c r="G2409" s="5" t="s">
        <v>152</v>
      </c>
      <c r="H2409" s="5" t="s">
        <v>6936</v>
      </c>
      <c r="I2409" s="5" t="s">
        <v>7006</v>
      </c>
      <c r="J2409" s="5" t="s">
        <v>7007</v>
      </c>
      <c r="K2409" s="7" t="str">
        <f ca="1">IFERROR(__xludf.DUMMYFUNCTION("GOOGLETRANSLATE(H2409,""EN"",""ES"")"),"baratijas, adornos de mesa, repisa y pared, floreros y maceteros.")</f>
        <v>baratijas, adornos de mesa, repisa y pared, floreros y maceteros.</v>
      </c>
      <c r="L2409" s="5" t="str">
        <f ca="1">IFERROR(__xludf.DUMMYFUNCTION("GOOGLETRANSLATE(J2409,""EN"",""ES"")"),"Platos y fuentes [puramente ornamentales]")</f>
        <v>Platos y fuentes [puramente ornamentales]</v>
      </c>
      <c r="M2409" s="8" t="s">
        <v>33</v>
      </c>
      <c r="N2409" s="8"/>
    </row>
    <row r="2410" spans="1:14" ht="11.25" customHeight="1">
      <c r="A2410" s="5" t="s">
        <v>6833</v>
      </c>
      <c r="B2410" s="5" t="s">
        <v>6934</v>
      </c>
      <c r="C2410" s="5" t="s">
        <v>7008</v>
      </c>
      <c r="D2410" s="5" t="s">
        <v>6836</v>
      </c>
      <c r="E2410" s="5" t="s">
        <v>18</v>
      </c>
      <c r="F2410" s="5" t="s">
        <v>6837</v>
      </c>
      <c r="G2410" s="5" t="s">
        <v>152</v>
      </c>
      <c r="H2410" s="5" t="s">
        <v>6936</v>
      </c>
      <c r="I2410" s="5" t="s">
        <v>7009</v>
      </c>
      <c r="J2410" s="5" t="s">
        <v>7010</v>
      </c>
      <c r="K2410" s="7" t="str">
        <f ca="1">IFERROR(__xludf.DUMMYFUNCTION("GOOGLETRANSLATE(H2410,""EN"",""ES"")"),"baratijas, adornos de mesa, repisa y pared, floreros y maceteros.")</f>
        <v>baratijas, adornos de mesa, repisa y pared, floreros y maceteros.</v>
      </c>
      <c r="L2410" s="5" t="str">
        <f ca="1">IFERROR(__xludf.DUMMYFUNCTION("GOOGLETRANSLATE(J2410,""EN"",""ES"")"),"Floreros")</f>
        <v>Floreros</v>
      </c>
      <c r="M2410" s="8" t="s">
        <v>33</v>
      </c>
      <c r="N2410" s="8"/>
    </row>
    <row r="2411" spans="1:14" ht="11.25" customHeight="1">
      <c r="A2411" s="5" t="s">
        <v>6833</v>
      </c>
      <c r="B2411" s="5" t="s">
        <v>6934</v>
      </c>
      <c r="C2411" s="5" t="s">
        <v>7011</v>
      </c>
      <c r="D2411" s="5" t="s">
        <v>6836</v>
      </c>
      <c r="E2411" s="5" t="s">
        <v>18</v>
      </c>
      <c r="F2411" s="5" t="s">
        <v>6837</v>
      </c>
      <c r="G2411" s="5" t="s">
        <v>152</v>
      </c>
      <c r="H2411" s="5" t="s">
        <v>6936</v>
      </c>
      <c r="I2411" s="5" t="s">
        <v>7012</v>
      </c>
      <c r="J2411" s="5" t="s">
        <v>7013</v>
      </c>
      <c r="K2411" s="7" t="str">
        <f ca="1">IFERROR(__xludf.DUMMYFUNCTION("GOOGLETRANSLATE(H2411,""EN"",""ES"")"),"baratijas, adornos de mesa, repisa y pared, floreros y maceteros.")</f>
        <v>baratijas, adornos de mesa, repisa y pared, floreros y maceteros.</v>
      </c>
      <c r="L2411" s="5" t="str">
        <f ca="1">IFERROR(__xludf.DUMMYFUNCTION("GOOGLETRANSLATE(J2411,""EN"",""ES"")"),"Cristalería [puramente ornamental]")</f>
        <v>Cristalería [puramente ornamental]</v>
      </c>
      <c r="M2411" s="8" t="s">
        <v>33</v>
      </c>
      <c r="N2411" s="8"/>
    </row>
    <row r="2412" spans="1:14" ht="11.25" customHeight="1">
      <c r="A2412" s="5" t="s">
        <v>6833</v>
      </c>
      <c r="B2412" s="5" t="s">
        <v>6934</v>
      </c>
      <c r="C2412" s="5" t="s">
        <v>7014</v>
      </c>
      <c r="D2412" s="5" t="s">
        <v>6836</v>
      </c>
      <c r="E2412" s="5" t="s">
        <v>18</v>
      </c>
      <c r="F2412" s="5" t="s">
        <v>6837</v>
      </c>
      <c r="G2412" s="5" t="s">
        <v>152</v>
      </c>
      <c r="H2412" s="5" t="s">
        <v>6936</v>
      </c>
      <c r="I2412" s="5" t="s">
        <v>7015</v>
      </c>
      <c r="J2412" s="5" t="s">
        <v>7016</v>
      </c>
      <c r="K2412" s="7" t="str">
        <f ca="1">IFERROR(__xludf.DUMMYFUNCTION("GOOGLETRANSLATE(H2412,""EN"",""ES"")"),"baratijas, adornos de mesa, repisa y pared, floreros y maceteros.")</f>
        <v>baratijas, adornos de mesa, repisa y pared, floreros y maceteros.</v>
      </c>
      <c r="L2412" s="5" t="str">
        <f ca="1">IFERROR(__xludf.DUMMYFUNCTION("GOOGLETRANSLATE(J2412,""EN"",""ES"")"),"Jardineras [interiores]")</f>
        <v>Jardineras [interiores]</v>
      </c>
      <c r="M2412" s="8" t="s">
        <v>33</v>
      </c>
      <c r="N2412" s="8"/>
    </row>
    <row r="2413" spans="1:14" ht="11.25" customHeight="1">
      <c r="A2413" s="5" t="s">
        <v>6833</v>
      </c>
      <c r="B2413" s="5" t="s">
        <v>6934</v>
      </c>
      <c r="C2413" s="5" t="s">
        <v>7017</v>
      </c>
      <c r="D2413" s="5" t="s">
        <v>6836</v>
      </c>
      <c r="E2413" s="5" t="s">
        <v>18</v>
      </c>
      <c r="F2413" s="5" t="s">
        <v>6837</v>
      </c>
      <c r="G2413" s="5" t="s">
        <v>152</v>
      </c>
      <c r="H2413" s="5" t="s">
        <v>6936</v>
      </c>
      <c r="I2413" s="5" t="s">
        <v>7018</v>
      </c>
      <c r="J2413" s="5" t="s">
        <v>7019</v>
      </c>
      <c r="K2413" s="7" t="str">
        <f ca="1">IFERROR(__xludf.DUMMYFUNCTION("GOOGLETRANSLATE(H2413,""EN"",""ES"")"),"baratijas, adornos de mesa, repisa y pared, floreros y maceteros.")</f>
        <v>baratijas, adornos de mesa, repisa y pared, floreros y maceteros.</v>
      </c>
      <c r="L2413" s="5" t="str">
        <f ca="1">IFERROR(__xludf.DUMMYFUNCTION("GOOGLETRANSLATE(J2413,""EN"",""ES"")"),"Cuencos [decoración]")</f>
        <v>Cuencos [decoración]</v>
      </c>
      <c r="M2413" s="8" t="s">
        <v>33</v>
      </c>
      <c r="N2413" s="8"/>
    </row>
    <row r="2414" spans="1:14" ht="11.25" customHeight="1">
      <c r="A2414" s="5" t="s">
        <v>6833</v>
      </c>
      <c r="B2414" s="5" t="s">
        <v>6934</v>
      </c>
      <c r="C2414" s="5" t="s">
        <v>7017</v>
      </c>
      <c r="D2414" s="5" t="s">
        <v>6836</v>
      </c>
      <c r="E2414" s="5" t="s">
        <v>18</v>
      </c>
      <c r="F2414" s="5" t="s">
        <v>6837</v>
      </c>
      <c r="G2414" s="5" t="s">
        <v>152</v>
      </c>
      <c r="H2414" s="5" t="s">
        <v>6936</v>
      </c>
      <c r="I2414" s="5" t="s">
        <v>7020</v>
      </c>
      <c r="J2414" s="5" t="s">
        <v>152</v>
      </c>
      <c r="K2414" s="7" t="str">
        <f ca="1">IFERROR(__xludf.DUMMYFUNCTION("GOOGLETRANSLATE(H2414,""EN"",""ES"")"),"baratijas, adornos de mesa, repisa y pared, floreros y maceteros.")</f>
        <v>baratijas, adornos de mesa, repisa y pared, floreros y maceteros.</v>
      </c>
      <c r="L2414" s="5" t="str">
        <f ca="1">IFERROR(__xludf.DUMMYFUNCTION("GOOGLETRANSLATE(J2414,""EN"",""ES"")"),"Lavabos [decoración]")</f>
        <v>Lavabos [decoración]</v>
      </c>
      <c r="M2414" s="8" t="s">
        <v>33</v>
      </c>
      <c r="N2414" s="8"/>
    </row>
    <row r="2415" spans="1:14" ht="11.25" customHeight="1">
      <c r="A2415" s="5" t="s">
        <v>6833</v>
      </c>
      <c r="B2415" s="5" t="s">
        <v>6934</v>
      </c>
      <c r="C2415" s="5" t="s">
        <v>7021</v>
      </c>
      <c r="D2415" s="5" t="s">
        <v>6836</v>
      </c>
      <c r="E2415" s="5" t="s">
        <v>18</v>
      </c>
      <c r="F2415" s="5" t="s">
        <v>6837</v>
      </c>
      <c r="G2415" s="5" t="s">
        <v>152</v>
      </c>
      <c r="H2415" s="5" t="s">
        <v>6936</v>
      </c>
      <c r="I2415" s="5" t="s">
        <v>7022</v>
      </c>
      <c r="J2415" s="5" t="s">
        <v>7023</v>
      </c>
      <c r="K2415" s="7" t="str">
        <f ca="1">IFERROR(__xludf.DUMMYFUNCTION("GOOGLETRANSLATE(H2415,""EN"",""ES"")"),"baratijas, adornos de mesa, repisa y pared, floreros y maceteros.")</f>
        <v>baratijas, adornos de mesa, repisa y pared, floreros y maceteros.</v>
      </c>
      <c r="L2415" s="5" t="str">
        <f ca="1">IFERROR(__xludf.DUMMYFUNCTION("GOOGLETRANSLATE(J2415,""EN"",""ES"")"),"Imanes para pizarras magnéticas")</f>
        <v>Imanes para pizarras magnéticas</v>
      </c>
      <c r="M2415" s="8" t="s">
        <v>33</v>
      </c>
      <c r="N2415" s="8"/>
    </row>
    <row r="2416" spans="1:14" ht="11.25" customHeight="1">
      <c r="A2416" s="5" t="s">
        <v>6833</v>
      </c>
      <c r="B2416" s="5" t="s">
        <v>6934</v>
      </c>
      <c r="C2416" s="5" t="s">
        <v>7024</v>
      </c>
      <c r="D2416" s="5" t="s">
        <v>6836</v>
      </c>
      <c r="E2416" s="5" t="s">
        <v>18</v>
      </c>
      <c r="F2416" s="5" t="s">
        <v>6837</v>
      </c>
      <c r="G2416" s="5" t="s">
        <v>152</v>
      </c>
      <c r="H2416" s="5" t="s">
        <v>6936</v>
      </c>
      <c r="I2416" s="5" t="s">
        <v>7025</v>
      </c>
      <c r="J2416" s="5" t="s">
        <v>7026</v>
      </c>
      <c r="K2416" s="7" t="str">
        <f ca="1">IFERROR(__xludf.DUMMYFUNCTION("GOOGLETRANSLATE(H2416,""EN"",""ES"")"),"baratijas, adornos de mesa, repisa y pared, floreros y maceteros.")</f>
        <v>baratijas, adornos de mesa, repisa y pared, floreros y maceteros.</v>
      </c>
      <c r="L2416" s="5" t="str">
        <f ca="1">IFERROR(__xludf.DUMMYFUNCTION("GOOGLETRANSLATE(J2416,""EN"",""ES"")"),"Trofeos")</f>
        <v>Trofeos</v>
      </c>
      <c r="M2416" s="8" t="s">
        <v>33</v>
      </c>
      <c r="N2416" s="8"/>
    </row>
    <row r="2417" spans="1:14" ht="11.25" customHeight="1">
      <c r="A2417" s="5" t="s">
        <v>6833</v>
      </c>
      <c r="B2417" s="5" t="s">
        <v>6934</v>
      </c>
      <c r="C2417" s="5" t="s">
        <v>7027</v>
      </c>
      <c r="D2417" s="5" t="s">
        <v>6836</v>
      </c>
      <c r="E2417" s="5" t="s">
        <v>18</v>
      </c>
      <c r="F2417" s="5" t="s">
        <v>6837</v>
      </c>
      <c r="G2417" s="5" t="s">
        <v>152</v>
      </c>
      <c r="H2417" s="5" t="s">
        <v>6936</v>
      </c>
      <c r="I2417" s="5" t="s">
        <v>7028</v>
      </c>
      <c r="J2417" s="5" t="s">
        <v>7028</v>
      </c>
      <c r="K2417" s="7" t="str">
        <f ca="1">IFERROR(__xludf.DUMMYFUNCTION("GOOGLETRANSLATE(H2417,""EN"",""ES"")"),"baratijas, adornos de mesa, repisa y pared, floreros y maceteros.")</f>
        <v>baratijas, adornos de mesa, repisa y pared, floreros y maceteros.</v>
      </c>
      <c r="L2417" s="5" t="str">
        <f ca="1">IFERROR(__xludf.DUMMYFUNCTION("GOOGLETRANSLATE(J2417,""EN"",""ES"")"),"Imanes")</f>
        <v>Imanes</v>
      </c>
      <c r="M2417" s="8" t="s">
        <v>33</v>
      </c>
      <c r="N2417" s="8"/>
    </row>
    <row r="2418" spans="1:14" ht="11.25" customHeight="1">
      <c r="A2418" s="5" t="s">
        <v>6833</v>
      </c>
      <c r="B2418" s="5" t="s">
        <v>6934</v>
      </c>
      <c r="C2418" s="5" t="s">
        <v>7029</v>
      </c>
      <c r="D2418" s="5" t="s">
        <v>6836</v>
      </c>
      <c r="E2418" s="5" t="s">
        <v>18</v>
      </c>
      <c r="F2418" s="5" t="s">
        <v>6837</v>
      </c>
      <c r="G2418" s="5" t="s">
        <v>152</v>
      </c>
      <c r="H2418" s="5" t="s">
        <v>6936</v>
      </c>
      <c r="I2418" s="5" t="s">
        <v>7030</v>
      </c>
      <c r="J2418" s="5" t="s">
        <v>7031</v>
      </c>
      <c r="K2418" s="7" t="str">
        <f ca="1">IFERROR(__xludf.DUMMYFUNCTION("GOOGLETRANSLATE(H2418,""EN"",""ES"")"),"baratijas, adornos de mesa, repisa y pared, floreros y maceteros.")</f>
        <v>baratijas, adornos de mesa, repisa y pared, floreros y maceteros.</v>
      </c>
      <c r="L2418" s="5" t="str">
        <f ca="1">IFERROR(__xludf.DUMMYFUNCTION("GOOGLETRANSLATE(J2418,""EN"",""ES"")"),"gnomos de jardin")</f>
        <v>gnomos de jardin</v>
      </c>
      <c r="M2418" s="8" t="s">
        <v>33</v>
      </c>
      <c r="N2418" s="8"/>
    </row>
    <row r="2419" spans="1:14" ht="11.25" customHeight="1">
      <c r="A2419" s="5" t="s">
        <v>6833</v>
      </c>
      <c r="B2419" s="5" t="s">
        <v>6934</v>
      </c>
      <c r="C2419" s="5" t="s">
        <v>7032</v>
      </c>
      <c r="D2419" s="5" t="s">
        <v>6836</v>
      </c>
      <c r="E2419" s="5" t="s">
        <v>18</v>
      </c>
      <c r="F2419" s="5" t="s">
        <v>6837</v>
      </c>
      <c r="G2419" s="5" t="s">
        <v>152</v>
      </c>
      <c r="H2419" s="5" t="s">
        <v>6936</v>
      </c>
      <c r="I2419" s="5" t="s">
        <v>7033</v>
      </c>
      <c r="J2419" s="5" t="s">
        <v>7034</v>
      </c>
      <c r="K2419" s="7" t="str">
        <f ca="1">IFERROR(__xludf.DUMMYFUNCTION("GOOGLETRANSLATE(H2419,""EN"",""ES"")"),"baratijas, adornos de mesa, repisa y pared, floreros y maceteros.")</f>
        <v>baratijas, adornos de mesa, repisa y pared, floreros y maceteros.</v>
      </c>
      <c r="L2419" s="5" t="str">
        <f ca="1">IFERROR(__xludf.DUMMYFUNCTION("GOOGLETRANSLATE(J2419,""EN"",""ES"")"),"Pilas de agua bendita")</f>
        <v>Pilas de agua bendita</v>
      </c>
      <c r="M2419" s="8" t="s">
        <v>33</v>
      </c>
      <c r="N2419" s="8"/>
    </row>
    <row r="2420" spans="1:14" ht="11.25" customHeight="1">
      <c r="A2420" s="5" t="s">
        <v>6833</v>
      </c>
      <c r="B2420" s="5" t="s">
        <v>6934</v>
      </c>
      <c r="C2420" s="5" t="s">
        <v>7035</v>
      </c>
      <c r="D2420" s="5" t="s">
        <v>6836</v>
      </c>
      <c r="E2420" s="5" t="s">
        <v>18</v>
      </c>
      <c r="F2420" s="5" t="s">
        <v>6837</v>
      </c>
      <c r="G2420" s="5" t="s">
        <v>152</v>
      </c>
      <c r="H2420" s="5" t="s">
        <v>6936</v>
      </c>
      <c r="I2420" s="5" t="s">
        <v>7036</v>
      </c>
      <c r="J2420" s="5" t="s">
        <v>7037</v>
      </c>
      <c r="K2420" s="7" t="str">
        <f ca="1">IFERROR(__xludf.DUMMYFUNCTION("GOOGLETRANSLATE(H2420,""EN"",""ES"")"),"baratijas, adornos de mesa, repisa y pared, floreros y maceteros.")</f>
        <v>baratijas, adornos de mesa, repisa y pared, floreros y maceteros.</v>
      </c>
      <c r="L2420" s="5" t="str">
        <f ca="1">IFERROR(__xludf.DUMMYFUNCTION("GOOGLETRANSLATE(J2420,""EN"",""ES"")"),"Quemadores de incienso")</f>
        <v>Quemadores de incienso</v>
      </c>
      <c r="M2420" s="8" t="s">
        <v>33</v>
      </c>
      <c r="N2420" s="8"/>
    </row>
    <row r="2421" spans="1:14" ht="11.25" customHeight="1">
      <c r="A2421" s="5" t="s">
        <v>6833</v>
      </c>
      <c r="B2421" s="5" t="s">
        <v>6934</v>
      </c>
      <c r="C2421" s="5" t="s">
        <v>7038</v>
      </c>
      <c r="D2421" s="5" t="s">
        <v>6836</v>
      </c>
      <c r="E2421" s="5" t="s">
        <v>18</v>
      </c>
      <c r="F2421" s="5" t="s">
        <v>6837</v>
      </c>
      <c r="G2421" s="5" t="s">
        <v>152</v>
      </c>
      <c r="H2421" s="5" t="s">
        <v>6936</v>
      </c>
      <c r="I2421" s="5" t="s">
        <v>7039</v>
      </c>
      <c r="J2421" s="5" t="s">
        <v>7040</v>
      </c>
      <c r="K2421" s="7" t="str">
        <f ca="1">IFERROR(__xludf.DUMMYFUNCTION("GOOGLETRANSLATE(H2421,""EN"",""ES"")"),"baratijas, adornos de mesa, repisa y pared, floreros y maceteros.")</f>
        <v>baratijas, adornos de mesa, repisa y pared, floreros y maceteros.</v>
      </c>
      <c r="L2421" s="5" t="str">
        <f ca="1">IFERROR(__xludf.DUMMYFUNCTION("GOOGLETRANSLATE(J2421,""EN"",""ES"")"),"Figuras para fumar incienso")</f>
        <v>Figuras para fumar incienso</v>
      </c>
      <c r="M2421" s="8" t="s">
        <v>33</v>
      </c>
      <c r="N2421" s="8"/>
    </row>
    <row r="2422" spans="1:14" ht="11.25" customHeight="1">
      <c r="A2422" s="5" t="s">
        <v>6833</v>
      </c>
      <c r="B2422" s="5" t="s">
        <v>6934</v>
      </c>
      <c r="C2422" s="5" t="s">
        <v>7038</v>
      </c>
      <c r="D2422" s="5" t="s">
        <v>6836</v>
      </c>
      <c r="E2422" s="5" t="s">
        <v>18</v>
      </c>
      <c r="F2422" s="5" t="s">
        <v>6837</v>
      </c>
      <c r="G2422" s="5" t="s">
        <v>152</v>
      </c>
      <c r="H2422" s="5" t="s">
        <v>6936</v>
      </c>
      <c r="I2422" s="5" t="s">
        <v>152</v>
      </c>
      <c r="J2422" s="5" t="s">
        <v>7041</v>
      </c>
      <c r="K2422" s="7" t="str">
        <f ca="1">IFERROR(__xludf.DUMMYFUNCTION("GOOGLETRANSLATE(H2422,""EN"",""ES"")"),"baratijas, adornos de mesa, repisa y pared, floreros y maceteros.")</f>
        <v>baratijas, adornos de mesa, repisa y pared, floreros y maceteros.</v>
      </c>
      <c r="L2422" s="5" t="str">
        <f ca="1">IFERROR(__xludf.DUMMYFUNCTION("GOOGLETRANSLATE(J2422,""EN"",""ES"")"),"N / A")</f>
        <v>N / A</v>
      </c>
      <c r="M2422" s="8" t="s">
        <v>33</v>
      </c>
      <c r="N2422" s="8"/>
    </row>
    <row r="2423" spans="1:14" ht="11.25" customHeight="1">
      <c r="A2423" s="5" t="s">
        <v>6833</v>
      </c>
      <c r="B2423" s="5" t="s">
        <v>6934</v>
      </c>
      <c r="C2423" s="5" t="s">
        <v>7042</v>
      </c>
      <c r="D2423" s="5" t="s">
        <v>6836</v>
      </c>
      <c r="E2423" s="5" t="s">
        <v>18</v>
      </c>
      <c r="F2423" s="5" t="s">
        <v>6837</v>
      </c>
      <c r="G2423" s="5" t="s">
        <v>152</v>
      </c>
      <c r="H2423" s="5" t="s">
        <v>6936</v>
      </c>
      <c r="I2423" s="5" t="s">
        <v>7043</v>
      </c>
      <c r="J2423" s="5" t="s">
        <v>7044</v>
      </c>
      <c r="K2423" s="7" t="str">
        <f ca="1">IFERROR(__xludf.DUMMYFUNCTION("GOOGLETRANSLATE(H2423,""EN"",""ES"")"),"baratijas, adornos de mesa, repisa y pared, floreros y maceteros.")</f>
        <v>baratijas, adornos de mesa, repisa y pared, floreros y maceteros.</v>
      </c>
      <c r="L2423" s="5" t="str">
        <f ca="1">IFERROR(__xludf.DUMMYFUNCTION("GOOGLETRANSLATE(J2423,""EN"",""ES"")"),"Campanas de viento")</f>
        <v>Campanas de viento</v>
      </c>
      <c r="M2423" s="8" t="s">
        <v>33</v>
      </c>
      <c r="N2423" s="8"/>
    </row>
    <row r="2424" spans="1:14" ht="11.25" customHeight="1">
      <c r="A2424" s="5" t="s">
        <v>6833</v>
      </c>
      <c r="B2424" s="5" t="s">
        <v>6934</v>
      </c>
      <c r="C2424" s="5" t="s">
        <v>7045</v>
      </c>
      <c r="D2424" s="5" t="s">
        <v>6836</v>
      </c>
      <c r="E2424" s="5" t="s">
        <v>18</v>
      </c>
      <c r="F2424" s="5" t="s">
        <v>6837</v>
      </c>
      <c r="G2424" s="5" t="s">
        <v>152</v>
      </c>
      <c r="H2424" s="5" t="s">
        <v>6936</v>
      </c>
      <c r="I2424" s="5" t="s">
        <v>7046</v>
      </c>
      <c r="J2424" s="5" t="s">
        <v>7047</v>
      </c>
      <c r="K2424" s="7" t="str">
        <f ca="1">IFERROR(__xludf.DUMMYFUNCTION("GOOGLETRANSLATE(H2424,""EN"",""ES"")"),"baratijas, adornos de mesa, repisa y pared, floreros y maceteros.")</f>
        <v>baratijas, adornos de mesa, repisa y pared, floreros y maceteros.</v>
      </c>
      <c r="L2424" s="5" t="str">
        <f ca="1">IFERROR(__xludf.DUMMYFUNCTION("GOOGLETRANSLATE(J2424,""EN"",""ES"")"),"propagadores de interior")</f>
        <v>propagadores de interior</v>
      </c>
      <c r="M2424" s="8" t="s">
        <v>33</v>
      </c>
      <c r="N2424" s="8"/>
    </row>
    <row r="2425" spans="1:14" ht="11.25" customHeight="1">
      <c r="A2425" s="5" t="s">
        <v>6833</v>
      </c>
      <c r="B2425" s="5" t="s">
        <v>6934</v>
      </c>
      <c r="C2425" s="5" t="s">
        <v>7048</v>
      </c>
      <c r="D2425" s="5" t="s">
        <v>6836</v>
      </c>
      <c r="E2425" s="5" t="s">
        <v>18</v>
      </c>
      <c r="F2425" s="5" t="s">
        <v>6837</v>
      </c>
      <c r="G2425" s="5" t="s">
        <v>152</v>
      </c>
      <c r="H2425" s="5" t="s">
        <v>6936</v>
      </c>
      <c r="I2425" s="5" t="s">
        <v>7049</v>
      </c>
      <c r="J2425" s="5" t="s">
        <v>7050</v>
      </c>
      <c r="K2425" s="7" t="str">
        <f ca="1">IFERROR(__xludf.DUMMYFUNCTION("GOOGLETRANSLATE(H2425,""EN"",""ES"")"),"baratijas, adornos de mesa, repisa y pared, floreros y maceteros.")</f>
        <v>baratijas, adornos de mesa, repisa y pared, floreros y maceteros.</v>
      </c>
      <c r="L2425" s="5" t="str">
        <f ca="1">IFERROR(__xludf.DUMMYFUNCTION("GOOGLETRANSLATE(J2425,""EN"",""ES"")"),"Globos de nieve")</f>
        <v>Globos de nieve</v>
      </c>
      <c r="M2425" s="8" t="s">
        <v>33</v>
      </c>
      <c r="N2425" s="8"/>
    </row>
    <row r="2426" spans="1:14" ht="11.25" customHeight="1">
      <c r="A2426" s="5" t="s">
        <v>6833</v>
      </c>
      <c r="B2426" s="5" t="s">
        <v>6934</v>
      </c>
      <c r="C2426" s="5" t="s">
        <v>7051</v>
      </c>
      <c r="D2426" s="5" t="s">
        <v>6836</v>
      </c>
      <c r="E2426" s="5" t="s">
        <v>18</v>
      </c>
      <c r="F2426" s="5" t="s">
        <v>6837</v>
      </c>
      <c r="G2426" s="5" t="s">
        <v>152</v>
      </c>
      <c r="H2426" s="5" t="s">
        <v>6936</v>
      </c>
      <c r="I2426" s="5" t="s">
        <v>7052</v>
      </c>
      <c r="J2426" s="5" t="s">
        <v>7053</v>
      </c>
      <c r="K2426" s="7" t="str">
        <f ca="1">IFERROR(__xludf.DUMMYFUNCTION("GOOGLETRANSLATE(H2426,""EN"",""ES"")"),"baratijas, adornos de mesa, repisa y pared, floreros y maceteros.")</f>
        <v>baratijas, adornos de mesa, repisa y pared, floreros y maceteros.</v>
      </c>
      <c r="L2426" s="5" t="str">
        <f ca="1">IFERROR(__xludf.DUMMYFUNCTION("GOOGLETRANSLATE(J2426,""EN"",""ES"")"),"Cuadros para decoración de interiores.")</f>
        <v>Cuadros para decoración de interiores.</v>
      </c>
      <c r="M2426" s="8" t="s">
        <v>33</v>
      </c>
      <c r="N2426" s="8"/>
    </row>
    <row r="2427" spans="1:14" ht="11.25" customHeight="1">
      <c r="A2427" s="5" t="s">
        <v>6833</v>
      </c>
      <c r="B2427" s="5" t="s">
        <v>6934</v>
      </c>
      <c r="C2427" s="5" t="s">
        <v>7054</v>
      </c>
      <c r="D2427" s="5" t="s">
        <v>6836</v>
      </c>
      <c r="E2427" s="5" t="s">
        <v>18</v>
      </c>
      <c r="F2427" s="5" t="s">
        <v>6837</v>
      </c>
      <c r="G2427" s="5" t="s">
        <v>152</v>
      </c>
      <c r="H2427" s="5" t="s">
        <v>6936</v>
      </c>
      <c r="I2427" s="5" t="s">
        <v>7055</v>
      </c>
      <c r="J2427" s="5" t="s">
        <v>7056</v>
      </c>
      <c r="K2427" s="7" t="str">
        <f ca="1">IFERROR(__xludf.DUMMYFUNCTION("GOOGLETRANSLATE(H2427,""EN"",""ES"")"),"baratijas, adornos de mesa, repisa y pared, floreros y maceteros.")</f>
        <v>baratijas, adornos de mesa, repisa y pared, floreros y maceteros.</v>
      </c>
      <c r="L2427" s="5" t="str">
        <f ca="1">IFERROR(__xludf.DUMMYFUNCTION("GOOGLETRANSLATE(J2427,""EN"",""ES"")"),"Quemadores de perfumes")</f>
        <v>Quemadores de perfumes</v>
      </c>
      <c r="M2427" s="8" t="s">
        <v>33</v>
      </c>
      <c r="N2427" s="8"/>
    </row>
    <row r="2428" spans="1:14" ht="11.25" customHeight="1">
      <c r="A2428" s="5" t="s">
        <v>6833</v>
      </c>
      <c r="B2428" s="5" t="s">
        <v>7057</v>
      </c>
      <c r="C2428" s="5" t="s">
        <v>7058</v>
      </c>
      <c r="D2428" s="5" t="s">
        <v>6836</v>
      </c>
      <c r="E2428" s="5" t="s">
        <v>18</v>
      </c>
      <c r="F2428" s="5" t="s">
        <v>6837</v>
      </c>
      <c r="G2428" s="5" t="s">
        <v>152</v>
      </c>
      <c r="H2428" s="5" t="s">
        <v>7059</v>
      </c>
      <c r="I2428" s="5" t="s">
        <v>7060</v>
      </c>
      <c r="J2428" s="5" t="s">
        <v>7060</v>
      </c>
      <c r="K2428" s="7" t="str">
        <f ca="1">IFERROR(__xludf.DUMMYFUNCTION("GOOGLETRANSLATE(H2428,""EN"",""ES"")"),"MEDALLAS E INSIGNIAS")</f>
        <v>MEDALLAS E INSIGNIAS</v>
      </c>
      <c r="L2428" s="5" t="str">
        <f ca="1">IFERROR(__xludf.DUMMYFUNCTION("GOOGLETRANSLATE(J2428,""EN"",""ES"")"),"Insignias")</f>
        <v>Insignias</v>
      </c>
      <c r="M2428" s="5" t="str">
        <f ca="1">IFERROR(__xludf.DUMMYFUNCTION("GOOGLETRANSLATE(J2429,""EN"",""ES"")"),"N / A")</f>
        <v>N / A</v>
      </c>
      <c r="N2428" s="8"/>
    </row>
    <row r="2429" spans="1:14" ht="11.25" customHeight="1">
      <c r="A2429" s="5" t="s">
        <v>6833</v>
      </c>
      <c r="B2429" s="5" t="s">
        <v>7057</v>
      </c>
      <c r="C2429" s="5" t="s">
        <v>7058</v>
      </c>
      <c r="D2429" s="5" t="s">
        <v>6836</v>
      </c>
      <c r="E2429" s="5" t="s">
        <v>18</v>
      </c>
      <c r="F2429" s="5" t="s">
        <v>6837</v>
      </c>
      <c r="G2429" s="5" t="s">
        <v>152</v>
      </c>
      <c r="H2429" s="5" t="s">
        <v>7059</v>
      </c>
      <c r="I2429" s="5" t="s">
        <v>152</v>
      </c>
      <c r="J2429" s="5" t="s">
        <v>7061</v>
      </c>
      <c r="K2429" s="7" t="str">
        <f ca="1">IFERROR(__xludf.DUMMYFUNCTION("GOOGLETRANSLATE(H2429,""EN"",""ES"")"),"MEDALLAS E INSIGNIAS")</f>
        <v>MEDALLAS E INSIGNIAS</v>
      </c>
      <c r="L2429" s="5" t="str">
        <f ca="1">IFERROR(__xludf.DUMMYFUNCTION("GOOGLETRANSLATE(J2429,""EN"",""ES"")"),"N / A")</f>
        <v>N / A</v>
      </c>
      <c r="M2429" s="5" t="str">
        <f ca="1">IFERROR(__xludf.DUMMYFUNCTION("GOOGLETRANSLATE(J2429,""EN"",""ES"")"),"N / A")</f>
        <v>N / A</v>
      </c>
      <c r="N2429" s="8"/>
    </row>
    <row r="2430" spans="1:14" ht="11.25" customHeight="1">
      <c r="A2430" s="5" t="s">
        <v>6833</v>
      </c>
      <c r="B2430" s="5" t="s">
        <v>7057</v>
      </c>
      <c r="C2430" s="5" t="s">
        <v>7062</v>
      </c>
      <c r="D2430" s="5" t="s">
        <v>6836</v>
      </c>
      <c r="E2430" s="5" t="s">
        <v>18</v>
      </c>
      <c r="F2430" s="5" t="s">
        <v>6837</v>
      </c>
      <c r="G2430" s="5" t="s">
        <v>152</v>
      </c>
      <c r="H2430" s="5" t="s">
        <v>7059</v>
      </c>
      <c r="I2430" s="5" t="s">
        <v>7063</v>
      </c>
      <c r="J2430" s="5" t="s">
        <v>7064</v>
      </c>
      <c r="K2430" s="7" t="str">
        <f ca="1">IFERROR(__xludf.DUMMYFUNCTION("GOOGLETRANSLATE(H2430,""EN"",""ES"")"),"MEDALLAS E INSIGNIAS")</f>
        <v>MEDALLAS E INSIGNIAS</v>
      </c>
      <c r="L2430" s="5" t="str">
        <f ca="1">IFERROR(__xludf.DUMMYFUNCTION("GOOGLETRANSLATE(J2430,""EN"",""ES"")"),"Insignias de campaña")</f>
        <v>Insignias de campaña</v>
      </c>
      <c r="M2430" s="5" t="str">
        <f ca="1">IFERROR(__xludf.DUMMYFUNCTION("GOOGLETRANSLATE(J2429,""EN"",""ES"")"),"N / A")</f>
        <v>N / A</v>
      </c>
      <c r="N2430" s="8"/>
    </row>
    <row r="2431" spans="1:14" ht="11.25" customHeight="1">
      <c r="A2431" s="5" t="s">
        <v>6833</v>
      </c>
      <c r="B2431" s="5" t="s">
        <v>7057</v>
      </c>
      <c r="C2431" s="5" t="s">
        <v>7065</v>
      </c>
      <c r="D2431" s="5" t="s">
        <v>6836</v>
      </c>
      <c r="E2431" s="5" t="s">
        <v>18</v>
      </c>
      <c r="F2431" s="5" t="s">
        <v>6837</v>
      </c>
      <c r="G2431" s="5" t="s">
        <v>152</v>
      </c>
      <c r="H2431" s="5" t="s">
        <v>7059</v>
      </c>
      <c r="I2431" s="5" t="s">
        <v>7066</v>
      </c>
      <c r="J2431" s="5" t="s">
        <v>7067</v>
      </c>
      <c r="K2431" s="7" t="str">
        <f ca="1">IFERROR(__xludf.DUMMYFUNCTION("GOOGLETRANSLATE(H2431,""EN"",""ES"")"),"MEDALLAS E INSIGNIAS")</f>
        <v>MEDALLAS E INSIGNIAS</v>
      </c>
      <c r="L2431" s="5" t="str">
        <f ca="1">IFERROR(__xludf.DUMMYFUNCTION("GOOGLETRANSLATE(J2431,""EN"",""ES"")"),"Medallas")</f>
        <v>Medallas</v>
      </c>
      <c r="M2431" s="5" t="str">
        <f ca="1">IFERROR(__xludf.DUMMYFUNCTION("GOOGLETRANSLATE(J2429,""EN"",""ES"")"),"N / A")</f>
        <v>N / A</v>
      </c>
      <c r="N2431" s="8"/>
    </row>
    <row r="2432" spans="1:14" ht="11.25" customHeight="1">
      <c r="A2432" s="5" t="s">
        <v>6833</v>
      </c>
      <c r="B2432" s="5" t="s">
        <v>7057</v>
      </c>
      <c r="C2432" s="5" t="s">
        <v>7068</v>
      </c>
      <c r="D2432" s="5" t="s">
        <v>6836</v>
      </c>
      <c r="E2432" s="5" t="s">
        <v>18</v>
      </c>
      <c r="F2432" s="5" t="s">
        <v>6837</v>
      </c>
      <c r="G2432" s="5" t="s">
        <v>152</v>
      </c>
      <c r="H2432" s="5" t="s">
        <v>7059</v>
      </c>
      <c r="I2432" s="5" t="s">
        <v>7069</v>
      </c>
      <c r="J2432" s="5" t="s">
        <v>7070</v>
      </c>
      <c r="K2432" s="7" t="str">
        <f ca="1">IFERROR(__xludf.DUMMYFUNCTION("GOOGLETRANSLATE(H2432,""EN"",""ES"")"),"MEDALLAS E INSIGNIAS")</f>
        <v>MEDALLAS E INSIGNIAS</v>
      </c>
      <c r="L2432" s="5" t="str">
        <f ca="1">IFERROR(__xludf.DUMMYFUNCTION("GOOGLETRANSLATE(J2432,""EN"",""ES"")"),"Tarjetas de identificación")</f>
        <v>Tarjetas de identificación</v>
      </c>
      <c r="M2432" s="5" t="str">
        <f ca="1">IFERROR(__xludf.DUMMYFUNCTION("GOOGLETRANSLATE(J2429,""EN"",""ES"")"),"N / A")</f>
        <v>N / A</v>
      </c>
      <c r="N2432" s="8"/>
    </row>
    <row r="2433" spans="1:14" ht="11.25" customHeight="1">
      <c r="A2433" s="5" t="s">
        <v>6833</v>
      </c>
      <c r="B2433" s="5" t="s">
        <v>7057</v>
      </c>
      <c r="C2433" s="5" t="s">
        <v>7071</v>
      </c>
      <c r="D2433" s="5" t="s">
        <v>6836</v>
      </c>
      <c r="E2433" s="5" t="s">
        <v>18</v>
      </c>
      <c r="F2433" s="5" t="s">
        <v>6837</v>
      </c>
      <c r="G2433" s="5" t="s">
        <v>152</v>
      </c>
      <c r="H2433" s="5" t="s">
        <v>7059</v>
      </c>
      <c r="I2433" s="5" t="s">
        <v>7072</v>
      </c>
      <c r="J2433" s="5" t="s">
        <v>7073</v>
      </c>
      <c r="K2433" s="7" t="str">
        <f ca="1">IFERROR(__xludf.DUMMYFUNCTION("GOOGLETRANSLATE(H2433,""EN"",""ES"")"),"MEDALLAS E INSIGNIAS")</f>
        <v>MEDALLAS E INSIGNIAS</v>
      </c>
      <c r="L2433" s="5" t="str">
        <f ca="1">IFERROR(__xludf.DUMMYFUNCTION("GOOGLETRANSLATE(J2433,""EN"",""ES"")"),"Pines [insignias]")</f>
        <v>Pines [insignias]</v>
      </c>
      <c r="M2433" s="5" t="str">
        <f ca="1">IFERROR(__xludf.DUMMYFUNCTION("GOOGLETRANSLATE(J2429,""EN"",""ES"")"),"N / A")</f>
        <v>N / A</v>
      </c>
      <c r="N2433" s="8"/>
    </row>
    <row r="2434" spans="1:14" ht="11.25" customHeight="1">
      <c r="A2434" s="5" t="s">
        <v>6833</v>
      </c>
      <c r="B2434" s="5" t="s">
        <v>7074</v>
      </c>
      <c r="C2434" s="5" t="s">
        <v>7075</v>
      </c>
      <c r="D2434" s="5" t="s">
        <v>6836</v>
      </c>
      <c r="E2434" s="5" t="s">
        <v>18</v>
      </c>
      <c r="F2434" s="5" t="s">
        <v>6837</v>
      </c>
      <c r="G2434" s="5" t="s">
        <v>152</v>
      </c>
      <c r="H2434" s="5" t="s">
        <v>7076</v>
      </c>
      <c r="I2434" s="5" t="s">
        <v>7077</v>
      </c>
      <c r="J2434" s="5" t="s">
        <v>7078</v>
      </c>
      <c r="K2434" s="7" t="str">
        <f ca="1">IFERROR(__xludf.DUMMYFUNCTION("GOOGLETRANSLATE(H2434,""EN"",""ES"")"),"FLORES, FRUTAS Y PLANTAS ARTIFICIALES")</f>
        <v>FLORES, FRUTAS Y PLANTAS ARTIFICIALES</v>
      </c>
      <c r="L2434" s="5" t="str">
        <f ca="1">IFERROR(__xludf.DUMMYFUNCTION("GOOGLETRANSLATE(J2434,""EN"",""ES"")"),"Árboles de Navidad [artificiales]")</f>
        <v>Árboles de Navidad [artificiales]</v>
      </c>
      <c r="M2434" s="8" t="s">
        <v>33</v>
      </c>
      <c r="N2434" s="8"/>
    </row>
    <row r="2435" spans="1:14" ht="11.25" customHeight="1">
      <c r="A2435" s="5" t="s">
        <v>6833</v>
      </c>
      <c r="B2435" s="5" t="s">
        <v>7074</v>
      </c>
      <c r="C2435" s="5" t="s">
        <v>7079</v>
      </c>
      <c r="D2435" s="5" t="s">
        <v>6836</v>
      </c>
      <c r="E2435" s="5" t="s">
        <v>18</v>
      </c>
      <c r="F2435" s="5" t="s">
        <v>6837</v>
      </c>
      <c r="G2435" s="5" t="s">
        <v>152</v>
      </c>
      <c r="H2435" s="5" t="s">
        <v>7076</v>
      </c>
      <c r="I2435" s="5" t="s">
        <v>7080</v>
      </c>
      <c r="J2435" s="5" t="s">
        <v>7081</v>
      </c>
      <c r="K2435" s="7" t="str">
        <f ca="1">IFERROR(__xludf.DUMMYFUNCTION("GOOGLETRANSLATE(H2435,""EN"",""ES"")"),"FLORES, FRUTAS Y PLANTAS ARTIFICIALES")</f>
        <v>FLORES, FRUTAS Y PLANTAS ARTIFICIALES</v>
      </c>
      <c r="L2435" s="5" t="str">
        <f ca="1">IFERROR(__xludf.DUMMYFUNCTION("GOOGLETRANSLATE(J2435,""EN"",""ES"")"),"Ramas de arbustos artificiales.")</f>
        <v>Ramas de arbustos artificiales.</v>
      </c>
      <c r="M2435" s="8" t="s">
        <v>33</v>
      </c>
      <c r="N2435" s="8"/>
    </row>
    <row r="2436" spans="1:14" ht="11.25" customHeight="1">
      <c r="A2436" s="5" t="s">
        <v>6833</v>
      </c>
      <c r="B2436" s="5" t="s">
        <v>7074</v>
      </c>
      <c r="C2436" s="5" t="s">
        <v>7082</v>
      </c>
      <c r="D2436" s="5" t="s">
        <v>6836</v>
      </c>
      <c r="E2436" s="5" t="s">
        <v>18</v>
      </c>
      <c r="F2436" s="5" t="s">
        <v>6837</v>
      </c>
      <c r="G2436" s="5" t="s">
        <v>152</v>
      </c>
      <c r="H2436" s="5" t="s">
        <v>7076</v>
      </c>
      <c r="I2436" s="5" t="s">
        <v>7083</v>
      </c>
      <c r="J2436" s="5" t="s">
        <v>7084</v>
      </c>
      <c r="K2436" s="7" t="str">
        <f ca="1">IFERROR(__xludf.DUMMYFUNCTION("GOOGLETRANSLATE(H2436,""EN"",""ES"")"),"FLORES, FRUTAS Y PLANTAS ARTIFICIALES")</f>
        <v>FLORES, FRUTAS Y PLANTAS ARTIFICIALES</v>
      </c>
      <c r="L2436" s="5" t="str">
        <f ca="1">IFERROR(__xludf.DUMMYFUNCTION("GOOGLETRANSLATE(J2436,""EN"",""ES"")"),"coronas artificiales")</f>
        <v>coronas artificiales</v>
      </c>
      <c r="M2436" s="8" t="s">
        <v>33</v>
      </c>
      <c r="N2436" s="8"/>
    </row>
    <row r="2437" spans="1:14" ht="11.25" customHeight="1">
      <c r="A2437" s="5" t="s">
        <v>6833</v>
      </c>
      <c r="B2437" s="5" t="s">
        <v>7074</v>
      </c>
      <c r="C2437" s="5" t="s">
        <v>7085</v>
      </c>
      <c r="D2437" s="5" t="s">
        <v>6836</v>
      </c>
      <c r="E2437" s="5" t="s">
        <v>18</v>
      </c>
      <c r="F2437" s="5" t="s">
        <v>6837</v>
      </c>
      <c r="G2437" s="5" t="s">
        <v>152</v>
      </c>
      <c r="H2437" s="5" t="s">
        <v>7076</v>
      </c>
      <c r="I2437" s="5" t="s">
        <v>7086</v>
      </c>
      <c r="J2437" s="5" t="s">
        <v>7087</v>
      </c>
      <c r="K2437" s="7" t="str">
        <f ca="1">IFERROR(__xludf.DUMMYFUNCTION("GOOGLETRANSLATE(H2437,""EN"",""ES"")"),"FLORES, FRUTAS Y PLANTAS ARTIFICIALES")</f>
        <v>FLORES, FRUTAS Y PLANTAS ARTIFICIALES</v>
      </c>
      <c r="L2437" s="5" t="str">
        <f ca="1">IFERROR(__xludf.DUMMYFUNCTION("GOOGLETRANSLATE(J2437,""EN"",""ES"")"),"Coronas funerarias")</f>
        <v>Coronas funerarias</v>
      </c>
      <c r="M2437" s="8" t="s">
        <v>33</v>
      </c>
      <c r="N2437" s="8"/>
    </row>
    <row r="2438" spans="1:14" ht="11.25" customHeight="1">
      <c r="A2438" s="5" t="s">
        <v>6833</v>
      </c>
      <c r="B2438" s="5" t="s">
        <v>7074</v>
      </c>
      <c r="C2438" s="5" t="s">
        <v>7088</v>
      </c>
      <c r="D2438" s="5" t="s">
        <v>6836</v>
      </c>
      <c r="E2438" s="5" t="s">
        <v>18</v>
      </c>
      <c r="F2438" s="5" t="s">
        <v>6837</v>
      </c>
      <c r="G2438" s="5" t="s">
        <v>152</v>
      </c>
      <c r="H2438" s="5" t="s">
        <v>7076</v>
      </c>
      <c r="I2438" s="5" t="s">
        <v>7089</v>
      </c>
      <c r="J2438" s="5" t="s">
        <v>7090</v>
      </c>
      <c r="K2438" s="7" t="str">
        <f ca="1">IFERROR(__xludf.DUMMYFUNCTION("GOOGLETRANSLATE(H2438,""EN"",""ES"")"),"FLORES, FRUTAS Y PLANTAS ARTIFICIALES")</f>
        <v>FLORES, FRUTAS Y PLANTAS ARTIFICIALES</v>
      </c>
      <c r="L2438" s="5" t="str">
        <f ca="1">IFERROR(__xludf.DUMMYFUNCTION("GOOGLETRANSLATE(J2438,""EN"",""ES"")"),"Decoraciones florales")</f>
        <v>Decoraciones florales</v>
      </c>
      <c r="M2438" s="8" t="s">
        <v>33</v>
      </c>
      <c r="N2438" s="8"/>
    </row>
    <row r="2439" spans="1:14" ht="11.25" customHeight="1">
      <c r="A2439" s="5" t="s">
        <v>6833</v>
      </c>
      <c r="B2439" s="5" t="s">
        <v>7074</v>
      </c>
      <c r="C2439" s="5" t="s">
        <v>7091</v>
      </c>
      <c r="D2439" s="5" t="s">
        <v>6836</v>
      </c>
      <c r="E2439" s="5" t="s">
        <v>18</v>
      </c>
      <c r="F2439" s="5" t="s">
        <v>6837</v>
      </c>
      <c r="G2439" s="5" t="s">
        <v>152</v>
      </c>
      <c r="H2439" s="5" t="s">
        <v>7076</v>
      </c>
      <c r="I2439" s="5" t="s">
        <v>7092</v>
      </c>
      <c r="J2439" s="5" t="s">
        <v>7093</v>
      </c>
      <c r="K2439" s="7" t="str">
        <f ca="1">IFERROR(__xludf.DUMMYFUNCTION("GOOGLETRANSLATE(H2439,""EN"",""ES"")"),"FLORES, FRUTAS Y PLANTAS ARTIFICIALES")</f>
        <v>FLORES, FRUTAS Y PLANTAS ARTIFICIALES</v>
      </c>
      <c r="L2439" s="5" t="str">
        <f ca="1">IFERROR(__xludf.DUMMYFUNCTION("GOOGLETRANSLATE(J2439,""EN"",""ES"")"),"follaje artificial")</f>
        <v>follaje artificial</v>
      </c>
      <c r="M2439" s="8" t="s">
        <v>33</v>
      </c>
      <c r="N2439" s="8"/>
    </row>
    <row r="2440" spans="1:14" ht="11.25" customHeight="1">
      <c r="A2440" s="5" t="s">
        <v>6833</v>
      </c>
      <c r="B2440" s="5" t="s">
        <v>7074</v>
      </c>
      <c r="C2440" s="5" t="s">
        <v>7094</v>
      </c>
      <c r="D2440" s="5" t="s">
        <v>6836</v>
      </c>
      <c r="E2440" s="5" t="s">
        <v>18</v>
      </c>
      <c r="F2440" s="5" t="s">
        <v>6837</v>
      </c>
      <c r="G2440" s="5" t="s">
        <v>152</v>
      </c>
      <c r="H2440" s="5" t="s">
        <v>7076</v>
      </c>
      <c r="I2440" s="5" t="s">
        <v>7095</v>
      </c>
      <c r="J2440" s="5" t="s">
        <v>7096</v>
      </c>
      <c r="K2440" s="7" t="str">
        <f ca="1">IFERROR(__xludf.DUMMYFUNCTION("GOOGLETRANSLATE(H2440,""EN"",""ES"")"),"FLORES, FRUTAS Y PLANTAS ARTIFICIALES")</f>
        <v>FLORES, FRUTAS Y PLANTAS ARTIFICIALES</v>
      </c>
      <c r="L2440" s="5" t="str">
        <f ca="1">IFERROR(__xludf.DUMMYFUNCTION("GOOGLETRANSLATE(J2440,""EN"",""ES"")"),"Hojas de plantas artificiales.")</f>
        <v>Hojas de plantas artificiales.</v>
      </c>
      <c r="M2440" s="8" t="s">
        <v>33</v>
      </c>
      <c r="N2440" s="8"/>
    </row>
    <row r="2441" spans="1:14" ht="11.25" customHeight="1">
      <c r="A2441" s="5" t="s">
        <v>6833</v>
      </c>
      <c r="B2441" s="5" t="s">
        <v>7074</v>
      </c>
      <c r="C2441" s="5" t="s">
        <v>7097</v>
      </c>
      <c r="D2441" s="5" t="s">
        <v>6836</v>
      </c>
      <c r="E2441" s="5" t="s">
        <v>18</v>
      </c>
      <c r="F2441" s="5" t="s">
        <v>6837</v>
      </c>
      <c r="G2441" s="5" t="s">
        <v>152</v>
      </c>
      <c r="H2441" s="5" t="s">
        <v>7076</v>
      </c>
      <c r="I2441" s="5" t="s">
        <v>7098</v>
      </c>
      <c r="J2441" s="5" t="s">
        <v>7099</v>
      </c>
      <c r="K2441" s="7" t="str">
        <f ca="1">IFERROR(__xludf.DUMMYFUNCTION("GOOGLETRANSLATE(H2441,""EN"",""ES"")"),"FLORES, FRUTAS Y PLANTAS ARTIFICIALES")</f>
        <v>FLORES, FRUTAS Y PLANTAS ARTIFICIALES</v>
      </c>
      <c r="L2441" s="5" t="str">
        <f ca="1">IFERROR(__xludf.DUMMYFUNCTION("GOOGLETRANSLATE(J2441,""EN"",""ES"")"),"flores artificiales")</f>
        <v>flores artificiales</v>
      </c>
      <c r="M2441" s="8" t="s">
        <v>33</v>
      </c>
      <c r="N2441" s="8"/>
    </row>
    <row r="2442" spans="1:14" ht="11.25" customHeight="1">
      <c r="A2442" s="5" t="s">
        <v>6833</v>
      </c>
      <c r="B2442" s="5" t="s">
        <v>7074</v>
      </c>
      <c r="C2442" s="5" t="s">
        <v>7100</v>
      </c>
      <c r="D2442" s="5" t="s">
        <v>6836</v>
      </c>
      <c r="E2442" s="5" t="s">
        <v>18</v>
      </c>
      <c r="F2442" s="5" t="s">
        <v>6837</v>
      </c>
      <c r="G2442" s="5" t="s">
        <v>152</v>
      </c>
      <c r="H2442" s="5" t="s">
        <v>7076</v>
      </c>
      <c r="I2442" s="5" t="s">
        <v>7101</v>
      </c>
      <c r="J2442" s="5" t="s">
        <v>7102</v>
      </c>
      <c r="K2442" s="7" t="str">
        <f ca="1">IFERROR(__xludf.DUMMYFUNCTION("GOOGLETRANSLATE(H2442,""EN"",""ES"")"),"FLORES, FRUTAS Y PLANTAS ARTIFICIALES")</f>
        <v>FLORES, FRUTAS Y PLANTAS ARTIFICIALES</v>
      </c>
      <c r="L2442" s="5" t="str">
        <f ca="1">IFERROR(__xludf.DUMMYFUNCTION("GOOGLETRANSLATE(J2442,""EN"",""ES"")"),"fruta [artificial]")</f>
        <v>fruta [artificial]</v>
      </c>
      <c r="M2442" s="8" t="s">
        <v>33</v>
      </c>
      <c r="N2442" s="8"/>
    </row>
    <row r="2443" spans="1:14" ht="11.25" customHeight="1">
      <c r="A2443" s="5" t="s">
        <v>6833</v>
      </c>
      <c r="B2443" s="5" t="s">
        <v>7074</v>
      </c>
      <c r="C2443" s="5" t="s">
        <v>7103</v>
      </c>
      <c r="D2443" s="5" t="s">
        <v>6836</v>
      </c>
      <c r="E2443" s="5" t="s">
        <v>18</v>
      </c>
      <c r="F2443" s="5" t="s">
        <v>6837</v>
      </c>
      <c r="G2443" s="5" t="s">
        <v>152</v>
      </c>
      <c r="H2443" s="5" t="s">
        <v>7076</v>
      </c>
      <c r="I2443" s="5" t="s">
        <v>7104</v>
      </c>
      <c r="J2443" s="5" t="s">
        <v>7105</v>
      </c>
      <c r="K2443" s="7" t="str">
        <f ca="1">IFERROR(__xludf.DUMMYFUNCTION("GOOGLETRANSLATE(H2443,""EN"",""ES"")"),"FLORES, FRUTAS Y PLANTAS ARTIFICIALES")</f>
        <v>FLORES, FRUTAS Y PLANTAS ARTIFICIALES</v>
      </c>
      <c r="L2443" s="5" t="str">
        <f ca="1">IFERROR(__xludf.DUMMYFUNCTION("GOOGLETRANSLATE(J2443,""EN"",""ES"")"),"Guirnaldas de flores u hojas artificiales.")</f>
        <v>Guirnaldas de flores u hojas artificiales.</v>
      </c>
      <c r="M2443" s="8" t="s">
        <v>33</v>
      </c>
      <c r="N2443" s="8"/>
    </row>
    <row r="2444" spans="1:14" ht="11.25" customHeight="1">
      <c r="A2444" s="5" t="s">
        <v>6833</v>
      </c>
      <c r="B2444" s="5" t="s">
        <v>7074</v>
      </c>
      <c r="C2444" s="5" t="s">
        <v>7106</v>
      </c>
      <c r="D2444" s="5" t="s">
        <v>6836</v>
      </c>
      <c r="E2444" s="5" t="s">
        <v>18</v>
      </c>
      <c r="F2444" s="5" t="s">
        <v>6837</v>
      </c>
      <c r="G2444" s="5" t="s">
        <v>152</v>
      </c>
      <c r="H2444" s="5" t="s">
        <v>7076</v>
      </c>
      <c r="I2444" s="5" t="s">
        <v>7107</v>
      </c>
      <c r="J2444" s="5" t="s">
        <v>7108</v>
      </c>
      <c r="K2444" s="7" t="str">
        <f ca="1">IFERROR(__xludf.DUMMYFUNCTION("GOOGLETRANSLATE(H2444,""EN"",""ES"")"),"FLORES, FRUTAS Y PLANTAS ARTIFICIALES")</f>
        <v>FLORES, FRUTAS Y PLANTAS ARTIFICIALES</v>
      </c>
      <c r="L2444" s="5" t="str">
        <f ca="1">IFERROR(__xludf.DUMMYFUNCTION("GOOGLETRANSLATE(J2444,""EN"",""ES"")"),"plantas artificiales")</f>
        <v>plantas artificiales</v>
      </c>
      <c r="M2444" s="8" t="s">
        <v>33</v>
      </c>
      <c r="N2444" s="8"/>
    </row>
    <row r="2445" spans="1:14" ht="11.25" customHeight="1">
      <c r="A2445" s="5" t="s">
        <v>6833</v>
      </c>
      <c r="B2445" s="5" t="s">
        <v>7074</v>
      </c>
      <c r="C2445" s="5" t="s">
        <v>7109</v>
      </c>
      <c r="D2445" s="5" t="s">
        <v>6836</v>
      </c>
      <c r="E2445" s="5" t="s">
        <v>18</v>
      </c>
      <c r="F2445" s="5" t="s">
        <v>6837</v>
      </c>
      <c r="G2445" s="5" t="s">
        <v>152</v>
      </c>
      <c r="H2445" s="5" t="s">
        <v>7076</v>
      </c>
      <c r="I2445" s="5" t="s">
        <v>7110</v>
      </c>
      <c r="J2445" s="5" t="s">
        <v>7111</v>
      </c>
      <c r="K2445" s="7" t="str">
        <f ca="1">IFERROR(__xludf.DUMMYFUNCTION("GOOGLETRANSLATE(H2445,""EN"",""ES"")"),"FLORES, FRUTAS Y PLANTAS ARTIFICIALES")</f>
        <v>FLORES, FRUTAS Y PLANTAS ARTIFICIALES</v>
      </c>
      <c r="L2445" s="5" t="str">
        <f ca="1">IFERROR(__xludf.DUMMYFUNCTION("GOOGLETRANSLATE(J2445,""EN"",""ES"")"),"Vegetación de imitación")</f>
        <v>Vegetación de imitación</v>
      </c>
      <c r="M2445" s="8" t="s">
        <v>33</v>
      </c>
      <c r="N2445" s="8"/>
    </row>
    <row r="2446" spans="1:14" ht="11.25" customHeight="1">
      <c r="A2446" s="5" t="s">
        <v>6833</v>
      </c>
      <c r="B2446" s="5" t="s">
        <v>7112</v>
      </c>
      <c r="C2446" s="5" t="s">
        <v>7113</v>
      </c>
      <c r="D2446" s="5" t="s">
        <v>6836</v>
      </c>
      <c r="E2446" s="5" t="s">
        <v>18</v>
      </c>
      <c r="F2446" s="5" t="s">
        <v>6837</v>
      </c>
      <c r="G2446" s="5" t="s">
        <v>152</v>
      </c>
      <c r="H2446" s="5" t="s">
        <v>7114</v>
      </c>
      <c r="I2446" s="5" t="s">
        <v>7115</v>
      </c>
      <c r="J2446" s="5" t="s">
        <v>7116</v>
      </c>
      <c r="K2446" s="7" t="str">
        <f ca="1">IFERROR(__xludf.DUMMYFUNCTION("GOOGLETRANSLATE(H2446,""EN"",""ES"")"),"BANDERAS, ADORNOS FESTIVOS")</f>
        <v>BANDERAS, ADORNOS FESTIVOS</v>
      </c>
      <c r="L2446" s="5" t="str">
        <f ca="1">IFERROR(__xludf.DUMMYFUNCTION("GOOGLETRANSLATE(J2446,""EN"",""ES"")"),"Figuras para pesebres navideños")</f>
        <v>Figuras para pesebres navideños</v>
      </c>
      <c r="M2446" s="8" t="s">
        <v>33</v>
      </c>
      <c r="N2446" s="8"/>
    </row>
    <row r="2447" spans="1:14" ht="11.25" customHeight="1">
      <c r="A2447" s="5" t="s">
        <v>6833</v>
      </c>
      <c r="B2447" s="5" t="s">
        <v>7112</v>
      </c>
      <c r="C2447" s="5" t="s">
        <v>7113</v>
      </c>
      <c r="D2447" s="5" t="s">
        <v>6836</v>
      </c>
      <c r="E2447" s="5" t="s">
        <v>18</v>
      </c>
      <c r="F2447" s="5" t="s">
        <v>6837</v>
      </c>
      <c r="G2447" s="5" t="s">
        <v>152</v>
      </c>
      <c r="H2447" s="5" t="s">
        <v>7114</v>
      </c>
      <c r="I2447" s="5" t="s">
        <v>152</v>
      </c>
      <c r="J2447" s="5" t="s">
        <v>7117</v>
      </c>
      <c r="K2447" s="7" t="str">
        <f ca="1">IFERROR(__xludf.DUMMYFUNCTION("GOOGLETRANSLATE(H2447,""EN"",""ES"")"),"BANDERAS, ADORNOS FESTIVOS")</f>
        <v>BANDERAS, ADORNOS FESTIVOS</v>
      </c>
      <c r="L2447" s="5" t="str">
        <f ca="1">IFERROR(__xludf.DUMMYFUNCTION("GOOGLETRANSLATE(J2447,""EN"",""ES"")"),"N / A")</f>
        <v>N / A</v>
      </c>
      <c r="M2447" s="8" t="s">
        <v>33</v>
      </c>
      <c r="N2447" s="8"/>
    </row>
    <row r="2448" spans="1:14" ht="11.25" customHeight="1">
      <c r="A2448" s="5" t="s">
        <v>6833</v>
      </c>
      <c r="B2448" s="5" t="s">
        <v>7112</v>
      </c>
      <c r="C2448" s="5" t="s">
        <v>7118</v>
      </c>
      <c r="D2448" s="5" t="s">
        <v>6836</v>
      </c>
      <c r="E2448" s="5" t="s">
        <v>18</v>
      </c>
      <c r="F2448" s="5" t="s">
        <v>6837</v>
      </c>
      <c r="G2448" s="5" t="s">
        <v>152</v>
      </c>
      <c r="H2448" s="5" t="s">
        <v>7114</v>
      </c>
      <c r="I2448" s="5" t="s">
        <v>7119</v>
      </c>
      <c r="J2448" s="5" t="s">
        <v>7120</v>
      </c>
      <c r="K2448" s="7" t="str">
        <f ca="1">IFERROR(__xludf.DUMMYFUNCTION("GOOGLETRANSLATE(H2448,""EN"",""ES"")"),"BANDERAS, ADORNOS FESTIVOS")</f>
        <v>BANDERAS, ADORNOS FESTIVOS</v>
      </c>
      <c r="L2448" s="5" t="str">
        <f ca="1">IFERROR(__xludf.DUMMYFUNCTION("GOOGLETRANSLATE(J2448,""EN"",""ES"")"),"adornos para árboles de navidad")</f>
        <v>adornos para árboles de navidad</v>
      </c>
      <c r="M2448" s="8" t="s">
        <v>33</v>
      </c>
      <c r="N2448" s="8"/>
    </row>
    <row r="2449" spans="1:14" ht="11.25" customHeight="1">
      <c r="A2449" s="5" t="s">
        <v>6833</v>
      </c>
      <c r="B2449" s="5" t="s">
        <v>7112</v>
      </c>
      <c r="C2449" s="5" t="s">
        <v>7118</v>
      </c>
      <c r="D2449" s="5" t="s">
        <v>6836</v>
      </c>
      <c r="E2449" s="5" t="s">
        <v>18</v>
      </c>
      <c r="F2449" s="5" t="s">
        <v>6837</v>
      </c>
      <c r="G2449" s="5" t="s">
        <v>152</v>
      </c>
      <c r="H2449" s="5" t="s">
        <v>7114</v>
      </c>
      <c r="I2449" s="5" t="s">
        <v>152</v>
      </c>
      <c r="J2449" s="5" t="s">
        <v>7121</v>
      </c>
      <c r="K2449" s="7" t="str">
        <f ca="1">IFERROR(__xludf.DUMMYFUNCTION("GOOGLETRANSLATE(H2449,""EN"",""ES"")"),"BANDERAS, ADORNOS FESTIVOS")</f>
        <v>BANDERAS, ADORNOS FESTIVOS</v>
      </c>
      <c r="L2449" s="5" t="str">
        <f ca="1">IFERROR(__xludf.DUMMYFUNCTION("GOOGLETRANSLATE(J2449,""EN"",""ES"")"),"N / A")</f>
        <v>N / A</v>
      </c>
      <c r="M2449" s="8" t="s">
        <v>33</v>
      </c>
      <c r="N2449" s="8"/>
    </row>
    <row r="2450" spans="1:14" ht="11.25" customHeight="1">
      <c r="A2450" s="5" t="s">
        <v>6833</v>
      </c>
      <c r="B2450" s="5" t="s">
        <v>7112</v>
      </c>
      <c r="C2450" s="5" t="s">
        <v>7122</v>
      </c>
      <c r="D2450" s="5" t="s">
        <v>6836</v>
      </c>
      <c r="E2450" s="5" t="s">
        <v>18</v>
      </c>
      <c r="F2450" s="5" t="s">
        <v>6837</v>
      </c>
      <c r="G2450" s="5" t="s">
        <v>152</v>
      </c>
      <c r="H2450" s="5" t="s">
        <v>7114</v>
      </c>
      <c r="I2450" s="5" t="s">
        <v>7123</v>
      </c>
      <c r="J2450" s="5" t="s">
        <v>7124</v>
      </c>
      <c r="K2450" s="7" t="str">
        <f ca="1">IFERROR(__xludf.DUMMYFUNCTION("GOOGLETRANSLATE(H2450,""EN"",""ES"")"),"BANDERAS, ADORNOS FESTIVOS")</f>
        <v>BANDERAS, ADORNOS FESTIVOS</v>
      </c>
      <c r="L2450" s="5" t="str">
        <f ca="1">IFERROR(__xludf.DUMMYFUNCTION("GOOGLETRANSLATE(J2450,""EN"",""ES"")"),"Serpentinas")</f>
        <v>Serpentinas</v>
      </c>
      <c r="M2450" s="8" t="s">
        <v>33</v>
      </c>
      <c r="N2450" s="8"/>
    </row>
    <row r="2451" spans="1:14" ht="11.25" customHeight="1">
      <c r="A2451" s="5" t="s">
        <v>6833</v>
      </c>
      <c r="B2451" s="5" t="s">
        <v>7112</v>
      </c>
      <c r="C2451" s="5" t="s">
        <v>7125</v>
      </c>
      <c r="D2451" s="5" t="s">
        <v>6836</v>
      </c>
      <c r="E2451" s="5" t="s">
        <v>18</v>
      </c>
      <c r="F2451" s="5" t="s">
        <v>6837</v>
      </c>
      <c r="G2451" s="5" t="s">
        <v>152</v>
      </c>
      <c r="H2451" s="5" t="s">
        <v>7114</v>
      </c>
      <c r="I2451" s="5" t="s">
        <v>7126</v>
      </c>
      <c r="J2451" s="5" t="s">
        <v>7127</v>
      </c>
      <c r="K2451" s="7" t="str">
        <f ca="1">IFERROR(__xludf.DUMMYFUNCTION("GOOGLETRANSLATE(H2451,""EN"",""ES"")"),"BANDERAS, ADORNOS FESTIVOS")</f>
        <v>BANDERAS, ADORNOS FESTIVOS</v>
      </c>
      <c r="L2451" s="5" t="str">
        <f ca="1">IFERROR(__xludf.DUMMYFUNCTION("GOOGLETRANSLATE(J2451,""EN"",""ES"")"),"pancartas")</f>
        <v>pancartas</v>
      </c>
      <c r="M2451" s="8" t="s">
        <v>33</v>
      </c>
      <c r="N2451" s="8"/>
    </row>
    <row r="2452" spans="1:14" ht="11.25" customHeight="1">
      <c r="A2452" s="5" t="s">
        <v>6833</v>
      </c>
      <c r="B2452" s="5" t="s">
        <v>7112</v>
      </c>
      <c r="C2452" s="5" t="s">
        <v>7128</v>
      </c>
      <c r="D2452" s="5" t="s">
        <v>6836</v>
      </c>
      <c r="E2452" s="5" t="s">
        <v>18</v>
      </c>
      <c r="F2452" s="5" t="s">
        <v>6837</v>
      </c>
      <c r="G2452" s="5" t="s">
        <v>152</v>
      </c>
      <c r="H2452" s="5" t="s">
        <v>7114</v>
      </c>
      <c r="I2452" s="5" t="s">
        <v>7129</v>
      </c>
      <c r="J2452" s="5" t="s">
        <v>7130</v>
      </c>
      <c r="K2452" s="7" t="str">
        <f ca="1">IFERROR(__xludf.DUMMYFUNCTION("GOOGLETRANSLATE(H2452,""EN"",""ES"")"),"BANDERAS, ADORNOS FESTIVOS")</f>
        <v>BANDERAS, ADORNOS FESTIVOS</v>
      </c>
      <c r="L2452" s="5" t="str">
        <f ca="1">IFERROR(__xludf.DUMMYFUNCTION("GOOGLETRANSLATE(J2452,""EN"",""ES"")"),"medias navideñas")</f>
        <v>medias navideñas</v>
      </c>
      <c r="M2452" s="8" t="s">
        <v>33</v>
      </c>
      <c r="N2452" s="8"/>
    </row>
    <row r="2453" spans="1:14" ht="11.25" customHeight="1">
      <c r="A2453" s="5" t="s">
        <v>6833</v>
      </c>
      <c r="B2453" s="5" t="s">
        <v>7112</v>
      </c>
      <c r="C2453" s="5" t="s">
        <v>7131</v>
      </c>
      <c r="D2453" s="5" t="s">
        <v>6836</v>
      </c>
      <c r="E2453" s="5" t="s">
        <v>18</v>
      </c>
      <c r="F2453" s="5" t="s">
        <v>6837</v>
      </c>
      <c r="G2453" s="5" t="s">
        <v>152</v>
      </c>
      <c r="H2453" s="5" t="s">
        <v>7114</v>
      </c>
      <c r="I2453" s="5" t="s">
        <v>7132</v>
      </c>
      <c r="J2453" s="5" t="s">
        <v>7133</v>
      </c>
      <c r="K2453" s="7" t="str">
        <f ca="1">IFERROR(__xludf.DUMMYFUNCTION("GOOGLETRANSLATE(H2453,""EN"",""ES"")"),"BANDERAS, ADORNOS FESTIVOS")</f>
        <v>BANDERAS, ADORNOS FESTIVOS</v>
      </c>
      <c r="L2453" s="5" t="str">
        <f ca="1">IFERROR(__xludf.DUMMYFUNCTION("GOOGLETRANSLATE(J2453,""EN"",""ES"")"),"Candelabros para árboles de Navidad.")</f>
        <v>Candelabros para árboles de Navidad.</v>
      </c>
      <c r="M2453" s="8" t="s">
        <v>33</v>
      </c>
      <c r="N2453" s="8"/>
    </row>
    <row r="2454" spans="1:14" ht="11.25" customHeight="1">
      <c r="A2454" s="5" t="s">
        <v>6833</v>
      </c>
      <c r="B2454" s="5" t="s">
        <v>7112</v>
      </c>
      <c r="C2454" s="5" t="s">
        <v>7134</v>
      </c>
      <c r="D2454" s="5" t="s">
        <v>6836</v>
      </c>
      <c r="E2454" s="5" t="s">
        <v>18</v>
      </c>
      <c r="F2454" s="5" t="s">
        <v>6837</v>
      </c>
      <c r="G2454" s="5" t="s">
        <v>152</v>
      </c>
      <c r="H2454" s="5" t="s">
        <v>7114</v>
      </c>
      <c r="I2454" s="5" t="s">
        <v>7135</v>
      </c>
      <c r="J2454" s="5" t="s">
        <v>7136</v>
      </c>
      <c r="K2454" s="7" t="str">
        <f ca="1">IFERROR(__xludf.DUMMYFUNCTION("GOOGLETRANSLATE(H2454,""EN"",""ES"")"),"BANDERAS, ADORNOS FESTIVOS")</f>
        <v>BANDERAS, ADORNOS FESTIVOS</v>
      </c>
      <c r="L2454" s="5" t="str">
        <f ca="1">IFERROR(__xludf.DUMMYFUNCTION("GOOGLETRANSLATE(J2454,""EN"",""ES"")"),"Rosetas [adornos]")</f>
        <v>Rosetas [adornos]</v>
      </c>
      <c r="M2454" s="8" t="s">
        <v>33</v>
      </c>
      <c r="N2454" s="8"/>
    </row>
    <row r="2455" spans="1:14" ht="11.25" customHeight="1">
      <c r="A2455" s="5" t="s">
        <v>6833</v>
      </c>
      <c r="B2455" s="5" t="s">
        <v>7112</v>
      </c>
      <c r="C2455" s="5" t="s">
        <v>7137</v>
      </c>
      <c r="D2455" s="5" t="s">
        <v>6836</v>
      </c>
      <c r="E2455" s="5" t="s">
        <v>18</v>
      </c>
      <c r="F2455" s="5" t="s">
        <v>6837</v>
      </c>
      <c r="G2455" s="5" t="s">
        <v>152</v>
      </c>
      <c r="H2455" s="5" t="s">
        <v>7114</v>
      </c>
      <c r="I2455" s="5" t="s">
        <v>7138</v>
      </c>
      <c r="J2455" s="5" t="s">
        <v>7139</v>
      </c>
      <c r="K2455" s="7" t="str">
        <f ca="1">IFERROR(__xludf.DUMMYFUNCTION("GOOGLETRANSLATE(H2455,""EN"",""ES"")"),"BANDERAS, ADORNOS FESTIVOS")</f>
        <v>BANDERAS, ADORNOS FESTIVOS</v>
      </c>
      <c r="L2455" s="5" t="str">
        <f ca="1">IFERROR(__xludf.DUMMYFUNCTION("GOOGLETRANSLATE(J2455,""EN"",""ES"")"),"pesebres de navidad")</f>
        <v>pesebres de navidad</v>
      </c>
      <c r="M2455" s="8" t="s">
        <v>33</v>
      </c>
      <c r="N2455" s="8"/>
    </row>
    <row r="2456" spans="1:14" ht="11.25" customHeight="1">
      <c r="A2456" s="5" t="s">
        <v>6833</v>
      </c>
      <c r="B2456" s="5" t="s">
        <v>7112</v>
      </c>
      <c r="C2456" s="5" t="s">
        <v>7140</v>
      </c>
      <c r="D2456" s="5" t="s">
        <v>6836</v>
      </c>
      <c r="E2456" s="5" t="s">
        <v>18</v>
      </c>
      <c r="F2456" s="5" t="s">
        <v>6837</v>
      </c>
      <c r="G2456" s="5" t="s">
        <v>152</v>
      </c>
      <c r="H2456" s="5" t="s">
        <v>7114</v>
      </c>
      <c r="I2456" s="5" t="s">
        <v>7141</v>
      </c>
      <c r="J2456" s="5" t="s">
        <v>7142</v>
      </c>
      <c r="K2456" s="7" t="str">
        <f ca="1">IFERROR(__xludf.DUMMYFUNCTION("GOOGLETRANSLATE(H2456,""EN"",""ES"")"),"BANDERAS, ADORNOS FESTIVOS")</f>
        <v>BANDERAS, ADORNOS FESTIVOS</v>
      </c>
      <c r="L2456" s="5" t="str">
        <f ca="1">IFERROR(__xludf.DUMMYFUNCTION("GOOGLETRANSLATE(J2456,""EN"",""ES"")"),"Decoraciones festivas")</f>
        <v>Decoraciones festivas</v>
      </c>
      <c r="M2456" s="8" t="s">
        <v>33</v>
      </c>
      <c r="N2456" s="8"/>
    </row>
    <row r="2457" spans="1:14" ht="11.25" customHeight="1">
      <c r="A2457" s="5" t="s">
        <v>6833</v>
      </c>
      <c r="B2457" s="5" t="s">
        <v>7112</v>
      </c>
      <c r="C2457" s="5" t="s">
        <v>7143</v>
      </c>
      <c r="D2457" s="5" t="s">
        <v>6836</v>
      </c>
      <c r="E2457" s="5" t="s">
        <v>18</v>
      </c>
      <c r="F2457" s="5" t="s">
        <v>6837</v>
      </c>
      <c r="G2457" s="5" t="s">
        <v>152</v>
      </c>
      <c r="H2457" s="5" t="s">
        <v>7114</v>
      </c>
      <c r="I2457" s="5" t="s">
        <v>7144</v>
      </c>
      <c r="J2457" s="5" t="s">
        <v>7145</v>
      </c>
      <c r="K2457" s="7" t="str">
        <f ca="1">IFERROR(__xludf.DUMMYFUNCTION("GOOGLETRANSLATE(H2457,""EN"",""ES"")"),"BANDERAS, ADORNOS FESTIVOS")</f>
        <v>BANDERAS, ADORNOS FESTIVOS</v>
      </c>
      <c r="L2457" s="5" t="str">
        <f ca="1">IFERROR(__xludf.DUMMYFUNCTION("GOOGLETRANSLATE(J2457,""EN"",""ES"")"),"Banderas")</f>
        <v>Banderas</v>
      </c>
      <c r="M2457" s="8" t="s">
        <v>33</v>
      </c>
      <c r="N2457" s="8"/>
    </row>
    <row r="2458" spans="1:14" ht="11.25" customHeight="1">
      <c r="A2458" s="5" t="s">
        <v>6833</v>
      </c>
      <c r="B2458" s="5" t="s">
        <v>7112</v>
      </c>
      <c r="C2458" s="5" t="s">
        <v>7143</v>
      </c>
      <c r="D2458" s="5" t="s">
        <v>6836</v>
      </c>
      <c r="E2458" s="5" t="s">
        <v>18</v>
      </c>
      <c r="F2458" s="5" t="s">
        <v>6837</v>
      </c>
      <c r="G2458" s="5" t="s">
        <v>152</v>
      </c>
      <c r="H2458" s="5" t="s">
        <v>7114</v>
      </c>
      <c r="I2458" s="5" t="s">
        <v>152</v>
      </c>
      <c r="J2458" s="5" t="s">
        <v>7146</v>
      </c>
      <c r="K2458" s="7" t="str">
        <f ca="1">IFERROR(__xludf.DUMMYFUNCTION("GOOGLETRANSLATE(H2458,""EN"",""ES"")"),"BANDERAS, ADORNOS FESTIVOS")</f>
        <v>BANDERAS, ADORNOS FESTIVOS</v>
      </c>
      <c r="L2458" s="5" t="str">
        <f ca="1">IFERROR(__xludf.DUMMYFUNCTION("GOOGLETRANSLATE(J2458,""EN"",""ES"")"),"N / A")</f>
        <v>N / A</v>
      </c>
      <c r="M2458" s="8" t="s">
        <v>33</v>
      </c>
      <c r="N2458" s="8"/>
    </row>
    <row r="2459" spans="1:14" ht="11.25" customHeight="1">
      <c r="A2459" s="5" t="s">
        <v>6833</v>
      </c>
      <c r="B2459" s="5" t="s">
        <v>7112</v>
      </c>
      <c r="C2459" s="5" t="s">
        <v>7147</v>
      </c>
      <c r="D2459" s="5" t="s">
        <v>6836</v>
      </c>
      <c r="E2459" s="5" t="s">
        <v>18</v>
      </c>
      <c r="F2459" s="5" t="s">
        <v>6837</v>
      </c>
      <c r="G2459" s="5" t="s">
        <v>152</v>
      </c>
      <c r="H2459" s="5" t="s">
        <v>7114</v>
      </c>
      <c r="I2459" s="5" t="s">
        <v>7148</v>
      </c>
      <c r="J2459" s="5" t="s">
        <v>7149</v>
      </c>
      <c r="K2459" s="7" t="str">
        <f ca="1">IFERROR(__xludf.DUMMYFUNCTION("GOOGLETRANSLATE(H2459,""EN"",""ES"")"),"BANDERAS, ADORNOS FESTIVOS")</f>
        <v>BANDERAS, ADORNOS FESTIVOS</v>
      </c>
      <c r="L2459" s="5" t="str">
        <f ca="1">IFERROR(__xludf.DUMMYFUNCTION("GOOGLETRANSLATE(J2459,""EN"",""ES"")"),"Mástiles de bandera")</f>
        <v>Mástiles de bandera</v>
      </c>
      <c r="M2459" s="8" t="s">
        <v>33</v>
      </c>
      <c r="N2459" s="8"/>
    </row>
    <row r="2460" spans="1:14" ht="11.25" customHeight="1">
      <c r="A2460" s="5" t="s">
        <v>6833</v>
      </c>
      <c r="B2460" s="5" t="s">
        <v>7112</v>
      </c>
      <c r="C2460" s="5" t="s">
        <v>7150</v>
      </c>
      <c r="D2460" s="5" t="s">
        <v>6836</v>
      </c>
      <c r="E2460" s="5" t="s">
        <v>18</v>
      </c>
      <c r="F2460" s="5" t="s">
        <v>6837</v>
      </c>
      <c r="G2460" s="5" t="s">
        <v>152</v>
      </c>
      <c r="H2460" s="5" t="s">
        <v>7114</v>
      </c>
      <c r="I2460" s="5" t="s">
        <v>7151</v>
      </c>
      <c r="J2460" s="5" t="s">
        <v>7152</v>
      </c>
      <c r="K2460" s="7" t="str">
        <f ca="1">IFERROR(__xludf.DUMMYFUNCTION("GOOGLETRANSLATE(H2460,""EN"",""ES"")"),"BANDERAS, ADORNOS FESTIVOS")</f>
        <v>BANDERAS, ADORNOS FESTIVOS</v>
      </c>
      <c r="L2460" s="5" t="str">
        <f ca="1">IFERROR(__xludf.DUMMYFUNCTION("GOOGLETRANSLATE(J2460,""EN"",""ES"")"),"Escudos")</f>
        <v>Escudos</v>
      </c>
      <c r="M2460" s="8" t="s">
        <v>33</v>
      </c>
      <c r="N2460" s="8"/>
    </row>
    <row r="2461" spans="1:14" ht="11.25" customHeight="1">
      <c r="A2461" s="5" t="s">
        <v>6833</v>
      </c>
      <c r="B2461" s="5" t="s">
        <v>7112</v>
      </c>
      <c r="C2461" s="5" t="s">
        <v>7150</v>
      </c>
      <c r="D2461" s="5" t="s">
        <v>6836</v>
      </c>
      <c r="E2461" s="5" t="s">
        <v>18</v>
      </c>
      <c r="F2461" s="5" t="s">
        <v>6837</v>
      </c>
      <c r="G2461" s="5" t="s">
        <v>152</v>
      </c>
      <c r="H2461" s="5" t="s">
        <v>7114</v>
      </c>
      <c r="I2461" s="5" t="s">
        <v>7153</v>
      </c>
      <c r="J2461" s="5" t="s">
        <v>152</v>
      </c>
      <c r="K2461" s="7" t="str">
        <f ca="1">IFERROR(__xludf.DUMMYFUNCTION("GOOGLETRANSLATE(H2461,""EN"",""ES"")"),"BANDERAS, ADORNOS FESTIVOS")</f>
        <v>BANDERAS, ADORNOS FESTIVOS</v>
      </c>
      <c r="L2461" s="5" t="str">
        <f ca="1">IFERROR(__xludf.DUMMYFUNCTION("GOOGLETRANSLATE(J2461,""EN"",""ES"")"),"escudos de armas")</f>
        <v>escudos de armas</v>
      </c>
      <c r="M2461" s="8" t="s">
        <v>33</v>
      </c>
      <c r="N2461" s="8"/>
    </row>
    <row r="2462" spans="1:14" ht="11.25" customHeight="1">
      <c r="A2462" s="5" t="s">
        <v>6833</v>
      </c>
      <c r="B2462" s="5" t="s">
        <v>7112</v>
      </c>
      <c r="C2462" s="5" t="s">
        <v>7154</v>
      </c>
      <c r="D2462" s="5" t="s">
        <v>6836</v>
      </c>
      <c r="E2462" s="5" t="s">
        <v>18</v>
      </c>
      <c r="F2462" s="5" t="s">
        <v>6837</v>
      </c>
      <c r="G2462" s="5" t="s">
        <v>152</v>
      </c>
      <c r="H2462" s="5" t="s">
        <v>7114</v>
      </c>
      <c r="I2462" s="5" t="s">
        <v>7155</v>
      </c>
      <c r="J2462" s="5" t="s">
        <v>7156</v>
      </c>
      <c r="K2462" s="7" t="str">
        <f ca="1">IFERROR(__xludf.DUMMYFUNCTION("GOOGLETRANSLATE(H2462,""EN"",""ES"")"),"BANDERAS, ADORNOS FESTIVOS")</f>
        <v>BANDERAS, ADORNOS FESTIVOS</v>
      </c>
      <c r="L2462" s="5" t="str">
        <f ca="1">IFERROR(__xludf.DUMMYFUNCTION("GOOGLETRANSLATE(J2462,""EN"",""ES"")"),"burgueses")</f>
        <v>burgueses</v>
      </c>
      <c r="M2462" s="8" t="s">
        <v>33</v>
      </c>
      <c r="N2462" s="8"/>
    </row>
    <row r="2463" spans="1:14" ht="11.25" customHeight="1">
      <c r="A2463" s="5" t="s">
        <v>6833</v>
      </c>
      <c r="B2463" s="5" t="s">
        <v>7112</v>
      </c>
      <c r="C2463" s="5" t="s">
        <v>7157</v>
      </c>
      <c r="D2463" s="5" t="s">
        <v>6836</v>
      </c>
      <c r="E2463" s="5" t="s">
        <v>18</v>
      </c>
      <c r="F2463" s="5" t="s">
        <v>6837</v>
      </c>
      <c r="G2463" s="5" t="s">
        <v>152</v>
      </c>
      <c r="H2463" s="5" t="s">
        <v>7114</v>
      </c>
      <c r="I2463" s="5" t="s">
        <v>7158</v>
      </c>
      <c r="J2463" s="5" t="s">
        <v>7159</v>
      </c>
      <c r="K2463" s="7" t="str">
        <f ca="1">IFERROR(__xludf.DUMMYFUNCTION("GOOGLETRANSLATE(H2463,""EN"",""ES"")"),"BANDERAS, ADORNOS FESTIVOS")</f>
        <v>BANDERAS, ADORNOS FESTIVOS</v>
      </c>
      <c r="L2463" s="5" t="str">
        <f ca="1">IFERROR(__xludf.DUMMYFUNCTION("GOOGLETRANSLATE(J2463,""EN"",""ES"")"),"guirnaldas")</f>
        <v>guirnaldas</v>
      </c>
      <c r="M2463" s="8" t="s">
        <v>33</v>
      </c>
      <c r="N2463" s="8"/>
    </row>
    <row r="2464" spans="1:14" ht="11.25" customHeight="1">
      <c r="A2464" s="5" t="s">
        <v>6833</v>
      </c>
      <c r="B2464" s="5" t="s">
        <v>7112</v>
      </c>
      <c r="C2464" s="5" t="s">
        <v>7160</v>
      </c>
      <c r="D2464" s="5" t="s">
        <v>6836</v>
      </c>
      <c r="E2464" s="5" t="s">
        <v>18</v>
      </c>
      <c r="F2464" s="5" t="s">
        <v>6837</v>
      </c>
      <c r="G2464" s="5" t="s">
        <v>152</v>
      </c>
      <c r="H2464" s="5" t="s">
        <v>7114</v>
      </c>
      <c r="I2464" s="5" t="s">
        <v>7161</v>
      </c>
      <c r="J2464" s="5" t="s">
        <v>7162</v>
      </c>
      <c r="K2464" s="7" t="str">
        <f ca="1">IFERROR(__xludf.DUMMYFUNCTION("GOOGLETRANSLATE(H2464,""EN"",""ES"")"),"BANDERAS, ADORNOS FESTIVOS")</f>
        <v>BANDERAS, ADORNOS FESTIVOS</v>
      </c>
      <c r="L2464" s="5" t="str">
        <f ca="1">IFERROR(__xludf.DUMMYFUNCTION("GOOGLETRANSLATE(J2464,""EN"",""ES"")"),"Bolas decorativas para antenas de radio de coche.")</f>
        <v>Bolas decorativas para antenas de radio de coche.</v>
      </c>
      <c r="M2464" s="8" t="s">
        <v>33</v>
      </c>
      <c r="N2464" s="8"/>
    </row>
    <row r="2465" spans="1:14" ht="11.25" customHeight="1">
      <c r="A2465" s="5" t="s">
        <v>6833</v>
      </c>
      <c r="B2465" s="5" t="s">
        <v>7112</v>
      </c>
      <c r="C2465" s="5" t="s">
        <v>7163</v>
      </c>
      <c r="D2465" s="5" t="s">
        <v>6836</v>
      </c>
      <c r="E2465" s="5" t="s">
        <v>18</v>
      </c>
      <c r="F2465" s="5" t="s">
        <v>6837</v>
      </c>
      <c r="G2465" s="5" t="s">
        <v>152</v>
      </c>
      <c r="H2465" s="5" t="s">
        <v>7114</v>
      </c>
      <c r="I2465" s="5" t="s">
        <v>7164</v>
      </c>
      <c r="J2465" s="5" t="s">
        <v>7165</v>
      </c>
      <c r="K2465" s="7" t="str">
        <f ca="1">IFERROR(__xludf.DUMMYFUNCTION("GOOGLETRANSLATE(H2465,""EN"",""ES"")"),"BANDERAS, ADORNOS FESTIVOS")</f>
        <v>BANDERAS, ADORNOS FESTIVOS</v>
      </c>
      <c r="L2465" s="5" t="str">
        <f ca="1">IFERROR(__xludf.DUMMYFUNCTION("GOOGLETRANSLATE(J2465,""EN"",""ES"")"),"muñecas festivas")</f>
        <v>muñecas festivas</v>
      </c>
      <c r="M2465" s="8" t="s">
        <v>33</v>
      </c>
      <c r="N2465" s="8"/>
    </row>
    <row r="2466" spans="1:14" ht="11.25" customHeight="1">
      <c r="A2466" s="5" t="s">
        <v>6833</v>
      </c>
      <c r="B2466" s="5" t="s">
        <v>7112</v>
      </c>
      <c r="C2466" s="5" t="s">
        <v>7166</v>
      </c>
      <c r="D2466" s="5" t="s">
        <v>6836</v>
      </c>
      <c r="E2466" s="5" t="s">
        <v>18</v>
      </c>
      <c r="F2466" s="5" t="s">
        <v>6837</v>
      </c>
      <c r="G2466" s="5" t="s">
        <v>152</v>
      </c>
      <c r="H2466" s="5" t="s">
        <v>7114</v>
      </c>
      <c r="I2466" s="5" t="s">
        <v>7167</v>
      </c>
      <c r="J2466" s="5" t="s">
        <v>7168</v>
      </c>
      <c r="K2466" s="7" t="str">
        <f ca="1">IFERROR(__xludf.DUMMYFUNCTION("GOOGLETRANSLATE(H2466,""EN"",""ES"")"),"BANDERAS, ADORNOS FESTIVOS")</f>
        <v>BANDERAS, ADORNOS FESTIVOS</v>
      </c>
      <c r="L2466" s="5" t="str">
        <f ca="1">IFERROR(__xludf.DUMMYFUNCTION("GOOGLETRANSLATE(J2466,""EN"",""ES"")"),"Estrellas de Adviento no iluminadas")</f>
        <v>Estrellas de Adviento no iluminadas</v>
      </c>
      <c r="M2466" s="8" t="s">
        <v>33</v>
      </c>
      <c r="N2466" s="8"/>
    </row>
    <row r="2467" spans="1:14" ht="11.25" customHeight="1">
      <c r="A2467" s="5" t="s">
        <v>6833</v>
      </c>
      <c r="B2467" s="5" t="s">
        <v>7112</v>
      </c>
      <c r="C2467" s="5" t="s">
        <v>7169</v>
      </c>
      <c r="D2467" s="5" t="s">
        <v>6836</v>
      </c>
      <c r="E2467" s="5" t="s">
        <v>18</v>
      </c>
      <c r="F2467" s="5" t="s">
        <v>6837</v>
      </c>
      <c r="G2467" s="5" t="s">
        <v>152</v>
      </c>
      <c r="H2467" s="5" t="s">
        <v>7114</v>
      </c>
      <c r="I2467" s="5" t="s">
        <v>7170</v>
      </c>
      <c r="J2467" s="5" t="s">
        <v>7171</v>
      </c>
      <c r="K2467" s="7" t="str">
        <f ca="1">IFERROR(__xludf.DUMMYFUNCTION("GOOGLETRANSLATE(H2467,""EN"",""ES"")"),"BANDERAS, ADORNOS FESTIVOS")</f>
        <v>BANDERAS, ADORNOS FESTIVOS</v>
      </c>
      <c r="L2467" s="5" t="str">
        <f ca="1">IFERROR(__xludf.DUMMYFUNCTION("GOOGLETRANSLATE(J2467,""EN"",""ES"")"),"Arboles de navidad ornamentales")</f>
        <v>Arboles de navidad ornamentales</v>
      </c>
      <c r="M2467" s="8" t="s">
        <v>33</v>
      </c>
      <c r="N2467" s="8"/>
    </row>
    <row r="2468" spans="1:14" ht="11.25" customHeight="1">
      <c r="A2468" s="5" t="s">
        <v>6833</v>
      </c>
      <c r="B2468" s="5" t="s">
        <v>7172</v>
      </c>
      <c r="C2468" s="5" t="s">
        <v>7173</v>
      </c>
      <c r="D2468" s="5" t="s">
        <v>6836</v>
      </c>
      <c r="E2468" s="5" t="s">
        <v>18</v>
      </c>
      <c r="F2468" s="5" t="s">
        <v>6837</v>
      </c>
      <c r="G2468" s="5" t="s">
        <v>152</v>
      </c>
      <c r="H2468" s="5" t="s">
        <v>330</v>
      </c>
      <c r="I2468" s="5" t="s">
        <v>7174</v>
      </c>
      <c r="J2468" s="5" t="s">
        <v>7175</v>
      </c>
      <c r="K2468" s="7" t="str">
        <f ca="1">IFERROR(__xludf.DUMMYFUNCTION("GOOGLETRANSLATE(H2468,""EN"",""ES"")"),"MISCELÁNEAS")</f>
        <v>MISCELÁNEAS</v>
      </c>
      <c r="L2468" s="5" t="str">
        <f ca="1">IFERROR(__xludf.DUMMYFUNCTION("GOOGLETRANSLATE(J2468,""EN"",""ES"")"),"Escenografías")</f>
        <v>Escenografías</v>
      </c>
      <c r="M2468" s="8" t="s">
        <v>33</v>
      </c>
      <c r="N2468" s="8"/>
    </row>
    <row r="2469" spans="1:14" ht="11.25" customHeight="1">
      <c r="A2469" s="5" t="s">
        <v>6833</v>
      </c>
      <c r="B2469" s="5" t="s">
        <v>7172</v>
      </c>
      <c r="C2469" s="5" t="s">
        <v>7173</v>
      </c>
      <c r="D2469" s="5" t="s">
        <v>6836</v>
      </c>
      <c r="E2469" s="5" t="s">
        <v>18</v>
      </c>
      <c r="F2469" s="5" t="s">
        <v>6837</v>
      </c>
      <c r="G2469" s="5" t="s">
        <v>152</v>
      </c>
      <c r="H2469" s="5" t="s">
        <v>330</v>
      </c>
      <c r="I2469" s="5" t="s">
        <v>7176</v>
      </c>
      <c r="J2469" s="5" t="s">
        <v>152</v>
      </c>
      <c r="K2469" s="7" t="str">
        <f ca="1">IFERROR(__xludf.DUMMYFUNCTION("GOOGLETRANSLATE(H2469,""EN"",""ES"")"),"MISCELÁNEAS")</f>
        <v>MISCELÁNEAS</v>
      </c>
      <c r="L2469" s="5" t="str">
        <f ca="1">IFERROR(__xludf.DUMMYFUNCTION("GOOGLETRANSLATE(J2469,""EN"",""ES"")"),"decorados de teatro")</f>
        <v>decorados de teatro</v>
      </c>
      <c r="M2469" s="8" t="s">
        <v>33</v>
      </c>
      <c r="N2469" s="8"/>
    </row>
    <row r="2470" spans="1:14" ht="11.25" customHeight="1">
      <c r="A2470" s="5" t="s">
        <v>6833</v>
      </c>
      <c r="B2470" s="5" t="s">
        <v>7172</v>
      </c>
      <c r="C2470" s="5" t="s">
        <v>7177</v>
      </c>
      <c r="D2470" s="5" t="s">
        <v>6836</v>
      </c>
      <c r="E2470" s="5" t="s">
        <v>18</v>
      </c>
      <c r="F2470" s="5" t="s">
        <v>6837</v>
      </c>
      <c r="G2470" s="5" t="s">
        <v>152</v>
      </c>
      <c r="H2470" s="5" t="s">
        <v>330</v>
      </c>
      <c r="I2470" s="5" t="s">
        <v>7178</v>
      </c>
      <c r="J2470" s="5" t="s">
        <v>7179</v>
      </c>
      <c r="K2470" s="7" t="str">
        <f ca="1">IFERROR(__xludf.DUMMYFUNCTION("GOOGLETRANSLATE(H2470,""EN"",""ES"")"),"MISCELÁNEAS")</f>
        <v>MISCELÁNEAS</v>
      </c>
      <c r="L2470" s="5" t="str">
        <f ca="1">IFERROR(__xludf.DUMMYFUNCTION("GOOGLETRANSLATE(J2470,""EN"",""ES"")"),"Fuentes para decoración de interiores.")</f>
        <v>Fuentes para decoración de interiores.</v>
      </c>
      <c r="M2470" s="8" t="s">
        <v>33</v>
      </c>
      <c r="N2470" s="8"/>
    </row>
    <row r="2471" spans="1:14" ht="11.25" customHeight="1">
      <c r="A2471" s="5" t="s">
        <v>6833</v>
      </c>
      <c r="B2471" s="5" t="s">
        <v>7172</v>
      </c>
      <c r="C2471" s="5" t="s">
        <v>7180</v>
      </c>
      <c r="D2471" s="5" t="s">
        <v>6836</v>
      </c>
      <c r="E2471" s="5" t="s">
        <v>18</v>
      </c>
      <c r="F2471" s="5" t="s">
        <v>6837</v>
      </c>
      <c r="G2471" s="5" t="s">
        <v>152</v>
      </c>
      <c r="H2471" s="5" t="s">
        <v>330</v>
      </c>
      <c r="I2471" s="5" t="s">
        <v>7181</v>
      </c>
      <c r="J2471" s="5" t="s">
        <v>7182</v>
      </c>
      <c r="K2471" s="7" t="str">
        <f ca="1">IFERROR(__xludf.DUMMYFUNCTION("GOOGLETRANSLATE(H2471,""EN"",""ES"")"),"MISCELÁNEAS")</f>
        <v>MISCELÁNEAS</v>
      </c>
      <c r="L2471" s="5" t="str">
        <f ca="1">IFERROR(__xludf.DUMMYFUNCTION("GOOGLETRANSLATE(J2471,""EN"",""ES"")"),"Mangas para ramo de novia")</f>
        <v>Mangas para ramo de novia</v>
      </c>
      <c r="M2471" s="8" t="s">
        <v>33</v>
      </c>
      <c r="N2471" s="8"/>
    </row>
    <row r="2472" spans="1:14" ht="11.25" customHeight="1">
      <c r="A2472" s="5" t="s">
        <v>6833</v>
      </c>
      <c r="B2472" s="5" t="s">
        <v>7172</v>
      </c>
      <c r="C2472" s="5" t="s">
        <v>7183</v>
      </c>
      <c r="D2472" s="5" t="s">
        <v>6836</v>
      </c>
      <c r="E2472" s="5" t="s">
        <v>18</v>
      </c>
      <c r="F2472" s="5" t="s">
        <v>6837</v>
      </c>
      <c r="G2472" s="5" t="s">
        <v>152</v>
      </c>
      <c r="H2472" s="5" t="s">
        <v>330</v>
      </c>
      <c r="I2472" s="5" t="s">
        <v>7184</v>
      </c>
      <c r="J2472" s="5" t="s">
        <v>7185</v>
      </c>
      <c r="K2472" s="7" t="str">
        <f ca="1">IFERROR(__xludf.DUMMYFUNCTION("GOOGLETRANSLATE(H2472,""EN"",""ES"")"),"MISCELÁNEAS")</f>
        <v>MISCELÁNEAS</v>
      </c>
      <c r="L2472" s="5" t="str">
        <f ca="1">IFERROR(__xludf.DUMMYFUNCTION("GOOGLETRANSLATE(J2472,""EN"",""ES"")"),"Lingotes")</f>
        <v>Lingotes</v>
      </c>
      <c r="M2472" s="8" t="s">
        <v>33</v>
      </c>
      <c r="N2472" s="8"/>
    </row>
    <row r="2473" spans="1:14" ht="11.25" customHeight="1">
      <c r="A2473" s="5" t="s">
        <v>6833</v>
      </c>
      <c r="B2473" s="5" t="s">
        <v>7172</v>
      </c>
      <c r="C2473" s="5" t="s">
        <v>7186</v>
      </c>
      <c r="D2473" s="5" t="s">
        <v>6836</v>
      </c>
      <c r="E2473" s="5" t="s">
        <v>18</v>
      </c>
      <c r="F2473" s="5" t="s">
        <v>6837</v>
      </c>
      <c r="G2473" s="5" t="s">
        <v>152</v>
      </c>
      <c r="H2473" s="5" t="s">
        <v>330</v>
      </c>
      <c r="I2473" s="5" t="s">
        <v>7187</v>
      </c>
      <c r="J2473" s="5" t="s">
        <v>7188</v>
      </c>
      <c r="K2473" s="7" t="str">
        <f ca="1">IFERROR(__xludf.DUMMYFUNCTION("GOOGLETRANSLATE(H2473,""EN"",""ES"")"),"MISCELÁNEAS")</f>
        <v>MISCELÁNEAS</v>
      </c>
      <c r="L2473" s="5" t="str">
        <f ca="1">IFERROR(__xludf.DUMMYFUNCTION("GOOGLETRANSLATE(J2473,""EN"",""ES"")"),"Cascadas para decoración de interiores.")</f>
        <v>Cascadas para decoración de interiores.</v>
      </c>
      <c r="M2473" s="8" t="s">
        <v>33</v>
      </c>
      <c r="N2473" s="8"/>
    </row>
    <row r="2474" spans="1:14" ht="11.25" customHeight="1">
      <c r="A2474" s="5" t="s">
        <v>7189</v>
      </c>
      <c r="B2474" s="5" t="s">
        <v>7190</v>
      </c>
      <c r="C2474" s="5" t="s">
        <v>7191</v>
      </c>
      <c r="D2474" s="5" t="s">
        <v>7192</v>
      </c>
      <c r="E2474" s="5" t="s">
        <v>36</v>
      </c>
      <c r="F2474" s="5" t="s">
        <v>7193</v>
      </c>
      <c r="G2474" s="5" t="s">
        <v>7194</v>
      </c>
      <c r="H2474" s="5" t="s">
        <v>7195</v>
      </c>
      <c r="I2474" s="5" t="s">
        <v>7196</v>
      </c>
      <c r="J2474" s="5" t="s">
        <v>7197</v>
      </c>
      <c r="K2474" s="7" t="str">
        <f ca="1">IFERROR(__xludf.DUMMYFUNCTION("GOOGLETRANSLATE(H2474,""EN"",""ES"")"),"VEHÍCULOS TIRADOS POR ANIMALES")</f>
        <v>VEHÍCULOS TIRADOS POR ANIMALES</v>
      </c>
      <c r="L2474" s="5" t="str">
        <f ca="1">IFERROR(__xludf.DUMMYFUNCTION("GOOGLETRANSLATE(J2474,""EN"",""ES"")"),"Ejes de carro")</f>
        <v>Ejes de carro</v>
      </c>
      <c r="M2474" s="1" t="s">
        <v>39</v>
      </c>
      <c r="N2474" s="8"/>
    </row>
    <row r="2475" spans="1:14" ht="11.25" customHeight="1">
      <c r="A2475" s="5" t="s">
        <v>7189</v>
      </c>
      <c r="B2475" s="5" t="s">
        <v>7190</v>
      </c>
      <c r="C2475" s="5" t="s">
        <v>7198</v>
      </c>
      <c r="D2475" s="5" t="s">
        <v>7192</v>
      </c>
      <c r="E2475" s="5" t="s">
        <v>36</v>
      </c>
      <c r="F2475" s="5" t="s">
        <v>7193</v>
      </c>
      <c r="G2475" s="5" t="s">
        <v>7194</v>
      </c>
      <c r="H2475" s="5" t="s">
        <v>7195</v>
      </c>
      <c r="I2475" s="5" t="s">
        <v>7199</v>
      </c>
      <c r="J2475" s="5" t="s">
        <v>7200</v>
      </c>
      <c r="K2475" s="7" t="str">
        <f ca="1">IFERROR(__xludf.DUMMYFUNCTION("GOOGLETRANSLATE(H2475,""EN"",""ES"")"),"VEHÍCULOS TIRADOS POR ANIMALES")</f>
        <v>VEHÍCULOS TIRADOS POR ANIMALES</v>
      </c>
      <c r="L2475" s="5" t="str">
        <f ca="1">IFERROR(__xludf.DUMMYFUNCTION("GOOGLETRANSLATE(J2475,""EN"",""ES"")"),"Vehículos tirados por animales.")</f>
        <v>Vehículos tirados por animales.</v>
      </c>
      <c r="M2475" s="1" t="s">
        <v>39</v>
      </c>
      <c r="N2475" s="8"/>
    </row>
    <row r="2476" spans="1:14" ht="11.25" customHeight="1">
      <c r="A2476" s="5" t="s">
        <v>7189</v>
      </c>
      <c r="B2476" s="5" t="s">
        <v>7190</v>
      </c>
      <c r="C2476" s="5" t="s">
        <v>7201</v>
      </c>
      <c r="D2476" s="5" t="s">
        <v>7192</v>
      </c>
      <c r="E2476" s="5" t="s">
        <v>36</v>
      </c>
      <c r="F2476" s="5" t="s">
        <v>7193</v>
      </c>
      <c r="G2476" s="5" t="s">
        <v>7194</v>
      </c>
      <c r="H2476" s="5" t="s">
        <v>7195</v>
      </c>
      <c r="I2476" s="5" t="s">
        <v>7202</v>
      </c>
      <c r="J2476" s="5" t="s">
        <v>7202</v>
      </c>
      <c r="K2476" s="7" t="str">
        <f ca="1">IFERROR(__xludf.DUMMYFUNCTION("GOOGLETRANSLATE(H2476,""EN"",""ES"")"),"VEHÍCULOS TIRADOS POR ANIMALES")</f>
        <v>VEHÍCULOS TIRADOS POR ANIMALES</v>
      </c>
      <c r="L2476" s="5" t="str">
        <f ca="1">IFERROR(__xludf.DUMMYFUNCTION("GOOGLETRANSLATE(J2476,""EN"",""ES"")"),"Sulkies")</f>
        <v>Sulkies</v>
      </c>
      <c r="M2476" s="1" t="s">
        <v>39</v>
      </c>
      <c r="N2476" s="8"/>
    </row>
    <row r="2477" spans="1:14" ht="11.25" customHeight="1">
      <c r="A2477" s="5" t="s">
        <v>7189</v>
      </c>
      <c r="B2477" s="5" t="s">
        <v>7203</v>
      </c>
      <c r="C2477" s="5" t="s">
        <v>7204</v>
      </c>
      <c r="D2477" s="5" t="s">
        <v>7192</v>
      </c>
      <c r="E2477" s="5" t="s">
        <v>36</v>
      </c>
      <c r="F2477" s="5" t="s">
        <v>7193</v>
      </c>
      <c r="G2477" s="5" t="s">
        <v>7194</v>
      </c>
      <c r="H2477" s="5" t="s">
        <v>7205</v>
      </c>
      <c r="I2477" s="5" t="s">
        <v>7206</v>
      </c>
      <c r="J2477" s="5" t="s">
        <v>7207</v>
      </c>
      <c r="K2477" s="7" t="str">
        <f ca="1">IFERROR(__xludf.DUMMYFUNCTION("GOOGLETRANSLATE(H2477,""EN"",""ES"")"),"CARRITOS, CARRETILLAS")</f>
        <v>CARRITOS, CARRETILLAS</v>
      </c>
      <c r="L2477" s="5" t="str">
        <f ca="1">IFERROR(__xludf.DUMMYFUNCTION("GOOGLETRANSLATE(J2477,""EN"",""ES"")"),"carretillas")</f>
        <v>carretillas</v>
      </c>
      <c r="M2477" s="1" t="s">
        <v>39</v>
      </c>
      <c r="N2477" s="8"/>
    </row>
    <row r="2478" spans="1:14" ht="11.25" customHeight="1">
      <c r="A2478" s="5" t="s">
        <v>7189</v>
      </c>
      <c r="B2478" s="5" t="s">
        <v>7203</v>
      </c>
      <c r="C2478" s="5" t="s">
        <v>7208</v>
      </c>
      <c r="D2478" s="5" t="s">
        <v>7192</v>
      </c>
      <c r="E2478" s="5" t="s">
        <v>36</v>
      </c>
      <c r="F2478" s="5" t="s">
        <v>7193</v>
      </c>
      <c r="G2478" s="5" t="s">
        <v>7194</v>
      </c>
      <c r="H2478" s="5" t="s">
        <v>7205</v>
      </c>
      <c r="I2478" s="5" t="s">
        <v>7209</v>
      </c>
      <c r="J2478" s="5" t="s">
        <v>7210</v>
      </c>
      <c r="K2478" s="7" t="str">
        <f ca="1">IFERROR(__xludf.DUMMYFUNCTION("GOOGLETRANSLATE(H2478,""EN"",""ES"")"),"CARRITOS, CARRETILLAS")</f>
        <v>CARRITOS, CARRETILLAS</v>
      </c>
      <c r="L2478" s="5" t="str">
        <f ca="1">IFERROR(__xludf.DUMMYFUNCTION("GOOGLETRANSLATE(J2478,""EN"",""ES"")"),"Vagones cena [carruajes]")</f>
        <v>Vagones cena [carruajes]</v>
      </c>
      <c r="M2478" s="1" t="s">
        <v>39</v>
      </c>
      <c r="N2478" s="8"/>
    </row>
    <row r="2479" spans="1:14" ht="11.25" customHeight="1">
      <c r="A2479" s="5" t="s">
        <v>7189</v>
      </c>
      <c r="B2479" s="5" t="s">
        <v>7203</v>
      </c>
      <c r="C2479" s="5" t="s">
        <v>7211</v>
      </c>
      <c r="D2479" s="5" t="s">
        <v>7192</v>
      </c>
      <c r="E2479" s="5" t="s">
        <v>36</v>
      </c>
      <c r="F2479" s="5" t="s">
        <v>7193</v>
      </c>
      <c r="G2479" s="5" t="s">
        <v>7194</v>
      </c>
      <c r="H2479" s="5" t="s">
        <v>7205</v>
      </c>
      <c r="I2479" s="5" t="s">
        <v>7212</v>
      </c>
      <c r="J2479" s="5" t="s">
        <v>7213</v>
      </c>
      <c r="K2479" s="7" t="str">
        <f ca="1">IFERROR(__xludf.DUMMYFUNCTION("GOOGLETRANSLATE(H2479,""EN"",""ES"")"),"CARRITOS, CARRETILLAS")</f>
        <v>CARRITOS, CARRETILLAS</v>
      </c>
      <c r="L2479" s="5" t="str">
        <f ca="1">IFERROR(__xludf.DUMMYFUNCTION("GOOGLETRANSLATE(J2479,""EN"",""ES"")"),"carritos de golf")</f>
        <v>carritos de golf</v>
      </c>
      <c r="M2479" s="1" t="s">
        <v>39</v>
      </c>
      <c r="N2479" s="8"/>
    </row>
    <row r="2480" spans="1:14" ht="11.25" customHeight="1">
      <c r="A2480" s="5" t="s">
        <v>7189</v>
      </c>
      <c r="B2480" s="5" t="s">
        <v>7203</v>
      </c>
      <c r="C2480" s="5" t="s">
        <v>7214</v>
      </c>
      <c r="D2480" s="5" t="s">
        <v>7192</v>
      </c>
      <c r="E2480" s="5" t="s">
        <v>36</v>
      </c>
      <c r="F2480" s="5" t="s">
        <v>7193</v>
      </c>
      <c r="G2480" s="5" t="s">
        <v>7194</v>
      </c>
      <c r="H2480" s="5" t="s">
        <v>7205</v>
      </c>
      <c r="I2480" s="5" t="s">
        <v>7215</v>
      </c>
      <c r="J2480" s="5" t="s">
        <v>7216</v>
      </c>
      <c r="K2480" s="7" t="str">
        <f ca="1">IFERROR(__xludf.DUMMYFUNCTION("GOOGLETRANSLATE(H2480,""EN"",""ES"")"),"CARRITOS, CARRETILLAS")</f>
        <v>CARRITOS, CARRETILLAS</v>
      </c>
      <c r="L2480" s="5" t="str">
        <f ca="1">IFERROR(__xludf.DUMMYFUNCTION("GOOGLETRANSLATE(J2480,""EN"",""ES"")"),"carros de mano")</f>
        <v>carros de mano</v>
      </c>
      <c r="M2480" s="1" t="s">
        <v>39</v>
      </c>
      <c r="N2480" s="8"/>
    </row>
    <row r="2481" spans="1:14" ht="11.25" customHeight="1">
      <c r="A2481" s="5" t="s">
        <v>7189</v>
      </c>
      <c r="B2481" s="5" t="s">
        <v>7203</v>
      </c>
      <c r="C2481" s="5" t="s">
        <v>7214</v>
      </c>
      <c r="D2481" s="5" t="s">
        <v>7192</v>
      </c>
      <c r="E2481" s="5" t="s">
        <v>36</v>
      </c>
      <c r="F2481" s="5" t="s">
        <v>7193</v>
      </c>
      <c r="G2481" s="5" t="s">
        <v>7194</v>
      </c>
      <c r="H2481" s="5" t="s">
        <v>7205</v>
      </c>
      <c r="I2481" s="5" t="s">
        <v>7217</v>
      </c>
      <c r="J2481" s="5" t="s">
        <v>152</v>
      </c>
      <c r="K2481" s="7" t="str">
        <f ca="1">IFERROR(__xludf.DUMMYFUNCTION("GOOGLETRANSLATE(H2481,""EN"",""ES"")"),"CARRITOS, CARRETILLAS")</f>
        <v>CARRITOS, CARRETILLAS</v>
      </c>
      <c r="L2481" s="5" t="str">
        <f ca="1">IFERROR(__xludf.DUMMYFUNCTION("GOOGLETRANSLATE(J2481,""EN"",""ES"")"),"túmulos")</f>
        <v>túmulos</v>
      </c>
      <c r="M2481" s="1" t="s">
        <v>39</v>
      </c>
      <c r="N2481" s="8"/>
    </row>
    <row r="2482" spans="1:14" ht="11.25" customHeight="1">
      <c r="A2482" s="5" t="s">
        <v>7189</v>
      </c>
      <c r="B2482" s="5" t="s">
        <v>7203</v>
      </c>
      <c r="C2482" s="5" t="s">
        <v>7218</v>
      </c>
      <c r="D2482" s="5" t="s">
        <v>7192</v>
      </c>
      <c r="E2482" s="5" t="s">
        <v>36</v>
      </c>
      <c r="F2482" s="5" t="s">
        <v>7193</v>
      </c>
      <c r="G2482" s="5" t="s">
        <v>7194</v>
      </c>
      <c r="H2482" s="5" t="s">
        <v>7205</v>
      </c>
      <c r="I2482" s="5" t="s">
        <v>7219</v>
      </c>
      <c r="J2482" s="5" t="s">
        <v>7220</v>
      </c>
      <c r="K2482" s="7" t="str">
        <f ca="1">IFERROR(__xludf.DUMMYFUNCTION("GOOGLETRANSLATE(H2482,""EN"",""ES"")"),"CARRITOS, CARRETILLAS")</f>
        <v>CARRITOS, CARRETILLAS</v>
      </c>
      <c r="L2482" s="5" t="str">
        <f ca="1">IFERROR(__xludf.DUMMYFUNCTION("GOOGLETRANSLATE(J2482,""EN"",""ES"")"),"carretillas de mano")</f>
        <v>carretillas de mano</v>
      </c>
      <c r="M2482" s="1" t="s">
        <v>39</v>
      </c>
      <c r="N2482" s="8"/>
    </row>
    <row r="2483" spans="1:14" ht="11.25" customHeight="1">
      <c r="A2483" s="5" t="s">
        <v>7189</v>
      </c>
      <c r="B2483" s="5" t="s">
        <v>7203</v>
      </c>
      <c r="C2483" s="5" t="s">
        <v>7221</v>
      </c>
      <c r="D2483" s="5" t="s">
        <v>7192</v>
      </c>
      <c r="E2483" s="5" t="s">
        <v>36</v>
      </c>
      <c r="F2483" s="5" t="s">
        <v>7193</v>
      </c>
      <c r="G2483" s="5" t="s">
        <v>7194</v>
      </c>
      <c r="H2483" s="5" t="s">
        <v>7205</v>
      </c>
      <c r="I2483" s="5" t="s">
        <v>7222</v>
      </c>
      <c r="J2483" s="5" t="s">
        <v>7223</v>
      </c>
      <c r="K2483" s="7" t="str">
        <f ca="1">IFERROR(__xludf.DUMMYFUNCTION("GOOGLETRANSLATE(H2483,""EN"",""ES"")"),"CARRITOS, CARRETILLAS")</f>
        <v>CARRITOS, CARRETILLAS</v>
      </c>
      <c r="L2483" s="5" t="str">
        <f ca="1">IFERROR(__xludf.DUMMYFUNCTION("GOOGLETRANSLATE(J2483,""EN"",""ES"")"),"Carros de mano para manipulación de mercancías.")</f>
        <v>Carros de mano para manipulación de mercancías.</v>
      </c>
      <c r="M2483" s="1" t="s">
        <v>39</v>
      </c>
      <c r="N2483" s="8"/>
    </row>
    <row r="2484" spans="1:14" ht="11.25" customHeight="1">
      <c r="A2484" s="5" t="s">
        <v>7189</v>
      </c>
      <c r="B2484" s="5" t="s">
        <v>7203</v>
      </c>
      <c r="C2484" s="5" t="s">
        <v>7224</v>
      </c>
      <c r="D2484" s="5" t="s">
        <v>7192</v>
      </c>
      <c r="E2484" s="5" t="s">
        <v>36</v>
      </c>
      <c r="F2484" s="5" t="s">
        <v>7193</v>
      </c>
      <c r="G2484" s="5" t="s">
        <v>7194</v>
      </c>
      <c r="H2484" s="5" t="s">
        <v>7205</v>
      </c>
      <c r="I2484" s="5" t="s">
        <v>7225</v>
      </c>
      <c r="J2484" s="5" t="s">
        <v>7226</v>
      </c>
      <c r="K2484" s="7" t="str">
        <f ca="1">IFERROR(__xludf.DUMMYFUNCTION("GOOGLETRANSLATE(H2484,""EN"",""ES"")"),"CARRITOS, CARRETILLAS")</f>
        <v>CARRITOS, CARRETILLAS</v>
      </c>
      <c r="L2484" s="5" t="str">
        <f ca="1">IFERROR(__xludf.DUMMYFUNCTION("GOOGLETRANSLATE(J2484,""EN"",""ES"")"),"Carros de compras")</f>
        <v>Carros de compras</v>
      </c>
      <c r="M2484" s="1" t="s">
        <v>39</v>
      </c>
      <c r="N2484" s="8"/>
    </row>
    <row r="2485" spans="1:14" ht="11.25" customHeight="1">
      <c r="A2485" s="5" t="s">
        <v>7189</v>
      </c>
      <c r="B2485" s="5" t="s">
        <v>7203</v>
      </c>
      <c r="C2485" s="5" t="s">
        <v>7224</v>
      </c>
      <c r="D2485" s="5" t="s">
        <v>7192</v>
      </c>
      <c r="E2485" s="5" t="s">
        <v>36</v>
      </c>
      <c r="F2485" s="5" t="s">
        <v>7193</v>
      </c>
      <c r="G2485" s="5" t="s">
        <v>7194</v>
      </c>
      <c r="H2485" s="5" t="s">
        <v>7205</v>
      </c>
      <c r="I2485" s="5" t="s">
        <v>7227</v>
      </c>
      <c r="J2485" s="5" t="s">
        <v>152</v>
      </c>
      <c r="K2485" s="7" t="str">
        <f ca="1">IFERROR(__xludf.DUMMYFUNCTION("GOOGLETRANSLATE(H2485,""EN"",""ES"")"),"CARRITOS, CARRETILLAS")</f>
        <v>CARRITOS, CARRETILLAS</v>
      </c>
      <c r="L2485" s="5" t="str">
        <f ca="1">IFERROR(__xludf.DUMMYFUNCTION("GOOGLETRANSLATE(J2485,""EN"",""ES"")"),"carritos de compras")</f>
        <v>carritos de compras</v>
      </c>
      <c r="M2485" s="1" t="s">
        <v>39</v>
      </c>
      <c r="N2485" s="8"/>
    </row>
    <row r="2486" spans="1:14" ht="11.25" customHeight="1">
      <c r="A2486" s="5" t="s">
        <v>7189</v>
      </c>
      <c r="B2486" s="5" t="s">
        <v>7203</v>
      </c>
      <c r="C2486" s="5" t="s">
        <v>7228</v>
      </c>
      <c r="D2486" s="5" t="s">
        <v>7192</v>
      </c>
      <c r="E2486" s="5" t="s">
        <v>36</v>
      </c>
      <c r="F2486" s="5" t="s">
        <v>7193</v>
      </c>
      <c r="G2486" s="5" t="s">
        <v>7194</v>
      </c>
      <c r="H2486" s="5" t="s">
        <v>7205</v>
      </c>
      <c r="I2486" s="5" t="s">
        <v>7229</v>
      </c>
      <c r="J2486" s="5" t="s">
        <v>7230</v>
      </c>
      <c r="K2486" s="7" t="str">
        <f ca="1">IFERROR(__xludf.DUMMYFUNCTION("GOOGLETRANSLATE(H2486,""EN"",""ES"")"),"CARRITOS, CARRETILLAS")</f>
        <v>CARRITOS, CARRETILLAS</v>
      </c>
      <c r="L2486" s="5" t="str">
        <f ca="1">IFERROR(__xludf.DUMMYFUNCTION("GOOGLETRANSLATE(J2486,""EN"",""ES"")"),"Carros de jardin")</f>
        <v>Carros de jardin</v>
      </c>
      <c r="M2486" s="1" t="s">
        <v>39</v>
      </c>
      <c r="N2486" s="8"/>
    </row>
    <row r="2487" spans="1:14" ht="11.25" customHeight="1">
      <c r="A2487" s="5" t="s">
        <v>7189</v>
      </c>
      <c r="B2487" s="5" t="s">
        <v>7203</v>
      </c>
      <c r="C2487" s="5" t="s">
        <v>7231</v>
      </c>
      <c r="D2487" s="5" t="s">
        <v>7192</v>
      </c>
      <c r="E2487" s="5" t="s">
        <v>36</v>
      </c>
      <c r="F2487" s="5" t="s">
        <v>7193</v>
      </c>
      <c r="G2487" s="5" t="s">
        <v>7194</v>
      </c>
      <c r="H2487" s="5" t="s">
        <v>7205</v>
      </c>
      <c r="I2487" s="5" t="s">
        <v>7232</v>
      </c>
      <c r="J2487" s="5" t="s">
        <v>7233</v>
      </c>
      <c r="K2487" s="7" t="str">
        <f ca="1">IFERROR(__xludf.DUMMYFUNCTION("GOOGLETRANSLATE(H2487,""EN"",""ES"")"),"CARRITOS, CARRETILLAS")</f>
        <v>CARRITOS, CARRETILLAS</v>
      </c>
      <c r="L2487" s="5" t="str">
        <f ca="1">IFERROR(__xludf.DUMMYFUNCTION("GOOGLETRANSLATE(J2487,""EN"",""ES"")"),"carretillas")</f>
        <v>carretillas</v>
      </c>
      <c r="M2487" s="1" t="s">
        <v>39</v>
      </c>
      <c r="N2487" s="8"/>
    </row>
    <row r="2488" spans="1:14" ht="11.25" customHeight="1">
      <c r="A2488" s="5" t="s">
        <v>7189</v>
      </c>
      <c r="B2488" s="5" t="s">
        <v>7203</v>
      </c>
      <c r="C2488" s="5" t="s">
        <v>7234</v>
      </c>
      <c r="D2488" s="5" t="s">
        <v>7192</v>
      </c>
      <c r="E2488" s="5" t="s">
        <v>36</v>
      </c>
      <c r="F2488" s="5" t="s">
        <v>7193</v>
      </c>
      <c r="G2488" s="5" t="s">
        <v>7194</v>
      </c>
      <c r="H2488" s="5" t="s">
        <v>7205</v>
      </c>
      <c r="I2488" s="5" t="s">
        <v>7235</v>
      </c>
      <c r="J2488" s="5" t="s">
        <v>7236</v>
      </c>
      <c r="K2488" s="7" t="str">
        <f ca="1">IFERROR(__xludf.DUMMYFUNCTION("GOOGLETRANSLATE(H2488,""EN"",""ES"")"),"CARRITOS, CARRETILLAS")</f>
        <v>CARRITOS, CARRETILLAS</v>
      </c>
      <c r="L2488" s="5" t="str">
        <f ca="1">IFERROR(__xludf.DUMMYFUNCTION("GOOGLETRANSLATE(J2488,""EN"",""ES"")"),"carros de basura")</f>
        <v>carros de basura</v>
      </c>
      <c r="M2488" s="1" t="s">
        <v>39</v>
      </c>
      <c r="N2488" s="8"/>
    </row>
    <row r="2489" spans="1:14" ht="11.25" customHeight="1">
      <c r="A2489" s="5" t="s">
        <v>7189</v>
      </c>
      <c r="B2489" s="5" t="s">
        <v>7203</v>
      </c>
      <c r="C2489" s="5" t="s">
        <v>7237</v>
      </c>
      <c r="D2489" s="5" t="s">
        <v>7192</v>
      </c>
      <c r="E2489" s="5" t="s">
        <v>36</v>
      </c>
      <c r="F2489" s="5" t="s">
        <v>7193</v>
      </c>
      <c r="G2489" s="5" t="s">
        <v>7194</v>
      </c>
      <c r="H2489" s="5" t="s">
        <v>7205</v>
      </c>
      <c r="I2489" s="5" t="s">
        <v>7238</v>
      </c>
      <c r="J2489" s="5" t="s">
        <v>7239</v>
      </c>
      <c r="K2489" s="7" t="str">
        <f ca="1">IFERROR(__xludf.DUMMYFUNCTION("GOOGLETRANSLATE(H2489,""EN"",""ES"")"),"CARRITOS, CARRETILLAS")</f>
        <v>CARRITOS, CARRETILLAS</v>
      </c>
      <c r="L2489" s="5" t="str">
        <f ca="1">IFERROR(__xludf.DUMMYFUNCTION("GOOGLETRANSLATE(J2489,""EN"",""ES"")"),"Carros de varada para barcos")</f>
        <v>Carros de varada para barcos</v>
      </c>
      <c r="M2489" s="1" t="s">
        <v>39</v>
      </c>
      <c r="N2489" s="8"/>
    </row>
    <row r="2490" spans="1:14" ht="11.25" customHeight="1">
      <c r="A2490" s="5" t="s">
        <v>7189</v>
      </c>
      <c r="B2490" s="5" t="s">
        <v>7203</v>
      </c>
      <c r="C2490" s="5" t="s">
        <v>7240</v>
      </c>
      <c r="D2490" s="5" t="s">
        <v>7192</v>
      </c>
      <c r="E2490" s="5" t="s">
        <v>36</v>
      </c>
      <c r="F2490" s="5" t="s">
        <v>7193</v>
      </c>
      <c r="G2490" s="5" t="s">
        <v>7194</v>
      </c>
      <c r="H2490" s="5" t="s">
        <v>7205</v>
      </c>
      <c r="I2490" s="5" t="s">
        <v>7241</v>
      </c>
      <c r="J2490" s="5" t="s">
        <v>7242</v>
      </c>
      <c r="K2490" s="7" t="str">
        <f ca="1">IFERROR(__xludf.DUMMYFUNCTION("GOOGLETRANSLATE(H2490,""EN"",""ES"")"),"CARRITOS, CARRETILLAS")</f>
        <v>CARRITOS, CARRETILLAS</v>
      </c>
      <c r="L2490" s="5" t="str">
        <f ca="1">IFERROR(__xludf.DUMMYFUNCTION("GOOGLETRANSLATE(J2490,""EN"",""ES"")"),"Carros de plataforma")</f>
        <v>Carros de plataforma</v>
      </c>
      <c r="M2490" s="1" t="s">
        <v>39</v>
      </c>
      <c r="N2490" s="8"/>
    </row>
    <row r="2491" spans="1:14" ht="11.25" customHeight="1">
      <c r="A2491" s="5" t="s">
        <v>7189</v>
      </c>
      <c r="B2491" s="5" t="s">
        <v>7203</v>
      </c>
      <c r="C2491" s="5" t="s">
        <v>7243</v>
      </c>
      <c r="D2491" s="5" t="s">
        <v>7192</v>
      </c>
      <c r="E2491" s="5" t="s">
        <v>36</v>
      </c>
      <c r="F2491" s="5" t="s">
        <v>7193</v>
      </c>
      <c r="G2491" s="5" t="s">
        <v>7194</v>
      </c>
      <c r="H2491" s="5" t="s">
        <v>7205</v>
      </c>
      <c r="I2491" s="5" t="s">
        <v>7244</v>
      </c>
      <c r="J2491" s="5" t="s">
        <v>7245</v>
      </c>
      <c r="K2491" s="7" t="str">
        <f ca="1">IFERROR(__xludf.DUMMYFUNCTION("GOOGLETRANSLATE(H2491,""EN"",""ES"")"),"CARRITOS, CARRETILLAS")</f>
        <v>CARRITOS, CARRETILLAS</v>
      </c>
      <c r="L2491" s="5" t="str">
        <f ca="1">IFERROR(__xludf.DUMMYFUNCTION("GOOGLETRANSLATE(J2491,""EN"",""ES"")"),"Carros de vendedores ambulantes")</f>
        <v>Carros de vendedores ambulantes</v>
      </c>
      <c r="M2491" s="1" t="s">
        <v>39</v>
      </c>
      <c r="N2491" s="8"/>
    </row>
    <row r="2492" spans="1:14" ht="11.25" customHeight="1">
      <c r="A2492" s="5" t="s">
        <v>7189</v>
      </c>
      <c r="B2492" s="5" t="s">
        <v>7203</v>
      </c>
      <c r="C2492" s="5" t="s">
        <v>7246</v>
      </c>
      <c r="D2492" s="5" t="s">
        <v>7192</v>
      </c>
      <c r="E2492" s="5" t="s">
        <v>36</v>
      </c>
      <c r="F2492" s="5" t="s">
        <v>7193</v>
      </c>
      <c r="G2492" s="5" t="s">
        <v>7194</v>
      </c>
      <c r="H2492" s="5" t="s">
        <v>7205</v>
      </c>
      <c r="I2492" s="5" t="s">
        <v>7247</v>
      </c>
      <c r="J2492" s="5" t="s">
        <v>7248</v>
      </c>
      <c r="K2492" s="7" t="str">
        <f ca="1">IFERROR(__xludf.DUMMYFUNCTION("GOOGLETRANSLATE(H2492,""EN"",""ES"")"),"CARRITOS, CARRETILLAS")</f>
        <v>CARRITOS, CARRETILLAS</v>
      </c>
      <c r="L2492" s="5" t="str">
        <f ca="1">IFERROR(__xludf.DUMMYFUNCTION("GOOGLETRANSLATE(J2492,""EN"",""ES"")"),"Carros de limpieza")</f>
        <v>Carros de limpieza</v>
      </c>
      <c r="M2492" s="1" t="s">
        <v>39</v>
      </c>
      <c r="N2492" s="8"/>
    </row>
    <row r="2493" spans="1:14" ht="11.25" customHeight="1">
      <c r="A2493" s="5" t="s">
        <v>7189</v>
      </c>
      <c r="B2493" s="5" t="s">
        <v>7203</v>
      </c>
      <c r="C2493" s="5" t="s">
        <v>7249</v>
      </c>
      <c r="D2493" s="5" t="s">
        <v>7192</v>
      </c>
      <c r="E2493" s="5" t="s">
        <v>36</v>
      </c>
      <c r="F2493" s="5" t="s">
        <v>7193</v>
      </c>
      <c r="G2493" s="5" t="s">
        <v>7194</v>
      </c>
      <c r="H2493" s="5" t="s">
        <v>7205</v>
      </c>
      <c r="I2493" s="5" t="s">
        <v>7250</v>
      </c>
      <c r="J2493" s="5" t="s">
        <v>7251</v>
      </c>
      <c r="K2493" s="7" t="str">
        <f ca="1">IFERROR(__xludf.DUMMYFUNCTION("GOOGLETRANSLATE(H2493,""EN"",""ES"")"),"CARRITOS, CARRETILLAS")</f>
        <v>CARRITOS, CARRETILLAS</v>
      </c>
      <c r="L2493" s="5" t="str">
        <f ca="1">IFERROR(__xludf.DUMMYFUNCTION("GOOGLETRANSLATE(J2493,""EN"",""ES"")"),"Carros para atención médica.")</f>
        <v>Carros para atención médica.</v>
      </c>
      <c r="M2493" s="1" t="s">
        <v>39</v>
      </c>
      <c r="N2493" s="8"/>
    </row>
    <row r="2494" spans="1:14" ht="11.25" customHeight="1">
      <c r="A2494" s="5" t="s">
        <v>7189</v>
      </c>
      <c r="B2494" s="5" t="s">
        <v>7203</v>
      </c>
      <c r="C2494" s="5" t="s">
        <v>7252</v>
      </c>
      <c r="D2494" s="5" t="s">
        <v>7192</v>
      </c>
      <c r="E2494" s="5" t="s">
        <v>36</v>
      </c>
      <c r="F2494" s="5" t="s">
        <v>7193</v>
      </c>
      <c r="G2494" s="5" t="s">
        <v>7194</v>
      </c>
      <c r="H2494" s="5" t="s">
        <v>7205</v>
      </c>
      <c r="I2494" s="5" t="s">
        <v>7253</v>
      </c>
      <c r="J2494" s="5" t="s">
        <v>7254</v>
      </c>
      <c r="K2494" s="7" t="str">
        <f ca="1">IFERROR(__xludf.DUMMYFUNCTION("GOOGLETRANSLATE(H2494,""EN"",""ES"")"),"CARRITOS, CARRETILLAS")</f>
        <v>CARRITOS, CARRETILLAS</v>
      </c>
      <c r="L2494" s="5" t="str">
        <f ca="1">IFERROR(__xludf.DUMMYFUNCTION("GOOGLETRANSLATE(J2494,""EN"",""ES"")"),"Porta ruedas [carros]")</f>
        <v>Porta ruedas [carros]</v>
      </c>
      <c r="M2494" s="1" t="s">
        <v>39</v>
      </c>
      <c r="N2494" s="8"/>
    </row>
    <row r="2495" spans="1:14" ht="11.25" customHeight="1">
      <c r="A2495" s="5" t="s">
        <v>7189</v>
      </c>
      <c r="B2495" s="5" t="s">
        <v>7203</v>
      </c>
      <c r="C2495" s="5" t="s">
        <v>7255</v>
      </c>
      <c r="D2495" s="5" t="s">
        <v>7192</v>
      </c>
      <c r="E2495" s="5" t="s">
        <v>36</v>
      </c>
      <c r="F2495" s="5" t="s">
        <v>7193</v>
      </c>
      <c r="G2495" s="5" t="s">
        <v>7194</v>
      </c>
      <c r="H2495" s="5" t="s">
        <v>7205</v>
      </c>
      <c r="I2495" s="5" t="s">
        <v>7256</v>
      </c>
      <c r="J2495" s="5" t="s">
        <v>7257</v>
      </c>
      <c r="K2495" s="7" t="str">
        <f ca="1">IFERROR(__xludf.DUMMYFUNCTION("GOOGLETRANSLATE(H2495,""EN"",""ES"")"),"CARRITOS, CARRETILLAS")</f>
        <v>CARRITOS, CARRETILLAS</v>
      </c>
      <c r="L2495" s="5" t="str">
        <f ca="1">IFERROR(__xludf.DUMMYFUNCTION("GOOGLETRANSLATE(J2495,""EN"",""ES"")"),"Dollies [plataformas con ruedas]")</f>
        <v>Dollies [plataformas con ruedas]</v>
      </c>
      <c r="M2495" s="1" t="s">
        <v>39</v>
      </c>
      <c r="N2495" s="8"/>
    </row>
    <row r="2496" spans="1:14" ht="11.25" customHeight="1">
      <c r="A2496" s="5" t="s">
        <v>7189</v>
      </c>
      <c r="B2496" s="5" t="s">
        <v>7203</v>
      </c>
      <c r="C2496" s="5" t="s">
        <v>7258</v>
      </c>
      <c r="D2496" s="5" t="s">
        <v>7192</v>
      </c>
      <c r="E2496" s="5" t="s">
        <v>36</v>
      </c>
      <c r="F2496" s="5" t="s">
        <v>7193</v>
      </c>
      <c r="G2496" s="5" t="s">
        <v>7194</v>
      </c>
      <c r="H2496" s="5" t="s">
        <v>7205</v>
      </c>
      <c r="I2496" s="5" t="s">
        <v>7259</v>
      </c>
      <c r="J2496" s="5" t="s">
        <v>7260</v>
      </c>
      <c r="K2496" s="7" t="str">
        <f ca="1">IFERROR(__xludf.DUMMYFUNCTION("GOOGLETRANSLATE(H2496,""EN"",""ES"")"),"CARRITOS, CARRETILLAS")</f>
        <v>CARRITOS, CARRETILLAS</v>
      </c>
      <c r="L2496" s="5" t="str">
        <f ca="1">IFERROR(__xludf.DUMMYFUNCTION("GOOGLETRANSLATE(J2496,""EN"",""ES"")"),"Ruedas para fines de transporte")</f>
        <v>Ruedas para fines de transporte</v>
      </c>
      <c r="M2496" s="1" t="s">
        <v>39</v>
      </c>
      <c r="N2496" s="8"/>
    </row>
    <row r="2497" spans="1:14" ht="11.25" customHeight="1">
      <c r="A2497" s="5" t="s">
        <v>7189</v>
      </c>
      <c r="B2497" s="5" t="s">
        <v>7203</v>
      </c>
      <c r="C2497" s="5" t="s">
        <v>7261</v>
      </c>
      <c r="D2497" s="5" t="s">
        <v>7192</v>
      </c>
      <c r="E2497" s="5" t="s">
        <v>36</v>
      </c>
      <c r="F2497" s="5" t="s">
        <v>7193</v>
      </c>
      <c r="G2497" s="5" t="s">
        <v>7194</v>
      </c>
      <c r="H2497" s="5" t="s">
        <v>7205</v>
      </c>
      <c r="I2497" s="5" t="s">
        <v>7262</v>
      </c>
      <c r="J2497" s="5" t="s">
        <v>7263</v>
      </c>
      <c r="K2497" s="7" t="str">
        <f ca="1">IFERROR(__xludf.DUMMYFUNCTION("GOOGLETRANSLATE(H2497,""EN"",""ES"")"),"CARRITOS, CARRETILLAS")</f>
        <v>CARRITOS, CARRETILLAS</v>
      </c>
      <c r="L2497" s="5" t="str">
        <f ca="1">IFERROR(__xludf.DUMMYFUNCTION("GOOGLETRANSLATE(J2497,""EN"",""ES"")"),"Carros manuales para el transporte de barreras guía")</f>
        <v>Carros manuales para el transporte de barreras guía</v>
      </c>
      <c r="M2497" s="1" t="s">
        <v>39</v>
      </c>
      <c r="N2497" s="8"/>
    </row>
    <row r="2498" spans="1:14" ht="11.25" customHeight="1">
      <c r="A2498" s="5" t="s">
        <v>7189</v>
      </c>
      <c r="B2498" s="5" t="s">
        <v>7264</v>
      </c>
      <c r="C2498" s="5" t="s">
        <v>7265</v>
      </c>
      <c r="D2498" s="5" t="s">
        <v>7192</v>
      </c>
      <c r="E2498" s="5" t="s">
        <v>36</v>
      </c>
      <c r="F2498" s="5" t="s">
        <v>7193</v>
      </c>
      <c r="G2498" s="5" t="s">
        <v>7194</v>
      </c>
      <c r="H2498" s="5" t="s">
        <v>7266</v>
      </c>
      <c r="I2498" s="5" t="s">
        <v>7267</v>
      </c>
      <c r="J2498" s="5" t="s">
        <v>7268</v>
      </c>
      <c r="K2498" s="7" t="str">
        <f ca="1">IFERROR(__xludf.DUMMYFUNCTION("GOOGLETRANSLATE(H2498,""EN"",""ES"")"),"LOCOMOTORAS Y MATERIAL RODANTE PARA FERROCARRILES Y TODOS LOS DEMÁS VEHÍCULOS FERROVIARIOS")</f>
        <v>LOCOMOTORAS Y MATERIAL RODANTE PARA FERROCARRILES Y TODOS LOS DEMÁS VEHÍCULOS FERROVIARIOS</v>
      </c>
      <c r="L2498" s="5" t="str">
        <f ca="1">IFERROR(__xludf.DUMMYFUNCTION("GOOGLETRANSLATE(J2498,""EN"",""ES"")"),"camiones mineros")</f>
        <v>camiones mineros</v>
      </c>
      <c r="M2498" s="1" t="s">
        <v>39</v>
      </c>
      <c r="N2498" s="8"/>
    </row>
    <row r="2499" spans="1:14" ht="11.25" customHeight="1">
      <c r="A2499" s="5" t="s">
        <v>7189</v>
      </c>
      <c r="B2499" s="5" t="s">
        <v>7264</v>
      </c>
      <c r="C2499" s="5" t="s">
        <v>7269</v>
      </c>
      <c r="D2499" s="5" t="s">
        <v>7192</v>
      </c>
      <c r="E2499" s="5" t="s">
        <v>36</v>
      </c>
      <c r="F2499" s="5" t="s">
        <v>7193</v>
      </c>
      <c r="G2499" s="5" t="s">
        <v>7194</v>
      </c>
      <c r="H2499" s="5" t="s">
        <v>7266</v>
      </c>
      <c r="I2499" s="5" t="s">
        <v>7270</v>
      </c>
      <c r="J2499" s="5" t="s">
        <v>7271</v>
      </c>
      <c r="K2499" s="7" t="str">
        <f ca="1">IFERROR(__xludf.DUMMYFUNCTION("GOOGLETRANSLATE(H2499,""EN"",""ES"")"),"LOCOMOTORAS Y MATERIAL RODANTE PARA FERROCARRILES Y TODOS LOS DEMÁS VEHÍCULOS FERROVIARIOS")</f>
        <v>LOCOMOTORAS Y MATERIAL RODANTE PARA FERROCARRILES Y TODOS LOS DEMÁS VEHÍCULOS FERROVIARIOS</v>
      </c>
      <c r="L2499" s="5" t="str">
        <f ca="1">IFERROR(__xludf.DUMMYFUNCTION("GOOGLETRANSLATE(J2499,""EN"",""ES"")"),"Bogies para vagones de ferrocarril")</f>
        <v>Bogies para vagones de ferrocarril</v>
      </c>
      <c r="M2499" s="1" t="s">
        <v>39</v>
      </c>
      <c r="N2499" s="8"/>
    </row>
    <row r="2500" spans="1:14" ht="11.25" customHeight="1">
      <c r="A2500" s="5" t="s">
        <v>7189</v>
      </c>
      <c r="B2500" s="5" t="s">
        <v>7264</v>
      </c>
      <c r="C2500" s="5" t="s">
        <v>7272</v>
      </c>
      <c r="D2500" s="5" t="s">
        <v>7192</v>
      </c>
      <c r="E2500" s="5" t="s">
        <v>36</v>
      </c>
      <c r="F2500" s="5" t="s">
        <v>7193</v>
      </c>
      <c r="G2500" s="5" t="s">
        <v>7194</v>
      </c>
      <c r="H2500" s="5" t="s">
        <v>7266</v>
      </c>
      <c r="I2500" s="5" t="s">
        <v>7273</v>
      </c>
      <c r="J2500" s="5" t="s">
        <v>7274</v>
      </c>
      <c r="K2500" s="7" t="str">
        <f ca="1">IFERROR(__xludf.DUMMYFUNCTION("GOOGLETRANSLATE(H2500,""EN"",""ES"")"),"LOCOMOTORAS Y MATERIAL RODANTE PARA FERROCARRILES Y TODOS LOS DEMÁS VEHÍCULOS FERROVIARIOS")</f>
        <v>LOCOMOTORAS Y MATERIAL RODANTE PARA FERROCARRILES Y TODOS LOS DEMÁS VEHÍCULOS FERROVIARIOS</v>
      </c>
      <c r="L2500" s="5" t="str">
        <f ca="1">IFERROR(__xludf.DUMMYFUNCTION("GOOGLETRANSLATE(J2500,""EN"",""ES"")"),"Cajas de grasa para vagones de ferrocarril")</f>
        <v>Cajas de grasa para vagones de ferrocarril</v>
      </c>
      <c r="M2500" s="1" t="s">
        <v>39</v>
      </c>
      <c r="N2500" s="8"/>
    </row>
    <row r="2501" spans="1:14" ht="11.25" customHeight="1">
      <c r="A2501" s="5" t="s">
        <v>7189</v>
      </c>
      <c r="B2501" s="5" t="s">
        <v>7264</v>
      </c>
      <c r="C2501" s="5" t="s">
        <v>7275</v>
      </c>
      <c r="D2501" s="5" t="s">
        <v>7192</v>
      </c>
      <c r="E2501" s="5" t="s">
        <v>36</v>
      </c>
      <c r="F2501" s="5" t="s">
        <v>7193</v>
      </c>
      <c r="G2501" s="5" t="s">
        <v>7194</v>
      </c>
      <c r="H2501" s="5" t="s">
        <v>7266</v>
      </c>
      <c r="I2501" s="5" t="s">
        <v>7276</v>
      </c>
      <c r="J2501" s="5" t="s">
        <v>7277</v>
      </c>
      <c r="K2501" s="7" t="str">
        <f ca="1">IFERROR(__xludf.DUMMYFUNCTION("GOOGLETRANSLATE(H2501,""EN"",""ES"")"),"LOCOMOTORAS Y MATERIAL RODANTE PARA FERROCARRILES Y TODOS LOS DEMÁS VEHÍCULOS FERROVIARIOS")</f>
        <v>LOCOMOTORAS Y MATERIAL RODANTE PARA FERROCARRILES Y TODOS LOS DEMÁS VEHÍCULOS FERROVIARIOS</v>
      </c>
      <c r="L2501" s="5" t="str">
        <f ca="1">IFERROR(__xludf.DUMMYFUNCTION("GOOGLETRANSLATE(J2501,""EN"",""ES"")"),"Cajas de vagones de ferrocarril")</f>
        <v>Cajas de vagones de ferrocarril</v>
      </c>
      <c r="M2501" s="1" t="s">
        <v>39</v>
      </c>
      <c r="N2501" s="8"/>
    </row>
    <row r="2502" spans="1:14" ht="11.25" customHeight="1">
      <c r="A2502" s="5" t="s">
        <v>7189</v>
      </c>
      <c r="B2502" s="5" t="s">
        <v>7264</v>
      </c>
      <c r="C2502" s="5" t="s">
        <v>7278</v>
      </c>
      <c r="D2502" s="5" t="s">
        <v>7192</v>
      </c>
      <c r="E2502" s="5" t="s">
        <v>36</v>
      </c>
      <c r="F2502" s="5" t="s">
        <v>7193</v>
      </c>
      <c r="G2502" s="5" t="s">
        <v>7194</v>
      </c>
      <c r="H2502" s="5" t="s">
        <v>7266</v>
      </c>
      <c r="I2502" s="5" t="s">
        <v>7279</v>
      </c>
      <c r="J2502" s="5" t="s">
        <v>7280</v>
      </c>
      <c r="K2502" s="7" t="str">
        <f ca="1">IFERROR(__xludf.DUMMYFUNCTION("GOOGLETRANSLATE(H2502,""EN"",""ES"")"),"LOCOMOTORAS Y MATERIAL RODANTE PARA FERROCARRILES Y TODOS LOS DEMÁS VEHÍCULOS FERROVIARIOS")</f>
        <v>LOCOMOTORAS Y MATERIAL RODANTE PARA FERROCARRILES Y TODOS LOS DEMÁS VEHÍCULOS FERROVIARIOS</v>
      </c>
      <c r="L2502" s="5" t="str">
        <f ca="1">IFERROR(__xludf.DUMMYFUNCTION("GOOGLETRANSLATE(J2502,""EN"",""ES"")"),"Embudos para locomotoras")</f>
        <v>Embudos para locomotoras</v>
      </c>
      <c r="M2502" s="1" t="s">
        <v>39</v>
      </c>
      <c r="N2502" s="8"/>
    </row>
    <row r="2503" spans="1:14" ht="11.25" customHeight="1">
      <c r="A2503" s="5" t="s">
        <v>7189</v>
      </c>
      <c r="B2503" s="5" t="s">
        <v>7264</v>
      </c>
      <c r="C2503" s="5" t="s">
        <v>7281</v>
      </c>
      <c r="D2503" s="5" t="s">
        <v>7192</v>
      </c>
      <c r="E2503" s="5" t="s">
        <v>36</v>
      </c>
      <c r="F2503" s="5" t="s">
        <v>7193</v>
      </c>
      <c r="G2503" s="5" t="s">
        <v>7194</v>
      </c>
      <c r="H2503" s="5" t="s">
        <v>7266</v>
      </c>
      <c r="I2503" s="5" t="s">
        <v>7282</v>
      </c>
      <c r="J2503" s="5" t="s">
        <v>7283</v>
      </c>
      <c r="K2503" s="7" t="str">
        <f ca="1">IFERROR(__xludf.DUMMYFUNCTION("GOOGLETRANSLATE(H2503,""EN"",""ES"")"),"LOCOMOTORAS Y MATERIAL RODANTE PARA FERROCARRILES Y TODOS LOS DEMÁS VEHÍCULOS FERROVIARIOS")</f>
        <v>LOCOMOTORAS Y MATERIAL RODANTE PARA FERROCARRILES Y TODOS LOS DEMÁS VEHÍCULOS FERROVIARIOS</v>
      </c>
      <c r="L2503" s="5" t="str">
        <f ca="1">IFERROR(__xludf.DUMMYFUNCTION("GOOGLETRANSLATE(J2503,""EN"",""ES"")"),"Carros para trabajos de mantenimiento ferroviario.")</f>
        <v>Carros para trabajos de mantenimiento ferroviario.</v>
      </c>
      <c r="M2503" s="1" t="s">
        <v>39</v>
      </c>
      <c r="N2503" s="8"/>
    </row>
    <row r="2504" spans="1:14" ht="11.25" customHeight="1">
      <c r="A2504" s="5" t="s">
        <v>7189</v>
      </c>
      <c r="B2504" s="5" t="s">
        <v>7264</v>
      </c>
      <c r="C2504" s="5" t="s">
        <v>7284</v>
      </c>
      <c r="D2504" s="5" t="s">
        <v>7192</v>
      </c>
      <c r="E2504" s="5" t="s">
        <v>36</v>
      </c>
      <c r="F2504" s="5" t="s">
        <v>7193</v>
      </c>
      <c r="G2504" s="5" t="s">
        <v>7194</v>
      </c>
      <c r="H2504" s="5" t="s">
        <v>7266</v>
      </c>
      <c r="I2504" s="5" t="s">
        <v>7285</v>
      </c>
      <c r="J2504" s="5" t="s">
        <v>7286</v>
      </c>
      <c r="K2504" s="7" t="str">
        <f ca="1">IFERROR(__xludf.DUMMYFUNCTION("GOOGLETRANSLATE(H2504,""EN"",""ES"")"),"LOCOMOTORAS Y MATERIAL RODANTE PARA FERROCARRILES Y TODOS LOS DEMÁS VEHÍCULOS FERROVIARIOS")</f>
        <v>LOCOMOTORAS Y MATERIAL RODANTE PARA FERROCARRILES Y TODOS LOS DEMÁS VEHÍCULOS FERROVIARIOS</v>
      </c>
      <c r="L2504" s="5" t="str">
        <f ca="1">IFERROR(__xludf.DUMMYFUNCTION("GOOGLETRANSLATE(J2504,""EN"",""ES"")"),"Funiculares")</f>
        <v>Funiculares</v>
      </c>
      <c r="M2504" s="1" t="s">
        <v>39</v>
      </c>
      <c r="N2504" s="8"/>
    </row>
    <row r="2505" spans="1:14" ht="11.25" customHeight="1">
      <c r="A2505" s="5" t="s">
        <v>7189</v>
      </c>
      <c r="B2505" s="5" t="s">
        <v>7264</v>
      </c>
      <c r="C2505" s="5" t="s">
        <v>7287</v>
      </c>
      <c r="D2505" s="5" t="s">
        <v>7192</v>
      </c>
      <c r="E2505" s="5" t="s">
        <v>36</v>
      </c>
      <c r="F2505" s="5" t="s">
        <v>7193</v>
      </c>
      <c r="G2505" s="5" t="s">
        <v>7194</v>
      </c>
      <c r="H2505" s="5" t="s">
        <v>7266</v>
      </c>
      <c r="I2505" s="5" t="s">
        <v>7288</v>
      </c>
      <c r="J2505" s="5" t="s">
        <v>7288</v>
      </c>
      <c r="K2505" s="7" t="str">
        <f ca="1">IFERROR(__xludf.DUMMYFUNCTION("GOOGLETRANSLATE(H2505,""EN"",""ES"")"),"LOCOMOTORAS Y MATERIAL RODANTE PARA FERROCARRILES Y TODOS LOS DEMÁS VEHÍCULOS FERROVIARIOS")</f>
        <v>LOCOMOTORAS Y MATERIAL RODANTE PARA FERROCARRILES Y TODOS LOS DEMÁS VEHÍCULOS FERROVIARIOS</v>
      </c>
      <c r="L2505" s="5" t="str">
        <f ca="1">IFERROR(__xludf.DUMMYFUNCTION("GOOGLETRANSLATE(J2505,""EN"",""ES"")"),"Locomotoras")</f>
        <v>Locomotoras</v>
      </c>
      <c r="M2505" s="1" t="s">
        <v>39</v>
      </c>
      <c r="N2505" s="8"/>
    </row>
    <row r="2506" spans="1:14" ht="11.25" customHeight="1">
      <c r="A2506" s="5" t="s">
        <v>7189</v>
      </c>
      <c r="B2506" s="5" t="s">
        <v>7264</v>
      </c>
      <c r="C2506" s="5" t="s">
        <v>7289</v>
      </c>
      <c r="D2506" s="5" t="s">
        <v>7192</v>
      </c>
      <c r="E2506" s="5" t="s">
        <v>36</v>
      </c>
      <c r="F2506" s="5" t="s">
        <v>7193</v>
      </c>
      <c r="G2506" s="5" t="s">
        <v>7194</v>
      </c>
      <c r="H2506" s="5" t="s">
        <v>7266</v>
      </c>
      <c r="I2506" s="5" t="s">
        <v>7290</v>
      </c>
      <c r="J2506" s="5" t="s">
        <v>7291</v>
      </c>
      <c r="K2506" s="7" t="str">
        <f ca="1">IFERROR(__xludf.DUMMYFUNCTION("GOOGLETRANSLATE(H2506,""EN"",""ES"")"),"LOCOMOTORAS Y MATERIAL RODANTE PARA FERROCARRILES Y TODOS LOS DEMÁS VEHÍCULOS FERROVIARIOS")</f>
        <v>LOCOMOTORAS Y MATERIAL RODANTE PARA FERROCARRILES Y TODOS LOS DEMÁS VEHÍCULOS FERROVIARIOS</v>
      </c>
      <c r="L2506" s="5" t="str">
        <f ca="1">IFERROR(__xludf.DUMMYFUNCTION("GOOGLETRANSLATE(J2506,""EN"",""ES"")"),"Estribos para vagones de ferrocarril")</f>
        <v>Estribos para vagones de ferrocarril</v>
      </c>
      <c r="M2506" s="1" t="s">
        <v>39</v>
      </c>
      <c r="N2506" s="8"/>
    </row>
    <row r="2507" spans="1:14" ht="11.25" customHeight="1">
      <c r="A2507" s="5" t="s">
        <v>7189</v>
      </c>
      <c r="B2507" s="5" t="s">
        <v>7264</v>
      </c>
      <c r="C2507" s="5" t="s">
        <v>7292</v>
      </c>
      <c r="D2507" s="5" t="s">
        <v>7192</v>
      </c>
      <c r="E2507" s="5" t="s">
        <v>36</v>
      </c>
      <c r="F2507" s="5" t="s">
        <v>7193</v>
      </c>
      <c r="G2507" s="5" t="s">
        <v>7194</v>
      </c>
      <c r="H2507" s="5" t="s">
        <v>7266</v>
      </c>
      <c r="I2507" s="5" t="s">
        <v>7293</v>
      </c>
      <c r="J2507" s="5" t="s">
        <v>7293</v>
      </c>
      <c r="K2507" s="7" t="str">
        <f ca="1">IFERROR(__xludf.DUMMYFUNCTION("GOOGLETRANSLATE(H2507,""EN"",""ES"")"),"LOCOMOTORAS Y MATERIAL RODANTE PARA FERROCARRILES Y TODOS LOS DEMÁS VEHÍCULOS FERROVIARIOS")</f>
        <v>LOCOMOTORAS Y MATERIAL RODANTE PARA FERROCARRILES Y TODOS LOS DEMÁS VEHÍCULOS FERROVIARIOS</v>
      </c>
      <c r="L2507" s="5" t="str">
        <f ca="1">IFERROR(__xludf.DUMMYFUNCTION("GOOGLETRANSLATE(J2507,""EN"",""ES"")"),"Monorraíles [transporte]")</f>
        <v>Monorraíles [transporte]</v>
      </c>
      <c r="M2507" s="1" t="s">
        <v>39</v>
      </c>
      <c r="N2507" s="8"/>
    </row>
    <row r="2508" spans="1:14" ht="11.25" customHeight="1">
      <c r="A2508" s="5" t="s">
        <v>7189</v>
      </c>
      <c r="B2508" s="5" t="s">
        <v>7264</v>
      </c>
      <c r="C2508" s="5" t="s">
        <v>7294</v>
      </c>
      <c r="D2508" s="5" t="s">
        <v>7192</v>
      </c>
      <c r="E2508" s="5" t="s">
        <v>36</v>
      </c>
      <c r="F2508" s="5" t="s">
        <v>7193</v>
      </c>
      <c r="G2508" s="5" t="s">
        <v>7194</v>
      </c>
      <c r="H2508" s="5" t="s">
        <v>7266</v>
      </c>
      <c r="I2508" s="5" t="s">
        <v>7295</v>
      </c>
      <c r="J2508" s="5" t="s">
        <v>7296</v>
      </c>
      <c r="K2508" s="7" t="str">
        <f ca="1">IFERROR(__xludf.DUMMYFUNCTION("GOOGLETRANSLATE(H2508,""EN"",""ES"")"),"LOCOMOTORAS Y MATERIAL RODANTE PARA FERROCARRILES Y TODOS LOS DEMÁS VEHÍCULOS FERROVIARIOS")</f>
        <v>LOCOMOTORAS Y MATERIAL RODANTE PARA FERROCARRILES Y TODOS LOS DEMÁS VEHÍCULOS FERROVIARIOS</v>
      </c>
      <c r="L2508" s="5" t="str">
        <f ca="1">IFERROR(__xludf.DUMMYFUNCTION("GOOGLETRANSLATE(J2508,""EN"",""ES"")"),"Plataformas para vagones de ferrocarril")</f>
        <v>Plataformas para vagones de ferrocarril</v>
      </c>
      <c r="M2508" s="1" t="s">
        <v>39</v>
      </c>
      <c r="N2508" s="8"/>
    </row>
    <row r="2509" spans="1:14" ht="11.25" customHeight="1">
      <c r="A2509" s="5" t="s">
        <v>7189</v>
      </c>
      <c r="B2509" s="5" t="s">
        <v>7264</v>
      </c>
      <c r="C2509" s="5" t="s">
        <v>7297</v>
      </c>
      <c r="D2509" s="5" t="s">
        <v>7192</v>
      </c>
      <c r="E2509" s="5" t="s">
        <v>36</v>
      </c>
      <c r="F2509" s="5" t="s">
        <v>7193</v>
      </c>
      <c r="G2509" s="5" t="s">
        <v>7194</v>
      </c>
      <c r="H2509" s="5" t="s">
        <v>7266</v>
      </c>
      <c r="I2509" s="5" t="s">
        <v>7298</v>
      </c>
      <c r="J2509" s="5" t="s">
        <v>7299</v>
      </c>
      <c r="K2509" s="7" t="str">
        <f ca="1">IFERROR(__xludf.DUMMYFUNCTION("GOOGLETRANSLATE(H2509,""EN"",""ES"")"),"LOCOMOTORAS Y MATERIAL RODANTE PARA FERROCARRILES Y TODOS LOS DEMÁS VEHÍCULOS FERROVIARIOS")</f>
        <v>LOCOMOTORAS Y MATERIAL RODANTE PARA FERROCARRILES Y TODOS LOS DEMÁS VEHÍCULOS FERROVIARIOS</v>
      </c>
      <c r="L2509" s="5" t="str">
        <f ca="1">IFERROR(__xludf.DUMMYFUNCTION("GOOGLETRANSLATE(J2509,""EN"",""ES"")"),"Puertas de vagones de ferrocarril")</f>
        <v>Puertas de vagones de ferrocarril</v>
      </c>
      <c r="M2509" s="1" t="s">
        <v>39</v>
      </c>
      <c r="N2509" s="8"/>
    </row>
    <row r="2510" spans="1:14" ht="11.25" customHeight="1">
      <c r="A2510" s="5" t="s">
        <v>7189</v>
      </c>
      <c r="B2510" s="5" t="s">
        <v>7264</v>
      </c>
      <c r="C2510" s="5" t="s">
        <v>7300</v>
      </c>
      <c r="D2510" s="5" t="s">
        <v>7192</v>
      </c>
      <c r="E2510" s="5" t="s">
        <v>36</v>
      </c>
      <c r="F2510" s="5" t="s">
        <v>7193</v>
      </c>
      <c r="G2510" s="5" t="s">
        <v>7194</v>
      </c>
      <c r="H2510" s="5" t="s">
        <v>7266</v>
      </c>
      <c r="I2510" s="5" t="s">
        <v>7301</v>
      </c>
      <c r="J2510" s="5" t="s">
        <v>7302</v>
      </c>
      <c r="K2510" s="7" t="str">
        <f ca="1">IFERROR(__xludf.DUMMYFUNCTION("GOOGLETRANSLATE(H2510,""EN"",""ES"")"),"LOCOMOTORAS Y MATERIAL RODANTE PARA FERROCARRILES Y TODOS LOS DEMÁS VEHÍCULOS FERROVIARIOS")</f>
        <v>LOCOMOTORAS Y MATERIAL RODANTE PARA FERROCARRILES Y TODOS LOS DEMÁS VEHÍCULOS FERROVIARIOS</v>
      </c>
      <c r="L2510" s="5" t="str">
        <f ca="1">IFERROR(__xludf.DUMMYFUNCTION("GOOGLETRANSLATE(J2510,""EN"",""ES"")"),"Reguladores de vapor para locomotoras.")</f>
        <v>Reguladores de vapor para locomotoras.</v>
      </c>
      <c r="M2510" s="1" t="s">
        <v>39</v>
      </c>
      <c r="N2510" s="8"/>
    </row>
    <row r="2511" spans="1:14" ht="11.25" customHeight="1">
      <c r="A2511" s="5" t="s">
        <v>7189</v>
      </c>
      <c r="B2511" s="5" t="s">
        <v>7264</v>
      </c>
      <c r="C2511" s="5" t="s">
        <v>7303</v>
      </c>
      <c r="D2511" s="5" t="s">
        <v>7192</v>
      </c>
      <c r="E2511" s="5" t="s">
        <v>36</v>
      </c>
      <c r="F2511" s="5" t="s">
        <v>7193</v>
      </c>
      <c r="G2511" s="5" t="s">
        <v>7194</v>
      </c>
      <c r="H2511" s="5" t="s">
        <v>7266</v>
      </c>
      <c r="I2511" s="5" t="s">
        <v>7304</v>
      </c>
      <c r="J2511" s="5" t="s">
        <v>7305</v>
      </c>
      <c r="K2511" s="7" t="str">
        <f ca="1">IFERROR(__xludf.DUMMYFUNCTION("GOOGLETRANSLATE(H2511,""EN"",""ES"")"),"LOCOMOTORAS Y MATERIAL RODANTE PARA FERROCARRILES Y TODOS LOS DEMÁS VEHÍCULOS FERROVIARIOS")</f>
        <v>LOCOMOTORAS Y MATERIAL RODANTE PARA FERROCARRILES Y TODOS LOS DEMÁS VEHÍCULOS FERROVIARIOS</v>
      </c>
      <c r="L2511" s="5" t="str">
        <f ca="1">IFERROR(__xludf.DUMMYFUNCTION("GOOGLETRANSLATE(J2511,""EN"",""ES"")"),"Ruedas para vehículos ferroviarios")</f>
        <v>Ruedas para vehículos ferroviarios</v>
      </c>
      <c r="M2511" s="1" t="s">
        <v>39</v>
      </c>
      <c r="N2511" s="8"/>
    </row>
    <row r="2512" spans="1:14" ht="11.25" customHeight="1">
      <c r="A2512" s="5" t="s">
        <v>7189</v>
      </c>
      <c r="B2512" s="5" t="s">
        <v>7264</v>
      </c>
      <c r="C2512" s="5" t="s">
        <v>7306</v>
      </c>
      <c r="D2512" s="5" t="s">
        <v>7192</v>
      </c>
      <c r="E2512" s="5" t="s">
        <v>36</v>
      </c>
      <c r="F2512" s="5" t="s">
        <v>7193</v>
      </c>
      <c r="G2512" s="5" t="s">
        <v>7194</v>
      </c>
      <c r="H2512" s="5" t="s">
        <v>7266</v>
      </c>
      <c r="I2512" s="5" t="s">
        <v>7307</v>
      </c>
      <c r="J2512" s="5" t="s">
        <v>7308</v>
      </c>
      <c r="K2512" s="7" t="str">
        <f ca="1">IFERROR(__xludf.DUMMYFUNCTION("GOOGLETRANSLATE(H2512,""EN"",""ES"")"),"LOCOMOTORAS Y MATERIAL RODANTE PARA FERROCARRILES Y TODOS LOS DEMÁS VEHÍCULOS FERROVIARIOS")</f>
        <v>LOCOMOTORAS Y MATERIAL RODANTE PARA FERROCARRILES Y TODOS LOS DEMÁS VEHÍCULOS FERROVIARIOS</v>
      </c>
      <c r="L2512" s="5" t="str">
        <f ca="1">IFERROR(__xludf.DUMMYFUNCTION("GOOGLETRANSLATE(J2512,""EN"",""ES"")"),"Areneros de locomotoras o tranvías")</f>
        <v>Areneros de locomotoras o tranvías</v>
      </c>
      <c r="M2512" s="1" t="s">
        <v>39</v>
      </c>
      <c r="N2512" s="8"/>
    </row>
    <row r="2513" spans="1:14" ht="11.25" customHeight="1">
      <c r="A2513" s="5" t="s">
        <v>7189</v>
      </c>
      <c r="B2513" s="5" t="s">
        <v>7264</v>
      </c>
      <c r="C2513" s="5" t="s">
        <v>7309</v>
      </c>
      <c r="D2513" s="5" t="s">
        <v>7192</v>
      </c>
      <c r="E2513" s="5" t="s">
        <v>36</v>
      </c>
      <c r="F2513" s="5" t="s">
        <v>7193</v>
      </c>
      <c r="G2513" s="5" t="s">
        <v>7194</v>
      </c>
      <c r="H2513" s="5" t="s">
        <v>7266</v>
      </c>
      <c r="I2513" s="5" t="s">
        <v>7310</v>
      </c>
      <c r="J2513" s="5" t="s">
        <v>7311</v>
      </c>
      <c r="K2513" s="7" t="str">
        <f ca="1">IFERROR(__xludf.DUMMYFUNCTION("GOOGLETRANSLATE(H2513,""EN"",""ES"")"),"LOCOMOTORAS Y MATERIAL RODANTE PARA FERROCARRILES Y TODOS LOS DEMÁS VEHÍCULOS FERROVIARIOS")</f>
        <v>LOCOMOTORAS Y MATERIAL RODANTE PARA FERROCARRILES Y TODOS LOS DEMÁS VEHÍCULOS FERROVIARIOS</v>
      </c>
      <c r="L2513" s="5" t="str">
        <f ca="1">IFERROR(__xludf.DUMMYFUNCTION("GOOGLETRANSLATE(J2513,""EN"",""ES"")"),"Suspensiones para vagones de ferrocarril.")</f>
        <v>Suspensiones para vagones de ferrocarril.</v>
      </c>
      <c r="M2513" s="1" t="s">
        <v>39</v>
      </c>
      <c r="N2513" s="8"/>
    </row>
    <row r="2514" spans="1:14" ht="11.25" customHeight="1">
      <c r="A2514" s="5" t="s">
        <v>7189</v>
      </c>
      <c r="B2514" s="5" t="s">
        <v>7264</v>
      </c>
      <c r="C2514" s="5" t="s">
        <v>7312</v>
      </c>
      <c r="D2514" s="5" t="s">
        <v>7192</v>
      </c>
      <c r="E2514" s="5" t="s">
        <v>36</v>
      </c>
      <c r="F2514" s="5" t="s">
        <v>7193</v>
      </c>
      <c r="G2514" s="5" t="s">
        <v>7194</v>
      </c>
      <c r="H2514" s="5" t="s">
        <v>7266</v>
      </c>
      <c r="I2514" s="5" t="s">
        <v>7313</v>
      </c>
      <c r="J2514" s="5" t="s">
        <v>7313</v>
      </c>
      <c r="K2514" s="7" t="str">
        <f ca="1">IFERROR(__xludf.DUMMYFUNCTION("GOOGLETRANSLATE(H2514,""EN"",""ES"")"),"LOCOMOTORAS Y MATERIAL RODANTE PARA FERROCARRILES Y TODOS LOS DEMÁS VEHÍCULOS FERROVIARIOS")</f>
        <v>LOCOMOTORAS Y MATERIAL RODANTE PARA FERROCARRILES Y TODOS LOS DEMÁS VEHÍCULOS FERROVIARIOS</v>
      </c>
      <c r="L2514" s="5" t="str">
        <f ca="1">IFERROR(__xludf.DUMMYFUNCTION("GOOGLETRANSLATE(J2514,""EN"",""ES"")"),"Licitaciones")</f>
        <v>Licitaciones</v>
      </c>
      <c r="M2514" s="1" t="s">
        <v>39</v>
      </c>
      <c r="N2514" s="8"/>
    </row>
    <row r="2515" spans="1:14" ht="11.25" customHeight="1">
      <c r="A2515" s="5" t="s">
        <v>7189</v>
      </c>
      <c r="B2515" s="5" t="s">
        <v>7264</v>
      </c>
      <c r="C2515" s="5" t="s">
        <v>7314</v>
      </c>
      <c r="D2515" s="5" t="s">
        <v>7192</v>
      </c>
      <c r="E2515" s="5" t="s">
        <v>36</v>
      </c>
      <c r="F2515" s="5" t="s">
        <v>7193</v>
      </c>
      <c r="G2515" s="5" t="s">
        <v>7194</v>
      </c>
      <c r="H2515" s="5" t="s">
        <v>7266</v>
      </c>
      <c r="I2515" s="5" t="s">
        <v>7315</v>
      </c>
      <c r="J2515" s="5" t="s">
        <v>7316</v>
      </c>
      <c r="K2515" s="7" t="str">
        <f ca="1">IFERROR(__xludf.DUMMYFUNCTION("GOOGLETRANSLATE(H2515,""EN"",""ES"")"),"LOCOMOTORAS Y MATERIAL RODANTE PARA FERROCARRILES Y TODOS LOS DEMÁS VEHÍCULOS FERROVIARIOS")</f>
        <v>LOCOMOTORAS Y MATERIAL RODANTE PARA FERROCARRILES Y TODOS LOS DEMÁS VEHÍCULOS FERROVIARIOS</v>
      </c>
      <c r="L2515" s="5" t="str">
        <f ca="1">IFERROR(__xludf.DUMMYFUNCTION("GOOGLETRANSLATE(J2515,""EN"",""ES"")"),"Tranvías")</f>
        <v>Tranvías</v>
      </c>
      <c r="M2515" s="1" t="s">
        <v>39</v>
      </c>
      <c r="N2515" s="8"/>
    </row>
    <row r="2516" spans="1:14" ht="11.25" customHeight="1">
      <c r="A2516" s="5" t="s">
        <v>7189</v>
      </c>
      <c r="B2516" s="5" t="s">
        <v>7264</v>
      </c>
      <c r="C2516" s="5" t="s">
        <v>7317</v>
      </c>
      <c r="D2516" s="5" t="s">
        <v>7192</v>
      </c>
      <c r="E2516" s="5" t="s">
        <v>36</v>
      </c>
      <c r="F2516" s="5" t="s">
        <v>7193</v>
      </c>
      <c r="G2516" s="5" t="s">
        <v>7194</v>
      </c>
      <c r="H2516" s="5" t="s">
        <v>7266</v>
      </c>
      <c r="I2516" s="5" t="s">
        <v>7318</v>
      </c>
      <c r="J2516" s="5" t="s">
        <v>7319</v>
      </c>
      <c r="K2516" s="7" t="str">
        <f ca="1">IFERROR(__xludf.DUMMYFUNCTION("GOOGLETRANSLATE(H2516,""EN"",""ES"")"),"LOCOMOTORAS Y MATERIAL RODANTE PARA FERROCARRILES Y TODOS LOS DEMÁS VEHÍCULOS FERROVIARIOS")</f>
        <v>LOCOMOTORAS Y MATERIAL RODANTE PARA FERROCARRILES Y TODOS LOS DEMÁS VEHÍCULOS FERROVIARIOS</v>
      </c>
      <c r="L2516" s="5" t="str">
        <f ca="1">IFERROR(__xludf.DUMMYFUNCTION("GOOGLETRANSLATE(J2516,""EN"",""ES"")"),"Vagones de ferrocarril")</f>
        <v>Vagones de ferrocarril</v>
      </c>
      <c r="M2516" s="1" t="s">
        <v>39</v>
      </c>
      <c r="N2516" s="8"/>
    </row>
    <row r="2517" spans="1:14" ht="11.25" customHeight="1">
      <c r="A2517" s="5" t="s">
        <v>7189</v>
      </c>
      <c r="B2517" s="5" t="s">
        <v>7264</v>
      </c>
      <c r="C2517" s="5" t="s">
        <v>7320</v>
      </c>
      <c r="D2517" s="5" t="s">
        <v>7192</v>
      </c>
      <c r="E2517" s="5" t="s">
        <v>36</v>
      </c>
      <c r="F2517" s="5" t="s">
        <v>7193</v>
      </c>
      <c r="G2517" s="5" t="s">
        <v>7194</v>
      </c>
      <c r="H2517" s="5" t="s">
        <v>7266</v>
      </c>
      <c r="I2517" s="5" t="s">
        <v>7321</v>
      </c>
      <c r="J2517" s="5" t="s">
        <v>7322</v>
      </c>
      <c r="K2517" s="7" t="str">
        <f ca="1">IFERROR(__xludf.DUMMYFUNCTION("GOOGLETRANSLATE(H2517,""EN"",""ES"")"),"LOCOMOTORAS Y MATERIAL RODANTE PARA FERROCARRILES Y TODOS LOS DEMÁS VEHÍCULOS FERROVIARIOS")</f>
        <v>LOCOMOTORAS Y MATERIAL RODANTE PARA FERROCARRILES Y TODOS LOS DEMÁS VEHÍCULOS FERROVIARIOS</v>
      </c>
      <c r="L2517" s="5" t="str">
        <f ca="1">IFERROR(__xludf.DUMMYFUNCTION("GOOGLETRANSLATE(J2517,""EN"",""ES"")"),"Vagones funiculares")</f>
        <v>Vagones funiculares</v>
      </c>
      <c r="M2517" s="1" t="s">
        <v>39</v>
      </c>
      <c r="N2517" s="8"/>
    </row>
    <row r="2518" spans="1:14" ht="11.25" customHeight="1">
      <c r="A2518" s="5" t="s">
        <v>7189</v>
      </c>
      <c r="B2518" s="5" t="s">
        <v>7264</v>
      </c>
      <c r="C2518" s="5" t="s">
        <v>7323</v>
      </c>
      <c r="D2518" s="5" t="s">
        <v>7192</v>
      </c>
      <c r="E2518" s="5" t="s">
        <v>36</v>
      </c>
      <c r="F2518" s="5" t="s">
        <v>7193</v>
      </c>
      <c r="G2518" s="5" t="s">
        <v>7194</v>
      </c>
      <c r="H2518" s="5" t="s">
        <v>7266</v>
      </c>
      <c r="I2518" s="5" t="s">
        <v>7324</v>
      </c>
      <c r="J2518" s="5" t="s">
        <v>7325</v>
      </c>
      <c r="K2518" s="7" t="str">
        <f ca="1">IFERROR(__xludf.DUMMYFUNCTION("GOOGLETRANSLATE(H2518,""EN"",""ES"")"),"LOCOMOTORAS Y MATERIAL RODANTE PARA FERROCARRILES Y TODOS LOS DEMÁS VEHÍCULOS FERROVIARIOS")</f>
        <v>LOCOMOTORAS Y MATERIAL RODANTE PARA FERROCARRILES Y TODOS LOS DEMÁS VEHÍCULOS FERROVIARIOS</v>
      </c>
      <c r="L2518" s="5" t="str">
        <f ca="1">IFERROR(__xludf.DUMMYFUNCTION("GOOGLETRANSLATE(J2518,""EN"",""ES"")"),"Carros ferroviarios")</f>
        <v>Carros ferroviarios</v>
      </c>
      <c r="M2518" s="1" t="s">
        <v>39</v>
      </c>
      <c r="N2518" s="8"/>
    </row>
    <row r="2519" spans="1:14" ht="11.25" customHeight="1">
      <c r="A2519" s="5" t="s">
        <v>7189</v>
      </c>
      <c r="B2519" s="5" t="s">
        <v>7264</v>
      </c>
      <c r="C2519" s="5" t="s">
        <v>7326</v>
      </c>
      <c r="D2519" s="5" t="s">
        <v>7192</v>
      </c>
      <c r="E2519" s="5" t="s">
        <v>36</v>
      </c>
      <c r="F2519" s="5" t="s">
        <v>7193</v>
      </c>
      <c r="G2519" s="5" t="s">
        <v>7194</v>
      </c>
      <c r="H2519" s="5" t="s">
        <v>7266</v>
      </c>
      <c r="I2519" s="5" t="s">
        <v>7327</v>
      </c>
      <c r="J2519" s="5" t="s">
        <v>7328</v>
      </c>
      <c r="K2519" s="7" t="str">
        <f ca="1">IFERROR(__xludf.DUMMYFUNCTION("GOOGLETRANSLATE(H2519,""EN"",""ES"")"),"LOCOMOTORAS Y MATERIAL RODANTE PARA FERROCARRILES Y TODOS LOS DEMÁS VEHÍCULOS FERROVIARIOS")</f>
        <v>LOCOMOTORAS Y MATERIAL RODANTE PARA FERROCARRILES Y TODOS LOS DEMÁS VEHÍCULOS FERROVIARIOS</v>
      </c>
      <c r="L2519" s="5" t="str">
        <f ca="1">IFERROR(__xludf.DUMMYFUNCTION("GOOGLETRANSLATE(J2519,""EN"",""ES"")"),"Topes [piezas de vagones de ferrocarril]")</f>
        <v>Topes [piezas de vagones de ferrocarril]</v>
      </c>
      <c r="M2519" s="1" t="s">
        <v>39</v>
      </c>
      <c r="N2519" s="8"/>
    </row>
    <row r="2520" spans="1:14" ht="11.25" customHeight="1">
      <c r="A2520" s="5" t="s">
        <v>7189</v>
      </c>
      <c r="B2520" s="5" t="s">
        <v>7264</v>
      </c>
      <c r="C2520" s="5" t="s">
        <v>7329</v>
      </c>
      <c r="D2520" s="5" t="s">
        <v>7192</v>
      </c>
      <c r="E2520" s="5" t="s">
        <v>36</v>
      </c>
      <c r="F2520" s="5" t="s">
        <v>7193</v>
      </c>
      <c r="G2520" s="5" t="s">
        <v>7194</v>
      </c>
      <c r="H2520" s="5" t="s">
        <v>7266</v>
      </c>
      <c r="I2520" s="5" t="s">
        <v>7330</v>
      </c>
      <c r="J2520" s="5" t="s">
        <v>7331</v>
      </c>
      <c r="K2520" s="7" t="str">
        <f ca="1">IFERROR(__xludf.DUMMYFUNCTION("GOOGLETRANSLATE(H2520,""EN"",""ES"")"),"LOCOMOTORAS Y MATERIAL RODANTE PARA FERROCARRILES Y TODOS LOS DEMÁS VEHÍCULOS FERROVIARIOS")</f>
        <v>LOCOMOTORAS Y MATERIAL RODANTE PARA FERROCARRILES Y TODOS LOS DEMÁS VEHÍCULOS FERROVIARIOS</v>
      </c>
      <c r="L2520" s="5" t="str">
        <f ca="1">IFERROR(__xludf.DUMMYFUNCTION("GOOGLETRANSLATE(J2520,""EN"",""ES"")"),"Deflectores de chispas para locomotoras")</f>
        <v>Deflectores de chispas para locomotoras</v>
      </c>
      <c r="M2520" s="1" t="s">
        <v>39</v>
      </c>
      <c r="N2520" s="8"/>
    </row>
    <row r="2521" spans="1:14" ht="11.25" customHeight="1">
      <c r="A2521" s="5" t="s">
        <v>7189</v>
      </c>
      <c r="B2521" s="5" t="s">
        <v>7264</v>
      </c>
      <c r="C2521" s="5" t="s">
        <v>7332</v>
      </c>
      <c r="D2521" s="5" t="s">
        <v>7192</v>
      </c>
      <c r="E2521" s="5" t="s">
        <v>36</v>
      </c>
      <c r="F2521" s="5" t="s">
        <v>7193</v>
      </c>
      <c r="G2521" s="5" t="s">
        <v>7194</v>
      </c>
      <c r="H2521" s="5" t="s">
        <v>7266</v>
      </c>
      <c r="I2521" s="5" t="s">
        <v>7333</v>
      </c>
      <c r="J2521" s="5" t="s">
        <v>7334</v>
      </c>
      <c r="K2521" s="7" t="str">
        <f ca="1">IFERROR(__xludf.DUMMYFUNCTION("GOOGLETRANSLATE(H2521,""EN"",""ES"")"),"LOCOMOTORAS Y MATERIAL RODANTE PARA FERROCARRILES Y TODOS LOS DEMÁS VEHÍCULOS FERROVIARIOS")</f>
        <v>LOCOMOTORAS Y MATERIAL RODANTE PARA FERROCARRILES Y TODOS LOS DEMÁS VEHÍCULOS FERROVIARIOS</v>
      </c>
      <c r="L2521" s="5" t="str">
        <f ca="1">IFERROR(__xludf.DUMMYFUNCTION("GOOGLETRANSLATE(J2521,""EN"",""ES"")"),"Portaequipajes para vagones de ferrocarril")</f>
        <v>Portaequipajes para vagones de ferrocarril</v>
      </c>
      <c r="M2521" s="1" t="s">
        <v>39</v>
      </c>
      <c r="N2521" s="8"/>
    </row>
    <row r="2522" spans="1:14" ht="11.25" customHeight="1">
      <c r="A2522" s="5" t="s">
        <v>7189</v>
      </c>
      <c r="B2522" s="5" t="s">
        <v>7264</v>
      </c>
      <c r="C2522" s="5" t="s">
        <v>7335</v>
      </c>
      <c r="D2522" s="5" t="s">
        <v>7192</v>
      </c>
      <c r="E2522" s="5" t="s">
        <v>36</v>
      </c>
      <c r="F2522" s="5" t="s">
        <v>7193</v>
      </c>
      <c r="G2522" s="5" t="s">
        <v>7194</v>
      </c>
      <c r="H2522" s="5" t="s">
        <v>7266</v>
      </c>
      <c r="I2522" s="5" t="s">
        <v>7336</v>
      </c>
      <c r="J2522" s="5" t="s">
        <v>7337</v>
      </c>
      <c r="K2522" s="7" t="str">
        <f ca="1">IFERROR(__xludf.DUMMYFUNCTION("GOOGLETRANSLATE(H2522,""EN"",""ES"")"),"LOCOMOTORAS Y MATERIAL RODANTE PARA FERROCARRILES Y TODOS LOS DEMÁS VEHÍCULOS FERROVIARIOS")</f>
        <v>LOCOMOTORAS Y MATERIAL RODANTE PARA FERROCARRILES Y TODOS LOS DEMÁS VEHÍCULOS FERROVIARIOS</v>
      </c>
      <c r="L2522" s="5" t="str">
        <f ca="1">IFERROR(__xludf.DUMMYFUNCTION("GOOGLETRANSLATE(J2522,""EN"",""ES"")"),"Vestíbulos de concertina para vagones de ferrocarril")</f>
        <v>Vestíbulos de concertina para vagones de ferrocarril</v>
      </c>
      <c r="M2522" s="1" t="s">
        <v>39</v>
      </c>
      <c r="N2522" s="8"/>
    </row>
    <row r="2523" spans="1:14" ht="11.25" customHeight="1">
      <c r="A2523" s="5" t="s">
        <v>7189</v>
      </c>
      <c r="B2523" s="5" t="s">
        <v>7264</v>
      </c>
      <c r="C2523" s="5" t="s">
        <v>7338</v>
      </c>
      <c r="D2523" s="5" t="s">
        <v>7192</v>
      </c>
      <c r="E2523" s="5" t="s">
        <v>36</v>
      </c>
      <c r="F2523" s="5" t="s">
        <v>7193</v>
      </c>
      <c r="G2523" s="5" t="s">
        <v>7194</v>
      </c>
      <c r="H2523" s="5" t="s">
        <v>7266</v>
      </c>
      <c r="I2523" s="5" t="s">
        <v>7339</v>
      </c>
      <c r="J2523" s="5" t="s">
        <v>7340</v>
      </c>
      <c r="K2523" s="7" t="str">
        <f ca="1">IFERROR(__xludf.DUMMYFUNCTION("GOOGLETRANSLATE(H2523,""EN"",""ES"")"),"LOCOMOTORAS Y MATERIAL RODANTE PARA FERROCARRILES Y TODOS LOS DEMÁS VEHÍCULOS FERROVIARIOS")</f>
        <v>LOCOMOTORAS Y MATERIAL RODANTE PARA FERROCARRILES Y TODOS LOS DEMÁS VEHÍCULOS FERROVIARIOS</v>
      </c>
      <c r="L2523" s="5" t="str">
        <f ca="1">IFERROR(__xludf.DUMMYFUNCTION("GOOGLETRANSLATE(J2523,""EN"",""ES"")"),"Vehículos ferroviarios")</f>
        <v>Vehículos ferroviarios</v>
      </c>
      <c r="M2523" s="1" t="s">
        <v>39</v>
      </c>
      <c r="N2523" s="8"/>
    </row>
    <row r="2524" spans="1:14" ht="11.25" customHeight="1">
      <c r="A2524" s="5" t="s">
        <v>7189</v>
      </c>
      <c r="B2524" s="5" t="s">
        <v>7264</v>
      </c>
      <c r="C2524" s="5" t="s">
        <v>7341</v>
      </c>
      <c r="D2524" s="5" t="s">
        <v>7192</v>
      </c>
      <c r="E2524" s="5" t="s">
        <v>36</v>
      </c>
      <c r="F2524" s="5" t="s">
        <v>7193</v>
      </c>
      <c r="G2524" s="5" t="s">
        <v>7194</v>
      </c>
      <c r="H2524" s="5" t="s">
        <v>7266</v>
      </c>
      <c r="I2524" s="5" t="s">
        <v>7342</v>
      </c>
      <c r="J2524" s="5" t="s">
        <v>7343</v>
      </c>
      <c r="K2524" s="7" t="str">
        <f ca="1">IFERROR(__xludf.DUMMYFUNCTION("GOOGLETRANSLATE(H2524,""EN"",""ES"")"),"LOCOMOTORAS Y MATERIAL RODANTE PARA FERROCARRILES Y TODOS LOS DEMÁS VEHÍCULOS FERROVIARIOS")</f>
        <v>LOCOMOTORAS Y MATERIAL RODANTE PARA FERROCARRILES Y TODOS LOS DEMÁS VEHÍCULOS FERROVIARIOS</v>
      </c>
      <c r="L2524" s="5" t="str">
        <f ca="1">IFERROR(__xludf.DUMMYFUNCTION("GOOGLETRANSLATE(J2524,""EN"",""ES"")"),"Vagones de ferrocarril")</f>
        <v>Vagones de ferrocarril</v>
      </c>
      <c r="M2524" s="1" t="s">
        <v>39</v>
      </c>
      <c r="N2524" s="8"/>
    </row>
    <row r="2525" spans="1:14" ht="11.25" customHeight="1">
      <c r="A2525" s="5" t="s">
        <v>7189</v>
      </c>
      <c r="B2525" s="5" t="s">
        <v>7264</v>
      </c>
      <c r="C2525" s="5" t="s">
        <v>7344</v>
      </c>
      <c r="D2525" s="5" t="s">
        <v>7192</v>
      </c>
      <c r="E2525" s="5" t="s">
        <v>36</v>
      </c>
      <c r="F2525" s="5" t="s">
        <v>7193</v>
      </c>
      <c r="G2525" s="5" t="s">
        <v>7194</v>
      </c>
      <c r="H2525" s="5" t="s">
        <v>7266</v>
      </c>
      <c r="I2525" s="5" t="s">
        <v>7345</v>
      </c>
      <c r="J2525" s="5" t="s">
        <v>7346</v>
      </c>
      <c r="K2525" s="7" t="str">
        <f ca="1">IFERROR(__xludf.DUMMYFUNCTION("GOOGLETRANSLATE(H2525,""EN"",""ES"")"),"LOCOMOTORAS Y MATERIAL RODANTE PARA FERROCARRILES Y TODOS LOS DEMÁS VEHÍCULOS FERROVIARIOS")</f>
        <v>LOCOMOTORAS Y MATERIAL RODANTE PARA FERROCARRILES Y TODOS LOS DEMÁS VEHÍCULOS FERROVIARIOS</v>
      </c>
      <c r="L2525" s="5" t="str">
        <f ca="1">IFERROR(__xludf.DUMMYFUNCTION("GOOGLETRANSLATE(J2525,""EN"",""ES"")"),"Vagones frigoríficos")</f>
        <v>Vagones frigoríficos</v>
      </c>
      <c r="M2525" s="1" t="s">
        <v>39</v>
      </c>
      <c r="N2525" s="8"/>
    </row>
    <row r="2526" spans="1:14" ht="11.25" customHeight="1">
      <c r="A2526" s="5" t="s">
        <v>7189</v>
      </c>
      <c r="B2526" s="5" t="s">
        <v>7264</v>
      </c>
      <c r="C2526" s="5" t="s">
        <v>7344</v>
      </c>
      <c r="D2526" s="5" t="s">
        <v>7192</v>
      </c>
      <c r="E2526" s="5" t="s">
        <v>36</v>
      </c>
      <c r="F2526" s="5" t="s">
        <v>7193</v>
      </c>
      <c r="G2526" s="5" t="s">
        <v>7194</v>
      </c>
      <c r="H2526" s="5" t="s">
        <v>7266</v>
      </c>
      <c r="I2526" s="5" t="s">
        <v>7347</v>
      </c>
      <c r="J2526" s="5" t="s">
        <v>152</v>
      </c>
      <c r="K2526" s="7" t="str">
        <f ca="1">IFERROR(__xludf.DUMMYFUNCTION("GOOGLETRANSLATE(H2526,""EN"",""ES"")"),"LOCOMOTORAS Y MATERIAL RODANTE PARA FERROCARRILES Y TODOS LOS DEMÁS VEHÍCULOS FERROVIARIOS")</f>
        <v>LOCOMOTORAS Y MATERIAL RODANTE PARA FERROCARRILES Y TODOS LOS DEMÁS VEHÍCULOS FERROVIARIOS</v>
      </c>
      <c r="L2526" s="5" t="str">
        <f ca="1">IFERROR(__xludf.DUMMYFUNCTION("GOOGLETRANSLATE(J2526,""EN"",""ES"")"),"Vagones frigoríficos")</f>
        <v>Vagones frigoríficos</v>
      </c>
      <c r="M2526" s="1" t="s">
        <v>39</v>
      </c>
      <c r="N2526" s="8"/>
    </row>
    <row r="2527" spans="1:14" ht="11.25" customHeight="1">
      <c r="A2527" s="5" t="s">
        <v>7189</v>
      </c>
      <c r="B2527" s="5" t="s">
        <v>7264</v>
      </c>
      <c r="C2527" s="5" t="s">
        <v>7348</v>
      </c>
      <c r="D2527" s="5" t="s">
        <v>7192</v>
      </c>
      <c r="E2527" s="5" t="s">
        <v>36</v>
      </c>
      <c r="F2527" s="5" t="s">
        <v>7193</v>
      </c>
      <c r="G2527" s="5" t="s">
        <v>7194</v>
      </c>
      <c r="H2527" s="5" t="s">
        <v>7266</v>
      </c>
      <c r="I2527" s="5" t="s">
        <v>7349</v>
      </c>
      <c r="J2527" s="5" t="s">
        <v>7350</v>
      </c>
      <c r="K2527" s="7" t="str">
        <f ca="1">IFERROR(__xludf.DUMMYFUNCTION("GOOGLETRANSLATE(H2527,""EN"",""ES"")"),"LOCOMOTORAS Y MATERIAL RODANTE PARA FERROCARRILES Y TODOS LOS DEMÁS VEHÍCULOS FERROVIARIOS")</f>
        <v>LOCOMOTORAS Y MATERIAL RODANTE PARA FERROCARRILES Y TODOS LOS DEMÁS VEHÍCULOS FERROVIARIOS</v>
      </c>
      <c r="L2527" s="5" t="str">
        <f ca="1">IFERROR(__xludf.DUMMYFUNCTION("GOOGLETRANSLATE(J2527,""EN"",""ES"")"),"Vagones cisterna [ferrocarril]")</f>
        <v>Vagones cisterna [ferrocarril]</v>
      </c>
      <c r="M2527" s="1" t="s">
        <v>39</v>
      </c>
      <c r="N2527" s="8"/>
    </row>
    <row r="2528" spans="1:14" ht="11.25" customHeight="1">
      <c r="A2528" s="5" t="s">
        <v>7189</v>
      </c>
      <c r="B2528" s="5" t="s">
        <v>7264</v>
      </c>
      <c r="C2528" s="5" t="s">
        <v>7348</v>
      </c>
      <c r="D2528" s="5" t="s">
        <v>7192</v>
      </c>
      <c r="E2528" s="5" t="s">
        <v>36</v>
      </c>
      <c r="F2528" s="5" t="s">
        <v>7193</v>
      </c>
      <c r="G2528" s="5" t="s">
        <v>7194</v>
      </c>
      <c r="H2528" s="5" t="s">
        <v>7266</v>
      </c>
      <c r="I2528" s="5" t="s">
        <v>7351</v>
      </c>
      <c r="J2528" s="5" t="s">
        <v>152</v>
      </c>
      <c r="K2528" s="7" t="str">
        <f ca="1">IFERROR(__xludf.DUMMYFUNCTION("GOOGLETRANSLATE(H2528,""EN"",""ES"")"),"LOCOMOTORAS Y MATERIAL RODANTE PARA FERROCARRILES Y TODOS LOS DEMÁS VEHÍCULOS FERROVIARIOS")</f>
        <v>LOCOMOTORAS Y MATERIAL RODANTE PARA FERROCARRILES Y TODOS LOS DEMÁS VEHÍCULOS FERROVIARIOS</v>
      </c>
      <c r="L2528" s="5" t="str">
        <f ca="1">IFERROR(__xludf.DUMMYFUNCTION("GOOGLETRANSLATE(J2528,""EN"",""ES"")"),"Vagones cisterna [ferrocarril]")</f>
        <v>Vagones cisterna [ferrocarril]</v>
      </c>
      <c r="M2528" s="1" t="s">
        <v>39</v>
      </c>
      <c r="N2528" s="8"/>
    </row>
    <row r="2529" spans="1:14" ht="11.25" customHeight="1">
      <c r="A2529" s="5" t="s">
        <v>7189</v>
      </c>
      <c r="B2529" s="5" t="s">
        <v>7352</v>
      </c>
      <c r="C2529" s="5" t="s">
        <v>7353</v>
      </c>
      <c r="D2529" s="5" t="s">
        <v>7192</v>
      </c>
      <c r="E2529" s="5" t="s">
        <v>36</v>
      </c>
      <c r="F2529" s="5" t="s">
        <v>7193</v>
      </c>
      <c r="G2529" s="5" t="s">
        <v>7194</v>
      </c>
      <c r="H2529" s="5" t="s">
        <v>7354</v>
      </c>
      <c r="I2529" s="5" t="s">
        <v>7355</v>
      </c>
      <c r="J2529" s="5" t="s">
        <v>7356</v>
      </c>
      <c r="K2529" s="7" t="str">
        <f ca="1">IFERROR(__xludf.DUMMYFUNCTION("GOOGLETRANSLATE(H2529,""EN"",""ES"")"),"TELÉFONO, ELEVADORES Y ELEVADORES")</f>
        <v>TELÉFONO, ELEVADORES Y ELEVADORES</v>
      </c>
      <c r="L2529" s="5" t="str">
        <f ca="1">IFERROR(__xludf.DUMMYFUNCTION("GOOGLETRANSLATE(J2529,""EN"",""ES"")"),"Teleféricos")</f>
        <v>Teleféricos</v>
      </c>
      <c r="M2529" s="1" t="s">
        <v>39</v>
      </c>
      <c r="N2529" s="8"/>
    </row>
    <row r="2530" spans="1:14" ht="11.25" customHeight="1">
      <c r="A2530" s="5" t="s">
        <v>7189</v>
      </c>
      <c r="B2530" s="5" t="s">
        <v>7352</v>
      </c>
      <c r="C2530" s="5" t="s">
        <v>7357</v>
      </c>
      <c r="D2530" s="5" t="s">
        <v>7192</v>
      </c>
      <c r="E2530" s="5" t="s">
        <v>36</v>
      </c>
      <c r="F2530" s="5" t="s">
        <v>7193</v>
      </c>
      <c r="G2530" s="5" t="s">
        <v>7194</v>
      </c>
      <c r="H2530" s="5" t="s">
        <v>7354</v>
      </c>
      <c r="I2530" s="5" t="s">
        <v>7358</v>
      </c>
      <c r="J2530" s="5" t="s">
        <v>7359</v>
      </c>
      <c r="K2530" s="7" t="str">
        <f ca="1">IFERROR(__xludf.DUMMYFUNCTION("GOOGLETRANSLATE(H2530,""EN"",""ES"")"),"TELÉFONO, ELEVADORES Y ELEVADORES")</f>
        <v>TELÉFONO, ELEVADORES Y ELEVADORES</v>
      </c>
      <c r="L2530" s="5" t="str">
        <f ca="1">IFERROR(__xludf.DUMMYFUNCTION("GOOGLETRANSLATE(J2530,""EN"",""ES"")"),"Teleféricos Telpher")</f>
        <v>Teleféricos Telpher</v>
      </c>
      <c r="M2530" s="1" t="s">
        <v>39</v>
      </c>
      <c r="N2530" s="8"/>
    </row>
    <row r="2531" spans="1:14" ht="11.25" customHeight="1">
      <c r="A2531" s="5" t="s">
        <v>7189</v>
      </c>
      <c r="B2531" s="5" t="s">
        <v>7352</v>
      </c>
      <c r="C2531" s="5" t="s">
        <v>7360</v>
      </c>
      <c r="D2531" s="5" t="s">
        <v>7192</v>
      </c>
      <c r="E2531" s="5" t="s">
        <v>36</v>
      </c>
      <c r="F2531" s="5" t="s">
        <v>7193</v>
      </c>
      <c r="G2531" s="5" t="s">
        <v>7194</v>
      </c>
      <c r="H2531" s="5" t="s">
        <v>7354</v>
      </c>
      <c r="I2531" s="5" t="s">
        <v>7361</v>
      </c>
      <c r="J2531" s="5" t="s">
        <v>7362</v>
      </c>
      <c r="K2531" s="7" t="str">
        <f ca="1">IFERROR(__xludf.DUMMYFUNCTION("GOOGLETRANSLATE(H2531,""EN"",""ES"")"),"TELÉFONO, ELEVADORES Y ELEVADORES")</f>
        <v>TELÉFONO, ELEVADORES Y ELEVADORES</v>
      </c>
      <c r="L2531" s="5" t="str">
        <f ca="1">IFERROR(__xludf.DUMMYFUNCTION("GOOGLETRANSLATE(J2531,""EN"",""ES"")"),"Telesillas")</f>
        <v>Telesillas</v>
      </c>
      <c r="M2531" s="1" t="s">
        <v>39</v>
      </c>
      <c r="N2531" s="8"/>
    </row>
    <row r="2532" spans="1:14" ht="11.25" customHeight="1">
      <c r="A2532" s="5" t="s">
        <v>7189</v>
      </c>
      <c r="B2532" s="5" t="s">
        <v>7352</v>
      </c>
      <c r="C2532" s="5" t="s">
        <v>7363</v>
      </c>
      <c r="D2532" s="5" t="s">
        <v>7192</v>
      </c>
      <c r="E2532" s="5" t="s">
        <v>36</v>
      </c>
      <c r="F2532" s="5" t="s">
        <v>7193</v>
      </c>
      <c r="G2532" s="5" t="s">
        <v>7194</v>
      </c>
      <c r="H2532" s="5" t="s">
        <v>7354</v>
      </c>
      <c r="I2532" s="5" t="s">
        <v>7364</v>
      </c>
      <c r="J2532" s="5" t="s">
        <v>7365</v>
      </c>
      <c r="K2532" s="7" t="str">
        <f ca="1">IFERROR(__xludf.DUMMYFUNCTION("GOOGLETRANSLATE(H2532,""EN"",""ES"")"),"TELÉFONO, ELEVADORES Y ELEVADORES")</f>
        <v>TELÉFONO, ELEVADORES Y ELEVADORES</v>
      </c>
      <c r="L2532" s="5" t="str">
        <f ca="1">IFERROR(__xludf.DUMMYFUNCTION("GOOGLETRANSLATE(J2532,""EN"",""ES"")"),"Remontes")</f>
        <v>Remontes</v>
      </c>
      <c r="M2532" s="1" t="s">
        <v>39</v>
      </c>
      <c r="N2532" s="8"/>
    </row>
    <row r="2533" spans="1:14" ht="11.25" customHeight="1">
      <c r="A2533" s="5" t="s">
        <v>7189</v>
      </c>
      <c r="B2533" s="5" t="s">
        <v>7352</v>
      </c>
      <c r="C2533" s="5" t="s">
        <v>7363</v>
      </c>
      <c r="D2533" s="5" t="s">
        <v>7192</v>
      </c>
      <c r="E2533" s="5" t="s">
        <v>36</v>
      </c>
      <c r="F2533" s="5" t="s">
        <v>7193</v>
      </c>
      <c r="G2533" s="5" t="s">
        <v>7194</v>
      </c>
      <c r="H2533" s="5" t="s">
        <v>7354</v>
      </c>
      <c r="I2533" s="5" t="s">
        <v>152</v>
      </c>
      <c r="J2533" s="5" t="s">
        <v>7366</v>
      </c>
      <c r="K2533" s="7" t="str">
        <f ca="1">IFERROR(__xludf.DUMMYFUNCTION("GOOGLETRANSLATE(H2533,""EN"",""ES"")"),"TELÉFONO, ELEVADORES Y ELEVADORES")</f>
        <v>TELÉFONO, ELEVADORES Y ELEVADORES</v>
      </c>
      <c r="L2533" s="5" t="str">
        <f ca="1">IFERROR(__xludf.DUMMYFUNCTION("GOOGLETRANSLATE(J2533,""EN"",""ES"")"),"N / A")</f>
        <v>N / A</v>
      </c>
      <c r="M2533" s="1" t="s">
        <v>39</v>
      </c>
      <c r="N2533" s="8"/>
    </row>
    <row r="2534" spans="1:14" ht="11.25" customHeight="1">
      <c r="A2534" s="5" t="s">
        <v>7189</v>
      </c>
      <c r="B2534" s="5" t="s">
        <v>7367</v>
      </c>
      <c r="C2534" s="5" t="s">
        <v>7368</v>
      </c>
      <c r="D2534" s="5" t="s">
        <v>7192</v>
      </c>
      <c r="E2534" s="5" t="s">
        <v>36</v>
      </c>
      <c r="F2534" s="5" t="s">
        <v>7193</v>
      </c>
      <c r="G2534" s="5" t="s">
        <v>7194</v>
      </c>
      <c r="H2534" s="5" t="s">
        <v>7369</v>
      </c>
      <c r="I2534" s="5" t="s">
        <v>7370</v>
      </c>
      <c r="J2534" s="5" t="s">
        <v>7371</v>
      </c>
      <c r="K2534" s="7" t="str">
        <f ca="1">IFERROR(__xludf.DUMMYFUNCTION("GOOGLETRANSLATE(H2534,""EN"",""ES"")"),"ELEVADORES Y POLIPASTOS PARA CARGA O TRANSPORTE")</f>
        <v>ELEVADORES Y POLIPASTOS PARA CARGA O TRANSPORTE</v>
      </c>
      <c r="L2534" s="5" t="str">
        <f ca="1">IFERROR(__xludf.DUMMYFUNCTION("GOOGLETRANSLATE(J2534,""EN"",""ES"")"),"Ascensores")</f>
        <v>Ascensores</v>
      </c>
      <c r="M2534" s="1" t="s">
        <v>39</v>
      </c>
      <c r="N2534" s="8"/>
    </row>
    <row r="2535" spans="1:14" ht="11.25" customHeight="1">
      <c r="A2535" s="5" t="s">
        <v>7189</v>
      </c>
      <c r="B2535" s="5" t="s">
        <v>7367</v>
      </c>
      <c r="C2535" s="5" t="s">
        <v>7368</v>
      </c>
      <c r="D2535" s="5" t="s">
        <v>7192</v>
      </c>
      <c r="E2535" s="5" t="s">
        <v>36</v>
      </c>
      <c r="F2535" s="5" t="s">
        <v>7193</v>
      </c>
      <c r="G2535" s="5" t="s">
        <v>7194</v>
      </c>
      <c r="H2535" s="5" t="s">
        <v>7369</v>
      </c>
      <c r="I2535" s="5" t="s">
        <v>7372</v>
      </c>
      <c r="J2535" s="5" t="s">
        <v>152</v>
      </c>
      <c r="K2535" s="7" t="str">
        <f ca="1">IFERROR(__xludf.DUMMYFUNCTION("GOOGLETRANSLATE(H2535,""EN"",""ES"")"),"ELEVADORES Y POLIPASTOS PARA CARGA O TRANSPORTE")</f>
        <v>ELEVADORES Y POLIPASTOS PARA CARGA O TRANSPORTE</v>
      </c>
      <c r="L2535" s="5" t="str">
        <f ca="1">IFERROR(__xludf.DUMMYFUNCTION("GOOGLETRANSLATE(J2535,""EN"",""ES"")"),"Ascensores")</f>
        <v>Ascensores</v>
      </c>
      <c r="M2535" s="1" t="s">
        <v>39</v>
      </c>
      <c r="N2535" s="8"/>
    </row>
    <row r="2536" spans="1:14" ht="11.25" customHeight="1">
      <c r="A2536" s="5" t="s">
        <v>7189</v>
      </c>
      <c r="B2536" s="5" t="s">
        <v>7367</v>
      </c>
      <c r="C2536" s="5" t="s">
        <v>7373</v>
      </c>
      <c r="D2536" s="5" t="s">
        <v>7192</v>
      </c>
      <c r="E2536" s="5" t="s">
        <v>36</v>
      </c>
      <c r="F2536" s="5" t="s">
        <v>7193</v>
      </c>
      <c r="G2536" s="5" t="s">
        <v>7194</v>
      </c>
      <c r="H2536" s="5" t="s">
        <v>7369</v>
      </c>
      <c r="I2536" s="5" t="s">
        <v>7374</v>
      </c>
      <c r="J2536" s="5" t="s">
        <v>7375</v>
      </c>
      <c r="K2536" s="7" t="str">
        <f ca="1">IFERROR(__xludf.DUMMYFUNCTION("GOOGLETRANSLATE(H2536,""EN"",""ES"")"),"ELEVADORES Y POLIPASTOS PARA CARGA O TRANSPORTE")</f>
        <v>ELEVADORES Y POLIPASTOS PARA CARGA O TRANSPORTE</v>
      </c>
      <c r="L2536" s="5" t="str">
        <f ca="1">IFERROR(__xludf.DUMMYFUNCTION("GOOGLETRANSLATE(J2536,""EN"",""ES"")"),"Cintas transportadoras")</f>
        <v>Cintas transportadoras</v>
      </c>
      <c r="M2536" s="1" t="s">
        <v>39</v>
      </c>
      <c r="N2536" s="8"/>
    </row>
    <row r="2537" spans="1:14" ht="11.25" customHeight="1">
      <c r="A2537" s="5" t="s">
        <v>7189</v>
      </c>
      <c r="B2537" s="5" t="s">
        <v>7367</v>
      </c>
      <c r="C2537" s="5" t="s">
        <v>7373</v>
      </c>
      <c r="D2537" s="5" t="s">
        <v>7192</v>
      </c>
      <c r="E2537" s="5" t="s">
        <v>36</v>
      </c>
      <c r="F2537" s="5" t="s">
        <v>7193</v>
      </c>
      <c r="G2537" s="5" t="s">
        <v>7194</v>
      </c>
      <c r="H2537" s="5" t="s">
        <v>7369</v>
      </c>
      <c r="I2537" s="5" t="s">
        <v>7376</v>
      </c>
      <c r="J2537" s="5" t="s">
        <v>7377</v>
      </c>
      <c r="K2537" s="7" t="str">
        <f ca="1">IFERROR(__xludf.DUMMYFUNCTION("GOOGLETRANSLATE(H2537,""EN"",""ES"")"),"ELEVADORES Y POLIPASTOS PARA CARGA O TRANSPORTE")</f>
        <v>ELEVADORES Y POLIPASTOS PARA CARGA O TRANSPORTE</v>
      </c>
      <c r="L2537" s="5" t="str">
        <f ca="1">IFERROR(__xludf.DUMMYFUNCTION("GOOGLETRANSLATE(J2537,""EN"",""ES"")"),"Transportistas sin fin")</f>
        <v>Transportistas sin fin</v>
      </c>
      <c r="M2537" s="1" t="s">
        <v>39</v>
      </c>
      <c r="N2537" s="8"/>
    </row>
    <row r="2538" spans="1:14" ht="11.25" customHeight="1">
      <c r="A2538" s="5" t="s">
        <v>7189</v>
      </c>
      <c r="B2538" s="5" t="s">
        <v>7367</v>
      </c>
      <c r="C2538" s="5" t="s">
        <v>7378</v>
      </c>
      <c r="D2538" s="5" t="s">
        <v>7192</v>
      </c>
      <c r="E2538" s="5" t="s">
        <v>36</v>
      </c>
      <c r="F2538" s="5" t="s">
        <v>7193</v>
      </c>
      <c r="G2538" s="5" t="s">
        <v>7194</v>
      </c>
      <c r="H2538" s="5" t="s">
        <v>7369</v>
      </c>
      <c r="I2538" s="5" t="s">
        <v>7379</v>
      </c>
      <c r="J2538" s="5" t="s">
        <v>7380</v>
      </c>
      <c r="K2538" s="7" t="str">
        <f ca="1">IFERROR(__xludf.DUMMYFUNCTION("GOOGLETRANSLATE(H2538,""EN"",""ES"")"),"ELEVADORES Y POLIPASTOS PARA CARGA O TRANSPORTE")</f>
        <v>ELEVADORES Y POLIPASTOS PARA CARGA O TRANSPORTE</v>
      </c>
      <c r="L2538" s="5" t="str">
        <f ca="1">IFERROR(__xludf.DUMMYFUNCTION("GOOGLETRANSLATE(J2538,""EN"",""ES"")"),"Pescantes para barcos")</f>
        <v>Pescantes para barcos</v>
      </c>
      <c r="M2538" s="1" t="s">
        <v>39</v>
      </c>
      <c r="N2538" s="8"/>
    </row>
    <row r="2539" spans="1:14" ht="11.25" customHeight="1">
      <c r="A2539" s="5" t="s">
        <v>7189</v>
      </c>
      <c r="B2539" s="5" t="s">
        <v>7367</v>
      </c>
      <c r="C2539" s="5" t="s">
        <v>7381</v>
      </c>
      <c r="D2539" s="5" t="s">
        <v>7192</v>
      </c>
      <c r="E2539" s="5" t="s">
        <v>36</v>
      </c>
      <c r="F2539" s="5" t="s">
        <v>7193</v>
      </c>
      <c r="G2539" s="5" t="s">
        <v>7194</v>
      </c>
      <c r="H2539" s="5" t="s">
        <v>7369</v>
      </c>
      <c r="I2539" s="5" t="s">
        <v>7382</v>
      </c>
      <c r="J2539" s="5" t="s">
        <v>7383</v>
      </c>
      <c r="K2539" s="7" t="str">
        <f ca="1">IFERROR(__xludf.DUMMYFUNCTION("GOOGLETRANSLATE(H2539,""EN"",""ES"")"),"ELEVADORES Y POLIPASTOS PARA CARGA O TRANSPORTE")</f>
        <v>ELEVADORES Y POLIPASTOS PARA CARGA O TRANSPORTE</v>
      </c>
      <c r="L2539" s="5" t="str">
        <f ca="1">IFERROR(__xludf.DUMMYFUNCTION("GOOGLETRANSLATE(J2539,""EN"",""ES"")"),"Cabrestantes")</f>
        <v>Cabrestantes</v>
      </c>
      <c r="M2539" s="1" t="s">
        <v>39</v>
      </c>
      <c r="N2539" s="8"/>
    </row>
    <row r="2540" spans="1:14" ht="11.25" customHeight="1">
      <c r="A2540" s="5" t="s">
        <v>7189</v>
      </c>
      <c r="B2540" s="5" t="s">
        <v>7367</v>
      </c>
      <c r="C2540" s="5" t="s">
        <v>7384</v>
      </c>
      <c r="D2540" s="5" t="s">
        <v>7192</v>
      </c>
      <c r="E2540" s="5" t="s">
        <v>36</v>
      </c>
      <c r="F2540" s="5" t="s">
        <v>7193</v>
      </c>
      <c r="G2540" s="5" t="s">
        <v>7194</v>
      </c>
      <c r="H2540" s="5" t="s">
        <v>7369</v>
      </c>
      <c r="I2540" s="5" t="s">
        <v>7385</v>
      </c>
      <c r="J2540" s="5" t="s">
        <v>7386</v>
      </c>
      <c r="K2540" s="7" t="str">
        <f ca="1">IFERROR(__xludf.DUMMYFUNCTION("GOOGLETRANSLATE(H2540,""EN"",""ES"")"),"ELEVADORES Y POLIPASTOS PARA CARGA O TRANSPORTE")</f>
        <v>ELEVADORES Y POLIPASTOS PARA CARGA O TRANSPORTE</v>
      </c>
      <c r="L2540" s="5" t="str">
        <f ca="1">IFERROR(__xludf.DUMMYFUNCTION("GOOGLETRANSLATE(J2540,""EN"",""ES"")"),"Cadenas de cangilones [aparatos de elevación]")</f>
        <v>Cadenas de cangilones [aparatos de elevación]</v>
      </c>
      <c r="M2540" s="1" t="s">
        <v>39</v>
      </c>
      <c r="N2540" s="8"/>
    </row>
    <row r="2541" spans="1:14" ht="11.25" customHeight="1">
      <c r="A2541" s="5" t="s">
        <v>7189</v>
      </c>
      <c r="B2541" s="5" t="s">
        <v>7367</v>
      </c>
      <c r="C2541" s="5" t="s">
        <v>7387</v>
      </c>
      <c r="D2541" s="5" t="s">
        <v>7192</v>
      </c>
      <c r="E2541" s="5" t="s">
        <v>36</v>
      </c>
      <c r="F2541" s="5" t="s">
        <v>7193</v>
      </c>
      <c r="G2541" s="5" t="s">
        <v>7194</v>
      </c>
      <c r="H2541" s="5" t="s">
        <v>7369</v>
      </c>
      <c r="I2541" s="5" t="s">
        <v>7388</v>
      </c>
      <c r="J2541" s="5" t="s">
        <v>7389</v>
      </c>
      <c r="K2541" s="7" t="str">
        <f ca="1">IFERROR(__xludf.DUMMYFUNCTION("GOOGLETRANSLATE(H2541,""EN"",""ES"")"),"ELEVADORES Y POLIPASTOS PARA CARGA O TRANSPORTE")</f>
        <v>ELEVADORES Y POLIPASTOS PARA CARGA O TRANSPORTE</v>
      </c>
      <c r="L2541" s="5" t="str">
        <f ca="1">IFERROR(__xludf.DUMMYFUNCTION("GOOGLETRANSLATE(J2541,""EN"",""ES"")"),"Cargadores de estiércol")</f>
        <v>Cargadores de estiércol</v>
      </c>
      <c r="M2541" s="1" t="s">
        <v>39</v>
      </c>
      <c r="N2541" s="8"/>
    </row>
    <row r="2542" spans="1:14" ht="11.25" customHeight="1">
      <c r="A2542" s="5" t="s">
        <v>7189</v>
      </c>
      <c r="B2542" s="5" t="s">
        <v>7367</v>
      </c>
      <c r="C2542" s="5" t="s">
        <v>7390</v>
      </c>
      <c r="D2542" s="5" t="s">
        <v>7192</v>
      </c>
      <c r="E2542" s="5" t="s">
        <v>36</v>
      </c>
      <c r="F2542" s="5" t="s">
        <v>7193</v>
      </c>
      <c r="G2542" s="5" t="s">
        <v>7194</v>
      </c>
      <c r="H2542" s="5" t="s">
        <v>7369</v>
      </c>
      <c r="I2542" s="5" t="s">
        <v>7391</v>
      </c>
      <c r="J2542" s="5" t="s">
        <v>7392</v>
      </c>
      <c r="K2542" s="7" t="str">
        <f ca="1">IFERROR(__xludf.DUMMYFUNCTION("GOOGLETRANSLATE(H2542,""EN"",""ES"")"),"ELEVADORES Y POLIPASTOS PARA CARGA O TRANSPORTE")</f>
        <v>ELEVADORES Y POLIPASTOS PARA CARGA O TRANSPORTE</v>
      </c>
      <c r="L2542" s="5" t="str">
        <f ca="1">IFERROR(__xludf.DUMMYFUNCTION("GOOGLETRANSLATE(J2542,""EN"",""ES"")"),"carretillas elevadoras")</f>
        <v>carretillas elevadoras</v>
      </c>
      <c r="M2542" s="1" t="s">
        <v>39</v>
      </c>
      <c r="N2542" s="8"/>
    </row>
    <row r="2543" spans="1:14" ht="11.25" customHeight="1">
      <c r="A2543" s="5" t="s">
        <v>7189</v>
      </c>
      <c r="B2543" s="5" t="s">
        <v>7367</v>
      </c>
      <c r="C2543" s="5" t="s">
        <v>7393</v>
      </c>
      <c r="D2543" s="5" t="s">
        <v>7192</v>
      </c>
      <c r="E2543" s="5" t="s">
        <v>36</v>
      </c>
      <c r="F2543" s="5" t="s">
        <v>7193</v>
      </c>
      <c r="G2543" s="5" t="s">
        <v>7194</v>
      </c>
      <c r="H2543" s="5" t="s">
        <v>7369</v>
      </c>
      <c r="I2543" s="5" t="s">
        <v>7394</v>
      </c>
      <c r="J2543" s="5" t="s">
        <v>7395</v>
      </c>
      <c r="K2543" s="7" t="str">
        <f ca="1">IFERROR(__xludf.DUMMYFUNCTION("GOOGLETRANSLATE(H2543,""EN"",""ES"")"),"ELEVADORES Y POLIPASTOS PARA CARGA O TRANSPORTE")</f>
        <v>ELEVADORES Y POLIPASTOS PARA CARGA O TRANSPORTE</v>
      </c>
      <c r="L2543" s="5" t="str">
        <f ca="1">IFERROR(__xludf.DUMMYFUNCTION("GOOGLETRANSLATE(J2543,""EN"",""ES"")"),"Torres de perforación [perforación]")</f>
        <v>Torres de perforación [perforación]</v>
      </c>
      <c r="M2543" s="1" t="s">
        <v>39</v>
      </c>
      <c r="N2543" s="8"/>
    </row>
    <row r="2544" spans="1:14" ht="11.25" customHeight="1">
      <c r="A2544" s="5" t="s">
        <v>7189</v>
      </c>
      <c r="B2544" s="5" t="s">
        <v>7367</v>
      </c>
      <c r="C2544" s="5" t="s">
        <v>7396</v>
      </c>
      <c r="D2544" s="5" t="s">
        <v>7192</v>
      </c>
      <c r="E2544" s="5" t="s">
        <v>36</v>
      </c>
      <c r="F2544" s="5" t="s">
        <v>7193</v>
      </c>
      <c r="G2544" s="5" t="s">
        <v>7194</v>
      </c>
      <c r="H2544" s="5" t="s">
        <v>7369</v>
      </c>
      <c r="I2544" s="5" t="s">
        <v>7397</v>
      </c>
      <c r="J2544" s="5" t="s">
        <v>7398</v>
      </c>
      <c r="K2544" s="7" t="str">
        <f ca="1">IFERROR(__xludf.DUMMYFUNCTION("GOOGLETRANSLATE(H2544,""EN"",""ES"")"),"ELEVADORES Y POLIPASTOS PARA CARGA O TRANSPORTE")</f>
        <v>ELEVADORES Y POLIPASTOS PARA CARGA O TRANSPORTE</v>
      </c>
      <c r="L2544" s="5" t="str">
        <f ca="1">IFERROR(__xludf.DUMMYFUNCTION("GOOGLETRANSLATE(J2544,""EN"",""ES"")"),"Ascensores, montacargas, montacargas")</f>
        <v>Ascensores, montacargas, montacargas</v>
      </c>
      <c r="M2544" s="1" t="s">
        <v>39</v>
      </c>
      <c r="N2544" s="8"/>
    </row>
    <row r="2545" spans="1:14" ht="11.25" customHeight="1">
      <c r="A2545" s="5" t="s">
        <v>7189</v>
      </c>
      <c r="B2545" s="5" t="s">
        <v>7367</v>
      </c>
      <c r="C2545" s="5" t="s">
        <v>7396</v>
      </c>
      <c r="D2545" s="5" t="s">
        <v>7192</v>
      </c>
      <c r="E2545" s="5" t="s">
        <v>36</v>
      </c>
      <c r="F2545" s="5" t="s">
        <v>7193</v>
      </c>
      <c r="G2545" s="5" t="s">
        <v>7194</v>
      </c>
      <c r="H2545" s="5" t="s">
        <v>7369</v>
      </c>
      <c r="I2545" s="5" t="s">
        <v>7399</v>
      </c>
      <c r="J2545" s="5" t="s">
        <v>7400</v>
      </c>
      <c r="K2545" s="7" t="str">
        <f ca="1">IFERROR(__xludf.DUMMYFUNCTION("GOOGLETRANSLATE(H2545,""EN"",""ES"")"),"ELEVADORES Y POLIPASTOS PARA CARGA O TRANSPORTE")</f>
        <v>ELEVADORES Y POLIPASTOS PARA CARGA O TRANSPORTE</v>
      </c>
      <c r="L2545" s="5" t="str">
        <f ca="1">IFERROR(__xludf.DUMMYFUNCTION("GOOGLETRANSLATE(J2545,""EN"",""ES"")"),"Polipastos, montacargas, elevadores")</f>
        <v>Polipastos, montacargas, elevadores</v>
      </c>
      <c r="M2545" s="1" t="s">
        <v>39</v>
      </c>
      <c r="N2545" s="8"/>
    </row>
    <row r="2546" spans="1:14" ht="11.25" customHeight="1">
      <c r="A2546" s="5" t="s">
        <v>7189</v>
      </c>
      <c r="B2546" s="5" t="s">
        <v>7367</v>
      </c>
      <c r="C2546" s="5" t="s">
        <v>7396</v>
      </c>
      <c r="D2546" s="5" t="s">
        <v>7192</v>
      </c>
      <c r="E2546" s="5" t="s">
        <v>36</v>
      </c>
      <c r="F2546" s="5" t="s">
        <v>7193</v>
      </c>
      <c r="G2546" s="5" t="s">
        <v>7194</v>
      </c>
      <c r="H2546" s="5" t="s">
        <v>7369</v>
      </c>
      <c r="I2546" s="5" t="s">
        <v>7401</v>
      </c>
      <c r="J2546" s="5" t="s">
        <v>152</v>
      </c>
      <c r="K2546" s="7" t="str">
        <f ca="1">IFERROR(__xludf.DUMMYFUNCTION("GOOGLETRANSLATE(H2546,""EN"",""ES"")"),"ELEVADORES Y POLIPASTOS PARA CARGA O TRANSPORTE")</f>
        <v>ELEVADORES Y POLIPASTOS PARA CARGA O TRANSPORTE</v>
      </c>
      <c r="L2546" s="5" t="str">
        <f ca="1">IFERROR(__xludf.DUMMYFUNCTION("GOOGLETRANSLATE(J2546,""EN"",""ES"")"),"Ascensores, montacargas, elevadores")</f>
        <v>Ascensores, montacargas, elevadores</v>
      </c>
      <c r="M2546" s="1" t="s">
        <v>39</v>
      </c>
      <c r="N2546" s="8"/>
    </row>
    <row r="2547" spans="1:14" ht="11.25" customHeight="1">
      <c r="A2547" s="5" t="s">
        <v>7189</v>
      </c>
      <c r="B2547" s="5" t="s">
        <v>7367</v>
      </c>
      <c r="C2547" s="5" t="s">
        <v>7402</v>
      </c>
      <c r="D2547" s="5" t="s">
        <v>7192</v>
      </c>
      <c r="E2547" s="5" t="s">
        <v>36</v>
      </c>
      <c r="F2547" s="5" t="s">
        <v>7193</v>
      </c>
      <c r="G2547" s="5" t="s">
        <v>7194</v>
      </c>
      <c r="H2547" s="5" t="s">
        <v>7369</v>
      </c>
      <c r="I2547" s="5" t="s">
        <v>7403</v>
      </c>
      <c r="J2547" s="5" t="s">
        <v>7404</v>
      </c>
      <c r="K2547" s="7" t="str">
        <f ca="1">IFERROR(__xludf.DUMMYFUNCTION("GOOGLETRANSLATE(H2547,""EN"",""ES"")"),"ELEVADORES Y POLIPASTOS PARA CARGA O TRANSPORTE")</f>
        <v>ELEVADORES Y POLIPASTOS PARA CARGA O TRANSPORTE</v>
      </c>
      <c r="L2547" s="5" t="str">
        <f ca="1">IFERROR(__xludf.DUMMYFUNCTION("GOOGLETRANSLATE(J2547,""EN"",""ES"")"),"Montacargas [aparato]")</f>
        <v>Montacargas [aparato]</v>
      </c>
      <c r="M2547" s="1" t="s">
        <v>39</v>
      </c>
      <c r="N2547" s="8"/>
    </row>
    <row r="2548" spans="1:14" ht="11.25" customHeight="1">
      <c r="A2548" s="5" t="s">
        <v>7189</v>
      </c>
      <c r="B2548" s="5" t="s">
        <v>7367</v>
      </c>
      <c r="C2548" s="5" t="s">
        <v>7405</v>
      </c>
      <c r="D2548" s="5" t="s">
        <v>7192</v>
      </c>
      <c r="E2548" s="5" t="s">
        <v>36</v>
      </c>
      <c r="F2548" s="5" t="s">
        <v>7193</v>
      </c>
      <c r="G2548" s="5" t="s">
        <v>7194</v>
      </c>
      <c r="H2548" s="5" t="s">
        <v>7369</v>
      </c>
      <c r="I2548" s="5" t="s">
        <v>7406</v>
      </c>
      <c r="J2548" s="5" t="s">
        <v>7407</v>
      </c>
      <c r="K2548" s="7" t="str">
        <f ca="1">IFERROR(__xludf.DUMMYFUNCTION("GOOGLETRANSLATE(H2548,""EN"",""ES"")"),"ELEVADORES Y POLIPASTOS PARA CARGA O TRANSPORTE")</f>
        <v>ELEVADORES Y POLIPASTOS PARA CARGA O TRANSPORTE</v>
      </c>
      <c r="L2548" s="5" t="str">
        <f ca="1">IFERROR(__xludf.DUMMYFUNCTION("GOOGLETRANSLATE(J2548,""EN"",""ES"")"),"Ascensores para vehículos")</f>
        <v>Ascensores para vehículos</v>
      </c>
      <c r="M2548" s="1" t="s">
        <v>39</v>
      </c>
      <c r="N2548" s="8"/>
    </row>
    <row r="2549" spans="1:14" ht="11.25" customHeight="1">
      <c r="A2549" s="5" t="s">
        <v>7189</v>
      </c>
      <c r="B2549" s="5" t="s">
        <v>7367</v>
      </c>
      <c r="C2549" s="5" t="s">
        <v>7408</v>
      </c>
      <c r="D2549" s="5" t="s">
        <v>7192</v>
      </c>
      <c r="E2549" s="5" t="s">
        <v>36</v>
      </c>
      <c r="F2549" s="5" t="s">
        <v>7193</v>
      </c>
      <c r="G2549" s="5" t="s">
        <v>7194</v>
      </c>
      <c r="H2549" s="5" t="s">
        <v>7369</v>
      </c>
      <c r="I2549" s="5" t="s">
        <v>7409</v>
      </c>
      <c r="J2549" s="5" t="s">
        <v>7410</v>
      </c>
      <c r="K2549" s="7" t="str">
        <f ca="1">IFERROR(__xludf.DUMMYFUNCTION("GOOGLETRANSLATE(H2549,""EN"",""ES"")"),"ELEVADORES Y POLIPASTOS PARA CARGA O TRANSPORTE")</f>
        <v>ELEVADORES Y POLIPASTOS PARA CARGA O TRANSPORTE</v>
      </c>
      <c r="L2549" s="5" t="str">
        <f ca="1">IFERROR(__xludf.DUMMYFUNCTION("GOOGLETRANSLATE(J2549,""EN"",""ES"")"),"Escaleras mecánicas")</f>
        <v>Escaleras mecánicas</v>
      </c>
      <c r="M2549" s="1" t="s">
        <v>39</v>
      </c>
      <c r="N2549" s="8"/>
    </row>
    <row r="2550" spans="1:14" ht="11.25" customHeight="1">
      <c r="A2550" s="5" t="s">
        <v>7189</v>
      </c>
      <c r="B2550" s="5" t="s">
        <v>7367</v>
      </c>
      <c r="C2550" s="5" t="s">
        <v>7408</v>
      </c>
      <c r="D2550" s="5" t="s">
        <v>7192</v>
      </c>
      <c r="E2550" s="5" t="s">
        <v>36</v>
      </c>
      <c r="F2550" s="5" t="s">
        <v>7193</v>
      </c>
      <c r="G2550" s="5" t="s">
        <v>7194</v>
      </c>
      <c r="H2550" s="5" t="s">
        <v>7369</v>
      </c>
      <c r="I2550" s="5" t="s">
        <v>7411</v>
      </c>
      <c r="J2550" s="5" t="s">
        <v>152</v>
      </c>
      <c r="K2550" s="7" t="str">
        <f ca="1">IFERROR(__xludf.DUMMYFUNCTION("GOOGLETRANSLATE(H2550,""EN"",""ES"")"),"ELEVADORES Y POLIPASTOS PARA CARGA O TRANSPORTE")</f>
        <v>ELEVADORES Y POLIPASTOS PARA CARGA O TRANSPORTE</v>
      </c>
      <c r="L2550" s="5" t="str">
        <f ca="1">IFERROR(__xludf.DUMMYFUNCTION("GOOGLETRANSLATE(J2550,""EN"",""ES"")"),"escaleras móviles")</f>
        <v>escaleras móviles</v>
      </c>
      <c r="M2550" s="1" t="s">
        <v>39</v>
      </c>
      <c r="N2550" s="8"/>
    </row>
    <row r="2551" spans="1:14" ht="11.25" customHeight="1">
      <c r="A2551" s="5" t="s">
        <v>7189</v>
      </c>
      <c r="B2551" s="5" t="s">
        <v>7367</v>
      </c>
      <c r="C2551" s="5" t="s">
        <v>7412</v>
      </c>
      <c r="D2551" s="5" t="s">
        <v>7192</v>
      </c>
      <c r="E2551" s="5" t="s">
        <v>36</v>
      </c>
      <c r="F2551" s="5" t="s">
        <v>7193</v>
      </c>
      <c r="G2551" s="5" t="s">
        <v>7194</v>
      </c>
      <c r="H2551" s="5" t="s">
        <v>7369</v>
      </c>
      <c r="I2551" s="5" t="s">
        <v>7413</v>
      </c>
      <c r="J2551" s="5" t="s">
        <v>7414</v>
      </c>
      <c r="K2551" s="7" t="str">
        <f ca="1">IFERROR(__xludf.DUMMYFUNCTION("GOOGLETRANSLATE(H2551,""EN"",""ES"")"),"ELEVADORES Y POLIPASTOS PARA CARGA O TRANSPORTE")</f>
        <v>ELEVADORES Y POLIPASTOS PARA CARGA O TRANSPORTE</v>
      </c>
      <c r="L2551" s="5" t="str">
        <f ca="1">IFERROR(__xludf.DUMMYFUNCTION("GOOGLETRANSLATE(J2551,""EN"",""ES"")"),"Grúas")</f>
        <v>Grúas</v>
      </c>
      <c r="M2551" s="1" t="s">
        <v>39</v>
      </c>
      <c r="N2551" s="8"/>
    </row>
    <row r="2552" spans="1:14" ht="11.25" customHeight="1">
      <c r="A2552" s="5" t="s">
        <v>7189</v>
      </c>
      <c r="B2552" s="5" t="s">
        <v>7367</v>
      </c>
      <c r="C2552" s="5" t="s">
        <v>7415</v>
      </c>
      <c r="D2552" s="5" t="s">
        <v>7192</v>
      </c>
      <c r="E2552" s="5" t="s">
        <v>36</v>
      </c>
      <c r="F2552" s="5" t="s">
        <v>7193</v>
      </c>
      <c r="G2552" s="5" t="s">
        <v>7194</v>
      </c>
      <c r="H2552" s="5" t="s">
        <v>7369</v>
      </c>
      <c r="I2552" s="5" t="s">
        <v>7416</v>
      </c>
      <c r="J2552" s="5" t="s">
        <v>7417</v>
      </c>
      <c r="K2552" s="7" t="str">
        <f ca="1">IFERROR(__xludf.DUMMYFUNCTION("GOOGLETRANSLATE(H2552,""EN"",""ES"")"),"ELEVADORES Y POLIPASTOS PARA CARGA O TRANSPORTE")</f>
        <v>ELEVADORES Y POLIPASTOS PARA CARGA O TRANSPORTE</v>
      </c>
      <c r="L2552" s="5" t="str">
        <f ca="1">IFERROR(__xludf.DUMMYFUNCTION("GOOGLETRANSLATE(J2552,""EN"",""ES"")"),"Aparato de manipulación")</f>
        <v>Aparato de manipulación</v>
      </c>
      <c r="M2552" s="1" t="s">
        <v>39</v>
      </c>
      <c r="N2552" s="8"/>
    </row>
    <row r="2553" spans="1:14" ht="11.25" customHeight="1">
      <c r="A2553" s="5" t="s">
        <v>7189</v>
      </c>
      <c r="B2553" s="5" t="s">
        <v>7367</v>
      </c>
      <c r="C2553" s="5" t="s">
        <v>7418</v>
      </c>
      <c r="D2553" s="5" t="s">
        <v>7192</v>
      </c>
      <c r="E2553" s="5" t="s">
        <v>36</v>
      </c>
      <c r="F2553" s="5" t="s">
        <v>7193</v>
      </c>
      <c r="G2553" s="5" t="s">
        <v>7194</v>
      </c>
      <c r="H2553" s="5" t="s">
        <v>7369</v>
      </c>
      <c r="I2553" s="5" t="s">
        <v>7419</v>
      </c>
      <c r="J2553" s="5" t="s">
        <v>7420</v>
      </c>
      <c r="K2553" s="7" t="str">
        <f ca="1">IFERROR(__xludf.DUMMYFUNCTION("GOOGLETRANSLATE(H2553,""EN"",""ES"")"),"ELEVADORES Y POLIPASTOS PARA CARGA O TRANSPORTE")</f>
        <v>ELEVADORES Y POLIPASTOS PARA CARGA O TRANSPORTE</v>
      </c>
      <c r="L2553" s="5" t="str">
        <f ca="1">IFERROR(__xludf.DUMMYFUNCTION("GOOGLETRANSLATE(J2553,""EN"",""ES"")"),"Bloques de poleas")</f>
        <v>Bloques de poleas</v>
      </c>
      <c r="M2553" s="1" t="s">
        <v>39</v>
      </c>
      <c r="N2553" s="8"/>
    </row>
    <row r="2554" spans="1:14" ht="11.25" customHeight="1">
      <c r="A2554" s="5" t="s">
        <v>7189</v>
      </c>
      <c r="B2554" s="5" t="s">
        <v>7367</v>
      </c>
      <c r="C2554" s="5" t="s">
        <v>7418</v>
      </c>
      <c r="D2554" s="5" t="s">
        <v>7192</v>
      </c>
      <c r="E2554" s="5" t="s">
        <v>36</v>
      </c>
      <c r="F2554" s="5" t="s">
        <v>7193</v>
      </c>
      <c r="G2554" s="5" t="s">
        <v>7194</v>
      </c>
      <c r="H2554" s="5" t="s">
        <v>7369</v>
      </c>
      <c r="I2554" s="5" t="s">
        <v>152</v>
      </c>
      <c r="J2554" s="5" t="s">
        <v>7421</v>
      </c>
      <c r="K2554" s="7" t="str">
        <f ca="1">IFERROR(__xludf.DUMMYFUNCTION("GOOGLETRANSLATE(H2554,""EN"",""ES"")"),"ELEVADORES Y POLIPASTOS PARA CARGA O TRANSPORTE")</f>
        <v>ELEVADORES Y POLIPASTOS PARA CARGA O TRANSPORTE</v>
      </c>
      <c r="L2554" s="5" t="str">
        <f ca="1">IFERROR(__xludf.DUMMYFUNCTION("GOOGLETRANSLATE(J2554,""EN"",""ES"")"),"N / A")</f>
        <v>N / A</v>
      </c>
      <c r="M2554" s="1" t="s">
        <v>39</v>
      </c>
      <c r="N2554" s="8"/>
    </row>
    <row r="2555" spans="1:14" ht="11.25" customHeight="1">
      <c r="A2555" s="5" t="s">
        <v>7189</v>
      </c>
      <c r="B2555" s="5" t="s">
        <v>7367</v>
      </c>
      <c r="C2555" s="5" t="s">
        <v>7422</v>
      </c>
      <c r="D2555" s="5" t="s">
        <v>7192</v>
      </c>
      <c r="E2555" s="5" t="s">
        <v>36</v>
      </c>
      <c r="F2555" s="5" t="s">
        <v>7193</v>
      </c>
      <c r="G2555" s="5" t="s">
        <v>7194</v>
      </c>
      <c r="H2555" s="5" t="s">
        <v>7369</v>
      </c>
      <c r="I2555" s="5" t="s">
        <v>7423</v>
      </c>
      <c r="J2555" s="5" t="s">
        <v>7424</v>
      </c>
      <c r="K2555" s="7" t="str">
        <f ca="1">IFERROR(__xludf.DUMMYFUNCTION("GOOGLETRANSLATE(H2555,""EN"",""ES"")"),"ELEVADORES Y POLIPASTOS PARA CARGA O TRANSPORTE")</f>
        <v>ELEVADORES Y POLIPASTOS PARA CARGA O TRANSPORTE</v>
      </c>
      <c r="L2555" s="5" t="str">
        <f ca="1">IFERROR(__xludf.DUMMYFUNCTION("GOOGLETRANSLATE(J2555,""EN"",""ES"")"),"Grúas pórtico")</f>
        <v>Grúas pórtico</v>
      </c>
      <c r="M2555" s="1" t="s">
        <v>39</v>
      </c>
      <c r="N2555" s="8"/>
    </row>
    <row r="2556" spans="1:14" ht="11.25" customHeight="1">
      <c r="A2556" s="5" t="s">
        <v>7189</v>
      </c>
      <c r="B2556" s="5" t="s">
        <v>7367</v>
      </c>
      <c r="C2556" s="5" t="s">
        <v>7425</v>
      </c>
      <c r="D2556" s="5" t="s">
        <v>7192</v>
      </c>
      <c r="E2556" s="5" t="s">
        <v>36</v>
      </c>
      <c r="F2556" s="5" t="s">
        <v>7193</v>
      </c>
      <c r="G2556" s="5" t="s">
        <v>7194</v>
      </c>
      <c r="H2556" s="5" t="s">
        <v>7369</v>
      </c>
      <c r="I2556" s="5" t="s">
        <v>7426</v>
      </c>
      <c r="J2556" s="5" t="s">
        <v>7427</v>
      </c>
      <c r="K2556" s="7" t="str">
        <f ca="1">IFERROR(__xludf.DUMMYFUNCTION("GOOGLETRANSLATE(H2556,""EN"",""ES"")"),"ELEVADORES Y POLIPASTOS PARA CARGA O TRANSPORTE")</f>
        <v>ELEVADORES Y POLIPASTOS PARA CARGA O TRANSPORTE</v>
      </c>
      <c r="L2556" s="5" t="str">
        <f ca="1">IFERROR(__xludf.DUMMYFUNCTION("GOOGLETRANSLATE(J2556,""EN"",""ES"")"),"poleas")</f>
        <v>poleas</v>
      </c>
      <c r="M2556" s="1" t="s">
        <v>39</v>
      </c>
      <c r="N2556" s="8"/>
    </row>
    <row r="2557" spans="1:14" ht="11.25" customHeight="1">
      <c r="A2557" s="5" t="s">
        <v>7189</v>
      </c>
      <c r="B2557" s="5" t="s">
        <v>7367</v>
      </c>
      <c r="C2557" s="5" t="s">
        <v>7428</v>
      </c>
      <c r="D2557" s="5" t="s">
        <v>7192</v>
      </c>
      <c r="E2557" s="5" t="s">
        <v>36</v>
      </c>
      <c r="F2557" s="5" t="s">
        <v>7193</v>
      </c>
      <c r="G2557" s="5" t="s">
        <v>7194</v>
      </c>
      <c r="H2557" s="5" t="s">
        <v>7369</v>
      </c>
      <c r="I2557" s="5" t="s">
        <v>7429</v>
      </c>
      <c r="J2557" s="5" t="s">
        <v>7430</v>
      </c>
      <c r="K2557" s="7" t="str">
        <f ca="1">IFERROR(__xludf.DUMMYFUNCTION("GOOGLETRANSLATE(H2557,""EN"",""ES"")"),"ELEVADORES Y POLIPASTOS PARA CARGA O TRANSPORTE")</f>
        <v>ELEVADORES Y POLIPASTOS PARA CARGA O TRANSPORTE</v>
      </c>
      <c r="L2557" s="5" t="str">
        <f ca="1">IFERROR(__xludf.DUMMYFUNCTION("GOOGLETRANSLATE(J2557,""EN"",""ES"")"),"Torres de grúa")</f>
        <v>Torres de grúa</v>
      </c>
      <c r="M2557" s="1" t="s">
        <v>39</v>
      </c>
      <c r="N2557" s="8"/>
    </row>
    <row r="2558" spans="1:14" ht="11.25" customHeight="1">
      <c r="A2558" s="5" t="s">
        <v>7189</v>
      </c>
      <c r="B2558" s="5" t="s">
        <v>7367</v>
      </c>
      <c r="C2558" s="5" t="s">
        <v>7431</v>
      </c>
      <c r="D2558" s="5" t="s">
        <v>7192</v>
      </c>
      <c r="E2558" s="5" t="s">
        <v>36</v>
      </c>
      <c r="F2558" s="5" t="s">
        <v>7193</v>
      </c>
      <c r="G2558" s="5" t="s">
        <v>7194</v>
      </c>
      <c r="H2558" s="5" t="s">
        <v>7369</v>
      </c>
      <c r="I2558" s="5" t="s">
        <v>7432</v>
      </c>
      <c r="J2558" s="5" t="s">
        <v>7433</v>
      </c>
      <c r="K2558" s="7" t="str">
        <f ca="1">IFERROR(__xludf.DUMMYFUNCTION("GOOGLETRANSLATE(H2558,""EN"",""ES"")"),"ELEVADORES Y POLIPASTOS PARA CARGA O TRANSPORTE")</f>
        <v>ELEVADORES Y POLIPASTOS PARA CARGA O TRANSPORTE</v>
      </c>
      <c r="L2558" s="5" t="str">
        <f ca="1">IFERROR(__xludf.DUMMYFUNCTION("GOOGLETRANSLATE(J2558,""EN"",""ES"")"),"Transportadores [máquinas]")</f>
        <v>Transportadores [máquinas]</v>
      </c>
      <c r="M2558" s="1" t="s">
        <v>39</v>
      </c>
      <c r="N2558" s="8"/>
    </row>
    <row r="2559" spans="1:14" ht="11.25" customHeight="1">
      <c r="A2559" s="5" t="s">
        <v>7189</v>
      </c>
      <c r="B2559" s="5" t="s">
        <v>7367</v>
      </c>
      <c r="C2559" s="5" t="s">
        <v>7434</v>
      </c>
      <c r="D2559" s="5" t="s">
        <v>7192</v>
      </c>
      <c r="E2559" s="5" t="s">
        <v>36</v>
      </c>
      <c r="F2559" s="5" t="s">
        <v>7193</v>
      </c>
      <c r="G2559" s="5" t="s">
        <v>7194</v>
      </c>
      <c r="H2559" s="5" t="s">
        <v>7369</v>
      </c>
      <c r="I2559" s="5" t="s">
        <v>7435</v>
      </c>
      <c r="J2559" s="5" t="s">
        <v>7436</v>
      </c>
      <c r="K2559" s="7" t="str">
        <f ca="1">IFERROR(__xludf.DUMMYFUNCTION("GOOGLETRANSLATE(H2559,""EN"",""ES"")"),"ELEVADORES Y POLIPASTOS PARA CARGA O TRANSPORTE")</f>
        <v>ELEVADORES Y POLIPASTOS PARA CARGA O TRANSPORTE</v>
      </c>
      <c r="L2559" s="5" t="str">
        <f ca="1">IFERROR(__xludf.DUMMYFUNCTION("GOOGLETRANSLATE(J2559,""EN"",""ES"")"),"Cabrestantes")</f>
        <v>Cabrestantes</v>
      </c>
      <c r="M2559" s="1" t="s">
        <v>39</v>
      </c>
      <c r="N2559" s="8"/>
    </row>
    <row r="2560" spans="1:14" ht="11.25" customHeight="1">
      <c r="A2560" s="5" t="s">
        <v>7189</v>
      </c>
      <c r="B2560" s="5" t="s">
        <v>7367</v>
      </c>
      <c r="C2560" s="5" t="s">
        <v>7434</v>
      </c>
      <c r="D2560" s="5" t="s">
        <v>7192</v>
      </c>
      <c r="E2560" s="5" t="s">
        <v>36</v>
      </c>
      <c r="F2560" s="5" t="s">
        <v>7193</v>
      </c>
      <c r="G2560" s="5" t="s">
        <v>7194</v>
      </c>
      <c r="H2560" s="5" t="s">
        <v>7369</v>
      </c>
      <c r="I2560" s="5" t="s">
        <v>7437</v>
      </c>
      <c r="J2560" s="5" t="s">
        <v>152</v>
      </c>
      <c r="K2560" s="7" t="str">
        <f ca="1">IFERROR(__xludf.DUMMYFUNCTION("GOOGLETRANSLATE(H2560,""EN"",""ES"")"),"ELEVADORES Y POLIPASTOS PARA CARGA O TRANSPORTE")</f>
        <v>ELEVADORES Y POLIPASTOS PARA CARGA O TRANSPORTE</v>
      </c>
      <c r="L2560" s="5" t="str">
        <f ca="1">IFERROR(__xludf.DUMMYFUNCTION("GOOGLETRANSLATE(J2560,""EN"",""ES"")"),"Molinetes")</f>
        <v>Molinetes</v>
      </c>
      <c r="M2560" s="1" t="s">
        <v>39</v>
      </c>
      <c r="N2560" s="8"/>
    </row>
    <row r="2561" spans="1:14" ht="11.25" customHeight="1">
      <c r="A2561" s="5" t="s">
        <v>7189</v>
      </c>
      <c r="B2561" s="5" t="s">
        <v>7367</v>
      </c>
      <c r="C2561" s="5" t="s">
        <v>7438</v>
      </c>
      <c r="D2561" s="5" t="s">
        <v>7192</v>
      </c>
      <c r="E2561" s="5" t="s">
        <v>36</v>
      </c>
      <c r="F2561" s="5" t="s">
        <v>7193</v>
      </c>
      <c r="G2561" s="5" t="s">
        <v>7194</v>
      </c>
      <c r="H2561" s="5" t="s">
        <v>7369</v>
      </c>
      <c r="I2561" s="5" t="s">
        <v>7439</v>
      </c>
      <c r="J2561" s="5" t="s">
        <v>7440</v>
      </c>
      <c r="K2561" s="7" t="str">
        <f ca="1">IFERROR(__xludf.DUMMYFUNCTION("GOOGLETRANSLATE(H2561,""EN"",""ES"")"),"ELEVADORES Y POLIPASTOS PARA CARGA O TRANSPORTE")</f>
        <v>ELEVADORES Y POLIPASTOS PARA CARGA O TRANSPORTE</v>
      </c>
      <c r="L2561" s="5" t="str">
        <f ca="1">IFERROR(__xludf.DUMMYFUNCTION("GOOGLETRANSLATE(J2561,""EN"",""ES"")"),"Carros para manipulación de mercancías [autopropulsados]")</f>
        <v>Carros para manipulación de mercancías [autopropulsados]</v>
      </c>
      <c r="M2561" s="1" t="s">
        <v>39</v>
      </c>
      <c r="N2561" s="8"/>
    </row>
    <row r="2562" spans="1:14" ht="11.25" customHeight="1">
      <c r="A2562" s="5" t="s">
        <v>7189</v>
      </c>
      <c r="B2562" s="5" t="s">
        <v>7367</v>
      </c>
      <c r="C2562" s="5" t="s">
        <v>7441</v>
      </c>
      <c r="D2562" s="5" t="s">
        <v>7192</v>
      </c>
      <c r="E2562" s="5" t="s">
        <v>36</v>
      </c>
      <c r="F2562" s="5" t="s">
        <v>7193</v>
      </c>
      <c r="G2562" s="5" t="s">
        <v>7194</v>
      </c>
      <c r="H2562" s="5" t="s">
        <v>7369</v>
      </c>
      <c r="I2562" s="5" t="s">
        <v>7442</v>
      </c>
      <c r="J2562" s="5" t="s">
        <v>7443</v>
      </c>
      <c r="K2562" s="7" t="str">
        <f ca="1">IFERROR(__xludf.DUMMYFUNCTION("GOOGLETRANSLATE(H2562,""EN"",""ES"")"),"ELEVADORES Y POLIPASTOS PARA CARGA O TRANSPORTE")</f>
        <v>ELEVADORES Y POLIPASTOS PARA CARGA O TRANSPORTE</v>
      </c>
      <c r="L2562" s="5" t="str">
        <f ca="1">IFERROR(__xludf.DUMMYFUNCTION("GOOGLETRANSLATE(J2562,""EN"",""ES"")"),"Gatos para levantar")</f>
        <v>Gatos para levantar</v>
      </c>
      <c r="M2562" s="1" t="s">
        <v>39</v>
      </c>
      <c r="N2562" s="8"/>
    </row>
    <row r="2563" spans="1:14" ht="11.25" customHeight="1">
      <c r="A2563" s="5" t="s">
        <v>7189</v>
      </c>
      <c r="B2563" s="5" t="s">
        <v>7367</v>
      </c>
      <c r="C2563" s="5" t="s">
        <v>7441</v>
      </c>
      <c r="D2563" s="5" t="s">
        <v>7192</v>
      </c>
      <c r="E2563" s="5" t="s">
        <v>36</v>
      </c>
      <c r="F2563" s="5" t="s">
        <v>7193</v>
      </c>
      <c r="G2563" s="5" t="s">
        <v>7194</v>
      </c>
      <c r="H2563" s="5" t="s">
        <v>7369</v>
      </c>
      <c r="I2563" s="5" t="s">
        <v>152</v>
      </c>
      <c r="J2563" s="5" t="s">
        <v>7444</v>
      </c>
      <c r="K2563" s="7" t="str">
        <f ca="1">IFERROR(__xludf.DUMMYFUNCTION("GOOGLETRANSLATE(H2563,""EN"",""ES"")"),"ELEVADORES Y POLIPASTOS PARA CARGA O TRANSPORTE")</f>
        <v>ELEVADORES Y POLIPASTOS PARA CARGA O TRANSPORTE</v>
      </c>
      <c r="L2563" s="5" t="str">
        <f ca="1">IFERROR(__xludf.DUMMYFUNCTION("GOOGLETRANSLATE(J2563,""EN"",""ES"")"),"N / A")</f>
        <v>N / A</v>
      </c>
      <c r="M2563" s="1" t="s">
        <v>39</v>
      </c>
      <c r="N2563" s="8"/>
    </row>
    <row r="2564" spans="1:14" ht="11.25" customHeight="1">
      <c r="A2564" s="5" t="s">
        <v>7189</v>
      </c>
      <c r="B2564" s="5" t="s">
        <v>7367</v>
      </c>
      <c r="C2564" s="5" t="s">
        <v>7445</v>
      </c>
      <c r="D2564" s="5" t="s">
        <v>7192</v>
      </c>
      <c r="E2564" s="5" t="s">
        <v>36</v>
      </c>
      <c r="F2564" s="5" t="s">
        <v>7193</v>
      </c>
      <c r="G2564" s="5" t="s">
        <v>7194</v>
      </c>
      <c r="H2564" s="5" t="s">
        <v>7369</v>
      </c>
      <c r="I2564" s="5" t="s">
        <v>7446</v>
      </c>
      <c r="J2564" s="5" t="s">
        <v>7447</v>
      </c>
      <c r="K2564" s="7" t="str">
        <f ca="1">IFERROR(__xludf.DUMMYFUNCTION("GOOGLETRANSLATE(H2564,""EN"",""ES"")"),"ELEVADORES Y POLIPASTOS PARA CARGA O TRANSPORTE")</f>
        <v>ELEVADORES Y POLIPASTOS PARA CARGA O TRANSPORTE</v>
      </c>
      <c r="L2564" s="5" t="str">
        <f ca="1">IFERROR(__xludf.DUMMYFUNCTION("GOOGLETRANSLATE(J2564,""EN"",""ES"")"),"Cadenas de ascensor")</f>
        <v>Cadenas de ascensor</v>
      </c>
      <c r="M2564" s="1" t="s">
        <v>39</v>
      </c>
      <c r="N2564" s="8"/>
    </row>
    <row r="2565" spans="1:14" ht="11.25" customHeight="1">
      <c r="A2565" s="5" t="s">
        <v>7189</v>
      </c>
      <c r="B2565" s="5" t="s">
        <v>7367</v>
      </c>
      <c r="C2565" s="5" t="s">
        <v>7448</v>
      </c>
      <c r="D2565" s="5" t="s">
        <v>7192</v>
      </c>
      <c r="E2565" s="5" t="s">
        <v>36</v>
      </c>
      <c r="F2565" s="5" t="s">
        <v>7193</v>
      </c>
      <c r="G2565" s="5" t="s">
        <v>7194</v>
      </c>
      <c r="H2565" s="5" t="s">
        <v>7369</v>
      </c>
      <c r="I2565" s="5" t="s">
        <v>7449</v>
      </c>
      <c r="J2565" s="5" t="s">
        <v>7450</v>
      </c>
      <c r="K2565" s="7" t="str">
        <f ca="1">IFERROR(__xludf.DUMMYFUNCTION("GOOGLETRANSLATE(H2565,""EN"",""ES"")"),"ELEVADORES Y POLIPASTOS PARA CARGA O TRANSPORTE")</f>
        <v>ELEVADORES Y POLIPASTOS PARA CARGA O TRANSPORTE</v>
      </c>
      <c r="L2565" s="5" t="str">
        <f ca="1">IFERROR(__xludf.DUMMYFUNCTION("GOOGLETRANSLATE(J2565,""EN"",""ES"")"),"Cinturones de ascensor")</f>
        <v>Cinturones de ascensor</v>
      </c>
      <c r="M2565" s="1" t="s">
        <v>39</v>
      </c>
      <c r="N2565" s="8"/>
    </row>
    <row r="2566" spans="1:14" ht="11.25" customHeight="1">
      <c r="A2566" s="5" t="s">
        <v>7189</v>
      </c>
      <c r="B2566" s="5" t="s">
        <v>7367</v>
      </c>
      <c r="C2566" s="5" t="s">
        <v>7451</v>
      </c>
      <c r="D2566" s="5" t="s">
        <v>7192</v>
      </c>
      <c r="E2566" s="5" t="s">
        <v>36</v>
      </c>
      <c r="F2566" s="5" t="s">
        <v>7193</v>
      </c>
      <c r="G2566" s="5" t="s">
        <v>7194</v>
      </c>
      <c r="H2566" s="5" t="s">
        <v>7369</v>
      </c>
      <c r="I2566" s="5" t="s">
        <v>7452</v>
      </c>
      <c r="J2566" s="5" t="s">
        <v>7453</v>
      </c>
      <c r="K2566" s="7" t="str">
        <f ca="1">IFERROR(__xludf.DUMMYFUNCTION("GOOGLETRANSLATE(H2566,""EN"",""ES"")"),"ELEVADORES Y POLIPASTOS PARA CARGA O TRANSPORTE")</f>
        <v>ELEVADORES Y POLIPASTOS PARA CARGA O TRANSPORTE</v>
      </c>
      <c r="L2566" s="5" t="str">
        <f ca="1">IFERROR(__xludf.DUMMYFUNCTION("GOOGLETRANSLATE(J2566,""EN"",""ES"")"),"Cangilones elevadores")</f>
        <v>Cangilones elevadores</v>
      </c>
      <c r="M2566" s="1" t="s">
        <v>39</v>
      </c>
      <c r="N2566" s="8"/>
    </row>
    <row r="2567" spans="1:14" ht="11.25" customHeight="1">
      <c r="A2567" s="5" t="s">
        <v>7189</v>
      </c>
      <c r="B2567" s="5" t="s">
        <v>7367</v>
      </c>
      <c r="C2567" s="5" t="s">
        <v>7454</v>
      </c>
      <c r="D2567" s="5" t="s">
        <v>7192</v>
      </c>
      <c r="E2567" s="5" t="s">
        <v>36</v>
      </c>
      <c r="F2567" s="5" t="s">
        <v>7193</v>
      </c>
      <c r="G2567" s="5" t="s">
        <v>7194</v>
      </c>
      <c r="H2567" s="5" t="s">
        <v>7369</v>
      </c>
      <c r="I2567" s="5" t="s">
        <v>7455</v>
      </c>
      <c r="J2567" s="5" t="s">
        <v>7456</v>
      </c>
      <c r="K2567" s="7" t="str">
        <f ca="1">IFERROR(__xludf.DUMMYFUNCTION("GOOGLETRANSLATE(H2567,""EN"",""ES"")"),"ELEVADORES Y POLIPASTOS PARA CARGA O TRANSPORTE")</f>
        <v>ELEVADORES Y POLIPASTOS PARA CARGA O TRANSPORTE</v>
      </c>
      <c r="L2567" s="5" t="str">
        <f ca="1">IFERROR(__xludf.DUMMYFUNCTION("GOOGLETRANSLATE(J2567,""EN"",""ES"")"),"Grúas electromagnéticas")</f>
        <v>Grúas electromagnéticas</v>
      </c>
      <c r="M2567" s="1" t="s">
        <v>39</v>
      </c>
      <c r="N2567" s="8"/>
    </row>
    <row r="2568" spans="1:14" ht="11.25" customHeight="1">
      <c r="A2568" s="5" t="s">
        <v>7189</v>
      </c>
      <c r="B2568" s="5" t="s">
        <v>7367</v>
      </c>
      <c r="C2568" s="5" t="s">
        <v>7457</v>
      </c>
      <c r="D2568" s="5" t="s">
        <v>7192</v>
      </c>
      <c r="E2568" s="5" t="s">
        <v>36</v>
      </c>
      <c r="F2568" s="5" t="s">
        <v>7193</v>
      </c>
      <c r="G2568" s="5" t="s">
        <v>7194</v>
      </c>
      <c r="H2568" s="5" t="s">
        <v>7369</v>
      </c>
      <c r="I2568" s="5" t="s">
        <v>7458</v>
      </c>
      <c r="J2568" s="5" t="s">
        <v>7459</v>
      </c>
      <c r="K2568" s="7" t="str">
        <f ca="1">IFERROR(__xludf.DUMMYFUNCTION("GOOGLETRANSLATE(H2568,""EN"",""ES"")"),"ELEVADORES Y POLIPASTOS PARA CARGA O TRANSPORTE")</f>
        <v>ELEVADORES Y POLIPASTOS PARA CARGA O TRANSPORTE</v>
      </c>
      <c r="L2568" s="5" t="str">
        <f ca="1">IFERROR(__xludf.DUMMYFUNCTION("GOOGLETRANSLATE(J2568,""EN"",""ES"")"),"Grúas flotantes")</f>
        <v>Grúas flotantes</v>
      </c>
      <c r="M2568" s="1" t="s">
        <v>39</v>
      </c>
      <c r="N2568" s="8"/>
    </row>
    <row r="2569" spans="1:14" ht="11.25" customHeight="1">
      <c r="A2569" s="5" t="s">
        <v>7189</v>
      </c>
      <c r="B2569" s="5" t="s">
        <v>7367</v>
      </c>
      <c r="C2569" s="5" t="s">
        <v>7460</v>
      </c>
      <c r="D2569" s="5" t="s">
        <v>7192</v>
      </c>
      <c r="E2569" s="5" t="s">
        <v>36</v>
      </c>
      <c r="F2569" s="5" t="s">
        <v>7193</v>
      </c>
      <c r="G2569" s="5" t="s">
        <v>7194</v>
      </c>
      <c r="H2569" s="5" t="s">
        <v>7369</v>
      </c>
      <c r="I2569" s="5" t="s">
        <v>7461</v>
      </c>
      <c r="J2569" s="5" t="s">
        <v>7462</v>
      </c>
      <c r="K2569" s="7" t="str">
        <f ca="1">IFERROR(__xludf.DUMMYFUNCTION("GOOGLETRANSLATE(H2569,""EN"",""ES"")"),"ELEVADORES Y POLIPASTOS PARA CARGA O TRANSPORTE")</f>
        <v>ELEVADORES Y POLIPASTOS PARA CARGA O TRANSPORTE</v>
      </c>
      <c r="L2569" s="5" t="str">
        <f ca="1">IFERROR(__xludf.DUMMYFUNCTION("GOOGLETRANSLATE(J2569,""EN"",""ES"")"),"polipastos de mercancías")</f>
        <v>polipastos de mercancías</v>
      </c>
      <c r="M2569" s="1" t="s">
        <v>39</v>
      </c>
      <c r="N2569" s="8"/>
    </row>
    <row r="2570" spans="1:14" ht="11.25" customHeight="1">
      <c r="A2570" s="5" t="s">
        <v>7189</v>
      </c>
      <c r="B2570" s="5" t="s">
        <v>7367</v>
      </c>
      <c r="C2570" s="5" t="s">
        <v>7460</v>
      </c>
      <c r="D2570" s="5" t="s">
        <v>7192</v>
      </c>
      <c r="E2570" s="5" t="s">
        <v>36</v>
      </c>
      <c r="F2570" s="5" t="s">
        <v>7193</v>
      </c>
      <c r="G2570" s="5" t="s">
        <v>7194</v>
      </c>
      <c r="H2570" s="5" t="s">
        <v>7369</v>
      </c>
      <c r="I2570" s="5" t="s">
        <v>7463</v>
      </c>
      <c r="J2570" s="5" t="s">
        <v>152</v>
      </c>
      <c r="K2570" s="7" t="str">
        <f ca="1">IFERROR(__xludf.DUMMYFUNCTION("GOOGLETRANSLATE(H2570,""EN"",""ES"")"),"ELEVADORES Y POLIPASTOS PARA CARGA O TRANSPORTE")</f>
        <v>ELEVADORES Y POLIPASTOS PARA CARGA O TRANSPORTE</v>
      </c>
      <c r="L2570" s="5" t="str">
        <f ca="1">IFERROR(__xludf.DUMMYFUNCTION("GOOGLETRANSLATE(J2570,""EN"",""ES"")"),"elevadores de mercancías")</f>
        <v>elevadores de mercancías</v>
      </c>
      <c r="M2570" s="1" t="s">
        <v>39</v>
      </c>
      <c r="N2570" s="8"/>
    </row>
    <row r="2571" spans="1:14" ht="11.25" customHeight="1">
      <c r="A2571" s="5" t="s">
        <v>7189</v>
      </c>
      <c r="B2571" s="5" t="s">
        <v>7367</v>
      </c>
      <c r="C2571" s="5" t="s">
        <v>7464</v>
      </c>
      <c r="D2571" s="5" t="s">
        <v>7192</v>
      </c>
      <c r="E2571" s="5" t="s">
        <v>36</v>
      </c>
      <c r="F2571" s="5" t="s">
        <v>7193</v>
      </c>
      <c r="G2571" s="5" t="s">
        <v>7194</v>
      </c>
      <c r="H2571" s="5" t="s">
        <v>7369</v>
      </c>
      <c r="I2571" s="5" t="s">
        <v>7465</v>
      </c>
      <c r="J2571" s="5" t="s">
        <v>7466</v>
      </c>
      <c r="K2571" s="7" t="str">
        <f ca="1">IFERROR(__xludf.DUMMYFUNCTION("GOOGLETRANSLATE(H2571,""EN"",""ES"")"),"ELEVADORES Y POLIPASTOS PARA CARGA O TRANSPORTE")</f>
        <v>ELEVADORES Y POLIPASTOS PARA CARGA O TRANSPORTE</v>
      </c>
      <c r="L2571" s="5" t="str">
        <f ca="1">IFERROR(__xludf.DUMMYFUNCTION("GOOGLETRANSLATE(J2571,""EN"",""ES"")"),"Pasarelas móviles")</f>
        <v>Pasarelas móviles</v>
      </c>
      <c r="M2571" s="1" t="s">
        <v>39</v>
      </c>
      <c r="N2571" s="8"/>
    </row>
    <row r="2572" spans="1:14" ht="11.25" customHeight="1">
      <c r="A2572" s="5" t="s">
        <v>7189</v>
      </c>
      <c r="B2572" s="5" t="s">
        <v>7367</v>
      </c>
      <c r="C2572" s="5" t="s">
        <v>7467</v>
      </c>
      <c r="D2572" s="5" t="s">
        <v>7192</v>
      </c>
      <c r="E2572" s="5" t="s">
        <v>36</v>
      </c>
      <c r="F2572" s="5" t="s">
        <v>7193</v>
      </c>
      <c r="G2572" s="5" t="s">
        <v>7194</v>
      </c>
      <c r="H2572" s="5" t="s">
        <v>7369</v>
      </c>
      <c r="I2572" s="5" t="s">
        <v>7468</v>
      </c>
      <c r="J2572" s="5" t="s">
        <v>7469</v>
      </c>
      <c r="K2572" s="7" t="str">
        <f ca="1">IFERROR(__xludf.DUMMYFUNCTION("GOOGLETRANSLATE(H2572,""EN"",""ES"")"),"ELEVADORES Y POLIPASTOS PARA CARGA O TRANSPORTE")</f>
        <v>ELEVADORES Y POLIPASTOS PARA CARGA O TRANSPORTE</v>
      </c>
      <c r="L2572" s="5" t="str">
        <f ca="1">IFERROR(__xludf.DUMMYFUNCTION("GOOGLETRANSLATE(J2572,""EN"",""ES"")"),"Dispositivos de elevación para animales.")</f>
        <v>Dispositivos de elevación para animales.</v>
      </c>
      <c r="M2572" s="1" t="s">
        <v>39</v>
      </c>
      <c r="N2572" s="8"/>
    </row>
    <row r="2573" spans="1:14" ht="11.25" customHeight="1">
      <c r="A2573" s="5" t="s">
        <v>7189</v>
      </c>
      <c r="B2573" s="5" t="s">
        <v>7367</v>
      </c>
      <c r="C2573" s="5" t="s">
        <v>7470</v>
      </c>
      <c r="D2573" s="5" t="s">
        <v>7192</v>
      </c>
      <c r="E2573" s="5" t="s">
        <v>36</v>
      </c>
      <c r="F2573" s="5" t="s">
        <v>7193</v>
      </c>
      <c r="G2573" s="5" t="s">
        <v>7194</v>
      </c>
      <c r="H2573" s="5" t="s">
        <v>7369</v>
      </c>
      <c r="I2573" s="5" t="s">
        <v>7471</v>
      </c>
      <c r="J2573" s="5" t="s">
        <v>7472</v>
      </c>
      <c r="K2573" s="7" t="str">
        <f ca="1">IFERROR(__xludf.DUMMYFUNCTION("GOOGLETRANSLATE(H2573,""EN"",""ES"")"),"ELEVADORES Y POLIPASTOS PARA CARGA O TRANSPORTE")</f>
        <v>ELEVADORES Y POLIPASTOS PARA CARGA O TRANSPORTE</v>
      </c>
      <c r="L2573" s="5" t="str">
        <f ca="1">IFERROR(__xludf.DUMMYFUNCTION("GOOGLETRANSLATE(J2573,""EN"",""ES"")"),"Dispositivos de elevación para inválidos")</f>
        <v>Dispositivos de elevación para inválidos</v>
      </c>
      <c r="M2573" s="1" t="s">
        <v>39</v>
      </c>
      <c r="N2573" s="8"/>
    </row>
    <row r="2574" spans="1:14" ht="11.25" customHeight="1">
      <c r="A2574" s="5" t="s">
        <v>7189</v>
      </c>
      <c r="B2574" s="5" t="s">
        <v>7367</v>
      </c>
      <c r="C2574" s="5" t="s">
        <v>7473</v>
      </c>
      <c r="D2574" s="5" t="s">
        <v>7192</v>
      </c>
      <c r="E2574" s="5" t="s">
        <v>36</v>
      </c>
      <c r="F2574" s="5" t="s">
        <v>7193</v>
      </c>
      <c r="G2574" s="5" t="s">
        <v>7194</v>
      </c>
      <c r="H2574" s="5" t="s">
        <v>7369</v>
      </c>
      <c r="I2574" s="5" t="s">
        <v>7474</v>
      </c>
      <c r="J2574" s="5" t="s">
        <v>7475</v>
      </c>
      <c r="K2574" s="7" t="str">
        <f ca="1">IFERROR(__xludf.DUMMYFUNCTION("GOOGLETRANSLATE(H2574,""EN"",""ES"")"),"ELEVADORES Y POLIPASTOS PARA CARGA O TRANSPORTE")</f>
        <v>ELEVADORES Y POLIPASTOS PARA CARGA O TRANSPORTE</v>
      </c>
      <c r="L2574" s="5" t="str">
        <f ca="1">IFERROR(__xludf.DUMMYFUNCTION("GOOGLETRANSLATE(J2574,""EN"",""ES"")"),"Jaulas elevadoras")</f>
        <v>Jaulas elevadoras</v>
      </c>
      <c r="M2574" s="1" t="s">
        <v>39</v>
      </c>
      <c r="N2574" s="8"/>
    </row>
    <row r="2575" spans="1:14" ht="11.25" customHeight="1">
      <c r="A2575" s="5" t="s">
        <v>7189</v>
      </c>
      <c r="B2575" s="5" t="s">
        <v>7367</v>
      </c>
      <c r="C2575" s="5" t="s">
        <v>7476</v>
      </c>
      <c r="D2575" s="5" t="s">
        <v>7192</v>
      </c>
      <c r="E2575" s="5" t="s">
        <v>36</v>
      </c>
      <c r="F2575" s="5" t="s">
        <v>7193</v>
      </c>
      <c r="G2575" s="5" t="s">
        <v>7194</v>
      </c>
      <c r="H2575" s="5" t="s">
        <v>7369</v>
      </c>
      <c r="I2575" s="5" t="s">
        <v>7477</v>
      </c>
      <c r="J2575" s="5" t="s">
        <v>7478</v>
      </c>
      <c r="K2575" s="7" t="str">
        <f ca="1">IFERROR(__xludf.DUMMYFUNCTION("GOOGLETRANSLATE(H2575,""EN"",""ES"")"),"ELEVADORES Y POLIPASTOS PARA CARGA O TRANSPORTE")</f>
        <v>ELEVADORES Y POLIPASTOS PARA CARGA O TRANSPORTE</v>
      </c>
      <c r="L2575" s="5" t="str">
        <f ca="1">IFERROR(__xludf.DUMMYFUNCTION("GOOGLETRANSLATE(J2575,""EN"",""ES"")"),"Unidades de control e indicadores para carretillas elevadoras.")</f>
        <v>Unidades de control e indicadores para carretillas elevadoras.</v>
      </c>
      <c r="M2575" s="1" t="s">
        <v>39</v>
      </c>
      <c r="N2575" s="8"/>
    </row>
    <row r="2576" spans="1:14" ht="11.25" customHeight="1">
      <c r="A2576" s="5" t="s">
        <v>7189</v>
      </c>
      <c r="B2576" s="5" t="s">
        <v>7367</v>
      </c>
      <c r="C2576" s="5" t="s">
        <v>7479</v>
      </c>
      <c r="D2576" s="5" t="s">
        <v>7192</v>
      </c>
      <c r="E2576" s="5" t="s">
        <v>36</v>
      </c>
      <c r="F2576" s="5" t="s">
        <v>7193</v>
      </c>
      <c r="G2576" s="5" t="s">
        <v>7194</v>
      </c>
      <c r="H2576" s="5" t="s">
        <v>7369</v>
      </c>
      <c r="I2576" s="5" t="s">
        <v>7480</v>
      </c>
      <c r="J2576" s="5" t="s">
        <v>7481</v>
      </c>
      <c r="K2576" s="7" t="str">
        <f ca="1">IFERROR(__xludf.DUMMYFUNCTION("GOOGLETRANSLATE(H2576,""EN"",""ES"")"),"ELEVADORES Y POLIPASTOS PARA CARGA O TRANSPORTE")</f>
        <v>ELEVADORES Y POLIPASTOS PARA CARGA O TRANSPORTE</v>
      </c>
      <c r="L2576" s="5" t="str">
        <f ca="1">IFERROR(__xludf.DUMMYFUNCTION("GOOGLETRANSLATE(J2576,""EN"",""ES"")"),"Robots de transferencia")</f>
        <v>Robots de transferencia</v>
      </c>
      <c r="M2576" s="1" t="s">
        <v>39</v>
      </c>
      <c r="N2576" s="8"/>
    </row>
    <row r="2577" spans="1:14" ht="11.25" customHeight="1">
      <c r="A2577" s="5" t="s">
        <v>7189</v>
      </c>
      <c r="B2577" s="5" t="s">
        <v>7367</v>
      </c>
      <c r="C2577" s="5" t="s">
        <v>7482</v>
      </c>
      <c r="D2577" s="5" t="s">
        <v>7192</v>
      </c>
      <c r="E2577" s="5" t="s">
        <v>36</v>
      </c>
      <c r="F2577" s="5" t="s">
        <v>7193</v>
      </c>
      <c r="G2577" s="5" t="s">
        <v>7194</v>
      </c>
      <c r="H2577" s="5" t="s">
        <v>7369</v>
      </c>
      <c r="I2577" s="5" t="s">
        <v>7483</v>
      </c>
      <c r="J2577" s="5" t="s">
        <v>7484</v>
      </c>
      <c r="K2577" s="7" t="str">
        <f ca="1">IFERROR(__xludf.DUMMYFUNCTION("GOOGLETRANSLATE(H2577,""EN"",""ES"")"),"ELEVADORES Y POLIPASTOS PARA CARGA O TRANSPORTE")</f>
        <v>ELEVADORES Y POLIPASTOS PARA CARGA O TRANSPORTE</v>
      </c>
      <c r="L2577" s="5" t="str">
        <f ca="1">IFERROR(__xludf.DUMMYFUNCTION("GOOGLETRANSLATE(J2577,""EN"",""ES"")"),"Ascensores para aparcamientos")</f>
        <v>Ascensores para aparcamientos</v>
      </c>
      <c r="M2577" s="1" t="s">
        <v>39</v>
      </c>
      <c r="N2577" s="8"/>
    </row>
    <row r="2578" spans="1:14" ht="11.25" customHeight="1">
      <c r="A2578" s="5" t="s">
        <v>7189</v>
      </c>
      <c r="B2578" s="5" t="s">
        <v>7367</v>
      </c>
      <c r="C2578" s="5" t="s">
        <v>7485</v>
      </c>
      <c r="D2578" s="5" t="s">
        <v>7192</v>
      </c>
      <c r="E2578" s="5" t="s">
        <v>36</v>
      </c>
      <c r="F2578" s="5" t="s">
        <v>7193</v>
      </c>
      <c r="G2578" s="5" t="s">
        <v>7194</v>
      </c>
      <c r="H2578" s="5" t="s">
        <v>7369</v>
      </c>
      <c r="I2578" s="5" t="s">
        <v>7486</v>
      </c>
      <c r="J2578" s="5" t="s">
        <v>7487</v>
      </c>
      <c r="K2578" s="7" t="str">
        <f ca="1">IFERROR(__xludf.DUMMYFUNCTION("GOOGLETRANSLATE(H2578,""EN"",""ES"")"),"ELEVADORES Y POLIPASTOS PARA CARGA O TRANSPORTE")</f>
        <v>ELEVADORES Y POLIPASTOS PARA CARGA O TRANSPORTE</v>
      </c>
      <c r="L2578" s="5" t="str">
        <f ca="1">IFERROR(__xludf.DUMMYFUNCTION("GOOGLETRANSLATE(J2578,""EN"",""ES"")"),"Trajes de exoesqueleto robóticos para levantar cargas")</f>
        <v>Trajes de exoesqueleto robóticos para levantar cargas</v>
      </c>
      <c r="M2578" s="1" t="s">
        <v>39</v>
      </c>
      <c r="N2578" s="8"/>
    </row>
    <row r="2579" spans="1:14" ht="11.25" customHeight="1">
      <c r="A2579" s="5" t="s">
        <v>7189</v>
      </c>
      <c r="B2579" s="5" t="s">
        <v>7488</v>
      </c>
      <c r="C2579" s="5" t="s">
        <v>7489</v>
      </c>
      <c r="D2579" s="5" t="s">
        <v>7192</v>
      </c>
      <c r="E2579" s="5" t="s">
        <v>36</v>
      </c>
      <c r="F2579" s="5" t="s">
        <v>7193</v>
      </c>
      <c r="G2579" s="5" t="s">
        <v>7194</v>
      </c>
      <c r="H2579" s="5" t="s">
        <v>7490</v>
      </c>
      <c r="I2579" s="5" t="s">
        <v>7491</v>
      </c>
      <c r="J2579" s="5" t="s">
        <v>7492</v>
      </c>
      <c r="K2579" s="7" t="str">
        <f ca="1">IFERROR(__xludf.DUMMYFUNCTION("GOOGLETRANSLATE(H2579,""EN"",""ES"")"),"BARCOS Y BARCOS")</f>
        <v>BARCOS Y BARCOS</v>
      </c>
      <c r="L2579" s="5" t="str">
        <f ca="1">IFERROR(__xludf.DUMMYFUNCTION("GOOGLETRANSLATE(J2579,""EN"",""ES"")"),"Barcos")</f>
        <v>Barcos</v>
      </c>
      <c r="M2579" s="1" t="s">
        <v>40</v>
      </c>
      <c r="N2579" s="8"/>
    </row>
    <row r="2580" spans="1:14" ht="11.25" customHeight="1">
      <c r="A2580" s="5" t="s">
        <v>7189</v>
      </c>
      <c r="B2580" s="5" t="s">
        <v>7488</v>
      </c>
      <c r="C2580" s="5" t="s">
        <v>7493</v>
      </c>
      <c r="D2580" s="5" t="s">
        <v>7192</v>
      </c>
      <c r="E2580" s="5" t="s">
        <v>36</v>
      </c>
      <c r="F2580" s="5" t="s">
        <v>7193</v>
      </c>
      <c r="G2580" s="5" t="s">
        <v>7194</v>
      </c>
      <c r="H2580" s="5" t="s">
        <v>7490</v>
      </c>
      <c r="I2580" s="5" t="s">
        <v>7494</v>
      </c>
      <c r="J2580" s="5" t="s">
        <v>7495</v>
      </c>
      <c r="K2580" s="7" t="str">
        <f ca="1">IFERROR(__xludf.DUMMYFUNCTION("GOOGLETRANSLATE(H2580,""EN"",""ES"")"),"BARCOS Y BARCOS")</f>
        <v>BARCOS Y BARCOS</v>
      </c>
      <c r="L2580" s="5" t="str">
        <f ca="1">IFERROR(__xludf.DUMMYFUNCTION("GOOGLETRANSLATE(J2580,""EN"",""ES"")"),"aparejos de barcos")</f>
        <v>aparejos de barcos</v>
      </c>
      <c r="M2580" s="1" t="s">
        <v>40</v>
      </c>
      <c r="N2580" s="8"/>
    </row>
    <row r="2581" spans="1:14" ht="11.25" customHeight="1">
      <c r="A2581" s="5" t="s">
        <v>7189</v>
      </c>
      <c r="B2581" s="5" t="s">
        <v>7488</v>
      </c>
      <c r="C2581" s="5" t="s">
        <v>7493</v>
      </c>
      <c r="D2581" s="5" t="s">
        <v>7192</v>
      </c>
      <c r="E2581" s="5" t="s">
        <v>36</v>
      </c>
      <c r="F2581" s="5" t="s">
        <v>7193</v>
      </c>
      <c r="G2581" s="5" t="s">
        <v>7194</v>
      </c>
      <c r="H2581" s="5" t="s">
        <v>7490</v>
      </c>
      <c r="I2581" s="5" t="s">
        <v>152</v>
      </c>
      <c r="J2581" s="5" t="s">
        <v>7496</v>
      </c>
      <c r="K2581" s="7" t="str">
        <f ca="1">IFERROR(__xludf.DUMMYFUNCTION("GOOGLETRANSLATE(H2581,""EN"",""ES"")"),"BARCOS Y BARCOS")</f>
        <v>BARCOS Y BARCOS</v>
      </c>
      <c r="L2581" s="5" t="str">
        <f ca="1">IFERROR(__xludf.DUMMYFUNCTION("GOOGLETRANSLATE(J2581,""EN"",""ES"")"),"N / A")</f>
        <v>N / A</v>
      </c>
      <c r="M2581" s="1" t="s">
        <v>40</v>
      </c>
      <c r="N2581" s="8"/>
    </row>
    <row r="2582" spans="1:14" ht="11.25" customHeight="1">
      <c r="A2582" s="5" t="s">
        <v>7189</v>
      </c>
      <c r="B2582" s="5" t="s">
        <v>7488</v>
      </c>
      <c r="C2582" s="5" t="s">
        <v>7497</v>
      </c>
      <c r="D2582" s="5" t="s">
        <v>7192</v>
      </c>
      <c r="E2582" s="5" t="s">
        <v>36</v>
      </c>
      <c r="F2582" s="5" t="s">
        <v>7193</v>
      </c>
      <c r="G2582" s="5" t="s">
        <v>7194</v>
      </c>
      <c r="H2582" s="5" t="s">
        <v>7490</v>
      </c>
      <c r="I2582" s="5" t="s">
        <v>7498</v>
      </c>
      <c r="J2582" s="5" t="s">
        <v>7499</v>
      </c>
      <c r="K2582" s="7" t="str">
        <f ca="1">IFERROR(__xludf.DUMMYFUNCTION("GOOGLETRANSLATE(H2582,""EN"",""ES"")"),"BARCOS Y BARCOS")</f>
        <v>BARCOS Y BARCOS</v>
      </c>
      <c r="L2582" s="5" t="str">
        <f ca="1">IFERROR(__xludf.DUMMYFUNCTION("GOOGLETRANSLATE(J2582,""EN"",""ES"")"),"remos")</f>
        <v>remos</v>
      </c>
      <c r="M2582" s="1" t="s">
        <v>40</v>
      </c>
      <c r="N2582" s="8"/>
    </row>
    <row r="2583" spans="1:14" ht="11.25" customHeight="1">
      <c r="A2583" s="5" t="s">
        <v>7189</v>
      </c>
      <c r="B2583" s="5" t="s">
        <v>7488</v>
      </c>
      <c r="C2583" s="5" t="s">
        <v>7497</v>
      </c>
      <c r="D2583" s="5" t="s">
        <v>7192</v>
      </c>
      <c r="E2583" s="5" t="s">
        <v>36</v>
      </c>
      <c r="F2583" s="5" t="s">
        <v>7193</v>
      </c>
      <c r="G2583" s="5" t="s">
        <v>7194</v>
      </c>
      <c r="H2583" s="5" t="s">
        <v>7490</v>
      </c>
      <c r="I2583" s="5" t="s">
        <v>152</v>
      </c>
      <c r="J2583" s="5" t="s">
        <v>7500</v>
      </c>
      <c r="K2583" s="7" t="str">
        <f ca="1">IFERROR(__xludf.DUMMYFUNCTION("GOOGLETRANSLATE(H2583,""EN"",""ES"")"),"BARCOS Y BARCOS")</f>
        <v>BARCOS Y BARCOS</v>
      </c>
      <c r="L2583" s="5" t="str">
        <f ca="1">IFERROR(__xludf.DUMMYFUNCTION("GOOGLETRANSLATE(J2583,""EN"",""ES"")"),"N / A")</f>
        <v>N / A</v>
      </c>
      <c r="M2583" s="1" t="s">
        <v>40</v>
      </c>
      <c r="N2583" s="8"/>
    </row>
    <row r="2584" spans="1:14" ht="11.25" customHeight="1">
      <c r="A2584" s="5" t="s">
        <v>7189</v>
      </c>
      <c r="B2584" s="5" t="s">
        <v>7488</v>
      </c>
      <c r="C2584" s="5" t="s">
        <v>7501</v>
      </c>
      <c r="D2584" s="5" t="s">
        <v>7192</v>
      </c>
      <c r="E2584" s="5" t="s">
        <v>36</v>
      </c>
      <c r="F2584" s="5" t="s">
        <v>7193</v>
      </c>
      <c r="G2584" s="5" t="s">
        <v>7194</v>
      </c>
      <c r="H2584" s="5" t="s">
        <v>7490</v>
      </c>
      <c r="I2584" s="5" t="s">
        <v>7502</v>
      </c>
      <c r="J2584" s="5" t="s">
        <v>7503</v>
      </c>
      <c r="K2584" s="7" t="str">
        <f ca="1">IFERROR(__xludf.DUMMYFUNCTION("GOOGLETRANSLATE(H2584,""EN"",""ES"")"),"BARCOS Y BARCOS")</f>
        <v>BARCOS Y BARCOS</v>
      </c>
      <c r="L2584" s="5" t="str">
        <f ca="1">IFERROR(__xludf.DUMMYFUNCTION("GOOGLETRANSLATE(J2584,""EN"",""ES"")"),"Transbordadores")</f>
        <v>Transbordadores</v>
      </c>
      <c r="M2584" s="1" t="s">
        <v>40</v>
      </c>
      <c r="N2584" s="8"/>
    </row>
    <row r="2585" spans="1:14" ht="11.25" customHeight="1">
      <c r="A2585" s="5" t="s">
        <v>7189</v>
      </c>
      <c r="B2585" s="5" t="s">
        <v>7488</v>
      </c>
      <c r="C2585" s="5" t="s">
        <v>7501</v>
      </c>
      <c r="D2585" s="5" t="s">
        <v>7192</v>
      </c>
      <c r="E2585" s="5" t="s">
        <v>36</v>
      </c>
      <c r="F2585" s="5" t="s">
        <v>7193</v>
      </c>
      <c r="G2585" s="5" t="s">
        <v>7194</v>
      </c>
      <c r="H2585" s="5" t="s">
        <v>7490</v>
      </c>
      <c r="I2585" s="5" t="s">
        <v>152</v>
      </c>
      <c r="J2585" s="5" t="s">
        <v>7504</v>
      </c>
      <c r="K2585" s="7" t="str">
        <f ca="1">IFERROR(__xludf.DUMMYFUNCTION("GOOGLETRANSLATE(H2585,""EN"",""ES"")"),"BARCOS Y BARCOS")</f>
        <v>BARCOS Y BARCOS</v>
      </c>
      <c r="L2585" s="5" t="str">
        <f ca="1">IFERROR(__xludf.DUMMYFUNCTION("GOOGLETRANSLATE(J2585,""EN"",""ES"")"),"N / A")</f>
        <v>N / A</v>
      </c>
      <c r="M2585" s="1" t="s">
        <v>40</v>
      </c>
      <c r="N2585" s="8"/>
    </row>
    <row r="2586" spans="1:14" ht="11.25" customHeight="1">
      <c r="A2586" s="5" t="s">
        <v>7189</v>
      </c>
      <c r="B2586" s="5" t="s">
        <v>7488</v>
      </c>
      <c r="C2586" s="5" t="s">
        <v>7505</v>
      </c>
      <c r="D2586" s="5" t="s">
        <v>7192</v>
      </c>
      <c r="E2586" s="5" t="s">
        <v>36</v>
      </c>
      <c r="F2586" s="5" t="s">
        <v>7193</v>
      </c>
      <c r="G2586" s="5" t="s">
        <v>7194</v>
      </c>
      <c r="H2586" s="5" t="s">
        <v>7490</v>
      </c>
      <c r="I2586" s="5" t="s">
        <v>7506</v>
      </c>
      <c r="J2586" s="5" t="s">
        <v>7507</v>
      </c>
      <c r="K2586" s="7" t="str">
        <f ca="1">IFERROR(__xludf.DUMMYFUNCTION("GOOGLETRANSLATE(H2586,""EN"",""ES"")"),"BARCOS Y BARCOS")</f>
        <v>BARCOS Y BARCOS</v>
      </c>
      <c r="L2586" s="5" t="str">
        <f ca="1">IFERROR(__xludf.DUMMYFUNCTION("GOOGLETRANSLATE(J2586,""EN"",""ES"")"),"Barcos")</f>
        <v>Barcos</v>
      </c>
      <c r="M2586" s="1" t="s">
        <v>40</v>
      </c>
      <c r="N2586" s="8"/>
    </row>
    <row r="2587" spans="1:14" ht="11.25" customHeight="1">
      <c r="A2587" s="5" t="s">
        <v>7189</v>
      </c>
      <c r="B2587" s="5" t="s">
        <v>7488</v>
      </c>
      <c r="C2587" s="5" t="s">
        <v>7505</v>
      </c>
      <c r="D2587" s="5" t="s">
        <v>7192</v>
      </c>
      <c r="E2587" s="5" t="s">
        <v>36</v>
      </c>
      <c r="F2587" s="5" t="s">
        <v>7193</v>
      </c>
      <c r="G2587" s="5" t="s">
        <v>7194</v>
      </c>
      <c r="H2587" s="5" t="s">
        <v>7490</v>
      </c>
      <c r="I2587" s="5" t="s">
        <v>152</v>
      </c>
      <c r="J2587" s="5" t="s">
        <v>7508</v>
      </c>
      <c r="K2587" s="7" t="str">
        <f ca="1">IFERROR(__xludf.DUMMYFUNCTION("GOOGLETRANSLATE(H2587,""EN"",""ES"")"),"BARCOS Y BARCOS")</f>
        <v>BARCOS Y BARCOS</v>
      </c>
      <c r="L2587" s="5" t="str">
        <f ca="1">IFERROR(__xludf.DUMMYFUNCTION("GOOGLETRANSLATE(J2587,""EN"",""ES"")"),"N / A")</f>
        <v>N / A</v>
      </c>
      <c r="M2587" s="1" t="s">
        <v>40</v>
      </c>
      <c r="N2587" s="8"/>
    </row>
    <row r="2588" spans="1:14" ht="11.25" customHeight="1">
      <c r="A2588" s="5" t="s">
        <v>7189</v>
      </c>
      <c r="B2588" s="5" t="s">
        <v>7488</v>
      </c>
      <c r="C2588" s="5" t="s">
        <v>7509</v>
      </c>
      <c r="D2588" s="5" t="s">
        <v>7192</v>
      </c>
      <c r="E2588" s="5" t="s">
        <v>36</v>
      </c>
      <c r="F2588" s="5" t="s">
        <v>7193</v>
      </c>
      <c r="G2588" s="5" t="s">
        <v>7194</v>
      </c>
      <c r="H2588" s="5" t="s">
        <v>7490</v>
      </c>
      <c r="I2588" s="5" t="s">
        <v>7510</v>
      </c>
      <c r="J2588" s="5" t="s">
        <v>7511</v>
      </c>
      <c r="K2588" s="7" t="str">
        <f ca="1">IFERROR(__xludf.DUMMYFUNCTION("GOOGLETRANSLATE(H2588,""EN"",""ES"")"),"BARCOS Y BARCOS")</f>
        <v>BARCOS Y BARCOS</v>
      </c>
      <c r="L2588" s="5" t="str">
        <f ca="1">IFERROR(__xludf.DUMMYFUNCTION("GOOGLETRANSLATE(J2588,""EN"",""ES"")"),"Petroleros [barcos]")</f>
        <v>Petroleros [barcos]</v>
      </c>
      <c r="M2588" s="1" t="s">
        <v>40</v>
      </c>
      <c r="N2588" s="8"/>
    </row>
    <row r="2589" spans="1:14" ht="11.25" customHeight="1">
      <c r="A2589" s="5" t="s">
        <v>7189</v>
      </c>
      <c r="B2589" s="5" t="s">
        <v>7488</v>
      </c>
      <c r="C2589" s="5" t="s">
        <v>7512</v>
      </c>
      <c r="D2589" s="5" t="s">
        <v>7192</v>
      </c>
      <c r="E2589" s="5" t="s">
        <v>36</v>
      </c>
      <c r="F2589" s="5" t="s">
        <v>7193</v>
      </c>
      <c r="G2589" s="5" t="s">
        <v>7194</v>
      </c>
      <c r="H2589" s="5" t="s">
        <v>7490</v>
      </c>
      <c r="I2589" s="5" t="s">
        <v>7513</v>
      </c>
      <c r="J2589" s="5" t="s">
        <v>7514</v>
      </c>
      <c r="K2589" s="7" t="str">
        <f ca="1">IFERROR(__xludf.DUMMYFUNCTION("GOOGLETRANSLATE(H2589,""EN"",""ES"")"),"BARCOS Y BARCOS")</f>
        <v>BARCOS Y BARCOS</v>
      </c>
      <c r="L2589" s="5" t="str">
        <f ca="1">IFERROR(__xludf.DUMMYFUNCTION("GOOGLETRANSLATE(J2589,""EN"",""ES"")"),"Rompehielos")</f>
        <v>Rompehielos</v>
      </c>
      <c r="M2589" s="1" t="s">
        <v>40</v>
      </c>
      <c r="N2589" s="8"/>
    </row>
    <row r="2590" spans="1:14" ht="11.25" customHeight="1">
      <c r="A2590" s="5" t="s">
        <v>7189</v>
      </c>
      <c r="B2590" s="5" t="s">
        <v>7488</v>
      </c>
      <c r="C2590" s="5" t="s">
        <v>7515</v>
      </c>
      <c r="D2590" s="5" t="s">
        <v>7192</v>
      </c>
      <c r="E2590" s="5" t="s">
        <v>36</v>
      </c>
      <c r="F2590" s="5" t="s">
        <v>7193</v>
      </c>
      <c r="G2590" s="5" t="s">
        <v>7194</v>
      </c>
      <c r="H2590" s="5" t="s">
        <v>7490</v>
      </c>
      <c r="I2590" s="5" t="s">
        <v>7516</v>
      </c>
      <c r="J2590" s="5" t="s">
        <v>7517</v>
      </c>
      <c r="K2590" s="7" t="str">
        <f ca="1">IFERROR(__xludf.DUMMYFUNCTION("GOOGLETRANSLATE(H2590,""EN"",""ES"")"),"BARCOS Y BARCOS")</f>
        <v>BARCOS Y BARCOS</v>
      </c>
      <c r="L2590" s="5" t="str">
        <f ca="1">IFERROR(__xludf.DUMMYFUNCTION("GOOGLETRANSLATE(J2590,""EN"",""ES"")"),"Canoas")</f>
        <v>Canoas</v>
      </c>
      <c r="M2590" s="1" t="s">
        <v>40</v>
      </c>
      <c r="N2590" s="8"/>
    </row>
    <row r="2591" spans="1:14" ht="11.25" customHeight="1">
      <c r="A2591" s="5" t="s">
        <v>7189</v>
      </c>
      <c r="B2591" s="5" t="s">
        <v>7488</v>
      </c>
      <c r="C2591" s="5" t="s">
        <v>7518</v>
      </c>
      <c r="D2591" s="5" t="s">
        <v>7192</v>
      </c>
      <c r="E2591" s="5" t="s">
        <v>36</v>
      </c>
      <c r="F2591" s="5" t="s">
        <v>7193</v>
      </c>
      <c r="G2591" s="5" t="s">
        <v>7194</v>
      </c>
      <c r="H2591" s="5" t="s">
        <v>7490</v>
      </c>
      <c r="I2591" s="5" t="s">
        <v>7519</v>
      </c>
      <c r="J2591" s="5" t="s">
        <v>7520</v>
      </c>
      <c r="K2591" s="7" t="str">
        <f ca="1">IFERROR(__xludf.DUMMYFUNCTION("GOOGLETRANSLATE(H2591,""EN"",""ES"")"),"BARCOS Y BARCOS")</f>
        <v>BARCOS Y BARCOS</v>
      </c>
      <c r="L2591" s="5" t="str">
        <f ca="1">IFERROR(__xludf.DUMMYFUNCTION("GOOGLETRANSLATE(J2591,""EN"",""ES"")"),"Botes")</f>
        <v>Botes</v>
      </c>
      <c r="M2591" s="1" t="s">
        <v>40</v>
      </c>
      <c r="N2591" s="8"/>
    </row>
    <row r="2592" spans="1:14" ht="11.25" customHeight="1">
      <c r="A2592" s="5" t="s">
        <v>7189</v>
      </c>
      <c r="B2592" s="5" t="s">
        <v>7488</v>
      </c>
      <c r="C2592" s="5" t="s">
        <v>7518</v>
      </c>
      <c r="D2592" s="5" t="s">
        <v>7192</v>
      </c>
      <c r="E2592" s="5" t="s">
        <v>36</v>
      </c>
      <c r="F2592" s="5" t="s">
        <v>7193</v>
      </c>
      <c r="G2592" s="5" t="s">
        <v>7194</v>
      </c>
      <c r="H2592" s="5" t="s">
        <v>7490</v>
      </c>
      <c r="I2592" s="5" t="s">
        <v>152</v>
      </c>
      <c r="J2592" s="5" t="s">
        <v>7521</v>
      </c>
      <c r="K2592" s="7" t="str">
        <f ca="1">IFERROR(__xludf.DUMMYFUNCTION("GOOGLETRANSLATE(H2592,""EN"",""ES"")"),"BARCOS Y BARCOS")</f>
        <v>BARCOS Y BARCOS</v>
      </c>
      <c r="L2592" s="5" t="str">
        <f ca="1">IFERROR(__xludf.DUMMYFUNCTION("GOOGLETRANSLATE(J2592,""EN"",""ES"")"),"N / A")</f>
        <v>N / A</v>
      </c>
      <c r="M2592" s="1" t="s">
        <v>40</v>
      </c>
      <c r="N2592" s="8"/>
    </row>
    <row r="2593" spans="1:14" ht="11.25" customHeight="1">
      <c r="A2593" s="5" t="s">
        <v>7189</v>
      </c>
      <c r="B2593" s="5" t="s">
        <v>7488</v>
      </c>
      <c r="C2593" s="5" t="s">
        <v>7522</v>
      </c>
      <c r="D2593" s="5" t="s">
        <v>7192</v>
      </c>
      <c r="E2593" s="5" t="s">
        <v>36</v>
      </c>
      <c r="F2593" s="5" t="s">
        <v>7193</v>
      </c>
      <c r="G2593" s="5" t="s">
        <v>7194</v>
      </c>
      <c r="H2593" s="5" t="s">
        <v>7490</v>
      </c>
      <c r="I2593" s="5" t="s">
        <v>7523</v>
      </c>
      <c r="J2593" s="5" t="s">
        <v>7524</v>
      </c>
      <c r="K2593" s="7" t="str">
        <f ca="1">IFERROR(__xludf.DUMMYFUNCTION("GOOGLETRANSLATE(H2593,""EN"",""ES"")"),"BARCOS Y BARCOS")</f>
        <v>BARCOS Y BARCOS</v>
      </c>
      <c r="L2593" s="5" t="str">
        <f ca="1">IFERROR(__xludf.DUMMYFUNCTION("GOOGLETRANSLATE(J2593,""EN"",""ES"")"),"botes salvavidas")</f>
        <v>botes salvavidas</v>
      </c>
      <c r="M2593" s="1" t="s">
        <v>40</v>
      </c>
      <c r="N2593" s="8"/>
    </row>
    <row r="2594" spans="1:14" ht="11.25" customHeight="1">
      <c r="A2594" s="5" t="s">
        <v>7189</v>
      </c>
      <c r="B2594" s="5" t="s">
        <v>7488</v>
      </c>
      <c r="C2594" s="5" t="s">
        <v>7525</v>
      </c>
      <c r="D2594" s="5" t="s">
        <v>7192</v>
      </c>
      <c r="E2594" s="5" t="s">
        <v>36</v>
      </c>
      <c r="F2594" s="5" t="s">
        <v>7193</v>
      </c>
      <c r="G2594" s="5" t="s">
        <v>7194</v>
      </c>
      <c r="H2594" s="5" t="s">
        <v>7490</v>
      </c>
      <c r="I2594" s="5" t="s">
        <v>7526</v>
      </c>
      <c r="J2594" s="5" t="s">
        <v>7526</v>
      </c>
      <c r="K2594" s="7" t="str">
        <f ca="1">IFERROR(__xludf.DUMMYFUNCTION("GOOGLETRANSLATE(H2594,""EN"",""ES"")"),"BARCOS Y BARCOS")</f>
        <v>BARCOS Y BARCOS</v>
      </c>
      <c r="L2594" s="5" t="str">
        <f ca="1">IFERROR(__xludf.DUMMYFUNCTION("GOOGLETRANSLATE(J2594,""EN"",""ES"")"),"Catamaranes")</f>
        <v>Catamaranes</v>
      </c>
      <c r="M2594" s="1" t="s">
        <v>40</v>
      </c>
      <c r="N2594" s="8"/>
    </row>
    <row r="2595" spans="1:14" ht="11.25" customHeight="1">
      <c r="A2595" s="5" t="s">
        <v>7189</v>
      </c>
      <c r="B2595" s="5" t="s">
        <v>7488</v>
      </c>
      <c r="C2595" s="5" t="s">
        <v>7527</v>
      </c>
      <c r="D2595" s="5" t="s">
        <v>7192</v>
      </c>
      <c r="E2595" s="5" t="s">
        <v>36</v>
      </c>
      <c r="F2595" s="5" t="s">
        <v>7193</v>
      </c>
      <c r="G2595" s="5" t="s">
        <v>7194</v>
      </c>
      <c r="H2595" s="5" t="s">
        <v>7490</v>
      </c>
      <c r="I2595" s="5" t="s">
        <v>7528</v>
      </c>
      <c r="J2595" s="5" t="s">
        <v>7529</v>
      </c>
      <c r="K2595" s="7" t="str">
        <f ca="1">IFERROR(__xludf.DUMMYFUNCTION("GOOGLETRANSLATE(H2595,""EN"",""ES"")"),"BARCOS Y BARCOS")</f>
        <v>BARCOS Y BARCOS</v>
      </c>
      <c r="L2595" s="5" t="str">
        <f ca="1">IFERROR(__xludf.DUMMYFUNCTION("GOOGLETRANSLATE(J2595,""EN"",""ES"")"),"Lanzamientos")</f>
        <v>Lanzamientos</v>
      </c>
      <c r="M2595" s="1" t="s">
        <v>40</v>
      </c>
      <c r="N2595" s="8"/>
    </row>
    <row r="2596" spans="1:14" ht="11.25" customHeight="1">
      <c r="A2596" s="5" t="s">
        <v>7189</v>
      </c>
      <c r="B2596" s="5" t="s">
        <v>7488</v>
      </c>
      <c r="C2596" s="5" t="s">
        <v>7530</v>
      </c>
      <c r="D2596" s="5" t="s">
        <v>7192</v>
      </c>
      <c r="E2596" s="5" t="s">
        <v>36</v>
      </c>
      <c r="F2596" s="5" t="s">
        <v>7193</v>
      </c>
      <c r="G2596" s="5" t="s">
        <v>7194</v>
      </c>
      <c r="H2596" s="5" t="s">
        <v>7490</v>
      </c>
      <c r="I2596" s="5" t="s">
        <v>7531</v>
      </c>
      <c r="J2596" s="5" t="s">
        <v>7532</v>
      </c>
      <c r="K2596" s="7" t="str">
        <f ca="1">IFERROR(__xludf.DUMMYFUNCTION("GOOGLETRANSLATE(H2596,""EN"",""ES"")"),"BARCOS Y BARCOS")</f>
        <v>BARCOS Y BARCOS</v>
      </c>
      <c r="L2596" s="5" t="str">
        <f ca="1">IFERROR(__xludf.DUMMYFUNCTION("GOOGLETRANSLATE(J2596,""EN"",""ES"")"),"Arrastreros")</f>
        <v>Arrastreros</v>
      </c>
      <c r="M2596" s="1" t="s">
        <v>40</v>
      </c>
      <c r="N2596" s="8"/>
    </row>
    <row r="2597" spans="1:14" ht="11.25" customHeight="1">
      <c r="A2597" s="5" t="s">
        <v>7189</v>
      </c>
      <c r="B2597" s="5" t="s">
        <v>7488</v>
      </c>
      <c r="C2597" s="5" t="s">
        <v>7533</v>
      </c>
      <c r="D2597" s="5" t="s">
        <v>7192</v>
      </c>
      <c r="E2597" s="5" t="s">
        <v>36</v>
      </c>
      <c r="F2597" s="5" t="s">
        <v>7193</v>
      </c>
      <c r="G2597" s="5" t="s">
        <v>7194</v>
      </c>
      <c r="H2597" s="5" t="s">
        <v>7490</v>
      </c>
      <c r="I2597" s="5" t="s">
        <v>7534</v>
      </c>
      <c r="J2597" s="5" t="s">
        <v>7535</v>
      </c>
      <c r="K2597" s="7" t="str">
        <f ca="1">IFERROR(__xludf.DUMMYFUNCTION("GOOGLETRANSLATE(H2597,""EN"",""ES"")"),"BARCOS Y BARCOS")</f>
        <v>BARCOS Y BARCOS</v>
      </c>
      <c r="L2597" s="5" t="str">
        <f ca="1">IFERROR(__xludf.DUMMYFUNCTION("GOOGLETRANSLATE(J2597,""EN"",""ES"")"),"Superestructuras de barcos")</f>
        <v>Superestructuras de barcos</v>
      </c>
      <c r="M2597" s="1" t="s">
        <v>40</v>
      </c>
      <c r="N2597" s="8"/>
    </row>
    <row r="2598" spans="1:14" ht="11.25" customHeight="1">
      <c r="A2598" s="5" t="s">
        <v>7189</v>
      </c>
      <c r="B2598" s="5" t="s">
        <v>7488</v>
      </c>
      <c r="C2598" s="5" t="s">
        <v>7536</v>
      </c>
      <c r="D2598" s="5" t="s">
        <v>7192</v>
      </c>
      <c r="E2598" s="5" t="s">
        <v>36</v>
      </c>
      <c r="F2598" s="5" t="s">
        <v>7193</v>
      </c>
      <c r="G2598" s="5" t="s">
        <v>7194</v>
      </c>
      <c r="H2598" s="5" t="s">
        <v>7490</v>
      </c>
      <c r="I2598" s="5" t="s">
        <v>7537</v>
      </c>
      <c r="J2598" s="5" t="s">
        <v>7538</v>
      </c>
      <c r="K2598" s="7" t="str">
        <f ca="1">IFERROR(__xludf.DUMMYFUNCTION("GOOGLETRANSLATE(H2598,""EN"",""ES"")"),"BARCOS Y BARCOS")</f>
        <v>BARCOS Y BARCOS</v>
      </c>
      <c r="L2598" s="5" t="str">
        <f ca="1">IFERROR(__xludf.DUMMYFUNCTION("GOOGLETRANSLATE(J2598,""EN"",""ES"")"),"Orzas [náuticas]")</f>
        <v>Orzas [náuticas]</v>
      </c>
      <c r="M2598" s="1" t="s">
        <v>40</v>
      </c>
      <c r="N2598" s="8"/>
    </row>
    <row r="2599" spans="1:14" ht="11.25" customHeight="1">
      <c r="A2599" s="5" t="s">
        <v>7189</v>
      </c>
      <c r="B2599" s="5" t="s">
        <v>7488</v>
      </c>
      <c r="C2599" s="5" t="s">
        <v>7539</v>
      </c>
      <c r="D2599" s="5" t="s">
        <v>7192</v>
      </c>
      <c r="E2599" s="5" t="s">
        <v>36</v>
      </c>
      <c r="F2599" s="5" t="s">
        <v>7193</v>
      </c>
      <c r="G2599" s="5" t="s">
        <v>7194</v>
      </c>
      <c r="H2599" s="5" t="s">
        <v>7490</v>
      </c>
      <c r="I2599" s="5" t="s">
        <v>7540</v>
      </c>
      <c r="J2599" s="5" t="s">
        <v>7541</v>
      </c>
      <c r="K2599" s="7" t="str">
        <f ca="1">IFERROR(__xludf.DUMMYFUNCTION("GOOGLETRANSLATE(H2599,""EN"",""ES"")"),"BARCOS Y BARCOS")</f>
        <v>BARCOS Y BARCOS</v>
      </c>
      <c r="L2599" s="5" t="str">
        <f ca="1">IFERROR(__xludf.DUMMYFUNCTION("GOOGLETRANSLATE(J2599,""EN"",""ES"")"),"Diques secos flotantes")</f>
        <v>Diques secos flotantes</v>
      </c>
      <c r="M2599" s="1" t="s">
        <v>40</v>
      </c>
      <c r="N2599" s="8"/>
    </row>
    <row r="2600" spans="1:14" ht="11.25" customHeight="1">
      <c r="A2600" s="5" t="s">
        <v>7189</v>
      </c>
      <c r="B2600" s="5" t="s">
        <v>7488</v>
      </c>
      <c r="C2600" s="5" t="s">
        <v>7542</v>
      </c>
      <c r="D2600" s="5" t="s">
        <v>7192</v>
      </c>
      <c r="E2600" s="5" t="s">
        <v>36</v>
      </c>
      <c r="F2600" s="5" t="s">
        <v>7193</v>
      </c>
      <c r="G2600" s="5" t="s">
        <v>7194</v>
      </c>
      <c r="H2600" s="5" t="s">
        <v>7490</v>
      </c>
      <c r="I2600" s="5" t="s">
        <v>7543</v>
      </c>
      <c r="J2600" s="5" t="s">
        <v>7544</v>
      </c>
      <c r="K2600" s="7" t="str">
        <f ca="1">IFERROR(__xludf.DUMMYFUNCTION("GOOGLETRANSLATE(H2600,""EN"",""ES"")"),"BARCOS Y BARCOS")</f>
        <v>BARCOS Y BARCOS</v>
      </c>
      <c r="L2600" s="5" t="str">
        <f ca="1">IFERROR(__xludf.DUMMYFUNCTION("GOOGLETRANSLATE(J2600,""EN"",""ES"")"),"Flotadores para la navegación")</f>
        <v>Flotadores para la navegación</v>
      </c>
      <c r="M2600" s="1" t="s">
        <v>40</v>
      </c>
      <c r="N2600" s="8"/>
    </row>
    <row r="2601" spans="1:14" ht="11.25" customHeight="1">
      <c r="A2601" s="5" t="s">
        <v>7189</v>
      </c>
      <c r="B2601" s="5" t="s">
        <v>7488</v>
      </c>
      <c r="C2601" s="5" t="s">
        <v>7545</v>
      </c>
      <c r="D2601" s="5" t="s">
        <v>7192</v>
      </c>
      <c r="E2601" s="5" t="s">
        <v>36</v>
      </c>
      <c r="F2601" s="5" t="s">
        <v>7193</v>
      </c>
      <c r="G2601" s="5" t="s">
        <v>7194</v>
      </c>
      <c r="H2601" s="5" t="s">
        <v>7490</v>
      </c>
      <c r="I2601" s="5" t="s">
        <v>7546</v>
      </c>
      <c r="J2601" s="5" t="s">
        <v>7547</v>
      </c>
      <c r="K2601" s="7" t="str">
        <f ca="1">IFERROR(__xludf.DUMMYFUNCTION("GOOGLETRANSLATE(H2601,""EN"",""ES"")"),"BARCOS Y BARCOS")</f>
        <v>BARCOS Y BARCOS</v>
      </c>
      <c r="L2601" s="5" t="str">
        <f ca="1">IFERROR(__xludf.DUMMYFUNCTION("GOOGLETRANSLATE(J2601,""EN"",""ES"")"),"Hélices para barcos")</f>
        <v>Hélices para barcos</v>
      </c>
      <c r="M2601" s="1" t="s">
        <v>40</v>
      </c>
      <c r="N2601" s="8"/>
    </row>
    <row r="2602" spans="1:14" ht="11.25" customHeight="1">
      <c r="A2602" s="5" t="s">
        <v>7189</v>
      </c>
      <c r="B2602" s="5" t="s">
        <v>7488</v>
      </c>
      <c r="C2602" s="5" t="s">
        <v>7545</v>
      </c>
      <c r="D2602" s="5" t="s">
        <v>7192</v>
      </c>
      <c r="E2602" s="5" t="s">
        <v>36</v>
      </c>
      <c r="F2602" s="5" t="s">
        <v>7193</v>
      </c>
      <c r="G2602" s="5" t="s">
        <v>7194</v>
      </c>
      <c r="H2602" s="5" t="s">
        <v>7490</v>
      </c>
      <c r="I2602" s="5" t="s">
        <v>7548</v>
      </c>
      <c r="J2602" s="5" t="s">
        <v>152</v>
      </c>
      <c r="K2602" s="7" t="str">
        <f ca="1">IFERROR(__xludf.DUMMYFUNCTION("GOOGLETRANSLATE(H2602,""EN"",""ES"")"),"BARCOS Y BARCOS")</f>
        <v>BARCOS Y BARCOS</v>
      </c>
      <c r="L2602" s="5" t="str">
        <f ca="1">IFERROR(__xludf.DUMMYFUNCTION("GOOGLETRANSLATE(J2602,""EN"",""ES"")"),"Tornillos para barcos")</f>
        <v>Tornillos para barcos</v>
      </c>
      <c r="M2602" s="1" t="s">
        <v>40</v>
      </c>
      <c r="N2602" s="8"/>
    </row>
    <row r="2603" spans="1:14" ht="11.25" customHeight="1">
      <c r="A2603" s="5" t="s">
        <v>7189</v>
      </c>
      <c r="B2603" s="5" t="s">
        <v>7488</v>
      </c>
      <c r="C2603" s="5" t="s">
        <v>7549</v>
      </c>
      <c r="D2603" s="5" t="s">
        <v>7192</v>
      </c>
      <c r="E2603" s="5" t="s">
        <v>36</v>
      </c>
      <c r="F2603" s="5" t="s">
        <v>7193</v>
      </c>
      <c r="G2603" s="5" t="s">
        <v>7194</v>
      </c>
      <c r="H2603" s="5" t="s">
        <v>7490</v>
      </c>
      <c r="I2603" s="5" t="s">
        <v>7550</v>
      </c>
      <c r="J2603" s="5" t="s">
        <v>7551</v>
      </c>
      <c r="K2603" s="7" t="str">
        <f ca="1">IFERROR(__xludf.DUMMYFUNCTION("GOOGLETRANSLATE(H2603,""EN"",""ES"")"),"BARCOS Y BARCOS")</f>
        <v>BARCOS Y BARCOS</v>
      </c>
      <c r="L2603" s="5" t="str">
        <f ca="1">IFERROR(__xludf.DUMMYFUNCTION("GOOGLETRANSLATE(J2603,""EN"",""ES"")"),"Hidroaviones [barcos a motor]")</f>
        <v>Hidroaviones [barcos a motor]</v>
      </c>
      <c r="M2603" s="1" t="s">
        <v>40</v>
      </c>
      <c r="N2603" s="8"/>
    </row>
    <row r="2604" spans="1:14" ht="11.25" customHeight="1">
      <c r="A2604" s="5" t="s">
        <v>7189</v>
      </c>
      <c r="B2604" s="5" t="s">
        <v>7488</v>
      </c>
      <c r="C2604" s="5" t="s">
        <v>7552</v>
      </c>
      <c r="D2604" s="5" t="s">
        <v>7192</v>
      </c>
      <c r="E2604" s="5" t="s">
        <v>36</v>
      </c>
      <c r="F2604" s="5" t="s">
        <v>7193</v>
      </c>
      <c r="G2604" s="5" t="s">
        <v>7194</v>
      </c>
      <c r="H2604" s="5" t="s">
        <v>7490</v>
      </c>
      <c r="I2604" s="5" t="s">
        <v>7553</v>
      </c>
      <c r="J2604" s="5" t="s">
        <v>7554</v>
      </c>
      <c r="K2604" s="7" t="str">
        <f ca="1">IFERROR(__xludf.DUMMYFUNCTION("GOOGLETRANSLATE(H2604,""EN"",""ES"")"),"BARCOS Y BARCOS")</f>
        <v>BARCOS Y BARCOS</v>
      </c>
      <c r="L2604" s="5" t="str">
        <f ca="1">IFERROR(__xludf.DUMMYFUNCTION("GOOGLETRANSLATE(J2604,""EN"",""ES"")"),"Mástiles de barcos")</f>
        <v>Mástiles de barcos</v>
      </c>
      <c r="M2604" s="1" t="s">
        <v>40</v>
      </c>
      <c r="N2604" s="8"/>
    </row>
    <row r="2605" spans="1:14" ht="11.25" customHeight="1">
      <c r="A2605" s="5" t="s">
        <v>7189</v>
      </c>
      <c r="B2605" s="5" t="s">
        <v>7488</v>
      </c>
      <c r="C2605" s="5" t="s">
        <v>7555</v>
      </c>
      <c r="D2605" s="5" t="s">
        <v>7192</v>
      </c>
      <c r="E2605" s="5" t="s">
        <v>36</v>
      </c>
      <c r="F2605" s="5" t="s">
        <v>7193</v>
      </c>
      <c r="G2605" s="5" t="s">
        <v>7194</v>
      </c>
      <c r="H2605" s="5" t="s">
        <v>7490</v>
      </c>
      <c r="I2605" s="5" t="s">
        <v>7556</v>
      </c>
      <c r="J2605" s="5" t="s">
        <v>7557</v>
      </c>
      <c r="K2605" s="7" t="str">
        <f ca="1">IFERROR(__xludf.DUMMYFUNCTION("GOOGLETRANSLATE(H2605,""EN"",""ES"")"),"BARCOS Y BARCOS")</f>
        <v>BARCOS Y BARCOS</v>
      </c>
      <c r="L2605" s="5" t="str">
        <f ca="1">IFERROR(__xludf.DUMMYFUNCTION("GOOGLETRANSLATE(J2605,""EN"",""ES"")"),"Remos para canoas")</f>
        <v>Remos para canoas</v>
      </c>
      <c r="M2605" s="1" t="s">
        <v>40</v>
      </c>
      <c r="N2605" s="8"/>
    </row>
    <row r="2606" spans="1:14" ht="11.25" customHeight="1">
      <c r="A2606" s="5" t="s">
        <v>7189</v>
      </c>
      <c r="B2606" s="5" t="s">
        <v>7488</v>
      </c>
      <c r="C2606" s="5" t="s">
        <v>7558</v>
      </c>
      <c r="D2606" s="5" t="s">
        <v>7192</v>
      </c>
      <c r="E2606" s="5" t="s">
        <v>36</v>
      </c>
      <c r="F2606" s="5" t="s">
        <v>7193</v>
      </c>
      <c r="G2606" s="5" t="s">
        <v>7194</v>
      </c>
      <c r="H2606" s="5" t="s">
        <v>7490</v>
      </c>
      <c r="I2606" s="5" t="s">
        <v>7559</v>
      </c>
      <c r="J2606" s="5" t="s">
        <v>7560</v>
      </c>
      <c r="K2606" s="7" t="str">
        <f ca="1">IFERROR(__xludf.DUMMYFUNCTION("GOOGLETRANSLATE(H2606,""EN"",""ES"")"),"BARCOS Y BARCOS")</f>
        <v>BARCOS Y BARCOS</v>
      </c>
      <c r="L2606" s="5" t="str">
        <f ca="1">IFERROR(__xludf.DUMMYFUNCTION("GOOGLETRANSLATE(J2606,""EN"",""ES"")"),"pontones")</f>
        <v>pontones</v>
      </c>
      <c r="M2606" s="1" t="s">
        <v>40</v>
      </c>
      <c r="N2606" s="8"/>
    </row>
    <row r="2607" spans="1:14" ht="11.25" customHeight="1">
      <c r="A2607" s="5" t="s">
        <v>7189</v>
      </c>
      <c r="B2607" s="5" t="s">
        <v>7488</v>
      </c>
      <c r="C2607" s="5" t="s">
        <v>7561</v>
      </c>
      <c r="D2607" s="5" t="s">
        <v>7192</v>
      </c>
      <c r="E2607" s="5" t="s">
        <v>36</v>
      </c>
      <c r="F2607" s="5" t="s">
        <v>7193</v>
      </c>
      <c r="G2607" s="5" t="s">
        <v>7194</v>
      </c>
      <c r="H2607" s="5" t="s">
        <v>7490</v>
      </c>
      <c r="I2607" s="5" t="s">
        <v>7562</v>
      </c>
      <c r="J2607" s="5" t="s">
        <v>7563</v>
      </c>
      <c r="K2607" s="7" t="str">
        <f ca="1">IFERROR(__xludf.DUMMYFUNCTION("GOOGLETRANSLATE(H2607,""EN"",""ES"")"),"BARCOS Y BARCOS")</f>
        <v>BARCOS Y BARCOS</v>
      </c>
      <c r="L2607" s="5" t="str">
        <f ca="1">IFERROR(__xludf.DUMMYFUNCTION("GOOGLETRANSLATE(J2607,""EN"",""ES"")"),"Quilas de barcos")</f>
        <v>Quilas de barcos</v>
      </c>
      <c r="M2607" s="1" t="s">
        <v>40</v>
      </c>
      <c r="N2607" s="8"/>
    </row>
    <row r="2608" spans="1:14" ht="11.25" customHeight="1">
      <c r="A2608" s="5" t="s">
        <v>7189</v>
      </c>
      <c r="B2608" s="5" t="s">
        <v>7488</v>
      </c>
      <c r="C2608" s="5" t="s">
        <v>7564</v>
      </c>
      <c r="D2608" s="5" t="s">
        <v>7192</v>
      </c>
      <c r="E2608" s="5" t="s">
        <v>36</v>
      </c>
      <c r="F2608" s="5" t="s">
        <v>7193</v>
      </c>
      <c r="G2608" s="5" t="s">
        <v>7194</v>
      </c>
      <c r="H2608" s="5" t="s">
        <v>7490</v>
      </c>
      <c r="I2608" s="5" t="s">
        <v>7565</v>
      </c>
      <c r="J2608" s="5" t="s">
        <v>7566</v>
      </c>
      <c r="K2608" s="7" t="str">
        <f ca="1">IFERROR(__xludf.DUMMYFUNCTION("GOOGLETRANSLATE(H2608,""EN"",""ES"")"),"BARCOS Y BARCOS")</f>
        <v>BARCOS Y BARCOS</v>
      </c>
      <c r="L2608" s="5" t="str">
        <f ca="1">IFERROR(__xludf.DUMMYFUNCTION("GOOGLETRANSLATE(J2608,""EN"",""ES"")"),"Balsas")</f>
        <v>Balsas</v>
      </c>
      <c r="M2608" s="1" t="s">
        <v>40</v>
      </c>
      <c r="N2608" s="8"/>
    </row>
    <row r="2609" spans="1:14" ht="11.25" customHeight="1">
      <c r="A2609" s="5" t="s">
        <v>7189</v>
      </c>
      <c r="B2609" s="5" t="s">
        <v>7488</v>
      </c>
      <c r="C2609" s="5" t="s">
        <v>7567</v>
      </c>
      <c r="D2609" s="5" t="s">
        <v>7192</v>
      </c>
      <c r="E2609" s="5" t="s">
        <v>36</v>
      </c>
      <c r="F2609" s="5" t="s">
        <v>7193</v>
      </c>
      <c r="G2609" s="5" t="s">
        <v>7194</v>
      </c>
      <c r="H2609" s="5" t="s">
        <v>7490</v>
      </c>
      <c r="I2609" s="5" t="s">
        <v>7568</v>
      </c>
      <c r="J2609" s="5" t="s">
        <v>7569</v>
      </c>
      <c r="K2609" s="7" t="str">
        <f ca="1">IFERROR(__xludf.DUMMYFUNCTION("GOOGLETRANSLATE(H2609,""EN"",""ES"")"),"BARCOS Y BARCOS")</f>
        <v>BARCOS Y BARCOS</v>
      </c>
      <c r="L2609" s="5" t="str">
        <f ca="1">IFERROR(__xludf.DUMMYFUNCTION("GOOGLETRANSLATE(J2609,""EN"",""ES"")"),"Balsas salvavidas [inflables]")</f>
        <v>Balsas salvavidas [inflables]</v>
      </c>
      <c r="M2609" s="1" t="s">
        <v>40</v>
      </c>
      <c r="N2609" s="8"/>
    </row>
    <row r="2610" spans="1:14" ht="11.25" customHeight="1">
      <c r="A2610" s="5" t="s">
        <v>7189</v>
      </c>
      <c r="B2610" s="5" t="s">
        <v>7488</v>
      </c>
      <c r="C2610" s="5" t="s">
        <v>7570</v>
      </c>
      <c r="D2610" s="5" t="s">
        <v>7192</v>
      </c>
      <c r="E2610" s="5" t="s">
        <v>36</v>
      </c>
      <c r="F2610" s="5" t="s">
        <v>7193</v>
      </c>
      <c r="G2610" s="5" t="s">
        <v>7194</v>
      </c>
      <c r="H2610" s="5" t="s">
        <v>7490</v>
      </c>
      <c r="I2610" s="5" t="s">
        <v>7571</v>
      </c>
      <c r="J2610" s="5" t="s">
        <v>7572</v>
      </c>
      <c r="K2610" s="7" t="str">
        <f ca="1">IFERROR(__xludf.DUMMYFUNCTION("GOOGLETRANSLATE(H2610,""EN"",""ES"")"),"BARCOS Y BARCOS")</f>
        <v>BARCOS Y BARCOS</v>
      </c>
      <c r="L2610" s="5" t="str">
        <f ca="1">IFERROR(__xludf.DUMMYFUNCTION("GOOGLETRANSLATE(J2610,""EN"",""ES"")"),"Barcos de remolque")</f>
        <v>Barcos de remolque</v>
      </c>
      <c r="M2610" s="1" t="s">
        <v>40</v>
      </c>
      <c r="N2610" s="8"/>
    </row>
    <row r="2611" spans="1:14" ht="11.25" customHeight="1">
      <c r="A2611" s="5" t="s">
        <v>7189</v>
      </c>
      <c r="B2611" s="5" t="s">
        <v>7488</v>
      </c>
      <c r="C2611" s="5" t="s">
        <v>7573</v>
      </c>
      <c r="D2611" s="5" t="s">
        <v>7192</v>
      </c>
      <c r="E2611" s="5" t="s">
        <v>36</v>
      </c>
      <c r="F2611" s="5" t="s">
        <v>7193</v>
      </c>
      <c r="G2611" s="5" t="s">
        <v>7194</v>
      </c>
      <c r="H2611" s="5" t="s">
        <v>7490</v>
      </c>
      <c r="I2611" s="5" t="s">
        <v>7574</v>
      </c>
      <c r="J2611" s="5" t="s">
        <v>7575</v>
      </c>
      <c r="K2611" s="7" t="str">
        <f ca="1">IFERROR(__xludf.DUMMYFUNCTION("GOOGLETRANSLATE(H2611,""EN"",""ES"")"),"BARCOS Y BARCOS")</f>
        <v>BARCOS Y BARCOS</v>
      </c>
      <c r="L2611" s="5" t="str">
        <f ca="1">IFERROR(__xludf.DUMMYFUNCTION("GOOGLETRANSLATE(J2611,""EN"",""ES"")"),"Remolcadores")</f>
        <v>Remolcadores</v>
      </c>
      <c r="M2611" s="1" t="s">
        <v>40</v>
      </c>
      <c r="N2611" s="8"/>
    </row>
    <row r="2612" spans="1:14" ht="11.25" customHeight="1">
      <c r="A2612" s="5" t="s">
        <v>7189</v>
      </c>
      <c r="B2612" s="5" t="s">
        <v>7488</v>
      </c>
      <c r="C2612" s="5" t="s">
        <v>7576</v>
      </c>
      <c r="D2612" s="5" t="s">
        <v>7192</v>
      </c>
      <c r="E2612" s="5" t="s">
        <v>36</v>
      </c>
      <c r="F2612" s="5" t="s">
        <v>7193</v>
      </c>
      <c r="G2612" s="5" t="s">
        <v>7194</v>
      </c>
      <c r="H2612" s="5" t="s">
        <v>7490</v>
      </c>
      <c r="I2612" s="5" t="s">
        <v>7577</v>
      </c>
      <c r="J2612" s="5" t="s">
        <v>7578</v>
      </c>
      <c r="K2612" s="7" t="str">
        <f ca="1">IFERROR(__xludf.DUMMYFUNCTION("GOOGLETRANSLATE(H2612,""EN"",""ES"")"),"BARCOS Y BARCOS")</f>
        <v>BARCOS Y BARCOS</v>
      </c>
      <c r="L2612" s="5" t="str">
        <f ca="1">IFERROR(__xludf.DUMMYFUNCTION("GOOGLETRANSLATE(J2612,""EN"",""ES"")"),"submarinos")</f>
        <v>submarinos</v>
      </c>
      <c r="M2612" s="1" t="s">
        <v>40</v>
      </c>
      <c r="N2612" s="8"/>
    </row>
    <row r="2613" spans="1:14" ht="11.25" customHeight="1">
      <c r="A2613" s="5" t="s">
        <v>7189</v>
      </c>
      <c r="B2613" s="5" t="s">
        <v>7488</v>
      </c>
      <c r="C2613" s="5" t="s">
        <v>7576</v>
      </c>
      <c r="D2613" s="5" t="s">
        <v>7192</v>
      </c>
      <c r="E2613" s="5" t="s">
        <v>36</v>
      </c>
      <c r="F2613" s="5" t="s">
        <v>7193</v>
      </c>
      <c r="G2613" s="5" t="s">
        <v>7194</v>
      </c>
      <c r="H2613" s="5" t="s">
        <v>7490</v>
      </c>
      <c r="I2613" s="5" t="s">
        <v>152</v>
      </c>
      <c r="J2613" s="5" t="s">
        <v>7579</v>
      </c>
      <c r="K2613" s="7" t="str">
        <f ca="1">IFERROR(__xludf.DUMMYFUNCTION("GOOGLETRANSLATE(H2613,""EN"",""ES"")"),"BARCOS Y BARCOS")</f>
        <v>BARCOS Y BARCOS</v>
      </c>
      <c r="L2613" s="5" t="str">
        <f ca="1">IFERROR(__xludf.DUMMYFUNCTION("GOOGLETRANSLATE(J2613,""EN"",""ES"")"),"N / A")</f>
        <v>N / A</v>
      </c>
      <c r="M2613" s="1" t="s">
        <v>40</v>
      </c>
      <c r="N2613" s="8"/>
    </row>
    <row r="2614" spans="1:14" ht="11.25" customHeight="1">
      <c r="A2614" s="5" t="s">
        <v>7189</v>
      </c>
      <c r="B2614" s="5" t="s">
        <v>7488</v>
      </c>
      <c r="C2614" s="5" t="s">
        <v>7580</v>
      </c>
      <c r="D2614" s="5" t="s">
        <v>7192</v>
      </c>
      <c r="E2614" s="5" t="s">
        <v>36</v>
      </c>
      <c r="F2614" s="5" t="s">
        <v>7193</v>
      </c>
      <c r="G2614" s="5" t="s">
        <v>7194</v>
      </c>
      <c r="H2614" s="5" t="s">
        <v>7490</v>
      </c>
      <c r="I2614" s="5" t="s">
        <v>7581</v>
      </c>
      <c r="J2614" s="5" t="s">
        <v>7582</v>
      </c>
      <c r="K2614" s="7" t="str">
        <f ca="1">IFERROR(__xludf.DUMMYFUNCTION("GOOGLETRANSLATE(H2614,""EN"",""ES"")"),"BARCOS Y BARCOS")</f>
        <v>BARCOS Y BARCOS</v>
      </c>
      <c r="L2614" s="5" t="str">
        <f ca="1">IFERROR(__xludf.DUMMYFUNCTION("GOOGLETRANSLATE(J2614,""EN"",""ES"")"),"Velas para barcos")</f>
        <v>Velas para barcos</v>
      </c>
      <c r="M2614" s="1" t="s">
        <v>40</v>
      </c>
      <c r="N2614" s="8"/>
    </row>
    <row r="2615" spans="1:14" ht="11.25" customHeight="1">
      <c r="A2615" s="5" t="s">
        <v>7189</v>
      </c>
      <c r="B2615" s="5" t="s">
        <v>7488</v>
      </c>
      <c r="C2615" s="5" t="s">
        <v>7583</v>
      </c>
      <c r="D2615" s="5" t="s">
        <v>7192</v>
      </c>
      <c r="E2615" s="5" t="s">
        <v>36</v>
      </c>
      <c r="F2615" s="5" t="s">
        <v>7193</v>
      </c>
      <c r="G2615" s="5" t="s">
        <v>7194</v>
      </c>
      <c r="H2615" s="5" t="s">
        <v>7490</v>
      </c>
      <c r="I2615" s="5" t="s">
        <v>7584</v>
      </c>
      <c r="J2615" s="5" t="s">
        <v>7585</v>
      </c>
      <c r="K2615" s="7" t="str">
        <f ca="1">IFERROR(__xludf.DUMMYFUNCTION("GOOGLETRANSLATE(H2615,""EN"",""ES"")"),"BARCOS Y BARCOS")</f>
        <v>BARCOS Y BARCOS</v>
      </c>
      <c r="L2615" s="5" t="str">
        <f ca="1">IFERROR(__xludf.DUMMYFUNCTION("GOOGLETRANSLATE(J2615,""EN"",""ES"")"),"Barcos de vela")</f>
        <v>Barcos de vela</v>
      </c>
      <c r="M2615" s="1" t="s">
        <v>40</v>
      </c>
      <c r="N2615" s="8"/>
    </row>
    <row r="2616" spans="1:14" ht="11.25" customHeight="1">
      <c r="A2616" s="5" t="s">
        <v>7189</v>
      </c>
      <c r="B2616" s="5" t="s">
        <v>7488</v>
      </c>
      <c r="C2616" s="5" t="s">
        <v>7586</v>
      </c>
      <c r="D2616" s="5" t="s">
        <v>7192</v>
      </c>
      <c r="E2616" s="5" t="s">
        <v>36</v>
      </c>
      <c r="F2616" s="5" t="s">
        <v>7193</v>
      </c>
      <c r="G2616" s="5" t="s">
        <v>7194</v>
      </c>
      <c r="H2616" s="5" t="s">
        <v>7490</v>
      </c>
      <c r="I2616" s="5" t="s">
        <v>7587</v>
      </c>
      <c r="J2616" s="5" t="s">
        <v>7587</v>
      </c>
      <c r="K2616" s="7" t="str">
        <f ca="1">IFERROR(__xludf.DUMMYFUNCTION("GOOGLETRANSLATE(H2616,""EN"",""ES"")"),"BARCOS Y BARCOS")</f>
        <v>BARCOS Y BARCOS</v>
      </c>
      <c r="L2616" s="5" t="str">
        <f ca="1">IFERROR(__xludf.DUMMYFUNCTION("GOOGLETRANSLATE(J2616,""EN"",""ES"")"),"Yates")</f>
        <v>Yates</v>
      </c>
      <c r="M2616" s="1" t="s">
        <v>40</v>
      </c>
      <c r="N2616" s="8"/>
    </row>
    <row r="2617" spans="1:14" ht="11.25" customHeight="1">
      <c r="A2617" s="5" t="s">
        <v>7189</v>
      </c>
      <c r="B2617" s="5" t="s">
        <v>7488</v>
      </c>
      <c r="C2617" s="5" t="s">
        <v>7588</v>
      </c>
      <c r="D2617" s="5" t="s">
        <v>7192</v>
      </c>
      <c r="E2617" s="5" t="s">
        <v>36</v>
      </c>
      <c r="F2617" s="5" t="s">
        <v>7193</v>
      </c>
      <c r="G2617" s="5" t="s">
        <v>7194</v>
      </c>
      <c r="H2617" s="5" t="s">
        <v>7490</v>
      </c>
      <c r="I2617" s="5" t="s">
        <v>7589</v>
      </c>
      <c r="J2617" s="5" t="s">
        <v>7590</v>
      </c>
      <c r="K2617" s="7" t="str">
        <f ca="1">IFERROR(__xludf.DUMMYFUNCTION("GOOGLETRANSLATE(H2617,""EN"",""ES"")"),"BARCOS Y BARCOS")</f>
        <v>BARCOS Y BARCOS</v>
      </c>
      <c r="L2617" s="5" t="str">
        <f ca="1">IFERROR(__xludf.DUMMYFUNCTION("GOOGLETRANSLATE(J2617,""EN"",""ES"")"),"Batiscafos")</f>
        <v>Batiscafos</v>
      </c>
      <c r="M2617" s="1" t="s">
        <v>40</v>
      </c>
      <c r="N2617" s="8"/>
    </row>
    <row r="2618" spans="1:14" ht="11.25" customHeight="1">
      <c r="A2618" s="5" t="s">
        <v>7189</v>
      </c>
      <c r="B2618" s="5" t="s">
        <v>7488</v>
      </c>
      <c r="C2618" s="5" t="s">
        <v>7591</v>
      </c>
      <c r="D2618" s="5" t="s">
        <v>7192</v>
      </c>
      <c r="E2618" s="5" t="s">
        <v>36</v>
      </c>
      <c r="F2618" s="5" t="s">
        <v>7193</v>
      </c>
      <c r="G2618" s="5" t="s">
        <v>7194</v>
      </c>
      <c r="H2618" s="5" t="s">
        <v>7490</v>
      </c>
      <c r="I2618" s="5" t="s">
        <v>7592</v>
      </c>
      <c r="J2618" s="5" t="s">
        <v>7593</v>
      </c>
      <c r="K2618" s="7" t="str">
        <f ca="1">IFERROR(__xludf.DUMMYFUNCTION("GOOGLETRANSLATE(H2618,""EN"",""ES"")"),"BARCOS Y BARCOS")</f>
        <v>BARCOS Y BARCOS</v>
      </c>
      <c r="L2618" s="5" t="str">
        <f ca="1">IFERROR(__xludf.DUMMYFUNCTION("GOOGLETRANSLATE(J2618,""EN"",""ES"")"),"Pasarelas para barcos")</f>
        <v>Pasarelas para barcos</v>
      </c>
      <c r="M2618" s="1" t="s">
        <v>40</v>
      </c>
      <c r="N2618" s="8"/>
    </row>
    <row r="2619" spans="1:14" ht="11.25" customHeight="1">
      <c r="A2619" s="5" t="s">
        <v>7189</v>
      </c>
      <c r="B2619" s="5" t="s">
        <v>7488</v>
      </c>
      <c r="C2619" s="5" t="s">
        <v>7594</v>
      </c>
      <c r="D2619" s="5" t="s">
        <v>7192</v>
      </c>
      <c r="E2619" s="5" t="s">
        <v>36</v>
      </c>
      <c r="F2619" s="5" t="s">
        <v>7193</v>
      </c>
      <c r="G2619" s="5" t="s">
        <v>7194</v>
      </c>
      <c r="H2619" s="5" t="s">
        <v>7490</v>
      </c>
      <c r="I2619" s="5" t="s">
        <v>7595</v>
      </c>
      <c r="J2619" s="5" t="s">
        <v>7596</v>
      </c>
      <c r="K2619" s="7" t="str">
        <f ca="1">IFERROR(__xludf.DUMMYFUNCTION("GOOGLETRANSLATE(H2619,""EN"",""ES"")"),"BARCOS Y BARCOS")</f>
        <v>BARCOS Y BARCOS</v>
      </c>
      <c r="L2619" s="5" t="str">
        <f ca="1">IFERROR(__xludf.DUMMYFUNCTION("GOOGLETRANSLATE(J2619,""EN"",""ES"")"),"cascos de barcos")</f>
        <v>cascos de barcos</v>
      </c>
      <c r="M2619" s="1" t="s">
        <v>40</v>
      </c>
      <c r="N2619" s="8"/>
    </row>
    <row r="2620" spans="1:14" ht="11.25" customHeight="1">
      <c r="A2620" s="5" t="s">
        <v>7189</v>
      </c>
      <c r="B2620" s="5" t="s">
        <v>7488</v>
      </c>
      <c r="C2620" s="5" t="s">
        <v>7597</v>
      </c>
      <c r="D2620" s="5" t="s">
        <v>7192</v>
      </c>
      <c r="E2620" s="5" t="s">
        <v>36</v>
      </c>
      <c r="F2620" s="5" t="s">
        <v>7193</v>
      </c>
      <c r="G2620" s="5" t="s">
        <v>7194</v>
      </c>
      <c r="H2620" s="5" t="s">
        <v>7490</v>
      </c>
      <c r="I2620" s="5" t="s">
        <v>7598</v>
      </c>
      <c r="J2620" s="5" t="s">
        <v>7599</v>
      </c>
      <c r="K2620" s="7" t="str">
        <f ca="1">IFERROR(__xludf.DUMMYFUNCTION("GOOGLETRANSLATE(H2620,""EN"",""ES"")"),"BARCOS Y BARCOS")</f>
        <v>BARCOS Y BARCOS</v>
      </c>
      <c r="L2620" s="5" t="str">
        <f ca="1">IFERROR(__xludf.DUMMYFUNCTION("GOOGLETRANSLATE(J2620,""EN"",""ES"")"),"Ruedas de paletas [propulsión de barcos]")</f>
        <v>Ruedas de paletas [propulsión de barcos]</v>
      </c>
      <c r="M2620" s="1" t="s">
        <v>40</v>
      </c>
      <c r="N2620" s="8"/>
    </row>
    <row r="2621" spans="1:14" ht="11.25" customHeight="1">
      <c r="A2621" s="5" t="s">
        <v>7189</v>
      </c>
      <c r="B2621" s="5" t="s">
        <v>7488</v>
      </c>
      <c r="C2621" s="5" t="s">
        <v>7600</v>
      </c>
      <c r="D2621" s="5" t="s">
        <v>7192</v>
      </c>
      <c r="E2621" s="5" t="s">
        <v>36</v>
      </c>
      <c r="F2621" s="5" t="s">
        <v>7193</v>
      </c>
      <c r="G2621" s="5" t="s">
        <v>7194</v>
      </c>
      <c r="H2621" s="5" t="s">
        <v>7490</v>
      </c>
      <c r="I2621" s="5" t="s">
        <v>7601</v>
      </c>
      <c r="J2621" s="5" t="s">
        <v>7602</v>
      </c>
      <c r="K2621" s="7" t="str">
        <f ca="1">IFERROR(__xludf.DUMMYFUNCTION("GOOGLETRANSLATE(H2621,""EN"",""ES"")"),"BARCOS Y BARCOS")</f>
        <v>BARCOS Y BARCOS</v>
      </c>
      <c r="L2621" s="5" t="str">
        <f ca="1">IFERROR(__xludf.DUMMYFUNCTION("GOOGLETRANSLATE(J2621,""EN"",""ES"")"),"escaleras de barcos")</f>
        <v>escaleras de barcos</v>
      </c>
      <c r="M2621" s="1" t="s">
        <v>40</v>
      </c>
      <c r="N2621" s="8"/>
    </row>
    <row r="2622" spans="1:14" ht="11.25" customHeight="1">
      <c r="A2622" s="5" t="s">
        <v>7189</v>
      </c>
      <c r="B2622" s="5" t="s">
        <v>7488</v>
      </c>
      <c r="C2622" s="5" t="s">
        <v>7603</v>
      </c>
      <c r="D2622" s="5" t="s">
        <v>7192</v>
      </c>
      <c r="E2622" s="5" t="s">
        <v>36</v>
      </c>
      <c r="F2622" s="5" t="s">
        <v>7193</v>
      </c>
      <c r="G2622" s="5" t="s">
        <v>7194</v>
      </c>
      <c r="H2622" s="5" t="s">
        <v>7490</v>
      </c>
      <c r="I2622" s="5" t="s">
        <v>7604</v>
      </c>
      <c r="J2622" s="5" t="s">
        <v>7605</v>
      </c>
      <c r="K2622" s="7" t="str">
        <f ca="1">IFERROR(__xludf.DUMMYFUNCTION("GOOGLETRANSLATE(H2622,""EN"",""ES"")"),"BARCOS Y BARCOS")</f>
        <v>BARCOS Y BARCOS</v>
      </c>
      <c r="L2622" s="5" t="str">
        <f ca="1">IFERROR(__xludf.DUMMYFUNCTION("GOOGLETRANSLATE(J2622,""EN"",""ES"")"),"Timones para barcos")</f>
        <v>Timones para barcos</v>
      </c>
      <c r="M2622" s="1" t="s">
        <v>40</v>
      </c>
      <c r="N2622" s="8"/>
    </row>
    <row r="2623" spans="1:14" ht="11.25" customHeight="1">
      <c r="A2623" s="5" t="s">
        <v>7189</v>
      </c>
      <c r="B2623" s="5" t="s">
        <v>7488</v>
      </c>
      <c r="C2623" s="5" t="s">
        <v>7606</v>
      </c>
      <c r="D2623" s="5" t="s">
        <v>7192</v>
      </c>
      <c r="E2623" s="5" t="s">
        <v>36</v>
      </c>
      <c r="F2623" s="5" t="s">
        <v>7193</v>
      </c>
      <c r="G2623" s="5" t="s">
        <v>7194</v>
      </c>
      <c r="H2623" s="5" t="s">
        <v>7490</v>
      </c>
      <c r="I2623" s="5" t="s">
        <v>7607</v>
      </c>
      <c r="J2623" s="5" t="s">
        <v>7608</v>
      </c>
      <c r="K2623" s="7" t="str">
        <f ca="1">IFERROR(__xludf.DUMMYFUNCTION("GOOGLETRANSLATE(H2623,""EN"",""ES"")"),"BARCOS Y BARCOS")</f>
        <v>BARCOS Y BARCOS</v>
      </c>
      <c r="L2623" s="5" t="str">
        <f ca="1">IFERROR(__xludf.DUMMYFUNCTION("GOOGLETRANSLATE(J2623,""EN"",""ES"")"),"Cornamusas para barcos y barcos.")</f>
        <v>Cornamusas para barcos y barcos.</v>
      </c>
      <c r="M2623" s="1" t="s">
        <v>40</v>
      </c>
      <c r="N2623" s="8"/>
    </row>
    <row r="2624" spans="1:14" ht="11.25" customHeight="1">
      <c r="A2624" s="5" t="s">
        <v>7189</v>
      </c>
      <c r="B2624" s="5" t="s">
        <v>7488</v>
      </c>
      <c r="C2624" s="5" t="s">
        <v>7606</v>
      </c>
      <c r="D2624" s="5" t="s">
        <v>7192</v>
      </c>
      <c r="E2624" s="5" t="s">
        <v>36</v>
      </c>
      <c r="F2624" s="5" t="s">
        <v>7193</v>
      </c>
      <c r="G2624" s="5" t="s">
        <v>7194</v>
      </c>
      <c r="H2624" s="5" t="s">
        <v>7490</v>
      </c>
      <c r="I2624" s="5" t="s">
        <v>7609</v>
      </c>
      <c r="J2624" s="5" t="s">
        <v>7610</v>
      </c>
      <c r="K2624" s="7" t="str">
        <f ca="1">IFERROR(__xludf.DUMMYFUNCTION("GOOGLETRANSLATE(H2624,""EN"",""ES"")"),"BARCOS Y BARCOS")</f>
        <v>BARCOS Y BARCOS</v>
      </c>
      <c r="L2624" s="5" t="str">
        <f ca="1">IFERROR(__xludf.DUMMYFUNCTION("GOOGLETRANSLATE(J2624,""EN"",""ES"")"),"Cornamusas para barcos")</f>
        <v>Cornamusas para barcos</v>
      </c>
      <c r="M2624" s="1" t="s">
        <v>40</v>
      </c>
      <c r="N2624" s="8"/>
    </row>
    <row r="2625" spans="1:14" ht="11.25" customHeight="1">
      <c r="A2625" s="5" t="s">
        <v>7189</v>
      </c>
      <c r="B2625" s="5" t="s">
        <v>7488</v>
      </c>
      <c r="C2625" s="5" t="s">
        <v>7606</v>
      </c>
      <c r="D2625" s="5" t="s">
        <v>7192</v>
      </c>
      <c r="E2625" s="5" t="s">
        <v>36</v>
      </c>
      <c r="F2625" s="5" t="s">
        <v>7193</v>
      </c>
      <c r="G2625" s="5" t="s">
        <v>7194</v>
      </c>
      <c r="H2625" s="5" t="s">
        <v>7490</v>
      </c>
      <c r="I2625" s="5" t="s">
        <v>7611</v>
      </c>
      <c r="J2625" s="5" t="s">
        <v>7612</v>
      </c>
      <c r="K2625" s="7" t="str">
        <f ca="1">IFERROR(__xludf.DUMMYFUNCTION("GOOGLETRANSLATE(H2625,""EN"",""ES"")"),"BARCOS Y BARCOS")</f>
        <v>BARCOS Y BARCOS</v>
      </c>
      <c r="L2625" s="5" t="str">
        <f ca="1">IFERROR(__xludf.DUMMYFUNCTION("GOOGLETRANSLATE(J2625,""EN"",""ES"")"),"Cornamusas para barcos")</f>
        <v>Cornamusas para barcos</v>
      </c>
      <c r="M2625" s="1" t="s">
        <v>40</v>
      </c>
      <c r="N2625" s="8"/>
    </row>
    <row r="2626" spans="1:14" ht="11.25" customHeight="1">
      <c r="A2626" s="5" t="s">
        <v>7189</v>
      </c>
      <c r="B2626" s="5" t="s">
        <v>7488</v>
      </c>
      <c r="C2626" s="5" t="s">
        <v>7613</v>
      </c>
      <c r="D2626" s="5" t="s">
        <v>7192</v>
      </c>
      <c r="E2626" s="5" t="s">
        <v>36</v>
      </c>
      <c r="F2626" s="5" t="s">
        <v>7193</v>
      </c>
      <c r="G2626" s="5" t="s">
        <v>7194</v>
      </c>
      <c r="H2626" s="5" t="s">
        <v>7490</v>
      </c>
      <c r="I2626" s="5" t="s">
        <v>7614</v>
      </c>
      <c r="J2626" s="5" t="s">
        <v>7615</v>
      </c>
      <c r="K2626" s="7" t="str">
        <f ca="1">IFERROR(__xludf.DUMMYFUNCTION("GOOGLETRANSLATE(H2626,""EN"",""ES"")"),"BARCOS Y BARCOS")</f>
        <v>BARCOS Y BARCOS</v>
      </c>
      <c r="L2626" s="5" t="str">
        <f ca="1">IFERROR(__xludf.DUMMYFUNCTION("GOOGLETRANSLATE(J2626,""EN"",""ES"")"),"Tensores para barcos")</f>
        <v>Tensores para barcos</v>
      </c>
      <c r="M2626" s="1" t="s">
        <v>40</v>
      </c>
      <c r="N2626" s="8"/>
    </row>
    <row r="2627" spans="1:14" ht="11.25" customHeight="1">
      <c r="A2627" s="5" t="s">
        <v>7189</v>
      </c>
      <c r="B2627" s="5" t="s">
        <v>7488</v>
      </c>
      <c r="C2627" s="5" t="s">
        <v>7616</v>
      </c>
      <c r="D2627" s="5" t="s">
        <v>7192</v>
      </c>
      <c r="E2627" s="5" t="s">
        <v>36</v>
      </c>
      <c r="F2627" s="5" t="s">
        <v>7193</v>
      </c>
      <c r="G2627" s="5" t="s">
        <v>7194</v>
      </c>
      <c r="H2627" s="5" t="s">
        <v>7490</v>
      </c>
      <c r="I2627" s="5" t="s">
        <v>7617</v>
      </c>
      <c r="J2627" s="5" t="s">
        <v>7617</v>
      </c>
      <c r="K2627" s="7" t="str">
        <f ca="1">IFERROR(__xludf.DUMMYFUNCTION("GOOGLETRANSLATE(H2627,""EN"",""ES"")"),"BARCOS Y BARCOS")</f>
        <v>BARCOS Y BARCOS</v>
      </c>
      <c r="L2627" s="5" t="str">
        <f ca="1">IFERROR(__xludf.DUMMYFUNCTION("GOOGLETRANSLATE(J2627,""EN"",""ES"")"),"trimaranes")</f>
        <v>trimaranes</v>
      </c>
      <c r="M2627" s="1" t="s">
        <v>40</v>
      </c>
      <c r="N2627" s="8"/>
    </row>
    <row r="2628" spans="1:14" ht="11.25" customHeight="1">
      <c r="A2628" s="5" t="s">
        <v>7189</v>
      </c>
      <c r="B2628" s="5" t="s">
        <v>7488</v>
      </c>
      <c r="C2628" s="5" t="s">
        <v>7618</v>
      </c>
      <c r="D2628" s="5" t="s">
        <v>7192</v>
      </c>
      <c r="E2628" s="5" t="s">
        <v>36</v>
      </c>
      <c r="F2628" s="5" t="s">
        <v>7193</v>
      </c>
      <c r="G2628" s="5" t="s">
        <v>7194</v>
      </c>
      <c r="H2628" s="5" t="s">
        <v>7490</v>
      </c>
      <c r="I2628" s="5" t="s">
        <v>7619</v>
      </c>
      <c r="J2628" s="5" t="s">
        <v>7620</v>
      </c>
      <c r="K2628" s="7" t="str">
        <f ca="1">IFERROR(__xludf.DUMMYFUNCTION("GOOGLETRANSLATE(H2628,""EN"",""ES"")"),"BARCOS Y BARCOS")</f>
        <v>BARCOS Y BARCOS</v>
      </c>
      <c r="L2628" s="5" t="str">
        <f ca="1">IFERROR(__xludf.DUMMYFUNCTION("GOOGLETRANSLATE(J2628,""EN"",""ES"")"),"Drones submarinos")</f>
        <v>Drones submarinos</v>
      </c>
      <c r="M2628" s="1" t="s">
        <v>40</v>
      </c>
      <c r="N2628" s="8"/>
    </row>
    <row r="2629" spans="1:14" ht="11.25" customHeight="1">
      <c r="A2629" s="5" t="s">
        <v>7189</v>
      </c>
      <c r="B2629" s="5" t="s">
        <v>7488</v>
      </c>
      <c r="C2629" s="5" t="s">
        <v>7621</v>
      </c>
      <c r="D2629" s="5" t="s">
        <v>7192</v>
      </c>
      <c r="E2629" s="5" t="s">
        <v>36</v>
      </c>
      <c r="F2629" s="5" t="s">
        <v>7193</v>
      </c>
      <c r="G2629" s="5" t="s">
        <v>7194</v>
      </c>
      <c r="H2629" s="5" t="s">
        <v>7490</v>
      </c>
      <c r="I2629" s="5" t="s">
        <v>7622</v>
      </c>
      <c r="J2629" s="5" t="s">
        <v>7623</v>
      </c>
      <c r="K2629" s="7" t="str">
        <f ca="1">IFERROR(__xludf.DUMMYFUNCTION("GOOGLETRANSLATE(H2629,""EN"",""ES"")"),"BARCOS Y BARCOS")</f>
        <v>BARCOS Y BARCOS</v>
      </c>
      <c r="L2629" s="5" t="str">
        <f ca="1">IFERROR(__xludf.DUMMYFUNCTION("GOOGLETRANSLATE(J2629,""EN"",""ES"")"),"Motos acuáticas [motos acuáticas]")</f>
        <v>Motos acuáticas [motos acuáticas]</v>
      </c>
      <c r="M2629" s="1" t="s">
        <v>40</v>
      </c>
      <c r="N2629" s="8"/>
    </row>
    <row r="2630" spans="1:14" ht="11.25" customHeight="1">
      <c r="A2630" s="5" t="s">
        <v>7189</v>
      </c>
      <c r="B2630" s="5" t="s">
        <v>7488</v>
      </c>
      <c r="C2630" s="5" t="s">
        <v>7624</v>
      </c>
      <c r="D2630" s="5" t="s">
        <v>7192</v>
      </c>
      <c r="E2630" s="5" t="s">
        <v>36</v>
      </c>
      <c r="F2630" s="5" t="s">
        <v>7193</v>
      </c>
      <c r="G2630" s="5" t="s">
        <v>7194</v>
      </c>
      <c r="H2630" s="5" t="s">
        <v>7490</v>
      </c>
      <c r="I2630" s="5" t="s">
        <v>7625</v>
      </c>
      <c r="J2630" s="5" t="s">
        <v>7626</v>
      </c>
      <c r="K2630" s="7" t="str">
        <f ca="1">IFERROR(__xludf.DUMMYFUNCTION("GOOGLETRANSLATE(H2630,""EN"",""ES"")"),"BARCOS Y BARCOS")</f>
        <v>BARCOS Y BARCOS</v>
      </c>
      <c r="L2630" s="5" t="str">
        <f ca="1">IFERROR(__xludf.DUMMYFUNCTION("GOOGLETRANSLATE(J2630,""EN"",""ES"")"),"scooters submarinos")</f>
        <v>scooters submarinos</v>
      </c>
      <c r="M2630" s="1" t="s">
        <v>40</v>
      </c>
      <c r="N2630" s="8"/>
    </row>
    <row r="2631" spans="1:14" ht="11.25" customHeight="1">
      <c r="A2631" s="5" t="s">
        <v>7189</v>
      </c>
      <c r="B2631" s="5" t="s">
        <v>7627</v>
      </c>
      <c r="C2631" s="5" t="s">
        <v>7628</v>
      </c>
      <c r="D2631" s="5" t="s">
        <v>7192</v>
      </c>
      <c r="E2631" s="5" t="s">
        <v>36</v>
      </c>
      <c r="F2631" s="5" t="s">
        <v>7193</v>
      </c>
      <c r="G2631" s="5" t="s">
        <v>7194</v>
      </c>
      <c r="H2631" s="5" t="s">
        <v>7629</v>
      </c>
      <c r="I2631" s="5" t="s">
        <v>7630</v>
      </c>
      <c r="J2631" s="5" t="s">
        <v>7631</v>
      </c>
      <c r="K2631" s="7" t="str">
        <f ca="1">IFERROR(__xludf.DUMMYFUNCTION("GOOGLETRANSLATE(H2631,""EN"",""ES"")"),"AERONAVES Y VEHÍCULOS ESPACIALES")</f>
        <v>AERONAVES Y VEHÍCULOS ESPACIALES</v>
      </c>
      <c r="L2631" s="5" t="str">
        <f ca="1">IFERROR(__xludf.DUMMYFUNCTION("GOOGLETRANSLATE(J2631,""EN"",""ES"")"),"Aviones")</f>
        <v>Aviones</v>
      </c>
      <c r="M2631" s="1" t="s">
        <v>35</v>
      </c>
      <c r="N2631" s="8"/>
    </row>
    <row r="2632" spans="1:14" ht="11.25" customHeight="1">
      <c r="A2632" s="5" t="s">
        <v>7189</v>
      </c>
      <c r="B2632" s="5" t="s">
        <v>7627</v>
      </c>
      <c r="C2632" s="5" t="s">
        <v>7628</v>
      </c>
      <c r="D2632" s="5" t="s">
        <v>7192</v>
      </c>
      <c r="E2632" s="5" t="s">
        <v>36</v>
      </c>
      <c r="F2632" s="5" t="s">
        <v>7193</v>
      </c>
      <c r="G2632" s="5" t="s">
        <v>7194</v>
      </c>
      <c r="H2632" s="5" t="s">
        <v>7629</v>
      </c>
      <c r="I2632" s="5" t="s">
        <v>7632</v>
      </c>
      <c r="J2632" s="5" t="s">
        <v>7633</v>
      </c>
      <c r="K2632" s="7" t="str">
        <f ca="1">IFERROR(__xludf.DUMMYFUNCTION("GOOGLETRANSLATE(H2632,""EN"",""ES"")"),"AERONAVES Y VEHÍCULOS ESPACIALES")</f>
        <v>AERONAVES Y VEHÍCULOS ESPACIALES</v>
      </c>
      <c r="L2632" s="5" t="str">
        <f ca="1">IFERROR(__xludf.DUMMYFUNCTION("GOOGLETRANSLATE(J2632,""EN"",""ES"")"),"Aeronave")</f>
        <v>Aeronave</v>
      </c>
      <c r="M2632" s="1" t="s">
        <v>35</v>
      </c>
      <c r="N2632" s="8"/>
    </row>
    <row r="2633" spans="1:14" ht="11.25" customHeight="1">
      <c r="A2633" s="5" t="s">
        <v>7189</v>
      </c>
      <c r="B2633" s="5" t="s">
        <v>7627</v>
      </c>
      <c r="C2633" s="5" t="s">
        <v>7634</v>
      </c>
      <c r="D2633" s="5" t="s">
        <v>7192</v>
      </c>
      <c r="E2633" s="5" t="s">
        <v>36</v>
      </c>
      <c r="F2633" s="5" t="s">
        <v>7193</v>
      </c>
      <c r="G2633" s="5" t="s">
        <v>7194</v>
      </c>
      <c r="H2633" s="5" t="s">
        <v>7629</v>
      </c>
      <c r="I2633" s="5" t="s">
        <v>7635</v>
      </c>
      <c r="J2633" s="5" t="s">
        <v>7636</v>
      </c>
      <c r="K2633" s="7" t="str">
        <f ca="1">IFERROR(__xludf.DUMMYFUNCTION("GOOGLETRANSLATE(H2633,""EN"",""ES"")"),"AERONAVES Y VEHÍCULOS ESPACIALES")</f>
        <v>AERONAVES Y VEHÍCULOS ESPACIALES</v>
      </c>
      <c r="L2633" s="5" t="str">
        <f ca="1">IFERROR(__xludf.DUMMYFUNCTION("GOOGLETRANSLATE(J2633,""EN"",""ES"")"),"globos aerostáticos")</f>
        <v>globos aerostáticos</v>
      </c>
      <c r="M2633" s="1" t="s">
        <v>35</v>
      </c>
      <c r="N2633" s="8"/>
    </row>
    <row r="2634" spans="1:14" ht="11.25" customHeight="1">
      <c r="A2634" s="5" t="s">
        <v>7189</v>
      </c>
      <c r="B2634" s="5" t="s">
        <v>7627</v>
      </c>
      <c r="C2634" s="5" t="s">
        <v>7637</v>
      </c>
      <c r="D2634" s="5" t="s">
        <v>7192</v>
      </c>
      <c r="E2634" s="5" t="s">
        <v>36</v>
      </c>
      <c r="F2634" s="5" t="s">
        <v>7193</v>
      </c>
      <c r="G2634" s="5" t="s">
        <v>7194</v>
      </c>
      <c r="H2634" s="5" t="s">
        <v>7629</v>
      </c>
      <c r="I2634" s="5" t="s">
        <v>7638</v>
      </c>
      <c r="J2634" s="5" t="s">
        <v>7639</v>
      </c>
      <c r="K2634" s="7" t="str">
        <f ca="1">IFERROR(__xludf.DUMMYFUNCTION("GOOGLETRANSLATE(H2634,""EN"",""ES"")"),"AERONAVES Y VEHÍCULOS ESPACIALES")</f>
        <v>AERONAVES Y VEHÍCULOS ESPACIALES</v>
      </c>
      <c r="L2634" s="5" t="str">
        <f ca="1">IFERROR(__xludf.DUMMYFUNCTION("GOOGLETRANSLATE(J2634,""EN"",""ES"")"),"dirigibles")</f>
        <v>dirigibles</v>
      </c>
      <c r="M2634" s="1" t="s">
        <v>35</v>
      </c>
      <c r="N2634" s="8"/>
    </row>
    <row r="2635" spans="1:14" ht="11.25" customHeight="1">
      <c r="A2635" s="5" t="s">
        <v>7189</v>
      </c>
      <c r="B2635" s="5" t="s">
        <v>7627</v>
      </c>
      <c r="C2635" s="5" t="s">
        <v>7637</v>
      </c>
      <c r="D2635" s="5" t="s">
        <v>7192</v>
      </c>
      <c r="E2635" s="5" t="s">
        <v>36</v>
      </c>
      <c r="F2635" s="5" t="s">
        <v>7193</v>
      </c>
      <c r="G2635" s="5" t="s">
        <v>7194</v>
      </c>
      <c r="H2635" s="5" t="s">
        <v>7629</v>
      </c>
      <c r="I2635" s="5" t="s">
        <v>152</v>
      </c>
      <c r="J2635" s="5" t="s">
        <v>7640</v>
      </c>
      <c r="K2635" s="7" t="str">
        <f ca="1">IFERROR(__xludf.DUMMYFUNCTION("GOOGLETRANSLATE(H2635,""EN"",""ES"")"),"AERONAVES Y VEHÍCULOS ESPACIALES")</f>
        <v>AERONAVES Y VEHÍCULOS ESPACIALES</v>
      </c>
      <c r="L2635" s="5" t="str">
        <f ca="1">IFERROR(__xludf.DUMMYFUNCTION("GOOGLETRANSLATE(J2635,""EN"",""ES"")"),"N / A")</f>
        <v>N / A</v>
      </c>
      <c r="M2635" s="1" t="s">
        <v>35</v>
      </c>
      <c r="N2635" s="8"/>
    </row>
    <row r="2636" spans="1:14" ht="11.25" customHeight="1">
      <c r="A2636" s="5" t="s">
        <v>7189</v>
      </c>
      <c r="B2636" s="5" t="s">
        <v>7627</v>
      </c>
      <c r="C2636" s="5" t="s">
        <v>7641</v>
      </c>
      <c r="D2636" s="5" t="s">
        <v>7192</v>
      </c>
      <c r="E2636" s="5" t="s">
        <v>36</v>
      </c>
      <c r="F2636" s="5" t="s">
        <v>7193</v>
      </c>
      <c r="G2636" s="5" t="s">
        <v>7194</v>
      </c>
      <c r="H2636" s="5" t="s">
        <v>7629</v>
      </c>
      <c r="I2636" s="5" t="s">
        <v>7642</v>
      </c>
      <c r="J2636" s="5" t="s">
        <v>7643</v>
      </c>
      <c r="K2636" s="7" t="str">
        <f ca="1">IFERROR(__xludf.DUMMYFUNCTION("GOOGLETRANSLATE(H2636,""EN"",""ES"")"),"AERONAVES Y VEHÍCULOS ESPACIALES")</f>
        <v>AERONAVES Y VEHÍCULOS ESPACIALES</v>
      </c>
      <c r="L2636" s="5" t="str">
        <f ca="1">IFERROR(__xludf.DUMMYFUNCTION("GOOGLETRANSLATE(J2636,""EN"",""ES"")"),"Hélices para aviones")</f>
        <v>Hélices para aviones</v>
      </c>
      <c r="M2636" s="1" t="s">
        <v>35</v>
      </c>
      <c r="N2636" s="8"/>
    </row>
    <row r="2637" spans="1:14" ht="11.25" customHeight="1">
      <c r="A2637" s="5" t="s">
        <v>7189</v>
      </c>
      <c r="B2637" s="5" t="s">
        <v>7627</v>
      </c>
      <c r="C2637" s="5" t="s">
        <v>7644</v>
      </c>
      <c r="D2637" s="5" t="s">
        <v>7192</v>
      </c>
      <c r="E2637" s="5" t="s">
        <v>36</v>
      </c>
      <c r="F2637" s="5" t="s">
        <v>7193</v>
      </c>
      <c r="G2637" s="5" t="s">
        <v>7194</v>
      </c>
      <c r="H2637" s="5" t="s">
        <v>7629</v>
      </c>
      <c r="I2637" s="5" t="s">
        <v>7645</v>
      </c>
      <c r="J2637" s="5" t="s">
        <v>7646</v>
      </c>
      <c r="K2637" s="7" t="str">
        <f ca="1">IFERROR(__xludf.DUMMYFUNCTION("GOOGLETRANSLATE(H2637,""EN"",""ES"")"),"AERONAVES Y VEHÍCULOS ESPACIALES")</f>
        <v>AERONAVES Y VEHÍCULOS ESPACIALES</v>
      </c>
      <c r="L2637" s="5" t="str">
        <f ca="1">IFERROR(__xludf.DUMMYFUNCTION("GOOGLETRANSLATE(J2637,""EN"",""ES"")"),"autogiros")</f>
        <v>autogiros</v>
      </c>
      <c r="M2637" s="1" t="s">
        <v>35</v>
      </c>
      <c r="N2637" s="8"/>
    </row>
    <row r="2638" spans="1:14" ht="11.25" customHeight="1">
      <c r="A2638" s="5" t="s">
        <v>7189</v>
      </c>
      <c r="B2638" s="5" t="s">
        <v>7627</v>
      </c>
      <c r="C2638" s="5" t="s">
        <v>7644</v>
      </c>
      <c r="D2638" s="5" t="s">
        <v>7192</v>
      </c>
      <c r="E2638" s="5" t="s">
        <v>36</v>
      </c>
      <c r="F2638" s="5" t="s">
        <v>7193</v>
      </c>
      <c r="G2638" s="5" t="s">
        <v>7194</v>
      </c>
      <c r="H2638" s="5" t="s">
        <v>7629</v>
      </c>
      <c r="I2638" s="5" t="s">
        <v>7647</v>
      </c>
      <c r="J2638" s="5" t="s">
        <v>152</v>
      </c>
      <c r="K2638" s="7" t="str">
        <f ca="1">IFERROR(__xludf.DUMMYFUNCTION("GOOGLETRANSLATE(H2638,""EN"",""ES"")"),"AERONAVES Y VEHÍCULOS ESPACIALES")</f>
        <v>AERONAVES Y VEHÍCULOS ESPACIALES</v>
      </c>
      <c r="L2638" s="5" t="str">
        <f ca="1">IFERROR(__xludf.DUMMYFUNCTION("GOOGLETRANSLATE(J2638,""EN"",""ES"")"),"Helicópteros")</f>
        <v>Helicópteros</v>
      </c>
      <c r="M2638" s="1" t="s">
        <v>35</v>
      </c>
      <c r="N2638" s="8"/>
    </row>
    <row r="2639" spans="1:14" ht="11.25" customHeight="1">
      <c r="A2639" s="5" t="s">
        <v>7189</v>
      </c>
      <c r="B2639" s="5" t="s">
        <v>7627</v>
      </c>
      <c r="C2639" s="5" t="s">
        <v>7648</v>
      </c>
      <c r="D2639" s="5" t="s">
        <v>7192</v>
      </c>
      <c r="E2639" s="5" t="s">
        <v>36</v>
      </c>
      <c r="F2639" s="5" t="s">
        <v>7193</v>
      </c>
      <c r="G2639" s="5" t="s">
        <v>7194</v>
      </c>
      <c r="H2639" s="5" t="s">
        <v>7629</v>
      </c>
      <c r="I2639" s="5" t="s">
        <v>7649</v>
      </c>
      <c r="J2639" s="5" t="s">
        <v>7650</v>
      </c>
      <c r="K2639" s="7" t="str">
        <f ca="1">IFERROR(__xludf.DUMMYFUNCTION("GOOGLETRANSLATE(H2639,""EN"",""ES"")"),"AERONAVES Y VEHÍCULOS ESPACIALES")</f>
        <v>AERONAVES Y VEHÍCULOS ESPACIALES</v>
      </c>
      <c r="L2639" s="5" t="str">
        <f ca="1">IFERROR(__xludf.DUMMYFUNCTION("GOOGLETRANSLATE(J2639,""EN"",""ES"")"),"Hidroaviones [aviones]")</f>
        <v>Hidroaviones [aviones]</v>
      </c>
      <c r="M2639" s="1" t="s">
        <v>35</v>
      </c>
      <c r="N2639" s="8"/>
    </row>
    <row r="2640" spans="1:14" ht="11.25" customHeight="1">
      <c r="A2640" s="5" t="s">
        <v>7189</v>
      </c>
      <c r="B2640" s="5" t="s">
        <v>7627</v>
      </c>
      <c r="C2640" s="5" t="s">
        <v>7651</v>
      </c>
      <c r="D2640" s="5" t="s">
        <v>7192</v>
      </c>
      <c r="E2640" s="5" t="s">
        <v>36</v>
      </c>
      <c r="F2640" s="5" t="s">
        <v>7193</v>
      </c>
      <c r="G2640" s="5" t="s">
        <v>7194</v>
      </c>
      <c r="H2640" s="5" t="s">
        <v>7629</v>
      </c>
      <c r="I2640" s="5" t="s">
        <v>7652</v>
      </c>
      <c r="J2640" s="5" t="s">
        <v>7653</v>
      </c>
      <c r="K2640" s="7" t="str">
        <f ca="1">IFERROR(__xludf.DUMMYFUNCTION("GOOGLETRANSLATE(H2640,""EN"",""ES"")"),"AERONAVES Y VEHÍCULOS ESPACIALES")</f>
        <v>AERONAVES Y VEHÍCULOS ESPACIALES</v>
      </c>
      <c r="L2640" s="5" t="str">
        <f ca="1">IFERROR(__xludf.DUMMYFUNCTION("GOOGLETRANSLATE(J2640,""EN"",""ES"")"),"Planeadores [aviones]")</f>
        <v>Planeadores [aviones]</v>
      </c>
      <c r="M2640" s="1" t="s">
        <v>35</v>
      </c>
      <c r="N2640" s="8"/>
    </row>
    <row r="2641" spans="1:14" ht="11.25" customHeight="1">
      <c r="A2641" s="5" t="s">
        <v>7189</v>
      </c>
      <c r="B2641" s="5" t="s">
        <v>7627</v>
      </c>
      <c r="C2641" s="5" t="s">
        <v>7654</v>
      </c>
      <c r="D2641" s="5" t="s">
        <v>7192</v>
      </c>
      <c r="E2641" s="5" t="s">
        <v>36</v>
      </c>
      <c r="F2641" s="5" t="s">
        <v>7193</v>
      </c>
      <c r="G2641" s="5" t="s">
        <v>7194</v>
      </c>
      <c r="H2641" s="5" t="s">
        <v>7629</v>
      </c>
      <c r="I2641" s="5" t="s">
        <v>7655</v>
      </c>
      <c r="J2641" s="5" t="s">
        <v>7656</v>
      </c>
      <c r="K2641" s="7" t="str">
        <f ca="1">IFERROR(__xludf.DUMMYFUNCTION("GOOGLETRANSLATE(H2641,""EN"",""ES"")"),"AERONAVES Y VEHÍCULOS ESPACIALES")</f>
        <v>AERONAVES Y VEHÍCULOS ESPACIALES</v>
      </c>
      <c r="L2641" s="5" t="str">
        <f ca="1">IFERROR(__xludf.DUMMYFUNCTION("GOOGLETRANSLATE(J2641,""EN"",""ES"")"),"Estabilizadores [aviones]")</f>
        <v>Estabilizadores [aviones]</v>
      </c>
      <c r="M2641" s="1" t="s">
        <v>35</v>
      </c>
      <c r="N2641" s="8"/>
    </row>
    <row r="2642" spans="1:14" ht="11.25" customHeight="1">
      <c r="A2642" s="5" t="s">
        <v>7189</v>
      </c>
      <c r="B2642" s="5" t="s">
        <v>7627</v>
      </c>
      <c r="C2642" s="5" t="s">
        <v>7657</v>
      </c>
      <c r="D2642" s="5" t="s">
        <v>7192</v>
      </c>
      <c r="E2642" s="5" t="s">
        <v>36</v>
      </c>
      <c r="F2642" s="5" t="s">
        <v>7193</v>
      </c>
      <c r="G2642" s="5" t="s">
        <v>7194</v>
      </c>
      <c r="H2642" s="5" t="s">
        <v>7629</v>
      </c>
      <c r="I2642" s="5" t="s">
        <v>7658</v>
      </c>
      <c r="J2642" s="5" t="s">
        <v>7659</v>
      </c>
      <c r="K2642" s="7" t="str">
        <f ca="1">IFERROR(__xludf.DUMMYFUNCTION("GOOGLETRANSLATE(H2642,""EN"",""ES"")"),"AERONAVES Y VEHÍCULOS ESPACIALES")</f>
        <v>AERONAVES Y VEHÍCULOS ESPACIALES</v>
      </c>
      <c r="L2642" s="5" t="str">
        <f ca="1">IFERROR(__xludf.DUMMYFUNCTION("GOOGLETRANSLATE(J2642,""EN"",""ES"")"),"vehículos espaciales")</f>
        <v>vehículos espaciales</v>
      </c>
      <c r="M2642" s="1" t="s">
        <v>35</v>
      </c>
      <c r="N2642" s="8"/>
    </row>
    <row r="2643" spans="1:14" ht="11.25" customHeight="1">
      <c r="A2643" s="5" t="s">
        <v>7189</v>
      </c>
      <c r="B2643" s="5" t="s">
        <v>7627</v>
      </c>
      <c r="C2643" s="5" t="s">
        <v>7660</v>
      </c>
      <c r="D2643" s="5" t="s">
        <v>7192</v>
      </c>
      <c r="E2643" s="5" t="s">
        <v>36</v>
      </c>
      <c r="F2643" s="5" t="s">
        <v>7193</v>
      </c>
      <c r="G2643" s="5" t="s">
        <v>7194</v>
      </c>
      <c r="H2643" s="5" t="s">
        <v>7629</v>
      </c>
      <c r="I2643" s="5" t="s">
        <v>7661</v>
      </c>
      <c r="J2643" s="5" t="s">
        <v>7662</v>
      </c>
      <c r="K2643" s="7" t="str">
        <f ca="1">IFERROR(__xludf.DUMMYFUNCTION("GOOGLETRANSLATE(H2643,""EN"",""ES"")"),"AERONAVES Y VEHÍCULOS ESPACIALES")</f>
        <v>AERONAVES Y VEHÍCULOS ESPACIALES</v>
      </c>
      <c r="L2643" s="5" t="str">
        <f ca="1">IFERROR(__xludf.DUMMYFUNCTION("GOOGLETRANSLATE(J2643,""EN"",""ES"")"),"Timones para aviones")</f>
        <v>Timones para aviones</v>
      </c>
      <c r="M2643" s="1" t="s">
        <v>35</v>
      </c>
      <c r="N2643" s="8"/>
    </row>
    <row r="2644" spans="1:14" ht="11.25" customHeight="1">
      <c r="A2644" s="5" t="s">
        <v>7189</v>
      </c>
      <c r="B2644" s="5" t="s">
        <v>7627</v>
      </c>
      <c r="C2644" s="5" t="s">
        <v>7663</v>
      </c>
      <c r="D2644" s="5" t="s">
        <v>7192</v>
      </c>
      <c r="E2644" s="5" t="s">
        <v>36</v>
      </c>
      <c r="F2644" s="5" t="s">
        <v>7193</v>
      </c>
      <c r="G2644" s="5" t="s">
        <v>7194</v>
      </c>
      <c r="H2644" s="5" t="s">
        <v>7629</v>
      </c>
      <c r="I2644" s="5" t="s">
        <v>7664</v>
      </c>
      <c r="J2644" s="5" t="s">
        <v>7665</v>
      </c>
      <c r="K2644" s="7" t="str">
        <f ca="1">IFERROR(__xludf.DUMMYFUNCTION("GOOGLETRANSLATE(H2644,""EN"",""ES"")"),"AERONAVES Y VEHÍCULOS ESPACIALES")</f>
        <v>AERONAVES Y VEHÍCULOS ESPACIALES</v>
      </c>
      <c r="L2644" s="5" t="str">
        <f ca="1">IFERROR(__xludf.DUMMYFUNCTION("GOOGLETRANSLATE(J2644,""EN"",""ES"")"),"Drones [aviones]")</f>
        <v>Drones [aviones]</v>
      </c>
      <c r="M2644" s="1" t="s">
        <v>35</v>
      </c>
      <c r="N2644" s="8"/>
    </row>
    <row r="2645" spans="1:14" ht="11.25" customHeight="1">
      <c r="A2645" s="5" t="s">
        <v>7189</v>
      </c>
      <c r="B2645" s="5" t="s">
        <v>7627</v>
      </c>
      <c r="C2645" s="5" t="s">
        <v>7666</v>
      </c>
      <c r="D2645" s="5" t="s">
        <v>7192</v>
      </c>
      <c r="E2645" s="5" t="s">
        <v>36</v>
      </c>
      <c r="F2645" s="5" t="s">
        <v>7193</v>
      </c>
      <c r="G2645" s="5" t="s">
        <v>7194</v>
      </c>
      <c r="H2645" s="5" t="s">
        <v>7629</v>
      </c>
      <c r="I2645" s="5" t="s">
        <v>7667</v>
      </c>
      <c r="J2645" s="5" t="s">
        <v>7668</v>
      </c>
      <c r="K2645" s="7" t="str">
        <f ca="1">IFERROR(__xludf.DUMMYFUNCTION("GOOGLETRANSLATE(H2645,""EN"",""ES"")"),"AERONAVES Y VEHÍCULOS ESPACIALES")</f>
        <v>AERONAVES Y VEHÍCULOS ESPACIALES</v>
      </c>
      <c r="L2645" s="5" t="str">
        <f ca="1">IFERROR(__xludf.DUMMYFUNCTION("GOOGLETRANSLATE(J2645,""EN"",""ES"")"),"tablas voladoras")</f>
        <v>tablas voladoras</v>
      </c>
      <c r="M2645" s="1" t="s">
        <v>35</v>
      </c>
      <c r="N2645" s="8"/>
    </row>
    <row r="2646" spans="1:14" ht="11.25" customHeight="1">
      <c r="A2646" s="5" t="s">
        <v>7189</v>
      </c>
      <c r="B2646" s="5" t="s">
        <v>7669</v>
      </c>
      <c r="C2646" s="5" t="s">
        <v>7670</v>
      </c>
      <c r="D2646" s="5" t="s">
        <v>7192</v>
      </c>
      <c r="E2646" s="5" t="s">
        <v>36</v>
      </c>
      <c r="F2646" s="5" t="s">
        <v>7193</v>
      </c>
      <c r="G2646" s="5" t="s">
        <v>7194</v>
      </c>
      <c r="H2646" s="5" t="s">
        <v>7671</v>
      </c>
      <c r="I2646" s="5" t="s">
        <v>7672</v>
      </c>
      <c r="J2646" s="5" t="s">
        <v>7673</v>
      </c>
      <c r="K2646" s="7" t="str">
        <f ca="1">IFERROR(__xludf.DUMMYFUNCTION("GOOGLETRANSLATE(H2646,""EN"",""ES"")"),"COCHES, AUTOBUSES Y CAMIONES")</f>
        <v>COCHES, AUTOBUSES Y CAMIONES</v>
      </c>
      <c r="L2646" s="5" t="str">
        <f ca="1">IFERROR(__xludf.DUMMYFUNCTION("GOOGLETRANSLATE(J2646,""EN"",""ES"")"),"Ambulancias")</f>
        <v>Ambulancias</v>
      </c>
      <c r="M2646" s="1" t="s">
        <v>37</v>
      </c>
      <c r="N2646" s="8"/>
    </row>
    <row r="2647" spans="1:14" ht="11.25" customHeight="1">
      <c r="A2647" s="5" t="s">
        <v>7189</v>
      </c>
      <c r="B2647" s="5" t="s">
        <v>7669</v>
      </c>
      <c r="C2647" s="5" t="s">
        <v>7674</v>
      </c>
      <c r="D2647" s="5" t="s">
        <v>7192</v>
      </c>
      <c r="E2647" s="5" t="s">
        <v>36</v>
      </c>
      <c r="F2647" s="5" t="s">
        <v>7193</v>
      </c>
      <c r="G2647" s="5" t="s">
        <v>7194</v>
      </c>
      <c r="H2647" s="5" t="s">
        <v>7671</v>
      </c>
      <c r="I2647" s="5" t="s">
        <v>7675</v>
      </c>
      <c r="J2647" s="5" t="s">
        <v>7676</v>
      </c>
      <c r="K2647" s="7" t="str">
        <f ca="1">IFERROR(__xludf.DUMMYFUNCTION("GOOGLETRANSLATE(H2647,""EN"",""ES"")"),"COCHES, AUTOBUSES Y CAMIONES")</f>
        <v>COCHES, AUTOBUSES Y CAMIONES</v>
      </c>
      <c r="L2647" s="5" t="str">
        <f ca="1">IFERROR(__xludf.DUMMYFUNCTION("GOOGLETRANSLATE(J2647,""EN"",""ES"")"),"Autobuses")</f>
        <v>Autobuses</v>
      </c>
      <c r="M2647" s="1" t="s">
        <v>37</v>
      </c>
      <c r="N2647" s="8"/>
    </row>
    <row r="2648" spans="1:14" ht="11.25" customHeight="1">
      <c r="A2648" s="5" t="s">
        <v>7189</v>
      </c>
      <c r="B2648" s="5" t="s">
        <v>7669</v>
      </c>
      <c r="C2648" s="5" t="s">
        <v>7677</v>
      </c>
      <c r="D2648" s="5" t="s">
        <v>7192</v>
      </c>
      <c r="E2648" s="5" t="s">
        <v>36</v>
      </c>
      <c r="F2648" s="5" t="s">
        <v>7193</v>
      </c>
      <c r="G2648" s="5" t="s">
        <v>7194</v>
      </c>
      <c r="H2648" s="5" t="s">
        <v>7671</v>
      </c>
      <c r="I2648" s="5" t="s">
        <v>7678</v>
      </c>
      <c r="J2648" s="5" t="s">
        <v>7678</v>
      </c>
      <c r="K2648" s="7" t="str">
        <f ca="1">IFERROR(__xludf.DUMMYFUNCTION("GOOGLETRANSLATE(H2648,""EN"",""ES"")"),"COCHES, AUTOBUSES Y CAMIONES")</f>
        <v>COCHES, AUTOBUSES Y CAMIONES</v>
      </c>
      <c r="L2648" s="5" t="str">
        <f ca="1">IFERROR(__xludf.DUMMYFUNCTION("GOOGLETRANSLATE(J2648,""EN"",""ES"")"),"Automóviles")</f>
        <v>Automóviles</v>
      </c>
      <c r="M2648" s="1" t="s">
        <v>37</v>
      </c>
      <c r="N2648" s="8"/>
    </row>
    <row r="2649" spans="1:14" ht="11.25" customHeight="1">
      <c r="A2649" s="5" t="s">
        <v>7189</v>
      </c>
      <c r="B2649" s="5" t="s">
        <v>7669</v>
      </c>
      <c r="C2649" s="5" t="s">
        <v>7677</v>
      </c>
      <c r="D2649" s="5" t="s">
        <v>7192</v>
      </c>
      <c r="E2649" s="5" t="s">
        <v>36</v>
      </c>
      <c r="F2649" s="5" t="s">
        <v>7193</v>
      </c>
      <c r="G2649" s="5" t="s">
        <v>7194</v>
      </c>
      <c r="H2649" s="5" t="s">
        <v>7671</v>
      </c>
      <c r="I2649" s="5" t="s">
        <v>7679</v>
      </c>
      <c r="J2649" s="5" t="s">
        <v>152</v>
      </c>
      <c r="K2649" s="7" t="str">
        <f ca="1">IFERROR(__xludf.DUMMYFUNCTION("GOOGLETRANSLATE(H2649,""EN"",""ES"")"),"COCHES, AUTOBUSES Y CAMIONES")</f>
        <v>COCHES, AUTOBUSES Y CAMIONES</v>
      </c>
      <c r="L2649" s="5" t="str">
        <f ca="1">IFERROR(__xludf.DUMMYFUNCTION("GOOGLETRANSLATE(J2649,""EN"",""ES"")"),"automóviles")</f>
        <v>automóviles</v>
      </c>
      <c r="M2649" s="1" t="s">
        <v>37</v>
      </c>
      <c r="N2649" s="8"/>
    </row>
    <row r="2650" spans="1:14" ht="11.25" customHeight="1">
      <c r="A2650" s="5" t="s">
        <v>7189</v>
      </c>
      <c r="B2650" s="5" t="s">
        <v>7669</v>
      </c>
      <c r="C2650" s="5" t="s">
        <v>7680</v>
      </c>
      <c r="D2650" s="5" t="s">
        <v>7192</v>
      </c>
      <c r="E2650" s="5" t="s">
        <v>36</v>
      </c>
      <c r="F2650" s="5" t="s">
        <v>7193</v>
      </c>
      <c r="G2650" s="5" t="s">
        <v>7194</v>
      </c>
      <c r="H2650" s="5" t="s">
        <v>7671</v>
      </c>
      <c r="I2650" s="5" t="s">
        <v>7681</v>
      </c>
      <c r="J2650" s="5" t="s">
        <v>7682</v>
      </c>
      <c r="K2650" s="7" t="str">
        <f ca="1">IFERROR(__xludf.DUMMYFUNCTION("GOOGLETRANSLATE(H2650,""EN"",""ES"")"),"COCHES, AUTOBUSES Y CAMIONES")</f>
        <v>COCHES, AUTOBUSES Y CAMIONES</v>
      </c>
      <c r="L2650" s="5" t="str">
        <f ca="1">IFERROR(__xludf.DUMMYFUNCTION("GOOGLETRANSLATE(J2650,""EN"",""ES"")"),"Carrocerías de automóviles")</f>
        <v>Carrocerías de automóviles</v>
      </c>
      <c r="M2650" s="1" t="s">
        <v>37</v>
      </c>
      <c r="N2650" s="8"/>
    </row>
    <row r="2651" spans="1:14" ht="11.25" customHeight="1">
      <c r="A2651" s="5" t="s">
        <v>7189</v>
      </c>
      <c r="B2651" s="5" t="s">
        <v>7669</v>
      </c>
      <c r="C2651" s="5" t="s">
        <v>7683</v>
      </c>
      <c r="D2651" s="5" t="s">
        <v>7192</v>
      </c>
      <c r="E2651" s="5" t="s">
        <v>36</v>
      </c>
      <c r="F2651" s="5" t="s">
        <v>7193</v>
      </c>
      <c r="G2651" s="5" t="s">
        <v>7194</v>
      </c>
      <c r="H2651" s="5" t="s">
        <v>7671</v>
      </c>
      <c r="I2651" s="5" t="s">
        <v>7684</v>
      </c>
      <c r="J2651" s="5" t="s">
        <v>7685</v>
      </c>
      <c r="K2651" s="7" t="str">
        <f ca="1">IFERROR(__xludf.DUMMYFUNCTION("GOOGLETRANSLATE(H2651,""EN"",""ES"")"),"COCHES, AUTOBUSES Y CAMIONES")</f>
        <v>COCHES, AUTOBUSES Y CAMIONES</v>
      </c>
      <c r="L2651" s="5" t="str">
        <f ca="1">IFERROR(__xludf.DUMMYFUNCTION("GOOGLETRANSLATE(J2651,""EN"",""ES"")"),"Camiones")</f>
        <v>Camiones</v>
      </c>
      <c r="M2651" s="1" t="s">
        <v>37</v>
      </c>
      <c r="N2651" s="8"/>
    </row>
    <row r="2652" spans="1:14" ht="11.25" customHeight="1">
      <c r="A2652" s="5" t="s">
        <v>7189</v>
      </c>
      <c r="B2652" s="5" t="s">
        <v>7669</v>
      </c>
      <c r="C2652" s="5" t="s">
        <v>7683</v>
      </c>
      <c r="D2652" s="5" t="s">
        <v>7192</v>
      </c>
      <c r="E2652" s="5" t="s">
        <v>36</v>
      </c>
      <c r="F2652" s="5" t="s">
        <v>7193</v>
      </c>
      <c r="G2652" s="5" t="s">
        <v>7194</v>
      </c>
      <c r="H2652" s="5" t="s">
        <v>7671</v>
      </c>
      <c r="I2652" s="5" t="s">
        <v>7686</v>
      </c>
      <c r="J2652" s="5" t="s">
        <v>152</v>
      </c>
      <c r="K2652" s="7" t="str">
        <f ca="1">IFERROR(__xludf.DUMMYFUNCTION("GOOGLETRANSLATE(H2652,""EN"",""ES"")"),"COCHES, AUTOBUSES Y CAMIONES")</f>
        <v>COCHES, AUTOBUSES Y CAMIONES</v>
      </c>
      <c r="L2652" s="5" t="str">
        <f ca="1">IFERROR(__xludf.DUMMYFUNCTION("GOOGLETRANSLATE(J2652,""EN"",""ES"")"),"camiones")</f>
        <v>camiones</v>
      </c>
      <c r="M2652" s="1" t="s">
        <v>37</v>
      </c>
      <c r="N2652" s="8"/>
    </row>
    <row r="2653" spans="1:14" ht="11.25" customHeight="1">
      <c r="A2653" s="5" t="s">
        <v>7189</v>
      </c>
      <c r="B2653" s="5" t="s">
        <v>7669</v>
      </c>
      <c r="C2653" s="5" t="s">
        <v>7687</v>
      </c>
      <c r="D2653" s="5" t="s">
        <v>7192</v>
      </c>
      <c r="E2653" s="5" t="s">
        <v>36</v>
      </c>
      <c r="F2653" s="5" t="s">
        <v>7193</v>
      </c>
      <c r="G2653" s="5" t="s">
        <v>7194</v>
      </c>
      <c r="H2653" s="5" t="s">
        <v>7671</v>
      </c>
      <c r="I2653" s="5" t="s">
        <v>7688</v>
      </c>
      <c r="J2653" s="5" t="s">
        <v>7689</v>
      </c>
      <c r="K2653" s="7" t="str">
        <f ca="1">IFERROR(__xludf.DUMMYFUNCTION("GOOGLETRANSLATE(H2653,""EN"",""ES"")"),"COCHES, AUTOBUSES Y CAMIONES")</f>
        <v>COCHES, AUTOBUSES Y CAMIONES</v>
      </c>
      <c r="L2653" s="5" t="str">
        <f ca="1">IFERROR(__xludf.DUMMYFUNCTION("GOOGLETRANSLATE(J2653,""EN"",""ES"")"),"camiones de basura")</f>
        <v>camiones de basura</v>
      </c>
      <c r="M2653" s="1" t="s">
        <v>37</v>
      </c>
      <c r="N2653" s="8"/>
    </row>
    <row r="2654" spans="1:14" ht="11.25" customHeight="1">
      <c r="A2654" s="5" t="s">
        <v>7189</v>
      </c>
      <c r="B2654" s="5" t="s">
        <v>7669</v>
      </c>
      <c r="C2654" s="5" t="s">
        <v>7687</v>
      </c>
      <c r="D2654" s="5" t="s">
        <v>7192</v>
      </c>
      <c r="E2654" s="5" t="s">
        <v>36</v>
      </c>
      <c r="F2654" s="5" t="s">
        <v>7193</v>
      </c>
      <c r="G2654" s="5" t="s">
        <v>7194</v>
      </c>
      <c r="H2654" s="5" t="s">
        <v>7671</v>
      </c>
      <c r="I2654" s="5" t="s">
        <v>7690</v>
      </c>
      <c r="J2654" s="5" t="s">
        <v>152</v>
      </c>
      <c r="K2654" s="7" t="str">
        <f ca="1">IFERROR(__xludf.DUMMYFUNCTION("GOOGLETRANSLATE(H2654,""EN"",""ES"")"),"COCHES, AUTOBUSES Y CAMIONES")</f>
        <v>COCHES, AUTOBUSES Y CAMIONES</v>
      </c>
      <c r="L2654" s="5" t="str">
        <f ca="1">IFERROR(__xludf.DUMMYFUNCTION("GOOGLETRANSLATE(J2654,""EN"",""ES"")"),"camiones de basura")</f>
        <v>camiones de basura</v>
      </c>
      <c r="M2654" s="1" t="s">
        <v>37</v>
      </c>
      <c r="N2654" s="8"/>
    </row>
    <row r="2655" spans="1:14" ht="11.25" customHeight="1">
      <c r="A2655" s="5" t="s">
        <v>7189</v>
      </c>
      <c r="B2655" s="5" t="s">
        <v>7669</v>
      </c>
      <c r="C2655" s="5" t="s">
        <v>7691</v>
      </c>
      <c r="D2655" s="5" t="s">
        <v>7192</v>
      </c>
      <c r="E2655" s="5" t="s">
        <v>36</v>
      </c>
      <c r="F2655" s="5" t="s">
        <v>7193</v>
      </c>
      <c r="G2655" s="5" t="s">
        <v>7194</v>
      </c>
      <c r="H2655" s="5" t="s">
        <v>7671</v>
      </c>
      <c r="I2655" s="5" t="s">
        <v>7692</v>
      </c>
      <c r="J2655" s="5" t="s">
        <v>7693</v>
      </c>
      <c r="K2655" s="7" t="str">
        <f ca="1">IFERROR(__xludf.DUMMYFUNCTION("GOOGLETRANSLATE(H2655,""EN"",""ES"")"),"COCHES, AUTOBUSES Y CAMIONES")</f>
        <v>COCHES, AUTOBUSES Y CAMIONES</v>
      </c>
      <c r="L2655" s="5" t="str">
        <f ca="1">IFERROR(__xludf.DUMMYFUNCTION("GOOGLETRANSLATE(J2655,""EN"",""ES"")"),"Camiones cisterna")</f>
        <v>Camiones cisterna</v>
      </c>
      <c r="M2655" s="1" t="s">
        <v>37</v>
      </c>
      <c r="N2655" s="8"/>
    </row>
    <row r="2656" spans="1:14" ht="11.25" customHeight="1">
      <c r="A2656" s="5" t="s">
        <v>7189</v>
      </c>
      <c r="B2656" s="5" t="s">
        <v>7669</v>
      </c>
      <c r="C2656" s="5" t="s">
        <v>7694</v>
      </c>
      <c r="D2656" s="5" t="s">
        <v>7192</v>
      </c>
      <c r="E2656" s="5" t="s">
        <v>36</v>
      </c>
      <c r="F2656" s="5" t="s">
        <v>7193</v>
      </c>
      <c r="G2656" s="5" t="s">
        <v>7194</v>
      </c>
      <c r="H2656" s="5" t="s">
        <v>7671</v>
      </c>
      <c r="I2656" s="5" t="s">
        <v>7695</v>
      </c>
      <c r="J2656" s="5" t="s">
        <v>7696</v>
      </c>
      <c r="K2656" s="7" t="str">
        <f ca="1">IFERROR(__xludf.DUMMYFUNCTION("GOOGLETRANSLATE(H2656,""EN"",""ES"")"),"COCHES, AUTOBUSES Y CAMIONES")</f>
        <v>COCHES, AUTOBUSES Y CAMIONES</v>
      </c>
      <c r="L2656" s="5" t="str">
        <f ca="1">IFERROR(__xludf.DUMMYFUNCTION("GOOGLETRANSLATE(J2656,""EN"",""ES"")"),"Capotas para automóviles [techo]")</f>
        <v>Capotas para automóviles [techo]</v>
      </c>
      <c r="M2656" s="1" t="s">
        <v>37</v>
      </c>
      <c r="N2656" s="8"/>
    </row>
    <row r="2657" spans="1:14" ht="11.25" customHeight="1">
      <c r="A2657" s="5" t="s">
        <v>7189</v>
      </c>
      <c r="B2657" s="5" t="s">
        <v>7669</v>
      </c>
      <c r="C2657" s="5" t="s">
        <v>7697</v>
      </c>
      <c r="D2657" s="5" t="s">
        <v>7192</v>
      </c>
      <c r="E2657" s="5" t="s">
        <v>36</v>
      </c>
      <c r="F2657" s="5" t="s">
        <v>7193</v>
      </c>
      <c r="G2657" s="5" t="s">
        <v>7194</v>
      </c>
      <c r="H2657" s="5" t="s">
        <v>7671</v>
      </c>
      <c r="I2657" s="5" t="s">
        <v>7698</v>
      </c>
      <c r="J2657" s="5" t="s">
        <v>7699</v>
      </c>
      <c r="K2657" s="7" t="str">
        <f ca="1">IFERROR(__xludf.DUMMYFUNCTION("GOOGLETRANSLATE(H2657,""EN"",""ES"")"),"COCHES, AUTOBUSES Y CAMIONES")</f>
        <v>COCHES, AUTOBUSES Y CAMIONES</v>
      </c>
      <c r="L2657" s="5" t="str">
        <f ca="1">IFERROR(__xludf.DUMMYFUNCTION("GOOGLETRANSLATE(J2657,""EN"",""ES"")"),"Entrenadores")</f>
        <v>Entrenadores</v>
      </c>
      <c r="M2657" s="1" t="s">
        <v>37</v>
      </c>
      <c r="N2657" s="8"/>
    </row>
    <row r="2658" spans="1:14" ht="11.25" customHeight="1">
      <c r="A2658" s="5" t="s">
        <v>7189</v>
      </c>
      <c r="B2658" s="5" t="s">
        <v>7669</v>
      </c>
      <c r="C2658" s="5" t="s">
        <v>7700</v>
      </c>
      <c r="D2658" s="5" t="s">
        <v>7192</v>
      </c>
      <c r="E2658" s="5" t="s">
        <v>36</v>
      </c>
      <c r="F2658" s="5" t="s">
        <v>7193</v>
      </c>
      <c r="G2658" s="5" t="s">
        <v>7194</v>
      </c>
      <c r="H2658" s="5" t="s">
        <v>7671</v>
      </c>
      <c r="I2658" s="5" t="s">
        <v>7701</v>
      </c>
      <c r="J2658" s="5" t="s">
        <v>7702</v>
      </c>
      <c r="K2658" s="7" t="str">
        <f ca="1">IFERROR(__xludf.DUMMYFUNCTION("GOOGLETRANSLATE(H2658,""EN"",""ES"")"),"COCHES, AUTOBUSES Y CAMIONES")</f>
        <v>COCHES, AUTOBUSES Y CAMIONES</v>
      </c>
      <c r="L2658" s="5" t="str">
        <f ca="1">IFERROR(__xludf.DUMMYFUNCTION("GOOGLETRANSLATE(J2658,""EN"",""ES"")"),"Coches fúnebres")</f>
        <v>Coches fúnebres</v>
      </c>
      <c r="M2658" s="1" t="s">
        <v>37</v>
      </c>
      <c r="N2658" s="8"/>
    </row>
    <row r="2659" spans="1:14" ht="11.25" customHeight="1">
      <c r="A2659" s="5" t="s">
        <v>7189</v>
      </c>
      <c r="B2659" s="5" t="s">
        <v>7669</v>
      </c>
      <c r="C2659" s="5" t="s">
        <v>7703</v>
      </c>
      <c r="D2659" s="5" t="s">
        <v>7192</v>
      </c>
      <c r="E2659" s="5" t="s">
        <v>36</v>
      </c>
      <c r="F2659" s="5" t="s">
        <v>7193</v>
      </c>
      <c r="G2659" s="5" t="s">
        <v>7194</v>
      </c>
      <c r="H2659" s="5" t="s">
        <v>7671</v>
      </c>
      <c r="I2659" s="5" t="s">
        <v>7704</v>
      </c>
      <c r="J2659" s="5" t="s">
        <v>7705</v>
      </c>
      <c r="K2659" s="7" t="str">
        <f ca="1">IFERROR(__xludf.DUMMYFUNCTION("GOOGLETRANSLATE(H2659,""EN"",""ES"")"),"COCHES, AUTOBUSES Y CAMIONES")</f>
        <v>COCHES, AUTOBUSES Y CAMIONES</v>
      </c>
      <c r="L2659" s="5" t="str">
        <f ca="1">IFERROR(__xludf.DUMMYFUNCTION("GOOGLETRANSLATE(J2659,""EN"",""ES"")"),"Coches conducidos eléctricamente")</f>
        <v>Coches conducidos eléctricamente</v>
      </c>
      <c r="M2659" s="1" t="s">
        <v>37</v>
      </c>
      <c r="N2659" s="8"/>
    </row>
    <row r="2660" spans="1:14" ht="11.25" customHeight="1">
      <c r="A2660" s="5" t="s">
        <v>7189</v>
      </c>
      <c r="B2660" s="5" t="s">
        <v>7669</v>
      </c>
      <c r="C2660" s="5" t="s">
        <v>7706</v>
      </c>
      <c r="D2660" s="5" t="s">
        <v>7192</v>
      </c>
      <c r="E2660" s="5" t="s">
        <v>36</v>
      </c>
      <c r="F2660" s="5" t="s">
        <v>7193</v>
      </c>
      <c r="G2660" s="5" t="s">
        <v>7194</v>
      </c>
      <c r="H2660" s="5" t="s">
        <v>7671</v>
      </c>
      <c r="I2660" s="5" t="s">
        <v>7707</v>
      </c>
      <c r="J2660" s="5" t="s">
        <v>7708</v>
      </c>
      <c r="K2660" s="7" t="str">
        <f ca="1">IFERROR(__xludf.DUMMYFUNCTION("GOOGLETRANSLATE(H2660,""EN"",""ES"")"),"COCHES, AUTOBUSES Y CAMIONES")</f>
        <v>COCHES, AUTOBUSES Y CAMIONES</v>
      </c>
      <c r="L2660" s="5" t="str">
        <f ca="1">IFERROR(__xludf.DUMMYFUNCTION("GOOGLETRANSLATE(J2660,""EN"",""ES"")"),"Karts [impulsados ​​por motor]")</f>
        <v>Karts [impulsados ​​por motor]</v>
      </c>
      <c r="M2660" s="1" t="s">
        <v>37</v>
      </c>
      <c r="N2660" s="8"/>
    </row>
    <row r="2661" spans="1:14" ht="11.25" customHeight="1">
      <c r="A2661" s="5" t="s">
        <v>7189</v>
      </c>
      <c r="B2661" s="5" t="s">
        <v>7669</v>
      </c>
      <c r="C2661" s="5" t="s">
        <v>7709</v>
      </c>
      <c r="D2661" s="5" t="s">
        <v>7192</v>
      </c>
      <c r="E2661" s="5" t="s">
        <v>36</v>
      </c>
      <c r="F2661" s="5" t="s">
        <v>7193</v>
      </c>
      <c r="G2661" s="5" t="s">
        <v>7194</v>
      </c>
      <c r="H2661" s="5" t="s">
        <v>7671</v>
      </c>
      <c r="I2661" s="5" t="s">
        <v>7710</v>
      </c>
      <c r="J2661" s="5" t="s">
        <v>7711</v>
      </c>
      <c r="K2661" s="7" t="str">
        <f ca="1">IFERROR(__xludf.DUMMYFUNCTION("GOOGLETRANSLATE(H2661,""EN"",""ES"")"),"COCHES, AUTOBUSES Y CAMIONES")</f>
        <v>COCHES, AUTOBUSES Y CAMIONES</v>
      </c>
      <c r="L2661" s="5" t="str">
        <f ca="1">IFERROR(__xludf.DUMMYFUNCTION("GOOGLETRANSLATE(J2661,""EN"",""ES"")"),"Trolebuses")</f>
        <v>Trolebuses</v>
      </c>
      <c r="M2661" s="1" t="s">
        <v>37</v>
      </c>
      <c r="N2661" s="8"/>
    </row>
    <row r="2662" spans="1:14" ht="11.25" customHeight="1">
      <c r="A2662" s="5" t="s">
        <v>7189</v>
      </c>
      <c r="B2662" s="5" t="s">
        <v>7669</v>
      </c>
      <c r="C2662" s="5" t="s">
        <v>7712</v>
      </c>
      <c r="D2662" s="5" t="s">
        <v>7192</v>
      </c>
      <c r="E2662" s="5" t="s">
        <v>36</v>
      </c>
      <c r="F2662" s="5" t="s">
        <v>7193</v>
      </c>
      <c r="G2662" s="5" t="s">
        <v>7194</v>
      </c>
      <c r="H2662" s="5" t="s">
        <v>7671</v>
      </c>
      <c r="I2662" s="5" t="s">
        <v>7713</v>
      </c>
      <c r="J2662" s="5" t="s">
        <v>7714</v>
      </c>
      <c r="K2662" s="7" t="str">
        <f ca="1">IFERROR(__xludf.DUMMYFUNCTION("GOOGLETRANSLATE(H2662,""EN"",""ES"")"),"COCHES, AUTOBUSES Y CAMIONES")</f>
        <v>COCHES, AUTOBUSES Y CAMIONES</v>
      </c>
      <c r="L2662" s="5" t="str">
        <f ca="1">IFERROR(__xludf.DUMMYFUNCTION("GOOGLETRANSLATE(J2662,""EN"",""ES"")"),"Camiones frigoríficos")</f>
        <v>Camiones frigoríficos</v>
      </c>
      <c r="M2662" s="1" t="s">
        <v>37</v>
      </c>
      <c r="N2662" s="8"/>
    </row>
    <row r="2663" spans="1:14" ht="11.25" customHeight="1">
      <c r="A2663" s="5" t="s">
        <v>7189</v>
      </c>
      <c r="B2663" s="5" t="s">
        <v>7669</v>
      </c>
      <c r="C2663" s="5" t="s">
        <v>7712</v>
      </c>
      <c r="D2663" s="5" t="s">
        <v>7192</v>
      </c>
      <c r="E2663" s="5" t="s">
        <v>36</v>
      </c>
      <c r="F2663" s="5" t="s">
        <v>7193</v>
      </c>
      <c r="G2663" s="5" t="s">
        <v>7194</v>
      </c>
      <c r="H2663" s="5" t="s">
        <v>7671</v>
      </c>
      <c r="I2663" s="5" t="s">
        <v>7715</v>
      </c>
      <c r="J2663" s="5" t="s">
        <v>152</v>
      </c>
      <c r="K2663" s="7" t="str">
        <f ca="1">IFERROR(__xludf.DUMMYFUNCTION("GOOGLETRANSLATE(H2663,""EN"",""ES"")"),"COCHES, AUTOBUSES Y CAMIONES")</f>
        <v>COCHES, AUTOBUSES Y CAMIONES</v>
      </c>
      <c r="L2663" s="5" t="str">
        <f ca="1">IFERROR(__xludf.DUMMYFUNCTION("GOOGLETRANSLATE(J2663,""EN"",""ES"")"),"Camiones frigoríficos")</f>
        <v>Camiones frigoríficos</v>
      </c>
      <c r="M2663" s="1" t="s">
        <v>37</v>
      </c>
      <c r="N2663" s="8"/>
    </row>
    <row r="2664" spans="1:14" ht="11.25" customHeight="1">
      <c r="A2664" s="5" t="s">
        <v>7189</v>
      </c>
      <c r="B2664" s="5" t="s">
        <v>7669</v>
      </c>
      <c r="C2664" s="5" t="s">
        <v>7716</v>
      </c>
      <c r="D2664" s="5" t="s">
        <v>7192</v>
      </c>
      <c r="E2664" s="5" t="s">
        <v>36</v>
      </c>
      <c r="F2664" s="5" t="s">
        <v>7193</v>
      </c>
      <c r="G2664" s="5" t="s">
        <v>7194</v>
      </c>
      <c r="H2664" s="5" t="s">
        <v>7671</v>
      </c>
      <c r="I2664" s="5" t="s">
        <v>7717</v>
      </c>
      <c r="J2664" s="5" t="s">
        <v>7718</v>
      </c>
      <c r="K2664" s="7" t="str">
        <f ca="1">IFERROR(__xludf.DUMMYFUNCTION("GOOGLETRANSLATE(H2664,""EN"",""ES"")"),"COCHES, AUTOBUSES Y CAMIONES")</f>
        <v>COCHES, AUTOBUSES Y CAMIONES</v>
      </c>
      <c r="L2664" s="5" t="str">
        <f ca="1">IFERROR(__xludf.DUMMYFUNCTION("GOOGLETRANSLATE(J2664,""EN"",""ES"")"),"Plataformas de carga de camiones")</f>
        <v>Plataformas de carga de camiones</v>
      </c>
      <c r="M2664" s="1" t="s">
        <v>37</v>
      </c>
      <c r="N2664" s="8"/>
    </row>
    <row r="2665" spans="1:14" ht="11.25" customHeight="1">
      <c r="A2665" s="5" t="s">
        <v>7189</v>
      </c>
      <c r="B2665" s="5" t="s">
        <v>7669</v>
      </c>
      <c r="C2665" s="5" t="s">
        <v>7719</v>
      </c>
      <c r="D2665" s="5" t="s">
        <v>7192</v>
      </c>
      <c r="E2665" s="5" t="s">
        <v>36</v>
      </c>
      <c r="F2665" s="5" t="s">
        <v>7193</v>
      </c>
      <c r="G2665" s="5" t="s">
        <v>7194</v>
      </c>
      <c r="H2665" s="5" t="s">
        <v>7671</v>
      </c>
      <c r="I2665" s="5" t="s">
        <v>7720</v>
      </c>
      <c r="J2665" s="5" t="s">
        <v>7721</v>
      </c>
      <c r="K2665" s="7" t="str">
        <f ca="1">IFERROR(__xludf.DUMMYFUNCTION("GOOGLETRANSLATE(H2665,""EN"",""ES"")"),"COCHES, AUTOBUSES Y CAMIONES")</f>
        <v>COCHES, AUTOBUSES Y CAMIONES</v>
      </c>
      <c r="L2665" s="5" t="str">
        <f ca="1">IFERROR(__xludf.DUMMYFUNCTION("GOOGLETRANSLATE(J2665,""EN"",""ES"")"),"Coches de carreras")</f>
        <v>Coches de carreras</v>
      </c>
      <c r="M2665" s="1" t="s">
        <v>37</v>
      </c>
      <c r="N2665" s="8"/>
    </row>
    <row r="2666" spans="1:14" ht="11.25" customHeight="1">
      <c r="A2666" s="5" t="s">
        <v>7189</v>
      </c>
      <c r="B2666" s="5" t="s">
        <v>7669</v>
      </c>
      <c r="C2666" s="5" t="s">
        <v>7722</v>
      </c>
      <c r="D2666" s="5" t="s">
        <v>7192</v>
      </c>
      <c r="E2666" s="5" t="s">
        <v>36</v>
      </c>
      <c r="F2666" s="5" t="s">
        <v>7193</v>
      </c>
      <c r="G2666" s="5" t="s">
        <v>7194</v>
      </c>
      <c r="H2666" s="5" t="s">
        <v>7671</v>
      </c>
      <c r="I2666" s="5" t="s">
        <v>7723</v>
      </c>
      <c r="J2666" s="5" t="s">
        <v>7724</v>
      </c>
      <c r="K2666" s="7" t="str">
        <f ca="1">IFERROR(__xludf.DUMMYFUNCTION("GOOGLETRANSLATE(H2666,""EN"",""ES"")"),"COCHES, AUTOBUSES Y CAMIONES")</f>
        <v>COCHES, AUTOBUSES Y CAMIONES</v>
      </c>
      <c r="L2666" s="5" t="str">
        <f ca="1">IFERROR(__xludf.DUMMYFUNCTION("GOOGLETRANSLATE(J2666,""EN"",""ES"")"),"Furgonetas [camiones]")</f>
        <v>Furgonetas [camiones]</v>
      </c>
      <c r="M2666" s="1" t="s">
        <v>37</v>
      </c>
      <c r="N2666" s="8"/>
    </row>
    <row r="2667" spans="1:14" ht="11.25" customHeight="1">
      <c r="A2667" s="5" t="s">
        <v>7189</v>
      </c>
      <c r="B2667" s="5" t="s">
        <v>7669</v>
      </c>
      <c r="C2667" s="5" t="s">
        <v>7725</v>
      </c>
      <c r="D2667" s="5" t="s">
        <v>7192</v>
      </c>
      <c r="E2667" s="5" t="s">
        <v>36</v>
      </c>
      <c r="F2667" s="5" t="s">
        <v>7193</v>
      </c>
      <c r="G2667" s="5" t="s">
        <v>7194</v>
      </c>
      <c r="H2667" s="5" t="s">
        <v>7671</v>
      </c>
      <c r="I2667" s="5" t="s">
        <v>7726</v>
      </c>
      <c r="J2667" s="5" t="s">
        <v>7727</v>
      </c>
      <c r="K2667" s="7" t="str">
        <f ca="1">IFERROR(__xludf.DUMMYFUNCTION("GOOGLETRANSLATE(H2667,""EN"",""ES"")"),"COCHES, AUTOBUSES Y CAMIONES")</f>
        <v>COCHES, AUTOBUSES Y CAMIONES</v>
      </c>
      <c r="L2667" s="5" t="str">
        <f ca="1">IFERROR(__xludf.DUMMYFUNCTION("GOOGLETRANSLATE(J2667,""EN"",""ES"")"),"Carrocería de vehículos")</f>
        <v>Carrocería de vehículos</v>
      </c>
      <c r="M2667" s="1" t="s">
        <v>37</v>
      </c>
      <c r="N2667" s="8"/>
    </row>
    <row r="2668" spans="1:14" ht="11.25" customHeight="1">
      <c r="A2668" s="5" t="s">
        <v>7189</v>
      </c>
      <c r="B2668" s="5" t="s">
        <v>7669</v>
      </c>
      <c r="C2668" s="5" t="s">
        <v>7728</v>
      </c>
      <c r="D2668" s="5" t="s">
        <v>7192</v>
      </c>
      <c r="E2668" s="5" t="s">
        <v>36</v>
      </c>
      <c r="F2668" s="5" t="s">
        <v>7193</v>
      </c>
      <c r="G2668" s="5" t="s">
        <v>7194</v>
      </c>
      <c r="H2668" s="5" t="s">
        <v>7671</v>
      </c>
      <c r="I2668" s="5" t="s">
        <v>7729</v>
      </c>
      <c r="J2668" s="5" t="s">
        <v>7730</v>
      </c>
      <c r="K2668" s="7" t="str">
        <f ca="1">IFERROR(__xludf.DUMMYFUNCTION("GOOGLETRANSLATE(H2668,""EN"",""ES"")"),"COCHES, AUTOBUSES Y CAMIONES")</f>
        <v>COCHES, AUTOBUSES Y CAMIONES</v>
      </c>
      <c r="L2668" s="5" t="str">
        <f ca="1">IFERROR(__xludf.DUMMYFUNCTION("GOOGLETRANSLATE(J2668,""EN"",""ES"")"),"Camiones volquete")</f>
        <v>Camiones volquete</v>
      </c>
      <c r="M2668" s="1" t="s">
        <v>37</v>
      </c>
      <c r="N2668" s="8"/>
    </row>
    <row r="2669" spans="1:14" ht="11.25" customHeight="1">
      <c r="A2669" s="5" t="s">
        <v>7189</v>
      </c>
      <c r="B2669" s="5" t="s">
        <v>7731</v>
      </c>
      <c r="C2669" s="5" t="s">
        <v>7732</v>
      </c>
      <c r="D2669" s="5" t="s">
        <v>7192</v>
      </c>
      <c r="E2669" s="5" t="s">
        <v>36</v>
      </c>
      <c r="F2669" s="5" t="s">
        <v>7193</v>
      </c>
      <c r="G2669" s="5" t="s">
        <v>7194</v>
      </c>
      <c r="H2669" s="5" t="s">
        <v>7733</v>
      </c>
      <c r="I2669" s="5" t="s">
        <v>7734</v>
      </c>
      <c r="J2669" s="5" t="s">
        <v>7735</v>
      </c>
      <c r="K2669" s="7" t="str">
        <f ca="1">IFERROR(__xludf.DUMMYFUNCTION("GOOGLETRANSLATE(H2669,""EN"",""ES"")"),"TRACTORES")</f>
        <v>TRACTORES</v>
      </c>
      <c r="L2669" s="5" t="str">
        <f ca="1">IFERROR(__xludf.DUMMYFUNCTION("GOOGLETRANSLATE(J2669,""EN"",""ES"")"),"Tractores")</f>
        <v>Tractores</v>
      </c>
      <c r="M2669" s="1" t="s">
        <v>37</v>
      </c>
      <c r="N2669" s="8"/>
    </row>
    <row r="2670" spans="1:14" ht="11.25" customHeight="1">
      <c r="A2670" s="5" t="s">
        <v>7189</v>
      </c>
      <c r="B2670" s="5" t="s">
        <v>7736</v>
      </c>
      <c r="C2670" s="5" t="s">
        <v>7737</v>
      </c>
      <c r="D2670" s="5" t="s">
        <v>7192</v>
      </c>
      <c r="E2670" s="5" t="s">
        <v>36</v>
      </c>
      <c r="F2670" s="5" t="s">
        <v>7193</v>
      </c>
      <c r="G2670" s="5" t="s">
        <v>7194</v>
      </c>
      <c r="H2670" s="5" t="s">
        <v>7738</v>
      </c>
      <c r="I2670" s="5" t="s">
        <v>7739</v>
      </c>
      <c r="J2670" s="5" t="s">
        <v>7740</v>
      </c>
      <c r="K2670" s="7" t="str">
        <f ca="1">IFERROR(__xludf.DUMMYFUNCTION("GOOGLETRANSLATE(H2670,""EN"",""ES"")"),"REMOLQUES PARA VEHÍCULOS DE CARRETERA")</f>
        <v>REMOLQUES PARA VEHÍCULOS DE CARRETERA</v>
      </c>
      <c r="L2670" s="5" t="str">
        <f ca="1">IFERROR(__xludf.DUMMYFUNCTION("GOOGLETRANSLATE(J2670,""EN"",""ES"")"),"Caravanas")</f>
        <v>Caravanas</v>
      </c>
      <c r="M2670" s="1" t="s">
        <v>37</v>
      </c>
      <c r="N2670" s="8"/>
    </row>
    <row r="2671" spans="1:14" ht="11.25" customHeight="1">
      <c r="A2671" s="5" t="s">
        <v>7189</v>
      </c>
      <c r="B2671" s="5" t="s">
        <v>7736</v>
      </c>
      <c r="C2671" s="5" t="s">
        <v>7741</v>
      </c>
      <c r="D2671" s="5" t="s">
        <v>7192</v>
      </c>
      <c r="E2671" s="5" t="s">
        <v>36</v>
      </c>
      <c r="F2671" s="5" t="s">
        <v>7193</v>
      </c>
      <c r="G2671" s="5" t="s">
        <v>7194</v>
      </c>
      <c r="H2671" s="5" t="s">
        <v>7738</v>
      </c>
      <c r="I2671" s="5" t="s">
        <v>7742</v>
      </c>
      <c r="J2671" s="5" t="s">
        <v>7743</v>
      </c>
      <c r="K2671" s="7" t="str">
        <f ca="1">IFERROR(__xludf.DUMMYFUNCTION("GOOGLETRANSLATE(H2671,""EN"",""ES"")"),"REMOLQUES PARA VEHÍCULOS DE CARRETERA")</f>
        <v>REMOLQUES PARA VEHÍCULOS DE CARRETERA</v>
      </c>
      <c r="L2671" s="5" t="str">
        <f ca="1">IFERROR(__xludf.DUMMYFUNCTION("GOOGLETRANSLATE(J2671,""EN"",""ES"")"),"Remolques para vehículos de carretera")</f>
        <v>Remolques para vehículos de carretera</v>
      </c>
      <c r="M2671" s="1" t="s">
        <v>37</v>
      </c>
      <c r="N2671" s="8"/>
    </row>
    <row r="2672" spans="1:14" ht="11.25" customHeight="1">
      <c r="A2672" s="5" t="s">
        <v>7189</v>
      </c>
      <c r="B2672" s="5" t="s">
        <v>7736</v>
      </c>
      <c r="C2672" s="5" t="s">
        <v>7744</v>
      </c>
      <c r="D2672" s="5" t="s">
        <v>7192</v>
      </c>
      <c r="E2672" s="5" t="s">
        <v>36</v>
      </c>
      <c r="F2672" s="5" t="s">
        <v>7193</v>
      </c>
      <c r="G2672" s="5" t="s">
        <v>7194</v>
      </c>
      <c r="H2672" s="5" t="s">
        <v>7738</v>
      </c>
      <c r="I2672" s="5" t="s">
        <v>7745</v>
      </c>
      <c r="J2672" s="5" t="s">
        <v>7746</v>
      </c>
      <c r="K2672" s="7" t="str">
        <f ca="1">IFERROR(__xludf.DUMMYFUNCTION("GOOGLETRANSLATE(H2672,""EN"",""ES"")"),"REMOLQUES PARA VEHÍCULOS DE CARRETERA")</f>
        <v>REMOLQUES PARA VEHÍCULOS DE CARRETERA</v>
      </c>
      <c r="L2672" s="5" t="str">
        <f ca="1">IFERROR(__xludf.DUMMYFUNCTION("GOOGLETRANSLATE(J2672,""EN"",""ES"")"),"Remolques [camping]")</f>
        <v>Remolques [camping]</v>
      </c>
      <c r="M2672" s="1" t="s">
        <v>37</v>
      </c>
      <c r="N2672" s="8"/>
    </row>
    <row r="2673" spans="1:14" ht="11.25" customHeight="1">
      <c r="A2673" s="5" t="s">
        <v>7189</v>
      </c>
      <c r="B2673" s="5" t="s">
        <v>7736</v>
      </c>
      <c r="C2673" s="5" t="s">
        <v>7747</v>
      </c>
      <c r="D2673" s="5" t="s">
        <v>7192</v>
      </c>
      <c r="E2673" s="5" t="s">
        <v>36</v>
      </c>
      <c r="F2673" s="5" t="s">
        <v>7193</v>
      </c>
      <c r="G2673" s="5" t="s">
        <v>7194</v>
      </c>
      <c r="H2673" s="5" t="s">
        <v>7738</v>
      </c>
      <c r="I2673" s="5" t="s">
        <v>7748</v>
      </c>
      <c r="J2673" s="5" t="s">
        <v>7749</v>
      </c>
      <c r="K2673" s="7" t="str">
        <f ca="1">IFERROR(__xludf.DUMMYFUNCTION("GOOGLETRANSLATE(H2673,""EN"",""ES"")"),"REMOLQUES PARA VEHÍCULOS DE CARRETERA")</f>
        <v>REMOLQUES PARA VEHÍCULOS DE CARRETERA</v>
      </c>
      <c r="L2673" s="5" t="str">
        <f ca="1">IFERROR(__xludf.DUMMYFUNCTION("GOOGLETRANSLATE(J2673,""EN"",""ES"")"),"caravanas de itinerantes")</f>
        <v>caravanas de itinerantes</v>
      </c>
      <c r="M2673" s="1" t="s">
        <v>37</v>
      </c>
      <c r="N2673" s="8"/>
    </row>
    <row r="2674" spans="1:14" ht="11.25" customHeight="1">
      <c r="A2674" s="5" t="s">
        <v>7189</v>
      </c>
      <c r="B2674" s="5" t="s">
        <v>7750</v>
      </c>
      <c r="C2674" s="5" t="s">
        <v>7751</v>
      </c>
      <c r="D2674" s="5" t="s">
        <v>7192</v>
      </c>
      <c r="E2674" s="5" t="s">
        <v>36</v>
      </c>
      <c r="F2674" s="5" t="s">
        <v>7193</v>
      </c>
      <c r="G2674" s="5" t="s">
        <v>7194</v>
      </c>
      <c r="H2674" s="5" t="s">
        <v>7752</v>
      </c>
      <c r="I2674" s="5" t="s">
        <v>7753</v>
      </c>
      <c r="J2674" s="5" t="s">
        <v>7754</v>
      </c>
      <c r="K2674" s="7" t="str">
        <f ca="1">IFERROR(__xludf.DUMMYFUNCTION("GOOGLETRANSLATE(H2674,""EN"",""ES"")"),"BICICLETAS Y MOTOCICLETAS")</f>
        <v>BICICLETAS Y MOTOCICLETAS</v>
      </c>
      <c r="L2674" s="5" t="str">
        <f ca="1">IFERROR(__xludf.DUMMYFUNCTION("GOOGLETRANSLATE(J2674,""EN"",""ES"")"),"Caballetes para bicicletas o motocicletas [retráctiles]")</f>
        <v>Caballetes para bicicletas o motocicletas [retráctiles]</v>
      </c>
      <c r="M2674" s="1" t="s">
        <v>39</v>
      </c>
      <c r="N2674" s="8"/>
    </row>
    <row r="2675" spans="1:14" ht="11.25" customHeight="1">
      <c r="A2675" s="5" t="s">
        <v>7189</v>
      </c>
      <c r="B2675" s="5" t="s">
        <v>7750</v>
      </c>
      <c r="C2675" s="5" t="s">
        <v>7755</v>
      </c>
      <c r="D2675" s="5" t="s">
        <v>7192</v>
      </c>
      <c r="E2675" s="5" t="s">
        <v>36</v>
      </c>
      <c r="F2675" s="5" t="s">
        <v>7193</v>
      </c>
      <c r="G2675" s="5" t="s">
        <v>7194</v>
      </c>
      <c r="H2675" s="5" t="s">
        <v>7752</v>
      </c>
      <c r="I2675" s="5" t="s">
        <v>7756</v>
      </c>
      <c r="J2675" s="5" t="s">
        <v>7757</v>
      </c>
      <c r="K2675" s="7" t="str">
        <f ca="1">IFERROR(__xludf.DUMMYFUNCTION("GOOGLETRANSLATE(H2675,""EN"",""ES"")"),"BICICLETAS Y MOTOCICLETAS")</f>
        <v>BICICLETAS Y MOTOCICLETAS</v>
      </c>
      <c r="L2675" s="5" t="str">
        <f ca="1">IFERROR(__xludf.DUMMYFUNCTION("GOOGLETRANSLATE(J2675,""EN"",""ES"")"),"bicicletas")</f>
        <v>bicicletas</v>
      </c>
      <c r="M2675" s="1" t="s">
        <v>39</v>
      </c>
      <c r="N2675" s="8"/>
    </row>
    <row r="2676" spans="1:14" ht="11.25" customHeight="1">
      <c r="A2676" s="5" t="s">
        <v>7189</v>
      </c>
      <c r="B2676" s="5" t="s">
        <v>7750</v>
      </c>
      <c r="C2676" s="5" t="s">
        <v>7758</v>
      </c>
      <c r="D2676" s="5" t="s">
        <v>7192</v>
      </c>
      <c r="E2676" s="5" t="s">
        <v>36</v>
      </c>
      <c r="F2676" s="5" t="s">
        <v>7193</v>
      </c>
      <c r="G2676" s="5" t="s">
        <v>7194</v>
      </c>
      <c r="H2676" s="5" t="s">
        <v>7752</v>
      </c>
      <c r="I2676" s="5" t="s">
        <v>7759</v>
      </c>
      <c r="J2676" s="5" t="s">
        <v>7760</v>
      </c>
      <c r="K2676" s="7" t="str">
        <f ca="1">IFERROR(__xludf.DUMMYFUNCTION("GOOGLETRANSLATE(H2676,""EN"",""ES"")"),"BICICLETAS Y MOTOCICLETAS")</f>
        <v>BICICLETAS Y MOTOCICLETAS</v>
      </c>
      <c r="L2676" s="5" t="str">
        <f ca="1">IFERROR(__xludf.DUMMYFUNCTION("GOOGLETRANSLATE(J2676,""EN"",""ES"")"),"Cuadros para bicicletas o motocicletas.")</f>
        <v>Cuadros para bicicletas o motocicletas.</v>
      </c>
      <c r="M2676" s="1" t="s">
        <v>39</v>
      </c>
      <c r="N2676" s="8"/>
    </row>
    <row r="2677" spans="1:14" ht="11.25" customHeight="1">
      <c r="A2677" s="5" t="s">
        <v>7189</v>
      </c>
      <c r="B2677" s="5" t="s">
        <v>7750</v>
      </c>
      <c r="C2677" s="5" t="s">
        <v>7761</v>
      </c>
      <c r="D2677" s="5" t="s">
        <v>7192</v>
      </c>
      <c r="E2677" s="5" t="s">
        <v>36</v>
      </c>
      <c r="F2677" s="5" t="s">
        <v>7193</v>
      </c>
      <c r="G2677" s="5" t="s">
        <v>7194</v>
      </c>
      <c r="H2677" s="5" t="s">
        <v>7752</v>
      </c>
      <c r="I2677" s="5" t="s">
        <v>7762</v>
      </c>
      <c r="J2677" s="5" t="s">
        <v>7763</v>
      </c>
      <c r="K2677" s="7" t="str">
        <f ca="1">IFERROR(__xludf.DUMMYFUNCTION("GOOGLETRANSLATE(H2677,""EN"",""ES"")"),"BICICLETAS Y MOTOCICLETAS")</f>
        <v>BICICLETAS Y MOTOCICLETAS</v>
      </c>
      <c r="L2677" s="5" t="str">
        <f ca="1">IFERROR(__xludf.DUMMYFUNCTION("GOOGLETRANSLATE(J2677,""EN"",""ES"")"),"Punteras para bicicletas")</f>
        <v>Punteras para bicicletas</v>
      </c>
      <c r="M2677" s="1" t="s">
        <v>39</v>
      </c>
      <c r="N2677" s="8"/>
    </row>
    <row r="2678" spans="1:14" ht="11.25" customHeight="1">
      <c r="A2678" s="5" t="s">
        <v>7189</v>
      </c>
      <c r="B2678" s="5" t="s">
        <v>7750</v>
      </c>
      <c r="C2678" s="5" t="s">
        <v>7764</v>
      </c>
      <c r="D2678" s="5" t="s">
        <v>7192</v>
      </c>
      <c r="E2678" s="5" t="s">
        <v>36</v>
      </c>
      <c r="F2678" s="5" t="s">
        <v>7193</v>
      </c>
      <c r="G2678" s="5" t="s">
        <v>7194</v>
      </c>
      <c r="H2678" s="5" t="s">
        <v>7752</v>
      </c>
      <c r="I2678" s="5" t="s">
        <v>7765</v>
      </c>
      <c r="J2678" s="5" t="s">
        <v>7766</v>
      </c>
      <c r="K2678" s="7" t="str">
        <f ca="1">IFERROR(__xludf.DUMMYFUNCTION("GOOGLETRANSLATE(H2678,""EN"",""ES"")"),"BICICLETAS Y MOTOCICLETAS")</f>
        <v>BICICLETAS Y MOTOCICLETAS</v>
      </c>
      <c r="L2678" s="5" t="str">
        <f ca="1">IFERROR(__xludf.DUMMYFUNCTION("GOOGLETRANSLATE(J2678,""EN"",""ES"")"),"Cajas de cambios para bicicletas o motocicletas.")</f>
        <v>Cajas de cambios para bicicletas o motocicletas.</v>
      </c>
      <c r="M2678" s="1" t="s">
        <v>39</v>
      </c>
      <c r="N2678" s="8"/>
    </row>
    <row r="2679" spans="1:14" ht="11.25" customHeight="1">
      <c r="A2679" s="5" t="s">
        <v>7189</v>
      </c>
      <c r="B2679" s="5" t="s">
        <v>7750</v>
      </c>
      <c r="C2679" s="5" t="s">
        <v>7767</v>
      </c>
      <c r="D2679" s="5" t="s">
        <v>7192</v>
      </c>
      <c r="E2679" s="5" t="s">
        <v>36</v>
      </c>
      <c r="F2679" s="5" t="s">
        <v>7193</v>
      </c>
      <c r="G2679" s="5" t="s">
        <v>7194</v>
      </c>
      <c r="H2679" s="5" t="s">
        <v>7752</v>
      </c>
      <c r="I2679" s="5" t="s">
        <v>7768</v>
      </c>
      <c r="J2679" s="5" t="s">
        <v>7768</v>
      </c>
      <c r="K2679" s="7" t="str">
        <f ca="1">IFERROR(__xludf.DUMMYFUNCTION("GOOGLETRANSLATE(H2679,""EN"",""ES"")"),"BICICLETAS Y MOTOCICLETAS")</f>
        <v>BICICLETAS Y MOTOCICLETAS</v>
      </c>
      <c r="L2679" s="5" t="str">
        <f ca="1">IFERROR(__xludf.DUMMYFUNCTION("GOOGLETRANSLATE(J2679,""EN"",""ES"")"),"Ciclos")</f>
        <v>Ciclos</v>
      </c>
      <c r="M2679" s="1" t="s">
        <v>39</v>
      </c>
      <c r="N2679" s="8"/>
    </row>
    <row r="2680" spans="1:14" ht="11.25" customHeight="1">
      <c r="A2680" s="5" t="s">
        <v>7189</v>
      </c>
      <c r="B2680" s="5" t="s">
        <v>7750</v>
      </c>
      <c r="C2680" s="5" t="s">
        <v>7769</v>
      </c>
      <c r="D2680" s="5" t="s">
        <v>7192</v>
      </c>
      <c r="E2680" s="5" t="s">
        <v>36</v>
      </c>
      <c r="F2680" s="5" t="s">
        <v>7193</v>
      </c>
      <c r="G2680" s="5" t="s">
        <v>7194</v>
      </c>
      <c r="H2680" s="5" t="s">
        <v>7752</v>
      </c>
      <c r="I2680" s="5" t="s">
        <v>7770</v>
      </c>
      <c r="J2680" s="5" t="s">
        <v>7771</v>
      </c>
      <c r="K2680" s="7" t="str">
        <f ca="1">IFERROR(__xludf.DUMMYFUNCTION("GOOGLETRANSLATE(H2680,""EN"",""ES"")"),"BICICLETAS Y MOTOCICLETAS")</f>
        <v>BICICLETAS Y MOTOCICLETAS</v>
      </c>
      <c r="L2680" s="5" t="str">
        <f ca="1">IFERROR(__xludf.DUMMYFUNCTION("GOOGLETRANSLATE(J2680,""EN"",""ES"")"),"ciclomotores")</f>
        <v>ciclomotores</v>
      </c>
      <c r="M2680" s="1" t="s">
        <v>39</v>
      </c>
      <c r="N2680" s="8"/>
    </row>
    <row r="2681" spans="1:14" ht="11.25" customHeight="1">
      <c r="A2681" s="5" t="s">
        <v>7189</v>
      </c>
      <c r="B2681" s="5" t="s">
        <v>7750</v>
      </c>
      <c r="C2681" s="5" t="s">
        <v>7772</v>
      </c>
      <c r="D2681" s="5" t="s">
        <v>7192</v>
      </c>
      <c r="E2681" s="5" t="s">
        <v>36</v>
      </c>
      <c r="F2681" s="5" t="s">
        <v>7193</v>
      </c>
      <c r="G2681" s="5" t="s">
        <v>7194</v>
      </c>
      <c r="H2681" s="5" t="s">
        <v>7752</v>
      </c>
      <c r="I2681" s="5" t="s">
        <v>7773</v>
      </c>
      <c r="J2681" s="5" t="s">
        <v>7774</v>
      </c>
      <c r="K2681" s="7" t="str">
        <f ca="1">IFERROR(__xludf.DUMMYFUNCTION("GOOGLETRANSLATE(H2681,""EN"",""ES"")"),"BICICLETAS Y MOTOCICLETAS")</f>
        <v>BICICLETAS Y MOTOCICLETAS</v>
      </c>
      <c r="L2681" s="5" t="str">
        <f ca="1">IFERROR(__xludf.DUMMYFUNCTION("GOOGLETRANSLATE(J2681,""EN"",""ES"")"),"Horquillas para bicicletas o motos.")</f>
        <v>Horquillas para bicicletas o motos.</v>
      </c>
      <c r="M2681" s="1" t="s">
        <v>39</v>
      </c>
      <c r="N2681" s="8"/>
    </row>
    <row r="2682" spans="1:14" ht="11.25" customHeight="1">
      <c r="A2682" s="5" t="s">
        <v>7189</v>
      </c>
      <c r="B2682" s="5" t="s">
        <v>7750</v>
      </c>
      <c r="C2682" s="5" t="s">
        <v>7772</v>
      </c>
      <c r="D2682" s="5" t="s">
        <v>7192</v>
      </c>
      <c r="E2682" s="5" t="s">
        <v>36</v>
      </c>
      <c r="F2682" s="5" t="s">
        <v>7193</v>
      </c>
      <c r="G2682" s="5" t="s">
        <v>7194</v>
      </c>
      <c r="H2682" s="5" t="s">
        <v>7752</v>
      </c>
      <c r="I2682" s="5" t="s">
        <v>152</v>
      </c>
      <c r="J2682" s="5" t="s">
        <v>7775</v>
      </c>
      <c r="K2682" s="7" t="str">
        <f ca="1">IFERROR(__xludf.DUMMYFUNCTION("GOOGLETRANSLATE(H2682,""EN"",""ES"")"),"BICICLETAS Y MOTOCICLETAS")</f>
        <v>BICICLETAS Y MOTOCICLETAS</v>
      </c>
      <c r="L2682" s="5" t="str">
        <f ca="1">IFERROR(__xludf.DUMMYFUNCTION("GOOGLETRANSLATE(J2682,""EN"",""ES"")"),"N / A")</f>
        <v>N / A</v>
      </c>
      <c r="M2682" s="1" t="s">
        <v>39</v>
      </c>
      <c r="N2682" s="8"/>
    </row>
    <row r="2683" spans="1:14" ht="11.25" customHeight="1">
      <c r="A2683" s="5" t="s">
        <v>7189</v>
      </c>
      <c r="B2683" s="5" t="s">
        <v>7750</v>
      </c>
      <c r="C2683" s="5" t="s">
        <v>7776</v>
      </c>
      <c r="D2683" s="5" t="s">
        <v>7192</v>
      </c>
      <c r="E2683" s="5" t="s">
        <v>36</v>
      </c>
      <c r="F2683" s="5" t="s">
        <v>7193</v>
      </c>
      <c r="G2683" s="5" t="s">
        <v>7194</v>
      </c>
      <c r="H2683" s="5" t="s">
        <v>7752</v>
      </c>
      <c r="I2683" s="5" t="s">
        <v>7777</v>
      </c>
      <c r="J2683" s="5" t="s">
        <v>7778</v>
      </c>
      <c r="K2683" s="7" t="str">
        <f ca="1">IFERROR(__xludf.DUMMYFUNCTION("GOOGLETRANSLATE(H2683,""EN"",""ES"")"),"BICICLETAS Y MOTOCICLETAS")</f>
        <v>BICICLETAS Y MOTOCICLETAS</v>
      </c>
      <c r="L2683" s="5" t="str">
        <f ca="1">IFERROR(__xludf.DUMMYFUNCTION("GOOGLETRANSLATE(J2683,""EN"",""ES"")"),"Guardabarros para bicicletas o motos")</f>
        <v>Guardabarros para bicicletas o motos</v>
      </c>
      <c r="M2683" s="1" t="s">
        <v>39</v>
      </c>
      <c r="N2683" s="8"/>
    </row>
    <row r="2684" spans="1:14" ht="11.25" customHeight="1">
      <c r="A2684" s="5" t="s">
        <v>7189</v>
      </c>
      <c r="B2684" s="5" t="s">
        <v>7750</v>
      </c>
      <c r="C2684" s="5" t="s">
        <v>7779</v>
      </c>
      <c r="D2684" s="5" t="s">
        <v>7192</v>
      </c>
      <c r="E2684" s="5" t="s">
        <v>36</v>
      </c>
      <c r="F2684" s="5" t="s">
        <v>7193</v>
      </c>
      <c r="G2684" s="5" t="s">
        <v>7194</v>
      </c>
      <c r="H2684" s="5" t="s">
        <v>7752</v>
      </c>
      <c r="I2684" s="5" t="s">
        <v>7780</v>
      </c>
      <c r="J2684" s="5" t="s">
        <v>7781</v>
      </c>
      <c r="K2684" s="7" t="str">
        <f ca="1">IFERROR(__xludf.DUMMYFUNCTION("GOOGLETRANSLATE(H2684,""EN"",""ES"")"),"BICICLETAS Y MOTOCICLETAS")</f>
        <v>BICICLETAS Y MOTOCICLETAS</v>
      </c>
      <c r="L2684" s="5" t="str">
        <f ca="1">IFERROR(__xludf.DUMMYFUNCTION("GOOGLETRANSLATE(J2684,""EN"",""ES"")"),"Manillar para bicicletas o motocicletas.")</f>
        <v>Manillar para bicicletas o motocicletas.</v>
      </c>
      <c r="M2684" s="1" t="s">
        <v>39</v>
      </c>
      <c r="N2684" s="8"/>
    </row>
    <row r="2685" spans="1:14" ht="11.25" customHeight="1">
      <c r="A2685" s="5" t="s">
        <v>7189</v>
      </c>
      <c r="B2685" s="5" t="s">
        <v>7750</v>
      </c>
      <c r="C2685" s="5" t="s">
        <v>7782</v>
      </c>
      <c r="D2685" s="5" t="s">
        <v>7192</v>
      </c>
      <c r="E2685" s="5" t="s">
        <v>36</v>
      </c>
      <c r="F2685" s="5" t="s">
        <v>7193</v>
      </c>
      <c r="G2685" s="5" t="s">
        <v>7194</v>
      </c>
      <c r="H2685" s="5" t="s">
        <v>7752</v>
      </c>
      <c r="I2685" s="5" t="s">
        <v>7783</v>
      </c>
      <c r="J2685" s="5" t="s">
        <v>7784</v>
      </c>
      <c r="K2685" s="7" t="str">
        <f ca="1">IFERROR(__xludf.DUMMYFUNCTION("GOOGLETRANSLATE(H2685,""EN"",""ES"")"),"BICICLETAS Y MOTOCICLETAS")</f>
        <v>BICICLETAS Y MOTOCICLETAS</v>
      </c>
      <c r="L2685" s="5" t="str">
        <f ca="1">IFERROR(__xludf.DUMMYFUNCTION("GOOGLETRANSLATE(J2685,""EN"",""ES"")"),"Fundas de sillín para bicicletas o motos.")</f>
        <v>Fundas de sillín para bicicletas o motos.</v>
      </c>
      <c r="M2685" s="1" t="s">
        <v>39</v>
      </c>
      <c r="N2685" s="8"/>
    </row>
    <row r="2686" spans="1:14" ht="11.25" customHeight="1">
      <c r="A2686" s="5" t="s">
        <v>7189</v>
      </c>
      <c r="B2686" s="5" t="s">
        <v>7750</v>
      </c>
      <c r="C2686" s="5" t="s">
        <v>7785</v>
      </c>
      <c r="D2686" s="5" t="s">
        <v>7192</v>
      </c>
      <c r="E2686" s="5" t="s">
        <v>36</v>
      </c>
      <c r="F2686" s="5" t="s">
        <v>7193</v>
      </c>
      <c r="G2686" s="5" t="s">
        <v>7194</v>
      </c>
      <c r="H2686" s="5" t="s">
        <v>7752</v>
      </c>
      <c r="I2686" s="5" t="s">
        <v>7786</v>
      </c>
      <c r="J2686" s="5" t="s">
        <v>7787</v>
      </c>
      <c r="K2686" s="7" t="str">
        <f ca="1">IFERROR(__xludf.DUMMYFUNCTION("GOOGLETRANSLATE(H2686,""EN"",""ES"")"),"BICICLETAS Y MOTOCICLETAS")</f>
        <v>BICICLETAS Y MOTOCICLETAS</v>
      </c>
      <c r="L2686" s="5" t="str">
        <f ca="1">IFERROR(__xludf.DUMMYFUNCTION("GOOGLETRANSLATE(J2686,""EN"",""ES"")"),"Soportes para luces de ciclo o moto.")</f>
        <v>Soportes para luces de ciclo o moto.</v>
      </c>
      <c r="M2686" s="1" t="s">
        <v>39</v>
      </c>
      <c r="N2686" s="8"/>
    </row>
    <row r="2687" spans="1:14" ht="11.25" customHeight="1">
      <c r="A2687" s="5" t="s">
        <v>7189</v>
      </c>
      <c r="B2687" s="5" t="s">
        <v>7750</v>
      </c>
      <c r="C2687" s="5" t="s">
        <v>7788</v>
      </c>
      <c r="D2687" s="5" t="s">
        <v>7192</v>
      </c>
      <c r="E2687" s="5" t="s">
        <v>36</v>
      </c>
      <c r="F2687" s="5" t="s">
        <v>7193</v>
      </c>
      <c r="G2687" s="5" t="s">
        <v>7194</v>
      </c>
      <c r="H2687" s="5" t="s">
        <v>7752</v>
      </c>
      <c r="I2687" s="5" t="s">
        <v>7789</v>
      </c>
      <c r="J2687" s="5" t="s">
        <v>7789</v>
      </c>
      <c r="K2687" s="7" t="str">
        <f ca="1">IFERROR(__xludf.DUMMYFUNCTION("GOOGLETRANSLATE(H2687,""EN"",""ES"")"),"BICICLETAS Y MOTOCICLETAS")</f>
        <v>BICICLETAS Y MOTOCICLETAS</v>
      </c>
      <c r="L2687" s="5" t="str">
        <f ca="1">IFERROR(__xludf.DUMMYFUNCTION("GOOGLETRANSLATE(J2687,""EN"",""ES"")"),"monociclos")</f>
        <v>monociclos</v>
      </c>
      <c r="M2687" s="1" t="s">
        <v>39</v>
      </c>
      <c r="N2687" s="8"/>
    </row>
    <row r="2688" spans="1:14" ht="11.25" customHeight="1">
      <c r="A2688" s="5" t="s">
        <v>7189</v>
      </c>
      <c r="B2688" s="5" t="s">
        <v>7750</v>
      </c>
      <c r="C2688" s="5" t="s">
        <v>7790</v>
      </c>
      <c r="D2688" s="5" t="s">
        <v>7192</v>
      </c>
      <c r="E2688" s="5" t="s">
        <v>36</v>
      </c>
      <c r="F2688" s="5" t="s">
        <v>7193</v>
      </c>
      <c r="G2688" s="5" t="s">
        <v>7194</v>
      </c>
      <c r="H2688" s="5" t="s">
        <v>7752</v>
      </c>
      <c r="I2688" s="5" t="s">
        <v>7791</v>
      </c>
      <c r="J2688" s="5" t="s">
        <v>7792</v>
      </c>
      <c r="K2688" s="7" t="str">
        <f ca="1">IFERROR(__xludf.DUMMYFUNCTION("GOOGLETRANSLATE(H2688,""EN"",""ES"")"),"BICICLETAS Y MOTOCICLETAS")</f>
        <v>BICICLETAS Y MOTOCICLETAS</v>
      </c>
      <c r="L2688" s="5" t="str">
        <f ca="1">IFERROR(__xludf.DUMMYFUNCTION("GOOGLETRANSLATE(J2688,""EN"",""ES"")"),"motocicletas")</f>
        <v>motocicletas</v>
      </c>
      <c r="M2688" s="1" t="s">
        <v>39</v>
      </c>
      <c r="N2688" s="8"/>
    </row>
    <row r="2689" spans="1:14" ht="11.25" customHeight="1">
      <c r="A2689" s="5" t="s">
        <v>7189</v>
      </c>
      <c r="B2689" s="5" t="s">
        <v>7750</v>
      </c>
      <c r="C2689" s="5" t="s">
        <v>7793</v>
      </c>
      <c r="D2689" s="5" t="s">
        <v>7192</v>
      </c>
      <c r="E2689" s="5" t="s">
        <v>36</v>
      </c>
      <c r="F2689" s="5" t="s">
        <v>7193</v>
      </c>
      <c r="G2689" s="5" t="s">
        <v>7194</v>
      </c>
      <c r="H2689" s="5" t="s">
        <v>7752</v>
      </c>
      <c r="I2689" s="5" t="s">
        <v>7794</v>
      </c>
      <c r="J2689" s="5" t="s">
        <v>7795</v>
      </c>
      <c r="K2689" s="7" t="str">
        <f ca="1">IFERROR(__xludf.DUMMYFUNCTION("GOOGLETRANSLATE(H2689,""EN"",""ES"")"),"BICICLETAS Y MOTOCICLETAS")</f>
        <v>BICICLETAS Y MOTOCICLETAS</v>
      </c>
      <c r="L2689" s="5" t="str">
        <f ca="1">IFERROR(__xludf.DUMMYFUNCTION("GOOGLETRANSLATE(J2689,""EN"",""ES"")"),"Pedales para bicicletas")</f>
        <v>Pedales para bicicletas</v>
      </c>
      <c r="M2689" s="1" t="s">
        <v>39</v>
      </c>
      <c r="N2689" s="8"/>
    </row>
    <row r="2690" spans="1:14" ht="11.25" customHeight="1">
      <c r="A2690" s="5" t="s">
        <v>7189</v>
      </c>
      <c r="B2690" s="5" t="s">
        <v>7750</v>
      </c>
      <c r="C2690" s="5" t="s">
        <v>7796</v>
      </c>
      <c r="D2690" s="5" t="s">
        <v>7192</v>
      </c>
      <c r="E2690" s="5" t="s">
        <v>36</v>
      </c>
      <c r="F2690" s="5" t="s">
        <v>7193</v>
      </c>
      <c r="G2690" s="5" t="s">
        <v>7194</v>
      </c>
      <c r="H2690" s="5" t="s">
        <v>7752</v>
      </c>
      <c r="I2690" s="5" t="s">
        <v>7797</v>
      </c>
      <c r="J2690" s="5" t="s">
        <v>7798</v>
      </c>
      <c r="K2690" s="7" t="str">
        <f ca="1">IFERROR(__xludf.DUMMYFUNCTION("GOOGLETRANSLATE(H2690,""EN"",""ES"")"),"BICICLETAS Y MOTOCICLETAS")</f>
        <v>BICICLETAS Y MOTOCICLETAS</v>
      </c>
      <c r="L2690" s="5" t="str">
        <f ca="1">IFERROR(__xludf.DUMMYFUNCTION("GOOGLETRANSLATE(J2690,""EN"",""ES"")"),"Manivelas de pedal para bicicletas o motocicletas.")</f>
        <v>Manivelas de pedal para bicicletas o motocicletas.</v>
      </c>
      <c r="M2690" s="1" t="s">
        <v>39</v>
      </c>
      <c r="N2690" s="8"/>
    </row>
    <row r="2691" spans="1:14" ht="11.25" customHeight="1">
      <c r="A2691" s="5" t="s">
        <v>7189</v>
      </c>
      <c r="B2691" s="5" t="s">
        <v>7750</v>
      </c>
      <c r="C2691" s="5" t="s">
        <v>7799</v>
      </c>
      <c r="D2691" s="5" t="s">
        <v>7192</v>
      </c>
      <c r="E2691" s="5" t="s">
        <v>36</v>
      </c>
      <c r="F2691" s="5" t="s">
        <v>7193</v>
      </c>
      <c r="G2691" s="5" t="s">
        <v>7194</v>
      </c>
      <c r="H2691" s="5" t="s">
        <v>7752</v>
      </c>
      <c r="I2691" s="5" t="s">
        <v>7800</v>
      </c>
      <c r="J2691" s="5" t="s">
        <v>7801</v>
      </c>
      <c r="K2691" s="7" t="str">
        <f ca="1">IFERROR(__xludf.DUMMYFUNCTION("GOOGLETRANSLATE(H2691,""EN"",""ES"")"),"BICICLETAS Y MOTOCICLETAS")</f>
        <v>BICICLETAS Y MOTOCICLETAS</v>
      </c>
      <c r="L2691" s="5" t="str">
        <f ca="1">IFERROR(__xludf.DUMMYFUNCTION("GOOGLETRANSLATE(J2691,""EN"",""ES"")"),"scooters")</f>
        <v>scooters</v>
      </c>
      <c r="M2691" s="1" t="s">
        <v>39</v>
      </c>
      <c r="N2691" s="8"/>
    </row>
    <row r="2692" spans="1:14" ht="11.25" customHeight="1">
      <c r="A2692" s="5" t="s">
        <v>7189</v>
      </c>
      <c r="B2692" s="5" t="s">
        <v>7750</v>
      </c>
      <c r="C2692" s="5" t="s">
        <v>7802</v>
      </c>
      <c r="D2692" s="5" t="s">
        <v>7192</v>
      </c>
      <c r="E2692" s="5" t="s">
        <v>36</v>
      </c>
      <c r="F2692" s="5" t="s">
        <v>7193</v>
      </c>
      <c r="G2692" s="5" t="s">
        <v>7194</v>
      </c>
      <c r="H2692" s="5" t="s">
        <v>7752</v>
      </c>
      <c r="I2692" s="5" t="s">
        <v>7803</v>
      </c>
      <c r="J2692" s="5" t="s">
        <v>7804</v>
      </c>
      <c r="K2692" s="7" t="str">
        <f ca="1">IFERROR(__xludf.DUMMYFUNCTION("GOOGLETRANSLATE(H2692,""EN"",""ES"")"),"BICICLETAS Y MOTOCICLETAS")</f>
        <v>BICICLETAS Y MOTOCICLETAS</v>
      </c>
      <c r="L2692" s="5" t="str">
        <f ca="1">IFERROR(__xludf.DUMMYFUNCTION("GOOGLETRANSLATE(J2692,""EN"",""ES"")"),"Sillines para bicicletas o motocicletas.")</f>
        <v>Sillines para bicicletas o motocicletas.</v>
      </c>
      <c r="M2692" s="1" t="s">
        <v>39</v>
      </c>
      <c r="N2692" s="8"/>
    </row>
    <row r="2693" spans="1:14" ht="11.25" customHeight="1">
      <c r="A2693" s="5" t="s">
        <v>7189</v>
      </c>
      <c r="B2693" s="5" t="s">
        <v>7750</v>
      </c>
      <c r="C2693" s="5" t="s">
        <v>7805</v>
      </c>
      <c r="D2693" s="5" t="s">
        <v>7192</v>
      </c>
      <c r="E2693" s="5" t="s">
        <v>36</v>
      </c>
      <c r="F2693" s="5" t="s">
        <v>7193</v>
      </c>
      <c r="G2693" s="5" t="s">
        <v>7194</v>
      </c>
      <c r="H2693" s="5" t="s">
        <v>7752</v>
      </c>
      <c r="I2693" s="5" t="s">
        <v>7806</v>
      </c>
      <c r="J2693" s="5" t="s">
        <v>7807</v>
      </c>
      <c r="K2693" s="7" t="str">
        <f ca="1">IFERROR(__xludf.DUMMYFUNCTION("GOOGLETRANSLATE(H2693,""EN"",""ES"")"),"BICICLETAS Y MOTOCICLETAS")</f>
        <v>BICICLETAS Y MOTOCICLETAS</v>
      </c>
      <c r="L2693" s="5" t="str">
        <f ca="1">IFERROR(__xludf.DUMMYFUNCTION("GOOGLETRANSLATE(J2693,""EN"",""ES"")"),"sidecares")</f>
        <v>sidecares</v>
      </c>
      <c r="M2693" s="1" t="s">
        <v>39</v>
      </c>
      <c r="N2693" s="8"/>
    </row>
    <row r="2694" spans="1:14" ht="11.25" customHeight="1">
      <c r="A2694" s="5" t="s">
        <v>7189</v>
      </c>
      <c r="B2694" s="5" t="s">
        <v>7750</v>
      </c>
      <c r="C2694" s="5" t="s">
        <v>7808</v>
      </c>
      <c r="D2694" s="5" t="s">
        <v>7192</v>
      </c>
      <c r="E2694" s="5" t="s">
        <v>36</v>
      </c>
      <c r="F2694" s="5" t="s">
        <v>7193</v>
      </c>
      <c r="G2694" s="5" t="s">
        <v>7194</v>
      </c>
      <c r="H2694" s="5" t="s">
        <v>7752</v>
      </c>
      <c r="I2694" s="5" t="s">
        <v>7809</v>
      </c>
      <c r="J2694" s="5" t="s">
        <v>7810</v>
      </c>
      <c r="K2694" s="7" t="str">
        <f ca="1">IFERROR(__xludf.DUMMYFUNCTION("GOOGLETRANSLATE(H2694,""EN"",""ES"")"),"BICICLETAS Y MOTOCICLETAS")</f>
        <v>BICICLETAS Y MOTOCICLETAS</v>
      </c>
      <c r="L2694" s="5" t="str">
        <f ca="1">IFERROR(__xludf.DUMMYFUNCTION("GOOGLETRANSLATE(J2694,""EN"",""ES"")"),"velocípedos")</f>
        <v>velocípedos</v>
      </c>
      <c r="M2694" s="1" t="s">
        <v>39</v>
      </c>
      <c r="N2694" s="8"/>
    </row>
    <row r="2695" spans="1:14" ht="11.25" customHeight="1">
      <c r="A2695" s="5" t="s">
        <v>7189</v>
      </c>
      <c r="B2695" s="5" t="s">
        <v>7750</v>
      </c>
      <c r="C2695" s="5" t="s">
        <v>7811</v>
      </c>
      <c r="D2695" s="5" t="s">
        <v>7192</v>
      </c>
      <c r="E2695" s="5" t="s">
        <v>36</v>
      </c>
      <c r="F2695" s="5" t="s">
        <v>7193</v>
      </c>
      <c r="G2695" s="5" t="s">
        <v>7194</v>
      </c>
      <c r="H2695" s="5" t="s">
        <v>7752</v>
      </c>
      <c r="I2695" s="5" t="s">
        <v>7812</v>
      </c>
      <c r="J2695" s="5" t="s">
        <v>7813</v>
      </c>
      <c r="K2695" s="7" t="str">
        <f ca="1">IFERROR(__xludf.DUMMYFUNCTION("GOOGLETRANSLATE(H2695,""EN"",""ES"")"),"BICICLETAS Y MOTOCICLETAS")</f>
        <v>BICICLETAS Y MOTOCICLETAS</v>
      </c>
      <c r="L2695" s="5" t="str">
        <f ca="1">IFERROR(__xludf.DUMMYFUNCTION("GOOGLETRANSLATE(J2695,""EN"",""ES"")"),"Bicicletas asistidas por motor")</f>
        <v>Bicicletas asistidas por motor</v>
      </c>
      <c r="M2695" s="1" t="s">
        <v>39</v>
      </c>
      <c r="N2695" s="8"/>
    </row>
    <row r="2696" spans="1:14" ht="11.25" customHeight="1">
      <c r="A2696" s="5" t="s">
        <v>7189</v>
      </c>
      <c r="B2696" s="5" t="s">
        <v>7750</v>
      </c>
      <c r="C2696" s="5" t="s">
        <v>7814</v>
      </c>
      <c r="D2696" s="5" t="s">
        <v>7192</v>
      </c>
      <c r="E2696" s="5" t="s">
        <v>36</v>
      </c>
      <c r="F2696" s="5" t="s">
        <v>7193</v>
      </c>
      <c r="G2696" s="5" t="s">
        <v>7194</v>
      </c>
      <c r="H2696" s="5" t="s">
        <v>7752</v>
      </c>
      <c r="I2696" s="5" t="s">
        <v>7815</v>
      </c>
      <c r="J2696" s="5" t="s">
        <v>7816</v>
      </c>
      <c r="K2696" s="7" t="str">
        <f ca="1">IFERROR(__xludf.DUMMYFUNCTION("GOOGLETRANSLATE(H2696,""EN"",""ES"")"),"BICICLETAS Y MOTOCICLETAS")</f>
        <v>BICICLETAS Y MOTOCICLETAS</v>
      </c>
      <c r="L2696" s="5" t="str">
        <f ca="1">IFERROR(__xludf.DUMMYFUNCTION("GOOGLETRANSLATE(J2696,""EN"",""ES"")"),"Palancas de cambio para bicicletas o motocicletas.")</f>
        <v>Palancas de cambio para bicicletas o motocicletas.</v>
      </c>
      <c r="M2696" s="1" t="s">
        <v>39</v>
      </c>
      <c r="N2696" s="8"/>
    </row>
    <row r="2697" spans="1:14" ht="11.25" customHeight="1">
      <c r="A2697" s="5" t="s">
        <v>7189</v>
      </c>
      <c r="B2697" s="5" t="s">
        <v>7750</v>
      </c>
      <c r="C2697" s="5" t="s">
        <v>7817</v>
      </c>
      <c r="D2697" s="5" t="s">
        <v>7192</v>
      </c>
      <c r="E2697" s="5" t="s">
        <v>36</v>
      </c>
      <c r="F2697" s="5" t="s">
        <v>7193</v>
      </c>
      <c r="G2697" s="5" t="s">
        <v>7194</v>
      </c>
      <c r="H2697" s="5" t="s">
        <v>7752</v>
      </c>
      <c r="I2697" s="5" t="s">
        <v>7818</v>
      </c>
      <c r="J2697" s="5" t="s">
        <v>7819</v>
      </c>
      <c r="K2697" s="7" t="str">
        <f ca="1">IFERROR(__xludf.DUMMYFUNCTION("GOOGLETRANSLATE(H2697,""EN"",""ES"")"),"BICICLETAS Y MOTOCICLETAS")</f>
        <v>BICICLETAS Y MOTOCICLETAS</v>
      </c>
      <c r="L2697" s="5" t="str">
        <f ca="1">IFERROR(__xludf.DUMMYFUNCTION("GOOGLETRANSLATE(J2697,""EN"",""ES"")"),"Palancas de freno para bicicletas o motocicletas.")</f>
        <v>Palancas de freno para bicicletas o motocicletas.</v>
      </c>
      <c r="M2697" s="1" t="s">
        <v>39</v>
      </c>
      <c r="N2697" s="8"/>
    </row>
    <row r="2698" spans="1:14" ht="11.25" customHeight="1">
      <c r="A2698" s="5" t="s">
        <v>7189</v>
      </c>
      <c r="B2698" s="5" t="s">
        <v>7750</v>
      </c>
      <c r="C2698" s="5" t="s">
        <v>7817</v>
      </c>
      <c r="D2698" s="5" t="s">
        <v>7192</v>
      </c>
      <c r="E2698" s="5" t="s">
        <v>36</v>
      </c>
      <c r="F2698" s="5" t="s">
        <v>7193</v>
      </c>
      <c r="G2698" s="5" t="s">
        <v>7194</v>
      </c>
      <c r="H2698" s="5" t="s">
        <v>7752</v>
      </c>
      <c r="I2698" s="5" t="s">
        <v>152</v>
      </c>
      <c r="J2698" s="5" t="s">
        <v>7820</v>
      </c>
      <c r="K2698" s="7" t="str">
        <f ca="1">IFERROR(__xludf.DUMMYFUNCTION("GOOGLETRANSLATE(H2698,""EN"",""ES"")"),"BICICLETAS Y MOTOCICLETAS")</f>
        <v>BICICLETAS Y MOTOCICLETAS</v>
      </c>
      <c r="L2698" s="5" t="str">
        <f ca="1">IFERROR(__xludf.DUMMYFUNCTION("GOOGLETRANSLATE(J2698,""EN"",""ES"")"),"N / A")</f>
        <v>N / A</v>
      </c>
      <c r="M2698" s="1" t="s">
        <v>39</v>
      </c>
      <c r="N2698" s="8"/>
    </row>
    <row r="2699" spans="1:14" ht="11.25" customHeight="1">
      <c r="A2699" s="5" t="s">
        <v>7189</v>
      </c>
      <c r="B2699" s="5" t="s">
        <v>7750</v>
      </c>
      <c r="C2699" s="5" t="s">
        <v>7821</v>
      </c>
      <c r="D2699" s="5" t="s">
        <v>7192</v>
      </c>
      <c r="E2699" s="5" t="s">
        <v>36</v>
      </c>
      <c r="F2699" s="5" t="s">
        <v>7193</v>
      </c>
      <c r="G2699" s="5" t="s">
        <v>7194</v>
      </c>
      <c r="H2699" s="5" t="s">
        <v>7752</v>
      </c>
      <c r="I2699" s="5" t="s">
        <v>7822</v>
      </c>
      <c r="J2699" s="5" t="s">
        <v>7823</v>
      </c>
      <c r="K2699" s="7" t="str">
        <f ca="1">IFERROR(__xludf.DUMMYFUNCTION("GOOGLETRANSLATE(H2699,""EN"",""ES"")"),"BICICLETAS Y MOTOCICLETAS")</f>
        <v>BICICLETAS Y MOTOCICLETAS</v>
      </c>
      <c r="L2699" s="5" t="str">
        <f ca="1">IFERROR(__xludf.DUMMYFUNCTION("GOOGLETRANSLATE(J2699,""EN"",""ES"")"),"Puños de manillar")</f>
        <v>Puños de manillar</v>
      </c>
      <c r="M2699" s="1" t="s">
        <v>39</v>
      </c>
      <c r="N2699" s="8"/>
    </row>
    <row r="2700" spans="1:14" ht="11.25" customHeight="1">
      <c r="A2700" s="5" t="s">
        <v>7189</v>
      </c>
      <c r="B2700" s="5" t="s">
        <v>7750</v>
      </c>
      <c r="C2700" s="5" t="s">
        <v>7824</v>
      </c>
      <c r="D2700" s="5" t="s">
        <v>7192</v>
      </c>
      <c r="E2700" s="5" t="s">
        <v>36</v>
      </c>
      <c r="F2700" s="5" t="s">
        <v>7193</v>
      </c>
      <c r="G2700" s="5" t="s">
        <v>7194</v>
      </c>
      <c r="H2700" s="5" t="s">
        <v>7752</v>
      </c>
      <c r="I2700" s="5" t="s">
        <v>7825</v>
      </c>
      <c r="J2700" s="5" t="s">
        <v>7826</v>
      </c>
      <c r="K2700" s="7" t="str">
        <f ca="1">IFERROR(__xludf.DUMMYFUNCTION("GOOGLETRANSLATE(H2700,""EN"",""ES"")"),"BICICLETAS Y MOTOCICLETAS")</f>
        <v>BICICLETAS Y MOTOCICLETAS</v>
      </c>
      <c r="L2700" s="5" t="str">
        <f ca="1">IFERROR(__xludf.DUMMYFUNCTION("GOOGLETRANSLATE(J2700,""EN"",""ES"")"),"Portaequipajes para bicicletas o motos")</f>
        <v>Portaequipajes para bicicletas o motos</v>
      </c>
      <c r="M2700" s="1" t="s">
        <v>39</v>
      </c>
      <c r="N2700" s="8"/>
    </row>
    <row r="2701" spans="1:14" ht="11.25" customHeight="1">
      <c r="A2701" s="5" t="s">
        <v>7189</v>
      </c>
      <c r="B2701" s="5" t="s">
        <v>7750</v>
      </c>
      <c r="C2701" s="5" t="s">
        <v>7827</v>
      </c>
      <c r="D2701" s="5" t="s">
        <v>7192</v>
      </c>
      <c r="E2701" s="5" t="s">
        <v>36</v>
      </c>
      <c r="F2701" s="5" t="s">
        <v>7193</v>
      </c>
      <c r="G2701" s="5" t="s">
        <v>7194</v>
      </c>
      <c r="H2701" s="5" t="s">
        <v>7752</v>
      </c>
      <c r="I2701" s="5" t="s">
        <v>7828</v>
      </c>
      <c r="J2701" s="5" t="s">
        <v>7829</v>
      </c>
      <c r="K2701" s="7" t="str">
        <f ca="1">IFERROR(__xludf.DUMMYFUNCTION("GOOGLETRANSLATE(H2701,""EN"",""ES"")"),"BICICLETAS Y MOTOCICLETAS")</f>
        <v>BICICLETAS Y MOTOCICLETAS</v>
      </c>
      <c r="L2701" s="5" t="str">
        <f ca="1">IFERROR(__xludf.DUMMYFUNCTION("GOOGLETRANSLATE(J2701,""EN"",""ES"")"),"Porta banderines para bicicletas o motos")</f>
        <v>Porta banderines para bicicletas o motos</v>
      </c>
      <c r="M2701" s="1" t="s">
        <v>39</v>
      </c>
      <c r="N2701" s="8"/>
    </row>
    <row r="2702" spans="1:14" ht="11.25" customHeight="1">
      <c r="A2702" s="5" t="s">
        <v>7189</v>
      </c>
      <c r="B2702" s="5" t="s">
        <v>7750</v>
      </c>
      <c r="C2702" s="5" t="s">
        <v>7830</v>
      </c>
      <c r="D2702" s="5" t="s">
        <v>7192</v>
      </c>
      <c r="E2702" s="5" t="s">
        <v>36</v>
      </c>
      <c r="F2702" s="5" t="s">
        <v>7193</v>
      </c>
      <c r="G2702" s="5" t="s">
        <v>7194</v>
      </c>
      <c r="H2702" s="5" t="s">
        <v>7752</v>
      </c>
      <c r="I2702" s="5" t="s">
        <v>7831</v>
      </c>
      <c r="J2702" s="5" t="s">
        <v>7832</v>
      </c>
      <c r="K2702" s="7" t="str">
        <f ca="1">IFERROR(__xludf.DUMMYFUNCTION("GOOGLETRANSLATE(H2702,""EN"",""ES"")"),"BICICLETAS Y MOTOCICLETAS")</f>
        <v>BICICLETAS Y MOTOCICLETAS</v>
      </c>
      <c r="L2702" s="5" t="str">
        <f ca="1">IFERROR(__xludf.DUMMYFUNCTION("GOOGLETRANSLATE(J2702,""EN"",""ES"")"),"Guías de cadena para cambios de marcha en bicicleta.")</f>
        <v>Guías de cadena para cambios de marcha en bicicleta.</v>
      </c>
      <c r="M2702" s="1" t="s">
        <v>39</v>
      </c>
      <c r="N2702" s="8"/>
    </row>
    <row r="2703" spans="1:14" ht="11.25" customHeight="1">
      <c r="A2703" s="5" t="s">
        <v>7189</v>
      </c>
      <c r="B2703" s="5" t="s">
        <v>7750</v>
      </c>
      <c r="C2703" s="5" t="s">
        <v>7833</v>
      </c>
      <c r="D2703" s="5" t="s">
        <v>7192</v>
      </c>
      <c r="E2703" s="5" t="s">
        <v>36</v>
      </c>
      <c r="F2703" s="5" t="s">
        <v>7193</v>
      </c>
      <c r="G2703" s="5" t="s">
        <v>7194</v>
      </c>
      <c r="H2703" s="5" t="s">
        <v>7752</v>
      </c>
      <c r="I2703" s="5" t="s">
        <v>7834</v>
      </c>
      <c r="J2703" s="5" t="s">
        <v>7835</v>
      </c>
      <c r="K2703" s="7" t="str">
        <f ca="1">IFERROR(__xludf.DUMMYFUNCTION("GOOGLETRANSLATE(H2703,""EN"",""ES"")"),"BICICLETAS Y MOTOCICLETAS")</f>
        <v>BICICLETAS Y MOTOCICLETAS</v>
      </c>
      <c r="L2703" s="5" t="str">
        <f ca="1">IFERROR(__xludf.DUMMYFUNCTION("GOOGLETRANSLATE(J2703,""EN"",""ES"")"),"Ruedas dentadas para bicicletas o motocicletas.")</f>
        <v>Ruedas dentadas para bicicletas o motocicletas.</v>
      </c>
      <c r="M2703" s="1" t="s">
        <v>39</v>
      </c>
      <c r="N2703" s="8"/>
    </row>
    <row r="2704" spans="1:14" ht="11.25" customHeight="1">
      <c r="A2704" s="5" t="s">
        <v>7189</v>
      </c>
      <c r="B2704" s="5" t="s">
        <v>7750</v>
      </c>
      <c r="C2704" s="5" t="s">
        <v>7836</v>
      </c>
      <c r="D2704" s="5" t="s">
        <v>7192</v>
      </c>
      <c r="E2704" s="5" t="s">
        <v>36</v>
      </c>
      <c r="F2704" s="5" t="s">
        <v>7193</v>
      </c>
      <c r="G2704" s="5" t="s">
        <v>7194</v>
      </c>
      <c r="H2704" s="5" t="s">
        <v>7752</v>
      </c>
      <c r="I2704" s="5" t="s">
        <v>7837</v>
      </c>
      <c r="J2704" s="5" t="s">
        <v>7838</v>
      </c>
      <c r="K2704" s="7" t="str">
        <f ca="1">IFERROR(__xludf.DUMMYFUNCTION("GOOGLETRANSLATE(H2704,""EN"",""ES"")"),"BICICLETAS Y MOTOCICLETAS")</f>
        <v>BICICLETAS Y MOTOCICLETAS</v>
      </c>
      <c r="L2704" s="5" t="str">
        <f ca="1">IFERROR(__xludf.DUMMYFUNCTION("GOOGLETRANSLATE(J2704,""EN"",""ES"")"),"Ruedas de cadena para bicicletas o motocicletas.")</f>
        <v>Ruedas de cadena para bicicletas o motocicletas.</v>
      </c>
      <c r="M2704" s="1" t="s">
        <v>39</v>
      </c>
      <c r="N2704" s="8"/>
    </row>
    <row r="2705" spans="1:14" ht="11.25" customHeight="1">
      <c r="A2705" s="5" t="s">
        <v>7189</v>
      </c>
      <c r="B2705" s="5" t="s">
        <v>7750</v>
      </c>
      <c r="C2705" s="5" t="s">
        <v>7836</v>
      </c>
      <c r="D2705" s="5" t="s">
        <v>7192</v>
      </c>
      <c r="E2705" s="5" t="s">
        <v>36</v>
      </c>
      <c r="F2705" s="5" t="s">
        <v>7193</v>
      </c>
      <c r="G2705" s="5" t="s">
        <v>7194</v>
      </c>
      <c r="H2705" s="5" t="s">
        <v>7752</v>
      </c>
      <c r="I2705" s="5" t="s">
        <v>7839</v>
      </c>
      <c r="J2705" s="5" t="s">
        <v>152</v>
      </c>
      <c r="K2705" s="7" t="str">
        <f ca="1">IFERROR(__xludf.DUMMYFUNCTION("GOOGLETRANSLATE(H2705,""EN"",""ES"")"),"BICICLETAS Y MOTOCICLETAS")</f>
        <v>BICICLETAS Y MOTOCICLETAS</v>
      </c>
      <c r="L2705" s="5" t="str">
        <f ca="1">IFERROR(__xludf.DUMMYFUNCTION("GOOGLETRANSLATE(J2705,""EN"",""ES"")"),"Platos de cadena para bicicletas o motocicletas.")</f>
        <v>Platos de cadena para bicicletas o motocicletas.</v>
      </c>
      <c r="M2705" s="1" t="s">
        <v>39</v>
      </c>
      <c r="N2705" s="8"/>
    </row>
    <row r="2706" spans="1:14" ht="11.25" customHeight="1">
      <c r="A2706" s="5" t="s">
        <v>7189</v>
      </c>
      <c r="B2706" s="5" t="s">
        <v>7750</v>
      </c>
      <c r="C2706" s="5" t="s">
        <v>7840</v>
      </c>
      <c r="D2706" s="5" t="s">
        <v>7192</v>
      </c>
      <c r="E2706" s="5" t="s">
        <v>36</v>
      </c>
      <c r="F2706" s="5" t="s">
        <v>7193</v>
      </c>
      <c r="G2706" s="5" t="s">
        <v>7194</v>
      </c>
      <c r="H2706" s="5" t="s">
        <v>7752</v>
      </c>
      <c r="I2706" s="5" t="s">
        <v>7841</v>
      </c>
      <c r="J2706" s="5" t="s">
        <v>7842</v>
      </c>
      <c r="K2706" s="7" t="str">
        <f ca="1">IFERROR(__xludf.DUMMYFUNCTION("GOOGLETRANSLATE(H2706,""EN"",""ES"")"),"BICICLETAS Y MOTOCICLETAS")</f>
        <v>BICICLETAS Y MOTOCICLETAS</v>
      </c>
      <c r="L2706" s="5" t="str">
        <f ca="1">IFERROR(__xludf.DUMMYFUNCTION("GOOGLETRANSLATE(J2706,""EN"",""ES"")"),"Depósitos de combustible para motos")</f>
        <v>Depósitos de combustible para motos</v>
      </c>
      <c r="M2706" s="1" t="s">
        <v>39</v>
      </c>
      <c r="N2706" s="8"/>
    </row>
    <row r="2707" spans="1:14" ht="11.25" customHeight="1">
      <c r="A2707" s="5" t="s">
        <v>7189</v>
      </c>
      <c r="B2707" s="5" t="s">
        <v>7750</v>
      </c>
      <c r="C2707" s="5" t="s">
        <v>7843</v>
      </c>
      <c r="D2707" s="5" t="s">
        <v>7192</v>
      </c>
      <c r="E2707" s="5" t="s">
        <v>36</v>
      </c>
      <c r="F2707" s="5" t="s">
        <v>7193</v>
      </c>
      <c r="G2707" s="5" t="s">
        <v>7194</v>
      </c>
      <c r="H2707" s="5" t="s">
        <v>7752</v>
      </c>
      <c r="I2707" s="5" t="s">
        <v>7844</v>
      </c>
      <c r="J2707" s="5" t="s">
        <v>7845</v>
      </c>
      <c r="K2707" s="7" t="str">
        <f ca="1">IFERROR(__xludf.DUMMYFUNCTION("GOOGLETRANSLATE(H2707,""EN"",""ES"")"),"BICICLETAS Y MOTOCICLETAS")</f>
        <v>BICICLETAS Y MOTOCICLETAS</v>
      </c>
      <c r="L2707" s="5" t="str">
        <f ca="1">IFERROR(__xludf.DUMMYFUNCTION("GOOGLETRANSLATE(J2707,""EN"",""ES"")"),"Ajustadores de cadena para bicicletas.")</f>
        <v>Ajustadores de cadena para bicicletas.</v>
      </c>
      <c r="M2707" s="1" t="s">
        <v>39</v>
      </c>
      <c r="N2707" s="8"/>
    </row>
    <row r="2708" spans="1:14" ht="11.25" customHeight="1">
      <c r="A2708" s="5" t="s">
        <v>7189</v>
      </c>
      <c r="B2708" s="5" t="s">
        <v>7750</v>
      </c>
      <c r="C2708" s="5" t="s">
        <v>7846</v>
      </c>
      <c r="D2708" s="5" t="s">
        <v>7192</v>
      </c>
      <c r="E2708" s="5" t="s">
        <v>36</v>
      </c>
      <c r="F2708" s="5" t="s">
        <v>7193</v>
      </c>
      <c r="G2708" s="5" t="s">
        <v>7194</v>
      </c>
      <c r="H2708" s="5" t="s">
        <v>7752</v>
      </c>
      <c r="I2708" s="5" t="s">
        <v>7847</v>
      </c>
      <c r="J2708" s="5" t="s">
        <v>7848</v>
      </c>
      <c r="K2708" s="7" t="str">
        <f ca="1">IFERROR(__xludf.DUMMYFUNCTION("GOOGLETRANSLATE(H2708,""EN"",""ES"")"),"BICICLETAS Y MOTOCICLETAS")</f>
        <v>BICICLETAS Y MOTOCICLETAS</v>
      </c>
      <c r="L2708" s="5" t="str">
        <f ca="1">IFERROR(__xludf.DUMMYFUNCTION("GOOGLETRANSLATE(J2708,""EN"",""ES"")"),"Triciclos [excepto juguetes]")</f>
        <v>Triciclos [excepto juguetes]</v>
      </c>
      <c r="M2708" s="1" t="s">
        <v>39</v>
      </c>
      <c r="N2708" s="8"/>
    </row>
    <row r="2709" spans="1:14" ht="11.25" customHeight="1">
      <c r="A2709" s="5" t="s">
        <v>7189</v>
      </c>
      <c r="B2709" s="5" t="s">
        <v>7750</v>
      </c>
      <c r="C2709" s="5" t="s">
        <v>7849</v>
      </c>
      <c r="D2709" s="5" t="s">
        <v>7192</v>
      </c>
      <c r="E2709" s="5" t="s">
        <v>36</v>
      </c>
      <c r="F2709" s="5" t="s">
        <v>7193</v>
      </c>
      <c r="G2709" s="5" t="s">
        <v>7194</v>
      </c>
      <c r="H2709" s="5" t="s">
        <v>7752</v>
      </c>
      <c r="I2709" s="5" t="s">
        <v>7850</v>
      </c>
      <c r="J2709" s="5" t="s">
        <v>7851</v>
      </c>
      <c r="K2709" s="7" t="str">
        <f ca="1">IFERROR(__xludf.DUMMYFUNCTION("GOOGLETRANSLATE(H2709,""EN"",""ES"")"),"BICICLETAS Y MOTOCICLETAS")</f>
        <v>BICICLETAS Y MOTOCICLETAS</v>
      </c>
      <c r="L2709" s="5" t="str">
        <f ca="1">IFERROR(__xludf.DUMMYFUNCTION("GOOGLETRANSLATE(J2709,""EN"",""ES"")"),"Tapas de deposito para motos")</f>
        <v>Tapas de deposito para motos</v>
      </c>
      <c r="M2709" s="1" t="s">
        <v>39</v>
      </c>
      <c r="N2709" s="8"/>
    </row>
    <row r="2710" spans="1:14" ht="11.25" customHeight="1">
      <c r="A2710" s="5" t="s">
        <v>7189</v>
      </c>
      <c r="B2710" s="5" t="s">
        <v>7750</v>
      </c>
      <c r="C2710" s="5" t="s">
        <v>7852</v>
      </c>
      <c r="D2710" s="5" t="s">
        <v>7192</v>
      </c>
      <c r="E2710" s="5" t="s">
        <v>36</v>
      </c>
      <c r="F2710" s="5" t="s">
        <v>7193</v>
      </c>
      <c r="G2710" s="5" t="s">
        <v>7194</v>
      </c>
      <c r="H2710" s="5" t="s">
        <v>7752</v>
      </c>
      <c r="I2710" s="5" t="s">
        <v>7853</v>
      </c>
      <c r="J2710" s="5" t="s">
        <v>7854</v>
      </c>
      <c r="K2710" s="7" t="str">
        <f ca="1">IFERROR(__xludf.DUMMYFUNCTION("GOOGLETRANSLATE(H2710,""EN"",""ES"")"),"BICICLETAS Y MOTOCICLETAS")</f>
        <v>BICICLETAS Y MOTOCICLETAS</v>
      </c>
      <c r="L2710" s="5" t="str">
        <f ca="1">IFERROR(__xludf.DUMMYFUNCTION("GOOGLETRANSLATE(J2710,""EN"",""ES"")"),"Protectores de engranajes para bicicletas.")</f>
        <v>Protectores de engranajes para bicicletas.</v>
      </c>
      <c r="M2710" s="1" t="s">
        <v>39</v>
      </c>
      <c r="N2710" s="8"/>
    </row>
    <row r="2711" spans="1:14" ht="11.25" customHeight="1">
      <c r="A2711" s="5" t="s">
        <v>7189</v>
      </c>
      <c r="B2711" s="5" t="s">
        <v>7750</v>
      </c>
      <c r="C2711" s="5" t="s">
        <v>7855</v>
      </c>
      <c r="D2711" s="5" t="s">
        <v>7192</v>
      </c>
      <c r="E2711" s="5" t="s">
        <v>36</v>
      </c>
      <c r="F2711" s="5" t="s">
        <v>7193</v>
      </c>
      <c r="G2711" s="5" t="s">
        <v>7194</v>
      </c>
      <c r="H2711" s="5" t="s">
        <v>7752</v>
      </c>
      <c r="I2711" s="5" t="s">
        <v>7856</v>
      </c>
      <c r="J2711" s="5" t="s">
        <v>7857</v>
      </c>
      <c r="K2711" s="7" t="str">
        <f ca="1">IFERROR(__xludf.DUMMYFUNCTION("GOOGLETRANSLATE(H2711,""EN"",""ES"")"),"BICICLETAS Y MOTOCICLETAS")</f>
        <v>BICICLETAS Y MOTOCICLETAS</v>
      </c>
      <c r="L2711" s="5" t="str">
        <f ca="1">IFERROR(__xludf.DUMMYFUNCTION("GOOGLETRANSLATE(J2711,""EN"",""ES"")"),"Carenados para motos")</f>
        <v>Carenados para motos</v>
      </c>
      <c r="M2711" s="1" t="s">
        <v>39</v>
      </c>
      <c r="N2711" s="8"/>
    </row>
    <row r="2712" spans="1:14" ht="11.25" customHeight="1">
      <c r="A2712" s="5" t="s">
        <v>7189</v>
      </c>
      <c r="B2712" s="5" t="s">
        <v>7750</v>
      </c>
      <c r="C2712" s="5" t="s">
        <v>7858</v>
      </c>
      <c r="D2712" s="5" t="s">
        <v>7192</v>
      </c>
      <c r="E2712" s="5" t="s">
        <v>36</v>
      </c>
      <c r="F2712" s="5" t="s">
        <v>7193</v>
      </c>
      <c r="G2712" s="5" t="s">
        <v>7194</v>
      </c>
      <c r="H2712" s="5" t="s">
        <v>7752</v>
      </c>
      <c r="I2712" s="5" t="s">
        <v>7859</v>
      </c>
      <c r="J2712" s="5" t="s">
        <v>7860</v>
      </c>
      <c r="K2712" s="7" t="str">
        <f ca="1">IFERROR(__xludf.DUMMYFUNCTION("GOOGLETRANSLATE(H2712,""EN"",""ES"")"),"BICICLETAS Y MOTOCICLETAS")</f>
        <v>BICICLETAS Y MOTOCICLETAS</v>
      </c>
      <c r="L2712" s="5" t="str">
        <f ca="1">IFERROR(__xludf.DUMMYFUNCTION("GOOGLETRANSLATE(J2712,""EN"",""ES"")"),"Remolques para bicicletas")</f>
        <v>Remolques para bicicletas</v>
      </c>
      <c r="M2712" s="1" t="s">
        <v>39</v>
      </c>
      <c r="N2712" s="8"/>
    </row>
    <row r="2713" spans="1:14" ht="11.25" customHeight="1">
      <c r="A2713" s="5" t="s">
        <v>7189</v>
      </c>
      <c r="B2713" s="5" t="s">
        <v>7750</v>
      </c>
      <c r="C2713" s="5" t="s">
        <v>7861</v>
      </c>
      <c r="D2713" s="5" t="s">
        <v>7192</v>
      </c>
      <c r="E2713" s="5" t="s">
        <v>36</v>
      </c>
      <c r="F2713" s="5" t="s">
        <v>7193</v>
      </c>
      <c r="G2713" s="5" t="s">
        <v>7194</v>
      </c>
      <c r="H2713" s="5" t="s">
        <v>7752</v>
      </c>
      <c r="I2713" s="5" t="s">
        <v>7862</v>
      </c>
      <c r="J2713" s="5" t="s">
        <v>7863</v>
      </c>
      <c r="K2713" s="7" t="str">
        <f ca="1">IFERROR(__xludf.DUMMYFUNCTION("GOOGLETRANSLATE(H2713,""EN"",""ES"")"),"BICICLETAS Y MOTOCICLETAS")</f>
        <v>BICICLETAS Y MOTOCICLETAS</v>
      </c>
      <c r="L2713" s="5" t="str">
        <f ca="1">IFERROR(__xludf.DUMMYFUNCTION("GOOGLETRANSLATE(J2713,""EN"",""ES"")"),"bicicletas de equilibrio")</f>
        <v>bicicletas de equilibrio</v>
      </c>
      <c r="M2713" s="1" t="s">
        <v>39</v>
      </c>
      <c r="N2713" s="8"/>
    </row>
    <row r="2714" spans="1:14" ht="11.25" customHeight="1">
      <c r="A2714" s="5" t="s">
        <v>7189</v>
      </c>
      <c r="B2714" s="5" t="s">
        <v>7750</v>
      </c>
      <c r="C2714" s="5" t="s">
        <v>7864</v>
      </c>
      <c r="D2714" s="5" t="s">
        <v>7192</v>
      </c>
      <c r="E2714" s="5" t="s">
        <v>36</v>
      </c>
      <c r="F2714" s="5" t="s">
        <v>7193</v>
      </c>
      <c r="G2714" s="5" t="s">
        <v>7194</v>
      </c>
      <c r="H2714" s="5" t="s">
        <v>7752</v>
      </c>
      <c r="I2714" s="5" t="s">
        <v>7865</v>
      </c>
      <c r="J2714" s="5" t="s">
        <v>7866</v>
      </c>
      <c r="K2714" s="7" t="str">
        <f ca="1">IFERROR(__xludf.DUMMYFUNCTION("GOOGLETRANSLATE(H2714,""EN"",""ES"")"),"BICICLETAS Y MOTOCICLETAS")</f>
        <v>BICICLETAS Y MOTOCICLETAS</v>
      </c>
      <c r="L2714" s="5" t="str">
        <f ca="1">IFERROR(__xludf.DUMMYFUNCTION("GOOGLETRANSLATE(J2714,""EN"",""ES"")"),"Guardacadenas para bicicletas")</f>
        <v>Guardacadenas para bicicletas</v>
      </c>
      <c r="M2714" s="1" t="s">
        <v>39</v>
      </c>
      <c r="N2714" s="8"/>
    </row>
    <row r="2715" spans="1:14" ht="11.25" customHeight="1">
      <c r="A2715" s="5" t="s">
        <v>7189</v>
      </c>
      <c r="B2715" s="5" t="s">
        <v>7750</v>
      </c>
      <c r="C2715" s="5" t="s">
        <v>7867</v>
      </c>
      <c r="D2715" s="5" t="s">
        <v>7192</v>
      </c>
      <c r="E2715" s="5" t="s">
        <v>36</v>
      </c>
      <c r="F2715" s="5" t="s">
        <v>7193</v>
      </c>
      <c r="G2715" s="5" t="s">
        <v>7194</v>
      </c>
      <c r="H2715" s="5" t="s">
        <v>7752</v>
      </c>
      <c r="I2715" s="5" t="s">
        <v>7868</v>
      </c>
      <c r="J2715" s="5" t="s">
        <v>7869</v>
      </c>
      <c r="K2715" s="7" t="str">
        <f ca="1">IFERROR(__xludf.DUMMYFUNCTION("GOOGLETRANSLATE(H2715,""EN"",""ES"")"),"BICICLETAS Y MOTOCICLETAS")</f>
        <v>BICICLETAS Y MOTOCICLETAS</v>
      </c>
      <c r="L2715" s="5" t="str">
        <f ca="1">IFERROR(__xludf.DUMMYFUNCTION("GOOGLETRANSLATE(J2715,""EN"",""ES"")"),"Guardacadenas para motos")</f>
        <v>Guardacadenas para motos</v>
      </c>
      <c r="M2715" s="1" t="s">
        <v>39</v>
      </c>
      <c r="N2715" s="8"/>
    </row>
    <row r="2716" spans="1:14" ht="11.25" customHeight="1">
      <c r="A2716" s="5" t="s">
        <v>7189</v>
      </c>
      <c r="B2716" s="5" t="s">
        <v>7750</v>
      </c>
      <c r="C2716" s="5" t="s">
        <v>7870</v>
      </c>
      <c r="D2716" s="5" t="s">
        <v>7192</v>
      </c>
      <c r="E2716" s="5" t="s">
        <v>36</v>
      </c>
      <c r="F2716" s="5" t="s">
        <v>7193</v>
      </c>
      <c r="G2716" s="5" t="s">
        <v>7194</v>
      </c>
      <c r="H2716" s="5" t="s">
        <v>7752</v>
      </c>
      <c r="I2716" s="5" t="s">
        <v>7871</v>
      </c>
      <c r="J2716" s="5" t="s">
        <v>7872</v>
      </c>
      <c r="K2716" s="7" t="str">
        <f ca="1">IFERROR(__xludf.DUMMYFUNCTION("GOOGLETRANSLATE(H2716,""EN"",""ES"")"),"BICICLETAS Y MOTOCICLETAS")</f>
        <v>BICICLETAS Y MOTOCICLETAS</v>
      </c>
      <c r="L2716" s="5" t="str">
        <f ca="1">IFERROR(__xludf.DUMMYFUNCTION("GOOGLETRANSLATE(J2716,""EN"",""ES"")"),"Patinetes de empuje")</f>
        <v>Patinetes de empuje</v>
      </c>
      <c r="M2716" s="1" t="s">
        <v>39</v>
      </c>
      <c r="N2716" s="8"/>
    </row>
    <row r="2717" spans="1:14" ht="11.25" customHeight="1">
      <c r="A2717" s="5" t="s">
        <v>7189</v>
      </c>
      <c r="B2717" s="5" t="s">
        <v>7750</v>
      </c>
      <c r="C2717" s="5" t="s">
        <v>7873</v>
      </c>
      <c r="D2717" s="5" t="s">
        <v>7192</v>
      </c>
      <c r="E2717" s="5" t="s">
        <v>36</v>
      </c>
      <c r="F2717" s="5" t="s">
        <v>7193</v>
      </c>
      <c r="G2717" s="5" t="s">
        <v>7194</v>
      </c>
      <c r="H2717" s="5" t="s">
        <v>7752</v>
      </c>
      <c r="I2717" s="5" t="s">
        <v>7874</v>
      </c>
      <c r="J2717" s="5" t="s">
        <v>7875</v>
      </c>
      <c r="K2717" s="7" t="str">
        <f ca="1">IFERROR(__xludf.DUMMYFUNCTION("GOOGLETRANSLATE(H2717,""EN"",""ES"")"),"BICICLETAS Y MOTOCICLETAS")</f>
        <v>BICICLETAS Y MOTOCICLETAS</v>
      </c>
      <c r="L2717" s="5" t="str">
        <f ca="1">IFERROR(__xludf.DUMMYFUNCTION("GOOGLETRANSLATE(J2717,""EN"",""ES"")"),"Tablas de autoequilibrio")</f>
        <v>Tablas de autoequilibrio</v>
      </c>
      <c r="M2717" s="1" t="s">
        <v>39</v>
      </c>
      <c r="N2717" s="8"/>
    </row>
    <row r="2718" spans="1:14" ht="11.25" customHeight="1">
      <c r="A2718" s="5" t="s">
        <v>7189</v>
      </c>
      <c r="B2718" s="5" t="s">
        <v>7750</v>
      </c>
      <c r="C2718" s="5" t="s">
        <v>7876</v>
      </c>
      <c r="D2718" s="5" t="s">
        <v>7192</v>
      </c>
      <c r="E2718" s="5" t="s">
        <v>36</v>
      </c>
      <c r="F2718" s="5" t="s">
        <v>7193</v>
      </c>
      <c r="G2718" s="5" t="s">
        <v>7194</v>
      </c>
      <c r="H2718" s="5" t="s">
        <v>7752</v>
      </c>
      <c r="I2718" s="5" t="s">
        <v>7877</v>
      </c>
      <c r="J2718" s="5" t="s">
        <v>7878</v>
      </c>
      <c r="K2718" s="7" t="str">
        <f ca="1">IFERROR(__xludf.DUMMYFUNCTION("GOOGLETRANSLATE(H2718,""EN"",""ES"")"),"BICICLETAS Y MOTOCICLETAS")</f>
        <v>BICICLETAS Y MOTOCICLETAS</v>
      </c>
      <c r="L2718" s="5" t="str">
        <f ca="1">IFERROR(__xludf.DUMMYFUNCTION("GOOGLETRANSLATE(J2718,""EN"",""ES"")"),"scooters autoequilibrados")</f>
        <v>scooters autoequilibrados</v>
      </c>
      <c r="M2718" s="1" t="s">
        <v>39</v>
      </c>
      <c r="N2718" s="8"/>
    </row>
    <row r="2719" spans="1:14" ht="11.25" customHeight="1">
      <c r="A2719" s="5" t="s">
        <v>7189</v>
      </c>
      <c r="B2719" s="5" t="s">
        <v>7750</v>
      </c>
      <c r="C2719" s="5" t="s">
        <v>7879</v>
      </c>
      <c r="D2719" s="5" t="s">
        <v>7192</v>
      </c>
      <c r="E2719" s="5" t="s">
        <v>36</v>
      </c>
      <c r="F2719" s="5" t="s">
        <v>7193</v>
      </c>
      <c r="G2719" s="5" t="s">
        <v>7194</v>
      </c>
      <c r="H2719" s="5" t="s">
        <v>7752</v>
      </c>
      <c r="I2719" s="5" t="s">
        <v>7880</v>
      </c>
      <c r="J2719" s="5" t="s">
        <v>7881</v>
      </c>
      <c r="K2719" s="7" t="str">
        <f ca="1">IFERROR(__xludf.DUMMYFUNCTION("GOOGLETRANSLATE(H2719,""EN"",""ES"")"),"BICICLETAS Y MOTOCICLETAS")</f>
        <v>BICICLETAS Y MOTOCICLETAS</v>
      </c>
      <c r="L2719" s="5" t="str">
        <f ca="1">IFERROR(__xludf.DUMMYFUNCTION("GOOGLETRANSLATE(J2719,""EN"",""ES"")"),"patinetes electricos")</f>
        <v>patinetes electricos</v>
      </c>
      <c r="M2719" s="1" t="s">
        <v>39</v>
      </c>
      <c r="N2719" s="8"/>
    </row>
    <row r="2720" spans="1:14" ht="11.25" customHeight="1">
      <c r="A2720" s="5" t="s">
        <v>7189</v>
      </c>
      <c r="B2720" s="5" t="s">
        <v>7750</v>
      </c>
      <c r="C2720" s="5" t="s">
        <v>7882</v>
      </c>
      <c r="D2720" s="5" t="s">
        <v>7192</v>
      </c>
      <c r="E2720" s="5" t="s">
        <v>36</v>
      </c>
      <c r="F2720" s="5" t="s">
        <v>7193</v>
      </c>
      <c r="G2720" s="5" t="s">
        <v>7194</v>
      </c>
      <c r="H2720" s="5" t="s">
        <v>7752</v>
      </c>
      <c r="I2720" s="5" t="s">
        <v>7883</v>
      </c>
      <c r="J2720" s="5" t="s">
        <v>7884</v>
      </c>
      <c r="K2720" s="7" t="str">
        <f ca="1">IFERROR(__xludf.DUMMYFUNCTION("GOOGLETRANSLATE(H2720,""EN"",""ES"")"),"BICICLETAS Y MOTOCICLETAS")</f>
        <v>BICICLETAS Y MOTOCICLETAS</v>
      </c>
      <c r="L2720" s="5" t="str">
        <f ca="1">IFERROR(__xludf.DUMMYFUNCTION("GOOGLETRANSLATE(J2720,""EN"",""ES"")"),"triciclos de reparto")</f>
        <v>triciclos de reparto</v>
      </c>
      <c r="M2720" s="1" t="s">
        <v>39</v>
      </c>
      <c r="N2720" s="8"/>
    </row>
    <row r="2721" spans="1:14" ht="11.25" customHeight="1">
      <c r="A2721" s="5" t="s">
        <v>7189</v>
      </c>
      <c r="B2721" s="5" t="s">
        <v>7750</v>
      </c>
      <c r="C2721" s="5" t="s">
        <v>7885</v>
      </c>
      <c r="D2721" s="5" t="s">
        <v>7192</v>
      </c>
      <c r="E2721" s="5" t="s">
        <v>36</v>
      </c>
      <c r="F2721" s="5" t="s">
        <v>7193</v>
      </c>
      <c r="G2721" s="5" t="s">
        <v>7194</v>
      </c>
      <c r="H2721" s="5" t="s">
        <v>7752</v>
      </c>
      <c r="I2721" s="5" t="s">
        <v>7886</v>
      </c>
      <c r="J2721" s="5" t="s">
        <v>7887</v>
      </c>
      <c r="K2721" s="7" t="str">
        <f ca="1">IFERROR(__xludf.DUMMYFUNCTION("GOOGLETRANSLATE(H2721,""EN"",""ES"")"),"BICICLETAS Y MOTOCICLETAS")</f>
        <v>BICICLETAS Y MOTOCICLETAS</v>
      </c>
      <c r="L2721" s="5" t="str">
        <f ca="1">IFERROR(__xludf.DUMMYFUNCTION("GOOGLETRANSLATE(J2721,""EN"",""ES"")"),"Vehículos todo terreno [ATV]")</f>
        <v>Vehículos todo terreno [ATV]</v>
      </c>
      <c r="M2721" s="1" t="s">
        <v>39</v>
      </c>
      <c r="N2721" s="8"/>
    </row>
    <row r="2722" spans="1:14" ht="11.25" customHeight="1">
      <c r="A2722" s="5" t="s">
        <v>7189</v>
      </c>
      <c r="B2722" s="5" t="s">
        <v>7888</v>
      </c>
      <c r="C2722" s="5" t="s">
        <v>7889</v>
      </c>
      <c r="D2722" s="5" t="s">
        <v>7192</v>
      </c>
      <c r="E2722" s="5" t="s">
        <v>36</v>
      </c>
      <c r="F2722" s="5" t="s">
        <v>7193</v>
      </c>
      <c r="G2722" s="5" t="s">
        <v>7194</v>
      </c>
      <c r="H2722" s="5" t="s">
        <v>7890</v>
      </c>
      <c r="I2722" s="5" t="s">
        <v>7891</v>
      </c>
      <c r="J2722" s="5" t="s">
        <v>7892</v>
      </c>
      <c r="K2722" s="7" t="str">
        <f ca="1">IFERROR(__xludf.DUMMYFUNCTION("GOOGLETRANSLATE(H2722,""EN"",""ES"")"),"PERAMBULADORES, SILLAS PARA INVÁLIDOS, CAMILLAS")</f>
        <v>PERAMBULADORES, SILLAS PARA INVÁLIDOS, CAMILLAS</v>
      </c>
      <c r="L2722" s="5" t="str">
        <f ca="1">IFERROR(__xludf.DUMMYFUNCTION("GOOGLETRANSLATE(J2722,""EN"",""ES"")"),"Camillas con ruedas")</f>
        <v>Camillas con ruedas</v>
      </c>
      <c r="M2722" s="1" t="s">
        <v>39</v>
      </c>
      <c r="N2722" s="8"/>
    </row>
    <row r="2723" spans="1:14" ht="11.25" customHeight="1">
      <c r="A2723" s="5" t="s">
        <v>7189</v>
      </c>
      <c r="B2723" s="5" t="s">
        <v>7888</v>
      </c>
      <c r="C2723" s="5" t="s">
        <v>7893</v>
      </c>
      <c r="D2723" s="5" t="s">
        <v>7192</v>
      </c>
      <c r="E2723" s="5" t="s">
        <v>36</v>
      </c>
      <c r="F2723" s="5" t="s">
        <v>7193</v>
      </c>
      <c r="G2723" s="5" t="s">
        <v>7194</v>
      </c>
      <c r="H2723" s="5" t="s">
        <v>7890</v>
      </c>
      <c r="I2723" s="5" t="s">
        <v>7894</v>
      </c>
      <c r="J2723" s="5" t="s">
        <v>7895</v>
      </c>
      <c r="K2723" s="7" t="str">
        <f ca="1">IFERROR(__xludf.DUMMYFUNCTION("GOOGLETRANSLATE(H2723,""EN"",""ES"")"),"PERAMBULADORES, SILLAS PARA INVÁLIDOS, CAMILLAS")</f>
        <v>PERAMBULADORES, SILLAS PARA INVÁLIDOS, CAMILLAS</v>
      </c>
      <c r="L2723" s="5" t="str">
        <f ca="1">IFERROR(__xludf.DUMMYFUNCTION("GOOGLETRANSLATE(J2723,""EN"",""ES"")"),"Camillas para heridos")</f>
        <v>Camillas para heridos</v>
      </c>
      <c r="M2723" s="1" t="s">
        <v>39</v>
      </c>
      <c r="N2723" s="8"/>
    </row>
    <row r="2724" spans="1:14" ht="11.25" customHeight="1">
      <c r="A2724" s="5" t="s">
        <v>7189</v>
      </c>
      <c r="B2724" s="5" t="s">
        <v>7888</v>
      </c>
      <c r="C2724" s="5" t="s">
        <v>7893</v>
      </c>
      <c r="D2724" s="5" t="s">
        <v>7192</v>
      </c>
      <c r="E2724" s="5" t="s">
        <v>36</v>
      </c>
      <c r="F2724" s="5" t="s">
        <v>7193</v>
      </c>
      <c r="G2724" s="5" t="s">
        <v>7194</v>
      </c>
      <c r="H2724" s="5" t="s">
        <v>7890</v>
      </c>
      <c r="I2724" s="5" t="s">
        <v>152</v>
      </c>
      <c r="J2724" s="5" t="s">
        <v>7896</v>
      </c>
      <c r="K2724" s="7" t="str">
        <f ca="1">IFERROR(__xludf.DUMMYFUNCTION("GOOGLETRANSLATE(H2724,""EN"",""ES"")"),"PERAMBULADORES, SILLAS PARA INVÁLIDOS, CAMILLAS")</f>
        <v>PERAMBULADORES, SILLAS PARA INVÁLIDOS, CAMILLAS</v>
      </c>
      <c r="L2724" s="5" t="str">
        <f ca="1">IFERROR(__xludf.DUMMYFUNCTION("GOOGLETRANSLATE(J2724,""EN"",""ES"")"),"N / A")</f>
        <v>N / A</v>
      </c>
      <c r="M2724" s="1" t="s">
        <v>39</v>
      </c>
      <c r="N2724" s="8"/>
    </row>
    <row r="2725" spans="1:14" ht="11.25" customHeight="1">
      <c r="A2725" s="5" t="s">
        <v>7189</v>
      </c>
      <c r="B2725" s="5" t="s">
        <v>7888</v>
      </c>
      <c r="C2725" s="5" t="s">
        <v>7897</v>
      </c>
      <c r="D2725" s="5" t="s">
        <v>7192</v>
      </c>
      <c r="E2725" s="5" t="s">
        <v>36</v>
      </c>
      <c r="F2725" s="5" t="s">
        <v>7193</v>
      </c>
      <c r="G2725" s="5" t="s">
        <v>7194</v>
      </c>
      <c r="H2725" s="5" t="s">
        <v>7890</v>
      </c>
      <c r="I2725" s="5" t="s">
        <v>7898</v>
      </c>
      <c r="J2725" s="5" t="s">
        <v>7899</v>
      </c>
      <c r="K2725" s="7" t="str">
        <f ca="1">IFERROR(__xludf.DUMMYFUNCTION("GOOGLETRANSLATE(H2725,""EN"",""ES"")"),"PERAMBULADORES, SILLAS PARA INVÁLIDOS, CAMILLAS")</f>
        <v>PERAMBULADORES, SILLAS PARA INVÁLIDOS, CAMILLAS</v>
      </c>
      <c r="L2725" s="5" t="str">
        <f ca="1">IFERROR(__xludf.DUMMYFUNCTION("GOOGLETRANSLATE(J2725,""EN"",""ES"")"),"Féretros con ruedas")</f>
        <v>Féretros con ruedas</v>
      </c>
      <c r="M2725" s="1" t="s">
        <v>39</v>
      </c>
      <c r="N2725" s="8"/>
    </row>
    <row r="2726" spans="1:14" ht="11.25" customHeight="1">
      <c r="A2726" s="5" t="s">
        <v>7189</v>
      </c>
      <c r="B2726" s="5" t="s">
        <v>7888</v>
      </c>
      <c r="C2726" s="5" t="s">
        <v>7900</v>
      </c>
      <c r="D2726" s="5" t="s">
        <v>7192</v>
      </c>
      <c r="E2726" s="5" t="s">
        <v>36</v>
      </c>
      <c r="F2726" s="5" t="s">
        <v>7193</v>
      </c>
      <c r="G2726" s="5" t="s">
        <v>7194</v>
      </c>
      <c r="H2726" s="5" t="s">
        <v>7890</v>
      </c>
      <c r="I2726" s="5" t="s">
        <v>7901</v>
      </c>
      <c r="J2726" s="5" t="s">
        <v>7902</v>
      </c>
      <c r="K2726" s="7" t="str">
        <f ca="1">IFERROR(__xludf.DUMMYFUNCTION("GOOGLETRANSLATE(H2726,""EN"",""ES"")"),"PERAMBULADORES, SILLAS PARA INVÁLIDOS, CAMILLAS")</f>
        <v>PERAMBULADORES, SILLAS PARA INVÁLIDOS, CAMILLAS</v>
      </c>
      <c r="L2726" s="5" t="str">
        <f ca="1">IFERROR(__xludf.DUMMYFUNCTION("GOOGLETRANSLATE(J2726,""EN"",""ES"")"),"Sillas de ruedas")</f>
        <v>Sillas de ruedas</v>
      </c>
      <c r="M2726" s="1" t="s">
        <v>39</v>
      </c>
      <c r="N2726" s="8"/>
    </row>
    <row r="2727" spans="1:14" ht="11.25" customHeight="1">
      <c r="A2727" s="5" t="s">
        <v>7189</v>
      </c>
      <c r="B2727" s="5" t="s">
        <v>7888</v>
      </c>
      <c r="C2727" s="5" t="s">
        <v>7900</v>
      </c>
      <c r="D2727" s="5" t="s">
        <v>7192</v>
      </c>
      <c r="E2727" s="5" t="s">
        <v>36</v>
      </c>
      <c r="F2727" s="5" t="s">
        <v>7193</v>
      </c>
      <c r="G2727" s="5" t="s">
        <v>7194</v>
      </c>
      <c r="H2727" s="5" t="s">
        <v>7890</v>
      </c>
      <c r="I2727" s="5" t="s">
        <v>7903</v>
      </c>
      <c r="J2727" s="5" t="s">
        <v>152</v>
      </c>
      <c r="K2727" s="7" t="str">
        <f ca="1">IFERROR(__xludf.DUMMYFUNCTION("GOOGLETRANSLATE(H2727,""EN"",""ES"")"),"PERAMBULADORES, SILLAS PARA INVÁLIDOS, CAMILLAS")</f>
        <v>PERAMBULADORES, SILLAS PARA INVÁLIDOS, CAMILLAS</v>
      </c>
      <c r="L2727" s="5" t="str">
        <f ca="1">IFERROR(__xludf.DUMMYFUNCTION("GOOGLETRANSLATE(J2727,""EN"",""ES"")"),"Sillas no válidas")</f>
        <v>Sillas no válidas</v>
      </c>
      <c r="M2727" s="1" t="s">
        <v>39</v>
      </c>
      <c r="N2727" s="8"/>
    </row>
    <row r="2728" spans="1:14" ht="11.25" customHeight="1">
      <c r="A2728" s="5" t="s">
        <v>7189</v>
      </c>
      <c r="B2728" s="5" t="s">
        <v>7888</v>
      </c>
      <c r="C2728" s="5" t="s">
        <v>7904</v>
      </c>
      <c r="D2728" s="5" t="s">
        <v>7192</v>
      </c>
      <c r="E2728" s="5" t="s">
        <v>36</v>
      </c>
      <c r="F2728" s="5" t="s">
        <v>7193</v>
      </c>
      <c r="G2728" s="5" t="s">
        <v>7194</v>
      </c>
      <c r="H2728" s="5" t="s">
        <v>7890</v>
      </c>
      <c r="I2728" s="5" t="s">
        <v>7905</v>
      </c>
      <c r="J2728" s="5" t="s">
        <v>7906</v>
      </c>
      <c r="K2728" s="7" t="str">
        <f ca="1">IFERROR(__xludf.DUMMYFUNCTION("GOOGLETRANSLATE(H2728,""EN"",""ES"")"),"PERAMBULADORES, SILLAS PARA INVÁLIDOS, CAMILLAS")</f>
        <v>PERAMBULADORES, SILLAS PARA INVÁLIDOS, CAMILLAS</v>
      </c>
      <c r="L2728" s="5" t="str">
        <f ca="1">IFERROR(__xludf.DUMMYFUNCTION("GOOGLETRANSLATE(J2728,""EN"",""ES"")"),"Guardabarros para cochecitos de bebé")</f>
        <v>Guardabarros para cochecitos de bebé</v>
      </c>
      <c r="M2728" s="1" t="s">
        <v>39</v>
      </c>
      <c r="N2728" s="8"/>
    </row>
    <row r="2729" spans="1:14" ht="11.25" customHeight="1">
      <c r="A2729" s="5" t="s">
        <v>7189</v>
      </c>
      <c r="B2729" s="5" t="s">
        <v>7888</v>
      </c>
      <c r="C2729" s="5" t="s">
        <v>7904</v>
      </c>
      <c r="D2729" s="5" t="s">
        <v>7192</v>
      </c>
      <c r="E2729" s="5" t="s">
        <v>36</v>
      </c>
      <c r="F2729" s="5" t="s">
        <v>7193</v>
      </c>
      <c r="G2729" s="5" t="s">
        <v>7194</v>
      </c>
      <c r="H2729" s="5" t="s">
        <v>7890</v>
      </c>
      <c r="I2729" s="5" t="s">
        <v>7907</v>
      </c>
      <c r="J2729" s="5" t="s">
        <v>152</v>
      </c>
      <c r="K2729" s="7" t="str">
        <f ca="1">IFERROR(__xludf.DUMMYFUNCTION("GOOGLETRANSLATE(H2729,""EN"",""ES"")"),"PERAMBULADORES, SILLAS PARA INVÁLIDOS, CAMILLAS")</f>
        <v>PERAMBULADORES, SILLAS PARA INVÁLIDOS, CAMILLAS</v>
      </c>
      <c r="L2729" s="5" t="str">
        <f ca="1">IFERROR(__xludf.DUMMYFUNCTION("GOOGLETRANSLATE(J2729,""EN"",""ES"")"),"Guardabarros para carritos de bebe")</f>
        <v>Guardabarros para carritos de bebe</v>
      </c>
      <c r="M2729" s="1" t="s">
        <v>39</v>
      </c>
      <c r="N2729" s="8"/>
    </row>
    <row r="2730" spans="1:14" ht="11.25" customHeight="1">
      <c r="A2730" s="5" t="s">
        <v>7189</v>
      </c>
      <c r="B2730" s="5" t="s">
        <v>7888</v>
      </c>
      <c r="C2730" s="5" t="s">
        <v>7908</v>
      </c>
      <c r="D2730" s="5" t="s">
        <v>7192</v>
      </c>
      <c r="E2730" s="5" t="s">
        <v>36</v>
      </c>
      <c r="F2730" s="5" t="s">
        <v>7193</v>
      </c>
      <c r="G2730" s="5" t="s">
        <v>7194</v>
      </c>
      <c r="H2730" s="5" t="s">
        <v>7890</v>
      </c>
      <c r="I2730" s="5" t="s">
        <v>7909</v>
      </c>
      <c r="J2730" s="5" t="s">
        <v>7910</v>
      </c>
      <c r="K2730" s="7" t="str">
        <f ca="1">IFERROR(__xludf.DUMMYFUNCTION("GOOGLETRANSLATE(H2730,""EN"",""ES"")"),"PERAMBULADORES, SILLAS PARA INVÁLIDOS, CAMILLAS")</f>
        <v>PERAMBULADORES, SILLAS PARA INVÁLIDOS, CAMILLAS</v>
      </c>
      <c r="L2730" s="5" t="str">
        <f ca="1">IFERROR(__xludf.DUMMYFUNCTION("GOOGLETRANSLATE(J2730,""EN"",""ES"")"),"Cochecitos")</f>
        <v>Cochecitos</v>
      </c>
      <c r="M2730" s="1" t="s">
        <v>39</v>
      </c>
      <c r="N2730" s="8"/>
    </row>
    <row r="2731" spans="1:14" ht="11.25" customHeight="1">
      <c r="A2731" s="5" t="s">
        <v>7189</v>
      </c>
      <c r="B2731" s="5" t="s">
        <v>7888</v>
      </c>
      <c r="C2731" s="5" t="s">
        <v>7908</v>
      </c>
      <c r="D2731" s="5" t="s">
        <v>7192</v>
      </c>
      <c r="E2731" s="5" t="s">
        <v>36</v>
      </c>
      <c r="F2731" s="5" t="s">
        <v>7193</v>
      </c>
      <c r="G2731" s="5" t="s">
        <v>7194</v>
      </c>
      <c r="H2731" s="5" t="s">
        <v>7890</v>
      </c>
      <c r="I2731" s="5" t="s">
        <v>7911</v>
      </c>
      <c r="J2731" s="5" t="s">
        <v>152</v>
      </c>
      <c r="K2731" s="7" t="str">
        <f ca="1">IFERROR(__xludf.DUMMYFUNCTION("GOOGLETRANSLATE(H2731,""EN"",""ES"")"),"PERAMBULADORES, SILLAS PARA INVÁLIDOS, CAMILLAS")</f>
        <v>PERAMBULADORES, SILLAS PARA INVÁLIDOS, CAMILLAS</v>
      </c>
      <c r="L2731" s="5" t="str">
        <f ca="1">IFERROR(__xludf.DUMMYFUNCTION("GOOGLETRANSLATE(J2731,""EN"",""ES"")"),"Cochecitos")</f>
        <v>Cochecitos</v>
      </c>
      <c r="M2731" s="1" t="s">
        <v>39</v>
      </c>
      <c r="N2731" s="8"/>
    </row>
    <row r="2732" spans="1:14" ht="11.25" customHeight="1">
      <c r="A2732" s="5" t="s">
        <v>7189</v>
      </c>
      <c r="B2732" s="5" t="s">
        <v>7888</v>
      </c>
      <c r="C2732" s="5" t="s">
        <v>7912</v>
      </c>
      <c r="D2732" s="5" t="s">
        <v>7192</v>
      </c>
      <c r="E2732" s="5" t="s">
        <v>36</v>
      </c>
      <c r="F2732" s="5" t="s">
        <v>7193</v>
      </c>
      <c r="G2732" s="5" t="s">
        <v>7194</v>
      </c>
      <c r="H2732" s="5" t="s">
        <v>7890</v>
      </c>
      <c r="I2732" s="5" t="s">
        <v>7913</v>
      </c>
      <c r="J2732" s="5" t="s">
        <v>7914</v>
      </c>
      <c r="K2732" s="7" t="str">
        <f ca="1">IFERROR(__xludf.DUMMYFUNCTION("GOOGLETRANSLATE(H2732,""EN"",""ES"")"),"PERAMBULADORES, SILLAS PARA INVÁLIDOS, CAMILLAS")</f>
        <v>PERAMBULADORES, SILLAS PARA INVÁLIDOS, CAMILLAS</v>
      </c>
      <c r="L2732" s="5" t="str">
        <f ca="1">IFERROR(__xludf.DUMMYFUNCTION("GOOGLETRANSLATE(J2732,""EN"",""ES"")"),"Cochecitos de niño")</f>
        <v>Cochecitos de niño</v>
      </c>
      <c r="M2732" s="1" t="s">
        <v>39</v>
      </c>
      <c r="N2732" s="8"/>
    </row>
    <row r="2733" spans="1:14" ht="11.25" customHeight="1">
      <c r="A2733" s="5" t="s">
        <v>7189</v>
      </c>
      <c r="B2733" s="5" t="s">
        <v>7888</v>
      </c>
      <c r="C2733" s="5" t="s">
        <v>7912</v>
      </c>
      <c r="D2733" s="5" t="s">
        <v>7192</v>
      </c>
      <c r="E2733" s="5" t="s">
        <v>36</v>
      </c>
      <c r="F2733" s="5" t="s">
        <v>7193</v>
      </c>
      <c r="G2733" s="5" t="s">
        <v>7194</v>
      </c>
      <c r="H2733" s="5" t="s">
        <v>7890</v>
      </c>
      <c r="I2733" s="5" t="s">
        <v>7915</v>
      </c>
      <c r="J2733" s="5" t="s">
        <v>152</v>
      </c>
      <c r="K2733" s="7" t="str">
        <f ca="1">IFERROR(__xludf.DUMMYFUNCTION("GOOGLETRANSLATE(H2733,""EN"",""ES"")"),"PERAMBULADORES, SILLAS PARA INVÁLIDOS, CAMILLAS")</f>
        <v>PERAMBULADORES, SILLAS PARA INVÁLIDOS, CAMILLAS</v>
      </c>
      <c r="L2733" s="5" t="str">
        <f ca="1">IFERROR(__xludf.DUMMYFUNCTION("GOOGLETRANSLATE(J2733,""EN"",""ES"")"),"Cochecitos de bebe")</f>
        <v>Cochecitos de bebe</v>
      </c>
      <c r="M2733" s="1" t="s">
        <v>39</v>
      </c>
      <c r="N2733" s="8"/>
    </row>
    <row r="2734" spans="1:14" ht="11.25" customHeight="1">
      <c r="A2734" s="5" t="s">
        <v>7189</v>
      </c>
      <c r="B2734" s="5" t="s">
        <v>7888</v>
      </c>
      <c r="C2734" s="5" t="s">
        <v>7916</v>
      </c>
      <c r="D2734" s="5" t="s">
        <v>7192</v>
      </c>
      <c r="E2734" s="5" t="s">
        <v>36</v>
      </c>
      <c r="F2734" s="5" t="s">
        <v>7193</v>
      </c>
      <c r="G2734" s="5" t="s">
        <v>7194</v>
      </c>
      <c r="H2734" s="5" t="s">
        <v>7890</v>
      </c>
      <c r="I2734" s="5" t="s">
        <v>7917</v>
      </c>
      <c r="J2734" s="5" t="s">
        <v>7918</v>
      </c>
      <c r="K2734" s="7" t="str">
        <f ca="1">IFERROR(__xludf.DUMMYFUNCTION("GOOGLETRANSLATE(H2734,""EN"",""ES"")"),"PERAMBULADORES, SILLAS PARA INVÁLIDOS, CAMILLAS")</f>
        <v>PERAMBULADORES, SILLAS PARA INVÁLIDOS, CAMILLAS</v>
      </c>
      <c r="L2734" s="5" t="str">
        <f ca="1">IFERROR(__xludf.DUMMYFUNCTION("GOOGLETRANSLATE(J2734,""EN"",""ES"")"),"Estructuras para cochecitos")</f>
        <v>Estructuras para cochecitos</v>
      </c>
      <c r="M2734" s="1" t="s">
        <v>39</v>
      </c>
      <c r="N2734" s="8"/>
    </row>
    <row r="2735" spans="1:14" ht="11.25" customHeight="1">
      <c r="A2735" s="5" t="s">
        <v>7189</v>
      </c>
      <c r="B2735" s="5" t="s">
        <v>7888</v>
      </c>
      <c r="C2735" s="5" t="s">
        <v>7916</v>
      </c>
      <c r="D2735" s="5" t="s">
        <v>7192</v>
      </c>
      <c r="E2735" s="5" t="s">
        <v>36</v>
      </c>
      <c r="F2735" s="5" t="s">
        <v>7193</v>
      </c>
      <c r="G2735" s="5" t="s">
        <v>7194</v>
      </c>
      <c r="H2735" s="5" t="s">
        <v>7890</v>
      </c>
      <c r="I2735" s="5" t="s">
        <v>7919</v>
      </c>
      <c r="J2735" s="5" t="s">
        <v>152</v>
      </c>
      <c r="K2735" s="7" t="str">
        <f ca="1">IFERROR(__xludf.DUMMYFUNCTION("GOOGLETRANSLATE(H2735,""EN"",""ES"")"),"PERAMBULADORES, SILLAS PARA INVÁLIDOS, CAMILLAS")</f>
        <v>PERAMBULADORES, SILLAS PARA INVÁLIDOS, CAMILLAS</v>
      </c>
      <c r="L2735" s="5" t="str">
        <f ca="1">IFERROR(__xludf.DUMMYFUNCTION("GOOGLETRANSLATE(J2735,""EN"",""ES"")"),"Armazones para cochecitos")</f>
        <v>Armazones para cochecitos</v>
      </c>
      <c r="M2735" s="1" t="s">
        <v>39</v>
      </c>
      <c r="N2735" s="8"/>
    </row>
    <row r="2736" spans="1:14" ht="11.25" customHeight="1">
      <c r="A2736" s="5" t="s">
        <v>7189</v>
      </c>
      <c r="B2736" s="5" t="s">
        <v>7888</v>
      </c>
      <c r="C2736" s="5" t="s">
        <v>7920</v>
      </c>
      <c r="D2736" s="5" t="s">
        <v>7192</v>
      </c>
      <c r="E2736" s="5" t="s">
        <v>36</v>
      </c>
      <c r="F2736" s="5" t="s">
        <v>7193</v>
      </c>
      <c r="G2736" s="5" t="s">
        <v>7194</v>
      </c>
      <c r="H2736" s="5" t="s">
        <v>7890</v>
      </c>
      <c r="I2736" s="5" t="s">
        <v>7921</v>
      </c>
      <c r="J2736" s="5" t="s">
        <v>7922</v>
      </c>
      <c r="K2736" s="7" t="str">
        <f ca="1">IFERROR(__xludf.DUMMYFUNCTION("GOOGLETRANSLATE(H2736,""EN"",""ES"")"),"PERAMBULADORES, SILLAS PARA INVÁLIDOS, CAMILLAS")</f>
        <v>PERAMBULADORES, SILLAS PARA INVÁLIDOS, CAMILLAS</v>
      </c>
      <c r="L2736" s="5" t="str">
        <f ca="1">IFERROR(__xludf.DUMMYFUNCTION("GOOGLETRANSLATE(J2736,""EN"",""ES"")"),"Andadores para bebés")</f>
        <v>Andadores para bebés</v>
      </c>
      <c r="M2736" s="1" t="s">
        <v>39</v>
      </c>
      <c r="N2736" s="8"/>
    </row>
    <row r="2737" spans="1:14" ht="11.25" customHeight="1">
      <c r="A2737" s="5" t="s">
        <v>7189</v>
      </c>
      <c r="B2737" s="5" t="s">
        <v>7888</v>
      </c>
      <c r="C2737" s="5" t="s">
        <v>7923</v>
      </c>
      <c r="D2737" s="5" t="s">
        <v>7192</v>
      </c>
      <c r="E2737" s="5" t="s">
        <v>36</v>
      </c>
      <c r="F2737" s="5" t="s">
        <v>7193</v>
      </c>
      <c r="G2737" s="5" t="s">
        <v>7194</v>
      </c>
      <c r="H2737" s="5" t="s">
        <v>7890</v>
      </c>
      <c r="I2737" s="5" t="s">
        <v>7924</v>
      </c>
      <c r="J2737" s="5" t="s">
        <v>7925</v>
      </c>
      <c r="K2737" s="7" t="str">
        <f ca="1">IFERROR(__xludf.DUMMYFUNCTION("GOOGLETRANSLATE(H2737,""EN"",""ES"")"),"PERAMBULADORES, SILLAS PARA INVÁLIDOS, CAMILLAS")</f>
        <v>PERAMBULADORES, SILLAS PARA INVÁLIDOS, CAMILLAS</v>
      </c>
      <c r="L2737" s="5" t="str">
        <f ca="1">IFERROR(__xludf.DUMMYFUNCTION("GOOGLETRANSLATE(J2737,""EN"",""ES"")"),"Vagones inválidos")</f>
        <v>Vagones inválidos</v>
      </c>
      <c r="M2737" s="1" t="s">
        <v>39</v>
      </c>
      <c r="N2737" s="8"/>
    </row>
    <row r="2738" spans="1:14" ht="11.25" customHeight="1">
      <c r="A2738" s="5" t="s">
        <v>7189</v>
      </c>
      <c r="B2738" s="5" t="s">
        <v>7888</v>
      </c>
      <c r="C2738" s="5" t="s">
        <v>7926</v>
      </c>
      <c r="D2738" s="5" t="s">
        <v>7192</v>
      </c>
      <c r="E2738" s="5" t="s">
        <v>36</v>
      </c>
      <c r="F2738" s="5" t="s">
        <v>7193</v>
      </c>
      <c r="G2738" s="5" t="s">
        <v>7194</v>
      </c>
      <c r="H2738" s="5" t="s">
        <v>7890</v>
      </c>
      <c r="I2738" s="5" t="s">
        <v>7927</v>
      </c>
      <c r="J2738" s="5" t="s">
        <v>7928</v>
      </c>
      <c r="K2738" s="7" t="str">
        <f ca="1">IFERROR(__xludf.DUMMYFUNCTION("GOOGLETRANSLATE(H2738,""EN"",""ES"")"),"PERAMBULADORES, SILLAS PARA INVÁLIDOS, CAMILLAS")</f>
        <v>PERAMBULADORES, SILLAS PARA INVÁLIDOS, CAMILLAS</v>
      </c>
      <c r="L2738" s="5" t="str">
        <f ca="1">IFERROR(__xludf.DUMMYFUNCTION("GOOGLETRANSLATE(J2738,""EN"",""ES"")"),"Sillas de ruedas eléctricas")</f>
        <v>Sillas de ruedas eléctricas</v>
      </c>
      <c r="M2738" s="1" t="s">
        <v>39</v>
      </c>
      <c r="N2738" s="8"/>
    </row>
    <row r="2739" spans="1:14" ht="11.25" customHeight="1">
      <c r="A2739" s="5" t="s">
        <v>7189</v>
      </c>
      <c r="B2739" s="5" t="s">
        <v>7888</v>
      </c>
      <c r="C2739" s="5" t="s">
        <v>7929</v>
      </c>
      <c r="D2739" s="5" t="s">
        <v>7192</v>
      </c>
      <c r="E2739" s="5" t="s">
        <v>36</v>
      </c>
      <c r="F2739" s="5" t="s">
        <v>7193</v>
      </c>
      <c r="G2739" s="5" t="s">
        <v>7194</v>
      </c>
      <c r="H2739" s="5" t="s">
        <v>7890</v>
      </c>
      <c r="I2739" s="5" t="s">
        <v>7930</v>
      </c>
      <c r="J2739" s="5" t="s">
        <v>7931</v>
      </c>
      <c r="K2739" s="7" t="str">
        <f ca="1">IFERROR(__xludf.DUMMYFUNCTION("GOOGLETRANSLATE(H2739,""EN"",""ES"")"),"PERAMBULADORES, SILLAS PARA INVÁLIDOS, CAMILLAS")</f>
        <v>PERAMBULADORES, SILLAS PARA INVÁLIDOS, CAMILLAS</v>
      </c>
      <c r="L2739" s="5" t="str">
        <f ca="1">IFERROR(__xludf.DUMMYFUNCTION("GOOGLETRANSLATE(J2739,""EN"",""ES"")"),"scooters de movilidad")</f>
        <v>scooters de movilidad</v>
      </c>
      <c r="M2739" s="1" t="s">
        <v>39</v>
      </c>
      <c r="N2739" s="8"/>
    </row>
    <row r="2740" spans="1:14" ht="11.25" customHeight="1">
      <c r="A2740" s="5" t="s">
        <v>7189</v>
      </c>
      <c r="B2740" s="5" t="s">
        <v>7932</v>
      </c>
      <c r="C2740" s="5" t="s">
        <v>7933</v>
      </c>
      <c r="D2740" s="5" t="s">
        <v>7192</v>
      </c>
      <c r="E2740" s="5" t="s">
        <v>36</v>
      </c>
      <c r="F2740" s="5" t="s">
        <v>7193</v>
      </c>
      <c r="G2740" s="5" t="s">
        <v>7194</v>
      </c>
      <c r="H2740" s="5" t="s">
        <v>7934</v>
      </c>
      <c r="I2740" s="5" t="s">
        <v>7935</v>
      </c>
      <c r="J2740" s="5" t="s">
        <v>7936</v>
      </c>
      <c r="K2740" s="7" t="str">
        <f ca="1">IFERROR(__xludf.DUMMYFUNCTION("GOOGLETRANSLATE(H2740,""EN"",""ES"")"),"VEHÍCULOS PARA USOS ESPECIALES")</f>
        <v>VEHÍCULOS PARA USOS ESPECIALES</v>
      </c>
      <c r="L2740" s="5" t="str">
        <f ca="1">IFERROR(__xludf.DUMMYFUNCTION("GOOGLETRANSLATE(J2740,""EN"",""ES"")"),"Camiones aspersores")</f>
        <v>Camiones aspersores</v>
      </c>
      <c r="M2740" s="1" t="s">
        <v>39</v>
      </c>
      <c r="N2740" s="8"/>
    </row>
    <row r="2741" spans="1:14" ht="11.25" customHeight="1">
      <c r="A2741" s="5" t="s">
        <v>7189</v>
      </c>
      <c r="B2741" s="5" t="s">
        <v>7932</v>
      </c>
      <c r="C2741" s="5" t="s">
        <v>7933</v>
      </c>
      <c r="D2741" s="5" t="s">
        <v>7192</v>
      </c>
      <c r="E2741" s="5" t="s">
        <v>36</v>
      </c>
      <c r="F2741" s="5" t="s">
        <v>7193</v>
      </c>
      <c r="G2741" s="5" t="s">
        <v>7194</v>
      </c>
      <c r="H2741" s="5" t="s">
        <v>7934</v>
      </c>
      <c r="I2741" s="5" t="s">
        <v>7937</v>
      </c>
      <c r="J2741" s="5" t="s">
        <v>152</v>
      </c>
      <c r="K2741" s="7" t="str">
        <f ca="1">IFERROR(__xludf.DUMMYFUNCTION("GOOGLETRANSLATE(H2741,""EN"",""ES"")"),"VEHÍCULOS PARA USOS ESPECIALES")</f>
        <v>VEHÍCULOS PARA USOS ESPECIALES</v>
      </c>
      <c r="L2741" s="5" t="str">
        <f ca="1">IFERROR(__xludf.DUMMYFUNCTION("GOOGLETRANSLATE(J2741,""EN"",""ES"")"),"camiones de riego")</f>
        <v>camiones de riego</v>
      </c>
      <c r="M2741" s="1" t="s">
        <v>39</v>
      </c>
      <c r="N2741" s="8"/>
    </row>
    <row r="2742" spans="1:14" ht="11.25" customHeight="1">
      <c r="A2742" s="5" t="s">
        <v>7189</v>
      </c>
      <c r="B2742" s="5" t="s">
        <v>7932</v>
      </c>
      <c r="C2742" s="5" t="s">
        <v>7938</v>
      </c>
      <c r="D2742" s="5" t="s">
        <v>7192</v>
      </c>
      <c r="E2742" s="5" t="s">
        <v>36</v>
      </c>
      <c r="F2742" s="5" t="s">
        <v>7193</v>
      </c>
      <c r="G2742" s="5" t="s">
        <v>7194</v>
      </c>
      <c r="H2742" s="5" t="s">
        <v>7934</v>
      </c>
      <c r="I2742" s="5" t="s">
        <v>7939</v>
      </c>
      <c r="J2742" s="5" t="s">
        <v>7940</v>
      </c>
      <c r="K2742" s="7" t="str">
        <f ca="1">IFERROR(__xludf.DUMMYFUNCTION("GOOGLETRANSLATE(H2742,""EN"",""ES"")"),"VEHÍCULOS PARA USOS ESPECIALES")</f>
        <v>VEHÍCULOS PARA USOS ESPECIALES</v>
      </c>
      <c r="L2742" s="5" t="str">
        <f ca="1">IFERROR(__xludf.DUMMYFUNCTION("GOOGLETRANSLATE(J2742,""EN"",""ES"")"),"Vehículos de limpieza viaria")</f>
        <v>Vehículos de limpieza viaria</v>
      </c>
      <c r="M2742" s="1" t="s">
        <v>39</v>
      </c>
      <c r="N2742" s="8"/>
    </row>
    <row r="2743" spans="1:14" ht="11.25" customHeight="1">
      <c r="A2743" s="5" t="s">
        <v>7189</v>
      </c>
      <c r="B2743" s="5" t="s">
        <v>7932</v>
      </c>
      <c r="C2743" s="5" t="s">
        <v>7938</v>
      </c>
      <c r="D2743" s="5" t="s">
        <v>7192</v>
      </c>
      <c r="E2743" s="5" t="s">
        <v>36</v>
      </c>
      <c r="F2743" s="5" t="s">
        <v>7193</v>
      </c>
      <c r="G2743" s="5" t="s">
        <v>7194</v>
      </c>
      <c r="H2743" s="5" t="s">
        <v>7934</v>
      </c>
      <c r="I2743" s="5" t="s">
        <v>7941</v>
      </c>
      <c r="J2743" s="5" t="s">
        <v>152</v>
      </c>
      <c r="K2743" s="7" t="str">
        <f ca="1">IFERROR(__xludf.DUMMYFUNCTION("GOOGLETRANSLATE(H2743,""EN"",""ES"")"),"VEHÍCULOS PARA USOS ESPECIALES")</f>
        <v>VEHÍCULOS PARA USOS ESPECIALES</v>
      </c>
      <c r="L2743" s="5" t="str">
        <f ca="1">IFERROR(__xludf.DUMMYFUNCTION("GOOGLETRANSLATE(J2743,""EN"",""ES"")"),"vehículos de limpieza viaria")</f>
        <v>vehículos de limpieza viaria</v>
      </c>
      <c r="M2743" s="1" t="s">
        <v>39</v>
      </c>
      <c r="N2743" s="8"/>
    </row>
    <row r="2744" spans="1:14" ht="11.25" customHeight="1">
      <c r="A2744" s="5" t="s">
        <v>7189</v>
      </c>
      <c r="B2744" s="5" t="s">
        <v>7932</v>
      </c>
      <c r="C2744" s="5" t="s">
        <v>7942</v>
      </c>
      <c r="D2744" s="5" t="s">
        <v>7192</v>
      </c>
      <c r="E2744" s="5" t="s">
        <v>36</v>
      </c>
      <c r="F2744" s="5" t="s">
        <v>7193</v>
      </c>
      <c r="G2744" s="5" t="s">
        <v>7194</v>
      </c>
      <c r="H2744" s="5" t="s">
        <v>7934</v>
      </c>
      <c r="I2744" s="5" t="s">
        <v>7943</v>
      </c>
      <c r="J2744" s="5" t="s">
        <v>7944</v>
      </c>
      <c r="K2744" s="7" t="str">
        <f ca="1">IFERROR(__xludf.DUMMYFUNCTION("GOOGLETRANSLATE(H2744,""EN"",""ES"")"),"VEHÍCULOS PARA USOS ESPECIALES")</f>
        <v>VEHÍCULOS PARA USOS ESPECIALES</v>
      </c>
      <c r="L2744" s="5" t="str">
        <f ca="1">IFERROR(__xludf.DUMMYFUNCTION("GOOGLETRANSLATE(J2744,""EN"",""ES"")"),"Camiones para estiércol líquido")</f>
        <v>Camiones para estiércol líquido</v>
      </c>
      <c r="M2744" s="1" t="s">
        <v>39</v>
      </c>
      <c r="N2744" s="8"/>
    </row>
    <row r="2745" spans="1:14" ht="11.25" customHeight="1">
      <c r="A2745" s="5" t="s">
        <v>7189</v>
      </c>
      <c r="B2745" s="5" t="s">
        <v>7932</v>
      </c>
      <c r="C2745" s="5" t="s">
        <v>7945</v>
      </c>
      <c r="D2745" s="5" t="s">
        <v>7192</v>
      </c>
      <c r="E2745" s="5" t="s">
        <v>36</v>
      </c>
      <c r="F2745" s="5" t="s">
        <v>7193</v>
      </c>
      <c r="G2745" s="5" t="s">
        <v>7194</v>
      </c>
      <c r="H2745" s="5" t="s">
        <v>7934</v>
      </c>
      <c r="I2745" s="5" t="s">
        <v>7946</v>
      </c>
      <c r="J2745" s="5" t="s">
        <v>7947</v>
      </c>
      <c r="K2745" s="7" t="str">
        <f ca="1">IFERROR(__xludf.DUMMYFUNCTION("GOOGLETRANSLATE(H2745,""EN"",""ES"")"),"VEHÍCULOS PARA USOS ESPECIALES")</f>
        <v>VEHÍCULOS PARA USOS ESPECIALES</v>
      </c>
      <c r="L2745" s="5" t="str">
        <f ca="1">IFERROR(__xludf.DUMMYFUNCTION("GOOGLETRANSLATE(J2745,""EN"",""ES"")"),"Quitanieves [vehículos]")</f>
        <v>Quitanieves [vehículos]</v>
      </c>
      <c r="M2745" s="1" t="s">
        <v>39</v>
      </c>
      <c r="N2745" s="8"/>
    </row>
    <row r="2746" spans="1:14" ht="11.25" customHeight="1">
      <c r="A2746" s="5" t="s">
        <v>7189</v>
      </c>
      <c r="B2746" s="5" t="s">
        <v>7932</v>
      </c>
      <c r="C2746" s="5" t="s">
        <v>7945</v>
      </c>
      <c r="D2746" s="5" t="s">
        <v>7192</v>
      </c>
      <c r="E2746" s="5" t="s">
        <v>36</v>
      </c>
      <c r="F2746" s="5" t="s">
        <v>7193</v>
      </c>
      <c r="G2746" s="5" t="s">
        <v>7194</v>
      </c>
      <c r="H2746" s="5" t="s">
        <v>7934</v>
      </c>
      <c r="I2746" s="5" t="s">
        <v>7948</v>
      </c>
      <c r="J2746" s="5" t="s">
        <v>152</v>
      </c>
      <c r="K2746" s="7" t="str">
        <f ca="1">IFERROR(__xludf.DUMMYFUNCTION("GOOGLETRANSLATE(H2746,""EN"",""ES"")"),"VEHÍCULOS PARA USOS ESPECIALES")</f>
        <v>VEHÍCULOS PARA USOS ESPECIALES</v>
      </c>
      <c r="L2746" s="5" t="str">
        <f ca="1">IFERROR(__xludf.DUMMYFUNCTION("GOOGLETRANSLATE(J2746,""EN"",""ES"")"),"Quitanieves [vehículos]")</f>
        <v>Quitanieves [vehículos]</v>
      </c>
      <c r="M2746" s="1" t="s">
        <v>39</v>
      </c>
      <c r="N2746" s="8"/>
    </row>
    <row r="2747" spans="1:14" ht="11.25" customHeight="1">
      <c r="A2747" s="5" t="s">
        <v>7189</v>
      </c>
      <c r="B2747" s="5" t="s">
        <v>7932</v>
      </c>
      <c r="C2747" s="5" t="s">
        <v>7949</v>
      </c>
      <c r="D2747" s="5" t="s">
        <v>7192</v>
      </c>
      <c r="E2747" s="5" t="s">
        <v>36</v>
      </c>
      <c r="F2747" s="5" t="s">
        <v>7193</v>
      </c>
      <c r="G2747" s="5" t="s">
        <v>7194</v>
      </c>
      <c r="H2747" s="5" t="s">
        <v>7934</v>
      </c>
      <c r="I2747" s="5" t="s">
        <v>7950</v>
      </c>
      <c r="J2747" s="5" t="s">
        <v>7951</v>
      </c>
      <c r="K2747" s="7" t="str">
        <f ca="1">IFERROR(__xludf.DUMMYFUNCTION("GOOGLETRANSLATE(H2747,""EN"",""ES"")"),"VEHÍCULOS PARA USOS ESPECIALES")</f>
        <v>VEHÍCULOS PARA USOS ESPECIALES</v>
      </c>
      <c r="L2747" s="5" t="str">
        <f ca="1">IFERROR(__xludf.DUMMYFUNCTION("GOOGLETRANSLATE(J2747,""EN"",""ES"")"),"Cocinas [móviles]")</f>
        <v>Cocinas [móviles]</v>
      </c>
      <c r="M2747" s="1" t="s">
        <v>39</v>
      </c>
      <c r="N2747" s="8"/>
    </row>
    <row r="2748" spans="1:14" ht="11.25" customHeight="1">
      <c r="A2748" s="5" t="s">
        <v>7189</v>
      </c>
      <c r="B2748" s="5" t="s">
        <v>7932</v>
      </c>
      <c r="C2748" s="5" t="s">
        <v>7952</v>
      </c>
      <c r="D2748" s="5" t="s">
        <v>7192</v>
      </c>
      <c r="E2748" s="5" t="s">
        <v>36</v>
      </c>
      <c r="F2748" s="5" t="s">
        <v>7193</v>
      </c>
      <c r="G2748" s="5" t="s">
        <v>7194</v>
      </c>
      <c r="H2748" s="5" t="s">
        <v>7934</v>
      </c>
      <c r="I2748" s="5" t="s">
        <v>7953</v>
      </c>
      <c r="J2748" s="5" t="s">
        <v>7954</v>
      </c>
      <c r="K2748" s="7" t="str">
        <f ca="1">IFERROR(__xludf.DUMMYFUNCTION("GOOGLETRANSLATE(H2748,""EN"",""ES"")"),"VEHÍCULOS PARA USOS ESPECIALES")</f>
        <v>VEHÍCULOS PARA USOS ESPECIALES</v>
      </c>
      <c r="L2748" s="5" t="str">
        <f ca="1">IFERROR(__xludf.DUMMYFUNCTION("GOOGLETRANSLATE(J2748,""EN"",""ES"")"),"Destrozando autos")</f>
        <v>Destrozando autos</v>
      </c>
      <c r="M2748" s="1" t="s">
        <v>39</v>
      </c>
      <c r="N2748" s="8"/>
    </row>
    <row r="2749" spans="1:14" ht="11.25" customHeight="1">
      <c r="A2749" s="5" t="s">
        <v>7189</v>
      </c>
      <c r="B2749" s="5" t="s">
        <v>7932</v>
      </c>
      <c r="C2749" s="5" t="s">
        <v>7952</v>
      </c>
      <c r="D2749" s="5" t="s">
        <v>7192</v>
      </c>
      <c r="E2749" s="5" t="s">
        <v>36</v>
      </c>
      <c r="F2749" s="5" t="s">
        <v>7193</v>
      </c>
      <c r="G2749" s="5" t="s">
        <v>7194</v>
      </c>
      <c r="H2749" s="5" t="s">
        <v>7934</v>
      </c>
      <c r="I2749" s="5" t="s">
        <v>7955</v>
      </c>
      <c r="J2749" s="5" t="s">
        <v>152</v>
      </c>
      <c r="K2749" s="7" t="str">
        <f ca="1">IFERROR(__xludf.DUMMYFUNCTION("GOOGLETRANSLATE(H2749,""EN"",""ES"")"),"VEHÍCULOS PARA USOS ESPECIALES")</f>
        <v>VEHÍCULOS PARA USOS ESPECIALES</v>
      </c>
      <c r="L2749" s="5" t="str">
        <f ca="1">IFERROR(__xludf.DUMMYFUNCTION("GOOGLETRANSLATE(J2749,""EN"",""ES"")"),"Vehículos averiados")</f>
        <v>Vehículos averiados</v>
      </c>
      <c r="M2749" s="1" t="s">
        <v>39</v>
      </c>
      <c r="N2749" s="8"/>
    </row>
    <row r="2750" spans="1:14" ht="11.25" customHeight="1">
      <c r="A2750" s="5" t="s">
        <v>7189</v>
      </c>
      <c r="B2750" s="5" t="s">
        <v>7932</v>
      </c>
      <c r="C2750" s="5" t="s">
        <v>7956</v>
      </c>
      <c r="D2750" s="5" t="s">
        <v>7192</v>
      </c>
      <c r="E2750" s="5" t="s">
        <v>36</v>
      </c>
      <c r="F2750" s="5" t="s">
        <v>7193</v>
      </c>
      <c r="G2750" s="5" t="s">
        <v>7194</v>
      </c>
      <c r="H2750" s="5" t="s">
        <v>7934</v>
      </c>
      <c r="I2750" s="5" t="s">
        <v>7957</v>
      </c>
      <c r="J2750" s="5" t="s">
        <v>7958</v>
      </c>
      <c r="K2750" s="7" t="str">
        <f ca="1">IFERROR(__xludf.DUMMYFUNCTION("GOOGLETRANSLATE(H2750,""EN"",""ES"")"),"VEHÍCULOS PARA USOS ESPECIALES")</f>
        <v>VEHÍCULOS PARA USOS ESPECIALES</v>
      </c>
      <c r="L2750" s="5" t="str">
        <f ca="1">IFERROR(__xludf.DUMMYFUNCTION("GOOGLETRANSLATE(J2750,""EN"",""ES"")"),"Tanques [vehículos blindados]")</f>
        <v>Tanques [vehículos blindados]</v>
      </c>
      <c r="M2750" s="1" t="s">
        <v>39</v>
      </c>
      <c r="N2750" s="8"/>
    </row>
    <row r="2751" spans="1:14" ht="11.25" customHeight="1">
      <c r="A2751" s="5" t="s">
        <v>7189</v>
      </c>
      <c r="B2751" s="5" t="s">
        <v>7932</v>
      </c>
      <c r="C2751" s="5" t="s">
        <v>7959</v>
      </c>
      <c r="D2751" s="5" t="s">
        <v>7192</v>
      </c>
      <c r="E2751" s="5" t="s">
        <v>36</v>
      </c>
      <c r="F2751" s="5" t="s">
        <v>7193</v>
      </c>
      <c r="G2751" s="5" t="s">
        <v>7194</v>
      </c>
      <c r="H2751" s="5" t="s">
        <v>7934</v>
      </c>
      <c r="I2751" s="5" t="s">
        <v>7960</v>
      </c>
      <c r="J2751" s="5" t="s">
        <v>7961</v>
      </c>
      <c r="K2751" s="7" t="str">
        <f ca="1">IFERROR(__xludf.DUMMYFUNCTION("GOOGLETRANSLATE(H2751,""EN"",""ES"")"),"VEHÍCULOS PARA USOS ESPECIALES")</f>
        <v>VEHÍCULOS PARA USOS ESPECIALES</v>
      </c>
      <c r="L2751" s="5" t="str">
        <f ca="1">IFERROR(__xludf.DUMMYFUNCTION("GOOGLETRANSLATE(J2751,""EN"",""ES"")"),"vehículos blindados")</f>
        <v>vehículos blindados</v>
      </c>
      <c r="M2751" s="1" t="s">
        <v>39</v>
      </c>
      <c r="N2751" s="8"/>
    </row>
    <row r="2752" spans="1:14" ht="11.25" customHeight="1">
      <c r="A2752" s="5" t="s">
        <v>7189</v>
      </c>
      <c r="B2752" s="5" t="s">
        <v>7932</v>
      </c>
      <c r="C2752" s="5" t="s">
        <v>7962</v>
      </c>
      <c r="D2752" s="5" t="s">
        <v>7192</v>
      </c>
      <c r="E2752" s="5" t="s">
        <v>36</v>
      </c>
      <c r="F2752" s="5" t="s">
        <v>7193</v>
      </c>
      <c r="G2752" s="5" t="s">
        <v>7194</v>
      </c>
      <c r="H2752" s="5" t="s">
        <v>7934</v>
      </c>
      <c r="I2752" s="5" t="s">
        <v>7963</v>
      </c>
      <c r="J2752" s="5" t="s">
        <v>7964</v>
      </c>
      <c r="K2752" s="7" t="str">
        <f ca="1">IFERROR(__xludf.DUMMYFUNCTION("GOOGLETRANSLATE(H2752,""EN"",""ES"")"),"VEHÍCULOS PARA USOS ESPECIALES")</f>
        <v>VEHÍCULOS PARA USOS ESPECIALES</v>
      </c>
      <c r="L2752" s="5" t="str">
        <f ca="1">IFERROR(__xludf.DUMMYFUNCTION("GOOGLETRANSLATE(J2752,""EN"",""ES"")"),"Camiones de bomberos [vehículos]")</f>
        <v>Camiones de bomberos [vehículos]</v>
      </c>
      <c r="M2752" s="1" t="s">
        <v>39</v>
      </c>
      <c r="N2752" s="8"/>
    </row>
    <row r="2753" spans="1:14" ht="11.25" customHeight="1">
      <c r="A2753" s="5" t="s">
        <v>7189</v>
      </c>
      <c r="B2753" s="5" t="s">
        <v>7932</v>
      </c>
      <c r="C2753" s="5" t="s">
        <v>7965</v>
      </c>
      <c r="D2753" s="5" t="s">
        <v>7192</v>
      </c>
      <c r="E2753" s="5" t="s">
        <v>36</v>
      </c>
      <c r="F2753" s="5" t="s">
        <v>7193</v>
      </c>
      <c r="G2753" s="5" t="s">
        <v>7194</v>
      </c>
      <c r="H2753" s="5" t="s">
        <v>7934</v>
      </c>
      <c r="I2753" s="5" t="s">
        <v>7966</v>
      </c>
      <c r="J2753" s="5" t="s">
        <v>7967</v>
      </c>
      <c r="K2753" s="7" t="str">
        <f ca="1">IFERROR(__xludf.DUMMYFUNCTION("GOOGLETRANSLATE(H2753,""EN"",""ES"")"),"VEHÍCULOS PARA USOS ESPECIALES")</f>
        <v>VEHÍCULOS PARA USOS ESPECIALES</v>
      </c>
      <c r="L2753" s="5" t="str">
        <f ca="1">IFERROR(__xludf.DUMMYFUNCTION("GOOGLETRANSLATE(J2753,""EN"",""ES"")"),"Automóviles con plataformas para ver carreras.")</f>
        <v>Automóviles con plataformas para ver carreras.</v>
      </c>
      <c r="M2753" s="1" t="s">
        <v>39</v>
      </c>
      <c r="N2753" s="8"/>
    </row>
    <row r="2754" spans="1:14" ht="11.25" customHeight="1">
      <c r="A2754" s="5" t="s">
        <v>7189</v>
      </c>
      <c r="B2754" s="5" t="s">
        <v>7932</v>
      </c>
      <c r="C2754" s="5" t="s">
        <v>7968</v>
      </c>
      <c r="D2754" s="5" t="s">
        <v>7192</v>
      </c>
      <c r="E2754" s="5" t="s">
        <v>36</v>
      </c>
      <c r="F2754" s="5" t="s">
        <v>7193</v>
      </c>
      <c r="G2754" s="5" t="s">
        <v>7194</v>
      </c>
      <c r="H2754" s="5" t="s">
        <v>7934</v>
      </c>
      <c r="I2754" s="5" t="s">
        <v>7969</v>
      </c>
      <c r="J2754" s="5" t="s">
        <v>7970</v>
      </c>
      <c r="K2754" s="7" t="str">
        <f ca="1">IFERROR(__xludf.DUMMYFUNCTION("GOOGLETRANSLATE(H2754,""EN"",""ES"")"),"VEHÍCULOS PARA USOS ESPECIALES")</f>
        <v>VEHÍCULOS PARA USOS ESPECIALES</v>
      </c>
      <c r="L2754" s="5" t="str">
        <f ca="1">IFERROR(__xludf.DUMMYFUNCTION("GOOGLETRANSLATE(J2754,""EN"",""ES"")"),"Dispositivos para hacer pistas de esquí")</f>
        <v>Dispositivos para hacer pistas de esquí</v>
      </c>
      <c r="M2754" s="1" t="s">
        <v>39</v>
      </c>
      <c r="N2754" s="8"/>
    </row>
    <row r="2755" spans="1:14" ht="11.25" customHeight="1">
      <c r="A2755" s="5" t="s">
        <v>7189</v>
      </c>
      <c r="B2755" s="5" t="s">
        <v>7932</v>
      </c>
      <c r="C2755" s="5" t="s">
        <v>7971</v>
      </c>
      <c r="D2755" s="5" t="s">
        <v>7192</v>
      </c>
      <c r="E2755" s="5" t="s">
        <v>36</v>
      </c>
      <c r="F2755" s="5" t="s">
        <v>7193</v>
      </c>
      <c r="G2755" s="5" t="s">
        <v>7194</v>
      </c>
      <c r="H2755" s="5" t="s">
        <v>7934</v>
      </c>
      <c r="I2755" s="5" t="s">
        <v>7972</v>
      </c>
      <c r="J2755" s="5" t="s">
        <v>7973</v>
      </c>
      <c r="K2755" s="7" t="str">
        <f ca="1">IFERROR(__xludf.DUMMYFUNCTION("GOOGLETRANSLATE(H2755,""EN"",""ES"")"),"VEHÍCULOS PARA USOS ESPECIALES")</f>
        <v>VEHÍCULOS PARA USOS ESPECIALES</v>
      </c>
      <c r="L2755" s="5" t="str">
        <f ca="1">IFERROR(__xludf.DUMMYFUNCTION("GOOGLETRANSLATE(J2755,""EN"",""ES"")"),"Quitanieves [vehículos]")</f>
        <v>Quitanieves [vehículos]</v>
      </c>
      <c r="M2755" s="1" t="s">
        <v>39</v>
      </c>
      <c r="N2755" s="8"/>
    </row>
    <row r="2756" spans="1:14" ht="11.25" customHeight="1">
      <c r="A2756" s="5" t="s">
        <v>7189</v>
      </c>
      <c r="B2756" s="5" t="s">
        <v>7932</v>
      </c>
      <c r="C2756" s="5" t="s">
        <v>7974</v>
      </c>
      <c r="D2756" s="5" t="s">
        <v>7192</v>
      </c>
      <c r="E2756" s="5" t="s">
        <v>36</v>
      </c>
      <c r="F2756" s="5" t="s">
        <v>7193</v>
      </c>
      <c r="G2756" s="5" t="s">
        <v>7194</v>
      </c>
      <c r="H2756" s="5" t="s">
        <v>7934</v>
      </c>
      <c r="I2756" s="5" t="s">
        <v>7975</v>
      </c>
      <c r="J2756" s="5" t="s">
        <v>7976</v>
      </c>
      <c r="K2756" s="7" t="str">
        <f ca="1">IFERROR(__xludf.DUMMYFUNCTION("GOOGLETRANSLATE(H2756,""EN"",""ES"")"),"VEHÍCULOS PARA USOS ESPECIALES")</f>
        <v>VEHÍCULOS PARA USOS ESPECIALES</v>
      </c>
      <c r="L2756" s="5" t="str">
        <f ca="1">IFERROR(__xludf.DUMMYFUNCTION("GOOGLETRANSLATE(J2756,""EN"",""ES"")"),"Máquinas de hielo [vehículos] para pistas de patinaje")</f>
        <v>Máquinas de hielo [vehículos] para pistas de patinaje</v>
      </c>
      <c r="M2756" s="1" t="s">
        <v>39</v>
      </c>
      <c r="N2756" s="8"/>
    </row>
    <row r="2757" spans="1:14" ht="11.25" customHeight="1">
      <c r="A2757" s="5" t="s">
        <v>7189</v>
      </c>
      <c r="B2757" s="5" t="s">
        <v>7932</v>
      </c>
      <c r="C2757" s="5" t="s">
        <v>7977</v>
      </c>
      <c r="D2757" s="5" t="s">
        <v>7192</v>
      </c>
      <c r="E2757" s="5" t="s">
        <v>36</v>
      </c>
      <c r="F2757" s="5" t="s">
        <v>7193</v>
      </c>
      <c r="G2757" s="5" t="s">
        <v>7194</v>
      </c>
      <c r="H2757" s="5" t="s">
        <v>7934</v>
      </c>
      <c r="I2757" s="5" t="s">
        <v>7978</v>
      </c>
      <c r="J2757" s="5" t="s">
        <v>7979</v>
      </c>
      <c r="K2757" s="7" t="str">
        <f ca="1">IFERROR(__xludf.DUMMYFUNCTION("GOOGLETRANSLATE(H2757,""EN"",""ES"")"),"VEHÍCULOS PARA USOS ESPECIALES")</f>
        <v>VEHÍCULOS PARA USOS ESPECIALES</v>
      </c>
      <c r="L2757" s="5" t="str">
        <f ca="1">IFERROR(__xludf.DUMMYFUNCTION("GOOGLETRANSLATE(J2757,""EN"",""ES"")"),"Tiendas de móviles")</f>
        <v>Tiendas de móviles</v>
      </c>
      <c r="M2757" s="1" t="s">
        <v>39</v>
      </c>
      <c r="N2757" s="8"/>
    </row>
    <row r="2758" spans="1:14" ht="11.25" customHeight="1">
      <c r="A2758" s="5" t="s">
        <v>7189</v>
      </c>
      <c r="B2758" s="5" t="s">
        <v>7932</v>
      </c>
      <c r="C2758" s="5" t="s">
        <v>7980</v>
      </c>
      <c r="D2758" s="5" t="s">
        <v>7192</v>
      </c>
      <c r="E2758" s="5" t="s">
        <v>36</v>
      </c>
      <c r="F2758" s="5" t="s">
        <v>7193</v>
      </c>
      <c r="G2758" s="5" t="s">
        <v>7194</v>
      </c>
      <c r="H2758" s="5" t="s">
        <v>7934</v>
      </c>
      <c r="I2758" s="5" t="s">
        <v>7981</v>
      </c>
      <c r="J2758" s="5" t="s">
        <v>7982</v>
      </c>
      <c r="K2758" s="7" t="str">
        <f ca="1">IFERROR(__xludf.DUMMYFUNCTION("GOOGLETRANSLATE(H2758,""EN"",""ES"")"),"VEHÍCULOS PARA USOS ESPECIALES")</f>
        <v>VEHÍCULOS PARA USOS ESPECIALES</v>
      </c>
      <c r="L2758" s="5" t="str">
        <f ca="1">IFERROR(__xludf.DUMMYFUNCTION("GOOGLETRANSLATE(J2758,""EN"",""ES"")"),"carritos de golf")</f>
        <v>carritos de golf</v>
      </c>
      <c r="M2758" s="1" t="s">
        <v>39</v>
      </c>
      <c r="N2758" s="8"/>
    </row>
    <row r="2759" spans="1:14" ht="11.25" customHeight="1">
      <c r="A2759" s="5" t="s">
        <v>7189</v>
      </c>
      <c r="B2759" s="5" t="s">
        <v>7983</v>
      </c>
      <c r="C2759" s="5" t="s">
        <v>7984</v>
      </c>
      <c r="D2759" s="5" t="s">
        <v>7192</v>
      </c>
      <c r="E2759" s="5" t="s">
        <v>36</v>
      </c>
      <c r="F2759" s="5" t="s">
        <v>7193</v>
      </c>
      <c r="G2759" s="5" t="s">
        <v>7194</v>
      </c>
      <c r="H2759" s="5" t="s">
        <v>7985</v>
      </c>
      <c r="I2759" s="5" t="s">
        <v>7986</v>
      </c>
      <c r="J2759" s="5" t="s">
        <v>7987</v>
      </c>
      <c r="K2759" s="7" t="str">
        <f ca="1">IFERROR(__xludf.DUMMYFUNCTION("GOOGLETRANSLATE(H2759,""EN"",""ES"")"),"OTROS VEHÍCULOS")</f>
        <v>OTROS VEHÍCULOS</v>
      </c>
      <c r="L2759" s="5" t="str">
        <f ca="1">IFERROR(__xludf.DUMMYFUNCTION("GOOGLETRANSLATE(J2759,""EN"",""ES"")"),"vehículos anfibios")</f>
        <v>vehículos anfibios</v>
      </c>
      <c r="M2759" s="1" t="s">
        <v>39</v>
      </c>
      <c r="N2759" s="8"/>
    </row>
    <row r="2760" spans="1:14" ht="11.25" customHeight="1">
      <c r="A2760" s="5" t="s">
        <v>7189</v>
      </c>
      <c r="B2760" s="5" t="s">
        <v>7983</v>
      </c>
      <c r="C2760" s="5" t="s">
        <v>7988</v>
      </c>
      <c r="D2760" s="5" t="s">
        <v>7192</v>
      </c>
      <c r="E2760" s="5" t="s">
        <v>36</v>
      </c>
      <c r="F2760" s="5" t="s">
        <v>7193</v>
      </c>
      <c r="G2760" s="5" t="s">
        <v>7194</v>
      </c>
      <c r="H2760" s="5" t="s">
        <v>7985</v>
      </c>
      <c r="I2760" s="5" t="s">
        <v>7989</v>
      </c>
      <c r="J2760" s="5" t="s">
        <v>7990</v>
      </c>
      <c r="K2760" s="7" t="str">
        <f ca="1">IFERROR(__xludf.DUMMYFUNCTION("GOOGLETRANSLATE(H2760,""EN"",""ES"")"),"OTROS VEHÍCULOS")</f>
        <v>OTROS VEHÍCULOS</v>
      </c>
      <c r="L2760" s="5" t="str">
        <f ca="1">IFERROR(__xludf.DUMMYFUNCTION("GOOGLETRANSLATE(J2760,""EN"",""ES"")"),"Trineos")</f>
        <v>Trineos</v>
      </c>
      <c r="M2760" s="1" t="s">
        <v>39</v>
      </c>
      <c r="N2760" s="8"/>
    </row>
    <row r="2761" spans="1:14" ht="11.25" customHeight="1">
      <c r="A2761" s="5" t="s">
        <v>7189</v>
      </c>
      <c r="B2761" s="5" t="s">
        <v>7983</v>
      </c>
      <c r="C2761" s="5" t="s">
        <v>7991</v>
      </c>
      <c r="D2761" s="5" t="s">
        <v>7192</v>
      </c>
      <c r="E2761" s="5" t="s">
        <v>36</v>
      </c>
      <c r="F2761" s="5" t="s">
        <v>7193</v>
      </c>
      <c r="G2761" s="5" t="s">
        <v>7194</v>
      </c>
      <c r="H2761" s="5" t="s">
        <v>7985</v>
      </c>
      <c r="I2761" s="5" t="s">
        <v>7992</v>
      </c>
      <c r="J2761" s="5" t="s">
        <v>7993</v>
      </c>
      <c r="K2761" s="7" t="str">
        <f ca="1">IFERROR(__xludf.DUMMYFUNCTION("GOOGLETRANSLATE(H2761,""EN"",""ES"")"),"OTROS VEHÍCULOS")</f>
        <v>OTROS VEHÍCULOS</v>
      </c>
      <c r="L2761" s="5" t="str">
        <f ca="1">IFERROR(__xludf.DUMMYFUNCTION("GOOGLETRANSLATE(J2761,""EN"",""ES"")"),"barcos de hielo")</f>
        <v>barcos de hielo</v>
      </c>
      <c r="M2761" s="1" t="s">
        <v>39</v>
      </c>
      <c r="N2761" s="8"/>
    </row>
    <row r="2762" spans="1:14" ht="11.25" customHeight="1">
      <c r="A2762" s="5" t="s">
        <v>7189</v>
      </c>
      <c r="B2762" s="5" t="s">
        <v>7983</v>
      </c>
      <c r="C2762" s="5" t="s">
        <v>7994</v>
      </c>
      <c r="D2762" s="5" t="s">
        <v>7192</v>
      </c>
      <c r="E2762" s="5" t="s">
        <v>36</v>
      </c>
      <c r="F2762" s="5" t="s">
        <v>7193</v>
      </c>
      <c r="G2762" s="5" t="s">
        <v>7194</v>
      </c>
      <c r="H2762" s="5" t="s">
        <v>7985</v>
      </c>
      <c r="I2762" s="5" t="s">
        <v>7995</v>
      </c>
      <c r="J2762" s="5" t="s">
        <v>7996</v>
      </c>
      <c r="K2762" s="7" t="str">
        <f ca="1">IFERROR(__xludf.DUMMYFUNCTION("GOOGLETRANSLATE(H2762,""EN"",""ES"")"),"OTROS VEHÍCULOS")</f>
        <v>OTROS VEHÍCULOS</v>
      </c>
      <c r="L2762" s="5" t="str">
        <f ca="1">IFERROR(__xludf.DUMMYFUNCTION("GOOGLETRANSLATE(J2762,""EN"",""ES"")"),"trineos")</f>
        <v>trineos</v>
      </c>
      <c r="M2762" s="1" t="s">
        <v>39</v>
      </c>
      <c r="N2762" s="8"/>
    </row>
    <row r="2763" spans="1:14" ht="11.25" customHeight="1">
      <c r="A2763" s="5" t="s">
        <v>7189</v>
      </c>
      <c r="B2763" s="5" t="s">
        <v>7983</v>
      </c>
      <c r="C2763" s="5" t="s">
        <v>7997</v>
      </c>
      <c r="D2763" s="5" t="s">
        <v>7192</v>
      </c>
      <c r="E2763" s="5" t="s">
        <v>36</v>
      </c>
      <c r="F2763" s="5" t="s">
        <v>7193</v>
      </c>
      <c r="G2763" s="5" t="s">
        <v>7194</v>
      </c>
      <c r="H2763" s="5" t="s">
        <v>7985</v>
      </c>
      <c r="I2763" s="5" t="s">
        <v>7998</v>
      </c>
      <c r="J2763" s="5" t="s">
        <v>7999</v>
      </c>
      <c r="K2763" s="7" t="str">
        <f ca="1">IFERROR(__xludf.DUMMYFUNCTION("GOOGLETRANSLATE(H2763,""EN"",""ES"")"),"OTROS VEHÍCULOS")</f>
        <v>OTROS VEHÍCULOS</v>
      </c>
      <c r="L2763" s="5" t="str">
        <f ca="1">IFERROR(__xludf.DUMMYFUNCTION("GOOGLETRANSLATE(J2763,""EN"",""ES"")"),"Toboganes")</f>
        <v>Toboganes</v>
      </c>
      <c r="M2763" s="1" t="s">
        <v>39</v>
      </c>
      <c r="N2763" s="8"/>
    </row>
    <row r="2764" spans="1:14" ht="11.25" customHeight="1">
      <c r="A2764" s="5" t="s">
        <v>7189</v>
      </c>
      <c r="B2764" s="5" t="s">
        <v>7983</v>
      </c>
      <c r="C2764" s="5" t="s">
        <v>7997</v>
      </c>
      <c r="D2764" s="5" t="s">
        <v>7192</v>
      </c>
      <c r="E2764" s="5" t="s">
        <v>36</v>
      </c>
      <c r="F2764" s="5" t="s">
        <v>7193</v>
      </c>
      <c r="G2764" s="5" t="s">
        <v>7194</v>
      </c>
      <c r="H2764" s="5" t="s">
        <v>7985</v>
      </c>
      <c r="I2764" s="5" t="s">
        <v>8000</v>
      </c>
      <c r="J2764" s="5" t="s">
        <v>152</v>
      </c>
      <c r="K2764" s="7" t="str">
        <f ca="1">IFERROR(__xludf.DUMMYFUNCTION("GOOGLETRANSLATE(H2764,""EN"",""ES"")"),"OTROS VEHÍCULOS")</f>
        <v>OTROS VEHÍCULOS</v>
      </c>
      <c r="L2764" s="5" t="str">
        <f ca="1">IFERROR(__xludf.DUMMYFUNCTION("GOOGLETRANSLATE(J2764,""EN"",""ES"")"),"Trineos")</f>
        <v>Trineos</v>
      </c>
      <c r="M2764" s="1" t="s">
        <v>39</v>
      </c>
      <c r="N2764" s="8"/>
    </row>
    <row r="2765" spans="1:14" ht="11.25" customHeight="1">
      <c r="A2765" s="5" t="s">
        <v>7189</v>
      </c>
      <c r="B2765" s="5" t="s">
        <v>7983</v>
      </c>
      <c r="C2765" s="5" t="s">
        <v>8001</v>
      </c>
      <c r="D2765" s="5" t="s">
        <v>7192</v>
      </c>
      <c r="E2765" s="5" t="s">
        <v>36</v>
      </c>
      <c r="F2765" s="5" t="s">
        <v>7193</v>
      </c>
      <c r="G2765" s="5" t="s">
        <v>7194</v>
      </c>
      <c r="H2765" s="5" t="s">
        <v>7985</v>
      </c>
      <c r="I2765" s="5" t="s">
        <v>8002</v>
      </c>
      <c r="J2765" s="5" t="s">
        <v>8003</v>
      </c>
      <c r="K2765" s="7" t="str">
        <f ca="1">IFERROR(__xludf.DUMMYFUNCTION("GOOGLETRANSLATE(H2765,""EN"",""ES"")"),"OTROS VEHÍCULOS")</f>
        <v>OTROS VEHÍCULOS</v>
      </c>
      <c r="L2765" s="5" t="str">
        <f ca="1">IFERROR(__xludf.DUMMYFUNCTION("GOOGLETRANSLATE(J2765,""EN"",""ES"")"),"Bobinas de esquí")</f>
        <v>Bobinas de esquí</v>
      </c>
      <c r="M2765" s="1" t="s">
        <v>39</v>
      </c>
      <c r="N2765" s="8"/>
    </row>
    <row r="2766" spans="1:14" ht="11.25" customHeight="1">
      <c r="A2766" s="5" t="s">
        <v>7189</v>
      </c>
      <c r="B2766" s="5" t="s">
        <v>7983</v>
      </c>
      <c r="C2766" s="5" t="s">
        <v>8004</v>
      </c>
      <c r="D2766" s="5" t="s">
        <v>7192</v>
      </c>
      <c r="E2766" s="5" t="s">
        <v>36</v>
      </c>
      <c r="F2766" s="5" t="s">
        <v>7193</v>
      </c>
      <c r="G2766" s="5" t="s">
        <v>7194</v>
      </c>
      <c r="H2766" s="5" t="s">
        <v>7985</v>
      </c>
      <c r="I2766" s="5" t="s">
        <v>8005</v>
      </c>
      <c r="J2766" s="5" t="s">
        <v>8006</v>
      </c>
      <c r="K2766" s="7" t="str">
        <f ca="1">IFERROR(__xludf.DUMMYFUNCTION("GOOGLETRANSLATE(H2766,""EN"",""ES"")"),"OTROS VEHÍCULOS")</f>
        <v>OTROS VEHÍCULOS</v>
      </c>
      <c r="L2766" s="5" t="str">
        <f ca="1">IFERROR(__xludf.DUMMYFUNCTION("GOOGLETRANSLATE(J2766,""EN"",""ES"")"),"Trineos [autopropulsados]")</f>
        <v>Trineos [autopropulsados]</v>
      </c>
      <c r="M2766" s="1" t="s">
        <v>39</v>
      </c>
      <c r="N2766" s="8"/>
    </row>
    <row r="2767" spans="1:14" ht="11.25" customHeight="1">
      <c r="A2767" s="5" t="s">
        <v>7189</v>
      </c>
      <c r="B2767" s="5" t="s">
        <v>7983</v>
      </c>
      <c r="C2767" s="5" t="s">
        <v>8007</v>
      </c>
      <c r="D2767" s="5" t="s">
        <v>7192</v>
      </c>
      <c r="E2767" s="5" t="s">
        <v>36</v>
      </c>
      <c r="F2767" s="5" t="s">
        <v>7193</v>
      </c>
      <c r="G2767" s="5" t="s">
        <v>7194</v>
      </c>
      <c r="H2767" s="5" t="s">
        <v>7985</v>
      </c>
      <c r="I2767" s="5" t="s">
        <v>8008</v>
      </c>
      <c r="J2767" s="5" t="s">
        <v>8009</v>
      </c>
      <c r="K2767" s="7" t="str">
        <f ca="1">IFERROR(__xludf.DUMMYFUNCTION("GOOGLETRANSLATE(H2767,""EN"",""ES"")"),"OTROS VEHÍCULOS")</f>
        <v>OTROS VEHÍCULOS</v>
      </c>
      <c r="L2767" s="5" t="str">
        <f ca="1">IFERROR(__xludf.DUMMYFUNCTION("GOOGLETRANSLATE(J2767,""EN"",""ES"")"),"Vehículos con colchón de aire.")</f>
        <v>Vehículos con colchón de aire.</v>
      </c>
      <c r="M2767" s="1" t="s">
        <v>39</v>
      </c>
      <c r="N2767" s="8"/>
    </row>
    <row r="2768" spans="1:14" ht="11.25" customHeight="1">
      <c r="A2768" s="5" t="s">
        <v>7189</v>
      </c>
      <c r="B2768" s="5" t="s">
        <v>7983</v>
      </c>
      <c r="C2768" s="5" t="s">
        <v>8007</v>
      </c>
      <c r="D2768" s="5" t="s">
        <v>7192</v>
      </c>
      <c r="E2768" s="5" t="s">
        <v>36</v>
      </c>
      <c r="F2768" s="5" t="s">
        <v>7193</v>
      </c>
      <c r="G2768" s="5" t="s">
        <v>7194</v>
      </c>
      <c r="H2768" s="5" t="s">
        <v>7985</v>
      </c>
      <c r="I2768" s="5" t="s">
        <v>152</v>
      </c>
      <c r="J2768" s="5" t="s">
        <v>8010</v>
      </c>
      <c r="K2768" s="7" t="str">
        <f ca="1">IFERROR(__xludf.DUMMYFUNCTION("GOOGLETRANSLATE(H2768,""EN"",""ES"")"),"OTROS VEHÍCULOS")</f>
        <v>OTROS VEHÍCULOS</v>
      </c>
      <c r="L2768" s="5" t="str">
        <f ca="1">IFERROR(__xludf.DUMMYFUNCTION("GOOGLETRANSLATE(J2768,""EN"",""ES"")"),"N / A")</f>
        <v>N / A</v>
      </c>
      <c r="M2768" s="1" t="s">
        <v>39</v>
      </c>
      <c r="N2768" s="8"/>
    </row>
    <row r="2769" spans="1:14" ht="11.25" customHeight="1">
      <c r="A2769" s="5" t="s">
        <v>7189</v>
      </c>
      <c r="B2769" s="5" t="s">
        <v>7983</v>
      </c>
      <c r="C2769" s="5" t="s">
        <v>8011</v>
      </c>
      <c r="D2769" s="5" t="s">
        <v>7192</v>
      </c>
      <c r="E2769" s="5" t="s">
        <v>36</v>
      </c>
      <c r="F2769" s="5" t="s">
        <v>7193</v>
      </c>
      <c r="G2769" s="5" t="s">
        <v>7194</v>
      </c>
      <c r="H2769" s="5" t="s">
        <v>7985</v>
      </c>
      <c r="I2769" s="5" t="s">
        <v>8012</v>
      </c>
      <c r="J2769" s="5" t="s">
        <v>8013</v>
      </c>
      <c r="K2769" s="7" t="str">
        <f ca="1">IFERROR(__xludf.DUMMYFUNCTION("GOOGLETRANSLATE(H2769,""EN"",""ES"")"),"OTROS VEHÍCULOS")</f>
        <v>OTROS VEHÍCULOS</v>
      </c>
      <c r="L2769" s="5" t="str">
        <f ca="1">IFERROR(__xludf.DUMMYFUNCTION("GOOGLETRANSLATE(J2769,""EN"",""ES"")"),"Trineos de rescate")</f>
        <v>Trineos de rescate</v>
      </c>
      <c r="M2769" s="1" t="s">
        <v>39</v>
      </c>
      <c r="N2769" s="8"/>
    </row>
    <row r="2770" spans="1:14" ht="11.25" customHeight="1">
      <c r="A2770" s="5" t="s">
        <v>7189</v>
      </c>
      <c r="B2770" s="5" t="s">
        <v>7983</v>
      </c>
      <c r="C2770" s="5" t="s">
        <v>8014</v>
      </c>
      <c r="D2770" s="5" t="s">
        <v>7192</v>
      </c>
      <c r="E2770" s="5" t="s">
        <v>36</v>
      </c>
      <c r="F2770" s="5" t="s">
        <v>7193</v>
      </c>
      <c r="G2770" s="5" t="s">
        <v>7194</v>
      </c>
      <c r="H2770" s="5" t="s">
        <v>7985</v>
      </c>
      <c r="I2770" s="5" t="s">
        <v>8015</v>
      </c>
      <c r="J2770" s="5" t="s">
        <v>8016</v>
      </c>
      <c r="K2770" s="7" t="str">
        <f ca="1">IFERROR(__xludf.DUMMYFUNCTION("GOOGLETRANSLATE(H2770,""EN"",""ES"")"),"OTROS VEHÍCULOS")</f>
        <v>OTROS VEHÍCULOS</v>
      </c>
      <c r="L2770" s="5" t="str">
        <f ca="1">IFERROR(__xludf.DUMMYFUNCTION("GOOGLETRANSLATE(J2770,""EN"",""ES"")"),"trineos")</f>
        <v>trineos</v>
      </c>
      <c r="M2770" s="1" t="s">
        <v>39</v>
      </c>
      <c r="N2770" s="8"/>
    </row>
    <row r="2771" spans="1:14" ht="11.25" customHeight="1">
      <c r="A2771" s="5" t="s">
        <v>7189</v>
      </c>
      <c r="B2771" s="5" t="s">
        <v>7983</v>
      </c>
      <c r="C2771" s="5" t="s">
        <v>8017</v>
      </c>
      <c r="D2771" s="5" t="s">
        <v>7192</v>
      </c>
      <c r="E2771" s="5" t="s">
        <v>36</v>
      </c>
      <c r="F2771" s="5" t="s">
        <v>7193</v>
      </c>
      <c r="G2771" s="5" t="s">
        <v>7194</v>
      </c>
      <c r="H2771" s="5" t="s">
        <v>7985</v>
      </c>
      <c r="I2771" s="5" t="s">
        <v>8018</v>
      </c>
      <c r="J2771" s="5" t="s">
        <v>8019</v>
      </c>
      <c r="K2771" s="7" t="str">
        <f ca="1">IFERROR(__xludf.DUMMYFUNCTION("GOOGLETRANSLATE(H2771,""EN"",""ES"")"),"OTROS VEHÍCULOS")</f>
        <v>OTROS VEHÍCULOS</v>
      </c>
      <c r="L2771" s="5" t="str">
        <f ca="1">IFERROR(__xludf.DUMMYFUNCTION("GOOGLETRANSLATE(J2771,""EN"",""ES"")"),"Motos de nieve")</f>
        <v>Motos de nieve</v>
      </c>
      <c r="M2771" s="1" t="s">
        <v>39</v>
      </c>
      <c r="N2771" s="8"/>
    </row>
    <row r="2772" spans="1:14" ht="11.25" customHeight="1">
      <c r="A2772" s="5" t="s">
        <v>7189</v>
      </c>
      <c r="B2772" s="5" t="s">
        <v>7983</v>
      </c>
      <c r="C2772" s="5" t="s">
        <v>8020</v>
      </c>
      <c r="D2772" s="5" t="s">
        <v>7192</v>
      </c>
      <c r="E2772" s="5" t="s">
        <v>36</v>
      </c>
      <c r="F2772" s="5" t="s">
        <v>7193</v>
      </c>
      <c r="G2772" s="5" t="s">
        <v>7194</v>
      </c>
      <c r="H2772" s="5" t="s">
        <v>7985</v>
      </c>
      <c r="I2772" s="5" t="s">
        <v>8021</v>
      </c>
      <c r="J2772" s="5" t="s">
        <v>8022</v>
      </c>
      <c r="K2772" s="7" t="str">
        <f ca="1">IFERROR(__xludf.DUMMYFUNCTION("GOOGLETRANSLATE(H2772,""EN"",""ES"")"),"OTROS VEHÍCULOS")</f>
        <v>OTROS VEHÍCULOS</v>
      </c>
      <c r="L2772" s="5" t="str">
        <f ca="1">IFERROR(__xludf.DUMMYFUNCTION("GOOGLETRANSLATE(J2772,""EN"",""ES"")"),"motos de nieve")</f>
        <v>motos de nieve</v>
      </c>
      <c r="M2772" s="1" t="s">
        <v>39</v>
      </c>
      <c r="N2772" s="8"/>
    </row>
    <row r="2773" spans="1:14" ht="11.25" customHeight="1">
      <c r="A2773" s="5" t="s">
        <v>7189</v>
      </c>
      <c r="B2773" s="5" t="s">
        <v>8023</v>
      </c>
      <c r="C2773" s="5" t="s">
        <v>8024</v>
      </c>
      <c r="D2773" s="5" t="s">
        <v>7192</v>
      </c>
      <c r="E2773" s="5" t="s">
        <v>36</v>
      </c>
      <c r="F2773" s="5" t="s">
        <v>7193</v>
      </c>
      <c r="G2773" s="5" t="s">
        <v>7194</v>
      </c>
      <c r="H2773" s="5" t="s">
        <v>8025</v>
      </c>
      <c r="I2773" s="5" t="s">
        <v>8026</v>
      </c>
      <c r="J2773" s="5" t="s">
        <v>8027</v>
      </c>
      <c r="K2773" s="7" t="str">
        <f ca="1">IFERROR(__xludf.DUMMYFUNCTION("GOOGLETRANSLATE(H2773,""EN"",""ES"")"),"NEUMÁTICOS Y CADENAS ANTIDESLIZANTES PARA VEHÍCULOS")</f>
        <v>NEUMÁTICOS Y CADENAS ANTIDESLIZANTES PARA VEHÍCULOS</v>
      </c>
      <c r="L2773" s="5" t="str">
        <f ca="1">IFERROR(__xludf.DUMMYFUNCTION("GOOGLETRANSLATE(J2773,""EN"",""ES"")"),"Neumáticos para ruedas de vehículos, neumáticos")</f>
        <v>Neumáticos para ruedas de vehículos, neumáticos</v>
      </c>
      <c r="M2773" s="1" t="s">
        <v>38</v>
      </c>
      <c r="N2773" s="8"/>
    </row>
    <row r="2774" spans="1:14" ht="11.25" customHeight="1">
      <c r="A2774" s="5" t="s">
        <v>7189</v>
      </c>
      <c r="B2774" s="5" t="s">
        <v>8023</v>
      </c>
      <c r="C2774" s="5" t="s">
        <v>8028</v>
      </c>
      <c r="D2774" s="5" t="s">
        <v>7192</v>
      </c>
      <c r="E2774" s="5" t="s">
        <v>36</v>
      </c>
      <c r="F2774" s="5" t="s">
        <v>7193</v>
      </c>
      <c r="G2774" s="5" t="s">
        <v>7194</v>
      </c>
      <c r="H2774" s="5" t="s">
        <v>8025</v>
      </c>
      <c r="I2774" s="5" t="s">
        <v>8029</v>
      </c>
      <c r="J2774" s="5" t="s">
        <v>8030</v>
      </c>
      <c r="K2774" s="7" t="str">
        <f ca="1">IFERROR(__xludf.DUMMYFUNCTION("GOOGLETRANSLATE(H2774,""EN"",""ES"")"),"NEUMÁTICOS Y CADENAS ANTIDESLIZANTES PARA VEHÍCULOS")</f>
        <v>NEUMÁTICOS Y CADENAS ANTIDESLIZANTES PARA VEHÍCULOS</v>
      </c>
      <c r="L2774" s="5" t="str">
        <f ca="1">IFERROR(__xludf.DUMMYFUNCTION("GOOGLETRANSLATE(J2774,""EN"",""ES"")"),"Cámaras de aire para neumáticos")</f>
        <v>Cámaras de aire para neumáticos</v>
      </c>
      <c r="M2774" s="1" t="s">
        <v>38</v>
      </c>
      <c r="N2774" s="8"/>
    </row>
    <row r="2775" spans="1:14" ht="11.25" customHeight="1">
      <c r="A2775" s="5" t="s">
        <v>7189</v>
      </c>
      <c r="B2775" s="5" t="s">
        <v>8023</v>
      </c>
      <c r="C2775" s="5" t="s">
        <v>8031</v>
      </c>
      <c r="D2775" s="5" t="s">
        <v>7192</v>
      </c>
      <c r="E2775" s="5" t="s">
        <v>36</v>
      </c>
      <c r="F2775" s="5" t="s">
        <v>7193</v>
      </c>
      <c r="G2775" s="5" t="s">
        <v>7194</v>
      </c>
      <c r="H2775" s="5" t="s">
        <v>8025</v>
      </c>
      <c r="I2775" s="5" t="s">
        <v>8032</v>
      </c>
      <c r="J2775" s="5" t="s">
        <v>8033</v>
      </c>
      <c r="K2775" s="7" t="str">
        <f ca="1">IFERROR(__xludf.DUMMYFUNCTION("GOOGLETRANSLATE(H2775,""EN"",""ES"")"),"NEUMÁTICOS Y CADENAS ANTIDESLIZANTES PARA VEHÍCULOS")</f>
        <v>NEUMÁTICOS Y CADENAS ANTIDESLIZANTES PARA VEHÍCULOS</v>
      </c>
      <c r="L2775" s="5" t="str">
        <f ca="1">IFERROR(__xludf.DUMMYFUNCTION("GOOGLETRANSLATE(J2775,""EN"",""ES"")"),"neumáticos")</f>
        <v>neumáticos</v>
      </c>
      <c r="M2775" s="1" t="s">
        <v>38</v>
      </c>
      <c r="N2775" s="8"/>
    </row>
    <row r="2776" spans="1:14" ht="11.25" customHeight="1">
      <c r="A2776" s="5" t="s">
        <v>7189</v>
      </c>
      <c r="B2776" s="5" t="s">
        <v>8023</v>
      </c>
      <c r="C2776" s="5" t="s">
        <v>8031</v>
      </c>
      <c r="D2776" s="5" t="s">
        <v>7192</v>
      </c>
      <c r="E2776" s="5" t="s">
        <v>36</v>
      </c>
      <c r="F2776" s="5" t="s">
        <v>7193</v>
      </c>
      <c r="G2776" s="5" t="s">
        <v>7194</v>
      </c>
      <c r="H2776" s="5" t="s">
        <v>8025</v>
      </c>
      <c r="I2776" s="5" t="s">
        <v>152</v>
      </c>
      <c r="J2776" s="5" t="s">
        <v>8034</v>
      </c>
      <c r="K2776" s="7" t="str">
        <f ca="1">IFERROR(__xludf.DUMMYFUNCTION("GOOGLETRANSLATE(H2776,""EN"",""ES"")"),"NEUMÁTICOS Y CADENAS ANTIDESLIZANTES PARA VEHÍCULOS")</f>
        <v>NEUMÁTICOS Y CADENAS ANTIDESLIZANTES PARA VEHÍCULOS</v>
      </c>
      <c r="L2776" s="5" t="str">
        <f ca="1">IFERROR(__xludf.DUMMYFUNCTION("GOOGLETRANSLATE(J2776,""EN"",""ES"")"),"N / A")</f>
        <v>N / A</v>
      </c>
      <c r="M2776" s="1" t="s">
        <v>38</v>
      </c>
      <c r="N2776" s="8"/>
    </row>
    <row r="2777" spans="1:14" ht="11.25" customHeight="1">
      <c r="A2777" s="5" t="s">
        <v>7189</v>
      </c>
      <c r="B2777" s="5" t="s">
        <v>8023</v>
      </c>
      <c r="C2777" s="5" t="s">
        <v>8035</v>
      </c>
      <c r="D2777" s="5" t="s">
        <v>7192</v>
      </c>
      <c r="E2777" s="5" t="s">
        <v>36</v>
      </c>
      <c r="F2777" s="5" t="s">
        <v>7193</v>
      </c>
      <c r="G2777" s="5" t="s">
        <v>7194</v>
      </c>
      <c r="H2777" s="5" t="s">
        <v>8025</v>
      </c>
      <c r="I2777" s="5" t="s">
        <v>8036</v>
      </c>
      <c r="J2777" s="5" t="s">
        <v>8037</v>
      </c>
      <c r="K2777" s="7" t="str">
        <f ca="1">IFERROR(__xludf.DUMMYFUNCTION("GOOGLETRANSLATE(H2777,""EN"",""ES"")"),"NEUMÁTICOS Y CADENAS ANTIDESLIZANTES PARA VEHÍCULOS")</f>
        <v>NEUMÁTICOS Y CADENAS ANTIDESLIZANTES PARA VEHÍCULOS</v>
      </c>
      <c r="L2777" s="5" t="str">
        <f ca="1">IFERROR(__xludf.DUMMYFUNCTION("GOOGLETRANSLATE(J2777,""EN"",""ES"")"),"Cadenas antideslizantes")</f>
        <v>Cadenas antideslizantes</v>
      </c>
      <c r="M2777" s="1" t="s">
        <v>38</v>
      </c>
      <c r="N2777" s="8"/>
    </row>
    <row r="2778" spans="1:14" ht="11.25" customHeight="1">
      <c r="A2778" s="5" t="s">
        <v>7189</v>
      </c>
      <c r="B2778" s="5" t="s">
        <v>8023</v>
      </c>
      <c r="C2778" s="5" t="s">
        <v>8038</v>
      </c>
      <c r="D2778" s="5" t="s">
        <v>7192</v>
      </c>
      <c r="E2778" s="5" t="s">
        <v>36</v>
      </c>
      <c r="F2778" s="5" t="s">
        <v>7193</v>
      </c>
      <c r="G2778" s="5" t="s">
        <v>7194</v>
      </c>
      <c r="H2778" s="5" t="s">
        <v>8025</v>
      </c>
      <c r="I2778" s="5" t="s">
        <v>8039</v>
      </c>
      <c r="J2778" s="5" t="s">
        <v>8040</v>
      </c>
      <c r="K2778" s="7" t="str">
        <f ca="1">IFERROR(__xludf.DUMMYFUNCTION("GOOGLETRANSLATE(H2778,""EN"",""ES"")"),"NEUMÁTICOS Y CADENAS ANTIDESLIZANTES PARA VEHÍCULOS")</f>
        <v>NEUMÁTICOS Y CADENAS ANTIDESLIZANTES PARA VEHÍCULOS</v>
      </c>
      <c r="L2778" s="5" t="str">
        <f ca="1">IFERROR(__xludf.DUMMYFUNCTION("GOOGLETRANSLATE(J2778,""EN"",""ES"")"),"Clavos para neumáticos")</f>
        <v>Clavos para neumáticos</v>
      </c>
      <c r="M2778" s="1" t="s">
        <v>38</v>
      </c>
      <c r="N2778" s="8"/>
    </row>
    <row r="2779" spans="1:14" ht="11.25" customHeight="1">
      <c r="A2779" s="5" t="s">
        <v>7189</v>
      </c>
      <c r="B2779" s="5" t="s">
        <v>8023</v>
      </c>
      <c r="C2779" s="5" t="s">
        <v>8038</v>
      </c>
      <c r="D2779" s="5" t="s">
        <v>7192</v>
      </c>
      <c r="E2779" s="5" t="s">
        <v>36</v>
      </c>
      <c r="F2779" s="5" t="s">
        <v>7193</v>
      </c>
      <c r="G2779" s="5" t="s">
        <v>7194</v>
      </c>
      <c r="H2779" s="5" t="s">
        <v>8025</v>
      </c>
      <c r="I2779" s="5" t="s">
        <v>8041</v>
      </c>
      <c r="J2779" s="5" t="s">
        <v>152</v>
      </c>
      <c r="K2779" s="7" t="str">
        <f ca="1">IFERROR(__xludf.DUMMYFUNCTION("GOOGLETRANSLATE(H2779,""EN"",""ES"")"),"NEUMÁTICOS Y CADENAS ANTIDESLIZANTES PARA VEHÍCULOS")</f>
        <v>NEUMÁTICOS Y CADENAS ANTIDESLIZANTES PARA VEHÍCULOS</v>
      </c>
      <c r="L2779" s="5" t="str">
        <f ca="1">IFERROR(__xludf.DUMMYFUNCTION("GOOGLETRANSLATE(J2779,""EN"",""ES"")"),"Clavos de neumáticos")</f>
        <v>Clavos de neumáticos</v>
      </c>
      <c r="M2779" s="1" t="s">
        <v>38</v>
      </c>
      <c r="N2779" s="8"/>
    </row>
    <row r="2780" spans="1:14" ht="11.25" customHeight="1">
      <c r="A2780" s="5" t="s">
        <v>7189</v>
      </c>
      <c r="B2780" s="5" t="s">
        <v>8023</v>
      </c>
      <c r="C2780" s="5" t="s">
        <v>8042</v>
      </c>
      <c r="D2780" s="5" t="s">
        <v>7192</v>
      </c>
      <c r="E2780" s="5" t="s">
        <v>36</v>
      </c>
      <c r="F2780" s="5" t="s">
        <v>7193</v>
      </c>
      <c r="G2780" s="5" t="s">
        <v>7194</v>
      </c>
      <c r="H2780" s="5" t="s">
        <v>8025</v>
      </c>
      <c r="I2780" s="5" t="s">
        <v>8043</v>
      </c>
      <c r="J2780" s="5" t="s">
        <v>8044</v>
      </c>
      <c r="K2780" s="7" t="str">
        <f ca="1">IFERROR(__xludf.DUMMYFUNCTION("GOOGLETRANSLATE(H2780,""EN"",""ES"")"),"NEUMÁTICOS Y CADENAS ANTIDESLIZANTES PARA VEHÍCULOS")</f>
        <v>NEUMÁTICOS Y CADENAS ANTIDESLIZANTES PARA VEHÍCULOS</v>
      </c>
      <c r="L2780" s="5" t="str">
        <f ca="1">IFERROR(__xludf.DUMMYFUNCTION("GOOGLETRANSLATE(J2780,""EN"",""ES"")"),"Bandas de rodadura de neumáticos")</f>
        <v>Bandas de rodadura de neumáticos</v>
      </c>
      <c r="M2780" s="1" t="s">
        <v>38</v>
      </c>
      <c r="N2780" s="8"/>
    </row>
    <row r="2781" spans="1:14" ht="11.25" customHeight="1">
      <c r="A2781" s="5" t="s">
        <v>7189</v>
      </c>
      <c r="B2781" s="5" t="s">
        <v>8023</v>
      </c>
      <c r="C2781" s="5" t="s">
        <v>8045</v>
      </c>
      <c r="D2781" s="5" t="s">
        <v>7192</v>
      </c>
      <c r="E2781" s="5" t="s">
        <v>36</v>
      </c>
      <c r="F2781" s="5" t="s">
        <v>7193</v>
      </c>
      <c r="G2781" s="5" t="s">
        <v>7194</v>
      </c>
      <c r="H2781" s="5" t="s">
        <v>8025</v>
      </c>
      <c r="I2781" s="5" t="s">
        <v>8046</v>
      </c>
      <c r="J2781" s="5" t="s">
        <v>8047</v>
      </c>
      <c r="K2781" s="7" t="str">
        <f ca="1">IFERROR(__xludf.DUMMYFUNCTION("GOOGLETRANSLATE(H2781,""EN"",""ES"")"),"NEUMÁTICOS Y CADENAS ANTIDESLIZANTES PARA VEHÍCULOS")</f>
        <v>NEUMÁTICOS Y CADENAS ANTIDESLIZANTES PARA VEHÍCULOS</v>
      </c>
      <c r="L2781" s="5" t="str">
        <f ca="1">IFERROR(__xludf.DUMMYFUNCTION("GOOGLETRANSLATE(J2781,""EN"",""ES"")"),"Válvulas para neumáticos de vehículos.")</f>
        <v>Válvulas para neumáticos de vehículos.</v>
      </c>
      <c r="M2781" s="1" t="s">
        <v>38</v>
      </c>
      <c r="N2781" s="8"/>
    </row>
    <row r="2782" spans="1:14" ht="11.25" customHeight="1">
      <c r="A2782" s="5" t="s">
        <v>7189</v>
      </c>
      <c r="B2782" s="5" t="s">
        <v>8023</v>
      </c>
      <c r="C2782" s="5" t="s">
        <v>8048</v>
      </c>
      <c r="D2782" s="5" t="s">
        <v>7192</v>
      </c>
      <c r="E2782" s="5" t="s">
        <v>36</v>
      </c>
      <c r="F2782" s="5" t="s">
        <v>7193</v>
      </c>
      <c r="G2782" s="5" t="s">
        <v>7194</v>
      </c>
      <c r="H2782" s="5" t="s">
        <v>8025</v>
      </c>
      <c r="I2782" s="5" t="s">
        <v>8049</v>
      </c>
      <c r="J2782" s="5" t="s">
        <v>8050</v>
      </c>
      <c r="K2782" s="7" t="str">
        <f ca="1">IFERROR(__xludf.DUMMYFUNCTION("GOOGLETRANSLATE(H2782,""EN"",""ES"")"),"NEUMÁTICOS Y CADENAS ANTIDESLIZANTES PARA VEHÍCULOS")</f>
        <v>NEUMÁTICOS Y CADENAS ANTIDESLIZANTES PARA VEHÍCULOS</v>
      </c>
      <c r="L2782" s="5" t="str">
        <f ca="1">IFERROR(__xludf.DUMMYFUNCTION("GOOGLETRANSLATE(J2782,""EN"",""ES"")"),"Tapones de válvula de cámara de aire para neumáticos")</f>
        <v>Tapones de válvula de cámara de aire para neumáticos</v>
      </c>
      <c r="M2782" s="1" t="s">
        <v>38</v>
      </c>
      <c r="N2782" s="8"/>
    </row>
    <row r="2783" spans="1:14" ht="11.25" customHeight="1">
      <c r="A2783" s="5" t="s">
        <v>7189</v>
      </c>
      <c r="B2783" s="5" t="s">
        <v>8051</v>
      </c>
      <c r="C2783" s="5" t="s">
        <v>8052</v>
      </c>
      <c r="D2783" s="5" t="s">
        <v>7192</v>
      </c>
      <c r="E2783" s="5" t="s">
        <v>36</v>
      </c>
      <c r="F2783" s="5" t="s">
        <v>7193</v>
      </c>
      <c r="G2783" s="5" t="s">
        <v>7194</v>
      </c>
      <c r="H2783" s="5" t="s">
        <v>8053</v>
      </c>
      <c r="I2783" s="5" t="s">
        <v>8054</v>
      </c>
      <c r="J2783" s="5" t="s">
        <v>8055</v>
      </c>
      <c r="K2783" s="7" t="str">
        <f ca="1">IFERROR(__xludf.DUMMYFUNCTION("GOOGLETRANSLATE(H2783,""EN"",""ES"")"),"PIEZAS, EQUIPOS Y ACCESORIOS PARA VEHÍCULOS, NO COMPRENDIDOS EN OTRAS CLASES O SUBCLASES")</f>
        <v>PIEZAS, EQUIPOS Y ACCESORIOS PARA VEHÍCULOS, NO COMPRENDIDOS EN OTRAS CLASES O SUBCLASES</v>
      </c>
      <c r="L2783" s="5" t="str">
        <f ca="1">IFERROR(__xludf.DUMMYFUNCTION("GOOGLETRANSLATE(J2783,""EN"",""ES"")"),"Acoplamientos para vehículos")</f>
        <v>Acoplamientos para vehículos</v>
      </c>
      <c r="M2783" s="1" t="s">
        <v>38</v>
      </c>
      <c r="N2783" s="8"/>
    </row>
    <row r="2784" spans="1:14" ht="11.25" customHeight="1">
      <c r="A2784" s="5" t="s">
        <v>7189</v>
      </c>
      <c r="B2784" s="5" t="s">
        <v>8051</v>
      </c>
      <c r="C2784" s="5" t="s">
        <v>8056</v>
      </c>
      <c r="D2784" s="5" t="s">
        <v>7192</v>
      </c>
      <c r="E2784" s="5" t="s">
        <v>36</v>
      </c>
      <c r="F2784" s="5" t="s">
        <v>7193</v>
      </c>
      <c r="G2784" s="5" t="s">
        <v>7194</v>
      </c>
      <c r="H2784" s="5" t="s">
        <v>8053</v>
      </c>
      <c r="I2784" s="5" t="s">
        <v>8057</v>
      </c>
      <c r="J2784" s="5" t="s">
        <v>8058</v>
      </c>
      <c r="K2784" s="7" t="str">
        <f ca="1">IFERROR(__xludf.DUMMYFUNCTION("GOOGLETRANSLATE(H2784,""EN"",""ES"")"),"PIEZAS, EQUIPOS Y ACCESORIOS PARA VEHÍCULOS, NO COMPRENDIDOS EN OTRAS CLASES O SUBCLASES")</f>
        <v>PIEZAS, EQUIPOS Y ACCESORIOS PARA VEHÍCULOS, NO COMPRENDIDOS EN OTRAS CLASES O SUBCLASES</v>
      </c>
      <c r="L2784" s="5" t="str">
        <f ca="1">IFERROR(__xludf.DUMMYFUNCTION("GOOGLETRANSLATE(J2784,""EN"",""ES"")"),"ojos de buey")</f>
        <v>ojos de buey</v>
      </c>
      <c r="M2784" s="1" t="s">
        <v>38</v>
      </c>
      <c r="N2784" s="8"/>
    </row>
    <row r="2785" spans="1:14" ht="11.25" customHeight="1">
      <c r="A2785" s="5" t="s">
        <v>7189</v>
      </c>
      <c r="B2785" s="5" t="s">
        <v>8051</v>
      </c>
      <c r="C2785" s="5" t="s">
        <v>8059</v>
      </c>
      <c r="D2785" s="5" t="s">
        <v>7192</v>
      </c>
      <c r="E2785" s="5" t="s">
        <v>36</v>
      </c>
      <c r="F2785" s="5" t="s">
        <v>7193</v>
      </c>
      <c r="G2785" s="5" t="s">
        <v>7194</v>
      </c>
      <c r="H2785" s="5" t="s">
        <v>8053</v>
      </c>
      <c r="I2785" s="5" t="s">
        <v>8060</v>
      </c>
      <c r="J2785" s="5" t="s">
        <v>8061</v>
      </c>
      <c r="K2785" s="7" t="str">
        <f ca="1">IFERROR(__xludf.DUMMYFUNCTION("GOOGLETRANSLATE(H2785,""EN"",""ES"")"),"PIEZAS, EQUIPOS Y ACCESORIOS PARA VEHÍCULOS, NO COMPRENDIDOS EN OTRAS CLASES O SUBCLASES")</f>
        <v>PIEZAS, EQUIPOS Y ACCESORIOS PARA VEHÍCULOS, NO COMPRENDIDOS EN OTRAS CLASES O SUBCLASES</v>
      </c>
      <c r="L2785" s="5" t="str">
        <f ca="1">IFERROR(__xludf.DUMMYFUNCTION("GOOGLETRANSLATE(J2785,""EN"",""ES"")"),"Capós de vehículos")</f>
        <v>Capós de vehículos</v>
      </c>
      <c r="M2785" s="1" t="s">
        <v>38</v>
      </c>
      <c r="N2785" s="8"/>
    </row>
    <row r="2786" spans="1:14" ht="11.25" customHeight="1">
      <c r="A2786" s="5" t="s">
        <v>7189</v>
      </c>
      <c r="B2786" s="5" t="s">
        <v>8051</v>
      </c>
      <c r="C2786" s="5" t="s">
        <v>8062</v>
      </c>
      <c r="D2786" s="5" t="s">
        <v>7192</v>
      </c>
      <c r="E2786" s="5" t="s">
        <v>36</v>
      </c>
      <c r="F2786" s="5" t="s">
        <v>7193</v>
      </c>
      <c r="G2786" s="5" t="s">
        <v>7194</v>
      </c>
      <c r="H2786" s="5" t="s">
        <v>8053</v>
      </c>
      <c r="I2786" s="5" t="s">
        <v>8063</v>
      </c>
      <c r="J2786" s="5" t="s">
        <v>8064</v>
      </c>
      <c r="K2786" s="7" t="str">
        <f ca="1">IFERROR(__xludf.DUMMYFUNCTION("GOOGLETRANSLATE(H2786,""EN"",""ES"")"),"PIEZAS, EQUIPOS Y ACCESORIOS PARA VEHÍCULOS, NO COMPRENDIDOS EN OTRAS CLASES O SUBCLASES")</f>
        <v>PIEZAS, EQUIPOS Y ACCESORIOS PARA VEHÍCULOS, NO COMPRENDIDOS EN OTRAS CLASES O SUBCLASES</v>
      </c>
      <c r="L2786" s="5" t="str">
        <f ca="1">IFERROR(__xludf.DUMMYFUNCTION("GOOGLETRANSLATE(J2786,""EN"",""ES"")"),"Anclas")</f>
        <v>Anclas</v>
      </c>
      <c r="M2786" s="1" t="s">
        <v>38</v>
      </c>
      <c r="N2786" s="8"/>
    </row>
    <row r="2787" spans="1:14" ht="11.25" customHeight="1">
      <c r="A2787" s="5" t="s">
        <v>7189</v>
      </c>
      <c r="B2787" s="5" t="s">
        <v>8051</v>
      </c>
      <c r="C2787" s="5" t="s">
        <v>8065</v>
      </c>
      <c r="D2787" s="5" t="s">
        <v>7192</v>
      </c>
      <c r="E2787" s="5" t="s">
        <v>36</v>
      </c>
      <c r="F2787" s="5" t="s">
        <v>7193</v>
      </c>
      <c r="G2787" s="5" t="s">
        <v>7194</v>
      </c>
      <c r="H2787" s="5" t="s">
        <v>8053</v>
      </c>
      <c r="I2787" s="5" t="s">
        <v>8066</v>
      </c>
      <c r="J2787" s="5" t="s">
        <v>8067</v>
      </c>
      <c r="K2787" s="7" t="str">
        <f ca="1">IFERROR(__xludf.DUMMYFUNCTION("GOOGLETRANSLATE(H2787,""EN"",""ES"")"),"PIEZAS, EQUIPOS Y ACCESORIOS PARA VEHÍCULOS, NO COMPRENDIDOS EN OTRAS CLASES O SUBCLASES")</f>
        <v>PIEZAS, EQUIPOS Y ACCESORIOS PARA VEHÍCULOS, NO COMPRENDIDOS EN OTRAS CLASES O SUBCLASES</v>
      </c>
      <c r="L2787" s="5" t="str">
        <f ca="1">IFERROR(__xludf.DUMMYFUNCTION("GOOGLETRANSLATE(J2787,""EN"",""ES"")"),"Dispositivos antideslumbrantes para vehículos")</f>
        <v>Dispositivos antideslumbrantes para vehículos</v>
      </c>
      <c r="M2787" s="1" t="s">
        <v>38</v>
      </c>
      <c r="N2787" s="8"/>
    </row>
    <row r="2788" spans="1:14" ht="11.25" customHeight="1">
      <c r="A2788" s="5" t="s">
        <v>7189</v>
      </c>
      <c r="B2788" s="5" t="s">
        <v>8051</v>
      </c>
      <c r="C2788" s="5" t="s">
        <v>8068</v>
      </c>
      <c r="D2788" s="5" t="s">
        <v>7192</v>
      </c>
      <c r="E2788" s="5" t="s">
        <v>36</v>
      </c>
      <c r="F2788" s="5" t="s">
        <v>7193</v>
      </c>
      <c r="G2788" s="5" t="s">
        <v>7194</v>
      </c>
      <c r="H2788" s="5" t="s">
        <v>8053</v>
      </c>
      <c r="I2788" s="5" t="s">
        <v>8069</v>
      </c>
      <c r="J2788" s="5" t="s">
        <v>8070</v>
      </c>
      <c r="K2788" s="7" t="str">
        <f ca="1">IFERROR(__xludf.DUMMYFUNCTION("GOOGLETRANSLATE(H2788,""EN"",""ES"")"),"PIEZAS, EQUIPOS Y ACCESORIOS PARA VEHÍCULOS, NO COMPRENDIDOS EN OTRAS CLASES O SUBCLASES")</f>
        <v>PIEZAS, EQUIPOS Y ACCESORIOS PARA VEHÍCULOS, NO COMPRENDIDOS EN OTRAS CLASES O SUBCLASES</v>
      </c>
      <c r="L2788" s="5" t="str">
        <f ca="1">IFERROR(__xludf.DUMMYFUNCTION("GOOGLETRANSLATE(J2788,""EN"",""ES"")"),"Enganches de remolque para vehículos")</f>
        <v>Enganches de remolque para vehículos</v>
      </c>
      <c r="M2788" s="1" t="s">
        <v>38</v>
      </c>
      <c r="N2788" s="8"/>
    </row>
    <row r="2789" spans="1:14" ht="11.25" customHeight="1">
      <c r="A2789" s="5" t="s">
        <v>7189</v>
      </c>
      <c r="B2789" s="5" t="s">
        <v>8051</v>
      </c>
      <c r="C2789" s="5" t="s">
        <v>8071</v>
      </c>
      <c r="D2789" s="5" t="s">
        <v>7192</v>
      </c>
      <c r="E2789" s="5" t="s">
        <v>36</v>
      </c>
      <c r="F2789" s="5" t="s">
        <v>7193</v>
      </c>
      <c r="G2789" s="5" t="s">
        <v>7194</v>
      </c>
      <c r="H2789" s="5" t="s">
        <v>8053</v>
      </c>
      <c r="I2789" s="5" t="s">
        <v>8072</v>
      </c>
      <c r="J2789" s="5" t="s">
        <v>8073</v>
      </c>
      <c r="K2789" s="7" t="str">
        <f ca="1">IFERROR(__xludf.DUMMYFUNCTION("GOOGLETRANSLATE(H2789,""EN"",""ES"")"),"PIEZAS, EQUIPOS Y ACCESORIOS PARA VEHÍCULOS, NO COMPRENDIDOS EN OTRAS CLASES O SUBCLASES")</f>
        <v>PIEZAS, EQUIPOS Y ACCESORIOS PARA VEHÍCULOS, NO COMPRENDIDOS EN OTRAS CLASES O SUBCLASES</v>
      </c>
      <c r="L2789" s="5" t="str">
        <f ca="1">IFERROR(__xludf.DUMMYFUNCTION("GOOGLETRANSLATE(J2789,""EN"",""ES"")"),"Adornos decorativos para vehículos")</f>
        <v>Adornos decorativos para vehículos</v>
      </c>
      <c r="M2789" s="1" t="s">
        <v>38</v>
      </c>
      <c r="N2789" s="8"/>
    </row>
    <row r="2790" spans="1:14" ht="11.25" customHeight="1">
      <c r="A2790" s="5" t="s">
        <v>7189</v>
      </c>
      <c r="B2790" s="5" t="s">
        <v>8051</v>
      </c>
      <c r="C2790" s="5" t="s">
        <v>8074</v>
      </c>
      <c r="D2790" s="5" t="s">
        <v>7192</v>
      </c>
      <c r="E2790" s="5" t="s">
        <v>36</v>
      </c>
      <c r="F2790" s="5" t="s">
        <v>7193</v>
      </c>
      <c r="G2790" s="5" t="s">
        <v>7194</v>
      </c>
      <c r="H2790" s="5" t="s">
        <v>8053</v>
      </c>
      <c r="I2790" s="5" t="s">
        <v>8075</v>
      </c>
      <c r="J2790" s="5" t="s">
        <v>8076</v>
      </c>
      <c r="K2790" s="7" t="str">
        <f ca="1">IFERROR(__xludf.DUMMYFUNCTION("GOOGLETRANSLATE(H2790,""EN"",""ES"")"),"PIEZAS, EQUIPOS Y ACCESORIOS PARA VEHÍCULOS, NO COMPRENDIDOS EN OTRAS CLASES O SUBCLASES")</f>
        <v>PIEZAS, EQUIPOS Y ACCESORIOS PARA VEHÍCULOS, NO COMPRENDIDOS EN OTRAS CLASES O SUBCLASES</v>
      </c>
      <c r="L2790" s="5" t="str">
        <f ca="1">IFERROR(__xludf.DUMMYFUNCTION("GOOGLETRANSLATE(J2790,""EN"",""ES"")"),"Brazos de limpiaparabrisas")</f>
        <v>Brazos de limpiaparabrisas</v>
      </c>
      <c r="M2790" s="1" t="s">
        <v>38</v>
      </c>
      <c r="N2790" s="8"/>
    </row>
    <row r="2791" spans="1:14" ht="11.25" customHeight="1">
      <c r="A2791" s="5" t="s">
        <v>7189</v>
      </c>
      <c r="B2791" s="5" t="s">
        <v>8051</v>
      </c>
      <c r="C2791" s="5" t="s">
        <v>8077</v>
      </c>
      <c r="D2791" s="5" t="s">
        <v>7192</v>
      </c>
      <c r="E2791" s="5" t="s">
        <v>36</v>
      </c>
      <c r="F2791" s="5" t="s">
        <v>7193</v>
      </c>
      <c r="G2791" s="5" t="s">
        <v>7194</v>
      </c>
      <c r="H2791" s="5" t="s">
        <v>8053</v>
      </c>
      <c r="I2791" s="5" t="s">
        <v>8078</v>
      </c>
      <c r="J2791" s="5" t="s">
        <v>8079</v>
      </c>
      <c r="K2791" s="7" t="str">
        <f ca="1">IFERROR(__xludf.DUMMYFUNCTION("GOOGLETRANSLATE(H2791,""EN"",""ES"")"),"PIEZAS, EQUIPOS Y ACCESORIOS PARA VEHÍCULOS, NO COMPRENDIDOS EN OTRAS CLASES O SUBCLASES")</f>
        <v>PIEZAS, EQUIPOS Y ACCESORIOS PARA VEHÍCULOS, NO COMPRENDIDOS EN OTRAS CLASES O SUBCLASES</v>
      </c>
      <c r="L2791" s="5" t="str">
        <f ca="1">IFERROR(__xludf.DUMMYFUNCTION("GOOGLETRANSLATE(J2791,""EN"",""ES"")"),"Cintas de puesta a tierra contra electricidad estática para vehículos")</f>
        <v>Cintas de puesta a tierra contra electricidad estática para vehículos</v>
      </c>
      <c r="M2791" s="1" t="s">
        <v>38</v>
      </c>
      <c r="N2791" s="8"/>
    </row>
    <row r="2792" spans="1:14" ht="11.25" customHeight="1">
      <c r="A2792" s="5" t="s">
        <v>7189</v>
      </c>
      <c r="B2792" s="5" t="s">
        <v>8051</v>
      </c>
      <c r="C2792" s="5" t="s">
        <v>8080</v>
      </c>
      <c r="D2792" s="5" t="s">
        <v>7192</v>
      </c>
      <c r="E2792" s="5" t="s">
        <v>36</v>
      </c>
      <c r="F2792" s="5" t="s">
        <v>7193</v>
      </c>
      <c r="G2792" s="5" t="s">
        <v>7194</v>
      </c>
      <c r="H2792" s="5" t="s">
        <v>8053</v>
      </c>
      <c r="I2792" s="5" t="s">
        <v>8081</v>
      </c>
      <c r="J2792" s="5" t="s">
        <v>8082</v>
      </c>
      <c r="K2792" s="7" t="str">
        <f ca="1">IFERROR(__xludf.DUMMYFUNCTION("GOOGLETRANSLATE(H2792,""EN"",""ES"")"),"PIEZAS, EQUIPOS Y ACCESORIOS PARA VEHÍCULOS, NO COMPRENDIDOS EN OTRAS CLASES O SUBCLASES")</f>
        <v>PIEZAS, EQUIPOS Y ACCESORIOS PARA VEHÍCULOS, NO COMPRENDIDOS EN OTRAS CLASES O SUBCLASES</v>
      </c>
      <c r="L2792" s="5" t="str">
        <f ca="1">IFERROR(__xludf.DUMMYFUNCTION("GOOGLETRANSLATE(J2792,""EN"",""ES"")"),"Enganches de remolque para vehículos")</f>
        <v>Enganches de remolque para vehículos</v>
      </c>
      <c r="M2792" s="1" t="s">
        <v>38</v>
      </c>
      <c r="N2792" s="8"/>
    </row>
    <row r="2793" spans="1:14" ht="11.25" customHeight="1">
      <c r="A2793" s="5" t="s">
        <v>7189</v>
      </c>
      <c r="B2793" s="5" t="s">
        <v>8051</v>
      </c>
      <c r="C2793" s="5" t="s">
        <v>8083</v>
      </c>
      <c r="D2793" s="5" t="s">
        <v>7192</v>
      </c>
      <c r="E2793" s="5" t="s">
        <v>36</v>
      </c>
      <c r="F2793" s="5" t="s">
        <v>7193</v>
      </c>
      <c r="G2793" s="5" t="s">
        <v>7194</v>
      </c>
      <c r="H2793" s="5" t="s">
        <v>8053</v>
      </c>
      <c r="I2793" s="5" t="s">
        <v>8084</v>
      </c>
      <c r="J2793" s="5" t="s">
        <v>8085</v>
      </c>
      <c r="K2793" s="7" t="str">
        <f ca="1">IFERROR(__xludf.DUMMYFUNCTION("GOOGLETRANSLATE(H2793,""EN"",""ES"")"),"PIEZAS, EQUIPOS Y ACCESORIOS PARA VEHÍCULOS, NO COMPRENDIDOS EN OTRAS CLASES O SUBCLASES")</f>
        <v>PIEZAS, EQUIPOS Y ACCESORIOS PARA VEHÍCULOS, NO COMPRENDIDOS EN OTRAS CLASES O SUBCLASES</v>
      </c>
      <c r="L2793" s="5" t="str">
        <f ca="1">IFERROR(__xludf.DUMMYFUNCTION("GOOGLETRANSLATE(J2793,""EN"",""ES"")"),"Guardabarros para vehículos")</f>
        <v>Guardabarros para vehículos</v>
      </c>
      <c r="M2793" s="1" t="s">
        <v>38</v>
      </c>
      <c r="N2793" s="8"/>
    </row>
    <row r="2794" spans="1:14" ht="11.25" customHeight="1">
      <c r="A2794" s="5" t="s">
        <v>7189</v>
      </c>
      <c r="B2794" s="5" t="s">
        <v>8051</v>
      </c>
      <c r="C2794" s="5" t="s">
        <v>8086</v>
      </c>
      <c r="D2794" s="5" t="s">
        <v>7192</v>
      </c>
      <c r="E2794" s="5" t="s">
        <v>36</v>
      </c>
      <c r="F2794" s="5" t="s">
        <v>7193</v>
      </c>
      <c r="G2794" s="5" t="s">
        <v>7194</v>
      </c>
      <c r="H2794" s="5" t="s">
        <v>8053</v>
      </c>
      <c r="I2794" s="5" t="s">
        <v>8087</v>
      </c>
      <c r="J2794" s="5" t="s">
        <v>8088</v>
      </c>
      <c r="K2794" s="7" t="str">
        <f ca="1">IFERROR(__xludf.DUMMYFUNCTION("GOOGLETRANSLATE(H2794,""EN"",""ES"")"),"PIEZAS, EQUIPOS Y ACCESORIOS PARA VEHÍCULOS, NO COMPRENDIDOS EN OTRAS CLASES O SUBCLASES")</f>
        <v>PIEZAS, EQUIPOS Y ACCESORIOS PARA VEHÍCULOS, NO COMPRENDIDOS EN OTRAS CLASES O SUBCLASES</v>
      </c>
      <c r="L2794" s="5" t="str">
        <f ca="1">IFERROR(__xludf.DUMMYFUNCTION("GOOGLETRANSLATE(J2794,""EN"",""ES"")"),"Tapones de radiador para vehículos")</f>
        <v>Tapones de radiador para vehículos</v>
      </c>
      <c r="M2794" s="1" t="s">
        <v>38</v>
      </c>
      <c r="N2794" s="8"/>
    </row>
    <row r="2795" spans="1:14" ht="11.25" customHeight="1">
      <c r="A2795" s="5" t="s">
        <v>7189</v>
      </c>
      <c r="B2795" s="5" t="s">
        <v>8051</v>
      </c>
      <c r="C2795" s="5" t="s">
        <v>8089</v>
      </c>
      <c r="D2795" s="5" t="s">
        <v>7192</v>
      </c>
      <c r="E2795" s="5" t="s">
        <v>36</v>
      </c>
      <c r="F2795" s="5" t="s">
        <v>7193</v>
      </c>
      <c r="G2795" s="5" t="s">
        <v>7194</v>
      </c>
      <c r="H2795" s="5" t="s">
        <v>8053</v>
      </c>
      <c r="I2795" s="5" t="s">
        <v>8090</v>
      </c>
      <c r="J2795" s="5" t="s">
        <v>8091</v>
      </c>
      <c r="K2795" s="7" t="str">
        <f ca="1">IFERROR(__xludf.DUMMYFUNCTION("GOOGLETRANSLATE(H2795,""EN"",""ES"")"),"PIEZAS, EQUIPOS Y ACCESORIOS PARA VEHÍCULOS, NO COMPRENDIDOS EN OTRAS CLASES O SUBCLASES")</f>
        <v>PIEZAS, EQUIPOS Y ACCESORIOS PARA VEHÍCULOS, NO COMPRENDIDOS EN OTRAS CLASES O SUBCLASES</v>
      </c>
      <c r="L2795" s="5" t="str">
        <f ca="1">IFERROR(__xludf.DUMMYFUNCTION("GOOGLETRANSLATE(J2795,""EN"",""ES"")"),"Rejillas de radiador para vehículos")</f>
        <v>Rejillas de radiador para vehículos</v>
      </c>
      <c r="M2795" s="1" t="s">
        <v>38</v>
      </c>
      <c r="N2795" s="8"/>
    </row>
    <row r="2796" spans="1:14" ht="11.25" customHeight="1">
      <c r="A2796" s="5" t="s">
        <v>7189</v>
      </c>
      <c r="B2796" s="5" t="s">
        <v>8051</v>
      </c>
      <c r="C2796" s="5" t="s">
        <v>8092</v>
      </c>
      <c r="D2796" s="5" t="s">
        <v>7192</v>
      </c>
      <c r="E2796" s="5" t="s">
        <v>36</v>
      </c>
      <c r="F2796" s="5" t="s">
        <v>7193</v>
      </c>
      <c r="G2796" s="5" t="s">
        <v>7194</v>
      </c>
      <c r="H2796" s="5" t="s">
        <v>8053</v>
      </c>
      <c r="I2796" s="5" t="s">
        <v>8093</v>
      </c>
      <c r="J2796" s="5" t="s">
        <v>8094</v>
      </c>
      <c r="K2796" s="7" t="str">
        <f ca="1">IFERROR(__xludf.DUMMYFUNCTION("GOOGLETRANSLATE(H2796,""EN"",""ES"")"),"PIEZAS, EQUIPOS Y ACCESORIOS PARA VEHÍCULOS, NO COMPRENDIDOS EN OTRAS CLASES O SUBCLASES")</f>
        <v>PIEZAS, EQUIPOS Y ACCESORIOS PARA VEHÍCULOS, NO COMPRENDIDOS EN OTRAS CLASES O SUBCLASES</v>
      </c>
      <c r="L2796" s="5" t="str">
        <f ca="1">IFERROR(__xludf.DUMMYFUNCTION("GOOGLETRANSLATE(J2796,""EN"",""ES"")"),"Calzos [para evitar que los vehículos se muevan]")</f>
        <v>Calzos [para evitar que los vehículos se muevan]</v>
      </c>
      <c r="M2796" s="1" t="s">
        <v>38</v>
      </c>
      <c r="N2796" s="8"/>
    </row>
    <row r="2797" spans="1:14" ht="11.25" customHeight="1">
      <c r="A2797" s="5" t="s">
        <v>7189</v>
      </c>
      <c r="B2797" s="5" t="s">
        <v>8051</v>
      </c>
      <c r="C2797" s="5" t="s">
        <v>8095</v>
      </c>
      <c r="D2797" s="5" t="s">
        <v>7192</v>
      </c>
      <c r="E2797" s="5" t="s">
        <v>36</v>
      </c>
      <c r="F2797" s="5" t="s">
        <v>7193</v>
      </c>
      <c r="G2797" s="5" t="s">
        <v>7194</v>
      </c>
      <c r="H2797" s="5" t="s">
        <v>8053</v>
      </c>
      <c r="I2797" s="5" t="s">
        <v>8096</v>
      </c>
      <c r="J2797" s="5" t="s">
        <v>8097</v>
      </c>
      <c r="K2797" s="7" t="str">
        <f ca="1">IFERROR(__xludf.DUMMYFUNCTION("GOOGLETRANSLATE(H2797,""EN"",""ES"")"),"PIEZAS, EQUIPOS Y ACCESORIOS PARA VEHÍCULOS, NO COMPRENDIDOS EN OTRAS CLASES O SUBCLASES")</f>
        <v>PIEZAS, EQUIPOS Y ACCESORIOS PARA VEHÍCULOS, NO COMPRENDIDOS EN OTRAS CLASES O SUBCLASES</v>
      </c>
      <c r="L2797" s="5" t="str">
        <f ca="1">IFERROR(__xludf.DUMMYFUNCTION("GOOGLETRANSLATE(J2797,""EN"",""ES"")"),"Orugas para vehículos de colocación de orugas")</f>
        <v>Orugas para vehículos de colocación de orugas</v>
      </c>
      <c r="M2797" s="1" t="s">
        <v>38</v>
      </c>
      <c r="N2797" s="8"/>
    </row>
    <row r="2798" spans="1:14" ht="11.25" customHeight="1">
      <c r="A2798" s="5" t="s">
        <v>7189</v>
      </c>
      <c r="B2798" s="5" t="s">
        <v>8051</v>
      </c>
      <c r="C2798" s="5" t="s">
        <v>8098</v>
      </c>
      <c r="D2798" s="5" t="s">
        <v>7192</v>
      </c>
      <c r="E2798" s="5" t="s">
        <v>36</v>
      </c>
      <c r="F2798" s="5" t="s">
        <v>7193</v>
      </c>
      <c r="G2798" s="5" t="s">
        <v>7194</v>
      </c>
      <c r="H2798" s="5" t="s">
        <v>8053</v>
      </c>
      <c r="I2798" s="5" t="s">
        <v>8099</v>
      </c>
      <c r="J2798" s="5" t="s">
        <v>8100</v>
      </c>
      <c r="K2798" s="7" t="str">
        <f ca="1">IFERROR(__xludf.DUMMYFUNCTION("GOOGLETRANSLATE(H2798,""EN"",""ES"")"),"PIEZAS, EQUIPOS Y ACCESORIOS PARA VEHÍCULOS, NO COMPRENDIDOS EN OTRAS CLASES O SUBCLASES")</f>
        <v>PIEZAS, EQUIPOS Y ACCESORIOS PARA VEHÍCULOS, NO COMPRENDIDOS EN OTRAS CLASES O SUBCLASES</v>
      </c>
      <c r="L2798" s="5" t="str">
        <f ca="1">IFERROR(__xludf.DUMMYFUNCTION("GOOGLETRANSLATE(J2798,""EN"",""ES"")"),"Copas de espejo retrovisor")</f>
        <v>Copas de espejo retrovisor</v>
      </c>
      <c r="M2798" s="1" t="s">
        <v>38</v>
      </c>
      <c r="N2798" s="8"/>
    </row>
    <row r="2799" spans="1:14" ht="11.25" customHeight="1">
      <c r="A2799" s="5" t="s">
        <v>7189</v>
      </c>
      <c r="B2799" s="5" t="s">
        <v>8051</v>
      </c>
      <c r="C2799" s="5" t="s">
        <v>8101</v>
      </c>
      <c r="D2799" s="5" t="s">
        <v>7192</v>
      </c>
      <c r="E2799" s="5" t="s">
        <v>36</v>
      </c>
      <c r="F2799" s="5" t="s">
        <v>7193</v>
      </c>
      <c r="G2799" s="5" t="s">
        <v>7194</v>
      </c>
      <c r="H2799" s="5" t="s">
        <v>8053</v>
      </c>
      <c r="I2799" s="5" t="s">
        <v>8102</v>
      </c>
      <c r="J2799" s="5" t="s">
        <v>8103</v>
      </c>
      <c r="K2799" s="7" t="str">
        <f ca="1">IFERROR(__xludf.DUMMYFUNCTION("GOOGLETRANSLATE(H2799,""EN"",""ES"")"),"PIEZAS, EQUIPOS Y ACCESORIOS PARA VEHÍCULOS, NO COMPRENDIDOS EN OTRAS CLASES O SUBCLASES")</f>
        <v>PIEZAS, EQUIPOS Y ACCESORIOS PARA VEHÍCULOS, NO COMPRENDIDOS EN OTRAS CLASES O SUBCLASES</v>
      </c>
      <c r="L2799" s="5" t="str">
        <f ca="1">IFERROR(__xludf.DUMMYFUNCTION("GOOGLETRANSLATE(J2799,""EN"",""ES"")"),"Descongeladores para vehículos")</f>
        <v>Descongeladores para vehículos</v>
      </c>
      <c r="M2799" s="1" t="s">
        <v>38</v>
      </c>
      <c r="N2799" s="8"/>
    </row>
    <row r="2800" spans="1:14" ht="11.25" customHeight="1">
      <c r="A2800" s="5" t="s">
        <v>7189</v>
      </c>
      <c r="B2800" s="5" t="s">
        <v>8051</v>
      </c>
      <c r="C2800" s="5" t="s">
        <v>8104</v>
      </c>
      <c r="D2800" s="5" t="s">
        <v>7192</v>
      </c>
      <c r="E2800" s="5" t="s">
        <v>36</v>
      </c>
      <c r="F2800" s="5" t="s">
        <v>7193</v>
      </c>
      <c r="G2800" s="5" t="s">
        <v>7194</v>
      </c>
      <c r="H2800" s="5" t="s">
        <v>8053</v>
      </c>
      <c r="I2800" s="5" t="s">
        <v>8105</v>
      </c>
      <c r="J2800" s="5" t="s">
        <v>8106</v>
      </c>
      <c r="K2800" s="7" t="str">
        <f ca="1">IFERROR(__xludf.DUMMYFUNCTION("GOOGLETRANSLATE(H2800,""EN"",""ES"")"),"PIEZAS, EQUIPOS Y ACCESORIOS PARA VEHÍCULOS, NO COMPRENDIDOS EN OTRAS CLASES O SUBCLASES")</f>
        <v>PIEZAS, EQUIPOS Y ACCESORIOS PARA VEHÍCULOS, NO COMPRENDIDOS EN OTRAS CLASES O SUBCLASES</v>
      </c>
      <c r="L2800" s="5" t="str">
        <f ca="1">IFERROR(__xludf.DUMMYFUNCTION("GOOGLETRANSLATE(J2800,""EN"",""ES"")"),"Tapacubos")</f>
        <v>Tapacubos</v>
      </c>
      <c r="M2800" s="1" t="s">
        <v>38</v>
      </c>
      <c r="N2800" s="8"/>
    </row>
    <row r="2801" spans="1:14" ht="11.25" customHeight="1">
      <c r="A2801" s="5" t="s">
        <v>7189</v>
      </c>
      <c r="B2801" s="5" t="s">
        <v>8051</v>
      </c>
      <c r="C2801" s="5" t="s">
        <v>8107</v>
      </c>
      <c r="D2801" s="5" t="s">
        <v>7192</v>
      </c>
      <c r="E2801" s="5" t="s">
        <v>36</v>
      </c>
      <c r="F2801" s="5" t="s">
        <v>7193</v>
      </c>
      <c r="G2801" s="5" t="s">
        <v>7194</v>
      </c>
      <c r="H2801" s="5" t="s">
        <v>8053</v>
      </c>
      <c r="I2801" s="5" t="s">
        <v>8108</v>
      </c>
      <c r="J2801" s="5" t="s">
        <v>8109</v>
      </c>
      <c r="K2801" s="7" t="str">
        <f ca="1">IFERROR(__xludf.DUMMYFUNCTION("GOOGLETRANSLATE(H2801,""EN"",""ES"")"),"PIEZAS, EQUIPOS Y ACCESORIOS PARA VEHÍCULOS, NO COMPRENDIDOS EN OTRAS CLASES O SUBCLASES")</f>
        <v>PIEZAS, EQUIPOS Y ACCESORIOS PARA VEHÍCULOS, NO COMPRENDIDOS EN OTRAS CLASES O SUBCLASES</v>
      </c>
      <c r="L2801" s="5" t="str">
        <f ca="1">IFERROR(__xludf.DUMMYFUNCTION("GOOGLETRANSLATE(J2801,""EN"",""ES"")"),"Herrajes decorativos para vehículos.")</f>
        <v>Herrajes decorativos para vehículos.</v>
      </c>
      <c r="M2801" s="1" t="s">
        <v>38</v>
      </c>
      <c r="N2801" s="8"/>
    </row>
    <row r="2802" spans="1:14" ht="11.25" customHeight="1">
      <c r="A2802" s="5" t="s">
        <v>7189</v>
      </c>
      <c r="B2802" s="5" t="s">
        <v>8051</v>
      </c>
      <c r="C2802" s="5" t="s">
        <v>8110</v>
      </c>
      <c r="D2802" s="5" t="s">
        <v>7192</v>
      </c>
      <c r="E2802" s="5" t="s">
        <v>36</v>
      </c>
      <c r="F2802" s="5" t="s">
        <v>7193</v>
      </c>
      <c r="G2802" s="5" t="s">
        <v>7194</v>
      </c>
      <c r="H2802" s="5" t="s">
        <v>8053</v>
      </c>
      <c r="I2802" s="5" t="s">
        <v>8111</v>
      </c>
      <c r="J2802" s="5" t="s">
        <v>8112</v>
      </c>
      <c r="K2802" s="7" t="str">
        <f ca="1">IFERROR(__xludf.DUMMYFUNCTION("GOOGLETRANSLATE(H2802,""EN"",""ES"")"),"PIEZAS, EQUIPOS Y ACCESORIOS PARA VEHÍCULOS, NO COMPRENDIDOS EN OTRAS CLASES O SUBCLASES")</f>
        <v>PIEZAS, EQUIPOS Y ACCESORIOS PARA VEHÍCULOS, NO COMPRENDIDOS EN OTRAS CLASES O SUBCLASES</v>
      </c>
      <c r="L2802" s="5" t="str">
        <f ca="1">IFERROR(__xludf.DUMMYFUNCTION("GOOGLETRANSLATE(J2802,""EN"",""ES"")"),"Herrajes para espejos retrovisores")</f>
        <v>Herrajes para espejos retrovisores</v>
      </c>
      <c r="M2802" s="1" t="s">
        <v>38</v>
      </c>
      <c r="N2802" s="8"/>
    </row>
    <row r="2803" spans="1:14" ht="11.25" customHeight="1">
      <c r="A2803" s="5" t="s">
        <v>7189</v>
      </c>
      <c r="B2803" s="5" t="s">
        <v>8051</v>
      </c>
      <c r="C2803" s="5" t="s">
        <v>8113</v>
      </c>
      <c r="D2803" s="5" t="s">
        <v>7192</v>
      </c>
      <c r="E2803" s="5" t="s">
        <v>36</v>
      </c>
      <c r="F2803" s="5" t="s">
        <v>7193</v>
      </c>
      <c r="G2803" s="5" t="s">
        <v>7194</v>
      </c>
      <c r="H2803" s="5" t="s">
        <v>8053</v>
      </c>
      <c r="I2803" s="5" t="s">
        <v>8114</v>
      </c>
      <c r="J2803" s="5" t="s">
        <v>8115</v>
      </c>
      <c r="K2803" s="7" t="str">
        <f ca="1">IFERROR(__xludf.DUMMYFUNCTION("GOOGLETRANSLATE(H2803,""EN"",""ES"")"),"PIEZAS, EQUIPOS Y ACCESORIOS PARA VEHÍCULOS, NO COMPRENDIDOS EN OTRAS CLASES O SUBCLASES")</f>
        <v>PIEZAS, EQUIPOS Y ACCESORIOS PARA VEHÍCULOS, NO COMPRENDIDOS EN OTRAS CLASES O SUBCLASES</v>
      </c>
      <c r="L2803" s="5" t="str">
        <f ca="1">IFERROR(__xludf.DUMMYFUNCTION("GOOGLETRANSLATE(J2803,""EN"",""ES"")"),"Frenos para vehículos")</f>
        <v>Frenos para vehículos</v>
      </c>
      <c r="M2803" s="1" t="s">
        <v>38</v>
      </c>
      <c r="N2803" s="8"/>
    </row>
    <row r="2804" spans="1:14" ht="11.25" customHeight="1">
      <c r="A2804" s="5" t="s">
        <v>7189</v>
      </c>
      <c r="B2804" s="5" t="s">
        <v>8051</v>
      </c>
      <c r="C2804" s="5" t="s">
        <v>8116</v>
      </c>
      <c r="D2804" s="5" t="s">
        <v>7192</v>
      </c>
      <c r="E2804" s="5" t="s">
        <v>36</v>
      </c>
      <c r="F2804" s="5" t="s">
        <v>7193</v>
      </c>
      <c r="G2804" s="5" t="s">
        <v>7194</v>
      </c>
      <c r="H2804" s="5" t="s">
        <v>8053</v>
      </c>
      <c r="I2804" s="5" t="s">
        <v>8117</v>
      </c>
      <c r="J2804" s="5" t="s">
        <v>8118</v>
      </c>
      <c r="K2804" s="7" t="str">
        <f ca="1">IFERROR(__xludf.DUMMYFUNCTION("GOOGLETRANSLATE(H2804,""EN"",""ES"")"),"PIEZAS, EQUIPOS Y ACCESORIOS PARA VEHÍCULOS, NO COMPRENDIDOS EN OTRAS CLASES O SUBCLASES")</f>
        <v>PIEZAS, EQUIPOS Y ACCESORIOS PARA VEHÍCULOS, NO COMPRENDIDOS EN OTRAS CLASES O SUBCLASES</v>
      </c>
      <c r="L2804" s="5" t="str">
        <f ca="1">IFERROR(__xludf.DUMMYFUNCTION("GOOGLETRANSLATE(J2804,""EN"",""ES"")"),"Guardabarros para automóviles")</f>
        <v>Guardabarros para automóviles</v>
      </c>
      <c r="M2804" s="1" t="s">
        <v>38</v>
      </c>
      <c r="N2804" s="8"/>
    </row>
    <row r="2805" spans="1:14" ht="11.25" customHeight="1">
      <c r="A2805" s="5" t="s">
        <v>7189</v>
      </c>
      <c r="B2805" s="5" t="s">
        <v>8051</v>
      </c>
      <c r="C2805" s="5" t="s">
        <v>8116</v>
      </c>
      <c r="D2805" s="5" t="s">
        <v>7192</v>
      </c>
      <c r="E2805" s="5" t="s">
        <v>36</v>
      </c>
      <c r="F2805" s="5" t="s">
        <v>7193</v>
      </c>
      <c r="G2805" s="5" t="s">
        <v>7194</v>
      </c>
      <c r="H2805" s="5" t="s">
        <v>8053</v>
      </c>
      <c r="I2805" s="5" t="s">
        <v>152</v>
      </c>
      <c r="J2805" s="5" t="s">
        <v>8119</v>
      </c>
      <c r="K2805" s="7" t="str">
        <f ca="1">IFERROR(__xludf.DUMMYFUNCTION("GOOGLETRANSLATE(H2805,""EN"",""ES"")"),"PIEZAS, EQUIPOS Y ACCESORIOS PARA VEHÍCULOS, NO COMPRENDIDOS EN OTRAS CLASES O SUBCLASES")</f>
        <v>PIEZAS, EQUIPOS Y ACCESORIOS PARA VEHÍCULOS, NO COMPRENDIDOS EN OTRAS CLASES O SUBCLASES</v>
      </c>
      <c r="L2805" s="5" t="str">
        <f ca="1">IFERROR(__xludf.DUMMYFUNCTION("GOOGLETRANSLATE(J2805,""EN"",""ES"")"),"N / A")</f>
        <v>N / A</v>
      </c>
      <c r="M2805" s="1" t="s">
        <v>38</v>
      </c>
      <c r="N2805" s="8"/>
    </row>
    <row r="2806" spans="1:14" ht="11.25" customHeight="1">
      <c r="A2806" s="5" t="s">
        <v>7189</v>
      </c>
      <c r="B2806" s="5" t="s">
        <v>8051</v>
      </c>
      <c r="C2806" s="5" t="s">
        <v>8120</v>
      </c>
      <c r="D2806" s="5" t="s">
        <v>7192</v>
      </c>
      <c r="E2806" s="5" t="s">
        <v>36</v>
      </c>
      <c r="F2806" s="5" t="s">
        <v>7193</v>
      </c>
      <c r="G2806" s="5" t="s">
        <v>7194</v>
      </c>
      <c r="H2806" s="5" t="s">
        <v>8053</v>
      </c>
      <c r="I2806" s="5" t="s">
        <v>8121</v>
      </c>
      <c r="J2806" s="5" t="s">
        <v>8122</v>
      </c>
      <c r="K2806" s="7" t="str">
        <f ca="1">IFERROR(__xludf.DUMMYFUNCTION("GOOGLETRANSLATE(H2806,""EN"",""ES"")"),"PIEZAS, EQUIPOS Y ACCESORIOS PARA VEHÍCULOS, NO COMPRENDIDOS EN OTRAS CLASES O SUBCLASES")</f>
        <v>PIEZAS, EQUIPOS Y ACCESORIOS PARA VEHÍCULOS, NO COMPRENDIDOS EN OTRAS CLASES O SUBCLASES</v>
      </c>
      <c r="L2806" s="5" t="str">
        <f ca="1">IFERROR(__xludf.DUMMYFUNCTION("GOOGLETRANSLATE(J2806,""EN"",""ES"")"),"Rejillas de entrada de aire para vehículos")</f>
        <v>Rejillas de entrada de aire para vehículos</v>
      </c>
      <c r="M2806" s="1" t="s">
        <v>38</v>
      </c>
      <c r="N2806" s="8"/>
    </row>
    <row r="2807" spans="1:14" ht="11.25" customHeight="1">
      <c r="A2807" s="5" t="s">
        <v>7189</v>
      </c>
      <c r="B2807" s="5" t="s">
        <v>8051</v>
      </c>
      <c r="C2807" s="5" t="s">
        <v>8123</v>
      </c>
      <c r="D2807" s="5" t="s">
        <v>7192</v>
      </c>
      <c r="E2807" s="5" t="s">
        <v>36</v>
      </c>
      <c r="F2807" s="5" t="s">
        <v>7193</v>
      </c>
      <c r="G2807" s="5" t="s">
        <v>7194</v>
      </c>
      <c r="H2807" s="5" t="s">
        <v>8053</v>
      </c>
      <c r="I2807" s="5" t="s">
        <v>8124</v>
      </c>
      <c r="J2807" s="5" t="s">
        <v>8125</v>
      </c>
      <c r="K2807" s="7" t="str">
        <f ca="1">IFERROR(__xludf.DUMMYFUNCTION("GOOGLETRANSLATE(H2807,""EN"",""ES"")"),"PIEZAS, EQUIPOS Y ACCESORIOS PARA VEHÍCULOS, NO COMPRENDIDOS EN OTRAS CLASES O SUBCLASES")</f>
        <v>PIEZAS, EQUIPOS Y ACCESORIOS PARA VEHÍCULOS, NO COMPRENDIDOS EN OTRAS CLASES O SUBCLASES</v>
      </c>
      <c r="L2807" s="5" t="str">
        <f ca="1">IFERROR(__xludf.DUMMYFUNCTION("GOOGLETRANSLATE(J2807,""EN"",""ES"")"),"Fundas para vehículos")</f>
        <v>Fundas para vehículos</v>
      </c>
      <c r="M2807" s="1" t="s">
        <v>38</v>
      </c>
      <c r="N2807" s="8"/>
    </row>
    <row r="2808" spans="1:14" ht="11.25" customHeight="1">
      <c r="A2808" s="5" t="s">
        <v>7189</v>
      </c>
      <c r="B2808" s="5" t="s">
        <v>8051</v>
      </c>
      <c r="C2808" s="5" t="s">
        <v>8126</v>
      </c>
      <c r="D2808" s="5" t="s">
        <v>7192</v>
      </c>
      <c r="E2808" s="5" t="s">
        <v>36</v>
      </c>
      <c r="F2808" s="5" t="s">
        <v>7193</v>
      </c>
      <c r="G2808" s="5" t="s">
        <v>7194</v>
      </c>
      <c r="H2808" s="5" t="s">
        <v>8053</v>
      </c>
      <c r="I2808" s="5" t="s">
        <v>8127</v>
      </c>
      <c r="J2808" s="5" t="s">
        <v>8128</v>
      </c>
      <c r="K2808" s="7" t="str">
        <f ca="1">IFERROR(__xludf.DUMMYFUNCTION("GOOGLETRANSLATE(H2808,""EN"",""ES"")"),"PIEZAS, EQUIPOS Y ACCESORIOS PARA VEHÍCULOS, NO COMPRENDIDOS EN OTRAS CLASES O SUBCLASES")</f>
        <v>PIEZAS, EQUIPOS Y ACCESORIOS PARA VEHÍCULOS, NO COMPRENDIDOS EN OTRAS CLASES O SUBCLASES</v>
      </c>
      <c r="L2808" s="5" t="str">
        <f ca="1">IFERROR(__xludf.DUMMYFUNCTION("GOOGLETRANSLATE(J2808,""EN"",""ES"")"),"Llantas de vehículos")</f>
        <v>Llantas de vehículos</v>
      </c>
      <c r="M2808" s="1" t="s">
        <v>38</v>
      </c>
      <c r="N2808" s="8"/>
    </row>
    <row r="2809" spans="1:14" ht="11.25" customHeight="1">
      <c r="A2809" s="5" t="s">
        <v>7189</v>
      </c>
      <c r="B2809" s="5" t="s">
        <v>8051</v>
      </c>
      <c r="C2809" s="5" t="s">
        <v>8129</v>
      </c>
      <c r="D2809" s="5" t="s">
        <v>7192</v>
      </c>
      <c r="E2809" s="5" t="s">
        <v>36</v>
      </c>
      <c r="F2809" s="5" t="s">
        <v>7193</v>
      </c>
      <c r="G2809" s="5" t="s">
        <v>7194</v>
      </c>
      <c r="H2809" s="5" t="s">
        <v>8053</v>
      </c>
      <c r="I2809" s="5" t="s">
        <v>8130</v>
      </c>
      <c r="J2809" s="5" t="s">
        <v>8131</v>
      </c>
      <c r="K2809" s="7" t="str">
        <f ca="1">IFERROR(__xludf.DUMMYFUNCTION("GOOGLETRANSLATE(H2809,""EN"",""ES"")"),"PIEZAS, EQUIPOS Y ACCESORIOS PARA VEHÍCULOS, NO COMPRENDIDOS EN OTRAS CLASES O SUBCLASES")</f>
        <v>PIEZAS, EQUIPOS Y ACCESORIOS PARA VEHÍCULOS, NO COMPRENDIDOS EN OTRAS CLASES O SUBCLASES</v>
      </c>
      <c r="L2809" s="5" t="str">
        <f ca="1">IFERROR(__xludf.DUMMYFUNCTION("GOOGLETRANSLATE(J2809,""EN"",""ES"")"),"Estribos para vehículos de carretera")</f>
        <v>Estribos para vehículos de carretera</v>
      </c>
      <c r="M2809" s="1" t="s">
        <v>38</v>
      </c>
      <c r="N2809" s="8"/>
    </row>
    <row r="2810" spans="1:14" ht="11.25" customHeight="1">
      <c r="A2810" s="5" t="s">
        <v>7189</v>
      </c>
      <c r="B2810" s="5" t="s">
        <v>8051</v>
      </c>
      <c r="C2810" s="5" t="s">
        <v>8132</v>
      </c>
      <c r="D2810" s="5" t="s">
        <v>7192</v>
      </c>
      <c r="E2810" s="5" t="s">
        <v>36</v>
      </c>
      <c r="F2810" s="5" t="s">
        <v>7193</v>
      </c>
      <c r="G2810" s="5" t="s">
        <v>7194</v>
      </c>
      <c r="H2810" s="5" t="s">
        <v>8053</v>
      </c>
      <c r="I2810" s="5" t="s">
        <v>8133</v>
      </c>
      <c r="J2810" s="5" t="s">
        <v>8134</v>
      </c>
      <c r="K2810" s="7" t="str">
        <f ca="1">IFERROR(__xludf.DUMMYFUNCTION("GOOGLETRANSLATE(H2810,""EN"",""ES"")"),"PIEZAS, EQUIPOS Y ACCESORIOS PARA VEHÍCULOS, NO COMPRENDIDOS EN OTRAS CLASES O SUBCLASES")</f>
        <v>PIEZAS, EQUIPOS Y ACCESORIOS PARA VEHÍCULOS, NO COMPRENDIDOS EN OTRAS CLASES O SUBCLASES</v>
      </c>
      <c r="L2810" s="5" t="str">
        <f ca="1">IFERROR(__xludf.DUMMYFUNCTION("GOOGLETRANSLATE(J2810,""EN"",""ES"")"),"Bujes de ruedas de vehículos")</f>
        <v>Bujes de ruedas de vehículos</v>
      </c>
      <c r="M2810" s="1" t="s">
        <v>38</v>
      </c>
      <c r="N2810" s="8"/>
    </row>
    <row r="2811" spans="1:14" ht="11.25" customHeight="1">
      <c r="A2811" s="5" t="s">
        <v>7189</v>
      </c>
      <c r="B2811" s="5" t="s">
        <v>8051</v>
      </c>
      <c r="C2811" s="5" t="s">
        <v>8135</v>
      </c>
      <c r="D2811" s="5" t="s">
        <v>7192</v>
      </c>
      <c r="E2811" s="5" t="s">
        <v>36</v>
      </c>
      <c r="F2811" s="5" t="s">
        <v>7193</v>
      </c>
      <c r="G2811" s="5" t="s">
        <v>7194</v>
      </c>
      <c r="H2811" s="5" t="s">
        <v>8053</v>
      </c>
      <c r="I2811" s="5" t="s">
        <v>8136</v>
      </c>
      <c r="J2811" s="5" t="s">
        <v>8137</v>
      </c>
      <c r="K2811" s="7" t="str">
        <f ca="1">IFERROR(__xludf.DUMMYFUNCTION("GOOGLETRANSLATE(H2811,""EN"",""ES"")"),"PIEZAS, EQUIPOS Y ACCESORIOS PARA VEHÍCULOS, NO COMPRENDIDOS EN OTRAS CLASES O SUBCLASES")</f>
        <v>PIEZAS, EQUIPOS Y ACCESORIOS PARA VEHÍCULOS, NO COMPRENDIDOS EN OTRAS CLASES O SUBCLASES</v>
      </c>
      <c r="L2811" s="5" t="str">
        <f ca="1">IFERROR(__xludf.DUMMYFUNCTION("GOOGLETRANSLATE(J2811,""EN"",""ES"")"),"Parabrisas para vehículos")</f>
        <v>Parabrisas para vehículos</v>
      </c>
      <c r="M2811" s="1" t="s">
        <v>38</v>
      </c>
      <c r="N2811" s="8"/>
    </row>
    <row r="2812" spans="1:14" ht="11.25" customHeight="1">
      <c r="A2812" s="5" t="s">
        <v>7189</v>
      </c>
      <c r="B2812" s="5" t="s">
        <v>8051</v>
      </c>
      <c r="C2812" s="5" t="s">
        <v>8135</v>
      </c>
      <c r="D2812" s="5" t="s">
        <v>7192</v>
      </c>
      <c r="E2812" s="5" t="s">
        <v>36</v>
      </c>
      <c r="F2812" s="5" t="s">
        <v>7193</v>
      </c>
      <c r="G2812" s="5" t="s">
        <v>7194</v>
      </c>
      <c r="H2812" s="5" t="s">
        <v>8053</v>
      </c>
      <c r="I2812" s="5" t="s">
        <v>8138</v>
      </c>
      <c r="J2812" s="5" t="s">
        <v>152</v>
      </c>
      <c r="K2812" s="7" t="str">
        <f ca="1">IFERROR(__xludf.DUMMYFUNCTION("GOOGLETRANSLATE(H2812,""EN"",""ES"")"),"PIEZAS, EQUIPOS Y ACCESORIOS PARA VEHÍCULOS, NO COMPRENDIDOS EN OTRAS CLASES O SUBCLASES")</f>
        <v>PIEZAS, EQUIPOS Y ACCESORIOS PARA VEHÍCULOS, NO COMPRENDIDOS EN OTRAS CLASES O SUBCLASES</v>
      </c>
      <c r="L2812" s="5" t="str">
        <f ca="1">IFERROR(__xludf.DUMMYFUNCTION("GOOGLETRANSLATE(J2812,""EN"",""ES"")"),"Parabrisas para vehículos")</f>
        <v>Parabrisas para vehículos</v>
      </c>
      <c r="M2812" s="1" t="s">
        <v>38</v>
      </c>
      <c r="N2812" s="8"/>
    </row>
    <row r="2813" spans="1:14" ht="11.25" customHeight="1">
      <c r="A2813" s="5" t="s">
        <v>7189</v>
      </c>
      <c r="B2813" s="5" t="s">
        <v>8051</v>
      </c>
      <c r="C2813" s="5" t="s">
        <v>8139</v>
      </c>
      <c r="D2813" s="5" t="s">
        <v>7192</v>
      </c>
      <c r="E2813" s="5" t="s">
        <v>36</v>
      </c>
      <c r="F2813" s="5" t="s">
        <v>7193</v>
      </c>
      <c r="G2813" s="5" t="s">
        <v>7194</v>
      </c>
      <c r="H2813" s="5" t="s">
        <v>8053</v>
      </c>
      <c r="I2813" s="5" t="s">
        <v>8140</v>
      </c>
      <c r="J2813" s="5" t="s">
        <v>8141</v>
      </c>
      <c r="K2813" s="7" t="str">
        <f ca="1">IFERROR(__xludf.DUMMYFUNCTION("GOOGLETRANSLATE(H2813,""EN"",""ES"")"),"PIEZAS, EQUIPOS Y ACCESORIOS PARA VEHÍCULOS, NO COMPRENDIDOS EN OTRAS CLASES O SUBCLASES")</f>
        <v>PIEZAS, EQUIPOS Y ACCESORIOS PARA VEHÍCULOS, NO COMPRENDIDOS EN OTRAS CLASES O SUBCLASES</v>
      </c>
      <c r="L2813" s="5" t="str">
        <f ca="1">IFERROR(__xludf.DUMMYFUNCTION("GOOGLETRANSLATE(J2813,""EN"",""ES"")"),"Parabrisas antideslumbrantes")</f>
        <v>Parabrisas antideslumbrantes</v>
      </c>
      <c r="M2813" s="1" t="s">
        <v>38</v>
      </c>
      <c r="N2813" s="8"/>
    </row>
    <row r="2814" spans="1:14" ht="11.25" customHeight="1">
      <c r="A2814" s="5" t="s">
        <v>7189</v>
      </c>
      <c r="B2814" s="5" t="s">
        <v>8051</v>
      </c>
      <c r="C2814" s="5" t="s">
        <v>8142</v>
      </c>
      <c r="D2814" s="5" t="s">
        <v>7192</v>
      </c>
      <c r="E2814" s="5" t="s">
        <v>36</v>
      </c>
      <c r="F2814" s="5" t="s">
        <v>7193</v>
      </c>
      <c r="G2814" s="5" t="s">
        <v>7194</v>
      </c>
      <c r="H2814" s="5" t="s">
        <v>8053</v>
      </c>
      <c r="I2814" s="5" t="s">
        <v>8143</v>
      </c>
      <c r="J2814" s="5" t="s">
        <v>8144</v>
      </c>
      <c r="K2814" s="7" t="str">
        <f ca="1">IFERROR(__xludf.DUMMYFUNCTION("GOOGLETRANSLATE(H2814,""EN"",""ES"")"),"PIEZAS, EQUIPOS Y ACCESORIOS PARA VEHÍCULOS, NO COMPRENDIDOS EN OTRAS CLASES O SUBCLASES")</f>
        <v>PIEZAS, EQUIPOS Y ACCESORIOS PARA VEHÍCULOS, NO COMPRENDIDOS EN OTRAS CLASES O SUBCLASES</v>
      </c>
      <c r="L2814" s="5" t="str">
        <f ca="1">IFERROR(__xludf.DUMMYFUNCTION("GOOGLETRANSLATE(J2814,""EN"",""ES"")"),"Parachoques para vehículos")</f>
        <v>Parachoques para vehículos</v>
      </c>
      <c r="M2814" s="1" t="s">
        <v>38</v>
      </c>
      <c r="N2814" s="8"/>
    </row>
    <row r="2815" spans="1:14" ht="11.25" customHeight="1">
      <c r="A2815" s="5" t="s">
        <v>7189</v>
      </c>
      <c r="B2815" s="5" t="s">
        <v>8051</v>
      </c>
      <c r="C2815" s="5" t="s">
        <v>8145</v>
      </c>
      <c r="D2815" s="5" t="s">
        <v>7192</v>
      </c>
      <c r="E2815" s="5" t="s">
        <v>36</v>
      </c>
      <c r="F2815" s="5" t="s">
        <v>7193</v>
      </c>
      <c r="G2815" s="5" t="s">
        <v>7194</v>
      </c>
      <c r="H2815" s="5" t="s">
        <v>8053</v>
      </c>
      <c r="I2815" s="5" t="s">
        <v>8146</v>
      </c>
      <c r="J2815" s="5" t="s">
        <v>8147</v>
      </c>
      <c r="K2815" s="7" t="str">
        <f ca="1">IFERROR(__xludf.DUMMYFUNCTION("GOOGLETRANSLATE(H2815,""EN"",""ES"")"),"PIEZAS, EQUIPOS Y ACCESORIOS PARA VEHÍCULOS, NO COMPRENDIDOS EN OTRAS CLASES O SUBCLASES")</f>
        <v>PIEZAS, EQUIPOS Y ACCESORIOS PARA VEHÍCULOS, NO COMPRENDIDOS EN OTRAS CLASES O SUBCLASES</v>
      </c>
      <c r="L2815" s="5" t="str">
        <f ca="1">IFERROR(__xludf.DUMMYFUNCTION("GOOGLETRANSLATE(J2815,""EN"",""ES"")"),"Parasoles para vehículos")</f>
        <v>Parasoles para vehículos</v>
      </c>
      <c r="M2815" s="1" t="s">
        <v>38</v>
      </c>
      <c r="N2815" s="8"/>
    </row>
    <row r="2816" spans="1:14" ht="11.25" customHeight="1">
      <c r="A2816" s="5" t="s">
        <v>7189</v>
      </c>
      <c r="B2816" s="5" t="s">
        <v>8051</v>
      </c>
      <c r="C2816" s="5" t="s">
        <v>8148</v>
      </c>
      <c r="D2816" s="5" t="s">
        <v>7192</v>
      </c>
      <c r="E2816" s="5" t="s">
        <v>36</v>
      </c>
      <c r="F2816" s="5" t="s">
        <v>7193</v>
      </c>
      <c r="G2816" s="5" t="s">
        <v>7194</v>
      </c>
      <c r="H2816" s="5" t="s">
        <v>8053</v>
      </c>
      <c r="I2816" s="5" t="s">
        <v>8149</v>
      </c>
      <c r="J2816" s="5" t="s">
        <v>8150</v>
      </c>
      <c r="K2816" s="7" t="str">
        <f ca="1">IFERROR(__xludf.DUMMYFUNCTION("GOOGLETRANSLATE(H2816,""EN"",""ES"")"),"PIEZAS, EQUIPOS Y ACCESORIOS PARA VEHÍCULOS, NO COMPRENDIDOS EN OTRAS CLASES O SUBCLASES")</f>
        <v>PIEZAS, EQUIPOS Y ACCESORIOS PARA VEHÍCULOS, NO COMPRENDIDOS EN OTRAS CLASES O SUBCLASES</v>
      </c>
      <c r="L2816" s="5" t="str">
        <f ca="1">IFERROR(__xludf.DUMMYFUNCTION("GOOGLETRANSLATE(J2816,""EN"",""ES"")"),"Portaesquís para vehículos")</f>
        <v>Portaesquís para vehículos</v>
      </c>
      <c r="M2816" s="1" t="s">
        <v>38</v>
      </c>
      <c r="N2816" s="8"/>
    </row>
    <row r="2817" spans="1:14" ht="11.25" customHeight="1">
      <c r="A2817" s="5" t="s">
        <v>7189</v>
      </c>
      <c r="B2817" s="5" t="s">
        <v>8051</v>
      </c>
      <c r="C2817" s="5" t="s">
        <v>8151</v>
      </c>
      <c r="D2817" s="5" t="s">
        <v>7192</v>
      </c>
      <c r="E2817" s="5" t="s">
        <v>36</v>
      </c>
      <c r="F2817" s="5" t="s">
        <v>7193</v>
      </c>
      <c r="G2817" s="5" t="s">
        <v>7194</v>
      </c>
      <c r="H2817" s="5" t="s">
        <v>8053</v>
      </c>
      <c r="I2817" s="5" t="s">
        <v>8152</v>
      </c>
      <c r="J2817" s="5" t="s">
        <v>8153</v>
      </c>
      <c r="K2817" s="7" t="str">
        <f ca="1">IFERROR(__xludf.DUMMYFUNCTION("GOOGLETRANSLATE(H2817,""EN"",""ES"")"),"PIEZAS, EQUIPOS Y ACCESORIOS PARA VEHÍCULOS, NO COMPRENDIDOS EN OTRAS CLASES O SUBCLASES")</f>
        <v>PIEZAS, EQUIPOS Y ACCESORIOS PARA VEHÍCULOS, NO COMPRENDIDOS EN OTRAS CLASES O SUBCLASES</v>
      </c>
      <c r="L2817" s="5" t="str">
        <f ca="1">IFERROR(__xludf.DUMMYFUNCTION("GOOGLETRANSLATE(J2817,""EN"",""ES"")"),"Tapas de radiador para vehículos")</f>
        <v>Tapas de radiador para vehículos</v>
      </c>
      <c r="M2817" s="1" t="s">
        <v>38</v>
      </c>
      <c r="N2817" s="8"/>
    </row>
    <row r="2818" spans="1:14" ht="11.25" customHeight="1">
      <c r="A2818" s="5" t="s">
        <v>7189</v>
      </c>
      <c r="B2818" s="5" t="s">
        <v>8051</v>
      </c>
      <c r="C2818" s="5" t="s">
        <v>8154</v>
      </c>
      <c r="D2818" s="5" t="s">
        <v>7192</v>
      </c>
      <c r="E2818" s="5" t="s">
        <v>36</v>
      </c>
      <c r="F2818" s="5" t="s">
        <v>7193</v>
      </c>
      <c r="G2818" s="5" t="s">
        <v>7194</v>
      </c>
      <c r="H2818" s="5" t="s">
        <v>8053</v>
      </c>
      <c r="I2818" s="5" t="s">
        <v>8155</v>
      </c>
      <c r="J2818" s="5" t="s">
        <v>8156</v>
      </c>
      <c r="K2818" s="7" t="str">
        <f ca="1">IFERROR(__xludf.DUMMYFUNCTION("GOOGLETRANSLATE(H2818,""EN"",""ES"")"),"PIEZAS, EQUIPOS Y ACCESORIOS PARA VEHÍCULOS, NO COMPRENDIDOS EN OTRAS CLASES O SUBCLASES")</f>
        <v>PIEZAS, EQUIPOS Y ACCESORIOS PARA VEHÍCULOS, NO COMPRENDIDOS EN OTRAS CLASES O SUBCLASES</v>
      </c>
      <c r="L2818" s="5" t="str">
        <f ca="1">IFERROR(__xludf.DUMMYFUNCTION("GOOGLETRANSLATE(J2818,""EN"",""ES"")"),"Radiadores para vehículos")</f>
        <v>Radiadores para vehículos</v>
      </c>
      <c r="M2818" s="1" t="s">
        <v>38</v>
      </c>
      <c r="N2818" s="8"/>
    </row>
    <row r="2819" spans="1:14" ht="11.25" customHeight="1">
      <c r="A2819" s="5" t="s">
        <v>7189</v>
      </c>
      <c r="B2819" s="5" t="s">
        <v>8051</v>
      </c>
      <c r="C2819" s="5" t="s">
        <v>8157</v>
      </c>
      <c r="D2819" s="5" t="s">
        <v>7192</v>
      </c>
      <c r="E2819" s="5" t="s">
        <v>36</v>
      </c>
      <c r="F2819" s="5" t="s">
        <v>7193</v>
      </c>
      <c r="G2819" s="5" t="s">
        <v>7194</v>
      </c>
      <c r="H2819" s="5" t="s">
        <v>8053</v>
      </c>
      <c r="I2819" s="5" t="s">
        <v>8158</v>
      </c>
      <c r="J2819" s="5" t="s">
        <v>8159</v>
      </c>
      <c r="K2819" s="7" t="str">
        <f ca="1">IFERROR(__xludf.DUMMYFUNCTION("GOOGLETRANSLATE(H2819,""EN"",""ES"")"),"PIEZAS, EQUIPOS Y ACCESORIOS PARA VEHÍCULOS, NO COMPRENDIDOS EN OTRAS CLASES O SUBCLASES")</f>
        <v>PIEZAS, EQUIPOS Y ACCESORIOS PARA VEHÍCULOS, NO COMPRENDIDOS EN OTRAS CLASES O SUBCLASES</v>
      </c>
      <c r="L2819" s="5" t="str">
        <f ca="1">IFERROR(__xludf.DUMMYFUNCTION("GOOGLETRANSLATE(J2819,""EN"",""ES"")"),"Radios para ruedas de vehículos")</f>
        <v>Radios para ruedas de vehículos</v>
      </c>
      <c r="M2819" s="1" t="s">
        <v>38</v>
      </c>
      <c r="N2819" s="8"/>
    </row>
    <row r="2820" spans="1:14" ht="11.25" customHeight="1">
      <c r="A2820" s="5" t="s">
        <v>7189</v>
      </c>
      <c r="B2820" s="5" t="s">
        <v>8051</v>
      </c>
      <c r="C2820" s="5" t="s">
        <v>8160</v>
      </c>
      <c r="D2820" s="5" t="s">
        <v>7192</v>
      </c>
      <c r="E2820" s="5" t="s">
        <v>36</v>
      </c>
      <c r="F2820" s="5" t="s">
        <v>7193</v>
      </c>
      <c r="G2820" s="5" t="s">
        <v>7194</v>
      </c>
      <c r="H2820" s="5" t="s">
        <v>8053</v>
      </c>
      <c r="I2820" s="5" t="s">
        <v>8161</v>
      </c>
      <c r="J2820" s="5" t="s">
        <v>8162</v>
      </c>
      <c r="K2820" s="7" t="str">
        <f ca="1">IFERROR(__xludf.DUMMYFUNCTION("GOOGLETRANSLATE(H2820,""EN"",""ES"")"),"PIEZAS, EQUIPOS Y ACCESORIOS PARA VEHÍCULOS, NO COMPRENDIDOS EN OTRAS CLASES O SUBCLASES")</f>
        <v>PIEZAS, EQUIPOS Y ACCESORIOS PARA VEHÍCULOS, NO COMPRENDIDOS EN OTRAS CLASES O SUBCLASES</v>
      </c>
      <c r="L2820" s="5" t="str">
        <f ca="1">IFERROR(__xludf.DUMMYFUNCTION("GOOGLETRANSLATE(J2820,""EN"",""ES"")"),"Muelles de suspensión para vehículos de carretera.")</f>
        <v>Muelles de suspensión para vehículos de carretera.</v>
      </c>
      <c r="M2820" s="1" t="s">
        <v>38</v>
      </c>
      <c r="N2820" s="8"/>
    </row>
    <row r="2821" spans="1:14" ht="11.25" customHeight="1">
      <c r="A2821" s="5" t="s">
        <v>7189</v>
      </c>
      <c r="B2821" s="5" t="s">
        <v>8051</v>
      </c>
      <c r="C2821" s="5" t="s">
        <v>8163</v>
      </c>
      <c r="D2821" s="5" t="s">
        <v>7192</v>
      </c>
      <c r="E2821" s="5" t="s">
        <v>36</v>
      </c>
      <c r="F2821" s="5" t="s">
        <v>7193</v>
      </c>
      <c r="G2821" s="5" t="s">
        <v>7194</v>
      </c>
      <c r="H2821" s="5" t="s">
        <v>8053</v>
      </c>
      <c r="I2821" s="5" t="s">
        <v>8164</v>
      </c>
      <c r="J2821" s="5" t="s">
        <v>8165</v>
      </c>
      <c r="K2821" s="7" t="str">
        <f ca="1">IFERROR(__xludf.DUMMYFUNCTION("GOOGLETRANSLATE(H2821,""EN"",""ES"")"),"PIEZAS, EQUIPOS Y ACCESORIOS PARA VEHÍCULOS, NO COMPRENDIDOS EN OTRAS CLASES O SUBCLASES")</f>
        <v>PIEZAS, EQUIPOS Y ACCESORIOS PARA VEHÍCULOS, NO COMPRENDIDOS EN OTRAS CLASES O SUBCLASES</v>
      </c>
      <c r="L2821" s="5" t="str">
        <f ca="1">IFERROR(__xludf.DUMMYFUNCTION("GOOGLETRANSLATE(J2821,""EN"",""ES"")"),"Espejos retrovisores para vehículos [interiores]")</f>
        <v>Espejos retrovisores para vehículos [interiores]</v>
      </c>
      <c r="M2821" s="1" t="s">
        <v>38</v>
      </c>
      <c r="N2821" s="8"/>
    </row>
    <row r="2822" spans="1:14" ht="11.25" customHeight="1">
      <c r="A2822" s="5" t="s">
        <v>7189</v>
      </c>
      <c r="B2822" s="5" t="s">
        <v>8051</v>
      </c>
      <c r="C2822" s="5" t="s">
        <v>8166</v>
      </c>
      <c r="D2822" s="5" t="s">
        <v>7192</v>
      </c>
      <c r="E2822" s="5" t="s">
        <v>36</v>
      </c>
      <c r="F2822" s="5" t="s">
        <v>7193</v>
      </c>
      <c r="G2822" s="5" t="s">
        <v>7194</v>
      </c>
      <c r="H2822" s="5" t="s">
        <v>8053</v>
      </c>
      <c r="I2822" s="5" t="s">
        <v>8167</v>
      </c>
      <c r="J2822" s="5" t="s">
        <v>8168</v>
      </c>
      <c r="K2822" s="7" t="str">
        <f ca="1">IFERROR(__xludf.DUMMYFUNCTION("GOOGLETRANSLATE(H2822,""EN"",""ES"")"),"PIEZAS, EQUIPOS Y ACCESORIOS PARA VEHÍCULOS, NO COMPRENDIDOS EN OTRAS CLASES O SUBCLASES")</f>
        <v>PIEZAS, EQUIPOS Y ACCESORIOS PARA VEHÍCULOS, NO COMPRENDIDOS EN OTRAS CLASES O SUBCLASES</v>
      </c>
      <c r="L2822" s="5" t="str">
        <f ca="1">IFERROR(__xludf.DUMMYFUNCTION("GOOGLETRANSLATE(J2822,""EN"",""ES"")"),"Ruedas para vehículos [excepto vehículos ferroviarios]")</f>
        <v>Ruedas para vehículos [excepto vehículos ferroviarios]</v>
      </c>
      <c r="M2822" s="1" t="s">
        <v>38</v>
      </c>
      <c r="N2822" s="8"/>
    </row>
    <row r="2823" spans="1:14" ht="11.25" customHeight="1">
      <c r="A2823" s="5" t="s">
        <v>7189</v>
      </c>
      <c r="B2823" s="5" t="s">
        <v>8051</v>
      </c>
      <c r="C2823" s="5" t="s">
        <v>8169</v>
      </c>
      <c r="D2823" s="5" t="s">
        <v>7192</v>
      </c>
      <c r="E2823" s="5" t="s">
        <v>36</v>
      </c>
      <c r="F2823" s="5" t="s">
        <v>7193</v>
      </c>
      <c r="G2823" s="5" t="s">
        <v>7194</v>
      </c>
      <c r="H2823" s="5" t="s">
        <v>8053</v>
      </c>
      <c r="I2823" s="5" t="s">
        <v>8170</v>
      </c>
      <c r="J2823" s="5" t="s">
        <v>8171</v>
      </c>
      <c r="K2823" s="7" t="str">
        <f ca="1">IFERROR(__xludf.DUMMYFUNCTION("GOOGLETRANSLATE(H2823,""EN"",""ES"")"),"PIEZAS, EQUIPOS Y ACCESORIOS PARA VEHÍCULOS, NO COMPRENDIDOS EN OTRAS CLASES O SUBCLASES")</f>
        <v>PIEZAS, EQUIPOS Y ACCESORIOS PARA VEHÍCULOS, NO COMPRENDIDOS EN OTRAS CLASES O SUBCLASES</v>
      </c>
      <c r="L2823" s="5" t="str">
        <f ca="1">IFERROR(__xludf.DUMMYFUNCTION("GOOGLETRANSLATE(J2823,""EN"",""ES"")"),"suspensiones para vehículos de carretera")</f>
        <v>suspensiones para vehículos de carretera</v>
      </c>
      <c r="M2823" s="1" t="s">
        <v>38</v>
      </c>
      <c r="N2823" s="8"/>
    </row>
    <row r="2824" spans="1:14" ht="11.25" customHeight="1">
      <c r="A2824" s="5" t="s">
        <v>7189</v>
      </c>
      <c r="B2824" s="5" t="s">
        <v>8051</v>
      </c>
      <c r="C2824" s="5" t="s">
        <v>8172</v>
      </c>
      <c r="D2824" s="5" t="s">
        <v>7192</v>
      </c>
      <c r="E2824" s="5" t="s">
        <v>36</v>
      </c>
      <c r="F2824" s="5" t="s">
        <v>7193</v>
      </c>
      <c r="G2824" s="5" t="s">
        <v>7194</v>
      </c>
      <c r="H2824" s="5" t="s">
        <v>8053</v>
      </c>
      <c r="I2824" s="5" t="s">
        <v>8173</v>
      </c>
      <c r="J2824" s="5" t="s">
        <v>8174</v>
      </c>
      <c r="K2824" s="7" t="str">
        <f ca="1">IFERROR(__xludf.DUMMYFUNCTION("GOOGLETRANSLATE(H2824,""EN"",""ES"")"),"PIEZAS, EQUIPOS Y ACCESORIOS PARA VEHÍCULOS, NO COMPRENDIDOS EN OTRAS CLASES O SUBCLASES")</f>
        <v>PIEZAS, EQUIPOS Y ACCESORIOS PARA VEHÍCULOS, NO COMPRENDIDOS EN OTRAS CLASES O SUBCLASES</v>
      </c>
      <c r="L2824" s="5" t="str">
        <f ca="1">IFERROR(__xludf.DUMMYFUNCTION("GOOGLETRANSLATE(J2824,""EN"",""ES"")"),"Cuadros de mando para vehículos")</f>
        <v>Cuadros de mando para vehículos</v>
      </c>
      <c r="M2824" s="1" t="s">
        <v>38</v>
      </c>
      <c r="N2824" s="8"/>
    </row>
    <row r="2825" spans="1:14" ht="11.25" customHeight="1">
      <c r="A2825" s="5" t="s">
        <v>7189</v>
      </c>
      <c r="B2825" s="5" t="s">
        <v>8051</v>
      </c>
      <c r="C2825" s="5" t="s">
        <v>8175</v>
      </c>
      <c r="D2825" s="5" t="s">
        <v>7192</v>
      </c>
      <c r="E2825" s="5" t="s">
        <v>36</v>
      </c>
      <c r="F2825" s="5" t="s">
        <v>7193</v>
      </c>
      <c r="G2825" s="5" t="s">
        <v>7194</v>
      </c>
      <c r="H2825" s="5" t="s">
        <v>8053</v>
      </c>
      <c r="I2825" s="5" t="s">
        <v>8176</v>
      </c>
      <c r="J2825" s="5" t="s">
        <v>8177</v>
      </c>
      <c r="K2825" s="7" t="str">
        <f ca="1">IFERROR(__xludf.DUMMYFUNCTION("GOOGLETRANSLATE(H2825,""EN"",""ES"")"),"PIEZAS, EQUIPOS Y ACCESORIOS PARA VEHÍCULOS, NO COMPRENDIDOS EN OTRAS CLASES O SUBCLASES")</f>
        <v>PIEZAS, EQUIPOS Y ACCESORIOS PARA VEHÍCULOS, NO COMPRENDIDOS EN OTRAS CLASES O SUBCLASES</v>
      </c>
      <c r="L2825" s="5" t="str">
        <f ca="1">IFERROR(__xludf.DUMMYFUNCTION("GOOGLETRANSLATE(J2825,""EN"",""ES"")"),"Amortiguadores de suspensión para vehículos de carretera.")</f>
        <v>Amortiguadores de suspensión para vehículos de carretera.</v>
      </c>
      <c r="M2825" s="1" t="s">
        <v>38</v>
      </c>
      <c r="N2825" s="8"/>
    </row>
    <row r="2826" spans="1:14" ht="11.25" customHeight="1">
      <c r="A2826" s="5" t="s">
        <v>7189</v>
      </c>
      <c r="B2826" s="5" t="s">
        <v>8051</v>
      </c>
      <c r="C2826" s="5" t="s">
        <v>8178</v>
      </c>
      <c r="D2826" s="5" t="s">
        <v>7192</v>
      </c>
      <c r="E2826" s="5" t="s">
        <v>36</v>
      </c>
      <c r="F2826" s="5" t="s">
        <v>7193</v>
      </c>
      <c r="G2826" s="5" t="s">
        <v>7194</v>
      </c>
      <c r="H2826" s="5" t="s">
        <v>8053</v>
      </c>
      <c r="I2826" s="5" t="s">
        <v>8179</v>
      </c>
      <c r="J2826" s="5" t="s">
        <v>8180</v>
      </c>
      <c r="K2826" s="7" t="str">
        <f ca="1">IFERROR(__xludf.DUMMYFUNCTION("GOOGLETRANSLATE(H2826,""EN"",""ES"")"),"PIEZAS, EQUIPOS Y ACCESORIOS PARA VEHÍCULOS, NO COMPRENDIDOS EN OTRAS CLASES O SUBCLASES")</f>
        <v>PIEZAS, EQUIPOS Y ACCESORIOS PARA VEHÍCULOS, NO COMPRENDIDOS EN OTRAS CLASES O SUBCLASES</v>
      </c>
      <c r="L2826" s="5" t="str">
        <f ca="1">IFERROR(__xludf.DUMMYFUNCTION("GOOGLETRANSLATE(J2826,""EN"",""ES"")"),"Defensas para barcos")</f>
        <v>Defensas para barcos</v>
      </c>
      <c r="M2826" s="1" t="s">
        <v>38</v>
      </c>
      <c r="N2826" s="8"/>
    </row>
    <row r="2827" spans="1:14" ht="11.25" customHeight="1">
      <c r="A2827" s="5" t="s">
        <v>7189</v>
      </c>
      <c r="B2827" s="5" t="s">
        <v>8051</v>
      </c>
      <c r="C2827" s="5" t="s">
        <v>8178</v>
      </c>
      <c r="D2827" s="5" t="s">
        <v>7192</v>
      </c>
      <c r="E2827" s="5" t="s">
        <v>36</v>
      </c>
      <c r="F2827" s="5" t="s">
        <v>7193</v>
      </c>
      <c r="G2827" s="5" t="s">
        <v>7194</v>
      </c>
      <c r="H2827" s="5" t="s">
        <v>8053</v>
      </c>
      <c r="I2827" s="5" t="s">
        <v>152</v>
      </c>
      <c r="J2827" s="5" t="s">
        <v>8181</v>
      </c>
      <c r="K2827" s="7" t="str">
        <f ca="1">IFERROR(__xludf.DUMMYFUNCTION("GOOGLETRANSLATE(H2827,""EN"",""ES"")"),"PIEZAS, EQUIPOS Y ACCESORIOS PARA VEHÍCULOS, NO COMPRENDIDOS EN OTRAS CLASES O SUBCLASES")</f>
        <v>PIEZAS, EQUIPOS Y ACCESORIOS PARA VEHÍCULOS, NO COMPRENDIDOS EN OTRAS CLASES O SUBCLASES</v>
      </c>
      <c r="L2827" s="5" t="str">
        <f ca="1">IFERROR(__xludf.DUMMYFUNCTION("GOOGLETRANSLATE(J2827,""EN"",""ES"")"),"N / A")</f>
        <v>N / A</v>
      </c>
      <c r="M2827" s="1" t="s">
        <v>38</v>
      </c>
      <c r="N2827" s="8"/>
    </row>
    <row r="2828" spans="1:14" ht="11.25" customHeight="1">
      <c r="A2828" s="5" t="s">
        <v>7189</v>
      </c>
      <c r="B2828" s="5" t="s">
        <v>8051</v>
      </c>
      <c r="C2828" s="5" t="s">
        <v>8182</v>
      </c>
      <c r="D2828" s="5" t="s">
        <v>7192</v>
      </c>
      <c r="E2828" s="5" t="s">
        <v>36</v>
      </c>
      <c r="F2828" s="5" t="s">
        <v>7193</v>
      </c>
      <c r="G2828" s="5" t="s">
        <v>7194</v>
      </c>
      <c r="H2828" s="5" t="s">
        <v>8053</v>
      </c>
      <c r="I2828" s="5" t="s">
        <v>8183</v>
      </c>
      <c r="J2828" s="5" t="s">
        <v>8184</v>
      </c>
      <c r="K2828" s="7" t="str">
        <f ca="1">IFERROR(__xludf.DUMMYFUNCTION("GOOGLETRANSLATE(H2828,""EN"",""ES"")"),"PIEZAS, EQUIPOS Y ACCESORIOS PARA VEHÍCULOS, NO COMPRENDIDOS EN OTRAS CLASES O SUBCLASES")</f>
        <v>PIEZAS, EQUIPOS Y ACCESORIOS PARA VEHÍCULOS, NO COMPRENDIDOS EN OTRAS CLASES O SUBCLASES</v>
      </c>
      <c r="L2828" s="5" t="str">
        <f ca="1">IFERROR(__xludf.DUMMYFUNCTION("GOOGLETRANSLATE(J2828,""EN"",""ES"")"),"Ganchos de remolque para vehículos")</f>
        <v>Ganchos de remolque para vehículos</v>
      </c>
      <c r="M2828" s="1" t="s">
        <v>38</v>
      </c>
      <c r="N2828" s="8"/>
    </row>
    <row r="2829" spans="1:14" ht="11.25" customHeight="1">
      <c r="A2829" s="5" t="s">
        <v>7189</v>
      </c>
      <c r="B2829" s="5" t="s">
        <v>8051</v>
      </c>
      <c r="C2829" s="5" t="s">
        <v>8182</v>
      </c>
      <c r="D2829" s="5" t="s">
        <v>7192</v>
      </c>
      <c r="E2829" s="5" t="s">
        <v>36</v>
      </c>
      <c r="F2829" s="5" t="s">
        <v>7193</v>
      </c>
      <c r="G2829" s="5" t="s">
        <v>7194</v>
      </c>
      <c r="H2829" s="5" t="s">
        <v>8053</v>
      </c>
      <c r="I2829" s="5" t="s">
        <v>8185</v>
      </c>
      <c r="J2829" s="5" t="s">
        <v>152</v>
      </c>
      <c r="K2829" s="7" t="str">
        <f ca="1">IFERROR(__xludf.DUMMYFUNCTION("GOOGLETRANSLATE(H2829,""EN"",""ES"")"),"PIEZAS, EQUIPOS Y ACCESORIOS PARA VEHÍCULOS, NO COMPRENDIDOS EN OTRAS CLASES O SUBCLASES")</f>
        <v>PIEZAS, EQUIPOS Y ACCESORIOS PARA VEHÍCULOS, NO COMPRENDIDOS EN OTRAS CLASES O SUBCLASES</v>
      </c>
      <c r="L2829" s="5" t="str">
        <f ca="1">IFERROR(__xludf.DUMMYFUNCTION("GOOGLETRANSLATE(J2829,""EN"",""ES"")"),"Ganchos de arrastre para vehículos")</f>
        <v>Ganchos de arrastre para vehículos</v>
      </c>
      <c r="M2829" s="1" t="s">
        <v>38</v>
      </c>
      <c r="N2829" s="8"/>
    </row>
    <row r="2830" spans="1:14" ht="11.25" customHeight="1">
      <c r="A2830" s="5" t="s">
        <v>7189</v>
      </c>
      <c r="B2830" s="5" t="s">
        <v>8051</v>
      </c>
      <c r="C2830" s="5" t="s">
        <v>8186</v>
      </c>
      <c r="D2830" s="5" t="s">
        <v>7192</v>
      </c>
      <c r="E2830" s="5" t="s">
        <v>36</v>
      </c>
      <c r="F2830" s="5" t="s">
        <v>7193</v>
      </c>
      <c r="G2830" s="5" t="s">
        <v>7194</v>
      </c>
      <c r="H2830" s="5" t="s">
        <v>8053</v>
      </c>
      <c r="I2830" s="5" t="s">
        <v>8187</v>
      </c>
      <c r="J2830" s="5" t="s">
        <v>8188</v>
      </c>
      <c r="K2830" s="7" t="str">
        <f ca="1">IFERROR(__xludf.DUMMYFUNCTION("GOOGLETRANSLATE(H2830,""EN"",""ES"")"),"PIEZAS, EQUIPOS Y ACCESORIOS PARA VEHÍCULOS, NO COMPRENDIDOS EN OTRAS CLASES O SUBCLASES")</f>
        <v>PIEZAS, EQUIPOS Y ACCESORIOS PARA VEHÍCULOS, NO COMPRENDIDOS EN OTRAS CLASES O SUBCLASES</v>
      </c>
      <c r="L2830" s="5" t="str">
        <f ca="1">IFERROR(__xludf.DUMMYFUNCTION("GOOGLETRANSLATE(J2830,""EN"",""ES"")"),"Deflectores de viento [para vehículos]")</f>
        <v>Deflectores de viento [para vehículos]</v>
      </c>
      <c r="M2830" s="1" t="s">
        <v>38</v>
      </c>
      <c r="N2830" s="8"/>
    </row>
    <row r="2831" spans="1:14" ht="11.25" customHeight="1">
      <c r="A2831" s="5" t="s">
        <v>7189</v>
      </c>
      <c r="B2831" s="5" t="s">
        <v>8051</v>
      </c>
      <c r="C2831" s="5" t="s">
        <v>8189</v>
      </c>
      <c r="D2831" s="5" t="s">
        <v>7192</v>
      </c>
      <c r="E2831" s="5" t="s">
        <v>36</v>
      </c>
      <c r="F2831" s="5" t="s">
        <v>7193</v>
      </c>
      <c r="G2831" s="5" t="s">
        <v>7194</v>
      </c>
      <c r="H2831" s="5" t="s">
        <v>8053</v>
      </c>
      <c r="I2831" s="5" t="s">
        <v>8190</v>
      </c>
      <c r="J2831" s="5" t="s">
        <v>8191</v>
      </c>
      <c r="K2831" s="7" t="str">
        <f ca="1">IFERROR(__xludf.DUMMYFUNCTION("GOOGLETRANSLATE(H2831,""EN"",""ES"")"),"PIEZAS, EQUIPOS Y ACCESORIOS PARA VEHÍCULOS, NO COMPRENDIDOS EN OTRAS CLASES O SUBCLASES")</f>
        <v>PIEZAS, EQUIPOS Y ACCESORIOS PARA VEHÍCULOS, NO COMPRENDIDOS EN OTRAS CLASES O SUBCLASES</v>
      </c>
      <c r="L2831" s="5" t="str">
        <f ca="1">IFERROR(__xludf.DUMMYFUNCTION("GOOGLETRANSLATE(J2831,""EN"",""ES"")"),"Herrajes para capós de vehículos")</f>
        <v>Herrajes para capós de vehículos</v>
      </c>
      <c r="M2831" s="1" t="s">
        <v>38</v>
      </c>
      <c r="N2831" s="8"/>
    </row>
    <row r="2832" spans="1:14" ht="11.25" customHeight="1">
      <c r="A2832" s="5" t="s">
        <v>7189</v>
      </c>
      <c r="B2832" s="5" t="s">
        <v>8051</v>
      </c>
      <c r="C2832" s="5" t="s">
        <v>8192</v>
      </c>
      <c r="D2832" s="5" t="s">
        <v>7192</v>
      </c>
      <c r="E2832" s="5" t="s">
        <v>36</v>
      </c>
      <c r="F2832" s="5" t="s">
        <v>7193</v>
      </c>
      <c r="G2832" s="5" t="s">
        <v>7194</v>
      </c>
      <c r="H2832" s="5" t="s">
        <v>8053</v>
      </c>
      <c r="I2832" s="5" t="s">
        <v>8193</v>
      </c>
      <c r="J2832" s="5" t="s">
        <v>8194</v>
      </c>
      <c r="K2832" s="7" t="str">
        <f ca="1">IFERROR(__xludf.DUMMYFUNCTION("GOOGLETRANSLATE(H2832,""EN"",""ES"")"),"PIEZAS, EQUIPOS Y ACCESORIOS PARA VEHÍCULOS, NO COMPRENDIDOS EN OTRAS CLASES O SUBCLASES")</f>
        <v>PIEZAS, EQUIPOS Y ACCESORIOS PARA VEHÍCULOS, NO COMPRENDIDOS EN OTRAS CLASES O SUBCLASES</v>
      </c>
      <c r="L2832" s="5" t="str">
        <f ca="1">IFERROR(__xludf.DUMMYFUNCTION("GOOGLETRANSLATE(J2832,""EN"",""ES"")"),"Escobillas de limpiaparabrisas")</f>
        <v>Escobillas de limpiaparabrisas</v>
      </c>
      <c r="M2832" s="1" t="s">
        <v>38</v>
      </c>
      <c r="N2832" s="8"/>
    </row>
    <row r="2833" spans="1:14" ht="11.25" customHeight="1">
      <c r="A2833" s="5" t="s">
        <v>7189</v>
      </c>
      <c r="B2833" s="5" t="s">
        <v>8051</v>
      </c>
      <c r="C2833" s="5" t="s">
        <v>8192</v>
      </c>
      <c r="D2833" s="5" t="s">
        <v>7192</v>
      </c>
      <c r="E2833" s="5" t="s">
        <v>36</v>
      </c>
      <c r="F2833" s="5" t="s">
        <v>7193</v>
      </c>
      <c r="G2833" s="5" t="s">
        <v>7194</v>
      </c>
      <c r="H2833" s="5" t="s">
        <v>8053</v>
      </c>
      <c r="I2833" s="5" t="s">
        <v>152</v>
      </c>
      <c r="J2833" s="5" t="s">
        <v>8195</v>
      </c>
      <c r="K2833" s="7" t="str">
        <f ca="1">IFERROR(__xludf.DUMMYFUNCTION("GOOGLETRANSLATE(H2833,""EN"",""ES"")"),"PIEZAS, EQUIPOS Y ACCESORIOS PARA VEHÍCULOS, NO COMPRENDIDOS EN OTRAS CLASES O SUBCLASES")</f>
        <v>PIEZAS, EQUIPOS Y ACCESORIOS PARA VEHÍCULOS, NO COMPRENDIDOS EN OTRAS CLASES O SUBCLASES</v>
      </c>
      <c r="L2833" s="5" t="str">
        <f ca="1">IFERROR(__xludf.DUMMYFUNCTION("GOOGLETRANSLATE(J2833,""EN"",""ES"")"),"N / A")</f>
        <v>N / A</v>
      </c>
      <c r="M2833" s="1" t="s">
        <v>38</v>
      </c>
      <c r="N2833" s="8"/>
    </row>
    <row r="2834" spans="1:14" ht="11.25" customHeight="1">
      <c r="A2834" s="5" t="s">
        <v>7189</v>
      </c>
      <c r="B2834" s="5" t="s">
        <v>8051</v>
      </c>
      <c r="C2834" s="5" t="s">
        <v>8196</v>
      </c>
      <c r="D2834" s="5" t="s">
        <v>7192</v>
      </c>
      <c r="E2834" s="5" t="s">
        <v>36</v>
      </c>
      <c r="F2834" s="5" t="s">
        <v>7193</v>
      </c>
      <c r="G2834" s="5" t="s">
        <v>7194</v>
      </c>
      <c r="H2834" s="5" t="s">
        <v>8053</v>
      </c>
      <c r="I2834" s="5" t="s">
        <v>8197</v>
      </c>
      <c r="J2834" s="5" t="s">
        <v>8198</v>
      </c>
      <c r="K2834" s="7" t="str">
        <f ca="1">IFERROR(__xludf.DUMMYFUNCTION("GOOGLETRANSLATE(H2834,""EN"",""ES"")"),"PIEZAS, EQUIPOS Y ACCESORIOS PARA VEHÍCULOS, NO COMPRENDIDOS EN OTRAS CLASES O SUBCLASES")</f>
        <v>PIEZAS, EQUIPOS Y ACCESORIOS PARA VEHÍCULOS, NO COMPRENDIDOS EN OTRAS CLASES O SUBCLASES</v>
      </c>
      <c r="L2834" s="5" t="str">
        <f ca="1">IFERROR(__xludf.DUMMYFUNCTION("GOOGLETRANSLATE(J2834,""EN"",""ES"")"),"Arrancadores de manivela")</f>
        <v>Arrancadores de manivela</v>
      </c>
      <c r="M2834" s="1" t="s">
        <v>38</v>
      </c>
      <c r="N2834" s="8"/>
    </row>
    <row r="2835" spans="1:14" ht="11.25" customHeight="1">
      <c r="A2835" s="5" t="s">
        <v>7189</v>
      </c>
      <c r="B2835" s="5" t="s">
        <v>8051</v>
      </c>
      <c r="C2835" s="5" t="s">
        <v>8199</v>
      </c>
      <c r="D2835" s="5" t="s">
        <v>7192</v>
      </c>
      <c r="E2835" s="5" t="s">
        <v>36</v>
      </c>
      <c r="F2835" s="5" t="s">
        <v>7193</v>
      </c>
      <c r="G2835" s="5" t="s">
        <v>7194</v>
      </c>
      <c r="H2835" s="5" t="s">
        <v>8053</v>
      </c>
      <c r="I2835" s="5" t="s">
        <v>8200</v>
      </c>
      <c r="J2835" s="5" t="s">
        <v>8201</v>
      </c>
      <c r="K2835" s="7" t="str">
        <f ca="1">IFERROR(__xludf.DUMMYFUNCTION("GOOGLETRANSLATE(H2835,""EN"",""ES"")"),"PIEZAS, EQUIPOS Y ACCESORIOS PARA VEHÍCULOS, NO COMPRENDIDOS EN OTRAS CLASES O SUBCLASES")</f>
        <v>PIEZAS, EQUIPOS Y ACCESORIOS PARA VEHÍCULOS, NO COMPRENDIDOS EN OTRAS CLASES O SUBCLASES</v>
      </c>
      <c r="L2835" s="5" t="str">
        <f ca="1">IFERROR(__xludf.DUMMYFUNCTION("GOOGLETRANSLATE(J2835,""EN"",""ES"")"),"Equilibradores de neumáticos [pesos]")</f>
        <v>Equilibradores de neumáticos [pesos]</v>
      </c>
      <c r="M2835" s="1" t="s">
        <v>38</v>
      </c>
      <c r="N2835" s="8"/>
    </row>
    <row r="2836" spans="1:14" ht="11.25" customHeight="1">
      <c r="A2836" s="5" t="s">
        <v>7189</v>
      </c>
      <c r="B2836" s="5" t="s">
        <v>8051</v>
      </c>
      <c r="C2836" s="5" t="s">
        <v>8199</v>
      </c>
      <c r="D2836" s="5" t="s">
        <v>7192</v>
      </c>
      <c r="E2836" s="5" t="s">
        <v>36</v>
      </c>
      <c r="F2836" s="5" t="s">
        <v>7193</v>
      </c>
      <c r="G2836" s="5" t="s">
        <v>7194</v>
      </c>
      <c r="H2836" s="5" t="s">
        <v>8053</v>
      </c>
      <c r="I2836" s="5" t="s">
        <v>8202</v>
      </c>
      <c r="J2836" s="5" t="s">
        <v>8203</v>
      </c>
      <c r="K2836" s="7" t="str">
        <f ca="1">IFERROR(__xludf.DUMMYFUNCTION("GOOGLETRANSLATE(H2836,""EN"",""ES"")"),"PIEZAS, EQUIPOS Y ACCESORIOS PARA VEHÍCULOS, NO COMPRENDIDOS EN OTRAS CLASES O SUBCLASES")</f>
        <v>PIEZAS, EQUIPOS Y ACCESORIOS PARA VEHÍCULOS, NO COMPRENDIDOS EN OTRAS CLASES O SUBCLASES</v>
      </c>
      <c r="L2836" s="5" t="str">
        <f ca="1">IFERROR(__xludf.DUMMYFUNCTION("GOOGLETRANSLATE(J2836,""EN"",""ES"")"),"Contrapesos para ruedas de vehículos.")</f>
        <v>Contrapesos para ruedas de vehículos.</v>
      </c>
      <c r="M2836" s="1" t="s">
        <v>38</v>
      </c>
      <c r="N2836" s="8"/>
    </row>
    <row r="2837" spans="1:14" ht="11.25" customHeight="1">
      <c r="A2837" s="5" t="s">
        <v>7189</v>
      </c>
      <c r="B2837" s="5" t="s">
        <v>8051</v>
      </c>
      <c r="C2837" s="5" t="s">
        <v>8204</v>
      </c>
      <c r="D2837" s="5" t="s">
        <v>7192</v>
      </c>
      <c r="E2837" s="5" t="s">
        <v>36</v>
      </c>
      <c r="F2837" s="5" t="s">
        <v>7193</v>
      </c>
      <c r="G2837" s="5" t="s">
        <v>7194</v>
      </c>
      <c r="H2837" s="5" t="s">
        <v>8053</v>
      </c>
      <c r="I2837" s="5" t="s">
        <v>8205</v>
      </c>
      <c r="J2837" s="5" t="s">
        <v>8206</v>
      </c>
      <c r="K2837" s="7" t="str">
        <f ca="1">IFERROR(__xludf.DUMMYFUNCTION("GOOGLETRANSLATE(H2837,""EN"",""ES"")"),"PIEZAS, EQUIPOS Y ACCESORIOS PARA VEHÍCULOS, NO COMPRENDIDOS EN OTRAS CLASES O SUBCLASES")</f>
        <v>PIEZAS, EQUIPOS Y ACCESORIOS PARA VEHÍCULOS, NO COMPRENDIDOS EN OTRAS CLASES O SUBCLASES</v>
      </c>
      <c r="L2837" s="5" t="str">
        <f ca="1">IFERROR(__xludf.DUMMYFUNCTION("GOOGLETRANSLATE(J2837,""EN"",""ES"")"),"Bujes de hélice [para vehículos]")</f>
        <v>Bujes de hélice [para vehículos]</v>
      </c>
      <c r="M2837" s="1" t="s">
        <v>38</v>
      </c>
      <c r="N2837" s="8"/>
    </row>
    <row r="2838" spans="1:14" ht="11.25" customHeight="1">
      <c r="A2838" s="5" t="s">
        <v>7189</v>
      </c>
      <c r="B2838" s="5" t="s">
        <v>8051</v>
      </c>
      <c r="C2838" s="5" t="s">
        <v>8207</v>
      </c>
      <c r="D2838" s="5" t="s">
        <v>7192</v>
      </c>
      <c r="E2838" s="5" t="s">
        <v>36</v>
      </c>
      <c r="F2838" s="5" t="s">
        <v>7193</v>
      </c>
      <c r="G2838" s="5" t="s">
        <v>7194</v>
      </c>
      <c r="H2838" s="5" t="s">
        <v>8053</v>
      </c>
      <c r="I2838" s="5" t="s">
        <v>8208</v>
      </c>
      <c r="J2838" s="5" t="s">
        <v>8209</v>
      </c>
      <c r="K2838" s="7" t="str">
        <f ca="1">IFERROR(__xludf.DUMMYFUNCTION("GOOGLETRANSLATE(H2838,""EN"",""ES"")"),"PIEZAS, EQUIPOS Y ACCESORIOS PARA VEHÍCULOS, NO COMPRENDIDOS EN OTRAS CLASES O SUBCLASES")</f>
        <v>PIEZAS, EQUIPOS Y ACCESORIOS PARA VEHÍCULOS, NO COMPRENDIDOS EN OTRAS CLASES O SUBCLASES</v>
      </c>
      <c r="L2838" s="5" t="str">
        <f ca="1">IFERROR(__xludf.DUMMYFUNCTION("GOOGLETRANSLATE(J2838,""EN"",""ES"")"),"Zapatas de freno para vehículos")</f>
        <v>Zapatas de freno para vehículos</v>
      </c>
      <c r="M2838" s="1" t="s">
        <v>38</v>
      </c>
      <c r="N2838" s="8"/>
    </row>
    <row r="2839" spans="1:14" ht="11.25" customHeight="1">
      <c r="A2839" s="5" t="s">
        <v>7189</v>
      </c>
      <c r="B2839" s="5" t="s">
        <v>8051</v>
      </c>
      <c r="C2839" s="5" t="s">
        <v>8210</v>
      </c>
      <c r="D2839" s="5" t="s">
        <v>7192</v>
      </c>
      <c r="E2839" s="5" t="s">
        <v>36</v>
      </c>
      <c r="F2839" s="5" t="s">
        <v>7193</v>
      </c>
      <c r="G2839" s="5" t="s">
        <v>7194</v>
      </c>
      <c r="H2839" s="5" t="s">
        <v>8053</v>
      </c>
      <c r="I2839" s="5" t="s">
        <v>8211</v>
      </c>
      <c r="J2839" s="5" t="s">
        <v>8212</v>
      </c>
      <c r="K2839" s="7" t="str">
        <f ca="1">IFERROR(__xludf.DUMMYFUNCTION("GOOGLETRANSLATE(H2839,""EN"",""ES"")"),"PIEZAS, EQUIPOS Y ACCESORIOS PARA VEHÍCULOS, NO COMPRENDIDOS EN OTRAS CLASES O SUBCLASES")</f>
        <v>PIEZAS, EQUIPOS Y ACCESORIOS PARA VEHÍCULOS, NO COMPRENDIDOS EN OTRAS CLASES O SUBCLASES</v>
      </c>
      <c r="L2839" s="5" t="str">
        <f ca="1">IFERROR(__xludf.DUMMYFUNCTION("GOOGLETRANSLATE(J2839,""EN"",""ES"")"),"Pedales de acelerador para vehículos")</f>
        <v>Pedales de acelerador para vehículos</v>
      </c>
      <c r="M2839" s="1" t="s">
        <v>38</v>
      </c>
      <c r="N2839" s="8"/>
    </row>
    <row r="2840" spans="1:14" ht="11.25" customHeight="1">
      <c r="A2840" s="5" t="s">
        <v>7189</v>
      </c>
      <c r="B2840" s="5" t="s">
        <v>8051</v>
      </c>
      <c r="C2840" s="5" t="s">
        <v>8213</v>
      </c>
      <c r="D2840" s="5" t="s">
        <v>7192</v>
      </c>
      <c r="E2840" s="5" t="s">
        <v>36</v>
      </c>
      <c r="F2840" s="5" t="s">
        <v>7193</v>
      </c>
      <c r="G2840" s="5" t="s">
        <v>7194</v>
      </c>
      <c r="H2840" s="5" t="s">
        <v>8053</v>
      </c>
      <c r="I2840" s="5" t="s">
        <v>8214</v>
      </c>
      <c r="J2840" s="5" t="s">
        <v>8215</v>
      </c>
      <c r="K2840" s="7" t="str">
        <f ca="1">IFERROR(__xludf.DUMMYFUNCTION("GOOGLETRANSLATE(H2840,""EN"",""ES"")"),"PIEZAS, EQUIPOS Y ACCESORIOS PARA VEHÍCULOS, NO COMPRENDIDOS EN OTRAS CLASES O SUBCLASES")</f>
        <v>PIEZAS, EQUIPOS Y ACCESORIOS PARA VEHÍCULOS, NO COMPRENDIDOS EN OTRAS CLASES O SUBCLASES</v>
      </c>
      <c r="L2840" s="5" t="str">
        <f ca="1">IFERROR(__xludf.DUMMYFUNCTION("GOOGLETRANSLATE(J2840,""EN"",""ES"")"),"Portaequipajes para vehículos [excepto bicicletas y motocicletas]")</f>
        <v>Portaequipajes para vehículos [excepto bicicletas y motocicletas]</v>
      </c>
      <c r="M2840" s="1" t="s">
        <v>38</v>
      </c>
      <c r="N2840" s="8"/>
    </row>
    <row r="2841" spans="1:14" ht="11.25" customHeight="1">
      <c r="A2841" s="5" t="s">
        <v>7189</v>
      </c>
      <c r="B2841" s="5" t="s">
        <v>8051</v>
      </c>
      <c r="C2841" s="5" t="s">
        <v>8216</v>
      </c>
      <c r="D2841" s="5" t="s">
        <v>7192</v>
      </c>
      <c r="E2841" s="5" t="s">
        <v>36</v>
      </c>
      <c r="F2841" s="5" t="s">
        <v>7193</v>
      </c>
      <c r="G2841" s="5" t="s">
        <v>7194</v>
      </c>
      <c r="H2841" s="5" t="s">
        <v>8053</v>
      </c>
      <c r="I2841" s="5" t="s">
        <v>8217</v>
      </c>
      <c r="J2841" s="5" t="s">
        <v>8218</v>
      </c>
      <c r="K2841" s="7" t="str">
        <f ca="1">IFERROR(__xludf.DUMMYFUNCTION("GOOGLETRANSLATE(H2841,""EN"",""ES"")"),"PIEZAS, EQUIPOS Y ACCESORIOS PARA VEHÍCULOS, NO COMPRENDIDOS EN OTRAS CLASES O SUBCLASES")</f>
        <v>PIEZAS, EQUIPOS Y ACCESORIOS PARA VEHÍCULOS, NO COMPRENDIDOS EN OTRAS CLASES O SUBCLASES</v>
      </c>
      <c r="L2841" s="5" t="str">
        <f ca="1">IFERROR(__xludf.DUMMYFUNCTION("GOOGLETRANSLATE(J2841,""EN"",""ES"")"),"Protectores de parachoques")</f>
        <v>Protectores de parachoques</v>
      </c>
      <c r="M2841" s="1" t="s">
        <v>38</v>
      </c>
      <c r="N2841" s="8"/>
    </row>
    <row r="2842" spans="1:14" ht="11.25" customHeight="1">
      <c r="A2842" s="5" t="s">
        <v>7189</v>
      </c>
      <c r="B2842" s="5" t="s">
        <v>8051</v>
      </c>
      <c r="C2842" s="5" t="s">
        <v>8219</v>
      </c>
      <c r="D2842" s="5" t="s">
        <v>7192</v>
      </c>
      <c r="E2842" s="5" t="s">
        <v>36</v>
      </c>
      <c r="F2842" s="5" t="s">
        <v>7193</v>
      </c>
      <c r="G2842" s="5" t="s">
        <v>7194</v>
      </c>
      <c r="H2842" s="5" t="s">
        <v>8053</v>
      </c>
      <c r="I2842" s="5" t="s">
        <v>8220</v>
      </c>
      <c r="J2842" s="5" t="s">
        <v>8221</v>
      </c>
      <c r="K2842" s="7" t="str">
        <f ca="1">IFERROR(__xludf.DUMMYFUNCTION("GOOGLETRANSLATE(H2842,""EN"",""ES"")"),"PIEZAS, EQUIPOS Y ACCESORIOS PARA VEHÍCULOS, NO COMPRENDIDOS EN OTRAS CLASES O SUBCLASES")</f>
        <v>PIEZAS, EQUIPOS Y ACCESORIOS PARA VEHÍCULOS, NO COMPRENDIDOS EN OTRAS CLASES O SUBCLASES</v>
      </c>
      <c r="L2842" s="5" t="str">
        <f ca="1">IFERROR(__xludf.DUMMYFUNCTION("GOOGLETRANSLATE(J2842,""EN"",""ES"")"),"Adornos para la tapa del radiador")</f>
        <v>Adornos para la tapa del radiador</v>
      </c>
      <c r="M2842" s="1" t="s">
        <v>38</v>
      </c>
      <c r="N2842" s="8"/>
    </row>
    <row r="2843" spans="1:14" ht="11.25" customHeight="1">
      <c r="A2843" s="5" t="s">
        <v>7189</v>
      </c>
      <c r="B2843" s="5" t="s">
        <v>8051</v>
      </c>
      <c r="C2843" s="5" t="s">
        <v>8222</v>
      </c>
      <c r="D2843" s="5" t="s">
        <v>7192</v>
      </c>
      <c r="E2843" s="5" t="s">
        <v>36</v>
      </c>
      <c r="F2843" s="5" t="s">
        <v>7193</v>
      </c>
      <c r="G2843" s="5" t="s">
        <v>7194</v>
      </c>
      <c r="H2843" s="5" t="s">
        <v>8053</v>
      </c>
      <c r="I2843" s="5" t="s">
        <v>8223</v>
      </c>
      <c r="J2843" s="5" t="s">
        <v>8224</v>
      </c>
      <c r="K2843" s="7" t="str">
        <f ca="1">IFERROR(__xludf.DUMMYFUNCTION("GOOGLETRANSLATE(H2843,""EN"",""ES"")"),"PIEZAS, EQUIPOS Y ACCESORIOS PARA VEHÍCULOS, NO COMPRENDIDOS EN OTRAS CLASES O SUBCLASES")</f>
        <v>PIEZAS, EQUIPOS Y ACCESORIOS PARA VEHÍCULOS, NO COMPRENDIDOS EN OTRAS CLASES O SUBCLASES</v>
      </c>
      <c r="L2843" s="5" t="str">
        <f ca="1">IFERROR(__xludf.DUMMYFUNCTION("GOOGLETRANSLATE(J2843,""EN"",""ES"")"),"Zapatas de freno para vehículos")</f>
        <v>Zapatas de freno para vehículos</v>
      </c>
      <c r="M2843" s="1" t="s">
        <v>38</v>
      </c>
      <c r="N2843" s="8"/>
    </row>
    <row r="2844" spans="1:14" ht="11.25" customHeight="1">
      <c r="A2844" s="5" t="s">
        <v>7189</v>
      </c>
      <c r="B2844" s="5" t="s">
        <v>8051</v>
      </c>
      <c r="C2844" s="5" t="s">
        <v>8225</v>
      </c>
      <c r="D2844" s="5" t="s">
        <v>7192</v>
      </c>
      <c r="E2844" s="5" t="s">
        <v>36</v>
      </c>
      <c r="F2844" s="5" t="s">
        <v>7193</v>
      </c>
      <c r="G2844" s="5" t="s">
        <v>7194</v>
      </c>
      <c r="H2844" s="5" t="s">
        <v>8053</v>
      </c>
      <c r="I2844" s="5" t="s">
        <v>8226</v>
      </c>
      <c r="J2844" s="5" t="s">
        <v>8227</v>
      </c>
      <c r="K2844" s="7" t="str">
        <f ca="1">IFERROR(__xludf.DUMMYFUNCTION("GOOGLETRANSLATE(H2844,""EN"",""ES"")"),"PIEZAS, EQUIPOS Y ACCESORIOS PARA VEHÍCULOS, NO COMPRENDIDOS EN OTRAS CLASES O SUBCLASES")</f>
        <v>PIEZAS, EQUIPOS Y ACCESORIOS PARA VEHÍCULOS, NO COMPRENDIDOS EN OTRAS CLASES O SUBCLASES</v>
      </c>
      <c r="L2844" s="5" t="str">
        <f ca="1">IFERROR(__xludf.DUMMYFUNCTION("GOOGLETRANSLATE(J2844,""EN"",""ES"")"),"Tubos de escape")</f>
        <v>Tubos de escape</v>
      </c>
      <c r="M2844" s="1" t="s">
        <v>38</v>
      </c>
      <c r="N2844" s="8"/>
    </row>
    <row r="2845" spans="1:14" ht="11.25" customHeight="1">
      <c r="A2845" s="5" t="s">
        <v>7189</v>
      </c>
      <c r="B2845" s="5" t="s">
        <v>8051</v>
      </c>
      <c r="C2845" s="5" t="s">
        <v>8225</v>
      </c>
      <c r="D2845" s="5" t="s">
        <v>7192</v>
      </c>
      <c r="E2845" s="5" t="s">
        <v>36</v>
      </c>
      <c r="F2845" s="5" t="s">
        <v>7193</v>
      </c>
      <c r="G2845" s="5" t="s">
        <v>7194</v>
      </c>
      <c r="H2845" s="5" t="s">
        <v>8053</v>
      </c>
      <c r="I2845" s="5" t="s">
        <v>8228</v>
      </c>
      <c r="J2845" s="5" t="s">
        <v>152</v>
      </c>
      <c r="K2845" s="7" t="str">
        <f ca="1">IFERROR(__xludf.DUMMYFUNCTION("GOOGLETRANSLATE(H2845,""EN"",""ES"")"),"PIEZAS, EQUIPOS Y ACCESORIOS PARA VEHÍCULOS, NO COMPRENDIDOS EN OTRAS CLASES O SUBCLASES")</f>
        <v>PIEZAS, EQUIPOS Y ACCESORIOS PARA VEHÍCULOS, NO COMPRENDIDOS EN OTRAS CLASES O SUBCLASES</v>
      </c>
      <c r="L2845" s="5" t="str">
        <f ca="1">IFERROR(__xludf.DUMMYFUNCTION("GOOGLETRANSLATE(J2845,""EN"",""ES"")"),"Tubos de escape")</f>
        <v>Tubos de escape</v>
      </c>
      <c r="M2845" s="1" t="s">
        <v>38</v>
      </c>
      <c r="N2845" s="8"/>
    </row>
    <row r="2846" spans="1:14" ht="11.25" customHeight="1">
      <c r="A2846" s="5" t="s">
        <v>7189</v>
      </c>
      <c r="B2846" s="5" t="s">
        <v>8051</v>
      </c>
      <c r="C2846" s="5" t="s">
        <v>8229</v>
      </c>
      <c r="D2846" s="5" t="s">
        <v>7192</v>
      </c>
      <c r="E2846" s="5" t="s">
        <v>36</v>
      </c>
      <c r="F2846" s="5" t="s">
        <v>7193</v>
      </c>
      <c r="G2846" s="5" t="s">
        <v>7194</v>
      </c>
      <c r="H2846" s="5" t="s">
        <v>8053</v>
      </c>
      <c r="I2846" s="5" t="s">
        <v>8230</v>
      </c>
      <c r="J2846" s="5" t="s">
        <v>8231</v>
      </c>
      <c r="K2846" s="7" t="str">
        <f ca="1">IFERROR(__xludf.DUMMYFUNCTION("GOOGLETRANSLATE(H2846,""EN"",""ES"")"),"PIEZAS, EQUIPOS Y ACCESORIOS PARA VEHÍCULOS, NO COMPRENDIDOS EN OTRAS CLASES O SUBCLASES")</f>
        <v>PIEZAS, EQUIPOS Y ACCESORIOS PARA VEHÍCULOS, NO COMPRENDIDOS EN OTRAS CLASES O SUBCLASES</v>
      </c>
      <c r="L2846" s="5" t="str">
        <f ca="1">IFERROR(__xludf.DUMMYFUNCTION("GOOGLETRANSLATE(J2846,""EN"",""ES"")"),"Volantes")</f>
        <v>Volantes</v>
      </c>
      <c r="M2846" s="1" t="s">
        <v>38</v>
      </c>
      <c r="N2846" s="8"/>
    </row>
    <row r="2847" spans="1:14" ht="11.25" customHeight="1">
      <c r="A2847" s="5" t="s">
        <v>7189</v>
      </c>
      <c r="B2847" s="5" t="s">
        <v>8051</v>
      </c>
      <c r="C2847" s="5" t="s">
        <v>8229</v>
      </c>
      <c r="D2847" s="5" t="s">
        <v>7192</v>
      </c>
      <c r="E2847" s="5" t="s">
        <v>36</v>
      </c>
      <c r="F2847" s="5" t="s">
        <v>7193</v>
      </c>
      <c r="G2847" s="5" t="s">
        <v>7194</v>
      </c>
      <c r="H2847" s="5" t="s">
        <v>8053</v>
      </c>
      <c r="I2847" s="5" t="s">
        <v>152</v>
      </c>
      <c r="J2847" s="5" t="s">
        <v>8232</v>
      </c>
      <c r="K2847" s="7" t="str">
        <f ca="1">IFERROR(__xludf.DUMMYFUNCTION("GOOGLETRANSLATE(H2847,""EN"",""ES"")"),"PIEZAS, EQUIPOS Y ACCESORIOS PARA VEHÍCULOS, NO COMPRENDIDOS EN OTRAS CLASES O SUBCLASES")</f>
        <v>PIEZAS, EQUIPOS Y ACCESORIOS PARA VEHÍCULOS, NO COMPRENDIDOS EN OTRAS CLASES O SUBCLASES</v>
      </c>
      <c r="L2847" s="5" t="str">
        <f ca="1">IFERROR(__xludf.DUMMYFUNCTION("GOOGLETRANSLATE(J2847,""EN"",""ES"")"),"N / A")</f>
        <v>N / A</v>
      </c>
      <c r="M2847" s="1" t="s">
        <v>38</v>
      </c>
      <c r="N2847" s="8"/>
    </row>
    <row r="2848" spans="1:14" ht="11.25" customHeight="1">
      <c r="A2848" s="5" t="s">
        <v>7189</v>
      </c>
      <c r="B2848" s="5" t="s">
        <v>8051</v>
      </c>
      <c r="C2848" s="5" t="s">
        <v>8233</v>
      </c>
      <c r="D2848" s="5" t="s">
        <v>7192</v>
      </c>
      <c r="E2848" s="5" t="s">
        <v>36</v>
      </c>
      <c r="F2848" s="5" t="s">
        <v>7193</v>
      </c>
      <c r="G2848" s="5" t="s">
        <v>7194</v>
      </c>
      <c r="H2848" s="5" t="s">
        <v>8053</v>
      </c>
      <c r="I2848" s="5" t="s">
        <v>8234</v>
      </c>
      <c r="J2848" s="5" t="s">
        <v>8235</v>
      </c>
      <c r="K2848" s="7" t="str">
        <f ca="1">IFERROR(__xludf.DUMMYFUNCTION("GOOGLETRANSLATE(H2848,""EN"",""ES"")"),"PIEZAS, EQUIPOS Y ACCESORIOS PARA VEHÍCULOS, NO COMPRENDIDOS EN OTRAS CLASES O SUBCLASES")</f>
        <v>PIEZAS, EQUIPOS Y ACCESORIOS PARA VEHÍCULOS, NO COMPRENDIDOS EN OTRAS CLASES O SUBCLASES</v>
      </c>
      <c r="L2848" s="5" t="str">
        <f ca="1">IFERROR(__xludf.DUMMYFUNCTION("GOOGLETRANSLATE(J2848,""EN"",""ES"")"),"Cabinas para tractores")</f>
        <v>Cabinas para tractores</v>
      </c>
      <c r="M2848" s="1" t="s">
        <v>38</v>
      </c>
      <c r="N2848" s="8"/>
    </row>
    <row r="2849" spans="1:14" ht="11.25" customHeight="1">
      <c r="A2849" s="5" t="s">
        <v>7189</v>
      </c>
      <c r="B2849" s="5" t="s">
        <v>8051</v>
      </c>
      <c r="C2849" s="5" t="s">
        <v>8236</v>
      </c>
      <c r="D2849" s="5" t="s">
        <v>7192</v>
      </c>
      <c r="E2849" s="5" t="s">
        <v>36</v>
      </c>
      <c r="F2849" s="5" t="s">
        <v>7193</v>
      </c>
      <c r="G2849" s="5" t="s">
        <v>7194</v>
      </c>
      <c r="H2849" s="5" t="s">
        <v>8053</v>
      </c>
      <c r="I2849" s="5" t="s">
        <v>8237</v>
      </c>
      <c r="J2849" s="5" t="s">
        <v>8238</v>
      </c>
      <c r="K2849" s="7" t="str">
        <f ca="1">IFERROR(__xludf.DUMMYFUNCTION("GOOGLETRANSLATE(H2849,""EN"",""ES"")"),"PIEZAS, EQUIPOS Y ACCESORIOS PARA VEHÍCULOS, NO COMPRENDIDOS EN OTRAS CLASES O SUBCLASES")</f>
        <v>PIEZAS, EQUIPOS Y ACCESORIOS PARA VEHÍCULOS, NO COMPRENDIDOS EN OTRAS CLASES O SUBCLASES</v>
      </c>
      <c r="L2849" s="5" t="str">
        <f ca="1">IFERROR(__xludf.DUMMYFUNCTION("GOOGLETRANSLATE(J2849,""EN"",""ES"")"),"Spoilers para automóviles")</f>
        <v>Spoilers para automóviles</v>
      </c>
      <c r="M2849" s="1" t="s">
        <v>38</v>
      </c>
      <c r="N2849" s="8"/>
    </row>
    <row r="2850" spans="1:14" ht="11.25" customHeight="1">
      <c r="A2850" s="5" t="s">
        <v>7189</v>
      </c>
      <c r="B2850" s="5" t="s">
        <v>8051</v>
      </c>
      <c r="C2850" s="5" t="s">
        <v>8239</v>
      </c>
      <c r="D2850" s="5" t="s">
        <v>7192</v>
      </c>
      <c r="E2850" s="5" t="s">
        <v>36</v>
      </c>
      <c r="F2850" s="5" t="s">
        <v>7193</v>
      </c>
      <c r="G2850" s="5" t="s">
        <v>7194</v>
      </c>
      <c r="H2850" s="5" t="s">
        <v>8053</v>
      </c>
      <c r="I2850" s="5" t="s">
        <v>8240</v>
      </c>
      <c r="J2850" s="5" t="s">
        <v>8241</v>
      </c>
      <c r="K2850" s="7" t="str">
        <f ca="1">IFERROR(__xludf.DUMMYFUNCTION("GOOGLETRANSLATE(H2850,""EN"",""ES"")"),"PIEZAS, EQUIPOS Y ACCESORIOS PARA VEHÍCULOS, NO COMPRENDIDOS EN OTRAS CLASES O SUBCLASES")</f>
        <v>PIEZAS, EQUIPOS Y ACCESORIOS PARA VEHÍCULOS, NO COMPRENDIDOS EN OTRAS CLASES O SUBCLASES</v>
      </c>
      <c r="L2850" s="5" t="str">
        <f ca="1">IFERROR(__xludf.DUMMYFUNCTION("GOOGLETRANSLATE(J2850,""EN"",""ES"")"),"Cubiertas para ruedas de vehículos [para transporte]")</f>
        <v>Cubiertas para ruedas de vehículos [para transporte]</v>
      </c>
      <c r="M2850" s="1" t="s">
        <v>38</v>
      </c>
      <c r="N2850" s="8"/>
    </row>
    <row r="2851" spans="1:14" ht="11.25" customHeight="1">
      <c r="A2851" s="5" t="s">
        <v>7189</v>
      </c>
      <c r="B2851" s="5" t="s">
        <v>8051</v>
      </c>
      <c r="C2851" s="5" t="s">
        <v>8242</v>
      </c>
      <c r="D2851" s="5" t="s">
        <v>7192</v>
      </c>
      <c r="E2851" s="5" t="s">
        <v>36</v>
      </c>
      <c r="F2851" s="5" t="s">
        <v>7193</v>
      </c>
      <c r="G2851" s="5" t="s">
        <v>7194</v>
      </c>
      <c r="H2851" s="5" t="s">
        <v>8053</v>
      </c>
      <c r="I2851" s="5" t="s">
        <v>8243</v>
      </c>
      <c r="J2851" s="5" t="s">
        <v>8244</v>
      </c>
      <c r="K2851" s="7" t="str">
        <f ca="1">IFERROR(__xludf.DUMMYFUNCTION("GOOGLETRANSLATE(H2851,""EN"",""ES"")"),"PIEZAS, EQUIPOS Y ACCESORIOS PARA VEHÍCULOS, NO COMPRENDIDOS EN OTRAS CLASES O SUBCLASES")</f>
        <v>PIEZAS, EQUIPOS Y ACCESORIOS PARA VEHÍCULOS, NO COMPRENDIDOS EN OTRAS CLASES O SUBCLASES</v>
      </c>
      <c r="L2851" s="5" t="str">
        <f ca="1">IFERROR(__xludf.DUMMYFUNCTION("GOOGLETRANSLATE(J2851,""EN"",""ES"")"),"Palancas de freno de mano")</f>
        <v>Palancas de freno de mano</v>
      </c>
      <c r="M2851" s="1" t="s">
        <v>38</v>
      </c>
      <c r="N2851" s="8"/>
    </row>
    <row r="2852" spans="1:14" ht="11.25" customHeight="1">
      <c r="A2852" s="5" t="s">
        <v>7189</v>
      </c>
      <c r="B2852" s="5" t="s">
        <v>8051</v>
      </c>
      <c r="C2852" s="5" t="s">
        <v>8245</v>
      </c>
      <c r="D2852" s="5" t="s">
        <v>7192</v>
      </c>
      <c r="E2852" s="5" t="s">
        <v>36</v>
      </c>
      <c r="F2852" s="5" t="s">
        <v>7193</v>
      </c>
      <c r="G2852" s="5" t="s">
        <v>7194</v>
      </c>
      <c r="H2852" s="5" t="s">
        <v>8053</v>
      </c>
      <c r="I2852" s="5" t="s">
        <v>8246</v>
      </c>
      <c r="J2852" s="5" t="s">
        <v>8247</v>
      </c>
      <c r="K2852" s="7" t="str">
        <f ca="1">IFERROR(__xludf.DUMMYFUNCTION("GOOGLETRANSLATE(H2852,""EN"",""ES"")"),"PIEZAS, EQUIPOS Y ACCESORIOS PARA VEHÍCULOS, NO COMPRENDIDOS EN OTRAS CLASES O SUBCLASES")</f>
        <v>PIEZAS, EQUIPOS Y ACCESORIOS PARA VEHÍCULOS, NO COMPRENDIDOS EN OTRAS CLASES O SUBCLASES</v>
      </c>
      <c r="L2852" s="5" t="str">
        <f ca="1">IFERROR(__xludf.DUMMYFUNCTION("GOOGLETRANSLATE(J2852,""EN"",""ES"")"),"Protectores de puertas para vehículos")</f>
        <v>Protectores de puertas para vehículos</v>
      </c>
      <c r="M2852" s="1" t="s">
        <v>38</v>
      </c>
      <c r="N2852" s="8"/>
    </row>
    <row r="2853" spans="1:14" ht="11.25" customHeight="1">
      <c r="A2853" s="5" t="s">
        <v>7189</v>
      </c>
      <c r="B2853" s="5" t="s">
        <v>8051</v>
      </c>
      <c r="C2853" s="5" t="s">
        <v>8248</v>
      </c>
      <c r="D2853" s="5" t="s">
        <v>7192</v>
      </c>
      <c r="E2853" s="5" t="s">
        <v>36</v>
      </c>
      <c r="F2853" s="5" t="s">
        <v>7193</v>
      </c>
      <c r="G2853" s="5" t="s">
        <v>7194</v>
      </c>
      <c r="H2853" s="5" t="s">
        <v>8053</v>
      </c>
      <c r="I2853" s="5" t="s">
        <v>8249</v>
      </c>
      <c r="J2853" s="5" t="s">
        <v>8250</v>
      </c>
      <c r="K2853" s="7" t="str">
        <f ca="1">IFERROR(__xludf.DUMMYFUNCTION("GOOGLETRANSLATE(H2853,""EN"",""ES"")"),"PIEZAS, EQUIPOS Y ACCESORIOS PARA VEHÍCULOS, NO COMPRENDIDOS EN OTRAS CLASES O SUBCLASES")</f>
        <v>PIEZAS, EQUIPOS Y ACCESORIOS PARA VEHÍCULOS, NO COMPRENDIDOS EN OTRAS CLASES O SUBCLASES</v>
      </c>
      <c r="L2853" s="5" t="str">
        <f ca="1">IFERROR(__xludf.DUMMYFUNCTION("GOOGLETRANSLATE(J2853,""EN"",""ES"")"),"Habitáculos de vehículos")</f>
        <v>Habitáculos de vehículos</v>
      </c>
      <c r="M2853" s="1" t="s">
        <v>38</v>
      </c>
      <c r="N2853" s="8"/>
    </row>
    <row r="2854" spans="1:14" ht="11.25" customHeight="1">
      <c r="A2854" s="5" t="s">
        <v>7189</v>
      </c>
      <c r="B2854" s="5" t="s">
        <v>8051</v>
      </c>
      <c r="C2854" s="5" t="s">
        <v>8251</v>
      </c>
      <c r="D2854" s="5" t="s">
        <v>7192</v>
      </c>
      <c r="E2854" s="5" t="s">
        <v>36</v>
      </c>
      <c r="F2854" s="5" t="s">
        <v>7193</v>
      </c>
      <c r="G2854" s="5" t="s">
        <v>7194</v>
      </c>
      <c r="H2854" s="5" t="s">
        <v>8053</v>
      </c>
      <c r="I2854" s="5" t="s">
        <v>8252</v>
      </c>
      <c r="J2854" s="5" t="s">
        <v>8253</v>
      </c>
      <c r="K2854" s="7" t="str">
        <f ca="1">IFERROR(__xludf.DUMMYFUNCTION("GOOGLETRANSLATE(H2854,""EN"",""ES"")"),"PIEZAS, EQUIPOS Y ACCESORIOS PARA VEHÍCULOS, NO COMPRENDIDOS EN OTRAS CLASES O SUBCLASES")</f>
        <v>PIEZAS, EQUIPOS Y ACCESORIOS PARA VEHÍCULOS, NO COMPRENDIDOS EN OTRAS CLASES O SUBCLASES</v>
      </c>
      <c r="L2854" s="5" t="str">
        <f ca="1">IFERROR(__xludf.DUMMYFUNCTION("GOOGLETRANSLATE(J2854,""EN"",""ES"")"),"palancas de cambio")</f>
        <v>palancas de cambio</v>
      </c>
      <c r="M2854" s="1" t="s">
        <v>38</v>
      </c>
      <c r="N2854" s="8"/>
    </row>
    <row r="2855" spans="1:14" ht="11.25" customHeight="1">
      <c r="A2855" s="5" t="s">
        <v>7189</v>
      </c>
      <c r="B2855" s="5" t="s">
        <v>8051</v>
      </c>
      <c r="C2855" s="5" t="s">
        <v>8254</v>
      </c>
      <c r="D2855" s="5" t="s">
        <v>7192</v>
      </c>
      <c r="E2855" s="5" t="s">
        <v>36</v>
      </c>
      <c r="F2855" s="5" t="s">
        <v>7193</v>
      </c>
      <c r="G2855" s="5" t="s">
        <v>7194</v>
      </c>
      <c r="H2855" s="5" t="s">
        <v>8053</v>
      </c>
      <c r="I2855" s="5" t="s">
        <v>8255</v>
      </c>
      <c r="J2855" s="5" t="s">
        <v>8256</v>
      </c>
      <c r="K2855" s="7" t="str">
        <f ca="1">IFERROR(__xludf.DUMMYFUNCTION("GOOGLETRANSLATE(H2855,""EN"",""ES"")"),"PIEZAS, EQUIPOS Y ACCESORIOS PARA VEHÍCULOS, NO COMPRENDIDOS EN OTRAS CLASES O SUBCLASES")</f>
        <v>PIEZAS, EQUIPOS Y ACCESORIOS PARA VEHÍCULOS, NO COMPRENDIDOS EN OTRAS CLASES O SUBCLASES</v>
      </c>
      <c r="L2855" s="5" t="str">
        <f ca="1">IFERROR(__xludf.DUMMYFUNCTION("GOOGLETRANSLATE(J2855,""EN"",""ES"")"),"Pomos de la palanca de cambios")</f>
        <v>Pomos de la palanca de cambios</v>
      </c>
      <c r="M2855" s="1" t="s">
        <v>38</v>
      </c>
      <c r="N2855" s="8"/>
    </row>
    <row r="2856" spans="1:14" ht="11.25" customHeight="1">
      <c r="A2856" s="5" t="s">
        <v>7189</v>
      </c>
      <c r="B2856" s="5" t="s">
        <v>8051</v>
      </c>
      <c r="C2856" s="5" t="s">
        <v>8257</v>
      </c>
      <c r="D2856" s="5" t="s">
        <v>7192</v>
      </c>
      <c r="E2856" s="5" t="s">
        <v>36</v>
      </c>
      <c r="F2856" s="5" t="s">
        <v>7193</v>
      </c>
      <c r="G2856" s="5" t="s">
        <v>7194</v>
      </c>
      <c r="H2856" s="5" t="s">
        <v>8053</v>
      </c>
      <c r="I2856" s="5" t="s">
        <v>8258</v>
      </c>
      <c r="J2856" s="5" t="s">
        <v>8259</v>
      </c>
      <c r="K2856" s="7" t="str">
        <f ca="1">IFERROR(__xludf.DUMMYFUNCTION("GOOGLETRANSLATE(H2856,""EN"",""ES"")"),"PIEZAS, EQUIPOS Y ACCESORIOS PARA VEHÍCULOS, NO COMPRENDIDOS EN OTRAS CLASES O SUBCLASES")</f>
        <v>PIEZAS, EQUIPOS Y ACCESORIOS PARA VEHÍCULOS, NO COMPRENDIDOS EN OTRAS CLASES O SUBCLASES</v>
      </c>
      <c r="L2856" s="5" t="str">
        <f ca="1">IFERROR(__xludf.DUMMYFUNCTION("GOOGLETRANSLATE(J2856,""EN"",""ES"")"),"Paneles de control e indicadores para vehículos.")</f>
        <v>Paneles de control e indicadores para vehículos.</v>
      </c>
      <c r="M2856" s="1" t="s">
        <v>38</v>
      </c>
      <c r="N2856" s="8"/>
    </row>
    <row r="2857" spans="1:14" ht="11.25" customHeight="1">
      <c r="A2857" s="5" t="s">
        <v>7189</v>
      </c>
      <c r="B2857" s="5" t="s">
        <v>8051</v>
      </c>
      <c r="C2857" s="5" t="s">
        <v>8260</v>
      </c>
      <c r="D2857" s="5" t="s">
        <v>7192</v>
      </c>
      <c r="E2857" s="5" t="s">
        <v>36</v>
      </c>
      <c r="F2857" s="5" t="s">
        <v>7193</v>
      </c>
      <c r="G2857" s="5" t="s">
        <v>7194</v>
      </c>
      <c r="H2857" s="5" t="s">
        <v>8053</v>
      </c>
      <c r="I2857" s="5" t="s">
        <v>8261</v>
      </c>
      <c r="J2857" s="5" t="s">
        <v>8262</v>
      </c>
      <c r="K2857" s="7" t="str">
        <f ca="1">IFERROR(__xludf.DUMMYFUNCTION("GOOGLETRANSLATE(H2857,""EN"",""ES"")"),"PIEZAS, EQUIPOS Y ACCESORIOS PARA VEHÍCULOS, NO COMPRENDIDOS EN OTRAS CLASES O SUBCLASES")</f>
        <v>PIEZAS, EQUIPOS Y ACCESORIOS PARA VEHÍCULOS, NO COMPRENDIDOS EN OTRAS CLASES O SUBCLASES</v>
      </c>
      <c r="L2857" s="5" t="str">
        <f ca="1">IFERROR(__xludf.DUMMYFUNCTION("GOOGLETRANSLATE(J2857,""EN"",""ES"")"),"Consolas centrales para vehículos")</f>
        <v>Consolas centrales para vehículos</v>
      </c>
      <c r="M2857" s="1" t="s">
        <v>38</v>
      </c>
      <c r="N2857" s="8"/>
    </row>
    <row r="2858" spans="1:14" ht="11.25" customHeight="1">
      <c r="A2858" s="5" t="s">
        <v>7189</v>
      </c>
      <c r="B2858" s="5" t="s">
        <v>8051</v>
      </c>
      <c r="C2858" s="5" t="s">
        <v>8263</v>
      </c>
      <c r="D2858" s="5" t="s">
        <v>7192</v>
      </c>
      <c r="E2858" s="5" t="s">
        <v>36</v>
      </c>
      <c r="F2858" s="5" t="s">
        <v>7193</v>
      </c>
      <c r="G2858" s="5" t="s">
        <v>7194</v>
      </c>
      <c r="H2858" s="5" t="s">
        <v>8053</v>
      </c>
      <c r="I2858" s="5" t="s">
        <v>8264</v>
      </c>
      <c r="J2858" s="5" t="s">
        <v>8265</v>
      </c>
      <c r="K2858" s="7" t="str">
        <f ca="1">IFERROR(__xludf.DUMMYFUNCTION("GOOGLETRANSLATE(H2858,""EN"",""ES"")"),"PIEZAS, EQUIPOS Y ACCESORIOS PARA VEHÍCULOS, NO COMPRENDIDOS EN OTRAS CLASES O SUBCLASES")</f>
        <v>PIEZAS, EQUIPOS Y ACCESORIOS PARA VEHÍCULOS, NO COMPRENDIDOS EN OTRAS CLASES O SUBCLASES</v>
      </c>
      <c r="L2858" s="5" t="str">
        <f ca="1">IFERROR(__xludf.DUMMYFUNCTION("GOOGLETRANSLATE(J2858,""EN"",""ES"")"),"Espejos de tocador para vehículos")</f>
        <v>Espejos de tocador para vehículos</v>
      </c>
      <c r="M2858" s="1" t="s">
        <v>38</v>
      </c>
      <c r="N2858" s="8"/>
    </row>
    <row r="2859" spans="1:14" ht="11.25" customHeight="1">
      <c r="A2859" s="5" t="s">
        <v>7189</v>
      </c>
      <c r="B2859" s="5" t="s">
        <v>8051</v>
      </c>
      <c r="C2859" s="5" t="s">
        <v>8266</v>
      </c>
      <c r="D2859" s="5" t="s">
        <v>7192</v>
      </c>
      <c r="E2859" s="5" t="s">
        <v>36</v>
      </c>
      <c r="F2859" s="5" t="s">
        <v>7193</v>
      </c>
      <c r="G2859" s="5" t="s">
        <v>7194</v>
      </c>
      <c r="H2859" s="5" t="s">
        <v>8053</v>
      </c>
      <c r="I2859" s="5" t="s">
        <v>8267</v>
      </c>
      <c r="J2859" s="5" t="s">
        <v>8268</v>
      </c>
      <c r="K2859" s="7" t="str">
        <f ca="1">IFERROR(__xludf.DUMMYFUNCTION("GOOGLETRANSLATE(H2859,""EN"",""ES"")"),"PIEZAS, EQUIPOS Y ACCESORIOS PARA VEHÍCULOS, NO COMPRENDIDOS EN OTRAS CLASES O SUBCLASES")</f>
        <v>PIEZAS, EQUIPOS Y ACCESORIOS PARA VEHÍCULOS, NO COMPRENDIDOS EN OTRAS CLASES O SUBCLASES</v>
      </c>
      <c r="L2859" s="5" t="str">
        <f ca="1">IFERROR(__xludf.DUMMYFUNCTION("GOOGLETRANSLATE(J2859,""EN"",""ES"")"),"Escotillas para vehículos")</f>
        <v>Escotillas para vehículos</v>
      </c>
      <c r="M2859" s="1" t="s">
        <v>38</v>
      </c>
      <c r="N2859" s="8"/>
    </row>
    <row r="2860" spans="1:14" ht="11.25" customHeight="1">
      <c r="A2860" s="5" t="s">
        <v>7189</v>
      </c>
      <c r="B2860" s="5" t="s">
        <v>8051</v>
      </c>
      <c r="C2860" s="5" t="s">
        <v>8269</v>
      </c>
      <c r="D2860" s="5" t="s">
        <v>7192</v>
      </c>
      <c r="E2860" s="5" t="s">
        <v>36</v>
      </c>
      <c r="F2860" s="5" t="s">
        <v>7193</v>
      </c>
      <c r="G2860" s="5" t="s">
        <v>7194</v>
      </c>
      <c r="H2860" s="5" t="s">
        <v>8053</v>
      </c>
      <c r="I2860" s="5" t="s">
        <v>8270</v>
      </c>
      <c r="J2860" s="5" t="s">
        <v>8271</v>
      </c>
      <c r="K2860" s="7" t="str">
        <f ca="1">IFERROR(__xludf.DUMMYFUNCTION("GOOGLETRANSLATE(H2860,""EN"",""ES"")"),"PIEZAS, EQUIPOS Y ACCESORIOS PARA VEHÍCULOS, NO COMPRENDIDOS EN OTRAS CLASES O SUBCLASES")</f>
        <v>PIEZAS, EQUIPOS Y ACCESORIOS PARA VEHÍCULOS, NO COMPRENDIDOS EN OTRAS CLASES O SUBCLASES</v>
      </c>
      <c r="L2860" s="5" t="str">
        <f ca="1">IFERROR(__xludf.DUMMYFUNCTION("GOOGLETRANSLATE(J2860,""EN"",""ES"")"),"Revestimientos interiores para vehículos")</f>
        <v>Revestimientos interiores para vehículos</v>
      </c>
      <c r="M2860" s="1" t="s">
        <v>38</v>
      </c>
      <c r="N2860" s="8"/>
    </row>
    <row r="2861" spans="1:14" ht="11.25" customHeight="1">
      <c r="A2861" s="5" t="s">
        <v>7189</v>
      </c>
      <c r="B2861" s="5" t="s">
        <v>8051</v>
      </c>
      <c r="C2861" s="5" t="s">
        <v>8272</v>
      </c>
      <c r="D2861" s="5" t="s">
        <v>7192</v>
      </c>
      <c r="E2861" s="5" t="s">
        <v>36</v>
      </c>
      <c r="F2861" s="5" t="s">
        <v>7193</v>
      </c>
      <c r="G2861" s="5" t="s">
        <v>7194</v>
      </c>
      <c r="H2861" s="5" t="s">
        <v>8053</v>
      </c>
      <c r="I2861" s="5" t="s">
        <v>8273</v>
      </c>
      <c r="J2861" s="5" t="s">
        <v>8274</v>
      </c>
      <c r="K2861" s="7" t="str">
        <f ca="1">IFERROR(__xludf.DUMMYFUNCTION("GOOGLETRANSLATE(H2861,""EN"",""ES"")"),"PIEZAS, EQUIPOS Y ACCESORIOS PARA VEHÍCULOS, NO COMPRENDIDOS EN OTRAS CLASES O SUBCLASES")</f>
        <v>PIEZAS, EQUIPOS Y ACCESORIOS PARA VEHÍCULOS, NO COMPRENDIDOS EN OTRAS CLASES O SUBCLASES</v>
      </c>
      <c r="L2861" s="5" t="str">
        <f ca="1">IFERROR(__xludf.DUMMYFUNCTION("GOOGLETRANSLATE(J2861,""EN"",""ES"")"),"Alas de vehículos")</f>
        <v>Alas de vehículos</v>
      </c>
      <c r="M2861" s="1" t="s">
        <v>38</v>
      </c>
      <c r="N2861" s="8"/>
    </row>
    <row r="2862" spans="1:14" ht="11.25" customHeight="1">
      <c r="A2862" s="5" t="s">
        <v>7189</v>
      </c>
      <c r="B2862" s="5" t="s">
        <v>8051</v>
      </c>
      <c r="C2862" s="5" t="s">
        <v>8275</v>
      </c>
      <c r="D2862" s="5" t="s">
        <v>7192</v>
      </c>
      <c r="E2862" s="5" t="s">
        <v>36</v>
      </c>
      <c r="F2862" s="5" t="s">
        <v>7193</v>
      </c>
      <c r="G2862" s="5" t="s">
        <v>7194</v>
      </c>
      <c r="H2862" s="5" t="s">
        <v>8053</v>
      </c>
      <c r="I2862" s="5" t="s">
        <v>8276</v>
      </c>
      <c r="J2862" s="5" t="s">
        <v>8277</v>
      </c>
      <c r="K2862" s="7" t="str">
        <f ca="1">IFERROR(__xludf.DUMMYFUNCTION("GOOGLETRANSLATE(H2862,""EN"",""ES"")"),"PIEZAS, EQUIPOS Y ACCESORIOS PARA VEHÍCULOS, NO COMPRENDIDOS EN OTRAS CLASES O SUBCLASES")</f>
        <v>PIEZAS, EQUIPOS Y ACCESORIOS PARA VEHÍCULOS, NO COMPRENDIDOS EN OTRAS CLASES O SUBCLASES</v>
      </c>
      <c r="L2862" s="5" t="str">
        <f ca="1">IFERROR(__xludf.DUMMYFUNCTION("GOOGLETRANSLATE(J2862,""EN"",""ES"")"),"Puertas de vehículos")</f>
        <v>Puertas de vehículos</v>
      </c>
      <c r="M2862" s="1" t="s">
        <v>38</v>
      </c>
      <c r="N2862" s="8"/>
    </row>
    <row r="2863" spans="1:14" ht="11.25" customHeight="1">
      <c r="A2863" s="5" t="s">
        <v>7189</v>
      </c>
      <c r="B2863" s="5" t="s">
        <v>8051</v>
      </c>
      <c r="C2863" s="5" t="s">
        <v>8278</v>
      </c>
      <c r="D2863" s="5" t="s">
        <v>7192</v>
      </c>
      <c r="E2863" s="5" t="s">
        <v>36</v>
      </c>
      <c r="F2863" s="5" t="s">
        <v>7193</v>
      </c>
      <c r="G2863" s="5" t="s">
        <v>7194</v>
      </c>
      <c r="H2863" s="5" t="s">
        <v>8053</v>
      </c>
      <c r="I2863" s="5" t="s">
        <v>8279</v>
      </c>
      <c r="J2863" s="5" t="s">
        <v>8280</v>
      </c>
      <c r="K2863" s="7" t="str">
        <f ca="1">IFERROR(__xludf.DUMMYFUNCTION("GOOGLETRANSLATE(H2863,""EN"",""ES"")"),"PIEZAS, EQUIPOS Y ACCESORIOS PARA VEHÍCULOS, NO COMPRENDIDOS EN OTRAS CLASES O SUBCLASES")</f>
        <v>PIEZAS, EQUIPOS Y ACCESORIOS PARA VEHÍCULOS, NO COMPRENDIDOS EN OTRAS CLASES O SUBCLASES</v>
      </c>
      <c r="L2863" s="5" t="str">
        <f ca="1">IFERROR(__xludf.DUMMYFUNCTION("GOOGLETRANSLATE(J2863,""EN"",""ES"")"),"Cabinas para vehículos")</f>
        <v>Cabinas para vehículos</v>
      </c>
      <c r="M2863" s="1" t="s">
        <v>38</v>
      </c>
      <c r="N2863" s="8"/>
    </row>
    <row r="2864" spans="1:14" ht="11.25" customHeight="1">
      <c r="A2864" s="5" t="s">
        <v>7189</v>
      </c>
      <c r="B2864" s="5" t="s">
        <v>8051</v>
      </c>
      <c r="C2864" s="5" t="s">
        <v>8281</v>
      </c>
      <c r="D2864" s="5" t="s">
        <v>7192</v>
      </c>
      <c r="E2864" s="5" t="s">
        <v>36</v>
      </c>
      <c r="F2864" s="5" t="s">
        <v>7193</v>
      </c>
      <c r="G2864" s="5" t="s">
        <v>7194</v>
      </c>
      <c r="H2864" s="5" t="s">
        <v>8053</v>
      </c>
      <c r="I2864" s="5" t="s">
        <v>8282</v>
      </c>
      <c r="J2864" s="5" t="s">
        <v>8283</v>
      </c>
      <c r="K2864" s="7" t="str">
        <f ca="1">IFERROR(__xludf.DUMMYFUNCTION("GOOGLETRANSLATE(H2864,""EN"",""ES"")"),"PIEZAS, EQUIPOS Y ACCESORIOS PARA VEHÍCULOS, NO COMPRENDIDOS EN OTRAS CLASES O SUBCLASES")</f>
        <v>PIEZAS, EQUIPOS Y ACCESORIOS PARA VEHÍCULOS, NO COMPRENDIDOS EN OTRAS CLASES O SUBCLASES</v>
      </c>
      <c r="L2864" s="5" t="str">
        <f ca="1">IFERROR(__xludf.DUMMYFUNCTION("GOOGLETRANSLATE(J2864,""EN"",""ES"")"),"Cofres de techo para vehículos")</f>
        <v>Cofres de techo para vehículos</v>
      </c>
      <c r="M2864" s="1" t="s">
        <v>38</v>
      </c>
      <c r="N2864" s="8"/>
    </row>
    <row r="2865" spans="1:14" ht="11.25" customHeight="1">
      <c r="A2865" s="5" t="s">
        <v>7189</v>
      </c>
      <c r="B2865" s="5" t="s">
        <v>8051</v>
      </c>
      <c r="C2865" s="5" t="s">
        <v>8284</v>
      </c>
      <c r="D2865" s="5" t="s">
        <v>7192</v>
      </c>
      <c r="E2865" s="5" t="s">
        <v>36</v>
      </c>
      <c r="F2865" s="5" t="s">
        <v>7193</v>
      </c>
      <c r="G2865" s="5" t="s">
        <v>7194</v>
      </c>
      <c r="H2865" s="5" t="s">
        <v>8053</v>
      </c>
      <c r="I2865" s="5" t="s">
        <v>8285</v>
      </c>
      <c r="J2865" s="5" t="s">
        <v>8286</v>
      </c>
      <c r="K2865" s="7" t="str">
        <f ca="1">IFERROR(__xludf.DUMMYFUNCTION("GOOGLETRANSLATE(H2865,""EN"",""ES"")"),"PIEZAS, EQUIPOS Y ACCESORIOS PARA VEHÍCULOS, NO COMPRENDIDOS EN OTRAS CLASES O SUBCLASES")</f>
        <v>PIEZAS, EQUIPOS Y ACCESORIOS PARA VEHÍCULOS, NO COMPRENDIDOS EN OTRAS CLASES O SUBCLASES</v>
      </c>
      <c r="L2865" s="5" t="str">
        <f ca="1">IFERROR(__xludf.DUMMYFUNCTION("GOOGLETRANSLATE(J2865,""EN"",""ES"")"),"Depósitos de lavado para vehículos")</f>
        <v>Depósitos de lavado para vehículos</v>
      </c>
      <c r="M2865" s="1" t="s">
        <v>38</v>
      </c>
      <c r="N2865" s="8"/>
    </row>
    <row r="2866" spans="1:14" ht="11.25" customHeight="1">
      <c r="A2866" s="5" t="s">
        <v>7189</v>
      </c>
      <c r="B2866" s="5" t="s">
        <v>8051</v>
      </c>
      <c r="C2866" s="5" t="s">
        <v>8287</v>
      </c>
      <c r="D2866" s="5" t="s">
        <v>7192</v>
      </c>
      <c r="E2866" s="5" t="s">
        <v>36</v>
      </c>
      <c r="F2866" s="5" t="s">
        <v>7193</v>
      </c>
      <c r="G2866" s="5" t="s">
        <v>7194</v>
      </c>
      <c r="H2866" s="5" t="s">
        <v>8053</v>
      </c>
      <c r="I2866" s="5" t="s">
        <v>8288</v>
      </c>
      <c r="J2866" s="5" t="s">
        <v>8289</v>
      </c>
      <c r="K2866" s="7" t="str">
        <f ca="1">IFERROR(__xludf.DUMMYFUNCTION("GOOGLETRANSLATE(H2866,""EN"",""ES"")"),"PIEZAS, EQUIPOS Y ACCESORIOS PARA VEHÍCULOS, NO COMPRENDIDOS EN OTRAS CLASES O SUBCLASES")</f>
        <v>PIEZAS, EQUIPOS Y ACCESORIOS PARA VEHÍCULOS, NO COMPRENDIDOS EN OTRAS CLASES O SUBCLASES</v>
      </c>
      <c r="L2866" s="5" t="str">
        <f ca="1">IFERROR(__xludf.DUMMYFUNCTION("GOOGLETRANSLATE(J2866,""EN"",""ES"")"),"Boquillas de lavado para vehículos")</f>
        <v>Boquillas de lavado para vehículos</v>
      </c>
      <c r="M2866" s="1" t="s">
        <v>38</v>
      </c>
      <c r="N2866" s="8"/>
    </row>
    <row r="2867" spans="1:14" ht="11.25" customHeight="1">
      <c r="A2867" s="5" t="s">
        <v>7189</v>
      </c>
      <c r="B2867" s="5" t="s">
        <v>8051</v>
      </c>
      <c r="C2867" s="5" t="s">
        <v>8290</v>
      </c>
      <c r="D2867" s="5" t="s">
        <v>7192</v>
      </c>
      <c r="E2867" s="5" t="s">
        <v>36</v>
      </c>
      <c r="F2867" s="5" t="s">
        <v>7193</v>
      </c>
      <c r="G2867" s="5" t="s">
        <v>7194</v>
      </c>
      <c r="H2867" s="5" t="s">
        <v>8053</v>
      </c>
      <c r="I2867" s="5" t="s">
        <v>8291</v>
      </c>
      <c r="J2867" s="5" t="s">
        <v>8292</v>
      </c>
      <c r="K2867" s="7" t="str">
        <f ca="1">IFERROR(__xludf.DUMMYFUNCTION("GOOGLETRANSLATE(H2867,""EN"",""ES"")"),"PIEZAS, EQUIPOS Y ACCESORIOS PARA VEHÍCULOS, NO COMPRENDIDOS EN OTRAS CLASES O SUBCLASES")</f>
        <v>PIEZAS, EQUIPOS Y ACCESORIOS PARA VEHÍCULOS, NO COMPRENDIDOS EN OTRAS CLASES O SUBCLASES</v>
      </c>
      <c r="L2867" s="5" t="str">
        <f ca="1">IFERROR(__xludf.DUMMYFUNCTION("GOOGLETRANSLATE(J2867,""EN"",""ES"")"),"Portabicicletas para vehículos")</f>
        <v>Portabicicletas para vehículos</v>
      </c>
      <c r="M2867" s="1" t="s">
        <v>38</v>
      </c>
      <c r="N2867" s="8"/>
    </row>
    <row r="2868" spans="1:14" ht="11.25" customHeight="1">
      <c r="A2868" s="5" t="s">
        <v>7189</v>
      </c>
      <c r="B2868" s="5" t="s">
        <v>8051</v>
      </c>
      <c r="C2868" s="5" t="s">
        <v>8293</v>
      </c>
      <c r="D2868" s="5" t="s">
        <v>7192</v>
      </c>
      <c r="E2868" s="5" t="s">
        <v>36</v>
      </c>
      <c r="F2868" s="5" t="s">
        <v>7193</v>
      </c>
      <c r="G2868" s="5" t="s">
        <v>7194</v>
      </c>
      <c r="H2868" s="5" t="s">
        <v>8053</v>
      </c>
      <c r="I2868" s="5" t="s">
        <v>8294</v>
      </c>
      <c r="J2868" s="5" t="s">
        <v>8295</v>
      </c>
      <c r="K2868" s="7" t="str">
        <f ca="1">IFERROR(__xludf.DUMMYFUNCTION("GOOGLETRANSLATE(H2868,""EN"",""ES"")"),"PIEZAS, EQUIPOS Y ACCESORIOS PARA VEHÍCULOS, NO COMPRENDIDOS EN OTRAS CLASES O SUBCLASES")</f>
        <v>PIEZAS, EQUIPOS Y ACCESORIOS PARA VEHÍCULOS, NO COMPRENDIDOS EN OTRAS CLASES O SUBCLASES</v>
      </c>
      <c r="L2868" s="5" t="str">
        <f ca="1">IFERROR(__xludf.DUMMYFUNCTION("GOOGLETRANSLATE(J2868,""EN"",""ES"")"),"Espejos retrovisores laterales para vehículos [exteriores]")</f>
        <v>Espejos retrovisores laterales para vehículos [exteriores]</v>
      </c>
      <c r="M2868" s="1" t="s">
        <v>38</v>
      </c>
      <c r="N2868" s="8"/>
    </row>
    <row r="2869" spans="1:14" ht="11.25" customHeight="1">
      <c r="A2869" s="5" t="s">
        <v>7189</v>
      </c>
      <c r="B2869" s="5" t="s">
        <v>8051</v>
      </c>
      <c r="C2869" s="5" t="s">
        <v>8296</v>
      </c>
      <c r="D2869" s="5" t="s">
        <v>7192</v>
      </c>
      <c r="E2869" s="5" t="s">
        <v>36</v>
      </c>
      <c r="F2869" s="5" t="s">
        <v>7193</v>
      </c>
      <c r="G2869" s="5" t="s">
        <v>7194</v>
      </c>
      <c r="H2869" s="5" t="s">
        <v>8053</v>
      </c>
      <c r="I2869" s="5" t="s">
        <v>8297</v>
      </c>
      <c r="J2869" s="5" t="s">
        <v>8298</v>
      </c>
      <c r="K2869" s="7" t="str">
        <f ca="1">IFERROR(__xludf.DUMMYFUNCTION("GOOGLETRANSLATE(H2869,""EN"",""ES"")"),"PIEZAS, EQUIPOS Y ACCESORIOS PARA VEHÍCULOS, NO COMPRENDIDOS EN OTRAS CLASES O SUBCLASES")</f>
        <v>PIEZAS, EQUIPOS Y ACCESORIOS PARA VEHÍCULOS, NO COMPRENDIDOS EN OTRAS CLASES O SUBCLASES</v>
      </c>
      <c r="L2869" s="5" t="str">
        <f ca="1">IFERROR(__xludf.DUMMYFUNCTION("GOOGLETRANSLATE(J2869,""EN"",""ES"")"),"Consolas superiores para vehículos")</f>
        <v>Consolas superiores para vehículos</v>
      </c>
      <c r="M2869" s="1" t="s">
        <v>38</v>
      </c>
      <c r="N2869" s="8"/>
    </row>
    <row r="2870" spans="1:14" ht="11.25" customHeight="1">
      <c r="A2870" s="5" t="s">
        <v>7189</v>
      </c>
      <c r="B2870" s="5" t="s">
        <v>8299</v>
      </c>
      <c r="C2870" s="5" t="s">
        <v>8300</v>
      </c>
      <c r="D2870" s="5" t="s">
        <v>7192</v>
      </c>
      <c r="E2870" s="5" t="s">
        <v>36</v>
      </c>
      <c r="F2870" s="5" t="s">
        <v>7193</v>
      </c>
      <c r="G2870" s="5" t="s">
        <v>7194</v>
      </c>
      <c r="H2870" s="5" t="s">
        <v>8301</v>
      </c>
      <c r="I2870" s="5" t="s">
        <v>8302</v>
      </c>
      <c r="J2870" s="5" t="s">
        <v>8303</v>
      </c>
      <c r="K2870" s="7" t="str">
        <f ca="1">IFERROR(__xludf.DUMMYFUNCTION("GOOGLETRANSLATE(H2870,""EN"",""ES"")"),"Componentes de infraestructura ferroviaria")</f>
        <v>Componentes de infraestructura ferroviaria</v>
      </c>
      <c r="L2870" s="5" t="str">
        <f ca="1">IFERROR(__xludf.DUMMYFUNCTION("GOOGLETRANSLATE(J2870,""EN"",""ES"")"),"Cambios de ferrocarril")</f>
        <v>Cambios de ferrocarril</v>
      </c>
      <c r="M2870" s="1" t="s">
        <v>38</v>
      </c>
      <c r="N2870" s="8"/>
    </row>
    <row r="2871" spans="1:14" ht="11.25" customHeight="1">
      <c r="A2871" s="5" t="s">
        <v>7189</v>
      </c>
      <c r="B2871" s="5" t="s">
        <v>8299</v>
      </c>
      <c r="C2871" s="5" t="s">
        <v>8300</v>
      </c>
      <c r="D2871" s="5" t="s">
        <v>7192</v>
      </c>
      <c r="E2871" s="5" t="s">
        <v>36</v>
      </c>
      <c r="F2871" s="5" t="s">
        <v>7193</v>
      </c>
      <c r="G2871" s="5" t="s">
        <v>7194</v>
      </c>
      <c r="H2871" s="5" t="s">
        <v>8301</v>
      </c>
      <c r="I2871" s="5" t="s">
        <v>8304</v>
      </c>
      <c r="J2871" s="5" t="s">
        <v>152</v>
      </c>
      <c r="K2871" s="7" t="str">
        <f ca="1">IFERROR(__xludf.DUMMYFUNCTION("GOOGLETRANSLATE(H2871,""EN"",""ES"")"),"Componentes de infraestructura ferroviaria")</f>
        <v>Componentes de infraestructura ferroviaria</v>
      </c>
      <c r="L2871" s="5" t="str">
        <f ca="1">IFERROR(__xludf.DUMMYFUNCTION("GOOGLETRANSLATE(J2871,""EN"",""ES"")"),"Puntos ferroviarios")</f>
        <v>Puntos ferroviarios</v>
      </c>
      <c r="M2871" s="1" t="s">
        <v>38</v>
      </c>
      <c r="N2871" s="8"/>
    </row>
    <row r="2872" spans="1:14" ht="11.25" customHeight="1">
      <c r="A2872" s="5" t="s">
        <v>7189</v>
      </c>
      <c r="B2872" s="5" t="s">
        <v>8299</v>
      </c>
      <c r="C2872" s="5" t="s">
        <v>8305</v>
      </c>
      <c r="D2872" s="5" t="s">
        <v>7192</v>
      </c>
      <c r="E2872" s="5" t="s">
        <v>36</v>
      </c>
      <c r="F2872" s="5" t="s">
        <v>7193</v>
      </c>
      <c r="G2872" s="5" t="s">
        <v>7194</v>
      </c>
      <c r="H2872" s="5" t="s">
        <v>8301</v>
      </c>
      <c r="I2872" s="5" t="s">
        <v>8306</v>
      </c>
      <c r="J2872" s="5" t="s">
        <v>8307</v>
      </c>
      <c r="K2872" s="7" t="str">
        <f ca="1">IFERROR(__xludf.DUMMYFUNCTION("GOOGLETRANSLATE(H2872,""EN"",""ES"")"),"Componentes de infraestructura ferroviaria")</f>
        <v>Componentes de infraestructura ferroviaria</v>
      </c>
      <c r="L2872" s="5" t="str">
        <f ca="1">IFERROR(__xludf.DUMMYFUNCTION("GOOGLETRANSLATE(J2872,""EN"",""ES"")"),"Anclajes de carril")</f>
        <v>Anclajes de carril</v>
      </c>
      <c r="M2872" s="1" t="s">
        <v>38</v>
      </c>
      <c r="N2872" s="8"/>
    </row>
    <row r="2873" spans="1:14" ht="11.25" customHeight="1">
      <c r="A2873" s="5" t="s">
        <v>7189</v>
      </c>
      <c r="B2873" s="5" t="s">
        <v>8299</v>
      </c>
      <c r="C2873" s="5" t="s">
        <v>8308</v>
      </c>
      <c r="D2873" s="5" t="s">
        <v>7192</v>
      </c>
      <c r="E2873" s="5" t="s">
        <v>36</v>
      </c>
      <c r="F2873" s="5" t="s">
        <v>7193</v>
      </c>
      <c r="G2873" s="5" t="s">
        <v>7194</v>
      </c>
      <c r="H2873" s="5" t="s">
        <v>8301</v>
      </c>
      <c r="I2873" s="5" t="s">
        <v>8309</v>
      </c>
      <c r="J2873" s="5" t="s">
        <v>8310</v>
      </c>
      <c r="K2873" s="7" t="str">
        <f ca="1">IFERROR(__xludf.DUMMYFUNCTION("GOOGLETRANSLATE(H2873,""EN"",""ES"")"),"Componentes de infraestructura ferroviaria")</f>
        <v>Componentes de infraestructura ferroviaria</v>
      </c>
      <c r="L2873" s="5" t="str">
        <f ca="1">IFERROR(__xludf.DUMMYFUNCTION("GOOGLETRANSLATE(J2873,""EN"",""ES"")"),"Juntas de carril")</f>
        <v>Juntas de carril</v>
      </c>
      <c r="M2873" s="1" t="s">
        <v>38</v>
      </c>
      <c r="N2873" s="8"/>
    </row>
    <row r="2874" spans="1:14" ht="11.25" customHeight="1">
      <c r="A2874" s="5" t="s">
        <v>7189</v>
      </c>
      <c r="B2874" s="5" t="s">
        <v>8299</v>
      </c>
      <c r="C2874" s="5" t="s">
        <v>8311</v>
      </c>
      <c r="D2874" s="5" t="s">
        <v>7192</v>
      </c>
      <c r="E2874" s="5" t="s">
        <v>36</v>
      </c>
      <c r="F2874" s="5" t="s">
        <v>7193</v>
      </c>
      <c r="G2874" s="5" t="s">
        <v>7194</v>
      </c>
      <c r="H2874" s="5" t="s">
        <v>8301</v>
      </c>
      <c r="I2874" s="5" t="s">
        <v>8312</v>
      </c>
      <c r="J2874" s="5" t="s">
        <v>8313</v>
      </c>
      <c r="K2874" s="7" t="str">
        <f ca="1">IFERROR(__xludf.DUMMYFUNCTION("GOOGLETRANSLATE(H2874,""EN"",""ES"")"),"Componentes de infraestructura ferroviaria")</f>
        <v>Componentes de infraestructura ferroviaria</v>
      </c>
      <c r="L2874" s="5" t="str">
        <f ca="1">IFERROR(__xludf.DUMMYFUNCTION("GOOGLETRANSLATE(J2874,""EN"",""ES"")"),"Tocadiscos de ferrocarril")</f>
        <v>Tocadiscos de ferrocarril</v>
      </c>
      <c r="M2874" s="1" t="s">
        <v>38</v>
      </c>
      <c r="N2874" s="8"/>
    </row>
    <row r="2875" spans="1:14" ht="11.25" customHeight="1">
      <c r="A2875" s="5" t="s">
        <v>7189</v>
      </c>
      <c r="B2875" s="5" t="s">
        <v>8314</v>
      </c>
      <c r="C2875" s="5" t="s">
        <v>8315</v>
      </c>
      <c r="D2875" s="5" t="s">
        <v>7192</v>
      </c>
      <c r="E2875" s="5" t="s">
        <v>36</v>
      </c>
      <c r="F2875" s="5" t="s">
        <v>7193</v>
      </c>
      <c r="G2875" s="5" t="s">
        <v>7194</v>
      </c>
      <c r="H2875" s="5" t="s">
        <v>330</v>
      </c>
      <c r="I2875" s="5" t="s">
        <v>8316</v>
      </c>
      <c r="J2875" s="5" t="s">
        <v>8317</v>
      </c>
      <c r="K2875" s="7" t="str">
        <f ca="1">IFERROR(__xludf.DUMMYFUNCTION("GOOGLETRANSLATE(H2875,""EN"",""ES"")"),"MISCELÁNEAS")</f>
        <v>MISCELÁNEAS</v>
      </c>
      <c r="L2875" s="5" t="str">
        <f ca="1">IFERROR(__xludf.DUMMYFUNCTION("GOOGLETRANSLATE(J2875,""EN"",""ES"")"),"Catapultas para aviones")</f>
        <v>Catapultas para aviones</v>
      </c>
      <c r="M2875" s="1" t="s">
        <v>38</v>
      </c>
      <c r="N2875" s="8"/>
    </row>
    <row r="2876" spans="1:14" ht="11.25" customHeight="1">
      <c r="A2876" s="5" t="s">
        <v>7189</v>
      </c>
      <c r="B2876" s="5" t="s">
        <v>8314</v>
      </c>
      <c r="C2876" s="5" t="s">
        <v>8318</v>
      </c>
      <c r="D2876" s="5" t="s">
        <v>7192</v>
      </c>
      <c r="E2876" s="5" t="s">
        <v>36</v>
      </c>
      <c r="F2876" s="5" t="s">
        <v>7193</v>
      </c>
      <c r="G2876" s="5" t="s">
        <v>7194</v>
      </c>
      <c r="H2876" s="5" t="s">
        <v>330</v>
      </c>
      <c r="I2876" s="5" t="s">
        <v>8319</v>
      </c>
      <c r="J2876" s="5" t="s">
        <v>8320</v>
      </c>
      <c r="K2876" s="7" t="str">
        <f ca="1">IFERROR(__xludf.DUMMYFUNCTION("GOOGLETRANSLATE(H2876,""EN"",""ES"")"),"MISCELÁNEAS")</f>
        <v>MISCELÁNEAS</v>
      </c>
      <c r="L2876" s="5" t="str">
        <f ca="1">IFERROR(__xludf.DUMMYFUNCTION("GOOGLETRANSLATE(J2876,""EN"",""ES"")"),"Dispositivos de limpieza para varillas de nivel de aceite.")</f>
        <v>Dispositivos de limpieza para varillas de nivel de aceite.</v>
      </c>
      <c r="M2876" s="1" t="s">
        <v>38</v>
      </c>
      <c r="N2876" s="8"/>
    </row>
    <row r="2877" spans="1:14" ht="11.25" customHeight="1">
      <c r="A2877" s="5" t="s">
        <v>8321</v>
      </c>
      <c r="B2877" s="5" t="s">
        <v>8322</v>
      </c>
      <c r="C2877" s="5" t="s">
        <v>8323</v>
      </c>
      <c r="D2877" s="5" t="s">
        <v>8324</v>
      </c>
      <c r="E2877" s="5" t="s">
        <v>42</v>
      </c>
      <c r="F2877" s="5" t="s">
        <v>8325</v>
      </c>
      <c r="G2877" s="5" t="s">
        <v>8326</v>
      </c>
      <c r="H2877" s="5" t="s">
        <v>8327</v>
      </c>
      <c r="I2877" s="5" t="s">
        <v>8328</v>
      </c>
      <c r="J2877" s="5" t="s">
        <v>8328</v>
      </c>
      <c r="K2877" s="7" t="str">
        <f ca="1">IFERROR(__xludf.DUMMYFUNCTION("GOOGLETRANSLATE(H2877,""EN"",""ES"")"),"GENERADORES Y MOTORES")</f>
        <v>GENERADORES Y MOTORES</v>
      </c>
      <c r="L2877" s="5" t="str">
        <f ca="1">IFERROR(__xludf.DUMMYFUNCTION("GOOGLETRANSLATE(J2877,""EN"",""ES"")"),"Dinamos")</f>
        <v>Dinamos</v>
      </c>
      <c r="M2877" s="8" t="s">
        <v>41</v>
      </c>
      <c r="N2877" s="8"/>
    </row>
    <row r="2878" spans="1:14" ht="11.25" customHeight="1">
      <c r="A2878" s="5" t="s">
        <v>8321</v>
      </c>
      <c r="B2878" s="5" t="s">
        <v>8322</v>
      </c>
      <c r="C2878" s="5" t="s">
        <v>8329</v>
      </c>
      <c r="D2878" s="5" t="s">
        <v>8324</v>
      </c>
      <c r="E2878" s="5" t="s">
        <v>42</v>
      </c>
      <c r="F2878" s="5" t="s">
        <v>8325</v>
      </c>
      <c r="G2878" s="5" t="s">
        <v>8326</v>
      </c>
      <c r="H2878" s="5" t="s">
        <v>8327</v>
      </c>
      <c r="I2878" s="5" t="s">
        <v>8330</v>
      </c>
      <c r="J2878" s="5" t="s">
        <v>8331</v>
      </c>
      <c r="K2878" s="7" t="str">
        <f ca="1">IFERROR(__xludf.DUMMYFUNCTION("GOOGLETRANSLATE(H2878,""EN"",""ES"")"),"GENERADORES Y MOTORES")</f>
        <v>GENERADORES Y MOTORES</v>
      </c>
      <c r="L2878" s="5" t="str">
        <f ca="1">IFERROR(__xludf.DUMMYFUNCTION("GOOGLETRANSLATE(J2878,""EN"",""ES"")"),"Generadores electricos")</f>
        <v>Generadores electricos</v>
      </c>
      <c r="M2878" s="8" t="s">
        <v>41</v>
      </c>
      <c r="N2878" s="8"/>
    </row>
    <row r="2879" spans="1:14" ht="11.25" customHeight="1">
      <c r="A2879" s="5" t="s">
        <v>8321</v>
      </c>
      <c r="B2879" s="5" t="s">
        <v>8322</v>
      </c>
      <c r="C2879" s="5" t="s">
        <v>8332</v>
      </c>
      <c r="D2879" s="5" t="s">
        <v>8324</v>
      </c>
      <c r="E2879" s="5" t="s">
        <v>42</v>
      </c>
      <c r="F2879" s="5" t="s">
        <v>8325</v>
      </c>
      <c r="G2879" s="5" t="s">
        <v>8326</v>
      </c>
      <c r="H2879" s="5" t="s">
        <v>8327</v>
      </c>
      <c r="I2879" s="5" t="s">
        <v>8333</v>
      </c>
      <c r="J2879" s="5" t="s">
        <v>8334</v>
      </c>
      <c r="K2879" s="7" t="str">
        <f ca="1">IFERROR(__xludf.DUMMYFUNCTION("GOOGLETRANSLATE(H2879,""EN"",""ES"")"),"GENERADORES Y MOTORES")</f>
        <v>GENERADORES Y MOTORES</v>
      </c>
      <c r="L2879" s="5" t="str">
        <f ca="1">IFERROR(__xludf.DUMMYFUNCTION("GOOGLETRANSLATE(J2879,""EN"",""ES"")"),"Motores eléctricos")</f>
        <v>Motores eléctricos</v>
      </c>
      <c r="M2879" s="8" t="s">
        <v>41</v>
      </c>
      <c r="N2879" s="8"/>
    </row>
    <row r="2880" spans="1:14" ht="11.25" customHeight="1">
      <c r="A2880" s="5" t="s">
        <v>8321</v>
      </c>
      <c r="B2880" s="5" t="s">
        <v>8322</v>
      </c>
      <c r="C2880" s="5" t="s">
        <v>8335</v>
      </c>
      <c r="D2880" s="5" t="s">
        <v>8324</v>
      </c>
      <c r="E2880" s="5" t="s">
        <v>42</v>
      </c>
      <c r="F2880" s="5" t="s">
        <v>8325</v>
      </c>
      <c r="G2880" s="5" t="s">
        <v>8326</v>
      </c>
      <c r="H2880" s="5" t="s">
        <v>8327</v>
      </c>
      <c r="I2880" s="5" t="s">
        <v>8336</v>
      </c>
      <c r="J2880" s="5" t="s">
        <v>8337</v>
      </c>
      <c r="K2880" s="7" t="str">
        <f ca="1">IFERROR(__xludf.DUMMYFUNCTION("GOOGLETRANSLATE(H2880,""EN"",""ES"")"),"GENERADORES Y MOTORES")</f>
        <v>GENERADORES Y MOTORES</v>
      </c>
      <c r="L2880" s="5" t="str">
        <f ca="1">IFERROR(__xludf.DUMMYFUNCTION("GOOGLETRANSLATE(J2880,""EN"",""ES"")"),"Rotores de motores y generadores eléctricos.")</f>
        <v>Rotores de motores y generadores eléctricos.</v>
      </c>
      <c r="M2880" s="8" t="s">
        <v>41</v>
      </c>
      <c r="N2880" s="8"/>
    </row>
    <row r="2881" spans="1:14" ht="11.25" customHeight="1">
      <c r="A2881" s="5" t="s">
        <v>8321</v>
      </c>
      <c r="B2881" s="5" t="s">
        <v>8322</v>
      </c>
      <c r="C2881" s="5" t="s">
        <v>8338</v>
      </c>
      <c r="D2881" s="5" t="s">
        <v>8324</v>
      </c>
      <c r="E2881" s="5" t="s">
        <v>42</v>
      </c>
      <c r="F2881" s="5" t="s">
        <v>8325</v>
      </c>
      <c r="G2881" s="5" t="s">
        <v>8326</v>
      </c>
      <c r="H2881" s="5" t="s">
        <v>8327</v>
      </c>
      <c r="I2881" s="5" t="s">
        <v>8339</v>
      </c>
      <c r="J2881" s="5" t="s">
        <v>8340</v>
      </c>
      <c r="K2881" s="7" t="str">
        <f ca="1">IFERROR(__xludf.DUMMYFUNCTION("GOOGLETRANSLATE(H2881,""EN"",""ES"")"),"GENERADORES Y MOTORES")</f>
        <v>GENERADORES Y MOTORES</v>
      </c>
      <c r="L2881" s="5" t="str">
        <f ca="1">IFERROR(__xludf.DUMMYFUNCTION("GOOGLETRANSLATE(J2881,""EN"",""ES"")"),"Estatores de motores y generadores eléctricos.")</f>
        <v>Estatores de motores y generadores eléctricos.</v>
      </c>
      <c r="M2881" s="8" t="s">
        <v>41</v>
      </c>
      <c r="N2881" s="8"/>
    </row>
    <row r="2882" spans="1:14" ht="11.25" customHeight="1">
      <c r="A2882" s="5" t="s">
        <v>8321</v>
      </c>
      <c r="B2882" s="5" t="s">
        <v>8341</v>
      </c>
      <c r="C2882" s="5" t="s">
        <v>8342</v>
      </c>
      <c r="D2882" s="5" t="s">
        <v>8324</v>
      </c>
      <c r="E2882" s="5" t="s">
        <v>42</v>
      </c>
      <c r="F2882" s="5" t="s">
        <v>8325</v>
      </c>
      <c r="G2882" s="5" t="s">
        <v>8326</v>
      </c>
      <c r="H2882" s="5" t="s">
        <v>8343</v>
      </c>
      <c r="I2882" s="5" t="s">
        <v>8344</v>
      </c>
      <c r="J2882" s="5" t="s">
        <v>8345</v>
      </c>
      <c r="K2882" s="7" t="str">
        <f ca="1">IFERROR(__xludf.DUMMYFUNCTION("GOOGLETRANSLATE(H2882,""EN"",""ES"")"),"TRANSFORMADORES DE POTENCIA, RECTIFICADORES, BATERÍAS Y ACUMULADORES")</f>
        <v>TRANSFORMADORES DE POTENCIA, RECTIFICADORES, BATERÍAS Y ACUMULADORES</v>
      </c>
      <c r="L2882" s="5" t="str">
        <f ca="1">IFERROR(__xludf.DUMMYFUNCTION("GOOGLETRANSLATE(J2882,""EN"",""ES"")"),"Rejillas para acumuladores")</f>
        <v>Rejillas para acumuladores</v>
      </c>
      <c r="M2882" s="8" t="s">
        <v>41</v>
      </c>
      <c r="N2882" s="8"/>
    </row>
    <row r="2883" spans="1:14" ht="11.25" customHeight="1">
      <c r="A2883" s="5" t="s">
        <v>8321</v>
      </c>
      <c r="B2883" s="5" t="s">
        <v>8341</v>
      </c>
      <c r="C2883" s="5" t="s">
        <v>8346</v>
      </c>
      <c r="D2883" s="5" t="s">
        <v>8324</v>
      </c>
      <c r="E2883" s="5" t="s">
        <v>42</v>
      </c>
      <c r="F2883" s="5" t="s">
        <v>8325</v>
      </c>
      <c r="G2883" s="5" t="s">
        <v>8326</v>
      </c>
      <c r="H2883" s="5" t="s">
        <v>8343</v>
      </c>
      <c r="I2883" s="5" t="s">
        <v>8347</v>
      </c>
      <c r="J2883" s="5" t="s">
        <v>8348</v>
      </c>
      <c r="K2883" s="7" t="str">
        <f ca="1">IFERROR(__xludf.DUMMYFUNCTION("GOOGLETRANSLATE(H2883,""EN"",""ES"")"),"TRANSFORMADORES DE POTENCIA, RECTIFICADORES, BATERÍAS Y ACUMULADORES")</f>
        <v>TRANSFORMADORES DE POTENCIA, RECTIFICADORES, BATERÍAS Y ACUMULADORES</v>
      </c>
      <c r="L2883" s="5" t="str">
        <f ca="1">IFERROR(__xludf.DUMMYFUNCTION("GOOGLETRANSLATE(J2883,""EN"",""ES"")"),"Acumuladores eléctricos")</f>
        <v>Acumuladores eléctricos</v>
      </c>
      <c r="M2883" s="8" t="s">
        <v>41</v>
      </c>
      <c r="N2883" s="8"/>
    </row>
    <row r="2884" spans="1:14" ht="11.25" customHeight="1">
      <c r="A2884" s="5" t="s">
        <v>8321</v>
      </c>
      <c r="B2884" s="5" t="s">
        <v>8341</v>
      </c>
      <c r="C2884" s="5" t="s">
        <v>8349</v>
      </c>
      <c r="D2884" s="5" t="s">
        <v>8324</v>
      </c>
      <c r="E2884" s="5" t="s">
        <v>42</v>
      </c>
      <c r="F2884" s="5" t="s">
        <v>8325</v>
      </c>
      <c r="G2884" s="5" t="s">
        <v>8326</v>
      </c>
      <c r="H2884" s="5" t="s">
        <v>8343</v>
      </c>
      <c r="I2884" s="5" t="s">
        <v>8350</v>
      </c>
      <c r="J2884" s="5" t="s">
        <v>8351</v>
      </c>
      <c r="K2884" s="7" t="str">
        <f ca="1">IFERROR(__xludf.DUMMYFUNCTION("GOOGLETRANSLATE(H2884,""EN"",""ES"")"),"TRANSFORMADORES DE POTENCIA, RECTIFICADORES, BATERÍAS Y ACUMULADORES")</f>
        <v>TRANSFORMADORES DE POTENCIA, RECTIFICADORES, BATERÍAS Y ACUMULADORES</v>
      </c>
      <c r="L2884" s="5" t="str">
        <f ca="1">IFERROR(__xludf.DUMMYFUNCTION("GOOGLETRANSLATE(J2884,""EN"",""ES"")"),"Baterías eléctricas")</f>
        <v>Baterías eléctricas</v>
      </c>
      <c r="M2884" s="8" t="s">
        <v>41</v>
      </c>
      <c r="N2884" s="8"/>
    </row>
    <row r="2885" spans="1:14" ht="11.25" customHeight="1">
      <c r="A2885" s="5" t="s">
        <v>8321</v>
      </c>
      <c r="B2885" s="5" t="s">
        <v>8341</v>
      </c>
      <c r="C2885" s="5" t="s">
        <v>8352</v>
      </c>
      <c r="D2885" s="5" t="s">
        <v>8324</v>
      </c>
      <c r="E2885" s="5" t="s">
        <v>42</v>
      </c>
      <c r="F2885" s="5" t="s">
        <v>8325</v>
      </c>
      <c r="G2885" s="5" t="s">
        <v>8326</v>
      </c>
      <c r="H2885" s="5" t="s">
        <v>8343</v>
      </c>
      <c r="I2885" s="5" t="s">
        <v>8353</v>
      </c>
      <c r="J2885" s="5" t="s">
        <v>8354</v>
      </c>
      <c r="K2885" s="7" t="str">
        <f ca="1">IFERROR(__xludf.DUMMYFUNCTION("GOOGLETRANSLATE(H2885,""EN"",""ES"")"),"TRANSFORMADORES DE POTENCIA, RECTIFICADORES, BATERÍAS Y ACUMULADORES")</f>
        <v>TRANSFORMADORES DE POTENCIA, RECTIFICADORES, BATERÍAS Y ACUMULADORES</v>
      </c>
      <c r="L2885" s="5" t="str">
        <f ca="1">IFERROR(__xludf.DUMMYFUNCTION("GOOGLETRANSLATE(J2885,""EN"",""ES"")"),"Aparato para electrificar cercas para ganado.")</f>
        <v>Aparato para electrificar cercas para ganado.</v>
      </c>
      <c r="M2885" s="8" t="s">
        <v>41</v>
      </c>
      <c r="N2885" s="8"/>
    </row>
    <row r="2886" spans="1:14" ht="11.25" customHeight="1">
      <c r="A2886" s="5" t="s">
        <v>8321</v>
      </c>
      <c r="B2886" s="5" t="s">
        <v>8341</v>
      </c>
      <c r="C2886" s="5" t="s">
        <v>8355</v>
      </c>
      <c r="D2886" s="5" t="s">
        <v>8324</v>
      </c>
      <c r="E2886" s="5" t="s">
        <v>42</v>
      </c>
      <c r="F2886" s="5" t="s">
        <v>8325</v>
      </c>
      <c r="G2886" s="5" t="s">
        <v>8326</v>
      </c>
      <c r="H2886" s="5" t="s">
        <v>8343</v>
      </c>
      <c r="I2886" s="5" t="s">
        <v>8356</v>
      </c>
      <c r="J2886" s="5" t="s">
        <v>8357</v>
      </c>
      <c r="K2886" s="7" t="str">
        <f ca="1">IFERROR(__xludf.DUMMYFUNCTION("GOOGLETRANSLATE(H2886,""EN"",""ES"")"),"TRANSFORMADORES DE POTENCIA, RECTIFICADORES, BATERÍAS Y ACUMULADORES")</f>
        <v>TRANSFORMADORES DE POTENCIA, RECTIFICADORES, BATERÍAS Y ACUMULADORES</v>
      </c>
      <c r="L2886" s="5" t="str">
        <f ca="1">IFERROR(__xludf.DUMMYFUNCTION("GOOGLETRANSLATE(J2886,""EN"",""ES"")"),"Transformadores reductores y elevadores")</f>
        <v>Transformadores reductores y elevadores</v>
      </c>
      <c r="M2886" s="8" t="s">
        <v>41</v>
      </c>
      <c r="N2886" s="8"/>
    </row>
    <row r="2887" spans="1:14" ht="11.25" customHeight="1">
      <c r="A2887" s="5" t="s">
        <v>8321</v>
      </c>
      <c r="B2887" s="5" t="s">
        <v>8341</v>
      </c>
      <c r="C2887" s="5" t="s">
        <v>8355</v>
      </c>
      <c r="D2887" s="5" t="s">
        <v>8324</v>
      </c>
      <c r="E2887" s="5" t="s">
        <v>42</v>
      </c>
      <c r="F2887" s="5" t="s">
        <v>8325</v>
      </c>
      <c r="G2887" s="5" t="s">
        <v>8326</v>
      </c>
      <c r="H2887" s="5" t="s">
        <v>8343</v>
      </c>
      <c r="I2887" s="5" t="s">
        <v>8358</v>
      </c>
      <c r="J2887" s="5" t="s">
        <v>8359</v>
      </c>
      <c r="K2887" s="7" t="str">
        <f ca="1">IFERROR(__xludf.DUMMYFUNCTION("GOOGLETRANSLATE(H2887,""EN"",""ES"")"),"TRANSFORMADORES DE POTENCIA, RECTIFICADORES, BATERÍAS Y ACUMULADORES")</f>
        <v>TRANSFORMADORES DE POTENCIA, RECTIFICADORES, BATERÍAS Y ACUMULADORES</v>
      </c>
      <c r="L2887" s="5" t="str">
        <f ca="1">IFERROR(__xludf.DUMMYFUNCTION("GOOGLETRANSLATE(J2887,""EN"",""ES"")"),"Transformadores elevadores y reductores")</f>
        <v>Transformadores elevadores y reductores</v>
      </c>
      <c r="M2887" s="8" t="s">
        <v>41</v>
      </c>
      <c r="N2887" s="8"/>
    </row>
    <row r="2888" spans="1:14" ht="11.25" customHeight="1">
      <c r="A2888" s="5" t="s">
        <v>8321</v>
      </c>
      <c r="B2888" s="5" t="s">
        <v>8341</v>
      </c>
      <c r="C2888" s="5" t="s">
        <v>8360</v>
      </c>
      <c r="D2888" s="5" t="s">
        <v>8324</v>
      </c>
      <c r="E2888" s="5" t="s">
        <v>42</v>
      </c>
      <c r="F2888" s="5" t="s">
        <v>8325</v>
      </c>
      <c r="G2888" s="5" t="s">
        <v>8326</v>
      </c>
      <c r="H2888" s="5" t="s">
        <v>8343</v>
      </c>
      <c r="I2888" s="5" t="s">
        <v>8361</v>
      </c>
      <c r="J2888" s="5" t="s">
        <v>8362</v>
      </c>
      <c r="K2888" s="7" t="str">
        <f ca="1">IFERROR(__xludf.DUMMYFUNCTION("GOOGLETRANSLATE(H2888,""EN"",""ES"")"),"TRANSFORMADORES DE POTENCIA, RECTIFICADORES, BATERÍAS Y ACUMULADORES")</f>
        <v>TRANSFORMADORES DE POTENCIA, RECTIFICADORES, BATERÍAS Y ACUMULADORES</v>
      </c>
      <c r="L2888" s="5" t="str">
        <f ca="1">IFERROR(__xludf.DUMMYFUNCTION("GOOGLETRANSLATE(J2888,""EN"",""ES"")"),"Baterías secas")</f>
        <v>Baterías secas</v>
      </c>
      <c r="M2888" s="8" t="s">
        <v>41</v>
      </c>
      <c r="N2888" s="8"/>
    </row>
    <row r="2889" spans="1:14" ht="11.25" customHeight="1">
      <c r="A2889" s="5" t="s">
        <v>8321</v>
      </c>
      <c r="B2889" s="5" t="s">
        <v>8341</v>
      </c>
      <c r="C2889" s="5" t="s">
        <v>8363</v>
      </c>
      <c r="D2889" s="5" t="s">
        <v>8324</v>
      </c>
      <c r="E2889" s="5" t="s">
        <v>42</v>
      </c>
      <c r="F2889" s="5" t="s">
        <v>8325</v>
      </c>
      <c r="G2889" s="5" t="s">
        <v>8326</v>
      </c>
      <c r="H2889" s="5" t="s">
        <v>8343</v>
      </c>
      <c r="I2889" s="5" t="s">
        <v>8364</v>
      </c>
      <c r="J2889" s="5" t="s">
        <v>8365</v>
      </c>
      <c r="K2889" s="7" t="str">
        <f ca="1">IFERROR(__xludf.DUMMYFUNCTION("GOOGLETRANSLATE(H2889,""EN"",""ES"")"),"TRANSFORMADORES DE POTENCIA, RECTIFICADORES, BATERÍAS Y ACUMULADORES")</f>
        <v>TRANSFORMADORES DE POTENCIA, RECTIFICADORES, BATERÍAS Y ACUMULADORES</v>
      </c>
      <c r="L2889" s="5" t="str">
        <f ca="1">IFERROR(__xludf.DUMMYFUNCTION("GOOGLETRANSLATE(J2889,""EN"",""ES"")"),"Reguladores de voltaje")</f>
        <v>Reguladores de voltaje</v>
      </c>
      <c r="M2889" s="8" t="s">
        <v>41</v>
      </c>
      <c r="N2889" s="8"/>
    </row>
    <row r="2890" spans="1:14" ht="11.25" customHeight="1">
      <c r="A2890" s="5" t="s">
        <v>8321</v>
      </c>
      <c r="B2890" s="5" t="s">
        <v>8341</v>
      </c>
      <c r="C2890" s="5" t="s">
        <v>8366</v>
      </c>
      <c r="D2890" s="5" t="s">
        <v>8324</v>
      </c>
      <c r="E2890" s="5" t="s">
        <v>42</v>
      </c>
      <c r="F2890" s="5" t="s">
        <v>8325</v>
      </c>
      <c r="G2890" s="5" t="s">
        <v>8326</v>
      </c>
      <c r="H2890" s="5" t="s">
        <v>8343</v>
      </c>
      <c r="I2890" s="5" t="s">
        <v>8367</v>
      </c>
      <c r="J2890" s="5" t="s">
        <v>8368</v>
      </c>
      <c r="K2890" s="7" t="str">
        <f ca="1">IFERROR(__xludf.DUMMYFUNCTION("GOOGLETRANSLATE(H2890,""EN"",""ES"")"),"TRANSFORMADORES DE POTENCIA, RECTIFICADORES, BATERÍAS Y ACUMULADORES")</f>
        <v>TRANSFORMADORES DE POTENCIA, RECTIFICADORES, BATERÍAS Y ACUMULADORES</v>
      </c>
      <c r="L2890" s="5" t="str">
        <f ca="1">IFERROR(__xludf.DUMMYFUNCTION("GOOGLETRANSLATE(J2890,""EN"",""ES"")"),"transformadores")</f>
        <v>transformadores</v>
      </c>
      <c r="M2890" s="8" t="s">
        <v>41</v>
      </c>
      <c r="N2890" s="8"/>
    </row>
    <row r="2891" spans="1:14" ht="11.25" customHeight="1">
      <c r="A2891" s="5" t="s">
        <v>8321</v>
      </c>
      <c r="B2891" s="5" t="s">
        <v>8341</v>
      </c>
      <c r="C2891" s="5" t="s">
        <v>8369</v>
      </c>
      <c r="D2891" s="5" t="s">
        <v>8324</v>
      </c>
      <c r="E2891" s="5" t="s">
        <v>42</v>
      </c>
      <c r="F2891" s="5" t="s">
        <v>8325</v>
      </c>
      <c r="G2891" s="5" t="s">
        <v>8326</v>
      </c>
      <c r="H2891" s="5" t="s">
        <v>8343</v>
      </c>
      <c r="I2891" s="5" t="s">
        <v>8370</v>
      </c>
      <c r="J2891" s="5" t="s">
        <v>8371</v>
      </c>
      <c r="K2891" s="7" t="str">
        <f ca="1">IFERROR(__xludf.DUMMYFUNCTION("GOOGLETRANSLATE(H2891,""EN"",""ES"")"),"TRANSFORMADORES DE POTENCIA, RECTIFICADORES, BATERÍAS Y ACUMULADORES")</f>
        <v>TRANSFORMADORES DE POTENCIA, RECTIFICADORES, BATERÍAS Y ACUMULADORES</v>
      </c>
      <c r="L2891" s="5" t="str">
        <f ca="1">IFERROR(__xludf.DUMMYFUNCTION("GOOGLETRANSLATE(J2891,""EN"",""ES"")"),"bobinas de inducción")</f>
        <v>bobinas de inducción</v>
      </c>
      <c r="M2891" s="8" t="s">
        <v>41</v>
      </c>
      <c r="N2891" s="8"/>
    </row>
    <row r="2892" spans="1:14" ht="11.25" customHeight="1">
      <c r="A2892" s="5" t="s">
        <v>8321</v>
      </c>
      <c r="B2892" s="5" t="s">
        <v>8341</v>
      </c>
      <c r="C2892" s="5" t="s">
        <v>8372</v>
      </c>
      <c r="D2892" s="5" t="s">
        <v>8324</v>
      </c>
      <c r="E2892" s="5" t="s">
        <v>42</v>
      </c>
      <c r="F2892" s="5" t="s">
        <v>8325</v>
      </c>
      <c r="G2892" s="5" t="s">
        <v>8326</v>
      </c>
      <c r="H2892" s="5" t="s">
        <v>8343</v>
      </c>
      <c r="I2892" s="5" t="s">
        <v>8373</v>
      </c>
      <c r="J2892" s="5" t="s">
        <v>8374</v>
      </c>
      <c r="K2892" s="7" t="str">
        <f ca="1">IFERROR(__xludf.DUMMYFUNCTION("GOOGLETRANSLATE(H2892,""EN"",""ES"")"),"TRANSFORMADORES DE POTENCIA, RECTIFICADORES, BATERÍAS Y ACUMULADORES")</f>
        <v>TRANSFORMADORES DE POTENCIA, RECTIFICADORES, BATERÍAS Y ACUMULADORES</v>
      </c>
      <c r="L2892" s="5" t="str">
        <f ca="1">IFERROR(__xludf.DUMMYFUNCTION("GOOGLETRANSLATE(J2892,""EN"",""ES"")"),"Tarros acumuladores")</f>
        <v>Tarros acumuladores</v>
      </c>
      <c r="M2892" s="8" t="s">
        <v>41</v>
      </c>
      <c r="N2892" s="8"/>
    </row>
    <row r="2893" spans="1:14" ht="11.25" customHeight="1">
      <c r="A2893" s="5" t="s">
        <v>8321</v>
      </c>
      <c r="B2893" s="5" t="s">
        <v>8341</v>
      </c>
      <c r="C2893" s="5" t="s">
        <v>8375</v>
      </c>
      <c r="D2893" s="5" t="s">
        <v>8324</v>
      </c>
      <c r="E2893" s="5" t="s">
        <v>42</v>
      </c>
      <c r="F2893" s="5" t="s">
        <v>8325</v>
      </c>
      <c r="G2893" s="5" t="s">
        <v>8326</v>
      </c>
      <c r="H2893" s="5" t="s">
        <v>8343</v>
      </c>
      <c r="I2893" s="5" t="s">
        <v>8376</v>
      </c>
      <c r="J2893" s="5" t="s">
        <v>8377</v>
      </c>
      <c r="K2893" s="7" t="str">
        <f ca="1">IFERROR(__xludf.DUMMYFUNCTION("GOOGLETRANSLATE(H2893,""EN"",""ES"")"),"TRANSFORMADORES DE POTENCIA, RECTIFICADORES, BATERÍAS Y ACUMULADORES")</f>
        <v>TRANSFORMADORES DE POTENCIA, RECTIFICADORES, BATERÍAS Y ACUMULADORES</v>
      </c>
      <c r="L2893" s="5" t="str">
        <f ca="1">IFERROR(__xludf.DUMMYFUNCTION("GOOGLETRANSLATE(J2893,""EN"",""ES"")"),"Bobinas de encendido para motores.")</f>
        <v>Bobinas de encendido para motores.</v>
      </c>
      <c r="M2893" s="8" t="s">
        <v>41</v>
      </c>
      <c r="N2893" s="8"/>
    </row>
    <row r="2894" spans="1:14" ht="11.25" customHeight="1">
      <c r="A2894" s="5" t="s">
        <v>8321</v>
      </c>
      <c r="B2894" s="5" t="s">
        <v>8341</v>
      </c>
      <c r="C2894" s="5" t="s">
        <v>8378</v>
      </c>
      <c r="D2894" s="5" t="s">
        <v>8324</v>
      </c>
      <c r="E2894" s="5" t="s">
        <v>42</v>
      </c>
      <c r="F2894" s="5" t="s">
        <v>8325</v>
      </c>
      <c r="G2894" s="5" t="s">
        <v>8326</v>
      </c>
      <c r="H2894" s="5" t="s">
        <v>8343</v>
      </c>
      <c r="I2894" s="5" t="s">
        <v>8379</v>
      </c>
      <c r="J2894" s="5" t="s">
        <v>8380</v>
      </c>
      <c r="K2894" s="7" t="str">
        <f ca="1">IFERROR(__xludf.DUMMYFUNCTION("GOOGLETRANSLATE(H2894,""EN"",""ES"")"),"TRANSFORMADORES DE POTENCIA, RECTIFICADORES, BATERÍAS Y ACUMULADORES")</f>
        <v>TRANSFORMADORES DE POTENCIA, RECTIFICADORES, BATERÍAS Y ACUMULADORES</v>
      </c>
      <c r="L2894" s="5" t="str">
        <f ca="1">IFERROR(__xludf.DUMMYFUNCTION("GOOGLETRANSLATE(J2894,""EN"",""ES"")"),"Placas acumuladoras")</f>
        <v>Placas acumuladoras</v>
      </c>
      <c r="M2894" s="8" t="s">
        <v>41</v>
      </c>
      <c r="N2894" s="8"/>
    </row>
    <row r="2895" spans="1:14" ht="11.25" customHeight="1">
      <c r="A2895" s="5" t="s">
        <v>8321</v>
      </c>
      <c r="B2895" s="5" t="s">
        <v>8341</v>
      </c>
      <c r="C2895" s="5" t="s">
        <v>8378</v>
      </c>
      <c r="D2895" s="5" t="s">
        <v>8324</v>
      </c>
      <c r="E2895" s="5" t="s">
        <v>42</v>
      </c>
      <c r="F2895" s="5" t="s">
        <v>8325</v>
      </c>
      <c r="G2895" s="5" t="s">
        <v>8326</v>
      </c>
      <c r="H2895" s="5" t="s">
        <v>8343</v>
      </c>
      <c r="I2895" s="5" t="s">
        <v>8381</v>
      </c>
      <c r="J2895" s="5" t="s">
        <v>152</v>
      </c>
      <c r="K2895" s="7" t="str">
        <f ca="1">IFERROR(__xludf.DUMMYFUNCTION("GOOGLETRANSLATE(H2895,""EN"",""ES"")"),"TRANSFORMADORES DE POTENCIA, RECTIFICADORES, BATERÍAS Y ACUMULADORES")</f>
        <v>TRANSFORMADORES DE POTENCIA, RECTIFICADORES, BATERÍAS Y ACUMULADORES</v>
      </c>
      <c r="L2895" s="5" t="str">
        <f ca="1">IFERROR(__xludf.DUMMYFUNCTION("GOOGLETRANSLATE(J2895,""EN"",""ES"")"),"Placas de batería")</f>
        <v>Placas de batería</v>
      </c>
      <c r="M2895" s="8" t="s">
        <v>41</v>
      </c>
      <c r="N2895" s="8"/>
    </row>
    <row r="2896" spans="1:14" ht="11.25" customHeight="1">
      <c r="A2896" s="5" t="s">
        <v>8321</v>
      </c>
      <c r="B2896" s="5" t="s">
        <v>8341</v>
      </c>
      <c r="C2896" s="5" t="s">
        <v>8382</v>
      </c>
      <c r="D2896" s="5" t="s">
        <v>8324</v>
      </c>
      <c r="E2896" s="5" t="s">
        <v>42</v>
      </c>
      <c r="F2896" s="5" t="s">
        <v>8325</v>
      </c>
      <c r="G2896" s="5" t="s">
        <v>8326</v>
      </c>
      <c r="H2896" s="5" t="s">
        <v>8343</v>
      </c>
      <c r="I2896" s="5" t="s">
        <v>8383</v>
      </c>
      <c r="J2896" s="5" t="s">
        <v>8384</v>
      </c>
      <c r="K2896" s="7" t="str">
        <f ca="1">IFERROR(__xludf.DUMMYFUNCTION("GOOGLETRANSLATE(H2896,""EN"",""ES"")"),"TRANSFORMADORES DE POTENCIA, RECTIFICADORES, BATERÍAS Y ACUMULADORES")</f>
        <v>TRANSFORMADORES DE POTENCIA, RECTIFICADORES, BATERÍAS Y ACUMULADORES</v>
      </c>
      <c r="L2896" s="5" t="str">
        <f ca="1">IFERROR(__xludf.DUMMYFUNCTION("GOOGLETRANSLATE(J2896,""EN"",""ES"")"),"Rectificadores de corriente")</f>
        <v>Rectificadores de corriente</v>
      </c>
      <c r="M2896" s="8" t="s">
        <v>41</v>
      </c>
      <c r="N2896" s="8"/>
    </row>
    <row r="2897" spans="1:14" ht="11.25" customHeight="1">
      <c r="A2897" s="5" t="s">
        <v>8321</v>
      </c>
      <c r="B2897" s="5" t="s">
        <v>8341</v>
      </c>
      <c r="C2897" s="5" t="s">
        <v>8385</v>
      </c>
      <c r="D2897" s="5" t="s">
        <v>8324</v>
      </c>
      <c r="E2897" s="5" t="s">
        <v>42</v>
      </c>
      <c r="F2897" s="5" t="s">
        <v>8325</v>
      </c>
      <c r="G2897" s="5" t="s">
        <v>8326</v>
      </c>
      <c r="H2897" s="5" t="s">
        <v>8343</v>
      </c>
      <c r="I2897" s="5" t="s">
        <v>8386</v>
      </c>
      <c r="J2897" s="5" t="s">
        <v>8387</v>
      </c>
      <c r="K2897" s="7" t="str">
        <f ca="1">IFERROR(__xludf.DUMMYFUNCTION("GOOGLETRANSLATE(H2897,""EN"",""ES"")"),"TRANSFORMADORES DE POTENCIA, RECTIFICADORES, BATERÍAS Y ACUMULADORES")</f>
        <v>TRANSFORMADORES DE POTENCIA, RECTIFICADORES, BATERÍAS Y ACUMULADORES</v>
      </c>
      <c r="L2897" s="5" t="str">
        <f ca="1">IFERROR(__xludf.DUMMYFUNCTION("GOOGLETRANSLATE(J2897,""EN"",""ES"")"),"Bobinas de autoinducción")</f>
        <v>Bobinas de autoinducción</v>
      </c>
      <c r="M2897" s="8" t="s">
        <v>41</v>
      </c>
      <c r="N2897" s="8"/>
    </row>
    <row r="2898" spans="1:14" ht="11.25" customHeight="1">
      <c r="A2898" s="5" t="s">
        <v>8321</v>
      </c>
      <c r="B2898" s="5" t="s">
        <v>8341</v>
      </c>
      <c r="C2898" s="5" t="s">
        <v>8388</v>
      </c>
      <c r="D2898" s="5" t="s">
        <v>8324</v>
      </c>
      <c r="E2898" s="5" t="s">
        <v>42</v>
      </c>
      <c r="F2898" s="5" t="s">
        <v>8325</v>
      </c>
      <c r="G2898" s="5" t="s">
        <v>8326</v>
      </c>
      <c r="H2898" s="5" t="s">
        <v>8343</v>
      </c>
      <c r="I2898" s="5" t="s">
        <v>8389</v>
      </c>
      <c r="J2898" s="5" t="s">
        <v>8390</v>
      </c>
      <c r="K2898" s="7" t="str">
        <f ca="1">IFERROR(__xludf.DUMMYFUNCTION("GOOGLETRANSLATE(H2898,""EN"",""ES"")"),"TRANSFORMADORES DE POTENCIA, RECTIFICADORES, BATERÍAS Y ACUMULADORES")</f>
        <v>TRANSFORMADORES DE POTENCIA, RECTIFICADORES, BATERÍAS Y ACUMULADORES</v>
      </c>
      <c r="L2898" s="5" t="str">
        <f ca="1">IFERROR(__xludf.DUMMYFUNCTION("GOOGLETRANSLATE(J2898,""EN"",""ES"")"),"Aparato de carga de acumuladores")</f>
        <v>Aparato de carga de acumuladores</v>
      </c>
      <c r="M2898" s="8" t="s">
        <v>41</v>
      </c>
      <c r="N2898" s="8"/>
    </row>
    <row r="2899" spans="1:14" ht="11.25" customHeight="1">
      <c r="A2899" s="5" t="s">
        <v>8321</v>
      </c>
      <c r="B2899" s="5" t="s">
        <v>8341</v>
      </c>
      <c r="C2899" s="5" t="s">
        <v>8391</v>
      </c>
      <c r="D2899" s="5" t="s">
        <v>8324</v>
      </c>
      <c r="E2899" s="5" t="s">
        <v>42</v>
      </c>
      <c r="F2899" s="5" t="s">
        <v>8325</v>
      </c>
      <c r="G2899" s="5" t="s">
        <v>8326</v>
      </c>
      <c r="H2899" s="5" t="s">
        <v>8343</v>
      </c>
      <c r="I2899" s="5" t="s">
        <v>8392</v>
      </c>
      <c r="J2899" s="5" t="s">
        <v>8393</v>
      </c>
      <c r="K2899" s="7" t="str">
        <f ca="1">IFERROR(__xludf.DUMMYFUNCTION("GOOGLETRANSLATE(H2899,""EN"",""ES"")"),"TRANSFORMADORES DE POTENCIA, RECTIFICADORES, BATERÍAS Y ACUMULADORES")</f>
        <v>TRANSFORMADORES DE POTENCIA, RECTIFICADORES, BATERÍAS Y ACUMULADORES</v>
      </c>
      <c r="L2899" s="5" t="str">
        <f ca="1">IFERROR(__xludf.DUMMYFUNCTION("GOOGLETRANSLATE(J2899,""EN"",""ES"")"),"Unidades de fuente de alimentación universales")</f>
        <v>Unidades de fuente de alimentación universales</v>
      </c>
      <c r="M2899" s="8" t="s">
        <v>41</v>
      </c>
      <c r="N2899" s="8"/>
    </row>
    <row r="2900" spans="1:14" ht="11.25" customHeight="1">
      <c r="A2900" s="5" t="s">
        <v>8321</v>
      </c>
      <c r="B2900" s="5" t="s">
        <v>8341</v>
      </c>
      <c r="C2900" s="5" t="s">
        <v>8394</v>
      </c>
      <c r="D2900" s="5" t="s">
        <v>8324</v>
      </c>
      <c r="E2900" s="5" t="s">
        <v>42</v>
      </c>
      <c r="F2900" s="5" t="s">
        <v>8325</v>
      </c>
      <c r="G2900" s="5" t="s">
        <v>8326</v>
      </c>
      <c r="H2900" s="5" t="s">
        <v>8343</v>
      </c>
      <c r="I2900" s="5" t="s">
        <v>8395</v>
      </c>
      <c r="J2900" s="5" t="s">
        <v>8396</v>
      </c>
      <c r="K2900" s="7" t="str">
        <f ca="1">IFERROR(__xludf.DUMMYFUNCTION("GOOGLETRANSLATE(H2900,""EN"",""ES"")"),"TRANSFORMADORES DE POTENCIA, RECTIFICADORES, BATERÍAS Y ACUMULADORES")</f>
        <v>TRANSFORMADORES DE POTENCIA, RECTIFICADORES, BATERÍAS Y ACUMULADORES</v>
      </c>
      <c r="L2900" s="5" t="str">
        <f ca="1">IFERROR(__xludf.DUMMYFUNCTION("GOOGLETRANSLATE(J2900,""EN"",""ES"")"),"Cargadores eléctricos para teléfonos.")</f>
        <v>Cargadores eléctricos para teléfonos.</v>
      </c>
      <c r="M2900" s="8" t="s">
        <v>41</v>
      </c>
      <c r="N2900" s="8"/>
    </row>
    <row r="2901" spans="1:14" ht="11.25" customHeight="1">
      <c r="A2901" s="5" t="s">
        <v>8321</v>
      </c>
      <c r="B2901" s="5" t="s">
        <v>8341</v>
      </c>
      <c r="C2901" s="5" t="s">
        <v>8397</v>
      </c>
      <c r="D2901" s="5" t="s">
        <v>8324</v>
      </c>
      <c r="E2901" s="5" t="s">
        <v>42</v>
      </c>
      <c r="F2901" s="5" t="s">
        <v>8325</v>
      </c>
      <c r="G2901" s="5" t="s">
        <v>8326</v>
      </c>
      <c r="H2901" s="5" t="s">
        <v>8343</v>
      </c>
      <c r="I2901" s="5" t="s">
        <v>8398</v>
      </c>
      <c r="J2901" s="5" t="s">
        <v>8399</v>
      </c>
      <c r="K2901" s="7" t="str">
        <f ca="1">IFERROR(__xludf.DUMMYFUNCTION("GOOGLETRANSLATE(H2901,""EN"",""ES"")"),"TRANSFORMADORES DE POTENCIA, RECTIFICADORES, BATERÍAS Y ACUMULADORES")</f>
        <v>TRANSFORMADORES DE POTENCIA, RECTIFICADORES, BATERÍAS Y ACUMULADORES</v>
      </c>
      <c r="L2901" s="5" t="str">
        <f ca="1">IFERROR(__xludf.DUMMYFUNCTION("GOOGLETRANSLATE(J2901,""EN"",""ES"")"),"Cajas de baterías para teléfonos portátiles")</f>
        <v>Cajas de baterías para teléfonos portátiles</v>
      </c>
      <c r="M2901" s="8" t="s">
        <v>41</v>
      </c>
      <c r="N2901" s="8"/>
    </row>
    <row r="2902" spans="1:14" ht="11.25" customHeight="1">
      <c r="A2902" s="5" t="s">
        <v>8321</v>
      </c>
      <c r="B2902" s="5" t="s">
        <v>8341</v>
      </c>
      <c r="C2902" s="5" t="s">
        <v>8400</v>
      </c>
      <c r="D2902" s="5" t="s">
        <v>8324</v>
      </c>
      <c r="E2902" s="5" t="s">
        <v>42</v>
      </c>
      <c r="F2902" s="5" t="s">
        <v>8325</v>
      </c>
      <c r="G2902" s="5" t="s">
        <v>8326</v>
      </c>
      <c r="H2902" s="5" t="s">
        <v>8343</v>
      </c>
      <c r="I2902" s="5" t="s">
        <v>8401</v>
      </c>
      <c r="J2902" s="5" t="s">
        <v>8402</v>
      </c>
      <c r="K2902" s="7" t="str">
        <f ca="1">IFERROR(__xludf.DUMMYFUNCTION("GOOGLETRANSLATE(H2902,""EN"",""ES"")"),"TRANSFORMADORES DE POTENCIA, RECTIFICADORES, BATERÍAS Y ACUMULADORES")</f>
        <v>TRANSFORMADORES DE POTENCIA, RECTIFICADORES, BATERÍAS Y ACUMULADORES</v>
      </c>
      <c r="L2902" s="5" t="str">
        <f ca="1">IFERROR(__xludf.DUMMYFUNCTION("GOOGLETRANSLATE(J2902,""EN"",""ES"")"),"Baterías recargables")</f>
        <v>Baterías recargables</v>
      </c>
      <c r="M2902" s="8" t="s">
        <v>41</v>
      </c>
      <c r="N2902" s="8"/>
    </row>
    <row r="2903" spans="1:14" ht="11.25" customHeight="1">
      <c r="A2903" s="5" t="s">
        <v>8321</v>
      </c>
      <c r="B2903" s="5" t="s">
        <v>8341</v>
      </c>
      <c r="C2903" s="5" t="s">
        <v>8403</v>
      </c>
      <c r="D2903" s="5" t="s">
        <v>8324</v>
      </c>
      <c r="E2903" s="5" t="s">
        <v>42</v>
      </c>
      <c r="F2903" s="5" t="s">
        <v>8325</v>
      </c>
      <c r="G2903" s="5" t="s">
        <v>8326</v>
      </c>
      <c r="H2903" s="5" t="s">
        <v>8343</v>
      </c>
      <c r="I2903" s="5" t="s">
        <v>8404</v>
      </c>
      <c r="J2903" s="5" t="s">
        <v>8405</v>
      </c>
      <c r="K2903" s="7" t="str">
        <f ca="1">IFERROR(__xludf.DUMMYFUNCTION("GOOGLETRANSLATE(H2903,""EN"",""ES"")"),"TRANSFORMADORES DE POTENCIA, RECTIFICADORES, BATERÍAS Y ACUMULADORES")</f>
        <v>TRANSFORMADORES DE POTENCIA, RECTIFICADORES, BATERÍAS Y ACUMULADORES</v>
      </c>
      <c r="L2903" s="5" t="str">
        <f ca="1">IFERROR(__xludf.DUMMYFUNCTION("GOOGLETRANSLATE(J2903,""EN"",""ES"")"),"Carcasas para cargadores de baterías")</f>
        <v>Carcasas para cargadores de baterías</v>
      </c>
      <c r="M2903" s="8" t="s">
        <v>41</v>
      </c>
      <c r="N2903" s="8"/>
    </row>
    <row r="2904" spans="1:14" ht="11.25" customHeight="1">
      <c r="A2904" s="5" t="s">
        <v>8321</v>
      </c>
      <c r="B2904" s="5" t="s">
        <v>8341</v>
      </c>
      <c r="C2904" s="5" t="s">
        <v>8406</v>
      </c>
      <c r="D2904" s="5" t="s">
        <v>8324</v>
      </c>
      <c r="E2904" s="5" t="s">
        <v>42</v>
      </c>
      <c r="F2904" s="5" t="s">
        <v>8325</v>
      </c>
      <c r="G2904" s="5" t="s">
        <v>8326</v>
      </c>
      <c r="H2904" s="5" t="s">
        <v>8343</v>
      </c>
      <c r="I2904" s="5" t="s">
        <v>8407</v>
      </c>
      <c r="J2904" s="5" t="s">
        <v>8408</v>
      </c>
      <c r="K2904" s="7" t="str">
        <f ca="1">IFERROR(__xludf.DUMMYFUNCTION("GOOGLETRANSLATE(H2904,""EN"",""ES"")"),"TRANSFORMADORES DE POTENCIA, RECTIFICADORES, BATERÍAS Y ACUMULADORES")</f>
        <v>TRANSFORMADORES DE POTENCIA, RECTIFICADORES, BATERÍAS Y ACUMULADORES</v>
      </c>
      <c r="L2904" s="5" t="str">
        <f ca="1">IFERROR(__xludf.DUMMYFUNCTION("GOOGLETRANSLATE(J2904,""EN"",""ES"")"),"Estuches de carga de baterías para dispositivos móviles")</f>
        <v>Estuches de carga de baterías para dispositivos móviles</v>
      </c>
      <c r="M2904" s="8" t="s">
        <v>41</v>
      </c>
      <c r="N2904" s="8"/>
    </row>
    <row r="2905" spans="1:14" ht="11.25" customHeight="1">
      <c r="A2905" s="5" t="s">
        <v>8321</v>
      </c>
      <c r="B2905" s="5" t="s">
        <v>8341</v>
      </c>
      <c r="C2905" s="5" t="s">
        <v>8409</v>
      </c>
      <c r="D2905" s="5" t="s">
        <v>8324</v>
      </c>
      <c r="E2905" s="5" t="s">
        <v>42</v>
      </c>
      <c r="F2905" s="5" t="s">
        <v>8325</v>
      </c>
      <c r="G2905" s="5" t="s">
        <v>8326</v>
      </c>
      <c r="H2905" s="5" t="s">
        <v>8343</v>
      </c>
      <c r="I2905" s="5" t="s">
        <v>8410</v>
      </c>
      <c r="J2905" s="5" t="s">
        <v>8411</v>
      </c>
      <c r="K2905" s="7" t="str">
        <f ca="1">IFERROR(__xludf.DUMMYFUNCTION("GOOGLETRANSLATE(H2905,""EN"",""ES"")"),"TRANSFORMADORES DE POTENCIA, RECTIFICADORES, BATERÍAS Y ACUMULADORES")</f>
        <v>TRANSFORMADORES DE POTENCIA, RECTIFICADORES, BATERÍAS Y ACUMULADORES</v>
      </c>
      <c r="L2905" s="5" t="str">
        <f ca="1">IFERROR(__xludf.DUMMYFUNCTION("GOOGLETRANSLATE(J2905,""EN"",""ES"")"),"Inversores de corriente")</f>
        <v>Inversores de corriente</v>
      </c>
      <c r="M2905" s="8" t="s">
        <v>41</v>
      </c>
      <c r="N2905" s="8"/>
    </row>
    <row r="2906" spans="1:14" ht="11.25" customHeight="1">
      <c r="A2906" s="5" t="s">
        <v>8321</v>
      </c>
      <c r="B2906" s="5" t="s">
        <v>8341</v>
      </c>
      <c r="C2906" s="5" t="s">
        <v>8412</v>
      </c>
      <c r="D2906" s="5" t="s">
        <v>8324</v>
      </c>
      <c r="E2906" s="5" t="s">
        <v>42</v>
      </c>
      <c r="F2906" s="5" t="s">
        <v>8325</v>
      </c>
      <c r="G2906" s="5" t="s">
        <v>8326</v>
      </c>
      <c r="H2906" s="5" t="s">
        <v>8343</v>
      </c>
      <c r="I2906" s="5" t="s">
        <v>8413</v>
      </c>
      <c r="J2906" s="5" t="s">
        <v>8414</v>
      </c>
      <c r="K2906" s="7" t="str">
        <f ca="1">IFERROR(__xludf.DUMMYFUNCTION("GOOGLETRANSLATE(H2906,""EN"",""ES"")"),"TRANSFORMADORES DE POTENCIA, RECTIFICADORES, BATERÍAS Y ACUMULADORES")</f>
        <v>TRANSFORMADORES DE POTENCIA, RECTIFICADORES, BATERÍAS Y ACUMULADORES</v>
      </c>
      <c r="L2906" s="5" t="str">
        <f ca="1">IFERROR(__xludf.DUMMYFUNCTION("GOOGLETRANSLATE(J2906,""EN"",""ES"")"),"Estaciones de carga para dispositivos móviles")</f>
        <v>Estaciones de carga para dispositivos móviles</v>
      </c>
      <c r="M2906" s="8" t="s">
        <v>41</v>
      </c>
      <c r="N2906" s="8"/>
    </row>
    <row r="2907" spans="1:14" ht="11.25" customHeight="1">
      <c r="A2907" s="5" t="s">
        <v>8321</v>
      </c>
      <c r="B2907" s="5" t="s">
        <v>8341</v>
      </c>
      <c r="C2907" s="5" t="s">
        <v>8412</v>
      </c>
      <c r="D2907" s="5" t="s">
        <v>8324</v>
      </c>
      <c r="E2907" s="5" t="s">
        <v>42</v>
      </c>
      <c r="F2907" s="5" t="s">
        <v>8325</v>
      </c>
      <c r="G2907" s="5" t="s">
        <v>8326</v>
      </c>
      <c r="H2907" s="5" t="s">
        <v>8343</v>
      </c>
      <c r="I2907" s="5" t="s">
        <v>152</v>
      </c>
      <c r="J2907" s="5" t="s">
        <v>8415</v>
      </c>
      <c r="K2907" s="7" t="str">
        <f ca="1">IFERROR(__xludf.DUMMYFUNCTION("GOOGLETRANSLATE(H2907,""EN"",""ES"")"),"TRANSFORMADORES DE POTENCIA, RECTIFICADORES, BATERÍAS Y ACUMULADORES")</f>
        <v>TRANSFORMADORES DE POTENCIA, RECTIFICADORES, BATERÍAS Y ACUMULADORES</v>
      </c>
      <c r="L2907" s="5" t="str">
        <f ca="1">IFERROR(__xludf.DUMMYFUNCTION("GOOGLETRANSLATE(J2907,""EN"",""ES"")"),"N / A")</f>
        <v>N / A</v>
      </c>
      <c r="M2907" s="8" t="s">
        <v>41</v>
      </c>
      <c r="N2907" s="8"/>
    </row>
    <row r="2908" spans="1:14" ht="11.25" customHeight="1">
      <c r="A2908" s="5" t="s">
        <v>8321</v>
      </c>
      <c r="B2908" s="5" t="s">
        <v>8341</v>
      </c>
      <c r="C2908" s="5" t="s">
        <v>8416</v>
      </c>
      <c r="D2908" s="5" t="s">
        <v>8324</v>
      </c>
      <c r="E2908" s="5" t="s">
        <v>42</v>
      </c>
      <c r="F2908" s="5" t="s">
        <v>8325</v>
      </c>
      <c r="G2908" s="5" t="s">
        <v>8326</v>
      </c>
      <c r="H2908" s="5" t="s">
        <v>8343</v>
      </c>
      <c r="I2908" s="5" t="s">
        <v>8417</v>
      </c>
      <c r="J2908" s="5" t="s">
        <v>8418</v>
      </c>
      <c r="K2908" s="7" t="str">
        <f ca="1">IFERROR(__xludf.DUMMYFUNCTION("GOOGLETRANSLATE(H2908,""EN"",""ES"")"),"TRANSFORMADORES DE POTENCIA, RECTIFICADORES, BATERÍAS Y ACUMULADORES")</f>
        <v>TRANSFORMADORES DE POTENCIA, RECTIFICADORES, BATERÍAS Y ACUMULADORES</v>
      </c>
      <c r="L2908" s="5" t="str">
        <f ca="1">IFERROR(__xludf.DUMMYFUNCTION("GOOGLETRANSLATE(J2908,""EN"",""ES"")"),"Estaciones de carga para vehículos eléctricos")</f>
        <v>Estaciones de carga para vehículos eléctricos</v>
      </c>
      <c r="M2908" s="8" t="s">
        <v>41</v>
      </c>
      <c r="N2908" s="8"/>
    </row>
    <row r="2909" spans="1:14" ht="11.25" customHeight="1">
      <c r="A2909" s="5" t="s">
        <v>8321</v>
      </c>
      <c r="B2909" s="5" t="s">
        <v>8341</v>
      </c>
      <c r="C2909" s="5" t="s">
        <v>8416</v>
      </c>
      <c r="D2909" s="5" t="s">
        <v>8324</v>
      </c>
      <c r="E2909" s="5" t="s">
        <v>42</v>
      </c>
      <c r="F2909" s="5" t="s">
        <v>8325</v>
      </c>
      <c r="G2909" s="5" t="s">
        <v>8326</v>
      </c>
      <c r="H2909" s="5" t="s">
        <v>8343</v>
      </c>
      <c r="I2909" s="5" t="s">
        <v>152</v>
      </c>
      <c r="J2909" s="5" t="s">
        <v>8419</v>
      </c>
      <c r="K2909" s="7" t="str">
        <f ca="1">IFERROR(__xludf.DUMMYFUNCTION("GOOGLETRANSLATE(H2909,""EN"",""ES"")"),"TRANSFORMADORES DE POTENCIA, RECTIFICADORES, BATERÍAS Y ACUMULADORES")</f>
        <v>TRANSFORMADORES DE POTENCIA, RECTIFICADORES, BATERÍAS Y ACUMULADORES</v>
      </c>
      <c r="L2909" s="5" t="str">
        <f ca="1">IFERROR(__xludf.DUMMYFUNCTION("GOOGLETRANSLATE(J2909,""EN"",""ES"")"),"N / A")</f>
        <v>N / A</v>
      </c>
      <c r="M2909" s="8" t="s">
        <v>41</v>
      </c>
      <c r="N2909" s="8"/>
    </row>
    <row r="2910" spans="1:14" ht="11.25" customHeight="1">
      <c r="A2910" s="5" t="s">
        <v>8321</v>
      </c>
      <c r="B2910" s="5" t="s">
        <v>8341</v>
      </c>
      <c r="C2910" s="5" t="s">
        <v>8420</v>
      </c>
      <c r="D2910" s="5" t="s">
        <v>8324</v>
      </c>
      <c r="E2910" s="5" t="s">
        <v>42</v>
      </c>
      <c r="F2910" s="5" t="s">
        <v>8325</v>
      </c>
      <c r="G2910" s="5" t="s">
        <v>8326</v>
      </c>
      <c r="H2910" s="5" t="s">
        <v>8343</v>
      </c>
      <c r="I2910" s="5" t="s">
        <v>8421</v>
      </c>
      <c r="J2910" s="5" t="s">
        <v>8422</v>
      </c>
      <c r="K2910" s="7" t="str">
        <f ca="1">IFERROR(__xludf.DUMMYFUNCTION("GOOGLETRANSLATE(H2910,""EN"",""ES"")"),"TRANSFORMADORES DE POTENCIA, RECTIFICADORES, BATERÍAS Y ACUMULADORES")</f>
        <v>TRANSFORMADORES DE POTENCIA, RECTIFICADORES, BATERÍAS Y ACUMULADORES</v>
      </c>
      <c r="L2910" s="5" t="str">
        <f ca="1">IFERROR(__xludf.DUMMYFUNCTION("GOOGLETRANSLATE(J2910,""EN"",""ES"")"),"Estuches de carga para auriculares inalámbricos")</f>
        <v>Estuches de carga para auriculares inalámbricos</v>
      </c>
      <c r="M2910" s="8" t="s">
        <v>41</v>
      </c>
      <c r="N2910" s="8"/>
    </row>
    <row r="2911" spans="1:14" ht="11.25" customHeight="1">
      <c r="A2911" s="5" t="s">
        <v>8321</v>
      </c>
      <c r="B2911" s="5" t="s">
        <v>8423</v>
      </c>
      <c r="C2911" s="5" t="s">
        <v>8424</v>
      </c>
      <c r="D2911" s="5" t="s">
        <v>8324</v>
      </c>
      <c r="E2911" s="5" t="s">
        <v>42</v>
      </c>
      <c r="F2911" s="5" t="s">
        <v>8325</v>
      </c>
      <c r="G2911" s="5" t="s">
        <v>8326</v>
      </c>
      <c r="H2911" s="5" t="s">
        <v>8425</v>
      </c>
      <c r="I2911" s="5" t="s">
        <v>8426</v>
      </c>
      <c r="J2911" s="5" t="s">
        <v>8427</v>
      </c>
      <c r="K2911" s="7" t="str">
        <f ca="1">IFERROR(__xludf.DUMMYFUNCTION("GOOGLETRANSLATE(H2911,""EN"",""ES"")"),"EQUIPOS PARA DISTRIBUCIÓN O CONTROL DE ENERGÍA ELÉCTRICA")</f>
        <v>EQUIPOS PARA DISTRIBUCIÓN O CONTROL DE ENERGÍA ELÉCTRICA</v>
      </c>
      <c r="L2911" s="5" t="str">
        <f ca="1">IFERROR(__xludf.DUMMYFUNCTION("GOOGLETRANSLATE(J2911,""EN"",""ES"")"),"Adaptadores para tomas de conectores eléctricos.")</f>
        <v>Adaptadores para tomas de conectores eléctricos.</v>
      </c>
      <c r="M2911" s="8" t="s">
        <v>41</v>
      </c>
      <c r="N2911" s="8"/>
    </row>
    <row r="2912" spans="1:14" ht="11.25" customHeight="1">
      <c r="A2912" s="5" t="s">
        <v>8321</v>
      </c>
      <c r="B2912" s="5" t="s">
        <v>8423</v>
      </c>
      <c r="C2912" s="5" t="s">
        <v>8428</v>
      </c>
      <c r="D2912" s="5" t="s">
        <v>8324</v>
      </c>
      <c r="E2912" s="5" t="s">
        <v>42</v>
      </c>
      <c r="F2912" s="5" t="s">
        <v>8325</v>
      </c>
      <c r="G2912" s="5" t="s">
        <v>8326</v>
      </c>
      <c r="H2912" s="5" t="s">
        <v>8425</v>
      </c>
      <c r="I2912" s="5" t="s">
        <v>8429</v>
      </c>
      <c r="J2912" s="5" t="s">
        <v>8430</v>
      </c>
      <c r="K2912" s="7" t="str">
        <f ca="1">IFERROR(__xludf.DUMMYFUNCTION("GOOGLETRANSLATE(H2912,""EN"",""ES"")"),"EQUIPOS PARA DISTRIBUCIÓN O CONTROL DE ENERGÍA ELÉCTRICA")</f>
        <v>EQUIPOS PARA DISTRIBUCIÓN O CONTROL DE ENERGÍA ELÉCTRICA</v>
      </c>
      <c r="L2912" s="5" t="str">
        <f ca="1">IFERROR(__xludf.DUMMYFUNCTION("GOOGLETRANSLATE(J2912,""EN"",""ES"")"),"Colectores de proa para locomotoras eléctricas o tranvías.")</f>
        <v>Colectores de proa para locomotoras eléctricas o tranvías.</v>
      </c>
      <c r="M2912" s="8" t="s">
        <v>41</v>
      </c>
      <c r="N2912" s="8"/>
    </row>
    <row r="2913" spans="1:14" ht="11.25" customHeight="1">
      <c r="A2913" s="5" t="s">
        <v>8321</v>
      </c>
      <c r="B2913" s="5" t="s">
        <v>8423</v>
      </c>
      <c r="C2913" s="5" t="s">
        <v>8431</v>
      </c>
      <c r="D2913" s="5" t="s">
        <v>8324</v>
      </c>
      <c r="E2913" s="5" t="s">
        <v>42</v>
      </c>
      <c r="F2913" s="5" t="s">
        <v>8325</v>
      </c>
      <c r="G2913" s="5" t="s">
        <v>8326</v>
      </c>
      <c r="H2913" s="5" t="s">
        <v>8425</v>
      </c>
      <c r="I2913" s="5" t="s">
        <v>8432</v>
      </c>
      <c r="J2913" s="5" t="s">
        <v>8433</v>
      </c>
      <c r="K2913" s="7" t="str">
        <f ca="1">IFERROR(__xludf.DUMMYFUNCTION("GOOGLETRANSLATE(H2913,""EN"",""ES"")"),"EQUIPOS PARA DISTRIBUCIÓN O CONTROL DE ENERGÍA ELÉCTRICA")</f>
        <v>EQUIPOS PARA DISTRIBUCIÓN O CONTROL DE ENERGÍA ELÉCTRICA</v>
      </c>
      <c r="L2913" s="5" t="str">
        <f ca="1">IFERROR(__xludf.DUMMYFUNCTION("GOOGLETRANSLATE(J2913,""EN"",""ES"")"),"Cajas de resistencia [electricidad]")</f>
        <v>Cajas de resistencia [electricidad]</v>
      </c>
      <c r="M2913" s="8" t="s">
        <v>41</v>
      </c>
      <c r="N2913" s="8"/>
    </row>
    <row r="2914" spans="1:14" ht="11.25" customHeight="1">
      <c r="A2914" s="5" t="s">
        <v>8321</v>
      </c>
      <c r="B2914" s="5" t="s">
        <v>8423</v>
      </c>
      <c r="C2914" s="5" t="s">
        <v>8434</v>
      </c>
      <c r="D2914" s="5" t="s">
        <v>8324</v>
      </c>
      <c r="E2914" s="5" t="s">
        <v>42</v>
      </c>
      <c r="F2914" s="5" t="s">
        <v>8325</v>
      </c>
      <c r="G2914" s="5" t="s">
        <v>8326</v>
      </c>
      <c r="H2914" s="5" t="s">
        <v>8425</v>
      </c>
      <c r="I2914" s="5" t="s">
        <v>8435</v>
      </c>
      <c r="J2914" s="5" t="s">
        <v>8436</v>
      </c>
      <c r="K2914" s="7" t="str">
        <f ca="1">IFERROR(__xludf.DUMMYFUNCTION("GOOGLETRANSLATE(H2914,""EN"",""ES"")"),"EQUIPOS PARA DISTRIBUCIÓN O CONTROL DE ENERGÍA ELÉCTRICA")</f>
        <v>EQUIPOS PARA DISTRIBUCIÓN O CONTROL DE ENERGÍA ELÉCTRICA</v>
      </c>
      <c r="L2914" s="5" t="str">
        <f ca="1">IFERROR(__xludf.DUMMYFUNCTION("GOOGLETRANSLATE(J2914,""EN"",""ES"")"),"Terminales [electricidad]")</f>
        <v>Terminales [electricidad]</v>
      </c>
      <c r="M2914" s="8" t="s">
        <v>41</v>
      </c>
      <c r="N2914" s="8"/>
    </row>
    <row r="2915" spans="1:14" ht="11.25" customHeight="1">
      <c r="A2915" s="5" t="s">
        <v>8321</v>
      </c>
      <c r="B2915" s="5" t="s">
        <v>8423</v>
      </c>
      <c r="C2915" s="5" t="s">
        <v>8437</v>
      </c>
      <c r="D2915" s="5" t="s">
        <v>8324</v>
      </c>
      <c r="E2915" s="5" t="s">
        <v>42</v>
      </c>
      <c r="F2915" s="5" t="s">
        <v>8325</v>
      </c>
      <c r="G2915" s="5" t="s">
        <v>8326</v>
      </c>
      <c r="H2915" s="5" t="s">
        <v>8425</v>
      </c>
      <c r="I2915" s="5" t="s">
        <v>8438</v>
      </c>
      <c r="J2915" s="5" t="s">
        <v>8439</v>
      </c>
      <c r="K2915" s="7" t="str">
        <f ca="1">IFERROR(__xludf.DUMMYFUNCTION("GOOGLETRANSLATE(H2915,""EN"",""ES"")"),"EQUIPOS PARA DISTRIBUCIÓN O CONTROL DE ENERGÍA ELÉCTRICA")</f>
        <v>EQUIPOS PARA DISTRIBUCIÓN O CONTROL DE ENERGÍA ELÉCTRICA</v>
      </c>
      <c r="L2915" s="5" t="str">
        <f ca="1">IFERROR(__xludf.DUMMYFUNCTION("GOOGLETRANSLATE(J2915,""EN"",""ES"")"),"Cables electricos")</f>
        <v>Cables electricos</v>
      </c>
      <c r="M2915" s="8" t="s">
        <v>41</v>
      </c>
      <c r="N2915" s="8"/>
    </row>
    <row r="2916" spans="1:14" ht="11.25" customHeight="1">
      <c r="A2916" s="5" t="s">
        <v>8321</v>
      </c>
      <c r="B2916" s="5" t="s">
        <v>8423</v>
      </c>
      <c r="C2916" s="5" t="s">
        <v>8440</v>
      </c>
      <c r="D2916" s="5" t="s">
        <v>8324</v>
      </c>
      <c r="E2916" s="5" t="s">
        <v>42</v>
      </c>
      <c r="F2916" s="5" t="s">
        <v>8325</v>
      </c>
      <c r="G2916" s="5" t="s">
        <v>8326</v>
      </c>
      <c r="H2916" s="5" t="s">
        <v>8425</v>
      </c>
      <c r="I2916" s="5" t="s">
        <v>8441</v>
      </c>
      <c r="J2916" s="5" t="s">
        <v>8442</v>
      </c>
      <c r="K2916" s="7" t="str">
        <f ca="1">IFERROR(__xludf.DUMMYFUNCTION("GOOGLETRANSLATE(H2916,""EN"",""ES"")"),"EQUIPOS PARA DISTRIBUCIÓN O CONTROL DE ENERGÍA ELÉCTRICA")</f>
        <v>EQUIPOS PARA DISTRIBUCIÓN O CONTROL DE ENERGÍA ELÉCTRICA</v>
      </c>
      <c r="L2916" s="5" t="str">
        <f ca="1">IFERROR(__xludf.DUMMYFUNCTION("GOOGLETRANSLATE(J2916,""EN"",""ES"")"),"Fundas de seguridad para enchufes eléctricos.")</f>
        <v>Fundas de seguridad para enchufes eléctricos.</v>
      </c>
      <c r="M2916" s="8" t="s">
        <v>41</v>
      </c>
      <c r="N2916" s="8"/>
    </row>
    <row r="2917" spans="1:14" ht="11.25" customHeight="1">
      <c r="A2917" s="5" t="s">
        <v>8321</v>
      </c>
      <c r="B2917" s="5" t="s">
        <v>8423</v>
      </c>
      <c r="C2917" s="5" t="s">
        <v>8443</v>
      </c>
      <c r="D2917" s="5" t="s">
        <v>8324</v>
      </c>
      <c r="E2917" s="5" t="s">
        <v>42</v>
      </c>
      <c r="F2917" s="5" t="s">
        <v>8325</v>
      </c>
      <c r="G2917" s="5" t="s">
        <v>8326</v>
      </c>
      <c r="H2917" s="5" t="s">
        <v>8425</v>
      </c>
      <c r="I2917" s="5" t="s">
        <v>8444</v>
      </c>
      <c r="J2917" s="5" t="s">
        <v>8445</v>
      </c>
      <c r="K2917" s="7" t="str">
        <f ca="1">IFERROR(__xludf.DUMMYFUNCTION("GOOGLETRANSLATE(H2917,""EN"",""ES"")"),"EQUIPOS PARA DISTRIBUCIÓN O CONTROL DE ENERGÍA ELÉCTRICA")</f>
        <v>EQUIPOS PARA DISTRIBUCIÓN O CONTROL DE ENERGÍA ELÉCTRICA</v>
      </c>
      <c r="L2917" s="5" t="str">
        <f ca="1">IFERROR(__xludf.DUMMYFUNCTION("GOOGLETRANSLATE(J2917,""EN"",""ES"")"),"Equipos para control de energía eléctrica.")</f>
        <v>Equipos para control de energía eléctrica.</v>
      </c>
      <c r="M2917" s="8" t="s">
        <v>41</v>
      </c>
      <c r="N2917" s="8"/>
    </row>
    <row r="2918" spans="1:14" ht="11.25" customHeight="1">
      <c r="A2918" s="5" t="s">
        <v>8321</v>
      </c>
      <c r="B2918" s="5" t="s">
        <v>8423</v>
      </c>
      <c r="C2918" s="5" t="s">
        <v>8446</v>
      </c>
      <c r="D2918" s="5" t="s">
        <v>8324</v>
      </c>
      <c r="E2918" s="5" t="s">
        <v>42</v>
      </c>
      <c r="F2918" s="5" t="s">
        <v>8325</v>
      </c>
      <c r="G2918" s="5" t="s">
        <v>8326</v>
      </c>
      <c r="H2918" s="5" t="s">
        <v>8425</v>
      </c>
      <c r="I2918" s="5" t="s">
        <v>8447</v>
      </c>
      <c r="J2918" s="5" t="s">
        <v>8448</v>
      </c>
      <c r="K2918" s="7" t="str">
        <f ca="1">IFERROR(__xludf.DUMMYFUNCTION("GOOGLETRANSLATE(H2918,""EN"",""ES"")"),"EQUIPOS PARA DISTRIBUCIÓN O CONTROL DE ENERGÍA ELÉCTRICA")</f>
        <v>EQUIPOS PARA DISTRIBUCIÓN O CONTROL DE ENERGÍA ELÉCTRICA</v>
      </c>
      <c r="L2918" s="5" t="str">
        <f ca="1">IFERROR(__xludf.DUMMYFUNCTION("GOOGLETRANSLATE(J2918,""EN"",""ES"")"),"Interruptores [electricidad]")</f>
        <v>Interruptores [electricidad]</v>
      </c>
      <c r="M2918" s="8" t="s">
        <v>41</v>
      </c>
      <c r="N2918" s="8"/>
    </row>
    <row r="2919" spans="1:14" ht="11.25" customHeight="1">
      <c r="A2919" s="5" t="s">
        <v>8321</v>
      </c>
      <c r="B2919" s="5" t="s">
        <v>8423</v>
      </c>
      <c r="C2919" s="5" t="s">
        <v>8446</v>
      </c>
      <c r="D2919" s="5" t="s">
        <v>8324</v>
      </c>
      <c r="E2919" s="5" t="s">
        <v>42</v>
      </c>
      <c r="F2919" s="5" t="s">
        <v>8325</v>
      </c>
      <c r="G2919" s="5" t="s">
        <v>8326</v>
      </c>
      <c r="H2919" s="5" t="s">
        <v>8425</v>
      </c>
      <c r="I2919" s="5" t="s">
        <v>152</v>
      </c>
      <c r="J2919" s="5" t="s">
        <v>8449</v>
      </c>
      <c r="K2919" s="7" t="str">
        <f ca="1">IFERROR(__xludf.DUMMYFUNCTION("GOOGLETRANSLATE(H2919,""EN"",""ES"")"),"EQUIPOS PARA DISTRIBUCIÓN O CONTROL DE ENERGÍA ELÉCTRICA")</f>
        <v>EQUIPOS PARA DISTRIBUCIÓN O CONTROL DE ENERGÍA ELÉCTRICA</v>
      </c>
      <c r="L2919" s="5" t="str">
        <f ca="1">IFERROR(__xludf.DUMMYFUNCTION("GOOGLETRANSLATE(J2919,""EN"",""ES"")"),"N / A")</f>
        <v>N / A</v>
      </c>
      <c r="M2919" s="8" t="s">
        <v>41</v>
      </c>
      <c r="N2919" s="8"/>
    </row>
    <row r="2920" spans="1:14" ht="11.25" customHeight="1">
      <c r="A2920" s="5" t="s">
        <v>8321</v>
      </c>
      <c r="B2920" s="5" t="s">
        <v>8423</v>
      </c>
      <c r="C2920" s="5" t="s">
        <v>8450</v>
      </c>
      <c r="D2920" s="5" t="s">
        <v>8324</v>
      </c>
      <c r="E2920" s="5" t="s">
        <v>42</v>
      </c>
      <c r="F2920" s="5" t="s">
        <v>8325</v>
      </c>
      <c r="G2920" s="5" t="s">
        <v>8326</v>
      </c>
      <c r="H2920" s="5" t="s">
        <v>8425</v>
      </c>
      <c r="I2920" s="5" t="s">
        <v>8451</v>
      </c>
      <c r="J2920" s="5" t="s">
        <v>8452</v>
      </c>
      <c r="K2920" s="7" t="str">
        <f ca="1">IFERROR(__xludf.DUMMYFUNCTION("GOOGLETRANSLATE(H2920,""EN"",""ES"")"),"EQUIPOS PARA DISTRIBUCIÓN O CONTROL DE ENERGÍA ELÉCTRICA")</f>
        <v>EQUIPOS PARA DISTRIBUCIÓN O CONTROL DE ENERGÍA ELÉCTRICA</v>
      </c>
      <c r="L2920" s="5" t="str">
        <f ca="1">IFERROR(__xludf.DUMMYFUNCTION("GOOGLETRANSLATE(J2920,""EN"",""ES"")"),"Conductores electricos")</f>
        <v>Conductores electricos</v>
      </c>
      <c r="M2920" s="8" t="s">
        <v>41</v>
      </c>
      <c r="N2920" s="8"/>
    </row>
    <row r="2921" spans="1:14" ht="11.25" customHeight="1">
      <c r="A2921" s="5" t="s">
        <v>8321</v>
      </c>
      <c r="B2921" s="5" t="s">
        <v>8423</v>
      </c>
      <c r="C2921" s="5" t="s">
        <v>8453</v>
      </c>
      <c r="D2921" s="5" t="s">
        <v>8324</v>
      </c>
      <c r="E2921" s="5" t="s">
        <v>42</v>
      </c>
      <c r="F2921" s="5" t="s">
        <v>8325</v>
      </c>
      <c r="G2921" s="5" t="s">
        <v>8326</v>
      </c>
      <c r="H2921" s="5" t="s">
        <v>8425</v>
      </c>
      <c r="I2921" s="5" t="s">
        <v>8454</v>
      </c>
      <c r="J2921" s="5" t="s">
        <v>8455</v>
      </c>
      <c r="K2921" s="7" t="str">
        <f ca="1">IFERROR(__xludf.DUMMYFUNCTION("GOOGLETRANSLATE(H2921,""EN"",""ES"")"),"EQUIPOS PARA DISTRIBUCIÓN O CONTROL DE ENERGÍA ELÉCTRICA")</f>
        <v>EQUIPOS PARA DISTRIBUCIÓN O CONTROL DE ENERGÍA ELÉCTRICA</v>
      </c>
      <c r="L2921" s="5" t="str">
        <f ca="1">IFERROR(__xludf.DUMMYFUNCTION("GOOGLETRANSLATE(J2921,""EN"",""ES"")"),"Conectores [electricidad]")</f>
        <v>Conectores [electricidad]</v>
      </c>
      <c r="M2921" s="8" t="s">
        <v>41</v>
      </c>
      <c r="N2921" s="8"/>
    </row>
    <row r="2922" spans="1:14" ht="11.25" customHeight="1">
      <c r="A2922" s="5" t="s">
        <v>8321</v>
      </c>
      <c r="B2922" s="5" t="s">
        <v>8423</v>
      </c>
      <c r="C2922" s="5" t="s">
        <v>8456</v>
      </c>
      <c r="D2922" s="5" t="s">
        <v>8324</v>
      </c>
      <c r="E2922" s="5" t="s">
        <v>42</v>
      </c>
      <c r="F2922" s="5" t="s">
        <v>8325</v>
      </c>
      <c r="G2922" s="5" t="s">
        <v>8326</v>
      </c>
      <c r="H2922" s="5" t="s">
        <v>8425</v>
      </c>
      <c r="I2922" s="5" t="s">
        <v>8457</v>
      </c>
      <c r="J2922" s="5" t="s">
        <v>8458</v>
      </c>
      <c r="K2922" s="7" t="str">
        <f ca="1">IFERROR(__xludf.DUMMYFUNCTION("GOOGLETRANSLATE(H2922,""EN"",""ES"")"),"EQUIPOS PARA DISTRIBUCIÓN O CONTROL DE ENERGÍA ELÉCTRICA")</f>
        <v>EQUIPOS PARA DISTRIBUCIÓN O CONTROL DE ENERGÍA ELÉCTRICA</v>
      </c>
      <c r="L2922" s="5" t="str">
        <f ca="1">IFERROR(__xludf.DUMMYFUNCTION("GOOGLETRANSLATE(J2922,""EN"",""ES"")"),"Disyuntores")</f>
        <v>Disyuntores</v>
      </c>
      <c r="M2922" s="8" t="s">
        <v>41</v>
      </c>
      <c r="N2922" s="8"/>
    </row>
    <row r="2923" spans="1:14" ht="11.25" customHeight="1">
      <c r="A2923" s="5" t="s">
        <v>8321</v>
      </c>
      <c r="B2923" s="5" t="s">
        <v>8423</v>
      </c>
      <c r="C2923" s="5" t="s">
        <v>8459</v>
      </c>
      <c r="D2923" s="5" t="s">
        <v>8324</v>
      </c>
      <c r="E2923" s="5" t="s">
        <v>42</v>
      </c>
      <c r="F2923" s="5" t="s">
        <v>8325</v>
      </c>
      <c r="G2923" s="5" t="s">
        <v>8326</v>
      </c>
      <c r="H2923" s="5" t="s">
        <v>8425</v>
      </c>
      <c r="I2923" s="5" t="s">
        <v>8460</v>
      </c>
      <c r="J2923" s="5" t="s">
        <v>8461</v>
      </c>
      <c r="K2923" s="7" t="str">
        <f ca="1">IFERROR(__xludf.DUMMYFUNCTION("GOOGLETRANSLATE(H2923,""EN"",""ES"")"),"EQUIPOS PARA DISTRIBUCIÓN O CONTROL DE ENERGÍA ELÉCTRICA")</f>
        <v>EQUIPOS PARA DISTRIBUCIÓN O CONTROL DE ENERGÍA ELÉCTRICA</v>
      </c>
      <c r="L2923" s="5" t="str">
        <f ca="1">IFERROR(__xludf.DUMMYFUNCTION("GOOGLETRANSLATE(J2923,""EN"",""ES"")"),"Tapas para interruptores electricos")</f>
        <v>Tapas para interruptores electricos</v>
      </c>
      <c r="M2923" s="8" t="s">
        <v>41</v>
      </c>
      <c r="N2923" s="8"/>
    </row>
    <row r="2924" spans="1:14" ht="11.25" customHeight="1">
      <c r="A2924" s="5" t="s">
        <v>8321</v>
      </c>
      <c r="B2924" s="5" t="s">
        <v>8423</v>
      </c>
      <c r="C2924" s="5" t="s">
        <v>8462</v>
      </c>
      <c r="D2924" s="5" t="s">
        <v>8324</v>
      </c>
      <c r="E2924" s="5" t="s">
        <v>42</v>
      </c>
      <c r="F2924" s="5" t="s">
        <v>8325</v>
      </c>
      <c r="G2924" s="5" t="s">
        <v>8326</v>
      </c>
      <c r="H2924" s="5" t="s">
        <v>8425</v>
      </c>
      <c r="I2924" s="5" t="s">
        <v>8463</v>
      </c>
      <c r="J2924" s="5" t="s">
        <v>8464</v>
      </c>
      <c r="K2924" s="7" t="str">
        <f ca="1">IFERROR(__xludf.DUMMYFUNCTION("GOOGLETRANSLATE(H2924,""EN"",""ES"")"),"EQUIPOS PARA DISTRIBUCIÓN O CONTROL DE ENERGÍA ELÉCTRICA")</f>
        <v>EQUIPOS PARA DISTRIBUCIÓN O CONTROL DE ENERGÍA ELÉCTRICA</v>
      </c>
      <c r="L2924" s="5" t="str">
        <f ca="1">IFERROR(__xludf.DUMMYFUNCTION("GOOGLETRANSLATE(J2924,""EN"",""ES"")"),"Recortes")</f>
        <v>Recortes</v>
      </c>
      <c r="M2924" s="8" t="s">
        <v>41</v>
      </c>
      <c r="N2924" s="8"/>
    </row>
    <row r="2925" spans="1:14" ht="11.25" customHeight="1">
      <c r="A2925" s="5" t="s">
        <v>8321</v>
      </c>
      <c r="B2925" s="5" t="s">
        <v>8423</v>
      </c>
      <c r="C2925" s="5" t="s">
        <v>8465</v>
      </c>
      <c r="D2925" s="5" t="s">
        <v>8324</v>
      </c>
      <c r="E2925" s="5" t="s">
        <v>42</v>
      </c>
      <c r="F2925" s="5" t="s">
        <v>8325</v>
      </c>
      <c r="G2925" s="5" t="s">
        <v>8326</v>
      </c>
      <c r="H2925" s="5" t="s">
        <v>8425</v>
      </c>
      <c r="I2925" s="5" t="s">
        <v>8466</v>
      </c>
      <c r="J2925" s="5" t="s">
        <v>8467</v>
      </c>
      <c r="K2925" s="7" t="str">
        <f ca="1">IFERROR(__xludf.DUMMYFUNCTION("GOOGLETRANSLATE(H2925,""EN"",""ES"")"),"EQUIPOS PARA DISTRIBUCIÓN O CONTROL DE ENERGÍA ELÉCTRICA")</f>
        <v>EQUIPOS PARA DISTRIBUCIÓN O CONTROL DE ENERGÍA ELÉCTRICA</v>
      </c>
      <c r="L2925" s="5" t="str">
        <f ca="1">IFERROR(__xludf.DUMMYFUNCTION("GOOGLETRANSLATE(J2925,""EN"",""ES"")"),"Equipos para distribución de energía eléctrica.")</f>
        <v>Equipos para distribución de energía eléctrica.</v>
      </c>
      <c r="M2925" s="8" t="s">
        <v>41</v>
      </c>
      <c r="N2925" s="8"/>
    </row>
    <row r="2926" spans="1:14" ht="11.25" customHeight="1">
      <c r="A2926" s="5" t="s">
        <v>8321</v>
      </c>
      <c r="B2926" s="5" t="s">
        <v>8423</v>
      </c>
      <c r="C2926" s="5" t="s">
        <v>8468</v>
      </c>
      <c r="D2926" s="5" t="s">
        <v>8324</v>
      </c>
      <c r="E2926" s="5" t="s">
        <v>42</v>
      </c>
      <c r="F2926" s="5" t="s">
        <v>8325</v>
      </c>
      <c r="G2926" s="5" t="s">
        <v>8326</v>
      </c>
      <c r="H2926" s="5" t="s">
        <v>8425</v>
      </c>
      <c r="I2926" s="5" t="s">
        <v>8469</v>
      </c>
      <c r="J2926" s="5" t="s">
        <v>8470</v>
      </c>
      <c r="K2926" s="7" t="str">
        <f ca="1">IFERROR(__xludf.DUMMYFUNCTION("GOOGLETRANSLATE(H2926,""EN"",""ES"")"),"EQUIPOS PARA DISTRIBUCIÓN O CONTROL DE ENERGÍA ELÉCTRICA")</f>
        <v>EQUIPOS PARA DISTRIBUCIÓN O CONTROL DE ENERGÍA ELÉCTRICA</v>
      </c>
      <c r="L2926" s="5" t="str">
        <f ca="1">IFERROR(__xludf.DUMMYFUNCTION("GOOGLETRANSLATE(J2926,""EN"",""ES"")"),"Electrodos")</f>
        <v>Electrodos</v>
      </c>
      <c r="M2926" s="8" t="s">
        <v>41</v>
      </c>
      <c r="N2926" s="8"/>
    </row>
    <row r="2927" spans="1:14" ht="11.25" customHeight="1">
      <c r="A2927" s="5" t="s">
        <v>8321</v>
      </c>
      <c r="B2927" s="5" t="s">
        <v>8423</v>
      </c>
      <c r="C2927" s="5" t="s">
        <v>8471</v>
      </c>
      <c r="D2927" s="5" t="s">
        <v>8324</v>
      </c>
      <c r="E2927" s="5" t="s">
        <v>42</v>
      </c>
      <c r="F2927" s="5" t="s">
        <v>8325</v>
      </c>
      <c r="G2927" s="5" t="s">
        <v>8326</v>
      </c>
      <c r="H2927" s="5" t="s">
        <v>8425</v>
      </c>
      <c r="I2927" s="5" t="s">
        <v>8472</v>
      </c>
      <c r="J2927" s="5" t="s">
        <v>8473</v>
      </c>
      <c r="K2927" s="7" t="str">
        <f ca="1">IFERROR(__xludf.DUMMYFUNCTION("GOOGLETRANSLATE(H2927,""EN"",""ES"")"),"EQUIPOS PARA DISTRIBUCIÓN O CONTROL DE ENERGÍA ELÉCTRICA")</f>
        <v>EQUIPOS PARA DISTRIBUCIÓN O CONTROL DE ENERGÍA ELÉCTRICA</v>
      </c>
      <c r="L2927" s="5" t="str">
        <f ca="1">IFERROR(__xludf.DUMMYFUNCTION("GOOGLETRANSLATE(J2927,""EN"",""ES"")"),"Herrajes decorativos para interruptores y enchufes eléctricos.")</f>
        <v>Herrajes decorativos para interruptores y enchufes eléctricos.</v>
      </c>
      <c r="M2927" s="8" t="s">
        <v>41</v>
      </c>
      <c r="N2927" s="8"/>
    </row>
    <row r="2928" spans="1:14" ht="11.25" customHeight="1">
      <c r="A2928" s="5" t="s">
        <v>8321</v>
      </c>
      <c r="B2928" s="5" t="s">
        <v>8423</v>
      </c>
      <c r="C2928" s="5" t="s">
        <v>8474</v>
      </c>
      <c r="D2928" s="5" t="s">
        <v>8324</v>
      </c>
      <c r="E2928" s="5" t="s">
        <v>42</v>
      </c>
      <c r="F2928" s="5" t="s">
        <v>8325</v>
      </c>
      <c r="G2928" s="5" t="s">
        <v>8326</v>
      </c>
      <c r="H2928" s="5" t="s">
        <v>8425</v>
      </c>
      <c r="I2928" s="5" t="s">
        <v>8475</v>
      </c>
      <c r="J2928" s="5" t="s">
        <v>8476</v>
      </c>
      <c r="K2928" s="7" t="str">
        <f ca="1">IFERROR(__xludf.DUMMYFUNCTION("GOOGLETRANSLATE(H2928,""EN"",""ES"")"),"EQUIPOS PARA DISTRIBUCIÓN O CONTROL DE ENERGÍA ELÉCTRICA")</f>
        <v>EQUIPOS PARA DISTRIBUCIÓN O CONTROL DE ENERGÍA ELÉCTRICA</v>
      </c>
      <c r="L2928" s="5" t="str">
        <f ca="1">IFERROR(__xludf.DUMMYFUNCTION("GOOGLETRANSLATE(J2928,""EN"",""ES"")"),"Clavijas de conexión para cables coaxiales.")</f>
        <v>Clavijas de conexión para cables coaxiales.</v>
      </c>
      <c r="M2928" s="8" t="s">
        <v>41</v>
      </c>
      <c r="N2928" s="8"/>
    </row>
    <row r="2929" spans="1:14" ht="11.25" customHeight="1">
      <c r="A2929" s="5" t="s">
        <v>8321</v>
      </c>
      <c r="B2929" s="5" t="s">
        <v>8423</v>
      </c>
      <c r="C2929" s="5" t="s">
        <v>8477</v>
      </c>
      <c r="D2929" s="5" t="s">
        <v>8324</v>
      </c>
      <c r="E2929" s="5" t="s">
        <v>42</v>
      </c>
      <c r="F2929" s="5" t="s">
        <v>8325</v>
      </c>
      <c r="G2929" s="5" t="s">
        <v>8326</v>
      </c>
      <c r="H2929" s="5" t="s">
        <v>8425</v>
      </c>
      <c r="I2929" s="5" t="s">
        <v>8478</v>
      </c>
      <c r="J2929" s="5" t="s">
        <v>8479</v>
      </c>
      <c r="K2929" s="7" t="str">
        <f ca="1">IFERROR(__xludf.DUMMYFUNCTION("GOOGLETRANSLATE(H2929,""EN"",""ES"")"),"EQUIPOS PARA DISTRIBUCIÓN O CONTROL DE ENERGÍA ELÉCTRICA")</f>
        <v>EQUIPOS PARA DISTRIBUCIÓN O CONTROL DE ENERGÍA ELÉCTRICA</v>
      </c>
      <c r="L2929" s="5" t="str">
        <f ca="1">IFERROR(__xludf.DUMMYFUNCTION("GOOGLETRANSLATE(J2929,""EN"",""ES"")"),"Cables electricos aislados")</f>
        <v>Cables electricos aislados</v>
      </c>
      <c r="M2929" s="8" t="s">
        <v>41</v>
      </c>
      <c r="N2929" s="8"/>
    </row>
    <row r="2930" spans="1:14" ht="11.25" customHeight="1">
      <c r="A2930" s="5" t="s">
        <v>8321</v>
      </c>
      <c r="B2930" s="5" t="s">
        <v>8423</v>
      </c>
      <c r="C2930" s="5" t="s">
        <v>8480</v>
      </c>
      <c r="D2930" s="5" t="s">
        <v>8324</v>
      </c>
      <c r="E2930" s="5" t="s">
        <v>42</v>
      </c>
      <c r="F2930" s="5" t="s">
        <v>8325</v>
      </c>
      <c r="G2930" s="5" t="s">
        <v>8326</v>
      </c>
      <c r="H2930" s="5" t="s">
        <v>8425</v>
      </c>
      <c r="I2930" s="5" t="s">
        <v>8481</v>
      </c>
      <c r="J2930" s="5" t="s">
        <v>8482</v>
      </c>
      <c r="K2930" s="7" t="str">
        <f ca="1">IFERROR(__xludf.DUMMYFUNCTION("GOOGLETRANSLATE(H2930,""EN"",""ES"")"),"EQUIPOS PARA DISTRIBUCIÓN O CONTROL DE ENERGÍA ELÉCTRICA")</f>
        <v>EQUIPOS PARA DISTRIBUCIÓN O CONTROL DE ENERGÍA ELÉCTRICA</v>
      </c>
      <c r="L2930" s="5" t="str">
        <f ca="1">IFERROR(__xludf.DUMMYFUNCTION("GOOGLETRANSLATE(J2930,""EN"",""ES"")"),"Fusibles [electricidad]")</f>
        <v>Fusibles [electricidad]</v>
      </c>
      <c r="M2930" s="8" t="s">
        <v>41</v>
      </c>
      <c r="N2930" s="8"/>
    </row>
    <row r="2931" spans="1:14" ht="11.25" customHeight="1">
      <c r="A2931" s="5" t="s">
        <v>8321</v>
      </c>
      <c r="B2931" s="5" t="s">
        <v>8423</v>
      </c>
      <c r="C2931" s="5" t="s">
        <v>8483</v>
      </c>
      <c r="D2931" s="5" t="s">
        <v>8324</v>
      </c>
      <c r="E2931" s="5" t="s">
        <v>42</v>
      </c>
      <c r="F2931" s="5" t="s">
        <v>8325</v>
      </c>
      <c r="G2931" s="5" t="s">
        <v>8326</v>
      </c>
      <c r="H2931" s="5" t="s">
        <v>8425</v>
      </c>
      <c r="I2931" s="5" t="s">
        <v>8484</v>
      </c>
      <c r="J2931" s="5" t="s">
        <v>8485</v>
      </c>
      <c r="K2931" s="7" t="str">
        <f ca="1">IFERROR(__xludf.DUMMYFUNCTION("GOOGLETRANSLATE(H2931,""EN"",""ES"")"),"EQUIPOS PARA DISTRIBUCIÓN O CONTROL DE ENERGÍA ELÉCTRICA")</f>
        <v>EQUIPOS PARA DISTRIBUCIÓN O CONTROL DE ENERGÍA ELÉCTRICA</v>
      </c>
      <c r="L2931" s="5" t="str">
        <f ca="1">IFERROR(__xludf.DUMMYFUNCTION("GOOGLETRANSLATE(J2931,""EN"",""ES"")"),"Terminales de fusibles [electricidad]")</f>
        <v>Terminales de fusibles [electricidad]</v>
      </c>
      <c r="M2931" s="8" t="s">
        <v>41</v>
      </c>
      <c r="N2931" s="8"/>
    </row>
    <row r="2932" spans="1:14" ht="11.25" customHeight="1">
      <c r="A2932" s="5" t="s">
        <v>8321</v>
      </c>
      <c r="B2932" s="5" t="s">
        <v>8423</v>
      </c>
      <c r="C2932" s="5" t="s">
        <v>8486</v>
      </c>
      <c r="D2932" s="5" t="s">
        <v>8324</v>
      </c>
      <c r="E2932" s="5" t="s">
        <v>42</v>
      </c>
      <c r="F2932" s="5" t="s">
        <v>8325</v>
      </c>
      <c r="G2932" s="5" t="s">
        <v>8326</v>
      </c>
      <c r="H2932" s="5" t="s">
        <v>8425</v>
      </c>
      <c r="I2932" s="5" t="s">
        <v>8487</v>
      </c>
      <c r="J2932" s="5" t="s">
        <v>8488</v>
      </c>
      <c r="K2932" s="7" t="str">
        <f ca="1">IFERROR(__xludf.DUMMYFUNCTION("GOOGLETRANSLATE(H2932,""EN"",""ES"")"),"EQUIPOS PARA DISTRIBUCIÓN O CONTROL DE ENERGÍA ELÉCTRICA")</f>
        <v>EQUIPOS PARA DISTRIBUCIÓN O CONTROL DE ENERGÍA ELÉCTRICA</v>
      </c>
      <c r="L2932" s="5" t="str">
        <f ca="1">IFERROR(__xludf.DUMMYFUNCTION("GOOGLETRANSLATE(J2932,""EN"",""ES"")"),"Aisladores [electricidad]")</f>
        <v>Aisladores [electricidad]</v>
      </c>
      <c r="M2932" s="8" t="s">
        <v>41</v>
      </c>
      <c r="N2932" s="8"/>
    </row>
    <row r="2933" spans="1:14" ht="11.25" customHeight="1">
      <c r="A2933" s="5" t="s">
        <v>8321</v>
      </c>
      <c r="B2933" s="5" t="s">
        <v>8423</v>
      </c>
      <c r="C2933" s="5" t="s">
        <v>8489</v>
      </c>
      <c r="D2933" s="5" t="s">
        <v>8324</v>
      </c>
      <c r="E2933" s="5" t="s">
        <v>42</v>
      </c>
      <c r="F2933" s="5" t="s">
        <v>8325</v>
      </c>
      <c r="G2933" s="5" t="s">
        <v>8326</v>
      </c>
      <c r="H2933" s="5" t="s">
        <v>8425</v>
      </c>
      <c r="I2933" s="5" t="s">
        <v>8490</v>
      </c>
      <c r="J2933" s="5" t="s">
        <v>8491</v>
      </c>
      <c r="K2933" s="7" t="str">
        <f ca="1">IFERROR(__xludf.DUMMYFUNCTION("GOOGLETRANSLATE(H2933,""EN"",""ES"")"),"EQUIPOS PARA DISTRIBUCIÓN O CONTROL DE ENERGÍA ELÉCTRICA")</f>
        <v>EQUIPOS PARA DISTRIBUCIÓN O CONTROL DE ENERGÍA ELÉCTRICA</v>
      </c>
      <c r="L2933" s="5" t="str">
        <f ca="1">IFERROR(__xludf.DUMMYFUNCTION("GOOGLETRANSLATE(J2933,""EN"",""ES"")"),"Pantógrafos para locomotoras eléctricas o tranvías.")</f>
        <v>Pantógrafos para locomotoras eléctricas o tranvías.</v>
      </c>
      <c r="M2933" s="8" t="s">
        <v>41</v>
      </c>
      <c r="N2933" s="8"/>
    </row>
    <row r="2934" spans="1:14" ht="11.25" customHeight="1">
      <c r="A2934" s="5" t="s">
        <v>8321</v>
      </c>
      <c r="B2934" s="5" t="s">
        <v>8423</v>
      </c>
      <c r="C2934" s="5" t="s">
        <v>8492</v>
      </c>
      <c r="D2934" s="5" t="s">
        <v>8324</v>
      </c>
      <c r="E2934" s="5" t="s">
        <v>42</v>
      </c>
      <c r="F2934" s="5" t="s">
        <v>8325</v>
      </c>
      <c r="G2934" s="5" t="s">
        <v>8326</v>
      </c>
      <c r="H2934" s="5" t="s">
        <v>8425</v>
      </c>
      <c r="I2934" s="5" t="s">
        <v>8493</v>
      </c>
      <c r="J2934" s="5" t="s">
        <v>8494</v>
      </c>
      <c r="K2934" s="7" t="str">
        <f ca="1">IFERROR(__xludf.DUMMYFUNCTION("GOOGLETRANSLATE(H2934,""EN"",""ES"")"),"EQUIPOS PARA DISTRIBUCIÓN O CONTROL DE ENERGÍA ELÉCTRICA")</f>
        <v>EQUIPOS PARA DISTRIBUCIÓN O CONTROL DE ENERGÍA ELÉCTRICA</v>
      </c>
      <c r="L2934" s="5" t="str">
        <f ca="1">IFERROR(__xludf.DUMMYFUNCTION("GOOGLETRANSLATE(J2934,""EN"",""ES"")"),"Postes de contacto para locomotoras eléctricas o tranvías.")</f>
        <v>Postes de contacto para locomotoras eléctricas o tranvías.</v>
      </c>
      <c r="M2934" s="8" t="s">
        <v>41</v>
      </c>
      <c r="N2934" s="8"/>
    </row>
    <row r="2935" spans="1:14" ht="11.25" customHeight="1">
      <c r="A2935" s="5" t="s">
        <v>8321</v>
      </c>
      <c r="B2935" s="5" t="s">
        <v>8423</v>
      </c>
      <c r="C2935" s="5" t="s">
        <v>8495</v>
      </c>
      <c r="D2935" s="5" t="s">
        <v>8324</v>
      </c>
      <c r="E2935" s="5" t="s">
        <v>42</v>
      </c>
      <c r="F2935" s="5" t="s">
        <v>8325</v>
      </c>
      <c r="G2935" s="5" t="s">
        <v>8326</v>
      </c>
      <c r="H2935" s="5" t="s">
        <v>8425</v>
      </c>
      <c r="I2935" s="5" t="s">
        <v>8496</v>
      </c>
      <c r="J2935" s="5" t="s">
        <v>8497</v>
      </c>
      <c r="K2935" s="7" t="str">
        <f ca="1">IFERROR(__xludf.DUMMYFUNCTION("GOOGLETRANSLATE(H2935,""EN"",""ES"")"),"EQUIPOS PARA DISTRIBUCIÓN O CONTROL DE ENERGÍA ELÉCTRICA")</f>
        <v>EQUIPOS PARA DISTRIBUCIÓN O CONTROL DE ENERGÍA ELÉCTRICA</v>
      </c>
      <c r="L2935" s="5" t="str">
        <f ca="1">IFERROR(__xludf.DUMMYFUNCTION("GOOGLETRANSLATE(J2935,""EN"",""ES"")"),"Portafusibles")</f>
        <v>Portafusibles</v>
      </c>
      <c r="M2935" s="8" t="s">
        <v>41</v>
      </c>
      <c r="N2935" s="8"/>
    </row>
    <row r="2936" spans="1:14" ht="11.25" customHeight="1">
      <c r="A2936" s="5" t="s">
        <v>8321</v>
      </c>
      <c r="B2936" s="5" t="s">
        <v>8423</v>
      </c>
      <c r="C2936" s="5" t="s">
        <v>8498</v>
      </c>
      <c r="D2936" s="5" t="s">
        <v>8324</v>
      </c>
      <c r="E2936" s="5" t="s">
        <v>42</v>
      </c>
      <c r="F2936" s="5" t="s">
        <v>8325</v>
      </c>
      <c r="G2936" s="5" t="s">
        <v>8326</v>
      </c>
      <c r="H2936" s="5" t="s">
        <v>8425</v>
      </c>
      <c r="I2936" s="5" t="s">
        <v>8499</v>
      </c>
      <c r="J2936" s="5" t="s">
        <v>8500</v>
      </c>
      <c r="K2936" s="7" t="str">
        <f ca="1">IFERROR(__xludf.DUMMYFUNCTION("GOOGLETRANSLATE(H2936,""EN"",""ES"")"),"EQUIPOS PARA DISTRIBUCIÓN O CONTROL DE ENERGÍA ELÉCTRICA")</f>
        <v>EQUIPOS PARA DISTRIBUCIÓN O CONTROL DE ENERGÍA ELÉCTRICA</v>
      </c>
      <c r="L2936" s="5" t="str">
        <f ca="1">IFERROR(__xludf.DUMMYFUNCTION("GOOGLETRANSLATE(J2936,""EN"",""ES"")"),"Potenciómetros")</f>
        <v>Potenciómetros</v>
      </c>
      <c r="M2936" s="8" t="s">
        <v>41</v>
      </c>
      <c r="N2936" s="8"/>
    </row>
    <row r="2937" spans="1:14" ht="11.25" customHeight="1">
      <c r="A2937" s="5" t="s">
        <v>8321</v>
      </c>
      <c r="B2937" s="5" t="s">
        <v>8423</v>
      </c>
      <c r="C2937" s="5" t="s">
        <v>8501</v>
      </c>
      <c r="D2937" s="5" t="s">
        <v>8324</v>
      </c>
      <c r="E2937" s="5" t="s">
        <v>42</v>
      </c>
      <c r="F2937" s="5" t="s">
        <v>8325</v>
      </c>
      <c r="G2937" s="5" t="s">
        <v>8326</v>
      </c>
      <c r="H2937" s="5" t="s">
        <v>8425</v>
      </c>
      <c r="I2937" s="5" t="s">
        <v>8502</v>
      </c>
      <c r="J2937" s="5" t="s">
        <v>8503</v>
      </c>
      <c r="K2937" s="7" t="str">
        <f ca="1">IFERROR(__xludf.DUMMYFUNCTION("GOOGLETRANSLATE(H2937,""EN"",""ES"")"),"EQUIPOS PARA DISTRIBUCIÓN O CONTROL DE ENERGÍA ELÉCTRICA")</f>
        <v>EQUIPOS PARA DISTRIBUCIÓN O CONTROL DE ENERGÍA ELÉCTRICA</v>
      </c>
      <c r="L2937" s="5" t="str">
        <f ca="1">IFERROR(__xludf.DUMMYFUNCTION("GOOGLETRANSLATE(J2937,""EN"",""ES"")"),"Enchufes [electricidad]")</f>
        <v>Enchufes [electricidad]</v>
      </c>
      <c r="M2937" s="8" t="s">
        <v>41</v>
      </c>
      <c r="N2937" s="8"/>
    </row>
    <row r="2938" spans="1:14" ht="11.25" customHeight="1">
      <c r="A2938" s="5" t="s">
        <v>8321</v>
      </c>
      <c r="B2938" s="5" t="s">
        <v>8423</v>
      </c>
      <c r="C2938" s="5" t="s">
        <v>8501</v>
      </c>
      <c r="D2938" s="5" t="s">
        <v>8324</v>
      </c>
      <c r="E2938" s="5" t="s">
        <v>42</v>
      </c>
      <c r="F2938" s="5" t="s">
        <v>8325</v>
      </c>
      <c r="G2938" s="5" t="s">
        <v>8326</v>
      </c>
      <c r="H2938" s="5" t="s">
        <v>8425</v>
      </c>
      <c r="I2938" s="5" t="s">
        <v>8504</v>
      </c>
      <c r="J2938" s="5" t="s">
        <v>152</v>
      </c>
      <c r="K2938" s="7" t="str">
        <f ca="1">IFERROR(__xludf.DUMMYFUNCTION("GOOGLETRANSLATE(H2938,""EN"",""ES"")"),"EQUIPOS PARA DISTRIBUCIÓN O CONTROL DE ENERGÍA ELÉCTRICA")</f>
        <v>EQUIPOS PARA DISTRIBUCIÓN O CONTROL DE ENERGÍA ELÉCTRICA</v>
      </c>
      <c r="L2938" s="5" t="str">
        <f ca="1">IFERROR(__xludf.DUMMYFUNCTION("GOOGLETRANSLATE(J2938,""EN"",""ES"")"),"Tomas de corriente [electricidad]")</f>
        <v>Tomas de corriente [electricidad]</v>
      </c>
      <c r="M2938" s="8" t="s">
        <v>41</v>
      </c>
      <c r="N2938" s="8"/>
    </row>
    <row r="2939" spans="1:14" ht="11.25" customHeight="1">
      <c r="A2939" s="5" t="s">
        <v>8321</v>
      </c>
      <c r="B2939" s="5" t="s">
        <v>8423</v>
      </c>
      <c r="C2939" s="5" t="s">
        <v>8505</v>
      </c>
      <c r="D2939" s="5" t="s">
        <v>8324</v>
      </c>
      <c r="E2939" s="5" t="s">
        <v>42</v>
      </c>
      <c r="F2939" s="5" t="s">
        <v>8325</v>
      </c>
      <c r="G2939" s="5" t="s">
        <v>8326</v>
      </c>
      <c r="H2939" s="5" t="s">
        <v>8425</v>
      </c>
      <c r="I2939" s="5" t="s">
        <v>8506</v>
      </c>
      <c r="J2939" s="5" t="s">
        <v>8507</v>
      </c>
      <c r="K2939" s="7" t="str">
        <f ca="1">IFERROR(__xludf.DUMMYFUNCTION("GOOGLETRANSLATE(H2939,""EN"",""ES"")"),"EQUIPOS PARA DISTRIBUCIÓN O CONTROL DE ENERGÍA ELÉCTRICA")</f>
        <v>EQUIPOS PARA DISTRIBUCIÓN O CONTROL DE ENERGÍA ELÉCTRICA</v>
      </c>
      <c r="L2939" s="5" t="str">
        <f ca="1">IFERROR(__xludf.DUMMYFUNCTION("GOOGLETRANSLATE(J2939,""EN"",""ES"")"),"Reductores [electricidad]")</f>
        <v>Reductores [electricidad]</v>
      </c>
      <c r="M2939" s="8" t="s">
        <v>41</v>
      </c>
      <c r="N2939" s="8"/>
    </row>
    <row r="2940" spans="1:14" ht="11.25" customHeight="1">
      <c r="A2940" s="5" t="s">
        <v>8321</v>
      </c>
      <c r="B2940" s="5" t="s">
        <v>8423</v>
      </c>
      <c r="C2940" s="5" t="s">
        <v>8508</v>
      </c>
      <c r="D2940" s="5" t="s">
        <v>8324</v>
      </c>
      <c r="E2940" s="5" t="s">
        <v>42</v>
      </c>
      <c r="F2940" s="5" t="s">
        <v>8325</v>
      </c>
      <c r="G2940" s="5" t="s">
        <v>8326</v>
      </c>
      <c r="H2940" s="5" t="s">
        <v>8425</v>
      </c>
      <c r="I2940" s="5" t="s">
        <v>8509</v>
      </c>
      <c r="J2940" s="5" t="s">
        <v>8510</v>
      </c>
      <c r="K2940" s="7" t="str">
        <f ca="1">IFERROR(__xludf.DUMMYFUNCTION("GOOGLETRANSLATE(H2940,""EN"",""ES"")"),"EQUIPOS PARA DISTRIBUCIÓN O CONTROL DE ENERGÍA ELÉCTRICA")</f>
        <v>EQUIPOS PARA DISTRIBUCIÓN O CONTROL DE ENERGÍA ELÉCTRICA</v>
      </c>
      <c r="L2940" s="5" t="str">
        <f ca="1">IFERROR(__xludf.DUMMYFUNCTION("GOOGLETRANSLATE(J2940,""EN"",""ES"")"),"Relés eléctricos")</f>
        <v>Relés eléctricos</v>
      </c>
      <c r="M2940" s="8" t="s">
        <v>41</v>
      </c>
      <c r="N2940" s="8"/>
    </row>
    <row r="2941" spans="1:14" ht="11.25" customHeight="1">
      <c r="A2941" s="5" t="s">
        <v>8321</v>
      </c>
      <c r="B2941" s="5" t="s">
        <v>8423</v>
      </c>
      <c r="C2941" s="5" t="s">
        <v>8511</v>
      </c>
      <c r="D2941" s="5" t="s">
        <v>8324</v>
      </c>
      <c r="E2941" s="5" t="s">
        <v>42</v>
      </c>
      <c r="F2941" s="5" t="s">
        <v>8325</v>
      </c>
      <c r="G2941" s="5" t="s">
        <v>8326</v>
      </c>
      <c r="H2941" s="5" t="s">
        <v>8425</v>
      </c>
      <c r="I2941" s="5" t="s">
        <v>8512</v>
      </c>
      <c r="J2941" s="5" t="s">
        <v>8513</v>
      </c>
      <c r="K2941" s="7" t="str">
        <f ca="1">IFERROR(__xludf.DUMMYFUNCTION("GOOGLETRANSLATE(H2941,""EN"",""ES"")"),"EQUIPOS PARA DISTRIBUCIÓN O CONTROL DE ENERGÍA ELÉCTRICA")</f>
        <v>EQUIPOS PARA DISTRIBUCIÓN O CONTROL DE ENERGÍA ELÉCTRICA</v>
      </c>
      <c r="L2941" s="5" t="str">
        <f ca="1">IFERROR(__xludf.DUMMYFUNCTION("GOOGLETRANSLATE(J2941,""EN"",""ES"")"),"Resistencias [electricidad]")</f>
        <v>Resistencias [electricidad]</v>
      </c>
      <c r="M2941" s="8" t="s">
        <v>41</v>
      </c>
      <c r="N2941" s="8"/>
    </row>
    <row r="2942" spans="1:14" ht="11.25" customHeight="1">
      <c r="A2942" s="5" t="s">
        <v>8321</v>
      </c>
      <c r="B2942" s="5" t="s">
        <v>8423</v>
      </c>
      <c r="C2942" s="5" t="s">
        <v>8514</v>
      </c>
      <c r="D2942" s="5" t="s">
        <v>8324</v>
      </c>
      <c r="E2942" s="5" t="s">
        <v>42</v>
      </c>
      <c r="F2942" s="5" t="s">
        <v>8325</v>
      </c>
      <c r="G2942" s="5" t="s">
        <v>8326</v>
      </c>
      <c r="H2942" s="5" t="s">
        <v>8425</v>
      </c>
      <c r="I2942" s="5" t="s">
        <v>8515</v>
      </c>
      <c r="J2942" s="5" t="s">
        <v>8516</v>
      </c>
      <c r="K2942" s="7" t="str">
        <f ca="1">IFERROR(__xludf.DUMMYFUNCTION("GOOGLETRANSLATE(H2942,""EN"",""ES"")"),"EQUIPOS PARA DISTRIBUCIÓN O CONTROL DE ENERGÍA ELÉCTRICA")</f>
        <v>EQUIPOS PARA DISTRIBUCIÓN O CONTROL DE ENERGÍA ELÉCTRICA</v>
      </c>
      <c r="L2942" s="5" t="str">
        <f ca="1">IFERROR(__xludf.DUMMYFUNCTION("GOOGLETRANSLATE(J2942,""EN"",""ES"")"),"Reóstatos")</f>
        <v>Reóstatos</v>
      </c>
      <c r="M2942" s="8" t="s">
        <v>41</v>
      </c>
      <c r="N2942" s="8"/>
    </row>
    <row r="2943" spans="1:14" ht="11.25" customHeight="1">
      <c r="A2943" s="5" t="s">
        <v>8321</v>
      </c>
      <c r="B2943" s="5" t="s">
        <v>8423</v>
      </c>
      <c r="C2943" s="5" t="s">
        <v>8517</v>
      </c>
      <c r="D2943" s="5" t="s">
        <v>8324</v>
      </c>
      <c r="E2943" s="5" t="s">
        <v>42</v>
      </c>
      <c r="F2943" s="5" t="s">
        <v>8325</v>
      </c>
      <c r="G2943" s="5" t="s">
        <v>8326</v>
      </c>
      <c r="H2943" s="5" t="s">
        <v>8425</v>
      </c>
      <c r="I2943" s="5" t="s">
        <v>8518</v>
      </c>
      <c r="J2943" s="5" t="s">
        <v>8519</v>
      </c>
      <c r="K2943" s="7" t="str">
        <f ca="1">IFERROR(__xludf.DUMMYFUNCTION("GOOGLETRANSLATE(H2943,""EN"",""ES"")"),"EQUIPOS PARA DISTRIBUCIÓN O CONTROL DE ENERGÍA ELÉCTRICA")</f>
        <v>EQUIPOS PARA DISTRIBUCIÓN O CONTROL DE ENERGÍA ELÉCTRICA</v>
      </c>
      <c r="L2943" s="5" t="str">
        <f ca="1">IFERROR(__xludf.DUMMYFUNCTION("GOOGLETRANSLATE(J2943,""EN"",""ES"")"),"Interruptores de contacto")</f>
        <v>Interruptores de contacto</v>
      </c>
      <c r="M2943" s="8" t="s">
        <v>41</v>
      </c>
      <c r="N2943" s="8"/>
    </row>
    <row r="2944" spans="1:14" ht="11.25" customHeight="1">
      <c r="A2944" s="5" t="s">
        <v>8321</v>
      </c>
      <c r="B2944" s="5" t="s">
        <v>8423</v>
      </c>
      <c r="C2944" s="5" t="s">
        <v>8520</v>
      </c>
      <c r="D2944" s="5" t="s">
        <v>8324</v>
      </c>
      <c r="E2944" s="5" t="s">
        <v>42</v>
      </c>
      <c r="F2944" s="5" t="s">
        <v>8325</v>
      </c>
      <c r="G2944" s="5" t="s">
        <v>8326</v>
      </c>
      <c r="H2944" s="5" t="s">
        <v>8425</v>
      </c>
      <c r="I2944" s="5" t="s">
        <v>8521</v>
      </c>
      <c r="J2944" s="5" t="s">
        <v>8522</v>
      </c>
      <c r="K2944" s="7" t="str">
        <f ca="1">IFERROR(__xludf.DUMMYFUNCTION("GOOGLETRANSLATE(H2944,""EN"",""ES"")"),"EQUIPOS PARA DISTRIBUCIÓN O CONTROL DE ENERGÍA ELÉCTRICA")</f>
        <v>EQUIPOS PARA DISTRIBUCIÓN O CONTROL DE ENERGÍA ELÉCTRICA</v>
      </c>
      <c r="L2944" s="5" t="str">
        <f ca="1">IFERROR(__xludf.DUMMYFUNCTION("GOOGLETRANSLATE(J2944,""EN"",""ES"")"),"Interruptores bidireccionales")</f>
        <v>Interruptores bidireccionales</v>
      </c>
      <c r="M2944" s="8" t="s">
        <v>41</v>
      </c>
      <c r="N2944" s="8"/>
    </row>
    <row r="2945" spans="1:14" ht="11.25" customHeight="1">
      <c r="A2945" s="5" t="s">
        <v>8321</v>
      </c>
      <c r="B2945" s="5" t="s">
        <v>8423</v>
      </c>
      <c r="C2945" s="5" t="s">
        <v>8523</v>
      </c>
      <c r="D2945" s="5" t="s">
        <v>8324</v>
      </c>
      <c r="E2945" s="5" t="s">
        <v>42</v>
      </c>
      <c r="F2945" s="5" t="s">
        <v>8325</v>
      </c>
      <c r="G2945" s="5" t="s">
        <v>8326</v>
      </c>
      <c r="H2945" s="5" t="s">
        <v>8425</v>
      </c>
      <c r="I2945" s="5" t="s">
        <v>8524</v>
      </c>
      <c r="J2945" s="5" t="s">
        <v>8525</v>
      </c>
      <c r="K2945" s="7" t="str">
        <f ca="1">IFERROR(__xludf.DUMMYFUNCTION("GOOGLETRANSLATE(H2945,""EN"",""ES"")"),"EQUIPOS PARA DISTRIBUCIÓN O CONTROL DE ENERGÍA ELÉCTRICA")</f>
        <v>EQUIPOS PARA DISTRIBUCIÓN O CONTROL DE ENERGÍA ELÉCTRICA</v>
      </c>
      <c r="L2945" s="5" t="str">
        <f ca="1">IFERROR(__xludf.DUMMYFUNCTION("GOOGLETRANSLATE(J2945,""EN"",""ES"")"),"Condensadores")</f>
        <v>Condensadores</v>
      </c>
      <c r="M2945" s="8" t="s">
        <v>41</v>
      </c>
      <c r="N2945" s="8"/>
    </row>
    <row r="2946" spans="1:14" ht="11.25" customHeight="1">
      <c r="A2946" s="5" t="s">
        <v>8321</v>
      </c>
      <c r="B2946" s="5" t="s">
        <v>8423</v>
      </c>
      <c r="C2946" s="5" t="s">
        <v>8526</v>
      </c>
      <c r="D2946" s="5" t="s">
        <v>8324</v>
      </c>
      <c r="E2946" s="5" t="s">
        <v>42</v>
      </c>
      <c r="F2946" s="5" t="s">
        <v>8325</v>
      </c>
      <c r="G2946" s="5" t="s">
        <v>8326</v>
      </c>
      <c r="H2946" s="5" t="s">
        <v>8425</v>
      </c>
      <c r="I2946" s="5" t="s">
        <v>8527</v>
      </c>
      <c r="J2946" s="5" t="s">
        <v>8528</v>
      </c>
      <c r="K2946" s="7" t="str">
        <f ca="1">IFERROR(__xludf.DUMMYFUNCTION("GOOGLETRANSLATE(H2946,""EN"",""ES"")"),"EQUIPOS PARA DISTRIBUCIÓN O CONTROL DE ENERGÍA ELÉCTRICA")</f>
        <v>EQUIPOS PARA DISTRIBUCIÓN O CONTROL DE ENERGÍA ELÉCTRICA</v>
      </c>
      <c r="L2946" s="5" t="str">
        <f ca="1">IFERROR(__xludf.DUMMYFUNCTION("GOOGLETRANSLATE(J2946,""EN"",""ES"")"),"Cajas de conexiones [electricidad]")</f>
        <v>Cajas de conexiones [electricidad]</v>
      </c>
      <c r="M2946" s="8" t="s">
        <v>41</v>
      </c>
      <c r="N2946" s="8"/>
    </row>
    <row r="2947" spans="1:14" ht="11.25" customHeight="1">
      <c r="A2947" s="5" t="s">
        <v>8321</v>
      </c>
      <c r="B2947" s="5" t="s">
        <v>8423</v>
      </c>
      <c r="C2947" s="5" t="s">
        <v>8526</v>
      </c>
      <c r="D2947" s="5" t="s">
        <v>8324</v>
      </c>
      <c r="E2947" s="5" t="s">
        <v>42</v>
      </c>
      <c r="F2947" s="5" t="s">
        <v>8325</v>
      </c>
      <c r="G2947" s="5" t="s">
        <v>8326</v>
      </c>
      <c r="H2947" s="5" t="s">
        <v>8425</v>
      </c>
      <c r="I2947" s="5" t="s">
        <v>8529</v>
      </c>
      <c r="J2947" s="5" t="s">
        <v>8530</v>
      </c>
      <c r="K2947" s="7" t="str">
        <f ca="1">IFERROR(__xludf.DUMMYFUNCTION("GOOGLETRANSLATE(H2947,""EN"",""ES"")"),"EQUIPOS PARA DISTRIBUCIÓN O CONTROL DE ENERGÍA ELÉCTRICA")</f>
        <v>EQUIPOS PARA DISTRIBUCIÓN O CONTROL DE ENERGÍA ELÉCTRICA</v>
      </c>
      <c r="L2947" s="5" t="str">
        <f ca="1">IFERROR(__xludf.DUMMYFUNCTION("GOOGLETRANSLATE(J2947,""EN"",""ES"")"),"Cajas de derivación [electricidad]")</f>
        <v>Cajas de derivación [electricidad]</v>
      </c>
      <c r="M2947" s="8" t="s">
        <v>41</v>
      </c>
      <c r="N2947" s="8"/>
    </row>
    <row r="2948" spans="1:14" ht="11.25" customHeight="1">
      <c r="A2948" s="5" t="s">
        <v>8321</v>
      </c>
      <c r="B2948" s="5" t="s">
        <v>8423</v>
      </c>
      <c r="C2948" s="5" t="s">
        <v>8531</v>
      </c>
      <c r="D2948" s="5" t="s">
        <v>8324</v>
      </c>
      <c r="E2948" s="5" t="s">
        <v>42</v>
      </c>
      <c r="F2948" s="5" t="s">
        <v>8325</v>
      </c>
      <c r="G2948" s="5" t="s">
        <v>8326</v>
      </c>
      <c r="H2948" s="5" t="s">
        <v>8425</v>
      </c>
      <c r="I2948" s="5" t="s">
        <v>8532</v>
      </c>
      <c r="J2948" s="5" t="s">
        <v>8533</v>
      </c>
      <c r="K2948" s="7" t="str">
        <f ca="1">IFERROR(__xludf.DUMMYFUNCTION("GOOGLETRANSLATE(H2948,""EN"",""ES"")"),"EQUIPOS PARA DISTRIBUCIÓN O CONTROL DE ENERGÍA ELÉCTRICA")</f>
        <v>EQUIPOS PARA DISTRIBUCIÓN O CONTROL DE ENERGÍA ELÉCTRICA</v>
      </c>
      <c r="L2948" s="5" t="str">
        <f ca="1">IFERROR(__xludf.DUMMYFUNCTION("GOOGLETRANSLATE(J2948,""EN"",""ES"")"),"Enchufes de contacto")</f>
        <v>Enchufes de contacto</v>
      </c>
      <c r="M2948" s="8" t="s">
        <v>41</v>
      </c>
      <c r="N2948" s="8"/>
    </row>
    <row r="2949" spans="1:14" ht="11.25" customHeight="1">
      <c r="A2949" s="5" t="s">
        <v>8321</v>
      </c>
      <c r="B2949" s="5" t="s">
        <v>8423</v>
      </c>
      <c r="C2949" s="5" t="s">
        <v>8534</v>
      </c>
      <c r="D2949" s="5" t="s">
        <v>8324</v>
      </c>
      <c r="E2949" s="5" t="s">
        <v>42</v>
      </c>
      <c r="F2949" s="5" t="s">
        <v>8325</v>
      </c>
      <c r="G2949" s="5" t="s">
        <v>8326</v>
      </c>
      <c r="H2949" s="5" t="s">
        <v>8425</v>
      </c>
      <c r="I2949" s="5" t="s">
        <v>8535</v>
      </c>
      <c r="J2949" s="5" t="s">
        <v>8536</v>
      </c>
      <c r="K2949" s="7" t="str">
        <f ca="1">IFERROR(__xludf.DUMMYFUNCTION("GOOGLETRANSLATE(H2949,""EN"",""ES"")"),"EQUIPOS PARA DISTRIBUCIÓN O CONTROL DE ENERGÍA ELÉCTRICA")</f>
        <v>EQUIPOS PARA DISTRIBUCIÓN O CONTROL DE ENERGÍA ELÉCTRICA</v>
      </c>
      <c r="L2949" s="5" t="str">
        <f ca="1">IFERROR(__xludf.DUMMYFUNCTION("GOOGLETRANSLATE(J2949,""EN"",""ES"")"),"Conductos [electricidad]")</f>
        <v>Conductos [electricidad]</v>
      </c>
      <c r="M2949" s="8" t="s">
        <v>41</v>
      </c>
      <c r="N2949" s="8"/>
    </row>
    <row r="2950" spans="1:14" ht="11.25" customHeight="1">
      <c r="A2950" s="5" t="s">
        <v>8321</v>
      </c>
      <c r="B2950" s="5" t="s">
        <v>8423</v>
      </c>
      <c r="C2950" s="5" t="s">
        <v>8537</v>
      </c>
      <c r="D2950" s="5" t="s">
        <v>8324</v>
      </c>
      <c r="E2950" s="5" t="s">
        <v>42</v>
      </c>
      <c r="F2950" s="5" t="s">
        <v>8325</v>
      </c>
      <c r="G2950" s="5" t="s">
        <v>8326</v>
      </c>
      <c r="H2950" s="5" t="s">
        <v>8425</v>
      </c>
      <c r="I2950" s="5" t="s">
        <v>8538</v>
      </c>
      <c r="J2950" s="5" t="s">
        <v>8539</v>
      </c>
      <c r="K2950" s="7" t="str">
        <f ca="1">IFERROR(__xludf.DUMMYFUNCTION("GOOGLETRANSLATE(H2950,""EN"",""ES"")"),"EQUIPOS PARA DISTRIBUCIÓN O CONTROL DE ENERGÍA ELÉCTRICA")</f>
        <v>EQUIPOS PARA DISTRIBUCIÓN O CONTROL DE ENERGÍA ELÉCTRICA</v>
      </c>
      <c r="L2950" s="5" t="str">
        <f ca="1">IFERROR(__xludf.DUMMYFUNCTION("GOOGLETRANSLATE(J2950,""EN"",""ES"")"),"Clips para cables [electricidad]")</f>
        <v>Clips para cables [electricidad]</v>
      </c>
      <c r="M2950" s="8" t="s">
        <v>41</v>
      </c>
      <c r="N2950" s="8"/>
    </row>
    <row r="2951" spans="1:14" ht="11.25" customHeight="1">
      <c r="A2951" s="5" t="s">
        <v>8321</v>
      </c>
      <c r="B2951" s="5" t="s">
        <v>8423</v>
      </c>
      <c r="C2951" s="5" t="s">
        <v>8540</v>
      </c>
      <c r="D2951" s="5" t="s">
        <v>8324</v>
      </c>
      <c r="E2951" s="5" t="s">
        <v>42</v>
      </c>
      <c r="F2951" s="5" t="s">
        <v>8325</v>
      </c>
      <c r="G2951" s="5" t="s">
        <v>8326</v>
      </c>
      <c r="H2951" s="5" t="s">
        <v>8425</v>
      </c>
      <c r="I2951" s="5" t="s">
        <v>8541</v>
      </c>
      <c r="J2951" s="5" t="s">
        <v>8542</v>
      </c>
      <c r="K2951" s="7" t="str">
        <f ca="1">IFERROR(__xludf.DUMMYFUNCTION("GOOGLETRANSLATE(H2951,""EN"",""ES"")"),"EQUIPOS PARA DISTRIBUCIÓN O CONTROL DE ENERGÍA ELÉCTRICA")</f>
        <v>EQUIPOS PARA DISTRIBUCIÓN O CONTROL DE ENERGÍA ELÉCTRICA</v>
      </c>
      <c r="L2951" s="5" t="str">
        <f ca="1">IFERROR(__xludf.DUMMYFUNCTION("GOOGLETRANSLATE(J2951,""EN"",""ES"")"),"Conectores de cables [electricidad]")</f>
        <v>Conectores de cables [electricidad]</v>
      </c>
      <c r="M2951" s="8" t="s">
        <v>41</v>
      </c>
      <c r="N2951" s="8"/>
    </row>
    <row r="2952" spans="1:14" ht="11.25" customHeight="1">
      <c r="A2952" s="5" t="s">
        <v>8321</v>
      </c>
      <c r="B2952" s="5" t="s">
        <v>8423</v>
      </c>
      <c r="C2952" s="5" t="s">
        <v>8543</v>
      </c>
      <c r="D2952" s="5" t="s">
        <v>8324</v>
      </c>
      <c r="E2952" s="5" t="s">
        <v>42</v>
      </c>
      <c r="F2952" s="5" t="s">
        <v>8325</v>
      </c>
      <c r="G2952" s="5" t="s">
        <v>8326</v>
      </c>
      <c r="H2952" s="5" t="s">
        <v>8425</v>
      </c>
      <c r="I2952" s="5" t="s">
        <v>8544</v>
      </c>
      <c r="J2952" s="5" t="s">
        <v>8545</v>
      </c>
      <c r="K2952" s="7" t="str">
        <f ca="1">IFERROR(__xludf.DUMMYFUNCTION("GOOGLETRANSLATE(H2952,""EN"",""ES"")"),"EQUIPOS PARA DISTRIBUCIÓN O CONTROL DE ENERGÍA ELÉCTRICA")</f>
        <v>EQUIPOS PARA DISTRIBUCIÓN O CONTROL DE ENERGÍA ELÉCTRICA</v>
      </c>
      <c r="L2952" s="5" t="str">
        <f ca="1">IFERROR(__xludf.DUMMYFUNCTION("GOOGLETRANSLATE(J2952,""EN"",""ES"")"),"Estabilizadores [electricidad]")</f>
        <v>Estabilizadores [electricidad]</v>
      </c>
      <c r="M2952" s="8" t="s">
        <v>41</v>
      </c>
      <c r="N2952" s="8"/>
    </row>
    <row r="2953" spans="1:14" ht="11.25" customHeight="1">
      <c r="A2953" s="5" t="s">
        <v>8321</v>
      </c>
      <c r="B2953" s="5" t="s">
        <v>8423</v>
      </c>
      <c r="C2953" s="5" t="s">
        <v>8546</v>
      </c>
      <c r="D2953" s="5" t="s">
        <v>8324</v>
      </c>
      <c r="E2953" s="5" t="s">
        <v>42</v>
      </c>
      <c r="F2953" s="5" t="s">
        <v>8325</v>
      </c>
      <c r="G2953" s="5" t="s">
        <v>8326</v>
      </c>
      <c r="H2953" s="5" t="s">
        <v>8425</v>
      </c>
      <c r="I2953" s="5" t="s">
        <v>8547</v>
      </c>
      <c r="J2953" s="5" t="s">
        <v>8548</v>
      </c>
      <c r="K2953" s="7" t="str">
        <f ca="1">IFERROR(__xludf.DUMMYFUNCTION("GOOGLETRANSLATE(H2953,""EN"",""ES"")"),"EQUIPOS PARA DISTRIBUCIÓN O CONTROL DE ENERGÍA ELÉCTRICA")</f>
        <v>EQUIPOS PARA DISTRIBUCIÓN O CONTROL DE ENERGÍA ELÉCTRICA</v>
      </c>
      <c r="L2953" s="5" t="str">
        <f ca="1">IFERROR(__xludf.DUMMYFUNCTION("GOOGLETRANSLATE(J2953,""EN"",""ES"")"),"Cuadros de conexiones eléctricas")</f>
        <v>Cuadros de conexiones eléctricas</v>
      </c>
      <c r="M2953" s="8" t="s">
        <v>41</v>
      </c>
      <c r="N2953" s="8"/>
    </row>
    <row r="2954" spans="1:14" ht="11.25" customHeight="1">
      <c r="A2954" s="5" t="s">
        <v>8321</v>
      </c>
      <c r="B2954" s="5" t="s">
        <v>8423</v>
      </c>
      <c r="C2954" s="5" t="s">
        <v>8549</v>
      </c>
      <c r="D2954" s="5" t="s">
        <v>8324</v>
      </c>
      <c r="E2954" s="5" t="s">
        <v>42</v>
      </c>
      <c r="F2954" s="5" t="s">
        <v>8325</v>
      </c>
      <c r="G2954" s="5" t="s">
        <v>8326</v>
      </c>
      <c r="H2954" s="5" t="s">
        <v>8425</v>
      </c>
      <c r="I2954" s="5" t="s">
        <v>8550</v>
      </c>
      <c r="J2954" s="5" t="s">
        <v>8551</v>
      </c>
      <c r="K2954" s="7" t="str">
        <f ca="1">IFERROR(__xludf.DUMMYFUNCTION("GOOGLETRANSLATE(H2954,""EN"",""ES"")"),"EQUIPOS PARA DISTRIBUCIÓN O CONTROL DE ENERGÍA ELÉCTRICA")</f>
        <v>EQUIPOS PARA DISTRIBUCIÓN O CONTROL DE ENERGÍA ELÉCTRICA</v>
      </c>
      <c r="L2954" s="5" t="str">
        <f ca="1">IFERROR(__xludf.DUMMYFUNCTION("GOOGLETRANSLATE(J2954,""EN"",""ES"")"),"Cuadros de distribución [electricidad]")</f>
        <v>Cuadros de distribución [electricidad]</v>
      </c>
      <c r="M2954" s="8" t="s">
        <v>41</v>
      </c>
      <c r="N2954" s="8"/>
    </row>
    <row r="2955" spans="1:14" ht="11.25" customHeight="1">
      <c r="A2955" s="5" t="s">
        <v>8321</v>
      </c>
      <c r="B2955" s="5" t="s">
        <v>8423</v>
      </c>
      <c r="C2955" s="5" t="s">
        <v>8549</v>
      </c>
      <c r="D2955" s="5" t="s">
        <v>8324</v>
      </c>
      <c r="E2955" s="5" t="s">
        <v>42</v>
      </c>
      <c r="F2955" s="5" t="s">
        <v>8325</v>
      </c>
      <c r="G2955" s="5" t="s">
        <v>8326</v>
      </c>
      <c r="H2955" s="5" t="s">
        <v>8425</v>
      </c>
      <c r="I2955" s="5" t="s">
        <v>8552</v>
      </c>
      <c r="J2955" s="5" t="s">
        <v>8553</v>
      </c>
      <c r="K2955" s="7" t="str">
        <f ca="1">IFERROR(__xludf.DUMMYFUNCTION("GOOGLETRANSLATE(H2955,""EN"",""ES"")"),"EQUIPOS PARA DISTRIBUCIÓN O CONTROL DE ENERGÍA ELÉCTRICA")</f>
        <v>EQUIPOS PARA DISTRIBUCIÓN O CONTROL DE ENERGÍA ELÉCTRICA</v>
      </c>
      <c r="L2955" s="5" t="str">
        <f ca="1">IFERROR(__xludf.DUMMYFUNCTION("GOOGLETRANSLATE(J2955,""EN"",""ES"")"),"Paneles de control [electricidad]")</f>
        <v>Paneles de control [electricidad]</v>
      </c>
      <c r="M2955" s="8" t="s">
        <v>41</v>
      </c>
      <c r="N2955" s="8"/>
    </row>
    <row r="2956" spans="1:14" ht="11.25" customHeight="1">
      <c r="A2956" s="5" t="s">
        <v>8321</v>
      </c>
      <c r="B2956" s="5" t="s">
        <v>8423</v>
      </c>
      <c r="C2956" s="5" t="s">
        <v>8554</v>
      </c>
      <c r="D2956" s="5" t="s">
        <v>8324</v>
      </c>
      <c r="E2956" s="5" t="s">
        <v>42</v>
      </c>
      <c r="F2956" s="5" t="s">
        <v>8325</v>
      </c>
      <c r="G2956" s="5" t="s">
        <v>8326</v>
      </c>
      <c r="H2956" s="5" t="s">
        <v>8425</v>
      </c>
      <c r="I2956" s="5" t="s">
        <v>8555</v>
      </c>
      <c r="J2956" s="5" t="s">
        <v>8556</v>
      </c>
      <c r="K2956" s="7" t="str">
        <f ca="1">IFERROR(__xludf.DUMMYFUNCTION("GOOGLETRANSLATE(H2956,""EN"",""ES"")"),"EQUIPOS PARA DISTRIBUCIÓN O CONTROL DE ENERGÍA ELÉCTRICA")</f>
        <v>EQUIPOS PARA DISTRIBUCIÓN O CONTROL DE ENERGÍA ELÉCTRICA</v>
      </c>
      <c r="L2956" s="5" t="str">
        <f ca="1">IFERROR(__xludf.DUMMYFUNCTION("GOOGLETRANSLATE(J2956,""EN"",""ES"")"),"Carcasas para conductores eléctricos.")</f>
        <v>Carcasas para conductores eléctricos.</v>
      </c>
      <c r="M2956" s="8" t="s">
        <v>41</v>
      </c>
      <c r="N2956" s="8"/>
    </row>
    <row r="2957" spans="1:14" ht="11.25" customHeight="1">
      <c r="A2957" s="5" t="s">
        <v>8321</v>
      </c>
      <c r="B2957" s="5" t="s">
        <v>8423</v>
      </c>
      <c r="C2957" s="5" t="s">
        <v>8557</v>
      </c>
      <c r="D2957" s="5" t="s">
        <v>8324</v>
      </c>
      <c r="E2957" s="5" t="s">
        <v>42</v>
      </c>
      <c r="F2957" s="5" t="s">
        <v>8325</v>
      </c>
      <c r="G2957" s="5" t="s">
        <v>8326</v>
      </c>
      <c r="H2957" s="5" t="s">
        <v>8425</v>
      </c>
      <c r="I2957" s="5" t="s">
        <v>8558</v>
      </c>
      <c r="J2957" s="5" t="s">
        <v>8559</v>
      </c>
      <c r="K2957" s="7" t="str">
        <f ca="1">IFERROR(__xludf.DUMMYFUNCTION("GOOGLETRANSLATE(H2957,""EN"",""ES"")"),"EQUIPOS PARA DISTRIBUCIÓN O CONTROL DE ENERGÍA ELÉCTRICA")</f>
        <v>EQUIPOS PARA DISTRIBUCIÓN O CONTROL DE ENERGÍA ELÉCTRICA</v>
      </c>
      <c r="L2957" s="5" t="str">
        <f ca="1">IFERROR(__xludf.DUMMYFUNCTION("GOOGLETRANSLATE(J2957,""EN"",""ES"")"),"Revestimiento para conductores eléctricos.")</f>
        <v>Revestimiento para conductores eléctricos.</v>
      </c>
      <c r="M2957" s="8" t="s">
        <v>41</v>
      </c>
      <c r="N2957" s="8"/>
    </row>
    <row r="2958" spans="1:14" ht="11.25" customHeight="1">
      <c r="A2958" s="5" t="s">
        <v>8321</v>
      </c>
      <c r="B2958" s="5" t="s">
        <v>8423</v>
      </c>
      <c r="C2958" s="5" t="s">
        <v>8560</v>
      </c>
      <c r="D2958" s="5" t="s">
        <v>8324</v>
      </c>
      <c r="E2958" s="5" t="s">
        <v>42</v>
      </c>
      <c r="F2958" s="5" t="s">
        <v>8325</v>
      </c>
      <c r="G2958" s="5" t="s">
        <v>8326</v>
      </c>
      <c r="H2958" s="5" t="s">
        <v>8425</v>
      </c>
      <c r="I2958" s="5" t="s">
        <v>8561</v>
      </c>
      <c r="J2958" s="5" t="s">
        <v>8562</v>
      </c>
      <c r="K2958" s="7" t="str">
        <f ca="1">IFERROR(__xludf.DUMMYFUNCTION("GOOGLETRANSLATE(H2958,""EN"",""ES"")"),"EQUIPOS PARA DISTRIBUCIÓN O CONTROL DE ENERGÍA ELÉCTRICA")</f>
        <v>EQUIPOS PARA DISTRIBUCIÓN O CONTROL DE ENERGÍA ELÉCTRICA</v>
      </c>
      <c r="L2958" s="5" t="str">
        <f ca="1">IFERROR(__xludf.DUMMYFUNCTION("GOOGLETRANSLATE(J2958,""EN"",""ES"")"),"Tapas de marcado [electricidad]")</f>
        <v>Tapas de marcado [electricidad]</v>
      </c>
      <c r="M2958" s="8" t="s">
        <v>41</v>
      </c>
      <c r="N2958" s="8"/>
    </row>
    <row r="2959" spans="1:14" ht="11.25" customHeight="1">
      <c r="A2959" s="5" t="s">
        <v>8321</v>
      </c>
      <c r="B2959" s="5" t="s">
        <v>8423</v>
      </c>
      <c r="C2959" s="5" t="s">
        <v>8563</v>
      </c>
      <c r="D2959" s="5" t="s">
        <v>8324</v>
      </c>
      <c r="E2959" s="5" t="s">
        <v>42</v>
      </c>
      <c r="F2959" s="5" t="s">
        <v>8325</v>
      </c>
      <c r="G2959" s="5" t="s">
        <v>8326</v>
      </c>
      <c r="H2959" s="5" t="s">
        <v>8425</v>
      </c>
      <c r="I2959" s="5" t="s">
        <v>8564</v>
      </c>
      <c r="J2959" s="5" t="s">
        <v>8565</v>
      </c>
      <c r="K2959" s="7" t="str">
        <f ca="1">IFERROR(__xludf.DUMMYFUNCTION("GOOGLETRANSLATE(H2959,""EN"",""ES"")"),"EQUIPOS PARA DISTRIBUCIÓN O CONTROL DE ENERGÍA ELÉCTRICA")</f>
        <v>EQUIPOS PARA DISTRIBUCIÓN O CONTROL DE ENERGÍA ELÉCTRICA</v>
      </c>
      <c r="L2959" s="5" t="str">
        <f ca="1">IFERROR(__xludf.DUMMYFUNCTION("GOOGLETRANSLATE(J2959,""EN"",""ES"")"),"Fundas de identificación para conductores eléctricos.")</f>
        <v>Fundas de identificación para conductores eléctricos.</v>
      </c>
      <c r="M2959" s="8" t="s">
        <v>41</v>
      </c>
      <c r="N2959" s="8"/>
    </row>
    <row r="2960" spans="1:14" ht="11.25" customHeight="1">
      <c r="A2960" s="5" t="s">
        <v>8321</v>
      </c>
      <c r="B2960" s="5" t="s">
        <v>8423</v>
      </c>
      <c r="C2960" s="5" t="s">
        <v>8566</v>
      </c>
      <c r="D2960" s="5" t="s">
        <v>8324</v>
      </c>
      <c r="E2960" s="5" t="s">
        <v>42</v>
      </c>
      <c r="F2960" s="5" t="s">
        <v>8325</v>
      </c>
      <c r="G2960" s="5" t="s">
        <v>8326</v>
      </c>
      <c r="H2960" s="5" t="s">
        <v>8425</v>
      </c>
      <c r="I2960" s="5" t="s">
        <v>8567</v>
      </c>
      <c r="J2960" s="5" t="s">
        <v>8568</v>
      </c>
      <c r="K2960" s="7" t="str">
        <f ca="1">IFERROR(__xludf.DUMMYFUNCTION("GOOGLETRANSLATE(H2960,""EN"",""ES"")"),"EQUIPOS PARA DISTRIBUCIÓN O CONTROL DE ENERGÍA ELÉCTRICA")</f>
        <v>EQUIPOS PARA DISTRIBUCIÓN O CONTROL DE ENERGÍA ELÉCTRICA</v>
      </c>
      <c r="L2960" s="5" t="str">
        <f ca="1">IFERROR(__xludf.DUMMYFUNCTION("GOOGLETRANSLATE(J2960,""EN"",""ES"")"),"atenuadores de luz")</f>
        <v>atenuadores de luz</v>
      </c>
      <c r="M2960" s="8" t="s">
        <v>41</v>
      </c>
      <c r="N2960" s="8"/>
    </row>
    <row r="2961" spans="1:14" ht="11.25" customHeight="1">
      <c r="A2961" s="5" t="s">
        <v>8321</v>
      </c>
      <c r="B2961" s="5" t="s">
        <v>8423</v>
      </c>
      <c r="C2961" s="5" t="s">
        <v>8569</v>
      </c>
      <c r="D2961" s="5" t="s">
        <v>8324</v>
      </c>
      <c r="E2961" s="5" t="s">
        <v>42</v>
      </c>
      <c r="F2961" s="5" t="s">
        <v>8325</v>
      </c>
      <c r="G2961" s="5" t="s">
        <v>8326</v>
      </c>
      <c r="H2961" s="5" t="s">
        <v>8425</v>
      </c>
      <c r="I2961" s="5" t="s">
        <v>8570</v>
      </c>
      <c r="J2961" s="5" t="s">
        <v>8571</v>
      </c>
      <c r="K2961" s="7" t="str">
        <f ca="1">IFERROR(__xludf.DUMMYFUNCTION("GOOGLETRANSLATE(H2961,""EN"",""ES"")"),"EQUIPOS PARA DISTRIBUCIÓN O CONTROL DE ENERGÍA ELÉCTRICA")</f>
        <v>EQUIPOS PARA DISTRIBUCIÓN O CONTROL DE ENERGÍA ELÉCTRICA</v>
      </c>
      <c r="L2961" s="5" t="str">
        <f ca="1">IFERROR(__xludf.DUMMYFUNCTION("GOOGLETRANSLATE(J2961,""EN"",""ES"")"),"Rieles electrificados para montar focos.")</f>
        <v>Rieles electrificados para montar focos.</v>
      </c>
      <c r="M2961" s="8" t="s">
        <v>41</v>
      </c>
      <c r="N2961" s="8"/>
    </row>
    <row r="2962" spans="1:14" ht="11.25" customHeight="1">
      <c r="A2962" s="5" t="s">
        <v>8321</v>
      </c>
      <c r="B2962" s="5" t="s">
        <v>8423</v>
      </c>
      <c r="C2962" s="5" t="s">
        <v>8572</v>
      </c>
      <c r="D2962" s="5" t="s">
        <v>8324</v>
      </c>
      <c r="E2962" s="5" t="s">
        <v>42</v>
      </c>
      <c r="F2962" s="5" t="s">
        <v>8325</v>
      </c>
      <c r="G2962" s="5" t="s">
        <v>8326</v>
      </c>
      <c r="H2962" s="5" t="s">
        <v>8425</v>
      </c>
      <c r="I2962" s="5" t="s">
        <v>8573</v>
      </c>
      <c r="J2962" s="5" t="s">
        <v>8574</v>
      </c>
      <c r="K2962" s="7" t="str">
        <f ca="1">IFERROR(__xludf.DUMMYFUNCTION("GOOGLETRANSLATE(H2962,""EN"",""ES"")"),"EQUIPOS PARA DISTRIBUCIÓN O CONTROL DE ENERGÍA ELÉCTRICA")</f>
        <v>EQUIPOS PARA DISTRIBUCIÓN O CONTROL DE ENERGÍA ELÉCTRICA</v>
      </c>
      <c r="L2962" s="5" t="str">
        <f ca="1">IFERROR(__xludf.DUMMYFUNCTION("GOOGLETRANSLATE(J2962,""EN"",""ES"")"),"Zapatas para terminales de cables")</f>
        <v>Zapatas para terminales de cables</v>
      </c>
      <c r="M2962" s="8" t="s">
        <v>41</v>
      </c>
      <c r="N2962" s="8"/>
    </row>
    <row r="2963" spans="1:14" ht="11.25" customHeight="1">
      <c r="A2963" s="5" t="s">
        <v>8321</v>
      </c>
      <c r="B2963" s="5" t="s">
        <v>8423</v>
      </c>
      <c r="C2963" s="5" t="s">
        <v>8575</v>
      </c>
      <c r="D2963" s="5" t="s">
        <v>8324</v>
      </c>
      <c r="E2963" s="5" t="s">
        <v>42</v>
      </c>
      <c r="F2963" s="5" t="s">
        <v>8325</v>
      </c>
      <c r="G2963" s="5" t="s">
        <v>8326</v>
      </c>
      <c r="H2963" s="5" t="s">
        <v>8425</v>
      </c>
      <c r="I2963" s="5" t="s">
        <v>8576</v>
      </c>
      <c r="J2963" s="5" t="s">
        <v>8577</v>
      </c>
      <c r="K2963" s="7" t="str">
        <f ca="1">IFERROR(__xludf.DUMMYFUNCTION("GOOGLETRANSLATE(H2963,""EN"",""ES"")"),"EQUIPOS PARA DISTRIBUCIÓN O CONTROL DE ENERGÍA ELÉCTRICA")</f>
        <v>EQUIPOS PARA DISTRIBUCIÓN O CONTROL DE ENERGÍA ELÉCTRICA</v>
      </c>
      <c r="L2963" s="5" t="str">
        <f ca="1">IFERROR(__xludf.DUMMYFUNCTION("GOOGLETRANSLATE(J2963,""EN"",""ES"")"),"Dispositivos de protección contra sobretensiones")</f>
        <v>Dispositivos de protección contra sobretensiones</v>
      </c>
      <c r="M2963" s="8" t="s">
        <v>41</v>
      </c>
      <c r="N2963" s="8"/>
    </row>
    <row r="2964" spans="1:14" ht="11.25" customHeight="1">
      <c r="A2964" s="5" t="s">
        <v>8321</v>
      </c>
      <c r="B2964" s="5" t="s">
        <v>8423</v>
      </c>
      <c r="C2964" s="5" t="s">
        <v>8578</v>
      </c>
      <c r="D2964" s="5" t="s">
        <v>8324</v>
      </c>
      <c r="E2964" s="5" t="s">
        <v>42</v>
      </c>
      <c r="F2964" s="5" t="s">
        <v>8325</v>
      </c>
      <c r="G2964" s="5" t="s">
        <v>8326</v>
      </c>
      <c r="H2964" s="5" t="s">
        <v>8425</v>
      </c>
      <c r="I2964" s="5" t="s">
        <v>8579</v>
      </c>
      <c r="J2964" s="5" t="s">
        <v>8580</v>
      </c>
      <c r="K2964" s="7" t="str">
        <f ca="1">IFERROR(__xludf.DUMMYFUNCTION("GOOGLETRANSLATE(H2964,""EN"",""ES"")"),"EQUIPOS PARA DISTRIBUCIÓN O CONTROL DE ENERGÍA ELÉCTRICA")</f>
        <v>EQUIPOS PARA DISTRIBUCIÓN O CONTROL DE ENERGÍA ELÉCTRICA</v>
      </c>
      <c r="L2964" s="5" t="str">
        <f ca="1">IFERROR(__xludf.DUMMYFUNCTION("GOOGLETRANSLATE(J2964,""EN"",""ES"")"),"Disipadores de calor")</f>
        <v>Disipadores de calor</v>
      </c>
      <c r="M2964" s="8" t="s">
        <v>41</v>
      </c>
      <c r="N2964" s="8"/>
    </row>
    <row r="2965" spans="1:14" ht="11.25" customHeight="1">
      <c r="A2965" s="5" t="s">
        <v>8321</v>
      </c>
      <c r="B2965" s="5" t="s">
        <v>8423</v>
      </c>
      <c r="C2965" s="5" t="s">
        <v>8581</v>
      </c>
      <c r="D2965" s="5" t="s">
        <v>8324</v>
      </c>
      <c r="E2965" s="5" t="s">
        <v>42</v>
      </c>
      <c r="F2965" s="5" t="s">
        <v>8325</v>
      </c>
      <c r="G2965" s="5" t="s">
        <v>8326</v>
      </c>
      <c r="H2965" s="5" t="s">
        <v>8425</v>
      </c>
      <c r="I2965" s="5" t="s">
        <v>8582</v>
      </c>
      <c r="J2965" s="5" t="s">
        <v>8583</v>
      </c>
      <c r="K2965" s="7" t="str">
        <f ca="1">IFERROR(__xludf.DUMMYFUNCTION("GOOGLETRANSLATE(H2965,""EN"",""ES"")"),"EQUIPOS PARA DISTRIBUCIÓN O CONTROL DE ENERGÍA ELÉCTRICA")</f>
        <v>EQUIPOS PARA DISTRIBUCIÓN O CONTROL DE ENERGÍA ELÉCTRICA</v>
      </c>
      <c r="L2965" s="5" t="str">
        <f ca="1">IFERROR(__xludf.DUMMYFUNCTION("GOOGLETRANSLATE(J2965,""EN"",""ES"")"),"Protectores de cables")</f>
        <v>Protectores de cables</v>
      </c>
      <c r="M2965" s="8" t="s">
        <v>41</v>
      </c>
      <c r="N2965" s="8"/>
    </row>
    <row r="2966" spans="1:14" ht="11.25" customHeight="1">
      <c r="A2966" s="5" t="s">
        <v>8321</v>
      </c>
      <c r="B2966" s="5" t="s">
        <v>8584</v>
      </c>
      <c r="C2966" s="5" t="s">
        <v>8585</v>
      </c>
      <c r="D2966" s="5" t="s">
        <v>8324</v>
      </c>
      <c r="E2966" s="5" t="s">
        <v>42</v>
      </c>
      <c r="F2966" s="5" t="s">
        <v>8325</v>
      </c>
      <c r="G2966" s="5" t="s">
        <v>8326</v>
      </c>
      <c r="H2966" s="5" t="s">
        <v>8586</v>
      </c>
      <c r="I2966" s="5" t="s">
        <v>8587</v>
      </c>
      <c r="J2966" s="5" t="s">
        <v>8588</v>
      </c>
      <c r="K2966" s="7" t="str">
        <f ca="1">IFERROR(__xludf.DUMMYFUNCTION("GOOGLETRANSLATE(H2966,""EN"",""ES"")"),"Equipos solares")</f>
        <v>Equipos solares</v>
      </c>
      <c r="L2966" s="5" t="str">
        <f ca="1">IFERROR(__xludf.DUMMYFUNCTION("GOOGLETRANSLATE(J2966,""EN"",""ES"")"),"Paneles solares")</f>
        <v>Paneles solares</v>
      </c>
      <c r="M2966" s="8" t="s">
        <v>41</v>
      </c>
      <c r="N2966" s="8"/>
    </row>
    <row r="2967" spans="1:14" ht="11.25" customHeight="1">
      <c r="A2967" s="5" t="s">
        <v>8321</v>
      </c>
      <c r="B2967" s="5" t="s">
        <v>8584</v>
      </c>
      <c r="C2967" s="5" t="s">
        <v>8589</v>
      </c>
      <c r="D2967" s="5" t="s">
        <v>8324</v>
      </c>
      <c r="E2967" s="5" t="s">
        <v>42</v>
      </c>
      <c r="F2967" s="5" t="s">
        <v>8325</v>
      </c>
      <c r="G2967" s="5" t="s">
        <v>8326</v>
      </c>
      <c r="H2967" s="5" t="s">
        <v>8586</v>
      </c>
      <c r="I2967" s="5" t="s">
        <v>8590</v>
      </c>
      <c r="J2967" s="5" t="s">
        <v>8591</v>
      </c>
      <c r="K2967" s="7" t="str">
        <f ca="1">IFERROR(__xludf.DUMMYFUNCTION("GOOGLETRANSLATE(H2967,""EN"",""ES"")"),"Equipos solares")</f>
        <v>Equipos solares</v>
      </c>
      <c r="L2967" s="5" t="str">
        <f ca="1">IFERROR(__xludf.DUMMYFUNCTION("GOOGLETRANSLATE(J2967,""EN"",""ES"")"),"Soportes para paneles solares")</f>
        <v>Soportes para paneles solares</v>
      </c>
      <c r="M2967" s="8" t="s">
        <v>41</v>
      </c>
      <c r="N2967" s="8"/>
    </row>
    <row r="2968" spans="1:14" ht="11.25" customHeight="1">
      <c r="A2968" s="5" t="s">
        <v>8321</v>
      </c>
      <c r="B2968" s="5" t="s">
        <v>8584</v>
      </c>
      <c r="C2968" s="5" t="s">
        <v>8592</v>
      </c>
      <c r="D2968" s="5" t="s">
        <v>8324</v>
      </c>
      <c r="E2968" s="5" t="s">
        <v>42</v>
      </c>
      <c r="F2968" s="5" t="s">
        <v>8325</v>
      </c>
      <c r="G2968" s="5" t="s">
        <v>8326</v>
      </c>
      <c r="H2968" s="5" t="s">
        <v>8586</v>
      </c>
      <c r="I2968" s="5" t="s">
        <v>8593</v>
      </c>
      <c r="J2968" s="5" t="s">
        <v>8594</v>
      </c>
      <c r="K2968" s="7" t="str">
        <f ca="1">IFERROR(__xludf.DUMMYFUNCTION("GOOGLETRANSLATE(H2968,""EN"",""ES"")"),"Equipos solares")</f>
        <v>Equipos solares</v>
      </c>
      <c r="L2968" s="5" t="str">
        <f ca="1">IFERROR(__xludf.DUMMYFUNCTION("GOOGLETRANSLATE(J2968,""EN"",""ES"")"),"Células solares")</f>
        <v>Células solares</v>
      </c>
      <c r="M2968" s="8" t="s">
        <v>41</v>
      </c>
      <c r="N2968" s="8"/>
    </row>
    <row r="2969" spans="1:14" ht="11.25" customHeight="1">
      <c r="A2969" s="5" t="s">
        <v>8321</v>
      </c>
      <c r="B2969" s="5" t="s">
        <v>8584</v>
      </c>
      <c r="C2969" s="5" t="s">
        <v>8595</v>
      </c>
      <c r="D2969" s="5" t="s">
        <v>8324</v>
      </c>
      <c r="E2969" s="5" t="s">
        <v>42</v>
      </c>
      <c r="F2969" s="5" t="s">
        <v>8325</v>
      </c>
      <c r="G2969" s="5" t="s">
        <v>8326</v>
      </c>
      <c r="H2969" s="5" t="s">
        <v>8586</v>
      </c>
      <c r="I2969" s="5" t="s">
        <v>8596</v>
      </c>
      <c r="J2969" s="5" t="s">
        <v>8597</v>
      </c>
      <c r="K2969" s="7" t="str">
        <f ca="1">IFERROR(__xludf.DUMMYFUNCTION("GOOGLETRANSLATE(H2969,""EN"",""ES"")"),"Equipos solares")</f>
        <v>Equipos solares</v>
      </c>
      <c r="L2969" s="5" t="str">
        <f ca="1">IFERROR(__xludf.DUMMYFUNCTION("GOOGLETRANSLATE(J2969,""EN"",""ES"")"),"Fuentes de energía solar portátiles")</f>
        <v>Fuentes de energía solar portátiles</v>
      </c>
      <c r="M2969" s="8" t="s">
        <v>41</v>
      </c>
      <c r="N2969" s="8"/>
    </row>
    <row r="2970" spans="1:14" ht="11.25" customHeight="1">
      <c r="A2970" s="5" t="s">
        <v>8321</v>
      </c>
      <c r="B2970" s="5" t="s">
        <v>8598</v>
      </c>
      <c r="C2970" s="5" t="s">
        <v>8599</v>
      </c>
      <c r="D2970" s="5" t="s">
        <v>8324</v>
      </c>
      <c r="E2970" s="5" t="s">
        <v>42</v>
      </c>
      <c r="F2970" s="5" t="s">
        <v>8325</v>
      </c>
      <c r="G2970" s="5" t="s">
        <v>8326</v>
      </c>
      <c r="H2970" s="5" t="s">
        <v>330</v>
      </c>
      <c r="I2970" s="5" t="s">
        <v>8600</v>
      </c>
      <c r="J2970" s="5" t="s">
        <v>8601</v>
      </c>
      <c r="K2970" s="7" t="str">
        <f ca="1">IFERROR(__xludf.DUMMYFUNCTION("GOOGLETRANSLATE(H2970,""EN"",""ES"")"),"MISCELÁNEAS")</f>
        <v>MISCELÁNEAS</v>
      </c>
      <c r="L2970" s="5" t="str">
        <f ca="1">IFERROR(__xludf.DUMMYFUNCTION("GOOGLETRANSLATE(J2970,""EN"",""ES"")"),"Electroimanes")</f>
        <v>Electroimanes</v>
      </c>
      <c r="M2970" s="8" t="s">
        <v>41</v>
      </c>
      <c r="N2970" s="8"/>
    </row>
    <row r="2971" spans="1:14" ht="11.25" customHeight="1">
      <c r="A2971" s="5" t="s">
        <v>8321</v>
      </c>
      <c r="B2971" s="5" t="s">
        <v>8598</v>
      </c>
      <c r="C2971" s="5" t="s">
        <v>8602</v>
      </c>
      <c r="D2971" s="5" t="s">
        <v>8324</v>
      </c>
      <c r="E2971" s="5" t="s">
        <v>42</v>
      </c>
      <c r="F2971" s="5" t="s">
        <v>8325</v>
      </c>
      <c r="G2971" s="5" t="s">
        <v>8326</v>
      </c>
      <c r="H2971" s="5" t="s">
        <v>330</v>
      </c>
      <c r="I2971" s="5" t="s">
        <v>8603</v>
      </c>
      <c r="J2971" s="5" t="s">
        <v>8604</v>
      </c>
      <c r="K2971" s="7" t="str">
        <f ca="1">IFERROR(__xludf.DUMMYFUNCTION("GOOGLETRANSLATE(H2971,""EN"",""ES"")"),"MISCELÁNEAS")</f>
        <v>MISCELÁNEAS</v>
      </c>
      <c r="L2971" s="5" t="str">
        <f ca="1">IFERROR(__xludf.DUMMYFUNCTION("GOOGLETRANSLATE(J2971,""EN"",""ES"")"),"Eliminadores electrostáticos")</f>
        <v>Eliminadores electrostáticos</v>
      </c>
      <c r="M2971" s="8" t="s">
        <v>41</v>
      </c>
      <c r="N2971" s="8"/>
    </row>
    <row r="2972" spans="1:14" ht="11.25" customHeight="1">
      <c r="A2972" s="5" t="s">
        <v>8605</v>
      </c>
      <c r="B2972" s="5" t="s">
        <v>8606</v>
      </c>
      <c r="C2972" s="5" t="s">
        <v>8607</v>
      </c>
      <c r="D2972" s="5" t="s">
        <v>8608</v>
      </c>
      <c r="E2972" s="5" t="s">
        <v>44</v>
      </c>
      <c r="F2972" s="5" t="s">
        <v>8609</v>
      </c>
      <c r="G2972" s="5" t="s">
        <v>152</v>
      </c>
      <c r="H2972" s="5" t="s">
        <v>8610</v>
      </c>
      <c r="I2972" s="5" t="s">
        <v>8611</v>
      </c>
      <c r="J2972" s="5" t="s">
        <v>8612</v>
      </c>
      <c r="K2972" s="7" t="str">
        <f ca="1">IFERROR(__xludf.DUMMYFUNCTION("GOOGLETRANSLATE(H2972,""EN"",""ES"")"),"EQUIPOS PARA LA GRABACIÓN O REPRODUCCIÓN DE SONIDOS O IMÁGENES")</f>
        <v>EQUIPOS PARA LA GRABACIÓN O REPRODUCCIÓN DE SONIDOS O IMÁGENES</v>
      </c>
      <c r="L2972" s="5" t="str">
        <f ca="1">IFERROR(__xludf.DUMMYFUNCTION("GOOGLETRANSLATE(J2972,""EN"",""ES"")"),"Agujas de tocadiscos")</f>
        <v>Agujas de tocadiscos</v>
      </c>
      <c r="M2972" s="10" t="s">
        <v>43</v>
      </c>
    </row>
    <row r="2973" spans="1:14" ht="11.25" customHeight="1">
      <c r="A2973" s="5" t="s">
        <v>8605</v>
      </c>
      <c r="B2973" s="5" t="s">
        <v>8606</v>
      </c>
      <c r="C2973" s="5" t="s">
        <v>8613</v>
      </c>
      <c r="D2973" s="5" t="s">
        <v>8608</v>
      </c>
      <c r="E2973" s="5" t="s">
        <v>44</v>
      </c>
      <c r="F2973" s="5" t="s">
        <v>8609</v>
      </c>
      <c r="G2973" s="5" t="s">
        <v>152</v>
      </c>
      <c r="H2973" s="5" t="s">
        <v>8610</v>
      </c>
      <c r="I2973" s="5" t="s">
        <v>8614</v>
      </c>
      <c r="J2973" s="5" t="s">
        <v>8615</v>
      </c>
      <c r="K2973" s="7" t="str">
        <f ca="1">IFERROR(__xludf.DUMMYFUNCTION("GOOGLETRANSLATE(H2973,""EN"",""ES"")"),"EQUIPOS PARA LA GRABACIÓN O REPRODUCCIÓN DE SONIDOS O IMÁGENES")</f>
        <v>EQUIPOS PARA LA GRABACIÓN O REPRODUCCIÓN DE SONIDOS O IMÁGENES</v>
      </c>
      <c r="L2973" s="5" t="str">
        <f ca="1">IFERROR(__xludf.DUMMYFUNCTION("GOOGLETRANSLATE(J2973,""EN"",""ES"")"),"Grabadoras de cinta")</f>
        <v>Grabadoras de cinta</v>
      </c>
      <c r="M2973" s="10" t="s">
        <v>43</v>
      </c>
      <c r="N2973" s="10"/>
    </row>
    <row r="2974" spans="1:14" ht="11.25" customHeight="1">
      <c r="A2974" s="5" t="s">
        <v>8605</v>
      </c>
      <c r="B2974" s="5" t="s">
        <v>8606</v>
      </c>
      <c r="C2974" s="5" t="s">
        <v>8613</v>
      </c>
      <c r="D2974" s="5" t="s">
        <v>8608</v>
      </c>
      <c r="E2974" s="5" t="s">
        <v>44</v>
      </c>
      <c r="F2974" s="5" t="s">
        <v>8609</v>
      </c>
      <c r="G2974" s="5" t="s">
        <v>152</v>
      </c>
      <c r="H2974" s="5" t="s">
        <v>8610</v>
      </c>
      <c r="I2974" s="5" t="s">
        <v>152</v>
      </c>
      <c r="J2974" s="5" t="s">
        <v>8616</v>
      </c>
      <c r="K2974" s="7" t="str">
        <f ca="1">IFERROR(__xludf.DUMMYFUNCTION("GOOGLETRANSLATE(H2974,""EN"",""ES"")"),"EQUIPOS PARA LA GRABACIÓN O REPRODUCCIÓN DE SONIDOS O IMÁGENES")</f>
        <v>EQUIPOS PARA LA GRABACIÓN O REPRODUCCIÓN DE SONIDOS O IMÁGENES</v>
      </c>
      <c r="L2974" s="5" t="str">
        <f ca="1">IFERROR(__xludf.DUMMYFUNCTION("GOOGLETRANSLATE(J2974,""EN"",""ES"")"),"N / A")</f>
        <v>N / A</v>
      </c>
      <c r="M2974" s="10" t="s">
        <v>43</v>
      </c>
    </row>
    <row r="2975" spans="1:14" ht="11.25" customHeight="1">
      <c r="A2975" s="5" t="s">
        <v>8605</v>
      </c>
      <c r="B2975" s="5" t="s">
        <v>8606</v>
      </c>
      <c r="C2975" s="5" t="s">
        <v>8617</v>
      </c>
      <c r="D2975" s="5" t="s">
        <v>8608</v>
      </c>
      <c r="E2975" s="5" t="s">
        <v>44</v>
      </c>
      <c r="F2975" s="5" t="s">
        <v>8609</v>
      </c>
      <c r="G2975" s="5" t="s">
        <v>152</v>
      </c>
      <c r="H2975" s="5" t="s">
        <v>8610</v>
      </c>
      <c r="I2975" s="5" t="s">
        <v>8618</v>
      </c>
      <c r="J2975" s="5" t="s">
        <v>8619</v>
      </c>
      <c r="K2975" s="7" t="str">
        <f ca="1">IFERROR(__xludf.DUMMYFUNCTION("GOOGLETRANSLATE(H2975,""EN"",""ES"")"),"EQUIPOS PARA LA GRABACIÓN O REPRODUCCIÓN DE SONIDOS O IMÁGENES")</f>
        <v>EQUIPOS PARA LA GRABACIÓN O REPRODUCCIÓN DE SONIDOS O IMÁGENES</v>
      </c>
      <c r="L2975" s="5" t="str">
        <f ca="1">IFERROR(__xludf.DUMMYFUNCTION("GOOGLETRANSLATE(J2975,""EN"",""ES"")"),"Cambiadores de registros")</f>
        <v>Cambiadores de registros</v>
      </c>
      <c r="M2975" s="10" t="s">
        <v>43</v>
      </c>
    </row>
    <row r="2976" spans="1:14" ht="11.25" customHeight="1">
      <c r="A2976" s="5" t="s">
        <v>8605</v>
      </c>
      <c r="B2976" s="5" t="s">
        <v>8606</v>
      </c>
      <c r="C2976" s="5" t="s">
        <v>8620</v>
      </c>
      <c r="D2976" s="5" t="s">
        <v>8608</v>
      </c>
      <c r="E2976" s="5" t="s">
        <v>44</v>
      </c>
      <c r="F2976" s="5" t="s">
        <v>8609</v>
      </c>
      <c r="G2976" s="5" t="s">
        <v>152</v>
      </c>
      <c r="H2976" s="5" t="s">
        <v>8610</v>
      </c>
      <c r="I2976" s="5" t="s">
        <v>8621</v>
      </c>
      <c r="J2976" s="5" t="s">
        <v>8622</v>
      </c>
      <c r="K2976" s="7" t="str">
        <f ca="1">IFERROR(__xludf.DUMMYFUNCTION("GOOGLETRANSLATE(H2976,""EN"",""ES"")"),"EQUIPOS PARA LA GRABACIÓN O REPRODUCCIÓN DE SONIDOS O IMÁGENES")</f>
        <v>EQUIPOS PARA LA GRABACIÓN O REPRODUCCIÓN DE SONIDOS O IMÁGENES</v>
      </c>
      <c r="L2976" s="5" t="str">
        <f ca="1">IFERROR(__xludf.DUMMYFUNCTION("GOOGLETRANSLATE(J2976,""EN"",""ES"")"),"Aparato de dictado")</f>
        <v>Aparato de dictado</v>
      </c>
      <c r="M2976" s="10" t="s">
        <v>43</v>
      </c>
    </row>
    <row r="2977" spans="1:14" ht="11.25" customHeight="1">
      <c r="A2977" s="5" t="s">
        <v>8605</v>
      </c>
      <c r="B2977" s="5" t="s">
        <v>8606</v>
      </c>
      <c r="C2977" s="5" t="s">
        <v>8623</v>
      </c>
      <c r="D2977" s="5" t="s">
        <v>8608</v>
      </c>
      <c r="E2977" s="5" t="s">
        <v>44</v>
      </c>
      <c r="F2977" s="5" t="s">
        <v>8609</v>
      </c>
      <c r="G2977" s="5" t="s">
        <v>152</v>
      </c>
      <c r="H2977" s="5" t="s">
        <v>8610</v>
      </c>
      <c r="I2977" s="5" t="s">
        <v>8624</v>
      </c>
      <c r="J2977" s="5" t="s">
        <v>8625</v>
      </c>
      <c r="K2977" s="7" t="str">
        <f ca="1">IFERROR(__xludf.DUMMYFUNCTION("GOOGLETRANSLATE(H2977,""EN"",""ES"")"),"EQUIPOS PARA LA GRABACIÓN O REPRODUCCIÓN DE SONIDOS O IMÁGENES")</f>
        <v>EQUIPOS PARA LA GRABACIÓN O REPRODUCCIÓN DE SONIDOS O IMÁGENES</v>
      </c>
      <c r="L2977" s="5" t="str">
        <f ca="1">IFERROR(__xludf.DUMMYFUNCTION("GOOGLETRANSLATE(J2977,""EN"",""ES"")"),"Bafles para altavoces")</f>
        <v>Bafles para altavoces</v>
      </c>
      <c r="M2977" s="10" t="s">
        <v>43</v>
      </c>
    </row>
    <row r="2978" spans="1:14" ht="11.25" customHeight="1">
      <c r="A2978" s="5" t="s">
        <v>8605</v>
      </c>
      <c r="B2978" s="5" t="s">
        <v>8606</v>
      </c>
      <c r="C2978" s="5" t="s">
        <v>8626</v>
      </c>
      <c r="D2978" s="5" t="s">
        <v>8608</v>
      </c>
      <c r="E2978" s="5" t="s">
        <v>44</v>
      </c>
      <c r="F2978" s="5" t="s">
        <v>8609</v>
      </c>
      <c r="G2978" s="5" t="s">
        <v>152</v>
      </c>
      <c r="H2978" s="5" t="s">
        <v>8610</v>
      </c>
      <c r="I2978" s="5" t="s">
        <v>8627</v>
      </c>
      <c r="J2978" s="5" t="s">
        <v>8628</v>
      </c>
      <c r="K2978" s="7" t="str">
        <f ca="1">IFERROR(__xludf.DUMMYFUNCTION("GOOGLETRANSLATE(H2978,""EN"",""ES"")"),"EQUIPOS PARA LA GRABACIÓN O REPRODUCCIÓN DE SONIDOS O IMÁGENES")</f>
        <v>EQUIPOS PARA LA GRABACIÓN O REPRODUCCIÓN DE SONIDOS O IMÁGENES</v>
      </c>
      <c r="L2978" s="5" t="str">
        <f ca="1">IFERROR(__xludf.DUMMYFUNCTION("GOOGLETRANSLATE(J2978,""EN"",""ES"")"),"Altavoces")</f>
        <v>Altavoces</v>
      </c>
      <c r="M2978" s="10" t="s">
        <v>43</v>
      </c>
    </row>
    <row r="2979" spans="1:14" ht="11.25" customHeight="1">
      <c r="A2979" s="5" t="s">
        <v>8605</v>
      </c>
      <c r="B2979" s="5" t="s">
        <v>8606</v>
      </c>
      <c r="C2979" s="5" t="s">
        <v>8626</v>
      </c>
      <c r="D2979" s="5" t="s">
        <v>8608</v>
      </c>
      <c r="E2979" s="5" t="s">
        <v>44</v>
      </c>
      <c r="F2979" s="5" t="s">
        <v>8609</v>
      </c>
      <c r="G2979" s="5" t="s">
        <v>152</v>
      </c>
      <c r="H2979" s="5" t="s">
        <v>8610</v>
      </c>
      <c r="I2979" s="5" t="s">
        <v>152</v>
      </c>
      <c r="J2979" s="5" t="s">
        <v>8629</v>
      </c>
      <c r="K2979" s="7" t="str">
        <f ca="1">IFERROR(__xludf.DUMMYFUNCTION("GOOGLETRANSLATE(H2979,""EN"",""ES"")"),"EQUIPOS PARA LA GRABACIÓN O REPRODUCCIÓN DE SONIDOS O IMÁGENES")</f>
        <v>EQUIPOS PARA LA GRABACIÓN O REPRODUCCIÓN DE SONIDOS O IMÁGENES</v>
      </c>
      <c r="L2979" s="5" t="str">
        <f ca="1">IFERROR(__xludf.DUMMYFUNCTION("GOOGLETRANSLATE(J2979,""EN"",""ES"")"),"N / A")</f>
        <v>N / A</v>
      </c>
      <c r="M2979" s="10" t="s">
        <v>43</v>
      </c>
    </row>
    <row r="2980" spans="1:14" ht="11.25" customHeight="1">
      <c r="A2980" s="5" t="s">
        <v>8605</v>
      </c>
      <c r="B2980" s="5" t="s">
        <v>8606</v>
      </c>
      <c r="C2980" s="5" t="s">
        <v>8630</v>
      </c>
      <c r="D2980" s="5" t="s">
        <v>8608</v>
      </c>
      <c r="E2980" s="5" t="s">
        <v>44</v>
      </c>
      <c r="F2980" s="5" t="s">
        <v>8609</v>
      </c>
      <c r="G2980" s="5" t="s">
        <v>152</v>
      </c>
      <c r="H2980" s="5" t="s">
        <v>8610</v>
      </c>
      <c r="I2980" s="5" t="s">
        <v>8631</v>
      </c>
      <c r="J2980" s="5" t="s">
        <v>8631</v>
      </c>
      <c r="K2980" s="7" t="str">
        <f ca="1">IFERROR(__xludf.DUMMYFUNCTION("GOOGLETRANSLATE(H2980,""EN"",""ES"")"),"EQUIPOS PARA LA GRABACIÓN O REPRODUCCIÓN DE SONIDOS O IMÁGENES")</f>
        <v>EQUIPOS PARA LA GRABACIÓN O REPRODUCCIÓN DE SONIDOS O IMÁGENES</v>
      </c>
      <c r="L2980" s="5" t="str">
        <f ca="1">IFERROR(__xludf.DUMMYFUNCTION("GOOGLETRANSLATE(J2980,""EN"",""ES"")"),"máquinas de discos")</f>
        <v>máquinas de discos</v>
      </c>
      <c r="M2980" s="10" t="s">
        <v>43</v>
      </c>
      <c r="N2980" s="8"/>
    </row>
    <row r="2981" spans="1:14" ht="11.25" customHeight="1">
      <c r="A2981" s="5" t="s">
        <v>8605</v>
      </c>
      <c r="B2981" s="5" t="s">
        <v>8606</v>
      </c>
      <c r="C2981" s="5" t="s">
        <v>8632</v>
      </c>
      <c r="D2981" s="5" t="s">
        <v>8608</v>
      </c>
      <c r="E2981" s="5" t="s">
        <v>44</v>
      </c>
      <c r="F2981" s="5" t="s">
        <v>8609</v>
      </c>
      <c r="G2981" s="5" t="s">
        <v>152</v>
      </c>
      <c r="H2981" s="5" t="s">
        <v>8610</v>
      </c>
      <c r="I2981" s="5" t="s">
        <v>8633</v>
      </c>
      <c r="J2981" s="5" t="s">
        <v>8634</v>
      </c>
      <c r="K2981" s="7" t="str">
        <f ca="1">IFERROR(__xludf.DUMMYFUNCTION("GOOGLETRANSLATE(H2981,""EN"",""ES"")"),"EQUIPOS PARA LA GRABACIÓN O REPRODUCCIÓN DE SONIDOS O IMÁGENES")</f>
        <v>EQUIPOS PARA LA GRABACIÓN O REPRODUCCIÓN DE SONIDOS O IMÁGENES</v>
      </c>
      <c r="L2981" s="5" t="str">
        <f ca="1">IFERROR(__xludf.DUMMYFUNCTION("GOOGLETRANSLATE(J2981,""EN"",""ES"")"),"maquinas parlantes")</f>
        <v>maquinas parlantes</v>
      </c>
      <c r="M2981" s="10" t="s">
        <v>43</v>
      </c>
      <c r="N2981" s="8"/>
    </row>
    <row r="2982" spans="1:14" ht="11.25" customHeight="1">
      <c r="A2982" s="5" t="s">
        <v>8605</v>
      </c>
      <c r="B2982" s="5" t="s">
        <v>8606</v>
      </c>
      <c r="C2982" s="5" t="s">
        <v>8635</v>
      </c>
      <c r="D2982" s="5" t="s">
        <v>8608</v>
      </c>
      <c r="E2982" s="5" t="s">
        <v>44</v>
      </c>
      <c r="F2982" s="5" t="s">
        <v>8609</v>
      </c>
      <c r="G2982" s="5" t="s">
        <v>152</v>
      </c>
      <c r="H2982" s="5" t="s">
        <v>8610</v>
      </c>
      <c r="I2982" s="5" t="s">
        <v>8636</v>
      </c>
      <c r="J2982" s="5" t="s">
        <v>8637</v>
      </c>
      <c r="K2982" s="7" t="str">
        <f ca="1">IFERROR(__xludf.DUMMYFUNCTION("GOOGLETRANSLATE(H2982,""EN"",""ES"")"),"EQUIPOS PARA LA GRABACIÓN O REPRODUCCIÓN DE SONIDOS O IMÁGENES")</f>
        <v>EQUIPOS PARA LA GRABACIÓN O REPRODUCCIÓN DE SONIDOS O IMÁGENES</v>
      </c>
      <c r="L2982" s="5" t="str">
        <f ca="1">IFERROR(__xludf.DUMMYFUNCTION("GOOGLETRANSLATE(J2982,""EN"",""ES"")"),"Grabadoras de vídeo")</f>
        <v>Grabadoras de vídeo</v>
      </c>
      <c r="M2982" s="10" t="s">
        <v>43</v>
      </c>
      <c r="N2982" s="8"/>
    </row>
    <row r="2983" spans="1:14" ht="11.25" customHeight="1">
      <c r="A2983" s="5" t="s">
        <v>8605</v>
      </c>
      <c r="B2983" s="5" t="s">
        <v>8606</v>
      </c>
      <c r="C2983" s="5" t="s">
        <v>8638</v>
      </c>
      <c r="D2983" s="5" t="s">
        <v>8608</v>
      </c>
      <c r="E2983" s="5" t="s">
        <v>44</v>
      </c>
      <c r="F2983" s="5" t="s">
        <v>8609</v>
      </c>
      <c r="G2983" s="5" t="s">
        <v>152</v>
      </c>
      <c r="H2983" s="5" t="s">
        <v>8610</v>
      </c>
      <c r="I2983" s="5" t="s">
        <v>8639</v>
      </c>
      <c r="J2983" s="5" t="s">
        <v>8640</v>
      </c>
      <c r="K2983" s="7" t="str">
        <f ca="1">IFERROR(__xludf.DUMMYFUNCTION("GOOGLETRANSLATE(H2983,""EN"",""ES"")"),"EQUIPOS PARA LA GRABACIÓN O REPRODUCCIÓN DE SONIDOS O IMÁGENES")</f>
        <v>EQUIPOS PARA LA GRABACIÓN O REPRODUCCIÓN DE SONIDOS O IMÁGENES</v>
      </c>
      <c r="L2983" s="5" t="str">
        <f ca="1">IFERROR(__xludf.DUMMYFUNCTION("GOOGLETRANSLATE(J2983,""EN"",""ES"")"),"Micrófonos [excepto teléfonos]")</f>
        <v>Micrófonos [excepto teléfonos]</v>
      </c>
      <c r="M2983" s="10" t="s">
        <v>43</v>
      </c>
      <c r="N2983" s="8"/>
    </row>
    <row r="2984" spans="1:14" ht="11.25" customHeight="1">
      <c r="A2984" s="5" t="s">
        <v>8605</v>
      </c>
      <c r="B2984" s="5" t="s">
        <v>8606</v>
      </c>
      <c r="C2984" s="5" t="s">
        <v>8641</v>
      </c>
      <c r="D2984" s="5" t="s">
        <v>8608</v>
      </c>
      <c r="E2984" s="5" t="s">
        <v>44</v>
      </c>
      <c r="F2984" s="5" t="s">
        <v>8609</v>
      </c>
      <c r="G2984" s="5" t="s">
        <v>152</v>
      </c>
      <c r="H2984" s="5" t="s">
        <v>8610</v>
      </c>
      <c r="I2984" s="5" t="s">
        <v>8642</v>
      </c>
      <c r="J2984" s="5" t="s">
        <v>8643</v>
      </c>
      <c r="K2984" s="7" t="str">
        <f ca="1">IFERROR(__xludf.DUMMYFUNCTION("GOOGLETRANSLATE(H2984,""EN"",""ES"")"),"EQUIPOS PARA LA GRABACIÓN O REPRODUCCIÓN DE SONIDOS O IMÁGENES")</f>
        <v>EQUIPOS PARA LA GRABACIÓN O REPRODUCCIÓN DE SONIDOS O IMÁGENES</v>
      </c>
      <c r="L2984" s="5" t="str">
        <f ca="1">IFERROR(__xludf.DUMMYFUNCTION("GOOGLETRANSLATE(J2984,""EN"",""ES"")"),"Fonógrafos")</f>
        <v>Fonógrafos</v>
      </c>
      <c r="M2984" s="10" t="s">
        <v>43</v>
      </c>
      <c r="N2984" s="8"/>
    </row>
    <row r="2985" spans="1:14" ht="11.25" customHeight="1">
      <c r="A2985" s="5" t="s">
        <v>8605</v>
      </c>
      <c r="B2985" s="5" t="s">
        <v>8606</v>
      </c>
      <c r="C2985" s="5" t="s">
        <v>8644</v>
      </c>
      <c r="D2985" s="5" t="s">
        <v>8608</v>
      </c>
      <c r="E2985" s="5" t="s">
        <v>44</v>
      </c>
      <c r="F2985" s="5" t="s">
        <v>8609</v>
      </c>
      <c r="G2985" s="5" t="s">
        <v>152</v>
      </c>
      <c r="H2985" s="5" t="s">
        <v>8610</v>
      </c>
      <c r="I2985" s="5" t="s">
        <v>8645</v>
      </c>
      <c r="J2985" s="5" t="s">
        <v>8646</v>
      </c>
      <c r="K2985" s="7" t="str">
        <f ca="1">IFERROR(__xludf.DUMMYFUNCTION("GOOGLETRANSLATE(H2985,""EN"",""ES"")"),"EQUIPOS PARA LA GRABACIÓN O REPRODUCCIÓN DE SONIDOS O IMÁGENES")</f>
        <v>EQUIPOS PARA LA GRABACIÓN O REPRODUCCIÓN DE SONIDOS O IMÁGENES</v>
      </c>
      <c r="L2985" s="5" t="str">
        <f ca="1">IFERROR(__xludf.DUMMYFUNCTION("GOOGLETRANSLATE(J2985,""EN"",""ES"")"),"Tocadiscos para tocadiscos")</f>
        <v>Tocadiscos para tocadiscos</v>
      </c>
      <c r="M2985" s="10" t="s">
        <v>43</v>
      </c>
      <c r="N2985" s="8"/>
    </row>
    <row r="2986" spans="1:14" ht="11.25" customHeight="1">
      <c r="A2986" s="5" t="s">
        <v>8605</v>
      </c>
      <c r="B2986" s="5" t="s">
        <v>8606</v>
      </c>
      <c r="C2986" s="5" t="s">
        <v>8647</v>
      </c>
      <c r="D2986" s="5" t="s">
        <v>8608</v>
      </c>
      <c r="E2986" s="5" t="s">
        <v>44</v>
      </c>
      <c r="F2986" s="5" t="s">
        <v>8609</v>
      </c>
      <c r="G2986" s="5" t="s">
        <v>152</v>
      </c>
      <c r="H2986" s="5" t="s">
        <v>8610</v>
      </c>
      <c r="I2986" s="5" t="s">
        <v>8648</v>
      </c>
      <c r="J2986" s="5" t="s">
        <v>8649</v>
      </c>
      <c r="K2986" s="7" t="str">
        <f ca="1">IFERROR(__xludf.DUMMYFUNCTION("GOOGLETRANSLATE(H2986,""EN"",""ES"")"),"EQUIPOS PARA LA GRABACIÓN O REPRODUCCIÓN DE SONIDOS O IMÁGENES")</f>
        <v>EQUIPOS PARA LA GRABACIÓN O REPRODUCCIÓN DE SONIDOS O IMÁGENES</v>
      </c>
      <c r="L2986" s="5" t="str">
        <f ca="1">IFERROR(__xludf.DUMMYFUNCTION("GOOGLETRANSLATE(J2986,""EN"",""ES"")"),"Aparato contestador telefónico")</f>
        <v>Aparato contestador telefónico</v>
      </c>
      <c r="M2986" s="10" t="s">
        <v>43</v>
      </c>
      <c r="N2986" s="8"/>
    </row>
    <row r="2987" spans="1:14" ht="11.25" customHeight="1">
      <c r="A2987" s="5" t="s">
        <v>8605</v>
      </c>
      <c r="B2987" s="5" t="s">
        <v>8606</v>
      </c>
      <c r="C2987" s="5" t="s">
        <v>8650</v>
      </c>
      <c r="D2987" s="5" t="s">
        <v>8608</v>
      </c>
      <c r="E2987" s="5" t="s">
        <v>44</v>
      </c>
      <c r="F2987" s="5" t="s">
        <v>8609</v>
      </c>
      <c r="G2987" s="5" t="s">
        <v>152</v>
      </c>
      <c r="H2987" s="5" t="s">
        <v>8610</v>
      </c>
      <c r="I2987" s="5" t="s">
        <v>8651</v>
      </c>
      <c r="J2987" s="5" t="s">
        <v>8652</v>
      </c>
      <c r="K2987" s="7" t="str">
        <f ca="1">IFERROR(__xludf.DUMMYFUNCTION("GOOGLETRANSLATE(H2987,""EN"",""ES"")"),"EQUIPOS PARA LA GRABACIÓN O REPRODUCCIÓN DE SONIDOS O IMÁGENES")</f>
        <v>EQUIPOS PARA LA GRABACIÓN O REPRODUCCIÓN DE SONIDOS O IMÁGENES</v>
      </c>
      <c r="L2987" s="5" t="str">
        <f ca="1">IFERROR(__xludf.DUMMYFUNCTION("GOOGLETRANSLATE(J2987,""EN"",""ES"")"),"Tocadiscos")</f>
        <v>Tocadiscos</v>
      </c>
      <c r="M2987" s="10" t="s">
        <v>43</v>
      </c>
      <c r="N2987" s="8"/>
    </row>
    <row r="2988" spans="1:14" ht="11.25" customHeight="1">
      <c r="A2988" s="5" t="s">
        <v>8605</v>
      </c>
      <c r="B2988" s="5" t="s">
        <v>8606</v>
      </c>
      <c r="C2988" s="5" t="s">
        <v>8650</v>
      </c>
      <c r="D2988" s="5" t="s">
        <v>8608</v>
      </c>
      <c r="E2988" s="5" t="s">
        <v>44</v>
      </c>
      <c r="F2988" s="5" t="s">
        <v>8609</v>
      </c>
      <c r="G2988" s="5" t="s">
        <v>152</v>
      </c>
      <c r="H2988" s="5" t="s">
        <v>8610</v>
      </c>
      <c r="I2988" s="5" t="s">
        <v>8653</v>
      </c>
      <c r="J2988" s="5" t="s">
        <v>8654</v>
      </c>
      <c r="K2988" s="7" t="str">
        <f ca="1">IFERROR(__xludf.DUMMYFUNCTION("GOOGLETRANSLATE(H2988,""EN"",""ES"")"),"EQUIPOS PARA LA GRABACIÓN O REPRODUCCIÓN DE SONIDOS O IMÁGENES")</f>
        <v>EQUIPOS PARA LA GRABACIÓN O REPRODUCCIÓN DE SONIDOS O IMÁGENES</v>
      </c>
      <c r="L2988" s="5" t="str">
        <f ca="1">IFERROR(__xludf.DUMMYFUNCTION("GOOGLETRANSLATE(J2988,""EN"",""ES"")"),"electrófonos")</f>
        <v>electrófonos</v>
      </c>
      <c r="M2988" s="10" t="s">
        <v>43</v>
      </c>
      <c r="N2988" s="8"/>
    </row>
    <row r="2989" spans="1:14" ht="11.25" customHeight="1">
      <c r="A2989" s="5" t="s">
        <v>8605</v>
      </c>
      <c r="B2989" s="5" t="s">
        <v>8606</v>
      </c>
      <c r="C2989" s="5" t="s">
        <v>8655</v>
      </c>
      <c r="D2989" s="5" t="s">
        <v>8608</v>
      </c>
      <c r="E2989" s="5" t="s">
        <v>44</v>
      </c>
      <c r="F2989" s="5" t="s">
        <v>8609</v>
      </c>
      <c r="G2989" s="5" t="s">
        <v>152</v>
      </c>
      <c r="H2989" s="5" t="s">
        <v>8610</v>
      </c>
      <c r="I2989" s="5" t="s">
        <v>8656</v>
      </c>
      <c r="J2989" s="5" t="s">
        <v>8657</v>
      </c>
      <c r="K2989" s="7" t="str">
        <f ca="1">IFERROR(__xludf.DUMMYFUNCTION("GOOGLETRANSLATE(H2989,""EN"",""ES"")"),"EQUIPOS PARA LA GRABACIÓN O REPRODUCCIÓN DE SONIDOS O IMÁGENES")</f>
        <v>EQUIPOS PARA LA GRABACIÓN O REPRODUCCIÓN DE SONIDOS O IMÁGENES</v>
      </c>
      <c r="L2989" s="5" t="str">
        <f ca="1">IFERROR(__xludf.DUMMYFUNCTION("GOOGLETRANSLATE(J2989,""EN"",""ES"")"),"Auriculares")</f>
        <v>Auriculares</v>
      </c>
      <c r="M2989" s="10" t="s">
        <v>43</v>
      </c>
      <c r="N2989" s="8"/>
    </row>
    <row r="2990" spans="1:14" ht="11.25" customHeight="1">
      <c r="A2990" s="5" t="s">
        <v>8605</v>
      </c>
      <c r="B2990" s="5" t="s">
        <v>8606</v>
      </c>
      <c r="C2990" s="5" t="s">
        <v>8658</v>
      </c>
      <c r="D2990" s="5" t="s">
        <v>8608</v>
      </c>
      <c r="E2990" s="5" t="s">
        <v>44</v>
      </c>
      <c r="F2990" s="5" t="s">
        <v>8609</v>
      </c>
      <c r="G2990" s="5" t="s">
        <v>152</v>
      </c>
      <c r="H2990" s="5" t="s">
        <v>8610</v>
      </c>
      <c r="I2990" s="5" t="s">
        <v>8659</v>
      </c>
      <c r="J2990" s="5" t="s">
        <v>8660</v>
      </c>
      <c r="K2990" s="7" t="str">
        <f ca="1">IFERROR(__xludf.DUMMYFUNCTION("GOOGLETRANSLATE(H2990,""EN"",""ES"")"),"EQUIPOS PARA LA GRABACIÓN O REPRODUCCIÓN DE SONIDOS O IMÁGENES")</f>
        <v>EQUIPOS PARA LA GRABACIÓN O REPRODUCCIÓN DE SONIDOS O IMÁGENES</v>
      </c>
      <c r="L2990" s="5" t="str">
        <f ca="1">IFERROR(__xludf.DUMMYFUNCTION("GOOGLETRANSLATE(J2990,""EN"",""ES"")"),"auriculares inalámbricos")</f>
        <v>auriculares inalámbricos</v>
      </c>
      <c r="M2990" s="10" t="s">
        <v>43</v>
      </c>
      <c r="N2990" s="8"/>
    </row>
    <row r="2991" spans="1:14" ht="11.25" customHeight="1">
      <c r="A2991" s="5" t="s">
        <v>8605</v>
      </c>
      <c r="B2991" s="5" t="s">
        <v>8606</v>
      </c>
      <c r="C2991" s="5" t="s">
        <v>8661</v>
      </c>
      <c r="D2991" s="5" t="s">
        <v>8608</v>
      </c>
      <c r="E2991" s="5" t="s">
        <v>44</v>
      </c>
      <c r="F2991" s="5" t="s">
        <v>8609</v>
      </c>
      <c r="G2991" s="5" t="s">
        <v>152</v>
      </c>
      <c r="H2991" s="5" t="s">
        <v>8610</v>
      </c>
      <c r="I2991" s="5" t="s">
        <v>8662</v>
      </c>
      <c r="J2991" s="5" t="s">
        <v>8663</v>
      </c>
      <c r="K2991" s="7" t="str">
        <f ca="1">IFERROR(__xludf.DUMMYFUNCTION("GOOGLETRANSLATE(H2991,""EN"",""ES"")"),"EQUIPOS PARA LA GRABACIÓN O REPRODUCCIÓN DE SONIDOS O IMÁGENES")</f>
        <v>EQUIPOS PARA LA GRABACIÓN O REPRODUCCIÓN DE SONIDOS O IMÁGENES</v>
      </c>
      <c r="L2991" s="5" t="str">
        <f ca="1">IFERROR(__xludf.DUMMYFUNCTION("GOOGLETRANSLATE(J2991,""EN"",""ES"")"),"Brazos tonales para tocadiscos")</f>
        <v>Brazos tonales para tocadiscos</v>
      </c>
      <c r="M2991" s="10" t="s">
        <v>43</v>
      </c>
      <c r="N2991" s="8"/>
    </row>
    <row r="2992" spans="1:14" ht="11.25" customHeight="1">
      <c r="A2992" s="5" t="s">
        <v>8605</v>
      </c>
      <c r="B2992" s="5" t="s">
        <v>8606</v>
      </c>
      <c r="C2992" s="5" t="s">
        <v>8664</v>
      </c>
      <c r="D2992" s="5" t="s">
        <v>8608</v>
      </c>
      <c r="E2992" s="5" t="s">
        <v>44</v>
      </c>
      <c r="F2992" s="5" t="s">
        <v>8609</v>
      </c>
      <c r="G2992" s="5" t="s">
        <v>152</v>
      </c>
      <c r="H2992" s="5" t="s">
        <v>8610</v>
      </c>
      <c r="I2992" s="5" t="s">
        <v>8665</v>
      </c>
      <c r="J2992" s="5" t="s">
        <v>8666</v>
      </c>
      <c r="K2992" s="7" t="str">
        <f ca="1">IFERROR(__xludf.DUMMYFUNCTION("GOOGLETRANSLATE(H2992,""EN"",""ES"")"),"EQUIPOS PARA LA GRABACIÓN O REPRODUCCIÓN DE SONIDOS O IMÁGENES")</f>
        <v>EQUIPOS PARA LA GRABACIÓN O REPRODUCCIÓN DE SONIDOS O IMÁGENES</v>
      </c>
      <c r="L2992" s="5" t="str">
        <f ca="1">IFERROR(__xludf.DUMMYFUNCTION("GOOGLETRANSLATE(J2992,""EN"",""ES"")"),"Aparatos de enseñanza audiovisual")</f>
        <v>Aparatos de enseñanza audiovisual</v>
      </c>
      <c r="M2992" s="10" t="s">
        <v>43</v>
      </c>
      <c r="N2992" s="8"/>
    </row>
    <row r="2993" spans="1:14" ht="11.25" customHeight="1">
      <c r="A2993" s="5" t="s">
        <v>8605</v>
      </c>
      <c r="B2993" s="5" t="s">
        <v>8606</v>
      </c>
      <c r="C2993" s="5" t="s">
        <v>8667</v>
      </c>
      <c r="D2993" s="5" t="s">
        <v>8608</v>
      </c>
      <c r="E2993" s="5" t="s">
        <v>44</v>
      </c>
      <c r="F2993" s="5" t="s">
        <v>8609</v>
      </c>
      <c r="G2993" s="5" t="s">
        <v>152</v>
      </c>
      <c r="H2993" s="5" t="s">
        <v>8610</v>
      </c>
      <c r="I2993" s="5" t="s">
        <v>8668</v>
      </c>
      <c r="J2993" s="5" t="s">
        <v>8669</v>
      </c>
      <c r="K2993" s="7" t="str">
        <f ca="1">IFERROR(__xludf.DUMMYFUNCTION("GOOGLETRANSLATE(H2993,""EN"",""ES"")"),"EQUIPOS PARA LA GRABACIÓN O REPRODUCCIÓN DE SONIDOS O IMÁGENES")</f>
        <v>EQUIPOS PARA LA GRABACIÓN O REPRODUCCIÓN DE SONIDOS O IMÁGENES</v>
      </c>
      <c r="L2993" s="5" t="str">
        <f ca="1">IFERROR(__xludf.DUMMYFUNCTION("GOOGLETRANSLATE(J2993,""EN"",""ES"")"),"Bocinas para altavoces")</f>
        <v>Bocinas para altavoces</v>
      </c>
      <c r="M2993" s="10" t="s">
        <v>43</v>
      </c>
      <c r="N2993" s="8"/>
    </row>
    <row r="2994" spans="1:14" ht="11.25" customHeight="1">
      <c r="A2994" s="5" t="s">
        <v>8605</v>
      </c>
      <c r="B2994" s="5" t="s">
        <v>8606</v>
      </c>
      <c r="C2994" s="5" t="s">
        <v>8670</v>
      </c>
      <c r="D2994" s="5" t="s">
        <v>8608</v>
      </c>
      <c r="E2994" s="5" t="s">
        <v>44</v>
      </c>
      <c r="F2994" s="5" t="s">
        <v>8609</v>
      </c>
      <c r="G2994" s="5" t="s">
        <v>152</v>
      </c>
      <c r="H2994" s="5" t="s">
        <v>8610</v>
      </c>
      <c r="I2994" s="5" t="s">
        <v>8671</v>
      </c>
      <c r="J2994" s="5" t="s">
        <v>8672</v>
      </c>
      <c r="K2994" s="7" t="str">
        <f ca="1">IFERROR(__xludf.DUMMYFUNCTION("GOOGLETRANSLATE(H2994,""EN"",""ES"")"),"EQUIPOS PARA LA GRABACIÓN O REPRODUCCIÓN DE SONIDOS O IMÁGENES")</f>
        <v>EQUIPOS PARA LA GRABACIÓN O REPRODUCCIÓN DE SONIDOS O IMÁGENES</v>
      </c>
      <c r="L2994" s="5" t="str">
        <f ca="1">IFERROR(__xludf.DUMMYFUNCTION("GOOGLETRANSLATE(J2994,""EN"",""ES"")"),"Reproductores de casetes de audio portátiles")</f>
        <v>Reproductores de casetes de audio portátiles</v>
      </c>
      <c r="M2994" s="10" t="s">
        <v>43</v>
      </c>
      <c r="N2994" s="8"/>
    </row>
    <row r="2995" spans="1:14" ht="11.25" customHeight="1">
      <c r="A2995" s="5" t="s">
        <v>8605</v>
      </c>
      <c r="B2995" s="5" t="s">
        <v>8606</v>
      </c>
      <c r="C2995" s="5" t="s">
        <v>8673</v>
      </c>
      <c r="D2995" s="5" t="s">
        <v>8608</v>
      </c>
      <c r="E2995" s="5" t="s">
        <v>44</v>
      </c>
      <c r="F2995" s="5" t="s">
        <v>8609</v>
      </c>
      <c r="G2995" s="5" t="s">
        <v>152</v>
      </c>
      <c r="H2995" s="5" t="s">
        <v>8610</v>
      </c>
      <c r="I2995" s="5" t="s">
        <v>8674</v>
      </c>
      <c r="J2995" s="5" t="s">
        <v>8675</v>
      </c>
      <c r="K2995" s="7" t="str">
        <f ca="1">IFERROR(__xludf.DUMMYFUNCTION("GOOGLETRANSLATE(H2995,""EN"",""ES"")"),"EQUIPOS PARA LA GRABACIÓN O REPRODUCCIÓN DE SONIDOS O IMÁGENES")</f>
        <v>EQUIPOS PARA LA GRABACIÓN O REPRODUCCIÓN DE SONIDOS O IMÁGENES</v>
      </c>
      <c r="L2995" s="5" t="str">
        <f ca="1">IFERROR(__xludf.DUMMYFUNCTION("GOOGLETRANSLATE(J2995,""EN"",""ES"")"),"Reproductores de discos láser")</f>
        <v>Reproductores de discos láser</v>
      </c>
      <c r="M2995" s="10" t="s">
        <v>43</v>
      </c>
      <c r="N2995" s="8"/>
    </row>
    <row r="2996" spans="1:14" ht="11.25" customHeight="1">
      <c r="A2996" s="5" t="s">
        <v>8605</v>
      </c>
      <c r="B2996" s="5" t="s">
        <v>8606</v>
      </c>
      <c r="C2996" s="5" t="s">
        <v>8676</v>
      </c>
      <c r="D2996" s="5" t="s">
        <v>8608</v>
      </c>
      <c r="E2996" s="5" t="s">
        <v>44</v>
      </c>
      <c r="F2996" s="5" t="s">
        <v>8609</v>
      </c>
      <c r="G2996" s="5" t="s">
        <v>152</v>
      </c>
      <c r="H2996" s="5" t="s">
        <v>8610</v>
      </c>
      <c r="I2996" s="5" t="s">
        <v>8677</v>
      </c>
      <c r="J2996" s="5" t="s">
        <v>8678</v>
      </c>
      <c r="K2996" s="7" t="str">
        <f ca="1">IFERROR(__xludf.DUMMYFUNCTION("GOOGLETRANSLATE(H2996,""EN"",""ES"")"),"EQUIPOS PARA LA GRABACIÓN O REPRODUCCIÓN DE SONIDOS O IMÁGENES")</f>
        <v>EQUIPOS PARA LA GRABACIÓN O REPRODUCCIÓN DE SONIDOS O IMÁGENES</v>
      </c>
      <c r="L2996" s="5" t="str">
        <f ca="1">IFERROR(__xludf.DUMMYFUNCTION("GOOGLETRANSLATE(J2996,""EN"",""ES"")"),"reproductores de casetes")</f>
        <v>reproductores de casetes</v>
      </c>
      <c r="M2996" s="10" t="s">
        <v>43</v>
      </c>
      <c r="N2996" s="8"/>
    </row>
    <row r="2997" spans="1:14" ht="11.25" customHeight="1">
      <c r="A2997" s="5" t="s">
        <v>8605</v>
      </c>
      <c r="B2997" s="5" t="s">
        <v>8606</v>
      </c>
      <c r="C2997" s="5" t="s">
        <v>8679</v>
      </c>
      <c r="D2997" s="5" t="s">
        <v>8608</v>
      </c>
      <c r="E2997" s="5" t="s">
        <v>44</v>
      </c>
      <c r="F2997" s="5" t="s">
        <v>8609</v>
      </c>
      <c r="G2997" s="5" t="s">
        <v>152</v>
      </c>
      <c r="H2997" s="5" t="s">
        <v>8610</v>
      </c>
      <c r="I2997" s="5" t="s">
        <v>8680</v>
      </c>
      <c r="J2997" s="5" t="s">
        <v>8681</v>
      </c>
      <c r="K2997" s="7" t="str">
        <f ca="1">IFERROR(__xludf.DUMMYFUNCTION("GOOGLETRANSLATE(H2997,""EN"",""ES"")"),"EQUIPOS PARA LA GRABACIÓN O REPRODUCCIÓN DE SONIDOS O IMÁGENES")</f>
        <v>EQUIPOS PARA LA GRABACIÓN O REPRODUCCIÓN DE SONIDOS O IMÁGENES</v>
      </c>
      <c r="L2997" s="5" t="str">
        <f ca="1">IFERROR(__xludf.DUMMYFUNCTION("GOOGLETRANSLATE(J2997,""EN"",""ES"")"),"Grabadores de discos ópticos magnéticos")</f>
        <v>Grabadores de discos ópticos magnéticos</v>
      </c>
      <c r="M2997" s="10" t="s">
        <v>43</v>
      </c>
      <c r="N2997" s="8"/>
    </row>
    <row r="2998" spans="1:14" ht="11.25" customHeight="1">
      <c r="A2998" s="5" t="s">
        <v>8605</v>
      </c>
      <c r="B2998" s="5" t="s">
        <v>8606</v>
      </c>
      <c r="C2998" s="5" t="s">
        <v>8682</v>
      </c>
      <c r="D2998" s="5" t="s">
        <v>8608</v>
      </c>
      <c r="E2998" s="5" t="s">
        <v>44</v>
      </c>
      <c r="F2998" s="5" t="s">
        <v>8609</v>
      </c>
      <c r="G2998" s="5" t="s">
        <v>152</v>
      </c>
      <c r="H2998" s="5" t="s">
        <v>8610</v>
      </c>
      <c r="I2998" s="5" t="s">
        <v>8683</v>
      </c>
      <c r="J2998" s="5" t="s">
        <v>8684</v>
      </c>
      <c r="K2998" s="7" t="str">
        <f ca="1">IFERROR(__xludf.DUMMYFUNCTION("GOOGLETRANSLATE(H2998,""EN"",""ES"")"),"EQUIPOS PARA LA GRABACIÓN O REPRODUCCIÓN DE SONIDOS O IMÁGENES")</f>
        <v>EQUIPOS PARA LA GRABACIÓN O REPRODUCCIÓN DE SONIDOS O IMÁGENES</v>
      </c>
      <c r="L2998" s="5" t="str">
        <f ca="1">IFERROR(__xludf.DUMMYFUNCTION("GOOGLETRANSLATE(J2998,""EN"",""ES"")"),"Aparatos de audio y vídeo para reproducir sonidos o imágenes.")</f>
        <v>Aparatos de audio y vídeo para reproducir sonidos o imágenes.</v>
      </c>
      <c r="M2998" s="10" t="s">
        <v>43</v>
      </c>
      <c r="N2998" s="8"/>
    </row>
    <row r="2999" spans="1:14" ht="11.25" customHeight="1">
      <c r="A2999" s="5" t="s">
        <v>8605</v>
      </c>
      <c r="B2999" s="5" t="s">
        <v>8606</v>
      </c>
      <c r="C2999" s="5" t="s">
        <v>8685</v>
      </c>
      <c r="D2999" s="5" t="s">
        <v>8608</v>
      </c>
      <c r="E2999" s="5" t="s">
        <v>44</v>
      </c>
      <c r="F2999" s="5" t="s">
        <v>8609</v>
      </c>
      <c r="G2999" s="5" t="s">
        <v>152</v>
      </c>
      <c r="H2999" s="5" t="s">
        <v>8610</v>
      </c>
      <c r="I2999" s="5" t="s">
        <v>8686</v>
      </c>
      <c r="J2999" s="5" t="s">
        <v>8687</v>
      </c>
      <c r="K2999" s="7" t="str">
        <f ca="1">IFERROR(__xludf.DUMMYFUNCTION("GOOGLETRANSLATE(H2999,""EN"",""ES"")"),"EQUIPOS PARA LA GRABACIÓN O REPRODUCCIÓN DE SONIDOS O IMÁGENES")</f>
        <v>EQUIPOS PARA LA GRABACIÓN O REPRODUCCIÓN DE SONIDOS O IMÁGENES</v>
      </c>
      <c r="L2999" s="5" t="str">
        <f ca="1">IFERROR(__xludf.DUMMYFUNCTION("GOOGLETRANSLATE(J2999,""EN"",""ES"")"),"reproductores de MP3")</f>
        <v>reproductores de MP3</v>
      </c>
      <c r="M2999" s="10" t="s">
        <v>43</v>
      </c>
      <c r="N2999" s="8"/>
    </row>
    <row r="3000" spans="1:14" ht="11.25" customHeight="1">
      <c r="A3000" s="5" t="s">
        <v>8605</v>
      </c>
      <c r="B3000" s="5" t="s">
        <v>8606</v>
      </c>
      <c r="C3000" s="5" t="s">
        <v>8688</v>
      </c>
      <c r="D3000" s="5" t="s">
        <v>8608</v>
      </c>
      <c r="E3000" s="5" t="s">
        <v>44</v>
      </c>
      <c r="F3000" s="5" t="s">
        <v>8609</v>
      </c>
      <c r="G3000" s="5" t="s">
        <v>152</v>
      </c>
      <c r="H3000" s="5" t="s">
        <v>8610</v>
      </c>
      <c r="I3000" s="5" t="s">
        <v>8689</v>
      </c>
      <c r="J3000" s="5" t="s">
        <v>8690</v>
      </c>
      <c r="K3000" s="7" t="str">
        <f ca="1">IFERROR(__xludf.DUMMYFUNCTION("GOOGLETRANSLATE(H3000,""EN"",""ES"")"),"EQUIPOS PARA LA GRABACIÓN O REPRODUCCIÓN DE SONIDOS O IMÁGENES")</f>
        <v>EQUIPOS PARA LA GRABACIÓN O REPRODUCCIÓN DE SONIDOS O IMÁGENES</v>
      </c>
      <c r="L3000" s="5" t="str">
        <f ca="1">IFERROR(__xludf.DUMMYFUNCTION("GOOGLETRANSLATE(J3000,""EN"",""ES"")"),"Reproductores de discos versátiles digitales [reproductores de DVD]")</f>
        <v>Reproductores de discos versátiles digitales [reproductores de DVD]</v>
      </c>
      <c r="M3000" s="10" t="s">
        <v>43</v>
      </c>
      <c r="N3000" s="8"/>
    </row>
    <row r="3001" spans="1:14" ht="11.25" customHeight="1">
      <c r="A3001" s="5" t="s">
        <v>8605</v>
      </c>
      <c r="B3001" s="5" t="s">
        <v>8606</v>
      </c>
      <c r="C3001" s="5" t="s">
        <v>8691</v>
      </c>
      <c r="D3001" s="5" t="s">
        <v>8608</v>
      </c>
      <c r="E3001" s="5" t="s">
        <v>44</v>
      </c>
      <c r="F3001" s="5" t="s">
        <v>8609</v>
      </c>
      <c r="G3001" s="5" t="s">
        <v>152</v>
      </c>
      <c r="H3001" s="5" t="s">
        <v>8610</v>
      </c>
      <c r="I3001" s="5" t="s">
        <v>8692</v>
      </c>
      <c r="J3001" s="5" t="s">
        <v>8693</v>
      </c>
      <c r="K3001" s="7" t="str">
        <f ca="1">IFERROR(__xludf.DUMMYFUNCTION("GOOGLETRANSLATE(H3001,""EN"",""ES"")"),"EQUIPOS PARA LA GRABACIÓN O REPRODUCCIÓN DE SONIDOS O IMÁGENES")</f>
        <v>EQUIPOS PARA LA GRABACIÓN O REPRODUCCIÓN DE SONIDOS O IMÁGENES</v>
      </c>
      <c r="L3001" s="5" t="str">
        <f ca="1">IFERROR(__xludf.DUMMYFUNCTION("GOOGLETRANSLATE(J3001,""EN"",""ES"")"),"Auriculares para monitorear transmisiones o grabaciones.")</f>
        <v>Auriculares para monitorear transmisiones o grabaciones.</v>
      </c>
      <c r="M3001" s="10" t="s">
        <v>43</v>
      </c>
      <c r="N3001" s="8"/>
    </row>
    <row r="3002" spans="1:14" ht="11.25" customHeight="1">
      <c r="A3002" s="5" t="s">
        <v>8605</v>
      </c>
      <c r="B3002" s="5" t="s">
        <v>8606</v>
      </c>
      <c r="C3002" s="5" t="s">
        <v>8694</v>
      </c>
      <c r="D3002" s="5" t="s">
        <v>8608</v>
      </c>
      <c r="E3002" s="5" t="s">
        <v>44</v>
      </c>
      <c r="F3002" s="5" t="s">
        <v>8609</v>
      </c>
      <c r="G3002" s="5" t="s">
        <v>152</v>
      </c>
      <c r="H3002" s="5" t="s">
        <v>8610</v>
      </c>
      <c r="I3002" s="5" t="s">
        <v>8695</v>
      </c>
      <c r="J3002" s="5" t="s">
        <v>8696</v>
      </c>
      <c r="K3002" s="7" t="str">
        <f ca="1">IFERROR(__xludf.DUMMYFUNCTION("GOOGLETRANSLATE(H3002,""EN"",""ES"")"),"EQUIPOS PARA LA GRABACIÓN O REPRODUCCIÓN DE SONIDOS O IMÁGENES")</f>
        <v>EQUIPOS PARA LA GRABACIÓN O REPRODUCCIÓN DE SONIDOS O IMÁGENES</v>
      </c>
      <c r="L3002" s="5" t="str">
        <f ca="1">IFERROR(__xludf.DUMMYFUNCTION("GOOGLETRANSLATE(J3002,""EN"",""ES"")"),"Reproductores multimedia digitales portátiles")</f>
        <v>Reproductores multimedia digitales portátiles</v>
      </c>
      <c r="M3002" s="10" t="s">
        <v>43</v>
      </c>
      <c r="N3002" s="8"/>
    </row>
    <row r="3003" spans="1:14" ht="11.25" customHeight="1">
      <c r="A3003" s="5" t="s">
        <v>8605</v>
      </c>
      <c r="B3003" s="5" t="s">
        <v>8606</v>
      </c>
      <c r="C3003" s="5" t="s">
        <v>8697</v>
      </c>
      <c r="D3003" s="5" t="s">
        <v>8608</v>
      </c>
      <c r="E3003" s="5" t="s">
        <v>44</v>
      </c>
      <c r="F3003" s="5" t="s">
        <v>8609</v>
      </c>
      <c r="G3003" s="5" t="s">
        <v>152</v>
      </c>
      <c r="H3003" s="5" t="s">
        <v>8610</v>
      </c>
      <c r="I3003" s="5" t="s">
        <v>8698</v>
      </c>
      <c r="J3003" s="5" t="s">
        <v>8699</v>
      </c>
      <c r="K3003" s="7" t="str">
        <f ca="1">IFERROR(__xludf.DUMMYFUNCTION("GOOGLETRANSLATE(H3003,""EN"",""ES"")"),"EQUIPOS PARA LA GRABACIÓN O REPRODUCCIÓN DE SONIDOS O IMÁGENES")</f>
        <v>EQUIPOS PARA LA GRABACIÓN O REPRODUCCIÓN DE SONIDOS O IMÁGENES</v>
      </c>
      <c r="L3003" s="5" t="str">
        <f ca="1">IFERROR(__xludf.DUMMYFUNCTION("GOOGLETRANSLATE(J3003,""EN"",""ES"")"),"mezcladores de audio")</f>
        <v>mezcladores de audio</v>
      </c>
      <c r="M3003" s="10" t="s">
        <v>43</v>
      </c>
      <c r="N3003" s="8"/>
    </row>
    <row r="3004" spans="1:14" ht="11.25" customHeight="1">
      <c r="A3004" s="5" t="s">
        <v>8605</v>
      </c>
      <c r="B3004" s="5" t="s">
        <v>8606</v>
      </c>
      <c r="C3004" s="5" t="s">
        <v>8700</v>
      </c>
      <c r="D3004" s="5" t="s">
        <v>8608</v>
      </c>
      <c r="E3004" s="5" t="s">
        <v>44</v>
      </c>
      <c r="F3004" s="5" t="s">
        <v>8609</v>
      </c>
      <c r="G3004" s="5" t="s">
        <v>152</v>
      </c>
      <c r="H3004" s="5" t="s">
        <v>8610</v>
      </c>
      <c r="I3004" s="5" t="s">
        <v>8701</v>
      </c>
      <c r="J3004" s="5" t="s">
        <v>8702</v>
      </c>
      <c r="K3004" s="7" t="str">
        <f ca="1">IFERROR(__xludf.DUMMYFUNCTION("GOOGLETRANSLATE(H3004,""EN"",""ES"")"),"EQUIPOS PARA LA GRABACIÓN O REPRODUCCIÓN DE SONIDOS O IMÁGENES")</f>
        <v>EQUIPOS PARA LA GRABACIÓN O REPRODUCCIÓN DE SONIDOS O IMÁGENES</v>
      </c>
      <c r="L3004" s="5" t="str">
        <f ca="1">IFERROR(__xludf.DUMMYFUNCTION("GOOGLETRANSLATE(J3004,""EN"",""ES"")"),"cabinas de karaoke")</f>
        <v>cabinas de karaoke</v>
      </c>
      <c r="M3004" s="10" t="s">
        <v>43</v>
      </c>
      <c r="N3004" s="8"/>
    </row>
    <row r="3005" spans="1:14" ht="11.25" customHeight="1">
      <c r="A3005" s="5" t="s">
        <v>8605</v>
      </c>
      <c r="B3005" s="5" t="s">
        <v>8606</v>
      </c>
      <c r="C3005" s="5" t="s">
        <v>8703</v>
      </c>
      <c r="D3005" s="5" t="s">
        <v>8608</v>
      </c>
      <c r="E3005" s="5" t="s">
        <v>44</v>
      </c>
      <c r="F3005" s="5" t="s">
        <v>8609</v>
      </c>
      <c r="G3005" s="5" t="s">
        <v>152</v>
      </c>
      <c r="H3005" s="5" t="s">
        <v>8610</v>
      </c>
      <c r="I3005" s="5" t="s">
        <v>8704</v>
      </c>
      <c r="J3005" s="5" t="s">
        <v>8705</v>
      </c>
      <c r="K3005" s="7" t="str">
        <f ca="1">IFERROR(__xludf.DUMMYFUNCTION("GOOGLETRANSLATE(H3005,""EN"",""ES"")"),"EQUIPOS PARA LA GRABACIÓN O REPRODUCCIÓN DE SONIDOS O IMÁGENES")</f>
        <v>EQUIPOS PARA LA GRABACIÓN O REPRODUCCIÓN DE SONIDOS O IMÁGENES</v>
      </c>
      <c r="L3005" s="5" t="str">
        <f ca="1">IFERROR(__xludf.DUMMYFUNCTION("GOOGLETRANSLATE(J3005,""EN"",""ES"")"),"Altavoces inteligentes")</f>
        <v>Altavoces inteligentes</v>
      </c>
      <c r="M3005" s="10" t="s">
        <v>43</v>
      </c>
      <c r="N3005" s="8"/>
    </row>
    <row r="3006" spans="1:14" ht="11.25" customHeight="1">
      <c r="A3006" s="5" t="s">
        <v>8605</v>
      </c>
      <c r="B3006" s="5" t="s">
        <v>8606</v>
      </c>
      <c r="C3006" s="5" t="s">
        <v>8706</v>
      </c>
      <c r="D3006" s="5" t="s">
        <v>8608</v>
      </c>
      <c r="E3006" s="5" t="s">
        <v>44</v>
      </c>
      <c r="F3006" s="5" t="s">
        <v>8609</v>
      </c>
      <c r="G3006" s="5" t="s">
        <v>152</v>
      </c>
      <c r="H3006" s="5" t="s">
        <v>8610</v>
      </c>
      <c r="I3006" s="5" t="s">
        <v>8707</v>
      </c>
      <c r="J3006" s="5" t="s">
        <v>8708</v>
      </c>
      <c r="K3006" s="7" t="str">
        <f ca="1">IFERROR(__xludf.DUMMYFUNCTION("GOOGLETRANSLATE(H3006,""EN"",""ES"")"),"EQUIPOS PARA LA GRABACIÓN O REPRODUCCIÓN DE SONIDOS O IMÁGENES")</f>
        <v>EQUIPOS PARA LA GRABACIÓN O REPRODUCCIÓN DE SONIDOS O IMÁGENES</v>
      </c>
      <c r="L3006" s="5" t="str">
        <f ca="1">IFERROR(__xludf.DUMMYFUNCTION("GOOGLETRANSLATE(J3006,""EN"",""ES"")"),"Auriculares")</f>
        <v>Auriculares</v>
      </c>
      <c r="M3006" s="10" t="s">
        <v>43</v>
      </c>
      <c r="N3006" s="8"/>
    </row>
    <row r="3007" spans="1:14" ht="11.25" customHeight="1">
      <c r="A3007" s="5" t="s">
        <v>8605</v>
      </c>
      <c r="B3007" s="5" t="s">
        <v>8709</v>
      </c>
      <c r="C3007" s="5" t="s">
        <v>8710</v>
      </c>
      <c r="D3007" s="5" t="s">
        <v>8608</v>
      </c>
      <c r="E3007" s="5" t="s">
        <v>44</v>
      </c>
      <c r="F3007" s="5" t="s">
        <v>8609</v>
      </c>
      <c r="G3007" s="5" t="s">
        <v>152</v>
      </c>
      <c r="H3007" s="5" t="s">
        <v>8711</v>
      </c>
      <c r="I3007" s="5" t="s">
        <v>8712</v>
      </c>
      <c r="J3007" s="5" t="s">
        <v>8713</v>
      </c>
      <c r="K3007" s="7" t="str">
        <f ca="1">IFERROR(__xludf.DUMMYFUNCTION("GOOGLETRANSLATE(H3007,""EN"",""ES"")"),"EQUIPOS DE PROCESAMIENTO DE DATOS ASÍ COMO APARATOS Y DISPOSITIVOS PERIFÉRICOS")</f>
        <v>EQUIPOS DE PROCESAMIENTO DE DATOS ASÍ COMO APARATOS Y DISPOSITIVOS PERIFÉRICOS</v>
      </c>
      <c r="L3007" s="5" t="str">
        <f ca="1">IFERROR(__xludf.DUMMYFUNCTION("GOOGLETRANSLATE(J3007,""EN"",""ES"")"),"Teclados para perforadores de tarjetas.")</f>
        <v>Teclados para perforadores de tarjetas.</v>
      </c>
      <c r="M3007" s="10" t="s">
        <v>45</v>
      </c>
      <c r="N3007" s="8"/>
    </row>
    <row r="3008" spans="1:14" ht="11.25" customHeight="1">
      <c r="A3008" s="5" t="s">
        <v>8605</v>
      </c>
      <c r="B3008" s="5" t="s">
        <v>8709</v>
      </c>
      <c r="C3008" s="5" t="s">
        <v>8714</v>
      </c>
      <c r="D3008" s="5" t="s">
        <v>8608</v>
      </c>
      <c r="E3008" s="5" t="s">
        <v>44</v>
      </c>
      <c r="F3008" s="5" t="s">
        <v>8609</v>
      </c>
      <c r="G3008" s="5" t="s">
        <v>152</v>
      </c>
      <c r="H3008" s="5" t="s">
        <v>8711</v>
      </c>
      <c r="I3008" s="5" t="s">
        <v>8715</v>
      </c>
      <c r="J3008" s="5" t="s">
        <v>8716</v>
      </c>
      <c r="K3008" s="7" t="str">
        <f ca="1">IFERROR(__xludf.DUMMYFUNCTION("GOOGLETRANSLATE(H3008,""EN"",""ES"")"),"EQUIPOS DE PROCESAMIENTO DE DATOS ASÍ COMO APARATOS Y DISPOSITIVOS PERIFÉRICOS")</f>
        <v>EQUIPOS DE PROCESAMIENTO DE DATOS ASÍ COMO APARATOS Y DISPOSITIVOS PERIFÉRICOS</v>
      </c>
      <c r="L3008" s="5" t="str">
        <f ca="1">IFERROR(__xludf.DUMMYFUNCTION("GOOGLETRANSLATE(J3008,""EN"",""ES"")"),"Lectores [procesamiento de datos]")</f>
        <v>Lectores [procesamiento de datos]</v>
      </c>
      <c r="M3008" s="10" t="s">
        <v>45</v>
      </c>
      <c r="N3008" s="8"/>
    </row>
    <row r="3009" spans="1:14" ht="11.25" customHeight="1">
      <c r="A3009" s="5" t="s">
        <v>8605</v>
      </c>
      <c r="B3009" s="5" t="s">
        <v>8709</v>
      </c>
      <c r="C3009" s="5" t="s">
        <v>8717</v>
      </c>
      <c r="D3009" s="5" t="s">
        <v>8608</v>
      </c>
      <c r="E3009" s="5" t="s">
        <v>44</v>
      </c>
      <c r="F3009" s="5" t="s">
        <v>8609</v>
      </c>
      <c r="G3009" s="5" t="s">
        <v>152</v>
      </c>
      <c r="H3009" s="5" t="s">
        <v>8711</v>
      </c>
      <c r="I3009" s="5" t="s">
        <v>8718</v>
      </c>
      <c r="J3009" s="5" t="s">
        <v>8719</v>
      </c>
      <c r="K3009" s="7" t="str">
        <f ca="1">IFERROR(__xludf.DUMMYFUNCTION("GOOGLETRANSLATE(H3009,""EN"",""ES"")"),"EQUIPOS DE PROCESAMIENTO DE DATOS ASÍ COMO APARATOS Y DISPOSITIVOS PERIFÉRICOS")</f>
        <v>EQUIPOS DE PROCESAMIENTO DE DATOS ASÍ COMO APARATOS Y DISPOSITIVOS PERIFÉRICOS</v>
      </c>
      <c r="L3009" s="5" t="str">
        <f ca="1">IFERROR(__xludf.DUMMYFUNCTION("GOOGLETRANSLATE(J3009,""EN"",""ES"")"),"Computadoras")</f>
        <v>Computadoras</v>
      </c>
      <c r="M3009" s="10" t="s">
        <v>45</v>
      </c>
      <c r="N3009" s="8"/>
    </row>
    <row r="3010" spans="1:14" ht="11.25" customHeight="1">
      <c r="A3010" s="5" t="s">
        <v>8605</v>
      </c>
      <c r="B3010" s="5" t="s">
        <v>8709</v>
      </c>
      <c r="C3010" s="5" t="s">
        <v>8720</v>
      </c>
      <c r="D3010" s="5" t="s">
        <v>8608</v>
      </c>
      <c r="E3010" s="5" t="s">
        <v>44</v>
      </c>
      <c r="F3010" s="5" t="s">
        <v>8609</v>
      </c>
      <c r="G3010" s="5" t="s">
        <v>152</v>
      </c>
      <c r="H3010" s="5" t="s">
        <v>8711</v>
      </c>
      <c r="I3010" s="5" t="s">
        <v>8721</v>
      </c>
      <c r="J3010" s="5" t="s">
        <v>8722</v>
      </c>
      <c r="K3010" s="7" t="str">
        <f ca="1">IFERROR(__xludf.DUMMYFUNCTION("GOOGLETRANSLATE(H3010,""EN"",""ES"")"),"EQUIPOS DE PROCESAMIENTO DE DATOS ASÍ COMO APARATOS Y DISPOSITIVOS PERIFÉRICOS")</f>
        <v>EQUIPOS DE PROCESAMIENTO DE DATOS ASÍ COMO APARATOS Y DISPOSITIVOS PERIFÉRICOS</v>
      </c>
      <c r="L3010" s="5" t="str">
        <f ca="1">IFERROR(__xludf.DUMMYFUNCTION("GOOGLETRANSLATE(J3010,""EN"",""ES"")"),"Perforadoras de tarjetas [procesamiento de datos]")</f>
        <v>Perforadoras de tarjetas [procesamiento de datos]</v>
      </c>
      <c r="M3010" s="10" t="s">
        <v>45</v>
      </c>
      <c r="N3010" s="8"/>
    </row>
    <row r="3011" spans="1:14" ht="11.25" customHeight="1">
      <c r="A3011" s="5" t="s">
        <v>8605</v>
      </c>
      <c r="B3011" s="5" t="s">
        <v>8709</v>
      </c>
      <c r="C3011" s="5" t="s">
        <v>8723</v>
      </c>
      <c r="D3011" s="5" t="s">
        <v>8608</v>
      </c>
      <c r="E3011" s="5" t="s">
        <v>44</v>
      </c>
      <c r="F3011" s="5" t="s">
        <v>8609</v>
      </c>
      <c r="G3011" s="5" t="s">
        <v>152</v>
      </c>
      <c r="H3011" s="5" t="s">
        <v>8711</v>
      </c>
      <c r="I3011" s="5" t="s">
        <v>8724</v>
      </c>
      <c r="J3011" s="5" t="s">
        <v>8725</v>
      </c>
      <c r="K3011" s="7" t="str">
        <f ca="1">IFERROR(__xludf.DUMMYFUNCTION("GOOGLETRANSLATE(H3011,""EN"",""ES"")"),"EQUIPOS DE PROCESAMIENTO DE DATOS ASÍ COMO APARATOS Y DISPOSITIVOS PERIFÉRICOS")</f>
        <v>EQUIPOS DE PROCESAMIENTO DE DATOS ASÍ COMO APARATOS Y DISPOSITIVOS PERIFÉRICOS</v>
      </c>
      <c r="L3011" s="5" t="str">
        <f ca="1">IFERROR(__xludf.DUMMYFUNCTION("GOOGLETRANSLATE(J3011,""EN"",""ES"")"),"Tabuladores para tarjetas perforadas")</f>
        <v>Tabuladores para tarjetas perforadas</v>
      </c>
      <c r="M3011" s="10" t="s">
        <v>45</v>
      </c>
      <c r="N3011" s="8"/>
    </row>
    <row r="3012" spans="1:14" ht="11.25" customHeight="1">
      <c r="A3012" s="5" t="s">
        <v>8605</v>
      </c>
      <c r="B3012" s="5" t="s">
        <v>8709</v>
      </c>
      <c r="C3012" s="5" t="s">
        <v>8726</v>
      </c>
      <c r="D3012" s="5" t="s">
        <v>8608</v>
      </c>
      <c r="E3012" s="5" t="s">
        <v>44</v>
      </c>
      <c r="F3012" s="5" t="s">
        <v>8609</v>
      </c>
      <c r="G3012" s="5" t="s">
        <v>152</v>
      </c>
      <c r="H3012" s="5" t="s">
        <v>8711</v>
      </c>
      <c r="I3012" s="5" t="s">
        <v>8727</v>
      </c>
      <c r="J3012" s="5" t="s">
        <v>8728</v>
      </c>
      <c r="K3012" s="7" t="str">
        <f ca="1">IFERROR(__xludf.DUMMYFUNCTION("GOOGLETRANSLATE(H3012,""EN"",""ES"")"),"EQUIPOS DE PROCESAMIENTO DE DATOS ASÍ COMO APARATOS Y DISPOSITIVOS PERIFÉRICOS")</f>
        <v>EQUIPOS DE PROCESAMIENTO DE DATOS ASÍ COMO APARATOS Y DISPOSITIVOS PERIFÉRICOS</v>
      </c>
      <c r="L3012" s="5" t="str">
        <f ca="1">IFERROR(__xludf.DUMMYFUNCTION("GOOGLETRANSLATE(J3012,""EN"",""ES"")"),"Escáneres para tarjetas perforadas")</f>
        <v>Escáneres para tarjetas perforadas</v>
      </c>
      <c r="M3012" s="10" t="s">
        <v>45</v>
      </c>
      <c r="N3012" s="8"/>
    </row>
    <row r="3013" spans="1:14" ht="11.25" customHeight="1">
      <c r="A3013" s="5" t="s">
        <v>8605</v>
      </c>
      <c r="B3013" s="5" t="s">
        <v>8709</v>
      </c>
      <c r="C3013" s="5" t="s">
        <v>8729</v>
      </c>
      <c r="D3013" s="5" t="s">
        <v>8608</v>
      </c>
      <c r="E3013" s="5" t="s">
        <v>44</v>
      </c>
      <c r="F3013" s="5" t="s">
        <v>8609</v>
      </c>
      <c r="G3013" s="5" t="s">
        <v>152</v>
      </c>
      <c r="H3013" s="5" t="s">
        <v>8711</v>
      </c>
      <c r="I3013" s="5" t="s">
        <v>8730</v>
      </c>
      <c r="J3013" s="5" t="s">
        <v>8731</v>
      </c>
      <c r="K3013" s="7" t="str">
        <f ca="1">IFERROR(__xludf.DUMMYFUNCTION("GOOGLETRANSLATE(H3013,""EN"",""ES"")"),"EQUIPOS DE PROCESAMIENTO DE DATOS ASÍ COMO APARATOS Y DISPOSITIVOS PERIFÉRICOS")</f>
        <v>EQUIPOS DE PROCESAMIENTO DE DATOS ASÍ COMO APARATOS Y DISPOSITIVOS PERIFÉRICOS</v>
      </c>
      <c r="L3013" s="5" t="str">
        <f ca="1">IFERROR(__xludf.DUMMYFUNCTION("GOOGLETRANSLATE(J3013,""EN"",""ES"")"),"Equipo de procesamiento de datos")</f>
        <v>Equipo de procesamiento de datos</v>
      </c>
      <c r="M3013" s="10" t="s">
        <v>45</v>
      </c>
      <c r="N3013" s="8"/>
    </row>
    <row r="3014" spans="1:14" ht="11.25" customHeight="1">
      <c r="A3014" s="5" t="s">
        <v>8605</v>
      </c>
      <c r="B3014" s="5" t="s">
        <v>8709</v>
      </c>
      <c r="C3014" s="5" t="s">
        <v>8732</v>
      </c>
      <c r="D3014" s="5" t="s">
        <v>8608</v>
      </c>
      <c r="E3014" s="5" t="s">
        <v>44</v>
      </c>
      <c r="F3014" s="5" t="s">
        <v>8609</v>
      </c>
      <c r="G3014" s="5" t="s">
        <v>152</v>
      </c>
      <c r="H3014" s="5" t="s">
        <v>8711</v>
      </c>
      <c r="I3014" s="5" t="s">
        <v>8733</v>
      </c>
      <c r="J3014" s="5" t="s">
        <v>8734</v>
      </c>
      <c r="K3014" s="7" t="str">
        <f ca="1">IFERROR(__xludf.DUMMYFUNCTION("GOOGLETRANSLATE(H3014,""EN"",""ES"")"),"EQUIPOS DE PROCESAMIENTO DE DATOS ASÍ COMO APARATOS Y DISPOSITIVOS PERIFÉRICOS")</f>
        <v>EQUIPOS DE PROCESAMIENTO DE DATOS ASÍ COMO APARATOS Y DISPOSITIVOS PERIFÉRICOS</v>
      </c>
      <c r="L3014" s="5" t="str">
        <f ca="1">IFERROR(__xludf.DUMMYFUNCTION("GOOGLETRANSLATE(J3014,""EN"",""ES"")"),"Teclados para equipos de datos.")</f>
        <v>Teclados para equipos de datos.</v>
      </c>
      <c r="M3014" s="10" t="s">
        <v>45</v>
      </c>
      <c r="N3014" s="8"/>
    </row>
    <row r="3015" spans="1:14" ht="11.25" customHeight="1">
      <c r="A3015" s="5" t="s">
        <v>8605</v>
      </c>
      <c r="B3015" s="5" t="s">
        <v>8709</v>
      </c>
      <c r="C3015" s="5" t="s">
        <v>8735</v>
      </c>
      <c r="D3015" s="5" t="s">
        <v>8608</v>
      </c>
      <c r="E3015" s="5" t="s">
        <v>44</v>
      </c>
      <c r="F3015" s="5" t="s">
        <v>8609</v>
      </c>
      <c r="G3015" s="5" t="s">
        <v>152</v>
      </c>
      <c r="H3015" s="5" t="s">
        <v>8711</v>
      </c>
      <c r="I3015" s="5" t="s">
        <v>8736</v>
      </c>
      <c r="J3015" s="5" t="s">
        <v>8737</v>
      </c>
      <c r="K3015" s="7" t="str">
        <f ca="1">IFERROR(__xludf.DUMMYFUNCTION("GOOGLETRANSLATE(H3015,""EN"",""ES"")"),"EQUIPOS DE PROCESAMIENTO DE DATOS ASÍ COMO APARATOS Y DISPOSITIVOS PERIFÉRICOS")</f>
        <v>EQUIPOS DE PROCESAMIENTO DE DATOS ASÍ COMO APARATOS Y DISPOSITIVOS PERIFÉRICOS</v>
      </c>
      <c r="L3015" s="5" t="str">
        <f ca="1">IFERROR(__xludf.DUMMYFUNCTION("GOOGLETRANSLATE(J3015,""EN"",""ES"")"),"Trazadores de computadora")</f>
        <v>Trazadores de computadora</v>
      </c>
      <c r="M3015" s="10" t="s">
        <v>45</v>
      </c>
      <c r="N3015" s="8"/>
    </row>
    <row r="3016" spans="1:14" ht="11.25" customHeight="1">
      <c r="A3016" s="5" t="s">
        <v>8605</v>
      </c>
      <c r="B3016" s="5" t="s">
        <v>8709</v>
      </c>
      <c r="C3016" s="5" t="s">
        <v>8738</v>
      </c>
      <c r="D3016" s="5" t="s">
        <v>8608</v>
      </c>
      <c r="E3016" s="5" t="s">
        <v>44</v>
      </c>
      <c r="F3016" s="5" t="s">
        <v>8609</v>
      </c>
      <c r="G3016" s="5" t="s">
        <v>152</v>
      </c>
      <c r="H3016" s="5" t="s">
        <v>8711</v>
      </c>
      <c r="I3016" s="5" t="s">
        <v>8739</v>
      </c>
      <c r="J3016" s="5" t="s">
        <v>8740</v>
      </c>
      <c r="K3016" s="7" t="str">
        <f ca="1">IFERROR(__xludf.DUMMYFUNCTION("GOOGLETRANSLATE(H3016,""EN"",""ES"")"),"EQUIPOS DE PROCESAMIENTO DE DATOS ASÍ COMO APARATOS Y DISPOSITIVOS PERIFÉRICOS")</f>
        <v>EQUIPOS DE PROCESAMIENTO DE DATOS ASÍ COMO APARATOS Y DISPOSITIVOS PERIFÉRICOS</v>
      </c>
      <c r="L3016" s="5" t="str">
        <f ca="1">IFERROR(__xludf.DUMMYFUNCTION("GOOGLETRANSLATE(J3016,""EN"",""ES"")"),"Agendas de bolsillo electrónicas")</f>
        <v>Agendas de bolsillo electrónicas</v>
      </c>
      <c r="M3016" s="10" t="s">
        <v>45</v>
      </c>
      <c r="N3016" s="8"/>
    </row>
    <row r="3017" spans="1:14" ht="11.25" customHeight="1">
      <c r="A3017" s="5" t="s">
        <v>8605</v>
      </c>
      <c r="B3017" s="5" t="s">
        <v>8709</v>
      </c>
      <c r="C3017" s="5" t="s">
        <v>8741</v>
      </c>
      <c r="D3017" s="5" t="s">
        <v>8608</v>
      </c>
      <c r="E3017" s="5" t="s">
        <v>44</v>
      </c>
      <c r="F3017" s="5" t="s">
        <v>8609</v>
      </c>
      <c r="G3017" s="5" t="s">
        <v>152</v>
      </c>
      <c r="H3017" s="5" t="s">
        <v>8711</v>
      </c>
      <c r="I3017" s="5" t="s">
        <v>8742</v>
      </c>
      <c r="J3017" s="5" t="s">
        <v>8743</v>
      </c>
      <c r="K3017" s="7" t="str">
        <f ca="1">IFERROR(__xludf.DUMMYFUNCTION("GOOGLETRANSLATE(H3017,""EN"",""ES"")"),"EQUIPOS DE PROCESAMIENTO DE DATOS ASÍ COMO APARATOS Y DISPOSITIVOS PERIFÉRICOS")</f>
        <v>EQUIPOS DE PROCESAMIENTO DE DATOS ASÍ COMO APARATOS Y DISPOSITIVOS PERIFÉRICOS</v>
      </c>
      <c r="L3017" s="5" t="str">
        <f ca="1">IFERROR(__xludf.DUMMYFUNCTION("GOOGLETRANSLATE(J3017,""EN"",""ES"")"),"carcasas de computadora")</f>
        <v>carcasas de computadora</v>
      </c>
      <c r="M3017" s="10" t="s">
        <v>45</v>
      </c>
      <c r="N3017" s="8"/>
    </row>
    <row r="3018" spans="1:14" ht="11.25" customHeight="1">
      <c r="A3018" s="5" t="s">
        <v>8605</v>
      </c>
      <c r="B3018" s="5" t="s">
        <v>8709</v>
      </c>
      <c r="C3018" s="5" t="s">
        <v>8744</v>
      </c>
      <c r="D3018" s="5" t="s">
        <v>8608</v>
      </c>
      <c r="E3018" s="5" t="s">
        <v>44</v>
      </c>
      <c r="F3018" s="5" t="s">
        <v>8609</v>
      </c>
      <c r="G3018" s="5" t="s">
        <v>152</v>
      </c>
      <c r="H3018" s="5" t="s">
        <v>8711</v>
      </c>
      <c r="I3018" s="5" t="s">
        <v>8745</v>
      </c>
      <c r="J3018" s="5" t="s">
        <v>8746</v>
      </c>
      <c r="K3018" s="7" t="str">
        <f ca="1">IFERROR(__xludf.DUMMYFUNCTION("GOOGLETRANSLATE(H3018,""EN"",""ES"")"),"EQUIPOS DE PROCESAMIENTO DE DATOS ASÍ COMO APARATOS Y DISPOSITIVOS PERIFÉRICOS")</f>
        <v>EQUIPOS DE PROCESAMIENTO DE DATOS ASÍ COMO APARATOS Y DISPOSITIVOS PERIFÉRICOS</v>
      </c>
      <c r="L3018" s="5" t="str">
        <f ca="1">IFERROR(__xludf.DUMMYFUNCTION("GOOGLETRANSLATE(J3018,""EN"",""ES"")"),"Pantallas de computadora")</f>
        <v>Pantallas de computadora</v>
      </c>
      <c r="M3018" s="10" t="s">
        <v>45</v>
      </c>
      <c r="N3018" s="8"/>
    </row>
    <row r="3019" spans="1:14" ht="11.25" customHeight="1">
      <c r="A3019" s="5" t="s">
        <v>8605</v>
      </c>
      <c r="B3019" s="5" t="s">
        <v>8709</v>
      </c>
      <c r="C3019" s="5" t="s">
        <v>8747</v>
      </c>
      <c r="D3019" s="5" t="s">
        <v>8608</v>
      </c>
      <c r="E3019" s="5" t="s">
        <v>44</v>
      </c>
      <c r="F3019" s="5" t="s">
        <v>8609</v>
      </c>
      <c r="G3019" s="5" t="s">
        <v>152</v>
      </c>
      <c r="H3019" s="5" t="s">
        <v>8711</v>
      </c>
      <c r="I3019" s="5" t="s">
        <v>8748</v>
      </c>
      <c r="J3019" s="5" t="s">
        <v>8749</v>
      </c>
      <c r="K3019" s="7" t="str">
        <f ca="1">IFERROR(__xludf.DUMMYFUNCTION("GOOGLETRANSLATE(H3019,""EN"",""ES"")"),"EQUIPOS DE PROCESAMIENTO DE DATOS ASÍ COMO APARATOS Y DISPOSITIVOS PERIFÉRICOS")</f>
        <v>EQUIPOS DE PROCESAMIENTO DE DATOS ASÍ COMO APARATOS Y DISPOSITIVOS PERIFÉRICOS</v>
      </c>
      <c r="L3019" s="5" t="str">
        <f ca="1">IFERROR(__xludf.DUMMYFUNCTION("GOOGLETRANSLATE(J3019,""EN"",""ES"")"),"Escáneres [procesamiento de datos]")</f>
        <v>Escáneres [procesamiento de datos]</v>
      </c>
      <c r="M3019" s="10" t="s">
        <v>45</v>
      </c>
      <c r="N3019" s="8"/>
    </row>
    <row r="3020" spans="1:14" ht="11.25" customHeight="1">
      <c r="A3020" s="5" t="s">
        <v>8605</v>
      </c>
      <c r="B3020" s="5" t="s">
        <v>8709</v>
      </c>
      <c r="C3020" s="5" t="s">
        <v>8750</v>
      </c>
      <c r="D3020" s="5" t="s">
        <v>8608</v>
      </c>
      <c r="E3020" s="5" t="s">
        <v>44</v>
      </c>
      <c r="F3020" s="5" t="s">
        <v>8609</v>
      </c>
      <c r="G3020" s="5" t="s">
        <v>152</v>
      </c>
      <c r="H3020" s="5" t="s">
        <v>8711</v>
      </c>
      <c r="I3020" s="5" t="s">
        <v>8751</v>
      </c>
      <c r="J3020" s="5" t="s">
        <v>8752</v>
      </c>
      <c r="K3020" s="7" t="str">
        <f ca="1">IFERROR(__xludf.DUMMYFUNCTION("GOOGLETRANSLATE(H3020,""EN"",""ES"")"),"EQUIPOS DE PROCESAMIENTO DE DATOS ASÍ COMO APARATOS Y DISPOSITIVOS PERIFÉRICOS")</f>
        <v>EQUIPOS DE PROCESAMIENTO DE DATOS ASÍ COMO APARATOS Y DISPOSITIVOS PERIFÉRICOS</v>
      </c>
      <c r="L3020" s="5" t="str">
        <f ca="1">IFERROR(__xludf.DUMMYFUNCTION("GOOGLETRANSLATE(J3020,""EN"",""ES"")"),"Microcomputadoras")</f>
        <v>Microcomputadoras</v>
      </c>
      <c r="M3020" s="10" t="s">
        <v>45</v>
      </c>
      <c r="N3020" s="8"/>
    </row>
    <row r="3021" spans="1:14" ht="11.25" customHeight="1">
      <c r="A3021" s="5" t="s">
        <v>8605</v>
      </c>
      <c r="B3021" s="5" t="s">
        <v>8709</v>
      </c>
      <c r="C3021" s="5" t="s">
        <v>8753</v>
      </c>
      <c r="D3021" s="5" t="s">
        <v>8608</v>
      </c>
      <c r="E3021" s="5" t="s">
        <v>44</v>
      </c>
      <c r="F3021" s="5" t="s">
        <v>8609</v>
      </c>
      <c r="G3021" s="5" t="s">
        <v>152</v>
      </c>
      <c r="H3021" s="5" t="s">
        <v>8711</v>
      </c>
      <c r="I3021" s="5" t="s">
        <v>8754</v>
      </c>
      <c r="J3021" s="5" t="s">
        <v>8755</v>
      </c>
      <c r="K3021" s="7" t="str">
        <f ca="1">IFERROR(__xludf.DUMMYFUNCTION("GOOGLETRANSLATE(H3021,""EN"",""ES"")"),"EQUIPOS DE PROCESAMIENTO DE DATOS ASÍ COMO APARATOS Y DISPOSITIVOS PERIFÉRICOS")</f>
        <v>EQUIPOS DE PROCESAMIENTO DE DATOS ASÍ COMO APARATOS Y DISPOSITIVOS PERIFÉRICOS</v>
      </c>
      <c r="L3021" s="5" t="str">
        <f ca="1">IFERROR(__xludf.DUMMYFUNCTION("GOOGLETRANSLATE(J3021,""EN"",""ES"")"),"Unidades de disco")</f>
        <v>Unidades de disco</v>
      </c>
      <c r="M3021" s="10" t="s">
        <v>45</v>
      </c>
      <c r="N3021" s="8"/>
    </row>
    <row r="3022" spans="1:14" ht="11.25" customHeight="1">
      <c r="A3022" s="5" t="s">
        <v>8605</v>
      </c>
      <c r="B3022" s="5" t="s">
        <v>8709</v>
      </c>
      <c r="C3022" s="5" t="s">
        <v>8756</v>
      </c>
      <c r="D3022" s="5" t="s">
        <v>8608</v>
      </c>
      <c r="E3022" s="5" t="s">
        <v>44</v>
      </c>
      <c r="F3022" s="5" t="s">
        <v>8609</v>
      </c>
      <c r="G3022" s="5" t="s">
        <v>152</v>
      </c>
      <c r="H3022" s="5" t="s">
        <v>8711</v>
      </c>
      <c r="I3022" s="5" t="s">
        <v>8757</v>
      </c>
      <c r="J3022" s="5" t="s">
        <v>8758</v>
      </c>
      <c r="K3022" s="7" t="str">
        <f ca="1">IFERROR(__xludf.DUMMYFUNCTION("GOOGLETRANSLATE(H3022,""EN"",""ES"")"),"EQUIPOS DE PROCESAMIENTO DE DATOS ASÍ COMO APARATOS Y DISPOSITIVOS PERIFÉRICOS")</f>
        <v>EQUIPOS DE PROCESAMIENTO DE DATOS ASÍ COMO APARATOS Y DISPOSITIVOS PERIFÉRICOS</v>
      </c>
      <c r="L3022" s="5" t="str">
        <f ca="1">IFERROR(__xludf.DUMMYFUNCTION("GOOGLETRANSLATE(J3022,""EN"",""ES"")"),"Lectores de códigos de barras")</f>
        <v>Lectores de códigos de barras</v>
      </c>
      <c r="M3022" s="10" t="s">
        <v>45</v>
      </c>
      <c r="N3022" s="8"/>
    </row>
    <row r="3023" spans="1:14" ht="11.25" customHeight="1">
      <c r="A3023" s="5" t="s">
        <v>8605</v>
      </c>
      <c r="B3023" s="5" t="s">
        <v>8709</v>
      </c>
      <c r="C3023" s="5" t="s">
        <v>8759</v>
      </c>
      <c r="D3023" s="5" t="s">
        <v>8608</v>
      </c>
      <c r="E3023" s="5" t="s">
        <v>44</v>
      </c>
      <c r="F3023" s="5" t="s">
        <v>8609</v>
      </c>
      <c r="G3023" s="5" t="s">
        <v>152</v>
      </c>
      <c r="H3023" s="5" t="s">
        <v>8711</v>
      </c>
      <c r="I3023" s="5" t="s">
        <v>8760</v>
      </c>
      <c r="J3023" s="5" t="s">
        <v>8761</v>
      </c>
      <c r="K3023" s="7" t="str">
        <f ca="1">IFERROR(__xludf.DUMMYFUNCTION("GOOGLETRANSLATE(H3023,""EN"",""ES"")"),"EQUIPOS DE PROCESAMIENTO DE DATOS ASÍ COMO APARATOS Y DISPOSITIVOS PERIFÉRICOS")</f>
        <v>EQUIPOS DE PROCESAMIENTO DE DATOS ASÍ COMO APARATOS Y DISPOSITIVOS PERIFÉRICOS</v>
      </c>
      <c r="L3023" s="5" t="str">
        <f ca="1">IFERROR(__xludf.DUMMYFUNCTION("GOOGLETRANSLATE(J3023,""EN"",""ES"")"),"Carcasas antiruido para impresoras informáticas")</f>
        <v>Carcasas antiruido para impresoras informáticas</v>
      </c>
      <c r="M3023" s="10" t="s">
        <v>45</v>
      </c>
      <c r="N3023" s="8"/>
    </row>
    <row r="3024" spans="1:14" ht="11.25" customHeight="1">
      <c r="A3024" s="5" t="s">
        <v>8605</v>
      </c>
      <c r="B3024" s="5" t="s">
        <v>8709</v>
      </c>
      <c r="C3024" s="5" t="s">
        <v>8762</v>
      </c>
      <c r="D3024" s="5" t="s">
        <v>8608</v>
      </c>
      <c r="E3024" s="5" t="s">
        <v>44</v>
      </c>
      <c r="F3024" s="5" t="s">
        <v>8609</v>
      </c>
      <c r="G3024" s="5" t="s">
        <v>152</v>
      </c>
      <c r="H3024" s="5" t="s">
        <v>8711</v>
      </c>
      <c r="I3024" s="5" t="s">
        <v>8763</v>
      </c>
      <c r="J3024" s="5" t="s">
        <v>8764</v>
      </c>
      <c r="K3024" s="7" t="str">
        <f ca="1">IFERROR(__xludf.DUMMYFUNCTION("GOOGLETRANSLATE(H3024,""EN"",""ES"")"),"EQUIPOS DE PROCESAMIENTO DE DATOS ASÍ COMO APARATOS Y DISPOSITIVOS PERIFÉRICOS")</f>
        <v>EQUIPOS DE PROCESAMIENTO DE DATOS ASÍ COMO APARATOS Y DISPOSITIVOS PERIFÉRICOS</v>
      </c>
      <c r="L3024" s="5" t="str">
        <f ca="1">IFERROR(__xludf.DUMMYFUNCTION("GOOGLETRANSLATE(J3024,""EN"",""ES"")"),"joysticks para ordenadores")</f>
        <v>joysticks para ordenadores</v>
      </c>
      <c r="M3024" s="10" t="s">
        <v>45</v>
      </c>
      <c r="N3024" s="8"/>
    </row>
    <row r="3025" spans="1:14" ht="11.25" customHeight="1">
      <c r="A3025" s="5" t="s">
        <v>8605</v>
      </c>
      <c r="B3025" s="5" t="s">
        <v>8709</v>
      </c>
      <c r="C3025" s="5" t="s">
        <v>8765</v>
      </c>
      <c r="D3025" s="5" t="s">
        <v>8608</v>
      </c>
      <c r="E3025" s="5" t="s">
        <v>44</v>
      </c>
      <c r="F3025" s="5" t="s">
        <v>8609</v>
      </c>
      <c r="G3025" s="5" t="s">
        <v>152</v>
      </c>
      <c r="H3025" s="5" t="s">
        <v>8711</v>
      </c>
      <c r="I3025" s="5" t="s">
        <v>8766</v>
      </c>
      <c r="J3025" s="5" t="s">
        <v>8767</v>
      </c>
      <c r="K3025" s="7" t="str">
        <f ca="1">IFERROR(__xludf.DUMMYFUNCTION("GOOGLETRANSLATE(H3025,""EN"",""ES"")"),"EQUIPOS DE PROCESAMIENTO DE DATOS ASÍ COMO APARATOS Y DISPOSITIVOS PERIFÉRICOS")</f>
        <v>EQUIPOS DE PROCESAMIENTO DE DATOS ASÍ COMO APARATOS Y DISPOSITIVOS PERIFÉRICOS</v>
      </c>
      <c r="L3025" s="5" t="str">
        <f ca="1">IFERROR(__xludf.DUMMYFUNCTION("GOOGLETRANSLATE(J3025,""EN"",""ES"")"),"Monitores [procesamiento de datos]")</f>
        <v>Monitores [procesamiento de datos]</v>
      </c>
      <c r="M3025" s="10" t="s">
        <v>45</v>
      </c>
      <c r="N3025" s="8"/>
    </row>
    <row r="3026" spans="1:14" ht="11.25" customHeight="1">
      <c r="A3026" s="5" t="s">
        <v>8605</v>
      </c>
      <c r="B3026" s="5" t="s">
        <v>8709</v>
      </c>
      <c r="C3026" s="5" t="s">
        <v>8768</v>
      </c>
      <c r="D3026" s="5" t="s">
        <v>8608</v>
      </c>
      <c r="E3026" s="5" t="s">
        <v>44</v>
      </c>
      <c r="F3026" s="5" t="s">
        <v>8609</v>
      </c>
      <c r="G3026" s="5" t="s">
        <v>152</v>
      </c>
      <c r="H3026" s="5" t="s">
        <v>8711</v>
      </c>
      <c r="I3026" s="5" t="s">
        <v>8769</v>
      </c>
      <c r="J3026" s="5" t="s">
        <v>8770</v>
      </c>
      <c r="K3026" s="7" t="str">
        <f ca="1">IFERROR(__xludf.DUMMYFUNCTION("GOOGLETRANSLATE(H3026,""EN"",""ES"")"),"EQUIPOS DE PROCESAMIENTO DE DATOS ASÍ COMO APARATOS Y DISPOSITIVOS PERIFÉRICOS")</f>
        <v>EQUIPOS DE PROCESAMIENTO DE DATOS ASÍ COMO APARATOS Y DISPOSITIVOS PERIFÉRICOS</v>
      </c>
      <c r="L3026" s="5" t="str">
        <f ca="1">IFERROR(__xludf.DUMMYFUNCTION("GOOGLETRANSLATE(J3026,""EN"",""ES"")"),"Ratones de computadora")</f>
        <v>Ratones de computadora</v>
      </c>
      <c r="M3026" s="10" t="s">
        <v>45</v>
      </c>
      <c r="N3026" s="8"/>
    </row>
    <row r="3027" spans="1:14" ht="11.25" customHeight="1">
      <c r="A3027" s="5" t="s">
        <v>8605</v>
      </c>
      <c r="B3027" s="5" t="s">
        <v>8709</v>
      </c>
      <c r="C3027" s="5" t="s">
        <v>8771</v>
      </c>
      <c r="D3027" s="5" t="s">
        <v>8608</v>
      </c>
      <c r="E3027" s="5" t="s">
        <v>44</v>
      </c>
      <c r="F3027" s="5" t="s">
        <v>8609</v>
      </c>
      <c r="G3027" s="5" t="s">
        <v>152</v>
      </c>
      <c r="H3027" s="5" t="s">
        <v>8711</v>
      </c>
      <c r="I3027" s="5" t="s">
        <v>8772</v>
      </c>
      <c r="J3027" s="5" t="s">
        <v>8773</v>
      </c>
      <c r="K3027" s="7" t="str">
        <f ca="1">IFERROR(__xludf.DUMMYFUNCTION("GOOGLETRANSLATE(H3027,""EN"",""ES"")"),"EQUIPOS DE PROCESAMIENTO DE DATOS ASÍ COMO APARATOS Y DISPOSITIVOS PERIFÉRICOS")</f>
        <v>EQUIPOS DE PROCESAMIENTO DE DATOS ASÍ COMO APARATOS Y DISPOSITIVOS PERIFÉRICOS</v>
      </c>
      <c r="L3027" s="5" t="str">
        <f ca="1">IFERROR(__xludf.DUMMYFUNCTION("GOOGLETRANSLATE(J3027,""EN"",""ES"")"),"Cartuchos para impresoras de computadora.")</f>
        <v>Cartuchos para impresoras de computadora.</v>
      </c>
      <c r="M3027" s="10" t="s">
        <v>45</v>
      </c>
      <c r="N3027" s="8"/>
    </row>
    <row r="3028" spans="1:14" ht="11.25" customHeight="1">
      <c r="A3028" s="5" t="s">
        <v>8605</v>
      </c>
      <c r="B3028" s="5" t="s">
        <v>8709</v>
      </c>
      <c r="C3028" s="5" t="s">
        <v>8774</v>
      </c>
      <c r="D3028" s="5" t="s">
        <v>8608</v>
      </c>
      <c r="E3028" s="5" t="s">
        <v>44</v>
      </c>
      <c r="F3028" s="5" t="s">
        <v>8609</v>
      </c>
      <c r="G3028" s="5" t="s">
        <v>152</v>
      </c>
      <c r="H3028" s="5" t="s">
        <v>8711</v>
      </c>
      <c r="I3028" s="5" t="s">
        <v>8775</v>
      </c>
      <c r="J3028" s="5" t="s">
        <v>8776</v>
      </c>
      <c r="K3028" s="7" t="str">
        <f ca="1">IFERROR(__xludf.DUMMYFUNCTION("GOOGLETRANSLATE(H3028,""EN"",""ES"")"),"EQUIPOS DE PROCESAMIENTO DE DATOS ASÍ COMO APARATOS Y DISPOSITIVOS PERIFÉRICOS")</f>
        <v>EQUIPOS DE PROCESAMIENTO DE DATOS ASÍ COMO APARATOS Y DISPOSITIVOS PERIFÉRICOS</v>
      </c>
      <c r="L3028" s="5" t="str">
        <f ca="1">IFERROR(__xludf.DUMMYFUNCTION("GOOGLETRANSLATE(J3028,""EN"",""ES"")"),"Terminales de computadora")</f>
        <v>Terminales de computadora</v>
      </c>
      <c r="M3028" s="10" t="s">
        <v>45</v>
      </c>
      <c r="N3028" s="8"/>
    </row>
    <row r="3029" spans="1:14" ht="11.25" customHeight="1">
      <c r="A3029" s="5" t="s">
        <v>8605</v>
      </c>
      <c r="B3029" s="5" t="s">
        <v>8709</v>
      </c>
      <c r="C3029" s="5" t="s">
        <v>8777</v>
      </c>
      <c r="D3029" s="5" t="s">
        <v>8608</v>
      </c>
      <c r="E3029" s="5" t="s">
        <v>44</v>
      </c>
      <c r="F3029" s="5" t="s">
        <v>8609</v>
      </c>
      <c r="G3029" s="5" t="s">
        <v>152</v>
      </c>
      <c r="H3029" s="5" t="s">
        <v>8711</v>
      </c>
      <c r="I3029" s="5" t="s">
        <v>8778</v>
      </c>
      <c r="J3029" s="5" t="s">
        <v>8779</v>
      </c>
      <c r="K3029" s="7" t="str">
        <f ca="1">IFERROR(__xludf.DUMMYFUNCTION("GOOGLETRANSLATE(H3029,""EN"",""ES"")"),"EQUIPOS DE PROCESAMIENTO DE DATOS ASÍ COMO APARATOS Y DISPOSITIVOS PERIFÉRICOS")</f>
        <v>EQUIPOS DE PROCESAMIENTO DE DATOS ASÍ COMO APARATOS Y DISPOSITIVOS PERIFÉRICOS</v>
      </c>
      <c r="L3029" s="5" t="str">
        <f ca="1">IFERROR(__xludf.DUMMYFUNCTION("GOOGLETRANSLATE(J3029,""EN"",""ES"")"),"Impresoras de computadora")</f>
        <v>Impresoras de computadora</v>
      </c>
      <c r="M3029" s="10" t="s">
        <v>45</v>
      </c>
      <c r="N3029" s="8"/>
    </row>
    <row r="3030" spans="1:14" ht="11.25" customHeight="1">
      <c r="A3030" s="5" t="s">
        <v>8605</v>
      </c>
      <c r="B3030" s="5" t="s">
        <v>8709</v>
      </c>
      <c r="C3030" s="5" t="s">
        <v>8780</v>
      </c>
      <c r="D3030" s="5" t="s">
        <v>8608</v>
      </c>
      <c r="E3030" s="5" t="s">
        <v>44</v>
      </c>
      <c r="F3030" s="5" t="s">
        <v>8609</v>
      </c>
      <c r="G3030" s="5" t="s">
        <v>152</v>
      </c>
      <c r="H3030" s="5" t="s">
        <v>8711</v>
      </c>
      <c r="I3030" s="5" t="s">
        <v>8781</v>
      </c>
      <c r="J3030" s="5" t="s">
        <v>8782</v>
      </c>
      <c r="K3030" s="7" t="str">
        <f ca="1">IFERROR(__xludf.DUMMYFUNCTION("GOOGLETRANSLATE(H3030,""EN"",""ES"")"),"EQUIPOS DE PROCESAMIENTO DE DATOS ASÍ COMO APARATOS Y DISPOSITIVOS PERIFÉRICOS")</f>
        <v>EQUIPOS DE PROCESAMIENTO DE DATOS ASÍ COMO APARATOS Y DISPOSITIVOS PERIFÉRICOS</v>
      </c>
      <c r="L3030" s="5" t="str">
        <f ca="1">IFERROR(__xludf.DUMMYFUNCTION("GOOGLETRANSLATE(J3030,""EN"",""ES"")"),"Reproductores de discos compactos [procesamiento de datos]")</f>
        <v>Reproductores de discos compactos [procesamiento de datos]</v>
      </c>
      <c r="M3030" s="10" t="s">
        <v>45</v>
      </c>
      <c r="N3030" s="8"/>
    </row>
    <row r="3031" spans="1:14" ht="11.25" customHeight="1">
      <c r="A3031" s="5" t="s">
        <v>8605</v>
      </c>
      <c r="B3031" s="5" t="s">
        <v>8709</v>
      </c>
      <c r="C3031" s="5" t="s">
        <v>8783</v>
      </c>
      <c r="D3031" s="5" t="s">
        <v>8608</v>
      </c>
      <c r="E3031" s="5" t="s">
        <v>44</v>
      </c>
      <c r="F3031" s="5" t="s">
        <v>8609</v>
      </c>
      <c r="G3031" s="5" t="s">
        <v>152</v>
      </c>
      <c r="H3031" s="5" t="s">
        <v>8711</v>
      </c>
      <c r="I3031" s="5" t="s">
        <v>8784</v>
      </c>
      <c r="J3031" s="5" t="s">
        <v>8785</v>
      </c>
      <c r="K3031" s="7" t="str">
        <f ca="1">IFERROR(__xludf.DUMMYFUNCTION("GOOGLETRANSLATE(H3031,""EN"",""ES"")"),"EQUIPOS DE PROCESAMIENTO DE DATOS ASÍ COMO APARATOS Y DISPOSITIVOS PERIFÉRICOS")</f>
        <v>EQUIPOS DE PROCESAMIENTO DE DATOS ASÍ COMO APARATOS Y DISPOSITIVOS PERIFÉRICOS</v>
      </c>
      <c r="L3031" s="5" t="str">
        <f ca="1">IFERROR(__xludf.DUMMYFUNCTION("GOOGLETRANSLATE(J3031,""EN"",""ES"")"),"Reproductores de disco duro")</f>
        <v>Reproductores de disco duro</v>
      </c>
      <c r="M3031" s="10" t="s">
        <v>45</v>
      </c>
      <c r="N3031" s="8"/>
    </row>
    <row r="3032" spans="1:14" ht="11.25" customHeight="1">
      <c r="A3032" s="5" t="s">
        <v>8605</v>
      </c>
      <c r="B3032" s="5" t="s">
        <v>8709</v>
      </c>
      <c r="C3032" s="5" t="s">
        <v>8786</v>
      </c>
      <c r="D3032" s="5" t="s">
        <v>8608</v>
      </c>
      <c r="E3032" s="5" t="s">
        <v>44</v>
      </c>
      <c r="F3032" s="5" t="s">
        <v>8609</v>
      </c>
      <c r="G3032" s="5" t="s">
        <v>152</v>
      </c>
      <c r="H3032" s="5" t="s">
        <v>8711</v>
      </c>
      <c r="I3032" s="5" t="s">
        <v>8787</v>
      </c>
      <c r="J3032" s="5" t="s">
        <v>8788</v>
      </c>
      <c r="K3032" s="7" t="str">
        <f ca="1">IFERROR(__xludf.DUMMYFUNCTION("GOOGLETRANSLATE(H3032,""EN"",""ES"")"),"EQUIPOS DE PROCESAMIENTO DE DATOS ASÍ COMO APARATOS Y DISPOSITIVOS PERIFÉRICOS")</f>
        <v>EQUIPOS DE PROCESAMIENTO DE DATOS ASÍ COMO APARATOS Y DISPOSITIVOS PERIFÉRICOS</v>
      </c>
      <c r="L3032" s="5" t="str">
        <f ca="1">IFERROR(__xludf.DUMMYFUNCTION("GOOGLETRANSLATE(J3032,""EN"",""ES"")"),"Terminales de comunicación multimedia")</f>
        <v>Terminales de comunicación multimedia</v>
      </c>
      <c r="M3032" s="10" t="s">
        <v>45</v>
      </c>
      <c r="N3032" s="8"/>
    </row>
    <row r="3033" spans="1:14" ht="11.25" customHeight="1">
      <c r="A3033" s="5" t="s">
        <v>8605</v>
      </c>
      <c r="B3033" s="5" t="s">
        <v>8709</v>
      </c>
      <c r="C3033" s="5" t="s">
        <v>8789</v>
      </c>
      <c r="D3033" s="5" t="s">
        <v>8608</v>
      </c>
      <c r="E3033" s="5" t="s">
        <v>44</v>
      </c>
      <c r="F3033" s="5" t="s">
        <v>8609</v>
      </c>
      <c r="G3033" s="5" t="s">
        <v>152</v>
      </c>
      <c r="H3033" s="5" t="s">
        <v>8711</v>
      </c>
      <c r="I3033" s="5" t="s">
        <v>8790</v>
      </c>
      <c r="J3033" s="5" t="s">
        <v>8791</v>
      </c>
      <c r="K3033" s="7" t="str">
        <f ca="1">IFERROR(__xludf.DUMMYFUNCTION("GOOGLETRANSLATE(H3033,""EN"",""ES"")"),"EQUIPOS DE PROCESAMIENTO DE DATOS ASÍ COMO APARATOS Y DISPOSITIVOS PERIFÉRICOS")</f>
        <v>EQUIPOS DE PROCESAMIENTO DE DATOS ASÍ COMO APARATOS Y DISPOSITIVOS PERIFÉRICOS</v>
      </c>
      <c r="L3033" s="5" t="str">
        <f ca="1">IFERROR(__xludf.DUMMYFUNCTION("GOOGLETRANSLATE(J3033,""EN"",""ES"")"),"Dispositivos electrónicos para leer tarjetas magnéticas.")</f>
        <v>Dispositivos electrónicos para leer tarjetas magnéticas.</v>
      </c>
      <c r="M3033" s="10" t="s">
        <v>45</v>
      </c>
      <c r="N3033" s="8"/>
    </row>
    <row r="3034" spans="1:14" ht="11.25" customHeight="1">
      <c r="A3034" s="5" t="s">
        <v>8605</v>
      </c>
      <c r="B3034" s="5" t="s">
        <v>8709</v>
      </c>
      <c r="C3034" s="5" t="s">
        <v>8792</v>
      </c>
      <c r="D3034" s="5" t="s">
        <v>8608</v>
      </c>
      <c r="E3034" s="5" t="s">
        <v>44</v>
      </c>
      <c r="F3034" s="5" t="s">
        <v>8609</v>
      </c>
      <c r="G3034" s="5" t="s">
        <v>152</v>
      </c>
      <c r="H3034" s="5" t="s">
        <v>8711</v>
      </c>
      <c r="I3034" s="5" t="s">
        <v>8793</v>
      </c>
      <c r="J3034" s="5" t="s">
        <v>8794</v>
      </c>
      <c r="K3034" s="7" t="str">
        <f ca="1">IFERROR(__xludf.DUMMYFUNCTION("GOOGLETRANSLATE(H3034,""EN"",""ES"")"),"EQUIPOS DE PROCESAMIENTO DE DATOS ASÍ COMO APARATOS Y DISPOSITIVOS PERIFÉRICOS")</f>
        <v>EQUIPOS DE PROCESAMIENTO DE DATOS ASÍ COMO APARATOS Y DISPOSITIVOS PERIFÉRICOS</v>
      </c>
      <c r="L3034" s="5" t="str">
        <f ca="1">IFERROR(__xludf.DUMMYFUNCTION("GOOGLETRANSLATE(J3034,""EN"",""ES"")"),"Interfaces de computadora")</f>
        <v>Interfaces de computadora</v>
      </c>
      <c r="M3034" s="10" t="s">
        <v>45</v>
      </c>
      <c r="N3034" s="8"/>
    </row>
    <row r="3035" spans="1:14" ht="11.25" customHeight="1">
      <c r="A3035" s="5" t="s">
        <v>8605</v>
      </c>
      <c r="B3035" s="5" t="s">
        <v>8709</v>
      </c>
      <c r="C3035" s="5" t="s">
        <v>8795</v>
      </c>
      <c r="D3035" s="5" t="s">
        <v>8608</v>
      </c>
      <c r="E3035" s="5" t="s">
        <v>44</v>
      </c>
      <c r="F3035" s="5" t="s">
        <v>8609</v>
      </c>
      <c r="G3035" s="5" t="s">
        <v>152</v>
      </c>
      <c r="H3035" s="5" t="s">
        <v>8711</v>
      </c>
      <c r="I3035" s="5" t="s">
        <v>8796</v>
      </c>
      <c r="J3035" s="5" t="s">
        <v>8797</v>
      </c>
      <c r="K3035" s="7" t="str">
        <f ca="1">IFERROR(__xludf.DUMMYFUNCTION("GOOGLETRANSLATE(H3035,""EN"",""ES"")"),"EQUIPOS DE PROCESAMIENTO DE DATOS ASÍ COMO APARATOS Y DISPOSITIVOS PERIFÉRICOS")</f>
        <v>EQUIPOS DE PROCESAMIENTO DE DATOS ASÍ COMO APARATOS Y DISPOSITIVOS PERIFÉRICOS</v>
      </c>
      <c r="L3035" s="5" t="str">
        <f ca="1">IFERROR(__xludf.DUMMYFUNCTION("GOOGLETRANSLATE(J3035,""EN"",""ES"")"),"Conmutadores de red para computadoras")</f>
        <v>Conmutadores de red para computadoras</v>
      </c>
      <c r="M3035" s="10" t="s">
        <v>45</v>
      </c>
      <c r="N3035" s="8"/>
    </row>
    <row r="3036" spans="1:14" ht="11.25" customHeight="1">
      <c r="A3036" s="5" t="s">
        <v>8605</v>
      </c>
      <c r="B3036" s="5" t="s">
        <v>8709</v>
      </c>
      <c r="C3036" s="5" t="s">
        <v>8798</v>
      </c>
      <c r="D3036" s="5" t="s">
        <v>8608</v>
      </c>
      <c r="E3036" s="5" t="s">
        <v>44</v>
      </c>
      <c r="F3036" s="5" t="s">
        <v>8609</v>
      </c>
      <c r="G3036" s="5" t="s">
        <v>152</v>
      </c>
      <c r="H3036" s="5" t="s">
        <v>8711</v>
      </c>
      <c r="I3036" s="5" t="s">
        <v>8799</v>
      </c>
      <c r="J3036" s="5" t="s">
        <v>8800</v>
      </c>
      <c r="K3036" s="7" t="str">
        <f ca="1">IFERROR(__xludf.DUMMYFUNCTION("GOOGLETRANSLATE(H3036,""EN"",""ES"")"),"EQUIPOS DE PROCESAMIENTO DE DATOS ASÍ COMO APARATOS Y DISPOSITIVOS PERIFÉRICOS")</f>
        <v>EQUIPOS DE PROCESAMIENTO DE DATOS ASÍ COMO APARATOS Y DISPOSITIVOS PERIFÉRICOS</v>
      </c>
      <c r="L3036" s="5" t="str">
        <f ca="1">IFERROR(__xludf.DUMMYFUNCTION("GOOGLETRANSLATE(J3036,""EN"",""ES"")"),"Marcos digitales")</f>
        <v>Marcos digitales</v>
      </c>
      <c r="M3036" s="10" t="s">
        <v>45</v>
      </c>
      <c r="N3036" s="8"/>
    </row>
    <row r="3037" spans="1:14" ht="11.25" customHeight="1">
      <c r="A3037" s="5" t="s">
        <v>8605</v>
      </c>
      <c r="B3037" s="5" t="s">
        <v>8709</v>
      </c>
      <c r="C3037" s="5" t="s">
        <v>8801</v>
      </c>
      <c r="D3037" s="5" t="s">
        <v>8608</v>
      </c>
      <c r="E3037" s="5" t="s">
        <v>44</v>
      </c>
      <c r="F3037" s="5" t="s">
        <v>8609</v>
      </c>
      <c r="G3037" s="5" t="s">
        <v>152</v>
      </c>
      <c r="H3037" s="5" t="s">
        <v>8711</v>
      </c>
      <c r="I3037" s="5" t="s">
        <v>8802</v>
      </c>
      <c r="J3037" s="5" t="s">
        <v>8803</v>
      </c>
      <c r="K3037" s="7" t="str">
        <f ca="1">IFERROR(__xludf.DUMMYFUNCTION("GOOGLETRANSLATE(H3037,""EN"",""ES"")"),"EQUIPOS DE PROCESAMIENTO DE DATOS ASÍ COMO APARATOS Y DISPOSITIVOS PERIFÉRICOS")</f>
        <v>EQUIPOS DE PROCESAMIENTO DE DATOS ASÍ COMO APARATOS Y DISPOSITIVOS PERIFÉRICOS</v>
      </c>
      <c r="L3037" s="5" t="str">
        <f ca="1">IFERROR(__xludf.DUMMYFUNCTION("GOOGLETRANSLATE(J3037,""EN"",""ES"")"),"Notebooks [computadoras portátiles]")</f>
        <v>Notebooks [computadoras portátiles]</v>
      </c>
      <c r="M3037" s="10" t="s">
        <v>45</v>
      </c>
      <c r="N3037" s="8"/>
    </row>
    <row r="3038" spans="1:14" ht="11.25" customHeight="1">
      <c r="A3038" s="5" t="s">
        <v>8605</v>
      </c>
      <c r="B3038" s="5" t="s">
        <v>8709</v>
      </c>
      <c r="C3038" s="5" t="s">
        <v>8804</v>
      </c>
      <c r="D3038" s="5" t="s">
        <v>8608</v>
      </c>
      <c r="E3038" s="5" t="s">
        <v>44</v>
      </c>
      <c r="F3038" s="5" t="s">
        <v>8609</v>
      </c>
      <c r="G3038" s="5" t="s">
        <v>152</v>
      </c>
      <c r="H3038" s="5" t="s">
        <v>8711</v>
      </c>
      <c r="I3038" s="5" t="s">
        <v>8805</v>
      </c>
      <c r="J3038" s="5" t="s">
        <v>8806</v>
      </c>
      <c r="K3038" s="7" t="str">
        <f ca="1">IFERROR(__xludf.DUMMYFUNCTION("GOOGLETRANSLATE(H3038,""EN"",""ES"")"),"EQUIPOS DE PROCESAMIENTO DE DATOS ASÍ COMO APARATOS Y DISPOSITIVOS PERIFÉRICOS")</f>
        <v>EQUIPOS DE PROCESAMIENTO DE DATOS ASÍ COMO APARATOS Y DISPOSITIVOS PERIFÉRICOS</v>
      </c>
      <c r="L3038" s="5" t="str">
        <f ca="1">IFERROR(__xludf.DUMMYFUNCTION("GOOGLETRANSLATE(J3038,""EN"",""ES"")"),"pantallas táctiles")</f>
        <v>pantallas táctiles</v>
      </c>
      <c r="M3038" s="10" t="s">
        <v>45</v>
      </c>
      <c r="N3038" s="8"/>
    </row>
    <row r="3039" spans="1:14" ht="11.25" customHeight="1">
      <c r="A3039" s="5" t="s">
        <v>8605</v>
      </c>
      <c r="B3039" s="5" t="s">
        <v>8709</v>
      </c>
      <c r="C3039" s="5" t="s">
        <v>8807</v>
      </c>
      <c r="D3039" s="5" t="s">
        <v>8608</v>
      </c>
      <c r="E3039" s="5" t="s">
        <v>44</v>
      </c>
      <c r="F3039" s="5" t="s">
        <v>8609</v>
      </c>
      <c r="G3039" s="5" t="s">
        <v>152</v>
      </c>
      <c r="H3039" s="5" t="s">
        <v>8711</v>
      </c>
      <c r="I3039" s="5" t="s">
        <v>8808</v>
      </c>
      <c r="J3039" s="5" t="s">
        <v>8809</v>
      </c>
      <c r="K3039" s="7" t="str">
        <f ca="1">IFERROR(__xludf.DUMMYFUNCTION("GOOGLETRANSLATE(H3039,""EN"",""ES"")"),"EQUIPOS DE PROCESAMIENTO DE DATOS ASÍ COMO APARATOS Y DISPOSITIVOS PERIFÉRICOS")</f>
        <v>EQUIPOS DE PROCESAMIENTO DE DATOS ASÍ COMO APARATOS Y DISPOSITIVOS PERIFÉRICOS</v>
      </c>
      <c r="L3039" s="5" t="str">
        <f ca="1">IFERROR(__xludf.DUMMYFUNCTION("GOOGLETRANSLATE(J3039,""EN"",""ES"")"),"Terminales con pantallas para acceso a Internet")</f>
        <v>Terminales con pantallas para acceso a Internet</v>
      </c>
      <c r="M3039" s="10" t="s">
        <v>45</v>
      </c>
      <c r="N3039" s="8"/>
    </row>
    <row r="3040" spans="1:14" ht="11.25" customHeight="1">
      <c r="A3040" s="5" t="s">
        <v>8605</v>
      </c>
      <c r="B3040" s="5" t="s">
        <v>8709</v>
      </c>
      <c r="C3040" s="5" t="s">
        <v>8810</v>
      </c>
      <c r="D3040" s="5" t="s">
        <v>8608</v>
      </c>
      <c r="E3040" s="5" t="s">
        <v>44</v>
      </c>
      <c r="F3040" s="5" t="s">
        <v>8609</v>
      </c>
      <c r="G3040" s="5" t="s">
        <v>152</v>
      </c>
      <c r="H3040" s="5" t="s">
        <v>8711</v>
      </c>
      <c r="I3040" s="5" t="s">
        <v>8811</v>
      </c>
      <c r="J3040" s="5" t="s">
        <v>8812</v>
      </c>
      <c r="K3040" s="7" t="str">
        <f ca="1">IFERROR(__xludf.DUMMYFUNCTION("GOOGLETRANSLATE(H3040,""EN"",""ES"")"),"EQUIPOS DE PROCESAMIENTO DE DATOS ASÍ COMO APARATOS Y DISPOSITIVOS PERIFÉRICOS")</f>
        <v>EQUIPOS DE PROCESAMIENTO DE DATOS ASÍ COMO APARATOS Y DISPOSITIVOS PERIFÉRICOS</v>
      </c>
      <c r="L3040" s="5" t="str">
        <f ca="1">IFERROR(__xludf.DUMMYFUNCTION("GOOGLETRANSLATE(J3040,""EN"",""ES"")"),"Computadoras de mano")</f>
        <v>Computadoras de mano</v>
      </c>
      <c r="M3040" s="10" t="s">
        <v>45</v>
      </c>
      <c r="N3040" s="8"/>
    </row>
    <row r="3041" spans="1:14" ht="11.25" customHeight="1">
      <c r="A3041" s="5" t="s">
        <v>8605</v>
      </c>
      <c r="B3041" s="5" t="s">
        <v>8709</v>
      </c>
      <c r="C3041" s="5" t="s">
        <v>8813</v>
      </c>
      <c r="D3041" s="5" t="s">
        <v>8608</v>
      </c>
      <c r="E3041" s="5" t="s">
        <v>44</v>
      </c>
      <c r="F3041" s="5" t="s">
        <v>8609</v>
      </c>
      <c r="G3041" s="5" t="s">
        <v>152</v>
      </c>
      <c r="H3041" s="5" t="s">
        <v>8711</v>
      </c>
      <c r="I3041" s="5" t="s">
        <v>8814</v>
      </c>
      <c r="J3041" s="5" t="s">
        <v>8815</v>
      </c>
      <c r="K3041" s="7" t="str">
        <f ca="1">IFERROR(__xludf.DUMMYFUNCTION("GOOGLETRANSLATE(H3041,""EN"",""ES"")"),"EQUIPOS DE PROCESAMIENTO DE DATOS ASÍ COMO APARATOS Y DISPOSITIVOS PERIFÉRICOS")</f>
        <v>EQUIPOS DE PROCESAMIENTO DE DATOS ASÍ COMO APARATOS Y DISPOSITIVOS PERIFÉRICOS</v>
      </c>
      <c r="L3041" s="5" t="str">
        <f ca="1">IFERROR(__xludf.DUMMYFUNCTION("GOOGLETRANSLATE(J3041,""EN"",""ES"")"),"Dispositivos de transmisión de datos [procesamiento de datos]")</f>
        <v>Dispositivos de transmisión de datos [procesamiento de datos]</v>
      </c>
      <c r="M3041" s="10" t="s">
        <v>45</v>
      </c>
      <c r="N3041" s="8"/>
    </row>
    <row r="3042" spans="1:14" ht="11.25" customHeight="1">
      <c r="A3042" s="5" t="s">
        <v>8605</v>
      </c>
      <c r="B3042" s="5" t="s">
        <v>8709</v>
      </c>
      <c r="C3042" s="5" t="s">
        <v>8816</v>
      </c>
      <c r="D3042" s="5" t="s">
        <v>8608</v>
      </c>
      <c r="E3042" s="5" t="s">
        <v>44</v>
      </c>
      <c r="F3042" s="5" t="s">
        <v>8609</v>
      </c>
      <c r="G3042" s="5" t="s">
        <v>152</v>
      </c>
      <c r="H3042" s="5" t="s">
        <v>8711</v>
      </c>
      <c r="I3042" s="5" t="s">
        <v>8817</v>
      </c>
      <c r="J3042" s="5" t="s">
        <v>8818</v>
      </c>
      <c r="K3042" s="7" t="str">
        <f ca="1">IFERROR(__xludf.DUMMYFUNCTION("GOOGLETRANSLATE(H3042,""EN"",""ES"")"),"EQUIPOS DE PROCESAMIENTO DE DATOS ASÍ COMO APARATOS Y DISPOSITIVOS PERIFÉRICOS")</f>
        <v>EQUIPOS DE PROCESAMIENTO DE DATOS ASÍ COMO APARATOS Y DISPOSITIVOS PERIFÉRICOS</v>
      </c>
      <c r="L3042" s="5" t="str">
        <f ca="1">IFERROR(__xludf.DUMMYFUNCTION("GOOGLETRANSLATE(J3042,""EN"",""ES"")"),"Lectores de libros electrónicos")</f>
        <v>Lectores de libros electrónicos</v>
      </c>
      <c r="M3042" s="10" t="s">
        <v>45</v>
      </c>
      <c r="N3042" s="8"/>
    </row>
    <row r="3043" spans="1:14" ht="11.25" customHeight="1">
      <c r="A3043" s="5" t="s">
        <v>8605</v>
      </c>
      <c r="B3043" s="5" t="s">
        <v>8709</v>
      </c>
      <c r="C3043" s="5" t="s">
        <v>8819</v>
      </c>
      <c r="D3043" s="5" t="s">
        <v>8608</v>
      </c>
      <c r="E3043" s="5" t="s">
        <v>44</v>
      </c>
      <c r="F3043" s="5" t="s">
        <v>8609</v>
      </c>
      <c r="G3043" s="5" t="s">
        <v>152</v>
      </c>
      <c r="H3043" s="5" t="s">
        <v>8711</v>
      </c>
      <c r="I3043" s="5" t="s">
        <v>8820</v>
      </c>
      <c r="J3043" s="5" t="s">
        <v>8821</v>
      </c>
      <c r="K3043" s="7" t="str">
        <f ca="1">IFERROR(__xludf.DUMMYFUNCTION("GOOGLETRANSLATE(H3043,""EN"",""ES"")"),"EQUIPOS DE PROCESAMIENTO DE DATOS ASÍ COMO APARATOS Y DISPOSITIVOS PERIFÉRICOS")</f>
        <v>EQUIPOS DE PROCESAMIENTO DE DATOS ASÍ COMO APARATOS Y DISPOSITIVOS PERIFÉRICOS</v>
      </c>
      <c r="L3043" s="5" t="str">
        <f ca="1">IFERROR(__xludf.DUMMYFUNCTION("GOOGLETRANSLATE(J3043,""EN"",""ES"")"),"Bolígrafos para leer y hablar")</f>
        <v>Bolígrafos para leer y hablar</v>
      </c>
      <c r="M3043" s="10" t="s">
        <v>45</v>
      </c>
      <c r="N3043" s="8"/>
    </row>
    <row r="3044" spans="1:14" ht="11.25" customHeight="1">
      <c r="A3044" s="5" t="s">
        <v>8605</v>
      </c>
      <c r="B3044" s="5" t="s">
        <v>8709</v>
      </c>
      <c r="C3044" s="5" t="s">
        <v>8822</v>
      </c>
      <c r="D3044" s="5" t="s">
        <v>8608</v>
      </c>
      <c r="E3044" s="5" t="s">
        <v>44</v>
      </c>
      <c r="F3044" s="5" t="s">
        <v>8609</v>
      </c>
      <c r="G3044" s="5" t="s">
        <v>152</v>
      </c>
      <c r="H3044" s="5" t="s">
        <v>8711</v>
      </c>
      <c r="I3044" s="5" t="s">
        <v>8823</v>
      </c>
      <c r="J3044" s="5" t="s">
        <v>8824</v>
      </c>
      <c r="K3044" s="7" t="str">
        <f ca="1">IFERROR(__xludf.DUMMYFUNCTION("GOOGLETRANSLATE(H3044,""EN"",""ES"")"),"EQUIPOS DE PROCESAMIENTO DE DATOS ASÍ COMO APARATOS Y DISPOSITIVOS PERIFÉRICOS")</f>
        <v>EQUIPOS DE PROCESAMIENTO DE DATOS ASÍ COMO APARATOS Y DISPOSITIVOS PERIFÉRICOS</v>
      </c>
      <c r="L3044" s="5" t="str">
        <f ca="1">IFERROR(__xludf.DUMMYFUNCTION("GOOGLETRANSLATE(J3044,""EN"",""ES"")"),"Tabletas")</f>
        <v>Tabletas</v>
      </c>
      <c r="M3044" s="10" t="s">
        <v>45</v>
      </c>
      <c r="N3044" s="8"/>
    </row>
    <row r="3045" spans="1:14" ht="11.25" customHeight="1">
      <c r="A3045" s="5" t="s">
        <v>8605</v>
      </c>
      <c r="B3045" s="5" t="s">
        <v>8709</v>
      </c>
      <c r="C3045" s="5" t="s">
        <v>8825</v>
      </c>
      <c r="D3045" s="5" t="s">
        <v>8608</v>
      </c>
      <c r="E3045" s="5" t="s">
        <v>44</v>
      </c>
      <c r="F3045" s="5" t="s">
        <v>8609</v>
      </c>
      <c r="G3045" s="5" t="s">
        <v>152</v>
      </c>
      <c r="H3045" s="5" t="s">
        <v>8711</v>
      </c>
      <c r="I3045" s="5" t="s">
        <v>8826</v>
      </c>
      <c r="J3045" s="5" t="s">
        <v>8827</v>
      </c>
      <c r="K3045" s="7" t="str">
        <f ca="1">IFERROR(__xludf.DUMMYFUNCTION("GOOGLETRANSLATE(H3045,""EN"",""ES"")"),"EQUIPOS DE PROCESAMIENTO DE DATOS ASÍ COMO APARATOS Y DISPOSITIVOS PERIFÉRICOS")</f>
        <v>EQUIPOS DE PROCESAMIENTO DE DATOS ASÍ COMO APARATOS Y DISPOSITIVOS PERIFÉRICOS</v>
      </c>
      <c r="L3045" s="5" t="str">
        <f ca="1">IFERROR(__xludf.DUMMYFUNCTION("GOOGLETRANSLATE(J3045,""EN"",""ES"")"),"Tabletas de muñeca")</f>
        <v>Tabletas de muñeca</v>
      </c>
      <c r="M3045" s="10" t="s">
        <v>45</v>
      </c>
      <c r="N3045" s="8"/>
    </row>
    <row r="3046" spans="1:14" ht="11.25" customHeight="1">
      <c r="A3046" s="5" t="s">
        <v>8605</v>
      </c>
      <c r="B3046" s="5" t="s">
        <v>8709</v>
      </c>
      <c r="C3046" s="5" t="s">
        <v>8828</v>
      </c>
      <c r="D3046" s="5" t="s">
        <v>8608</v>
      </c>
      <c r="E3046" s="5" t="s">
        <v>44</v>
      </c>
      <c r="F3046" s="5" t="s">
        <v>8609</v>
      </c>
      <c r="G3046" s="5" t="s">
        <v>152</v>
      </c>
      <c r="H3046" s="5" t="s">
        <v>8711</v>
      </c>
      <c r="I3046" s="5" t="s">
        <v>8829</v>
      </c>
      <c r="J3046" s="5" t="s">
        <v>8830</v>
      </c>
      <c r="K3046" s="7" t="str">
        <f ca="1">IFERROR(__xludf.DUMMYFUNCTION("GOOGLETRANSLATE(H3046,""EN"",""ES"")"),"EQUIPOS DE PROCESAMIENTO DE DATOS ASÍ COMO APARATOS Y DISPOSITIVOS PERIFÉRICOS")</f>
        <v>EQUIPOS DE PROCESAMIENTO DE DATOS ASÍ COMO APARATOS Y DISPOSITIVOS PERIFÉRICOS</v>
      </c>
      <c r="L3046" s="5" t="str">
        <f ca="1">IFERROR(__xludf.DUMMYFUNCTION("GOOGLETRANSLATE(J3046,""EN"",""ES"")"),"Terminales de punto de venta [POS]")</f>
        <v>Terminales de punto de venta [POS]</v>
      </c>
      <c r="M3046" s="10" t="s">
        <v>45</v>
      </c>
      <c r="N3046" s="8"/>
    </row>
    <row r="3047" spans="1:14" ht="11.25" customHeight="1">
      <c r="A3047" s="5" t="s">
        <v>8605</v>
      </c>
      <c r="B3047" s="5" t="s">
        <v>8709</v>
      </c>
      <c r="C3047" s="5" t="s">
        <v>8831</v>
      </c>
      <c r="D3047" s="5" t="s">
        <v>8608</v>
      </c>
      <c r="E3047" s="5" t="s">
        <v>44</v>
      </c>
      <c r="F3047" s="5" t="s">
        <v>8609</v>
      </c>
      <c r="G3047" s="5" t="s">
        <v>152</v>
      </c>
      <c r="H3047" s="5" t="s">
        <v>8711</v>
      </c>
      <c r="I3047" s="5" t="s">
        <v>8832</v>
      </c>
      <c r="J3047" s="5" t="s">
        <v>8833</v>
      </c>
      <c r="K3047" s="7" t="str">
        <f ca="1">IFERROR(__xludf.DUMMYFUNCTION("GOOGLETRANSLATE(H3047,""EN"",""ES"")"),"EQUIPOS DE PROCESAMIENTO DE DATOS ASÍ COMO APARATOS Y DISPOSITIVOS PERIFÉRICOS")</f>
        <v>EQUIPOS DE PROCESAMIENTO DE DATOS ASÍ COMO APARATOS Y DISPOSITIVOS PERIFÉRICOS</v>
      </c>
      <c r="L3047" s="5" t="str">
        <f ca="1">IFERROR(__xludf.DUMMYFUNCTION("GOOGLETRANSLATE(J3047,""EN"",""ES"")"),"Tokens de seguridad [dispositivos de cifrado]")</f>
        <v>Tokens de seguridad [dispositivos de cifrado]</v>
      </c>
      <c r="M3047" s="10" t="s">
        <v>45</v>
      </c>
      <c r="N3047" s="8"/>
    </row>
    <row r="3048" spans="1:14" ht="11.25" customHeight="1">
      <c r="A3048" s="5" t="s">
        <v>8605</v>
      </c>
      <c r="B3048" s="5" t="s">
        <v>8709</v>
      </c>
      <c r="C3048" s="5" t="s">
        <v>8834</v>
      </c>
      <c r="D3048" s="5" t="s">
        <v>8608</v>
      </c>
      <c r="E3048" s="5" t="s">
        <v>44</v>
      </c>
      <c r="F3048" s="5" t="s">
        <v>8609</v>
      </c>
      <c r="G3048" s="5" t="s">
        <v>152</v>
      </c>
      <c r="H3048" s="5" t="s">
        <v>8711</v>
      </c>
      <c r="I3048" s="5" t="s">
        <v>8835</v>
      </c>
      <c r="J3048" s="5" t="s">
        <v>8836</v>
      </c>
      <c r="K3048" s="7" t="str">
        <f ca="1">IFERROR(__xludf.DUMMYFUNCTION("GOOGLETRANSLATE(H3048,""EN"",""ES"")"),"EQUIPOS DE PROCESAMIENTO DE DATOS ASÍ COMO APARATOS Y DISPOSITIVOS PERIFÉRICOS")</f>
        <v>EQUIPOS DE PROCESAMIENTO DE DATOS ASÍ COMO APARATOS Y DISPOSITIVOS PERIFÉRICOS</v>
      </c>
      <c r="L3048" s="5" t="str">
        <f ca="1">IFERROR(__xludf.DUMMYFUNCTION("GOOGLETRANSLATE(J3048,""EN"",""ES"")"),"Impresoras multifunción")</f>
        <v>Impresoras multifunción</v>
      </c>
      <c r="M3048" s="10" t="s">
        <v>45</v>
      </c>
      <c r="N3048" s="8"/>
    </row>
    <row r="3049" spans="1:14" ht="11.25" customHeight="1">
      <c r="A3049" s="5" t="s">
        <v>8605</v>
      </c>
      <c r="B3049" s="5" t="s">
        <v>8709</v>
      </c>
      <c r="C3049" s="5" t="s">
        <v>8837</v>
      </c>
      <c r="D3049" s="5" t="s">
        <v>8608</v>
      </c>
      <c r="E3049" s="5" t="s">
        <v>44</v>
      </c>
      <c r="F3049" s="5" t="s">
        <v>8609</v>
      </c>
      <c r="G3049" s="5" t="s">
        <v>152</v>
      </c>
      <c r="H3049" s="5" t="s">
        <v>8711</v>
      </c>
      <c r="I3049" s="5" t="s">
        <v>8838</v>
      </c>
      <c r="J3049" s="5" t="s">
        <v>8839</v>
      </c>
      <c r="K3049" s="7" t="str">
        <f ca="1">IFERROR(__xludf.DUMMYFUNCTION("GOOGLETRANSLATE(H3049,""EN"",""ES"")"),"EQUIPOS DE PROCESAMIENTO DE DATOS ASÍ COMO APARATOS Y DISPOSITIVOS PERIFÉRICOS")</f>
        <v>EQUIPOS DE PROCESAMIENTO DE DATOS ASÍ COMO APARATOS Y DISPOSITIVOS PERIFÉRICOS</v>
      </c>
      <c r="L3049" s="5" t="str">
        <f ca="1">IFERROR(__xludf.DUMMYFUNCTION("GOOGLETRANSLATE(J3049,""EN"",""ES"")"),"Teclas para teclados de computadora")</f>
        <v>Teclas para teclados de computadora</v>
      </c>
      <c r="M3049" s="10" t="s">
        <v>45</v>
      </c>
      <c r="N3049" s="8"/>
    </row>
    <row r="3050" spans="1:14" ht="11.25" customHeight="1">
      <c r="A3050" s="5" t="s">
        <v>8605</v>
      </c>
      <c r="B3050" s="5" t="s">
        <v>8709</v>
      </c>
      <c r="C3050" s="5" t="s">
        <v>8840</v>
      </c>
      <c r="D3050" s="5" t="s">
        <v>8608</v>
      </c>
      <c r="E3050" s="5" t="s">
        <v>44</v>
      </c>
      <c r="F3050" s="5" t="s">
        <v>8609</v>
      </c>
      <c r="G3050" s="5" t="s">
        <v>152</v>
      </c>
      <c r="H3050" s="5" t="s">
        <v>8711</v>
      </c>
      <c r="I3050" s="5" t="s">
        <v>8841</v>
      </c>
      <c r="J3050" s="5" t="s">
        <v>8842</v>
      </c>
      <c r="K3050" s="7" t="str">
        <f ca="1">IFERROR(__xludf.DUMMYFUNCTION("GOOGLETRANSLATE(H3050,""EN"",""ES"")"),"EQUIPOS DE PROCESAMIENTO DE DATOS ASÍ COMO APARATOS Y DISPOSITIVOS PERIFÉRICOS")</f>
        <v>EQUIPOS DE PROCESAMIENTO DE DATOS ASÍ COMO APARATOS Y DISPOSITIVOS PERIFÉRICOS</v>
      </c>
      <c r="L3050" s="5" t="str">
        <f ca="1">IFERROR(__xludf.DUMMYFUNCTION("GOOGLETRANSLATE(J3050,""EN"",""ES"")"),"Escáneres de ratón [procesamiento de datos]")</f>
        <v>Escáneres de ratón [procesamiento de datos]</v>
      </c>
      <c r="M3050" s="10" t="s">
        <v>45</v>
      </c>
      <c r="N3050" s="8"/>
    </row>
    <row r="3051" spans="1:14" ht="11.25" customHeight="1">
      <c r="A3051" s="5" t="s">
        <v>8605</v>
      </c>
      <c r="B3051" s="5" t="s">
        <v>8709</v>
      </c>
      <c r="C3051" s="5" t="s">
        <v>8843</v>
      </c>
      <c r="D3051" s="5" t="s">
        <v>8608</v>
      </c>
      <c r="E3051" s="5" t="s">
        <v>44</v>
      </c>
      <c r="F3051" s="5" t="s">
        <v>8609</v>
      </c>
      <c r="G3051" s="5" t="s">
        <v>152</v>
      </c>
      <c r="H3051" s="5" t="s">
        <v>8711</v>
      </c>
      <c r="I3051" s="5" t="s">
        <v>8844</v>
      </c>
      <c r="J3051" s="5" t="s">
        <v>8845</v>
      </c>
      <c r="K3051" s="7" t="str">
        <f ca="1">IFERROR(__xludf.DUMMYFUNCTION("GOOGLETRANSLATE(H3051,""EN"",""ES"")"),"EQUIPOS DE PROCESAMIENTO DE DATOS ASÍ COMO APARATOS Y DISPOSITIVOS PERIFÉRICOS")</f>
        <v>EQUIPOS DE PROCESAMIENTO DE DATOS ASÍ COMO APARATOS Y DISPOSITIVOS PERIFÉRICOS</v>
      </c>
      <c r="L3051" s="5" t="str">
        <f ca="1">IFERROR(__xludf.DUMMYFUNCTION("GOOGLETRANSLATE(J3051,""EN"",""ES"")"),"Escáneres de diapositivas [procesamiento de datos]")</f>
        <v>Escáneres de diapositivas [procesamiento de datos]</v>
      </c>
      <c r="M3051" s="10" t="s">
        <v>45</v>
      </c>
      <c r="N3051" s="8"/>
    </row>
    <row r="3052" spans="1:14" ht="11.25" customHeight="1">
      <c r="A3052" s="5" t="s">
        <v>8605</v>
      </c>
      <c r="B3052" s="5" t="s">
        <v>8709</v>
      </c>
      <c r="C3052" s="5" t="s">
        <v>8846</v>
      </c>
      <c r="D3052" s="5" t="s">
        <v>8608</v>
      </c>
      <c r="E3052" s="5" t="s">
        <v>44</v>
      </c>
      <c r="F3052" s="5" t="s">
        <v>8609</v>
      </c>
      <c r="G3052" s="5" t="s">
        <v>152</v>
      </c>
      <c r="H3052" s="5" t="s">
        <v>8711</v>
      </c>
      <c r="I3052" s="5" t="s">
        <v>8847</v>
      </c>
      <c r="J3052" s="5" t="s">
        <v>8848</v>
      </c>
      <c r="K3052" s="7" t="str">
        <f ca="1">IFERROR(__xludf.DUMMYFUNCTION("GOOGLETRANSLATE(H3052,""EN"",""ES"")"),"EQUIPOS DE PROCESAMIENTO DE DATOS ASÍ COMO APARATOS Y DISPOSITIVOS PERIFÉRICOS")</f>
        <v>EQUIPOS DE PROCESAMIENTO DE DATOS ASÍ COMO APARATOS Y DISPOSITIVOS PERIFÉRICOS</v>
      </c>
      <c r="L3052" s="5" t="str">
        <f ca="1">IFERROR(__xludf.DUMMYFUNCTION("GOOGLETRANSLATE(J3052,""EN"",""ES"")"),"Detectores somatosensoriales [interfaces de computadora]")</f>
        <v>Detectores somatosensoriales [interfaces de computadora]</v>
      </c>
      <c r="M3052" s="10" t="s">
        <v>45</v>
      </c>
      <c r="N3052" s="8"/>
    </row>
    <row r="3053" spans="1:14" ht="11.25" customHeight="1">
      <c r="A3053" s="5" t="s">
        <v>8605</v>
      </c>
      <c r="B3053" s="5" t="s">
        <v>8709</v>
      </c>
      <c r="C3053" s="5" t="s">
        <v>8849</v>
      </c>
      <c r="D3053" s="5" t="s">
        <v>8608</v>
      </c>
      <c r="E3053" s="5" t="s">
        <v>44</v>
      </c>
      <c r="F3053" s="5" t="s">
        <v>8609</v>
      </c>
      <c r="G3053" s="5" t="s">
        <v>152</v>
      </c>
      <c r="H3053" s="5" t="s">
        <v>8711</v>
      </c>
      <c r="I3053" s="5" t="s">
        <v>8850</v>
      </c>
      <c r="J3053" s="5" t="s">
        <v>8851</v>
      </c>
      <c r="K3053" s="7" t="str">
        <f ca="1">IFERROR(__xludf.DUMMYFUNCTION("GOOGLETRANSLATE(H3053,""EN"",""ES"")"),"EQUIPOS DE PROCESAMIENTO DE DATOS ASÍ COMO APARATOS Y DISPOSITIVOS PERIFÉRICOS")</f>
        <v>EQUIPOS DE PROCESAMIENTO DE DATOS ASÍ COMO APARATOS Y DISPOSITIVOS PERIFÉRICOS</v>
      </c>
      <c r="L3053" s="5" t="str">
        <f ca="1">IFERROR(__xludf.DUMMYFUNCTION("GOOGLETRANSLATE(J3053,""EN"",""ES"")"),"Dispositivos para la proyección de teclados virtuales.")</f>
        <v>Dispositivos para la proyección de teclados virtuales.</v>
      </c>
      <c r="M3053" s="10" t="s">
        <v>45</v>
      </c>
      <c r="N3053" s="8"/>
    </row>
    <row r="3054" spans="1:14" ht="11.25" customHeight="1">
      <c r="A3054" s="5" t="s">
        <v>8605</v>
      </c>
      <c r="B3054" s="5" t="s">
        <v>8709</v>
      </c>
      <c r="C3054" s="5" t="s">
        <v>8852</v>
      </c>
      <c r="D3054" s="5" t="s">
        <v>8608</v>
      </c>
      <c r="E3054" s="5" t="s">
        <v>44</v>
      </c>
      <c r="F3054" s="5" t="s">
        <v>8609</v>
      </c>
      <c r="G3054" s="5" t="s">
        <v>152</v>
      </c>
      <c r="H3054" s="5" t="s">
        <v>8711</v>
      </c>
      <c r="I3054" s="5" t="s">
        <v>8853</v>
      </c>
      <c r="J3054" s="5" t="s">
        <v>8854</v>
      </c>
      <c r="K3054" s="7" t="str">
        <f ca="1">IFERROR(__xludf.DUMMYFUNCTION("GOOGLETRANSLATE(H3054,""EN"",""ES"")"),"EQUIPOS DE PROCESAMIENTO DE DATOS ASÍ COMO APARATOS Y DISPOSITIVOS PERIFÉRICOS")</f>
        <v>EQUIPOS DE PROCESAMIENTO DE DATOS ASÍ COMO APARATOS Y DISPOSITIVOS PERIFÉRICOS</v>
      </c>
      <c r="L3054" s="5" t="str">
        <f ca="1">IFERROR(__xludf.DUMMYFUNCTION("GOOGLETRANSLATE(J3054,""EN"",""ES"")"),"cascos de realidad virtual")</f>
        <v>cascos de realidad virtual</v>
      </c>
      <c r="M3054" s="10" t="s">
        <v>45</v>
      </c>
      <c r="N3054" s="8"/>
    </row>
    <row r="3055" spans="1:14" ht="11.25" customHeight="1">
      <c r="A3055" s="5" t="s">
        <v>8605</v>
      </c>
      <c r="B3055" s="5" t="s">
        <v>8709</v>
      </c>
      <c r="C3055" s="5" t="s">
        <v>8855</v>
      </c>
      <c r="D3055" s="5" t="s">
        <v>8608</v>
      </c>
      <c r="E3055" s="5" t="s">
        <v>44</v>
      </c>
      <c r="F3055" s="5" t="s">
        <v>8609</v>
      </c>
      <c r="G3055" s="5" t="s">
        <v>152</v>
      </c>
      <c r="H3055" s="5" t="s">
        <v>8711</v>
      </c>
      <c r="I3055" s="5" t="s">
        <v>8856</v>
      </c>
      <c r="J3055" s="5" t="s">
        <v>8857</v>
      </c>
      <c r="K3055" s="7" t="str">
        <f ca="1">IFERROR(__xludf.DUMMYFUNCTION("GOOGLETRANSLATE(H3055,""EN"",""ES"")"),"EQUIPOS DE PROCESAMIENTO DE DATOS ASÍ COMO APARATOS Y DISPOSITIVOS PERIFÉRICOS")</f>
        <v>EQUIPOS DE PROCESAMIENTO DE DATOS ASÍ COMO APARATOS Y DISPOSITIVOS PERIFÉRICOS</v>
      </c>
      <c r="L3055" s="5" t="str">
        <f ca="1">IFERROR(__xludf.DUMMYFUNCTION("GOOGLETRANSLATE(J3055,""EN"",""ES"")"),"gafas de realidad virtual")</f>
        <v>gafas de realidad virtual</v>
      </c>
      <c r="M3055" s="10" t="s">
        <v>45</v>
      </c>
      <c r="N3055" s="8"/>
    </row>
    <row r="3056" spans="1:14" ht="11.25" customHeight="1">
      <c r="A3056" s="5" t="s">
        <v>8605</v>
      </c>
      <c r="B3056" s="5" t="s">
        <v>8709</v>
      </c>
      <c r="C3056" s="5" t="s">
        <v>8858</v>
      </c>
      <c r="D3056" s="5" t="s">
        <v>8608</v>
      </c>
      <c r="E3056" s="5" t="s">
        <v>44</v>
      </c>
      <c r="F3056" s="5" t="s">
        <v>8609</v>
      </c>
      <c r="G3056" s="5" t="s">
        <v>152</v>
      </c>
      <c r="H3056" s="5" t="s">
        <v>8711</v>
      </c>
      <c r="I3056" s="5" t="s">
        <v>8859</v>
      </c>
      <c r="J3056" s="5" t="s">
        <v>8860</v>
      </c>
      <c r="K3056" s="7" t="str">
        <f ca="1">IFERROR(__xludf.DUMMYFUNCTION("GOOGLETRANSLATE(H3056,""EN"",""ES"")"),"EQUIPOS DE PROCESAMIENTO DE DATOS ASÍ COMO APARATOS Y DISPOSITIVOS PERIFÉRICOS")</f>
        <v>EQUIPOS DE PROCESAMIENTO DE DATOS ASÍ COMO APARATOS Y DISPOSITIVOS PERIFÉRICOS</v>
      </c>
      <c r="L3056" s="5" t="str">
        <f ca="1">IFERROR(__xludf.DUMMYFUNCTION("GOOGLETRANSLATE(J3056,""EN"",""ES"")"),"Carteras de criptomonedas")</f>
        <v>Carteras de criptomonedas</v>
      </c>
      <c r="M3056" s="10" t="s">
        <v>45</v>
      </c>
      <c r="N3056" s="8"/>
    </row>
    <row r="3057" spans="1:14" ht="11.25" customHeight="1">
      <c r="A3057" s="5" t="s">
        <v>8605</v>
      </c>
      <c r="B3057" s="5" t="s">
        <v>8709</v>
      </c>
      <c r="C3057" s="5" t="s">
        <v>8861</v>
      </c>
      <c r="D3057" s="5" t="s">
        <v>8608</v>
      </c>
      <c r="E3057" s="5" t="s">
        <v>44</v>
      </c>
      <c r="F3057" s="5" t="s">
        <v>8609</v>
      </c>
      <c r="G3057" s="5" t="s">
        <v>152</v>
      </c>
      <c r="H3057" s="5" t="s">
        <v>8711</v>
      </c>
      <c r="I3057" s="5" t="s">
        <v>8862</v>
      </c>
      <c r="J3057" s="5" t="s">
        <v>8863</v>
      </c>
      <c r="K3057" s="7" t="str">
        <f ca="1">IFERROR(__xludf.DUMMYFUNCTION("GOOGLETRANSLATE(H3057,""EN"",""ES"")"),"EQUIPOS DE PROCESAMIENTO DE DATOS ASÍ COMO APARATOS Y DISPOSITIVOS PERIFÉRICOS")</f>
        <v>EQUIPOS DE PROCESAMIENTO DE DATOS ASÍ COMO APARATOS Y DISPOSITIVOS PERIFÉRICOS</v>
      </c>
      <c r="L3057" s="5" t="str">
        <f ca="1">IFERROR(__xludf.DUMMYFUNCTION("GOOGLETRANSLATE(J3057,""EN"",""ES"")"),"Terminales para recarga de tarjetas de pago electrónico")</f>
        <v>Terminales para recarga de tarjetas de pago electrónico</v>
      </c>
      <c r="M3057" s="10" t="s">
        <v>45</v>
      </c>
      <c r="N3057" s="8"/>
    </row>
    <row r="3058" spans="1:14" ht="11.25" customHeight="1">
      <c r="A3058" s="5" t="s">
        <v>8605</v>
      </c>
      <c r="B3058" s="5" t="s">
        <v>8709</v>
      </c>
      <c r="C3058" s="5" t="s">
        <v>8864</v>
      </c>
      <c r="D3058" s="5" t="s">
        <v>8608</v>
      </c>
      <c r="E3058" s="5" t="s">
        <v>44</v>
      </c>
      <c r="F3058" s="5" t="s">
        <v>8609</v>
      </c>
      <c r="G3058" s="5" t="s">
        <v>152</v>
      </c>
      <c r="H3058" s="5" t="s">
        <v>8711</v>
      </c>
      <c r="I3058" s="5" t="s">
        <v>8865</v>
      </c>
      <c r="J3058" s="5" t="s">
        <v>8866</v>
      </c>
      <c r="K3058" s="7" t="str">
        <f ca="1">IFERROR(__xludf.DUMMYFUNCTION("GOOGLETRANSLATE(H3058,""EN"",""ES"")"),"EQUIPOS DE PROCESAMIENTO DE DATOS ASÍ COMO APARATOS Y DISPOSITIVOS PERIFÉRICOS")</f>
        <v>EQUIPOS DE PROCESAMIENTO DE DATOS ASÍ COMO APARATOS Y DISPOSITIVOS PERIFÉRICOS</v>
      </c>
      <c r="L3058" s="5" t="str">
        <f ca="1">IFERROR(__xludf.DUMMYFUNCTION("GOOGLETRANSLATE(J3058,""EN"",""ES"")"),"Dispositivos de captura de movimiento")</f>
        <v>Dispositivos de captura de movimiento</v>
      </c>
      <c r="M3058" s="10" t="s">
        <v>45</v>
      </c>
      <c r="N3058" s="8"/>
    </row>
    <row r="3059" spans="1:14" ht="11.25" customHeight="1">
      <c r="A3059" s="5" t="s">
        <v>8605</v>
      </c>
      <c r="B3059" s="5" t="s">
        <v>8709</v>
      </c>
      <c r="C3059" s="5" t="s">
        <v>8867</v>
      </c>
      <c r="D3059" s="5" t="s">
        <v>8608</v>
      </c>
      <c r="E3059" s="5" t="s">
        <v>44</v>
      </c>
      <c r="F3059" s="5" t="s">
        <v>8609</v>
      </c>
      <c r="G3059" s="5" t="s">
        <v>152</v>
      </c>
      <c r="H3059" s="5" t="s">
        <v>8711</v>
      </c>
      <c r="I3059" s="5" t="s">
        <v>8868</v>
      </c>
      <c r="J3059" s="5" t="s">
        <v>8869</v>
      </c>
      <c r="K3059" s="7" t="str">
        <f ca="1">IFERROR(__xludf.DUMMYFUNCTION("GOOGLETRANSLATE(H3059,""EN"",""ES"")"),"EQUIPOS DE PROCESAMIENTO DE DATOS ASÍ COMO APARATOS Y DISPOSITIVOS PERIFÉRICOS")</f>
        <v>EQUIPOS DE PROCESAMIENTO DE DATOS ASÍ COMO APARATOS Y DISPOSITIVOS PERIFÉRICOS</v>
      </c>
      <c r="L3059" s="5" t="str">
        <f ca="1">IFERROR(__xludf.DUMMYFUNCTION("GOOGLETRANSLATE(J3059,""EN"",""ES"")"),"bolígrafos inteligentes")</f>
        <v>bolígrafos inteligentes</v>
      </c>
      <c r="M3059" s="10" t="s">
        <v>45</v>
      </c>
    </row>
    <row r="3060" spans="1:14" ht="11.25" customHeight="1">
      <c r="A3060" s="5" t="s">
        <v>8605</v>
      </c>
      <c r="B3060" s="5" t="s">
        <v>8870</v>
      </c>
      <c r="C3060" s="5" t="s">
        <v>8871</v>
      </c>
      <c r="D3060" s="5" t="s">
        <v>8608</v>
      </c>
      <c r="E3060" s="5" t="s">
        <v>44</v>
      </c>
      <c r="F3060" s="5" t="s">
        <v>8609</v>
      </c>
      <c r="G3060" s="5" t="s">
        <v>152</v>
      </c>
      <c r="H3060" s="5" t="s">
        <v>8872</v>
      </c>
      <c r="I3060" s="5" t="s">
        <v>8873</v>
      </c>
      <c r="J3060" s="5" t="s">
        <v>8874</v>
      </c>
      <c r="K3060" s="7" t="str">
        <f ca="1">IFERROR(__xludf.DUMMYFUNCTION("GOOGLETRANSLATE(H3060,""EN"",""ES"")"),"EQUIPOS DE TELECOMUNICACIONES, CONTROLES REMOTOS INALÁMBRICOS Y AMPLIFICADORES DE RADIO")</f>
        <v>EQUIPOS DE TELECOMUNICACIONES, CONTROLES REMOTOS INALÁMBRICOS Y AMPLIFICADORES DE RADIO</v>
      </c>
      <c r="L3060" s="5" t="str">
        <f ca="1">IFERROR(__xludf.DUMMYFUNCTION("GOOGLETRANSLATE(J3060,""EN"",""ES"")"),"Relés telefónicos")</f>
        <v>Relés telefónicos</v>
      </c>
      <c r="M3060" s="10" t="s">
        <v>50</v>
      </c>
    </row>
    <row r="3061" spans="1:14" ht="11.25" customHeight="1">
      <c r="A3061" s="5" t="s">
        <v>8605</v>
      </c>
      <c r="B3061" s="5" t="s">
        <v>8870</v>
      </c>
      <c r="C3061" s="5" t="s">
        <v>8875</v>
      </c>
      <c r="D3061" s="5" t="s">
        <v>8608</v>
      </c>
      <c r="E3061" s="5" t="s">
        <v>44</v>
      </c>
      <c r="F3061" s="5" t="s">
        <v>8609</v>
      </c>
      <c r="G3061" s="5" t="s">
        <v>152</v>
      </c>
      <c r="H3061" s="5" t="s">
        <v>8872</v>
      </c>
      <c r="I3061" s="5" t="s">
        <v>8876</v>
      </c>
      <c r="J3061" s="5" t="s">
        <v>8877</v>
      </c>
      <c r="K3061" s="7" t="str">
        <f ca="1">IFERROR(__xludf.DUMMYFUNCTION("GOOGLETRANSLATE(H3061,""EN"",""ES"")"),"EQUIPOS DE TELECOMUNICACIONES, CONTROLES REMOTOS INALÁMBRICOS Y AMPLIFICADORES DE RADIO")</f>
        <v>EQUIPOS DE TELECOMUNICACIONES, CONTROLES REMOTOS INALÁMBRICOS Y AMPLIFICADORES DE RADIO</v>
      </c>
      <c r="L3061" s="5" t="str">
        <f ca="1">IFERROR(__xludf.DUMMYFUNCTION("GOOGLETRANSLATE(J3061,""EN"",""ES"")"),"amplificadores de sonido")</f>
        <v>amplificadores de sonido</v>
      </c>
      <c r="M3061" s="10" t="s">
        <v>50</v>
      </c>
    </row>
    <row r="3062" spans="1:14" ht="11.25" customHeight="1">
      <c r="A3062" s="5" t="s">
        <v>8605</v>
      </c>
      <c r="B3062" s="5" t="s">
        <v>8870</v>
      </c>
      <c r="C3062" s="5" t="s">
        <v>8878</v>
      </c>
      <c r="D3062" s="5" t="s">
        <v>8608</v>
      </c>
      <c r="E3062" s="5" t="s">
        <v>44</v>
      </c>
      <c r="F3062" s="5" t="s">
        <v>8609</v>
      </c>
      <c r="G3062" s="5" t="s">
        <v>152</v>
      </c>
      <c r="H3062" s="5" t="s">
        <v>8872</v>
      </c>
      <c r="I3062" s="5" t="s">
        <v>8879</v>
      </c>
      <c r="J3062" s="5" t="s">
        <v>8880</v>
      </c>
      <c r="K3062" s="7" t="str">
        <f ca="1">IFERROR(__xludf.DUMMYFUNCTION("GOOGLETRANSLATE(H3062,""EN"",""ES"")"),"EQUIPOS DE TELECOMUNICACIONES, CONTROLES REMOTOS INALÁMBRICOS Y AMPLIFICADORES DE RADIO")</f>
        <v>EQUIPOS DE TELECOMUNICACIONES, CONTROLES REMOTOS INALÁMBRICOS Y AMPLIFICADORES DE RADIO</v>
      </c>
      <c r="L3062" s="5" t="str">
        <f ca="1">IFERROR(__xludf.DUMMYFUNCTION("GOOGLETRANSLATE(J3062,""EN"",""ES"")"),"antenas de radio")</f>
        <v>antenas de radio</v>
      </c>
      <c r="M3062" s="10" t="s">
        <v>50</v>
      </c>
    </row>
    <row r="3063" spans="1:14" ht="11.25" customHeight="1">
      <c r="A3063" s="5" t="s">
        <v>8605</v>
      </c>
      <c r="B3063" s="5" t="s">
        <v>8870</v>
      </c>
      <c r="C3063" s="5" t="s">
        <v>8881</v>
      </c>
      <c r="D3063" s="5" t="s">
        <v>8608</v>
      </c>
      <c r="E3063" s="5" t="s">
        <v>44</v>
      </c>
      <c r="F3063" s="5" t="s">
        <v>8609</v>
      </c>
      <c r="G3063" s="5" t="s">
        <v>152</v>
      </c>
      <c r="H3063" s="5" t="s">
        <v>8872</v>
      </c>
      <c r="I3063" s="5" t="s">
        <v>8882</v>
      </c>
      <c r="J3063" s="5" t="s">
        <v>8883</v>
      </c>
      <c r="K3063" s="7" t="str">
        <f ca="1">IFERROR(__xludf.DUMMYFUNCTION("GOOGLETRANSLATE(H3063,""EN"",""ES"")"),"EQUIPOS DE TELECOMUNICACIONES, CONTROLES REMOTOS INALÁMBRICOS Y AMPLIFICADORES DE RADIO")</f>
        <v>EQUIPOS DE TELECOMUNICACIONES, CONTROLES REMOTOS INALÁMBRICOS Y AMPLIFICADORES DE RADIO</v>
      </c>
      <c r="L3063" s="5" t="str">
        <f ca="1">IFERROR(__xludf.DUMMYFUNCTION("GOOGLETRANSLATE(J3063,""EN"",""ES"")"),"antenas de television")</f>
        <v>antenas de television</v>
      </c>
      <c r="M3063" s="10" t="s">
        <v>50</v>
      </c>
    </row>
    <row r="3064" spans="1:14" ht="11.25" customHeight="1">
      <c r="A3064" s="5" t="s">
        <v>8605</v>
      </c>
      <c r="B3064" s="5" t="s">
        <v>8870</v>
      </c>
      <c r="C3064" s="5" t="s">
        <v>8884</v>
      </c>
      <c r="D3064" s="5" t="s">
        <v>8608</v>
      </c>
      <c r="E3064" s="5" t="s">
        <v>44</v>
      </c>
      <c r="F3064" s="5" t="s">
        <v>8609</v>
      </c>
      <c r="G3064" s="5" t="s">
        <v>152</v>
      </c>
      <c r="H3064" s="5" t="s">
        <v>8872</v>
      </c>
      <c r="I3064" s="5" t="s">
        <v>8885</v>
      </c>
      <c r="J3064" s="5" t="s">
        <v>8886</v>
      </c>
      <c r="K3064" s="7" t="str">
        <f ca="1">IFERROR(__xludf.DUMMYFUNCTION("GOOGLETRANSLATE(H3064,""EN"",""ES"")"),"EQUIPOS DE TELECOMUNICACIONES, CONTROLES REMOTOS INALÁMBRICOS Y AMPLIFICADORES DE RADIO")</f>
        <v>EQUIPOS DE TELECOMUNICACIONES, CONTROLES REMOTOS INALÁMBRICOS Y AMPLIFICADORES DE RADIO</v>
      </c>
      <c r="L3064" s="5" t="str">
        <f ca="1">IFERROR(__xludf.DUMMYFUNCTION("GOOGLETRANSLATE(J3064,""EN"",""ES"")"),"Antenas para vehiculos")</f>
        <v>Antenas para vehiculos</v>
      </c>
      <c r="M3064" s="10" t="s">
        <v>50</v>
      </c>
    </row>
    <row r="3065" spans="1:14" ht="11.25" customHeight="1">
      <c r="A3065" s="5" t="s">
        <v>8605</v>
      </c>
      <c r="B3065" s="5" t="s">
        <v>8870</v>
      </c>
      <c r="C3065" s="5" t="s">
        <v>8887</v>
      </c>
      <c r="D3065" s="5" t="s">
        <v>8608</v>
      </c>
      <c r="E3065" s="5" t="s">
        <v>44</v>
      </c>
      <c r="F3065" s="5" t="s">
        <v>8609</v>
      </c>
      <c r="G3065" s="5" t="s">
        <v>152</v>
      </c>
      <c r="H3065" s="5" t="s">
        <v>8872</v>
      </c>
      <c r="I3065" s="5" t="s">
        <v>8888</v>
      </c>
      <c r="J3065" s="5" t="s">
        <v>8889</v>
      </c>
      <c r="K3065" s="7" t="str">
        <f ca="1">IFERROR(__xludf.DUMMYFUNCTION("GOOGLETRANSLATE(H3065,""EN"",""ES"")"),"EQUIPOS DE TELECOMUNICACIONES, CONTROLES REMOTOS INALÁMBRICOS Y AMPLIFICADORES DE RADIO")</f>
        <v>EQUIPOS DE TELECOMUNICACIONES, CONTROLES REMOTOS INALÁMBRICOS Y AMPLIFICADORES DE RADIO</v>
      </c>
      <c r="L3065" s="5" t="str">
        <f ca="1">IFERROR(__xludf.DUMMYFUNCTION("GOOGLETRANSLATE(J3065,""EN"",""ES"")"),"Bobinas de panal para aparatos inalámbricos.")</f>
        <v>Bobinas de panal para aparatos inalámbricos.</v>
      </c>
      <c r="M3065" s="10" t="s">
        <v>50</v>
      </c>
      <c r="N3065" s="8"/>
    </row>
    <row r="3066" spans="1:14" ht="11.25" customHeight="1">
      <c r="A3066" s="5" t="s">
        <v>8605</v>
      </c>
      <c r="B3066" s="5" t="s">
        <v>8870</v>
      </c>
      <c r="C3066" s="5" t="s">
        <v>8890</v>
      </c>
      <c r="D3066" s="5" t="s">
        <v>8608</v>
      </c>
      <c r="E3066" s="5" t="s">
        <v>44</v>
      </c>
      <c r="F3066" s="5" t="s">
        <v>8609</v>
      </c>
      <c r="G3066" s="5" t="s">
        <v>152</v>
      </c>
      <c r="H3066" s="5" t="s">
        <v>8872</v>
      </c>
      <c r="I3066" s="5" t="s">
        <v>8891</v>
      </c>
      <c r="J3066" s="5" t="s">
        <v>8892</v>
      </c>
      <c r="K3066" s="7" t="str">
        <f ca="1">IFERROR(__xludf.DUMMYFUNCTION("GOOGLETRANSLATE(H3066,""EN"",""ES"")"),"EQUIPOS DE TELECOMUNICACIONES, CONTROLES REMOTOS INALÁMBRICOS Y AMPLIFICADORES DE RADIO")</f>
        <v>EQUIPOS DE TELECOMUNICACIONES, CONTROLES REMOTOS INALÁMBRICOS Y AMPLIFICADORES DE RADIO</v>
      </c>
      <c r="L3066" s="5" t="str">
        <f ca="1">IFERROR(__xludf.DUMMYFUNCTION("GOOGLETRANSLATE(J3066,""EN"",""ES"")"),"diales de radio")</f>
        <v>diales de radio</v>
      </c>
      <c r="M3066" s="10" t="s">
        <v>50</v>
      </c>
      <c r="N3066" s="8"/>
    </row>
    <row r="3067" spans="1:14" ht="11.25" customHeight="1">
      <c r="A3067" s="5" t="s">
        <v>8605</v>
      </c>
      <c r="B3067" s="5" t="s">
        <v>8870</v>
      </c>
      <c r="C3067" s="5" t="s">
        <v>8893</v>
      </c>
      <c r="D3067" s="5" t="s">
        <v>8608</v>
      </c>
      <c r="E3067" s="5" t="s">
        <v>44</v>
      </c>
      <c r="F3067" s="5" t="s">
        <v>8609</v>
      </c>
      <c r="G3067" s="5" t="s">
        <v>152</v>
      </c>
      <c r="H3067" s="5" t="s">
        <v>8872</v>
      </c>
      <c r="I3067" s="5" t="s">
        <v>8894</v>
      </c>
      <c r="J3067" s="5" t="s">
        <v>8895</v>
      </c>
      <c r="K3067" s="7" t="str">
        <f ca="1">IFERROR(__xludf.DUMMYFUNCTION("GOOGLETRANSLATE(H3067,""EN"",""ES"")"),"EQUIPOS DE TELECOMUNICACIONES, CONTROLES REMOTOS INALÁMBRICOS Y AMPLIFICADORES DE RADIO")</f>
        <v>EQUIPOS DE TELECOMUNICACIONES, CONTROLES REMOTOS INALÁMBRICOS Y AMPLIFICADORES DE RADIO</v>
      </c>
      <c r="L3067" s="5" t="str">
        <f ca="1">IFERROR(__xludf.DUMMYFUNCTION("GOOGLETRANSLATE(J3067,""EN"",""ES"")"),"Antenas de cuadro [radio y televisión]")</f>
        <v>Antenas de cuadro [radio y televisión]</v>
      </c>
      <c r="M3067" s="10" t="s">
        <v>50</v>
      </c>
      <c r="N3067" s="8"/>
    </row>
    <row r="3068" spans="1:14" ht="11.25" customHeight="1">
      <c r="A3068" s="5" t="s">
        <v>8605</v>
      </c>
      <c r="B3068" s="5" t="s">
        <v>8870</v>
      </c>
      <c r="C3068" s="5" t="s">
        <v>8896</v>
      </c>
      <c r="D3068" s="5" t="s">
        <v>8608</v>
      </c>
      <c r="E3068" s="5" t="s">
        <v>44</v>
      </c>
      <c r="F3068" s="5" t="s">
        <v>8609</v>
      </c>
      <c r="G3068" s="5" t="s">
        <v>152</v>
      </c>
      <c r="H3068" s="5" t="s">
        <v>8872</v>
      </c>
      <c r="I3068" s="5" t="s">
        <v>8897</v>
      </c>
      <c r="J3068" s="5" t="s">
        <v>8898</v>
      </c>
      <c r="K3068" s="7" t="str">
        <f ca="1">IFERROR(__xludf.DUMMYFUNCTION("GOOGLETRANSLATE(H3068,""EN"",""ES"")"),"EQUIPOS DE TELECOMUNICACIONES, CONTROLES REMOTOS INALÁMBRICOS Y AMPLIFICADORES DE RADIO")</f>
        <v>EQUIPOS DE TELECOMUNICACIONES, CONTROLES REMOTOS INALÁMBRICOS Y AMPLIFICADORES DE RADIO</v>
      </c>
      <c r="L3068" s="5" t="str">
        <f ca="1">IFERROR(__xludf.DUMMYFUNCTION("GOOGLETRANSLATE(J3068,""EN"",""ES"")"),"Cabinas de llamadas de emergencia [en la carretera]")</f>
        <v>Cabinas de llamadas de emergencia [en la carretera]</v>
      </c>
      <c r="M3068" s="10" t="s">
        <v>50</v>
      </c>
      <c r="N3068" s="8"/>
    </row>
    <row r="3069" spans="1:14" ht="11.25" customHeight="1">
      <c r="A3069" s="5" t="s">
        <v>8605</v>
      </c>
      <c r="B3069" s="5" t="s">
        <v>8870</v>
      </c>
      <c r="C3069" s="5" t="s">
        <v>8899</v>
      </c>
      <c r="D3069" s="5" t="s">
        <v>8608</v>
      </c>
      <c r="E3069" s="5" t="s">
        <v>44</v>
      </c>
      <c r="F3069" s="5" t="s">
        <v>8609</v>
      </c>
      <c r="G3069" s="5" t="s">
        <v>152</v>
      </c>
      <c r="H3069" s="5" t="s">
        <v>8872</v>
      </c>
      <c r="I3069" s="5" t="s">
        <v>8900</v>
      </c>
      <c r="J3069" s="5" t="s">
        <v>8901</v>
      </c>
      <c r="K3069" s="7" t="str">
        <f ca="1">IFERROR(__xludf.DUMMYFUNCTION("GOOGLETRANSLATE(H3069,""EN"",""ES"")"),"EQUIPOS DE TELECOMUNICACIONES, CONTROLES REMOTOS INALÁMBRICOS Y AMPLIFICADORES DE RADIO")</f>
        <v>EQUIPOS DE TELECOMUNICACIONES, CONTROLES REMOTOS INALÁMBRICOS Y AMPLIFICADORES DE RADIO</v>
      </c>
      <c r="L3069" s="5" t="str">
        <f ca="1">IFERROR(__xludf.DUMMYFUNCTION("GOOGLETRANSLATE(J3069,""EN"",""ES"")"),"Convertidores de frecuencia [radio y televisión]")</f>
        <v>Convertidores de frecuencia [radio y televisión]</v>
      </c>
      <c r="M3069" s="10" t="s">
        <v>50</v>
      </c>
      <c r="N3069" s="8"/>
    </row>
    <row r="3070" spans="1:14" ht="11.25" customHeight="1">
      <c r="A3070" s="5" t="s">
        <v>8605</v>
      </c>
      <c r="B3070" s="5" t="s">
        <v>8870</v>
      </c>
      <c r="C3070" s="5" t="s">
        <v>8902</v>
      </c>
      <c r="D3070" s="5" t="s">
        <v>8608</v>
      </c>
      <c r="E3070" s="5" t="s">
        <v>44</v>
      </c>
      <c r="F3070" s="5" t="s">
        <v>8609</v>
      </c>
      <c r="G3070" s="5" t="s">
        <v>152</v>
      </c>
      <c r="H3070" s="5" t="s">
        <v>8872</v>
      </c>
      <c r="I3070" s="5" t="s">
        <v>8903</v>
      </c>
      <c r="J3070" s="5" t="s">
        <v>8904</v>
      </c>
      <c r="K3070" s="7" t="str">
        <f ca="1">IFERROR(__xludf.DUMMYFUNCTION("GOOGLETRANSLATE(H3070,""EN"",""ES"")"),"EQUIPOS DE TELECOMUNICACIONES, CONTROLES REMOTOS INALÁMBRICOS Y AMPLIFICADORES DE RADIO")</f>
        <v>EQUIPOS DE TELECOMUNICACIONES, CONTROLES REMOTOS INALÁMBRICOS Y AMPLIFICADORES DE RADIO</v>
      </c>
      <c r="L3070" s="5" t="str">
        <f ca="1">IFERROR(__xludf.DUMMYFUNCTION("GOOGLETRANSLATE(J3070,""EN"",""ES"")"),"Marcaciones telefónicas")</f>
        <v>Marcaciones telefónicas</v>
      </c>
      <c r="M3070" s="10" t="s">
        <v>50</v>
      </c>
      <c r="N3070" s="8"/>
    </row>
    <row r="3071" spans="1:14" ht="11.25" customHeight="1">
      <c r="A3071" s="5" t="s">
        <v>8605</v>
      </c>
      <c r="B3071" s="5" t="s">
        <v>8870</v>
      </c>
      <c r="C3071" s="5" t="s">
        <v>8905</v>
      </c>
      <c r="D3071" s="5" t="s">
        <v>8608</v>
      </c>
      <c r="E3071" s="5" t="s">
        <v>44</v>
      </c>
      <c r="F3071" s="5" t="s">
        <v>8609</v>
      </c>
      <c r="G3071" s="5" t="s">
        <v>152</v>
      </c>
      <c r="H3071" s="5" t="s">
        <v>8872</v>
      </c>
      <c r="I3071" s="5" t="s">
        <v>8906</v>
      </c>
      <c r="J3071" s="5" t="s">
        <v>8907</v>
      </c>
      <c r="K3071" s="7" t="str">
        <f ca="1">IFERROR(__xludf.DUMMYFUNCTION("GOOGLETRANSLATE(H3071,""EN"",""ES"")"),"EQUIPOS DE TELECOMUNICACIONES, CONTROLES REMOTOS INALÁMBRICOS Y AMPLIFICADORES DE RADIO")</f>
        <v>EQUIPOS DE TELECOMUNICACIONES, CONTROLES REMOTOS INALÁMBRICOS Y AMPLIFICADORES DE RADIO</v>
      </c>
      <c r="L3071" s="5" t="str">
        <f ca="1">IFERROR(__xludf.DUMMYFUNCTION("GOOGLETRANSLATE(J3071,""EN"",""ES"")"),"Receptores telefónicos")</f>
        <v>Receptores telefónicos</v>
      </c>
      <c r="M3071" s="10" t="s">
        <v>50</v>
      </c>
      <c r="N3071" s="8"/>
    </row>
    <row r="3072" spans="1:14" ht="11.25" customHeight="1">
      <c r="A3072" s="5" t="s">
        <v>8605</v>
      </c>
      <c r="B3072" s="5" t="s">
        <v>8870</v>
      </c>
      <c r="C3072" s="5" t="s">
        <v>8905</v>
      </c>
      <c r="D3072" s="5" t="s">
        <v>8608</v>
      </c>
      <c r="E3072" s="5" t="s">
        <v>44</v>
      </c>
      <c r="F3072" s="5" t="s">
        <v>8609</v>
      </c>
      <c r="G3072" s="5" t="s">
        <v>152</v>
      </c>
      <c r="H3072" s="5" t="s">
        <v>8872</v>
      </c>
      <c r="I3072" s="5" t="s">
        <v>152</v>
      </c>
      <c r="J3072" s="5" t="s">
        <v>8908</v>
      </c>
      <c r="K3072" s="7" t="str">
        <f ca="1">IFERROR(__xludf.DUMMYFUNCTION("GOOGLETRANSLATE(H3072,""EN"",""ES"")"),"EQUIPOS DE TELECOMUNICACIONES, CONTROLES REMOTOS INALÁMBRICOS Y AMPLIFICADORES DE RADIO")</f>
        <v>EQUIPOS DE TELECOMUNICACIONES, CONTROLES REMOTOS INALÁMBRICOS Y AMPLIFICADORES DE RADIO</v>
      </c>
      <c r="L3072" s="5" t="str">
        <f ca="1">IFERROR(__xludf.DUMMYFUNCTION("GOOGLETRANSLATE(J3072,""EN"",""ES"")"),"N / A")</f>
        <v>N / A</v>
      </c>
      <c r="M3072" s="10" t="s">
        <v>50</v>
      </c>
      <c r="N3072" s="8"/>
    </row>
    <row r="3073" spans="1:14" ht="11.25" customHeight="1">
      <c r="A3073" s="5" t="s">
        <v>8605</v>
      </c>
      <c r="B3073" s="5" t="s">
        <v>8870</v>
      </c>
      <c r="C3073" s="5" t="s">
        <v>8909</v>
      </c>
      <c r="D3073" s="5" t="s">
        <v>8608</v>
      </c>
      <c r="E3073" s="5" t="s">
        <v>44</v>
      </c>
      <c r="F3073" s="5" t="s">
        <v>8609</v>
      </c>
      <c r="G3073" s="5" t="s">
        <v>152</v>
      </c>
      <c r="H3073" s="5" t="s">
        <v>8872</v>
      </c>
      <c r="I3073" s="5" t="s">
        <v>8910</v>
      </c>
      <c r="J3073" s="5" t="s">
        <v>8911</v>
      </c>
      <c r="K3073" s="7" t="str">
        <f ca="1">IFERROR(__xludf.DUMMYFUNCTION("GOOGLETRANSLATE(H3073,""EN"",""ES"")"),"EQUIPOS DE TELECOMUNICACIONES, CONTROLES REMOTOS INALÁMBRICOS Y AMPLIFICADORES DE RADIO")</f>
        <v>EQUIPOS DE TELECOMUNICACIONES, CONTROLES REMOTOS INALÁMBRICOS Y AMPLIFICADORES DE RADIO</v>
      </c>
      <c r="L3073" s="5" t="str">
        <f ca="1">IFERROR(__xludf.DUMMYFUNCTION("GOOGLETRANSLATE(J3073,""EN"",""ES"")"),"radios walkie-talkie")</f>
        <v>radios walkie-talkie</v>
      </c>
      <c r="M3073" s="10" t="s">
        <v>50</v>
      </c>
      <c r="N3073" s="8"/>
    </row>
    <row r="3074" spans="1:14" ht="11.25" customHeight="1">
      <c r="A3074" s="5" t="s">
        <v>8605</v>
      </c>
      <c r="B3074" s="5" t="s">
        <v>8870</v>
      </c>
      <c r="C3074" s="5" t="s">
        <v>8912</v>
      </c>
      <c r="D3074" s="5" t="s">
        <v>8608</v>
      </c>
      <c r="E3074" s="5" t="s">
        <v>44</v>
      </c>
      <c r="F3074" s="5" t="s">
        <v>8609</v>
      </c>
      <c r="G3074" s="5" t="s">
        <v>152</v>
      </c>
      <c r="H3074" s="5" t="s">
        <v>8872</v>
      </c>
      <c r="I3074" s="5" t="s">
        <v>8913</v>
      </c>
      <c r="J3074" s="5" t="s">
        <v>8914</v>
      </c>
      <c r="K3074" s="7" t="str">
        <f ca="1">IFERROR(__xludf.DUMMYFUNCTION("GOOGLETRANSLATE(H3074,""EN"",""ES"")"),"EQUIPOS DE TELECOMUNICACIONES, CONTROLES REMOTOS INALÁMBRICOS Y AMPLIFICADORES DE RADIO")</f>
        <v>EQUIPOS DE TELECOMUNICACIONES, CONTROLES REMOTOS INALÁMBRICOS Y AMPLIFICADORES DE RADIO</v>
      </c>
      <c r="L3074" s="5" t="str">
        <f ca="1">IFERROR(__xludf.DUMMYFUNCTION("GOOGLETRANSLATE(J3074,""EN"",""ES"")"),"Dispositivos de intercomunicación")</f>
        <v>Dispositivos de intercomunicación</v>
      </c>
      <c r="M3074" s="10" t="s">
        <v>50</v>
      </c>
      <c r="N3074" s="8"/>
    </row>
    <row r="3075" spans="1:14" ht="11.25" customHeight="1">
      <c r="A3075" s="5" t="s">
        <v>8605</v>
      </c>
      <c r="B3075" s="5" t="s">
        <v>8870</v>
      </c>
      <c r="C3075" s="5" t="s">
        <v>8915</v>
      </c>
      <c r="D3075" s="5" t="s">
        <v>8608</v>
      </c>
      <c r="E3075" s="5" t="s">
        <v>44</v>
      </c>
      <c r="F3075" s="5" t="s">
        <v>8609</v>
      </c>
      <c r="G3075" s="5" t="s">
        <v>152</v>
      </c>
      <c r="H3075" s="5" t="s">
        <v>8872</v>
      </c>
      <c r="I3075" s="5" t="s">
        <v>8916</v>
      </c>
      <c r="J3075" s="5" t="s">
        <v>8917</v>
      </c>
      <c r="K3075" s="7" t="str">
        <f ca="1">IFERROR(__xludf.DUMMYFUNCTION("GOOGLETRANSLATE(H3075,""EN"",""ES"")"),"EQUIPOS DE TELECOMUNICACIONES, CONTROLES REMOTOS INALÁMBRICOS Y AMPLIFICADORES DE RADIO")</f>
        <v>EQUIPOS DE TELECOMUNICACIONES, CONTROLES REMOTOS INALÁMBRICOS Y AMPLIFICADORES DE RADIO</v>
      </c>
      <c r="L3075" s="5" t="str">
        <f ca="1">IFERROR(__xludf.DUMMYFUNCTION("GOOGLETRANSLATE(J3075,""EN"",""ES"")"),"micrófonos para teléfonos")</f>
        <v>micrófonos para teléfonos</v>
      </c>
      <c r="M3075" s="10" t="s">
        <v>50</v>
      </c>
      <c r="N3075" s="8"/>
    </row>
    <row r="3076" spans="1:14" ht="11.25" customHeight="1">
      <c r="A3076" s="5" t="s">
        <v>8605</v>
      </c>
      <c r="B3076" s="5" t="s">
        <v>8870</v>
      </c>
      <c r="C3076" s="5" t="s">
        <v>8918</v>
      </c>
      <c r="D3076" s="5" t="s">
        <v>8608</v>
      </c>
      <c r="E3076" s="5" t="s">
        <v>44</v>
      </c>
      <c r="F3076" s="5" t="s">
        <v>8609</v>
      </c>
      <c r="G3076" s="5" t="s">
        <v>152</v>
      </c>
      <c r="H3076" s="5" t="s">
        <v>8872</v>
      </c>
      <c r="I3076" s="5" t="s">
        <v>8919</v>
      </c>
      <c r="J3076" s="5" t="s">
        <v>8920</v>
      </c>
      <c r="K3076" s="7" t="str">
        <f ca="1">IFERROR(__xludf.DUMMYFUNCTION("GOOGLETRANSLATE(H3076,""EN"",""ES"")"),"EQUIPOS DE TELECOMUNICACIONES, CONTROLES REMOTOS INALÁMBRICOS Y AMPLIFICADORES DE RADIO")</f>
        <v>EQUIPOS DE TELECOMUNICACIONES, CONTROLES REMOTOS INALÁMBRICOS Y AMPLIFICADORES DE RADIO</v>
      </c>
      <c r="L3076" s="5" t="str">
        <f ca="1">IFERROR(__xludf.DUMMYFUNCTION("GOOGLETRANSLATE(J3076,""EN"",""ES"")"),"Microteléfonos")</f>
        <v>Microteléfonos</v>
      </c>
      <c r="M3076" s="10" t="s">
        <v>50</v>
      </c>
      <c r="N3076" s="8"/>
    </row>
    <row r="3077" spans="1:14" ht="11.25" customHeight="1">
      <c r="A3077" s="5" t="s">
        <v>8605</v>
      </c>
      <c r="B3077" s="5" t="s">
        <v>8870</v>
      </c>
      <c r="C3077" s="5" t="s">
        <v>8921</v>
      </c>
      <c r="D3077" s="5" t="s">
        <v>8608</v>
      </c>
      <c r="E3077" s="5" t="s">
        <v>44</v>
      </c>
      <c r="F3077" s="5" t="s">
        <v>8609</v>
      </c>
      <c r="G3077" s="5" t="s">
        <v>152</v>
      </c>
      <c r="H3077" s="5" t="s">
        <v>8872</v>
      </c>
      <c r="I3077" s="5" t="s">
        <v>8922</v>
      </c>
      <c r="J3077" s="5" t="s">
        <v>8923</v>
      </c>
      <c r="K3077" s="7" t="str">
        <f ca="1">IFERROR(__xludf.DUMMYFUNCTION("GOOGLETRANSLATE(H3077,""EN"",""ES"")"),"EQUIPOS DE TELECOMUNICACIONES, CONTROLES REMOTOS INALÁMBRICOS Y AMPLIFICADORES DE RADIO")</f>
        <v>EQUIPOS DE TELECOMUNICACIONES, CONTROLES REMOTOS INALÁMBRICOS Y AMPLIFICADORES DE RADIO</v>
      </c>
      <c r="L3077" s="5" t="str">
        <f ca="1">IFERROR(__xludf.DUMMYFUNCTION("GOOGLETRANSLATE(J3077,""EN"",""ES"")"),"Megáfonos")</f>
        <v>Megáfonos</v>
      </c>
      <c r="M3077" s="10" t="s">
        <v>50</v>
      </c>
      <c r="N3077" s="8"/>
    </row>
    <row r="3078" spans="1:14" ht="11.25" customHeight="1">
      <c r="A3078" s="5" t="s">
        <v>8605</v>
      </c>
      <c r="B3078" s="5" t="s">
        <v>8870</v>
      </c>
      <c r="C3078" s="5" t="s">
        <v>8921</v>
      </c>
      <c r="D3078" s="5" t="s">
        <v>8608</v>
      </c>
      <c r="E3078" s="5" t="s">
        <v>44</v>
      </c>
      <c r="F3078" s="5" t="s">
        <v>8609</v>
      </c>
      <c r="G3078" s="5" t="s">
        <v>152</v>
      </c>
      <c r="H3078" s="5" t="s">
        <v>8872</v>
      </c>
      <c r="I3078" s="5" t="s">
        <v>152</v>
      </c>
      <c r="J3078" s="5" t="s">
        <v>8924</v>
      </c>
      <c r="K3078" s="7" t="str">
        <f ca="1">IFERROR(__xludf.DUMMYFUNCTION("GOOGLETRANSLATE(H3078,""EN"",""ES"")"),"EQUIPOS DE TELECOMUNICACIONES, CONTROLES REMOTOS INALÁMBRICOS Y AMPLIFICADORES DE RADIO")</f>
        <v>EQUIPOS DE TELECOMUNICACIONES, CONTROLES REMOTOS INALÁMBRICOS Y AMPLIFICADORES DE RADIO</v>
      </c>
      <c r="L3078" s="5" t="str">
        <f ca="1">IFERROR(__xludf.DUMMYFUNCTION("GOOGLETRANSLATE(J3078,""EN"",""ES"")"),"N / A")</f>
        <v>N / A</v>
      </c>
      <c r="M3078" s="10" t="s">
        <v>50</v>
      </c>
      <c r="N3078" s="8"/>
    </row>
    <row r="3079" spans="1:14" ht="11.25" customHeight="1">
      <c r="A3079" s="5" t="s">
        <v>8605</v>
      </c>
      <c r="B3079" s="5" t="s">
        <v>8870</v>
      </c>
      <c r="C3079" s="5" t="s">
        <v>8925</v>
      </c>
      <c r="D3079" s="5" t="s">
        <v>8608</v>
      </c>
      <c r="E3079" s="5" t="s">
        <v>44</v>
      </c>
      <c r="F3079" s="5" t="s">
        <v>8609</v>
      </c>
      <c r="G3079" s="5" t="s">
        <v>152</v>
      </c>
      <c r="H3079" s="5" t="s">
        <v>8872</v>
      </c>
      <c r="I3079" s="5" t="s">
        <v>8926</v>
      </c>
      <c r="J3079" s="5" t="s">
        <v>8927</v>
      </c>
      <c r="K3079" s="7" t="str">
        <f ca="1">IFERROR(__xludf.DUMMYFUNCTION("GOOGLETRANSLATE(H3079,""EN"",""ES"")"),"EQUIPOS DE TELECOMUNICACIONES, CONTROLES REMOTOS INALÁMBRICOS Y AMPLIFICADORES DE RADIO")</f>
        <v>EQUIPOS DE TELECOMUNICACIONES, CONTROLES REMOTOS INALÁMBRICOS Y AMPLIFICADORES DE RADIO</v>
      </c>
      <c r="L3079" s="5" t="str">
        <f ca="1">IFERROR(__xludf.DUMMYFUNCTION("GOOGLETRANSLATE(J3079,""EN"",""ES"")"),"Radiogoniómetros")</f>
        <v>Radiogoniómetros</v>
      </c>
      <c r="M3079" s="10" t="s">
        <v>50</v>
      </c>
      <c r="N3079" s="8"/>
    </row>
    <row r="3080" spans="1:14" ht="11.25" customHeight="1">
      <c r="A3080" s="5" t="s">
        <v>8605</v>
      </c>
      <c r="B3080" s="5" t="s">
        <v>8870</v>
      </c>
      <c r="C3080" s="5" t="s">
        <v>8928</v>
      </c>
      <c r="D3080" s="5" t="s">
        <v>8608</v>
      </c>
      <c r="E3080" s="5" t="s">
        <v>44</v>
      </c>
      <c r="F3080" s="5" t="s">
        <v>8609</v>
      </c>
      <c r="G3080" s="5" t="s">
        <v>152</v>
      </c>
      <c r="H3080" s="5" t="s">
        <v>8872</v>
      </c>
      <c r="I3080" s="5" t="s">
        <v>8929</v>
      </c>
      <c r="J3080" s="5" t="s">
        <v>8930</v>
      </c>
      <c r="K3080" s="7" t="str">
        <f ca="1">IFERROR(__xludf.DUMMYFUNCTION("GOOGLETRANSLATE(H3080,""EN"",""ES"")"),"EQUIPOS DE TELECOMUNICACIONES, CONTROLES REMOTOS INALÁMBRICOS Y AMPLIFICADORES DE RADIO")</f>
        <v>EQUIPOS DE TELECOMUNICACIONES, CONTROLES REMOTOS INALÁMBRICOS Y AMPLIFICADORES DE RADIO</v>
      </c>
      <c r="L3080" s="5" t="str">
        <f ca="1">IFERROR(__xludf.DUMMYFUNCTION("GOOGLETRANSLATE(J3080,""EN"",""ES"")"),"radios para vehiculos")</f>
        <v>radios para vehiculos</v>
      </c>
      <c r="M3080" s="10" t="s">
        <v>50</v>
      </c>
      <c r="N3080" s="8"/>
    </row>
    <row r="3081" spans="1:14" ht="11.25" customHeight="1">
      <c r="A3081" s="5" t="s">
        <v>8605</v>
      </c>
      <c r="B3081" s="5" t="s">
        <v>8870</v>
      </c>
      <c r="C3081" s="5" t="s">
        <v>8931</v>
      </c>
      <c r="D3081" s="5" t="s">
        <v>8608</v>
      </c>
      <c r="E3081" s="5" t="s">
        <v>44</v>
      </c>
      <c r="F3081" s="5" t="s">
        <v>8609</v>
      </c>
      <c r="G3081" s="5" t="s">
        <v>152</v>
      </c>
      <c r="H3081" s="5" t="s">
        <v>8872</v>
      </c>
      <c r="I3081" s="5" t="s">
        <v>8932</v>
      </c>
      <c r="J3081" s="5" t="s">
        <v>8933</v>
      </c>
      <c r="K3081" s="7" t="str">
        <f ca="1">IFERROR(__xludf.DUMMYFUNCTION("GOOGLETRANSLATE(H3081,""EN"",""ES"")"),"EQUIPOS DE TELECOMUNICACIONES, CONTROLES REMOTOS INALÁMBRICOS Y AMPLIFICADORES DE RADIO")</f>
        <v>EQUIPOS DE TELECOMUNICACIONES, CONTROLES REMOTOS INALÁMBRICOS Y AMPLIFICADORES DE RADIO</v>
      </c>
      <c r="L3081" s="5" t="str">
        <f ca="1">IFERROR(__xludf.DUMMYFUNCTION("GOOGLETRANSLATE(J3081,""EN"",""ES"")"),"Receptores de radio")</f>
        <v>Receptores de radio</v>
      </c>
      <c r="M3081" s="10" t="s">
        <v>50</v>
      </c>
      <c r="N3081" s="8"/>
    </row>
    <row r="3082" spans="1:14" ht="11.25" customHeight="1">
      <c r="A3082" s="5" t="s">
        <v>8605</v>
      </c>
      <c r="B3082" s="5" t="s">
        <v>8870</v>
      </c>
      <c r="C3082" s="5" t="s">
        <v>8931</v>
      </c>
      <c r="D3082" s="5" t="s">
        <v>8608</v>
      </c>
      <c r="E3082" s="5" t="s">
        <v>44</v>
      </c>
      <c r="F3082" s="5" t="s">
        <v>8609</v>
      </c>
      <c r="G3082" s="5" t="s">
        <v>152</v>
      </c>
      <c r="H3082" s="5" t="s">
        <v>8872</v>
      </c>
      <c r="I3082" s="5" t="s">
        <v>152</v>
      </c>
      <c r="J3082" s="5" t="s">
        <v>8934</v>
      </c>
      <c r="K3082" s="7" t="str">
        <f ca="1">IFERROR(__xludf.DUMMYFUNCTION("GOOGLETRANSLATE(H3082,""EN"",""ES"")"),"EQUIPOS DE TELECOMUNICACIONES, CONTROLES REMOTOS INALÁMBRICOS Y AMPLIFICADORES DE RADIO")</f>
        <v>EQUIPOS DE TELECOMUNICACIONES, CONTROLES REMOTOS INALÁMBRICOS Y AMPLIFICADORES DE RADIO</v>
      </c>
      <c r="L3082" s="5" t="str">
        <f ca="1">IFERROR(__xludf.DUMMYFUNCTION("GOOGLETRANSLATE(J3082,""EN"",""ES"")"),"N / A")</f>
        <v>N / A</v>
      </c>
      <c r="M3082" s="10" t="s">
        <v>50</v>
      </c>
      <c r="N3082" s="8"/>
    </row>
    <row r="3083" spans="1:14" ht="11.25" customHeight="1">
      <c r="A3083" s="5" t="s">
        <v>8605</v>
      </c>
      <c r="B3083" s="5" t="s">
        <v>8870</v>
      </c>
      <c r="C3083" s="5" t="s">
        <v>8935</v>
      </c>
      <c r="D3083" s="5" t="s">
        <v>8608</v>
      </c>
      <c r="E3083" s="5" t="s">
        <v>44</v>
      </c>
      <c r="F3083" s="5" t="s">
        <v>8609</v>
      </c>
      <c r="G3083" s="5" t="s">
        <v>152</v>
      </c>
      <c r="H3083" s="5" t="s">
        <v>8872</v>
      </c>
      <c r="I3083" s="5" t="s">
        <v>8936</v>
      </c>
      <c r="J3083" s="5" t="s">
        <v>8937</v>
      </c>
      <c r="K3083" s="7" t="str">
        <f ca="1">IFERROR(__xludf.DUMMYFUNCTION("GOOGLETRANSLATE(H3083,""EN"",""ES"")"),"EQUIPOS DE TELECOMUNICACIONES, CONTROLES REMOTOS INALÁMBRICOS Y AMPLIFICADORES DE RADIO")</f>
        <v>EQUIPOS DE TELECOMUNICACIONES, CONTROLES REMOTOS INALÁMBRICOS Y AMPLIFICADORES DE RADIO</v>
      </c>
      <c r="L3083" s="5" t="str">
        <f ca="1">IFERROR(__xludf.DUMMYFUNCTION("GOOGLETRANSLATE(J3083,""EN"",""ES"")"),"Centrales telefónicas")</f>
        <v>Centrales telefónicas</v>
      </c>
      <c r="M3083" s="10" t="s">
        <v>50</v>
      </c>
      <c r="N3083" s="8"/>
    </row>
    <row r="3084" spans="1:14" ht="11.25" customHeight="1">
      <c r="A3084" s="5" t="s">
        <v>8605</v>
      </c>
      <c r="B3084" s="5" t="s">
        <v>8870</v>
      </c>
      <c r="C3084" s="5" t="s">
        <v>8938</v>
      </c>
      <c r="D3084" s="5" t="s">
        <v>8608</v>
      </c>
      <c r="E3084" s="5" t="s">
        <v>44</v>
      </c>
      <c r="F3084" s="5" t="s">
        <v>8609</v>
      </c>
      <c r="G3084" s="5" t="s">
        <v>152</v>
      </c>
      <c r="H3084" s="5" t="s">
        <v>8872</v>
      </c>
      <c r="I3084" s="5" t="s">
        <v>8939</v>
      </c>
      <c r="J3084" s="5" t="s">
        <v>8940</v>
      </c>
      <c r="K3084" s="7" t="str">
        <f ca="1">IFERROR(__xludf.DUMMYFUNCTION("GOOGLETRANSLATE(H3084,""EN"",""ES"")"),"EQUIPOS DE TELECOMUNICACIONES, CONTROLES REMOTOS INALÁMBRICOS Y AMPLIFICADORES DE RADIO")</f>
        <v>EQUIPOS DE TELECOMUNICACIONES, CONTROLES REMOTOS INALÁMBRICOS Y AMPLIFICADORES DE RADIO</v>
      </c>
      <c r="L3084" s="5" t="str">
        <f ca="1">IFERROR(__xludf.DUMMYFUNCTION("GOOGLETRANSLATE(J3084,""EN"",""ES"")"),"Conjuntos inalámbricos")</f>
        <v>Conjuntos inalámbricos</v>
      </c>
      <c r="M3084" s="10" t="s">
        <v>50</v>
      </c>
      <c r="N3084" s="8"/>
    </row>
    <row r="3085" spans="1:14" ht="11.25" customHeight="1">
      <c r="A3085" s="5" t="s">
        <v>8605</v>
      </c>
      <c r="B3085" s="5" t="s">
        <v>8870</v>
      </c>
      <c r="C3085" s="5" t="s">
        <v>8941</v>
      </c>
      <c r="D3085" s="5" t="s">
        <v>8608</v>
      </c>
      <c r="E3085" s="5" t="s">
        <v>44</v>
      </c>
      <c r="F3085" s="5" t="s">
        <v>8609</v>
      </c>
      <c r="G3085" s="5" t="s">
        <v>152</v>
      </c>
      <c r="H3085" s="5" t="s">
        <v>8872</v>
      </c>
      <c r="I3085" s="5" t="s">
        <v>8942</v>
      </c>
      <c r="J3085" s="5" t="s">
        <v>8943</v>
      </c>
      <c r="K3085" s="7" t="str">
        <f ca="1">IFERROR(__xludf.DUMMYFUNCTION("GOOGLETRANSLATE(H3085,""EN"",""ES"")"),"EQUIPOS DE TELECOMUNICACIONES, CONTROLES REMOTOS INALÁMBRICOS Y AMPLIFICADORES DE RADIO")</f>
        <v>EQUIPOS DE TELECOMUNICACIONES, CONTROLES REMOTOS INALÁMBRICOS Y AMPLIFICADORES DE RADIO</v>
      </c>
      <c r="L3085" s="5" t="str">
        <f ca="1">IFERROR(__xludf.DUMMYFUNCTION("GOOGLETRANSLATE(J3085,""EN"",""ES"")"),"Equipos de comunicaciones")</f>
        <v>Equipos de comunicaciones</v>
      </c>
      <c r="M3085" s="10" t="s">
        <v>50</v>
      </c>
      <c r="N3085" s="8"/>
    </row>
    <row r="3086" spans="1:14" ht="11.25" customHeight="1">
      <c r="A3086" s="5" t="s">
        <v>8605</v>
      </c>
      <c r="B3086" s="5" t="s">
        <v>8870</v>
      </c>
      <c r="C3086" s="5" t="s">
        <v>8944</v>
      </c>
      <c r="D3086" s="5" t="s">
        <v>8608</v>
      </c>
      <c r="E3086" s="5" t="s">
        <v>44</v>
      </c>
      <c r="F3086" s="5" t="s">
        <v>8609</v>
      </c>
      <c r="G3086" s="5" t="s">
        <v>152</v>
      </c>
      <c r="H3086" s="5" t="s">
        <v>8872</v>
      </c>
      <c r="I3086" s="5" t="s">
        <v>8945</v>
      </c>
      <c r="J3086" s="5" t="s">
        <v>8946</v>
      </c>
      <c r="K3086" s="7" t="str">
        <f ca="1">IFERROR(__xludf.DUMMYFUNCTION("GOOGLETRANSLATE(H3086,""EN"",""ES"")"),"EQUIPOS DE TELECOMUNICACIONES, CONTROLES REMOTOS INALÁMBRICOS Y AMPLIFICADORES DE RADIO")</f>
        <v>EQUIPOS DE TELECOMUNICACIONES, CONTROLES REMOTOS INALÁMBRICOS Y AMPLIFICADORES DE RADIO</v>
      </c>
      <c r="L3086" s="5" t="str">
        <f ca="1">IFERROR(__xludf.DUMMYFUNCTION("GOOGLETRANSLATE(J3086,""EN"",""ES"")"),"Teléfonos")</f>
        <v>Teléfonos</v>
      </c>
      <c r="M3086" s="10" t="s">
        <v>50</v>
      </c>
      <c r="N3086" s="8"/>
    </row>
    <row r="3087" spans="1:14" ht="11.25" customHeight="1">
      <c r="A3087" s="5" t="s">
        <v>8605</v>
      </c>
      <c r="B3087" s="5" t="s">
        <v>8870</v>
      </c>
      <c r="C3087" s="5" t="s">
        <v>8947</v>
      </c>
      <c r="D3087" s="5" t="s">
        <v>8608</v>
      </c>
      <c r="E3087" s="5" t="s">
        <v>44</v>
      </c>
      <c r="F3087" s="5" t="s">
        <v>8609</v>
      </c>
      <c r="G3087" s="5" t="s">
        <v>152</v>
      </c>
      <c r="H3087" s="5" t="s">
        <v>8872</v>
      </c>
      <c r="I3087" s="5" t="s">
        <v>8948</v>
      </c>
      <c r="J3087" s="5" t="s">
        <v>8949</v>
      </c>
      <c r="K3087" s="7" t="str">
        <f ca="1">IFERROR(__xludf.DUMMYFUNCTION("GOOGLETRANSLATE(H3087,""EN"",""ES"")"),"EQUIPOS DE TELECOMUNICACIONES, CONTROLES REMOTOS INALÁMBRICOS Y AMPLIFICADORES DE RADIO")</f>
        <v>EQUIPOS DE TELECOMUNICACIONES, CONTROLES REMOTOS INALÁMBRICOS Y AMPLIFICADORES DE RADIO</v>
      </c>
      <c r="L3087" s="5" t="str">
        <f ca="1">IFERROR(__xludf.DUMMYFUNCTION("GOOGLETRANSLATE(J3087,""EN"",""ES"")"),"Aparato de televisión")</f>
        <v>Aparato de televisión</v>
      </c>
      <c r="M3087" s="10" t="s">
        <v>50</v>
      </c>
      <c r="N3087" s="8"/>
    </row>
    <row r="3088" spans="1:14" ht="11.25" customHeight="1">
      <c r="A3088" s="5" t="s">
        <v>8605</v>
      </c>
      <c r="B3088" s="5" t="s">
        <v>8870</v>
      </c>
      <c r="C3088" s="5" t="s">
        <v>8950</v>
      </c>
      <c r="D3088" s="5" t="s">
        <v>8608</v>
      </c>
      <c r="E3088" s="5" t="s">
        <v>44</v>
      </c>
      <c r="F3088" s="5" t="s">
        <v>8609</v>
      </c>
      <c r="G3088" s="5" t="s">
        <v>152</v>
      </c>
      <c r="H3088" s="5" t="s">
        <v>8872</v>
      </c>
      <c r="I3088" s="5" t="s">
        <v>8951</v>
      </c>
      <c r="J3088" s="5" t="s">
        <v>8952</v>
      </c>
      <c r="K3088" s="7" t="str">
        <f ca="1">IFERROR(__xludf.DUMMYFUNCTION("GOOGLETRANSLATE(H3088,""EN"",""ES"")"),"EQUIPOS DE TELECOMUNICACIONES, CONTROLES REMOTOS INALÁMBRICOS Y AMPLIFICADORES DE RADIO")</f>
        <v>EQUIPOS DE TELECOMUNICACIONES, CONTROLES REMOTOS INALÁMBRICOS Y AMPLIFICADORES DE RADIO</v>
      </c>
      <c r="L3088" s="5" t="str">
        <f ca="1">IFERROR(__xludf.DUMMYFUNCTION("GOOGLETRANSLATE(J3088,""EN"",""ES"")"),"Aparatos de videotelefonía")</f>
        <v>Aparatos de videotelefonía</v>
      </c>
      <c r="M3088" s="10" t="s">
        <v>50</v>
      </c>
      <c r="N3088" s="8"/>
    </row>
    <row r="3089" spans="1:14" ht="11.25" customHeight="1">
      <c r="A3089" s="5" t="s">
        <v>8605</v>
      </c>
      <c r="B3089" s="5" t="s">
        <v>8870</v>
      </c>
      <c r="C3089" s="5" t="s">
        <v>8953</v>
      </c>
      <c r="D3089" s="5" t="s">
        <v>8608</v>
      </c>
      <c r="E3089" s="5" t="s">
        <v>44</v>
      </c>
      <c r="F3089" s="5" t="s">
        <v>8609</v>
      </c>
      <c r="G3089" s="5" t="s">
        <v>152</v>
      </c>
      <c r="H3089" s="5" t="s">
        <v>8872</v>
      </c>
      <c r="I3089" s="5" t="s">
        <v>8954</v>
      </c>
      <c r="J3089" s="5" t="s">
        <v>8955</v>
      </c>
      <c r="K3089" s="7" t="str">
        <f ca="1">IFERROR(__xludf.DUMMYFUNCTION("GOOGLETRANSLATE(H3089,""EN"",""ES"")"),"EQUIPOS DE TELECOMUNICACIONES, CONTROLES REMOTOS INALÁMBRICOS Y AMPLIFICADORES DE RADIO")</f>
        <v>EQUIPOS DE TELECOMUNICACIONES, CONTROLES REMOTOS INALÁMBRICOS Y AMPLIFICADORES DE RADIO</v>
      </c>
      <c r="L3089" s="5" t="str">
        <f ca="1">IFERROR(__xludf.DUMMYFUNCTION("GOOGLETRANSLATE(J3089,""EN"",""ES"")"),"Tableros indicadores [campanas de llamada]")</f>
        <v>Tableros indicadores [campanas de llamada]</v>
      </c>
      <c r="M3089" s="10" t="s">
        <v>50</v>
      </c>
      <c r="N3089" s="8"/>
    </row>
    <row r="3090" spans="1:14" ht="11.25" customHeight="1">
      <c r="A3090" s="5" t="s">
        <v>8605</v>
      </c>
      <c r="B3090" s="5" t="s">
        <v>8870</v>
      </c>
      <c r="C3090" s="5" t="s">
        <v>8956</v>
      </c>
      <c r="D3090" s="5" t="s">
        <v>8608</v>
      </c>
      <c r="E3090" s="5" t="s">
        <v>44</v>
      </c>
      <c r="F3090" s="5" t="s">
        <v>8609</v>
      </c>
      <c r="G3090" s="5" t="s">
        <v>152</v>
      </c>
      <c r="H3090" s="5" t="s">
        <v>8872</v>
      </c>
      <c r="I3090" s="5" t="s">
        <v>8957</v>
      </c>
      <c r="J3090" s="5" t="s">
        <v>8958</v>
      </c>
      <c r="K3090" s="7" t="str">
        <f ca="1">IFERROR(__xludf.DUMMYFUNCTION("GOOGLETRANSLATE(H3090,""EN"",""ES"")"),"EQUIPOS DE TELECOMUNICACIONES, CONTROLES REMOTOS INALÁMBRICOS Y AMPLIFICADORES DE RADIO")</f>
        <v>EQUIPOS DE TELECOMUNICACIONES, CONTROLES REMOTOS INALÁMBRICOS Y AMPLIFICADORES DE RADIO</v>
      </c>
      <c r="L3090" s="5" t="str">
        <f ca="1">IFERROR(__xludf.DUMMYFUNCTION("GOOGLETRANSLATE(J3090,""EN"",""ES"")"),"Centralitas para telecomunicaciones")</f>
        <v>Centralitas para telecomunicaciones</v>
      </c>
      <c r="M3090" s="10" t="s">
        <v>50</v>
      </c>
      <c r="N3090" s="8"/>
    </row>
    <row r="3091" spans="1:14" ht="11.25" customHeight="1">
      <c r="A3091" s="5" t="s">
        <v>8605</v>
      </c>
      <c r="B3091" s="5" t="s">
        <v>8870</v>
      </c>
      <c r="C3091" s="5" t="s">
        <v>8959</v>
      </c>
      <c r="D3091" s="5" t="s">
        <v>8608</v>
      </c>
      <c r="E3091" s="5" t="s">
        <v>44</v>
      </c>
      <c r="F3091" s="5" t="s">
        <v>8609</v>
      </c>
      <c r="G3091" s="5" t="s">
        <v>152</v>
      </c>
      <c r="H3091" s="5" t="s">
        <v>8872</v>
      </c>
      <c r="I3091" s="5" t="s">
        <v>8960</v>
      </c>
      <c r="J3091" s="5" t="s">
        <v>8961</v>
      </c>
      <c r="K3091" s="7" t="str">
        <f ca="1">IFERROR(__xludf.DUMMYFUNCTION("GOOGLETRANSLATE(H3091,""EN"",""ES"")"),"EQUIPOS DE TELECOMUNICACIONES, CONTROLES REMOTOS INALÁMBRICOS Y AMPLIFICADORES DE RADIO")</f>
        <v>EQUIPOS DE TELECOMUNICACIONES, CONTROLES REMOTOS INALÁMBRICOS Y AMPLIFICADORES DE RADIO</v>
      </c>
      <c r="L3091" s="5" t="str">
        <f ca="1">IFERROR(__xludf.DUMMYFUNCTION("GOOGLETRANSLATE(J3091,""EN"",""ES"")"),"Puestos telefónicos de emergencia en la calle")</f>
        <v>Puestos telefónicos de emergencia en la calle</v>
      </c>
      <c r="M3091" s="10" t="s">
        <v>50</v>
      </c>
      <c r="N3091" s="8"/>
    </row>
    <row r="3092" spans="1:14" ht="11.25" customHeight="1">
      <c r="A3092" s="5" t="s">
        <v>8605</v>
      </c>
      <c r="B3092" s="5" t="s">
        <v>8870</v>
      </c>
      <c r="C3092" s="5" t="s">
        <v>8962</v>
      </c>
      <c r="D3092" s="5" t="s">
        <v>8608</v>
      </c>
      <c r="E3092" s="5" t="s">
        <v>44</v>
      </c>
      <c r="F3092" s="5" t="s">
        <v>8609</v>
      </c>
      <c r="G3092" s="5" t="s">
        <v>152</v>
      </c>
      <c r="H3092" s="5" t="s">
        <v>8872</v>
      </c>
      <c r="I3092" s="5" t="s">
        <v>8963</v>
      </c>
      <c r="J3092" s="5" t="s">
        <v>8964</v>
      </c>
      <c r="K3092" s="7" t="str">
        <f ca="1">IFERROR(__xludf.DUMMYFUNCTION("GOOGLETRANSLATE(H3092,""EN"",""ES"")"),"EQUIPOS DE TELECOMUNICACIONES, CONTROLES REMOTOS INALÁMBRICOS Y AMPLIFICADORES DE RADIO")</f>
        <v>EQUIPOS DE TELECOMUNICACIONES, CONTROLES REMOTOS INALÁMBRICOS Y AMPLIFICADORES DE RADIO</v>
      </c>
      <c r="L3092" s="5" t="str">
        <f ca="1">IFERROR(__xludf.DUMMYFUNCTION("GOOGLETRANSLATE(J3092,""EN"",""ES"")"),"tubos parlantes")</f>
        <v>tubos parlantes</v>
      </c>
      <c r="M3092" s="10" t="s">
        <v>50</v>
      </c>
      <c r="N3092" s="8"/>
    </row>
    <row r="3093" spans="1:14" ht="11.25" customHeight="1">
      <c r="A3093" s="5" t="s">
        <v>8605</v>
      </c>
      <c r="B3093" s="5" t="s">
        <v>8870</v>
      </c>
      <c r="C3093" s="5" t="s">
        <v>8965</v>
      </c>
      <c r="D3093" s="5" t="s">
        <v>8608</v>
      </c>
      <c r="E3093" s="5" t="s">
        <v>44</v>
      </c>
      <c r="F3093" s="5" t="s">
        <v>8609</v>
      </c>
      <c r="G3093" s="5" t="s">
        <v>152</v>
      </c>
      <c r="H3093" s="5" t="s">
        <v>8872</v>
      </c>
      <c r="I3093" s="5" t="s">
        <v>8966</v>
      </c>
      <c r="J3093" s="5" t="s">
        <v>8967</v>
      </c>
      <c r="K3093" s="7" t="str">
        <f ca="1">IFERROR(__xludf.DUMMYFUNCTION("GOOGLETRANSLATE(H3093,""EN"",""ES"")"),"EQUIPOS DE TELECOMUNICACIONES, CONTROLES REMOTOS INALÁMBRICOS Y AMPLIFICADORES DE RADIO")</f>
        <v>EQUIPOS DE TELECOMUNICACIONES, CONTROLES REMOTOS INALÁMBRICOS Y AMPLIFICADORES DE RADIO</v>
      </c>
      <c r="L3093" s="5" t="str">
        <f ca="1">IFERROR(__xludf.DUMMYFUNCTION("GOOGLETRANSLATE(J3093,""EN"",""ES"")"),"máquinas de fax")</f>
        <v>máquinas de fax</v>
      </c>
      <c r="M3093" s="10" t="s">
        <v>50</v>
      </c>
      <c r="N3093" s="8"/>
    </row>
    <row r="3094" spans="1:14" ht="11.25" customHeight="1">
      <c r="A3094" s="5" t="s">
        <v>8605</v>
      </c>
      <c r="B3094" s="5" t="s">
        <v>8870</v>
      </c>
      <c r="C3094" s="5" t="s">
        <v>8965</v>
      </c>
      <c r="D3094" s="5" t="s">
        <v>8608</v>
      </c>
      <c r="E3094" s="5" t="s">
        <v>44</v>
      </c>
      <c r="F3094" s="5" t="s">
        <v>8609</v>
      </c>
      <c r="G3094" s="5" t="s">
        <v>152</v>
      </c>
      <c r="H3094" s="5" t="s">
        <v>8872</v>
      </c>
      <c r="I3094" s="5" t="s">
        <v>8968</v>
      </c>
      <c r="J3094" s="5" t="s">
        <v>8969</v>
      </c>
      <c r="K3094" s="7" t="str">
        <f ca="1">IFERROR(__xludf.DUMMYFUNCTION("GOOGLETRANSLATE(H3094,""EN"",""ES"")"),"EQUIPOS DE TELECOMUNICACIONES, CONTROLES REMOTOS INALÁMBRICOS Y AMPLIFICADORES DE RADIO")</f>
        <v>EQUIPOS DE TELECOMUNICACIONES, CONTROLES REMOTOS INALÁMBRICOS Y AMPLIFICADORES DE RADIO</v>
      </c>
      <c r="L3094" s="5" t="str">
        <f ca="1">IFERROR(__xludf.DUMMYFUNCTION("GOOGLETRANSLATE(J3094,""EN"",""ES"")"),"máquinas de fax")</f>
        <v>máquinas de fax</v>
      </c>
      <c r="M3094" s="10" t="s">
        <v>50</v>
      </c>
      <c r="N3094" s="8"/>
    </row>
    <row r="3095" spans="1:14" ht="11.25" customHeight="1">
      <c r="A3095" s="5" t="s">
        <v>8605</v>
      </c>
      <c r="B3095" s="5" t="s">
        <v>8870</v>
      </c>
      <c r="C3095" s="5" t="s">
        <v>8970</v>
      </c>
      <c r="D3095" s="5" t="s">
        <v>8608</v>
      </c>
      <c r="E3095" s="5" t="s">
        <v>44</v>
      </c>
      <c r="F3095" s="5" t="s">
        <v>8609</v>
      </c>
      <c r="G3095" s="5" t="s">
        <v>152</v>
      </c>
      <c r="H3095" s="5" t="s">
        <v>8872</v>
      </c>
      <c r="I3095" s="5" t="s">
        <v>8971</v>
      </c>
      <c r="J3095" s="5" t="s">
        <v>8971</v>
      </c>
      <c r="K3095" s="7" t="str">
        <f ca="1">IFERROR(__xludf.DUMMYFUNCTION("GOOGLETRANSLATE(H3095,""EN"",""ES"")"),"EQUIPOS DE TELECOMUNICACIONES, CONTROLES REMOTOS INALÁMBRICOS Y AMPLIFICADORES DE RADIO")</f>
        <v>EQUIPOS DE TELECOMUNICACIONES, CONTROLES REMOTOS INALÁMBRICOS Y AMPLIFICADORES DE RADIO</v>
      </c>
      <c r="L3095" s="5" t="str">
        <f ca="1">IFERROR(__xludf.DUMMYFUNCTION("GOOGLETRANSLATE(J3095,""EN"",""ES"")"),"Módems")</f>
        <v>Módems</v>
      </c>
      <c r="M3095" s="10" t="s">
        <v>50</v>
      </c>
      <c r="N3095" s="8"/>
    </row>
    <row r="3096" spans="1:14" ht="11.25" customHeight="1">
      <c r="A3096" s="5" t="s">
        <v>8605</v>
      </c>
      <c r="B3096" s="5" t="s">
        <v>8870</v>
      </c>
      <c r="C3096" s="5" t="s">
        <v>8972</v>
      </c>
      <c r="D3096" s="5" t="s">
        <v>8608</v>
      </c>
      <c r="E3096" s="5" t="s">
        <v>44</v>
      </c>
      <c r="F3096" s="5" t="s">
        <v>8609</v>
      </c>
      <c r="G3096" s="5" t="s">
        <v>152</v>
      </c>
      <c r="H3096" s="5" t="s">
        <v>8872</v>
      </c>
      <c r="I3096" s="5" t="s">
        <v>8973</v>
      </c>
      <c r="J3096" s="5" t="s">
        <v>8974</v>
      </c>
      <c r="K3096" s="7" t="str">
        <f ca="1">IFERROR(__xludf.DUMMYFUNCTION("GOOGLETRANSLATE(H3096,""EN"",""ES"")"),"EQUIPOS DE TELECOMUNICACIONES, CONTROLES REMOTOS INALÁMBRICOS Y AMPLIFICADORES DE RADIO")</f>
        <v>EQUIPOS DE TELECOMUNICACIONES, CONTROLES REMOTOS INALÁMBRICOS Y AMPLIFICADORES DE RADIO</v>
      </c>
      <c r="L3096" s="5" t="str">
        <f ca="1">IFERROR(__xludf.DUMMYFUNCTION("GOOGLETRANSLATE(J3096,""EN"",""ES"")"),"Aparatos de telecomunicaciones")</f>
        <v>Aparatos de telecomunicaciones</v>
      </c>
      <c r="M3096" s="10" t="s">
        <v>50</v>
      </c>
      <c r="N3096" s="8"/>
    </row>
    <row r="3097" spans="1:14" ht="11.25" customHeight="1">
      <c r="A3097" s="5" t="s">
        <v>8605</v>
      </c>
      <c r="B3097" s="5" t="s">
        <v>8870</v>
      </c>
      <c r="C3097" s="5" t="s">
        <v>8975</v>
      </c>
      <c r="D3097" s="5" t="s">
        <v>8608</v>
      </c>
      <c r="E3097" s="5" t="s">
        <v>44</v>
      </c>
      <c r="F3097" s="5" t="s">
        <v>8609</v>
      </c>
      <c r="G3097" s="5" t="s">
        <v>152</v>
      </c>
      <c r="H3097" s="5" t="s">
        <v>8872</v>
      </c>
      <c r="I3097" s="5" t="s">
        <v>8976</v>
      </c>
      <c r="J3097" s="5" t="s">
        <v>8977</v>
      </c>
      <c r="K3097" s="7" t="str">
        <f ca="1">IFERROR(__xludf.DUMMYFUNCTION("GOOGLETRANSLATE(H3097,""EN"",""ES"")"),"EQUIPOS DE TELECOMUNICACIONES, CONTROLES REMOTOS INALÁMBRICOS Y AMPLIFICADORES DE RADIO")</f>
        <v>EQUIPOS DE TELECOMUNICACIONES, CONTROLES REMOTOS INALÁMBRICOS Y AMPLIFICADORES DE RADIO</v>
      </c>
      <c r="L3097" s="5" t="str">
        <f ca="1">IFERROR(__xludf.DUMMYFUNCTION("GOOGLETRANSLATE(J3097,""EN"",""ES"")"),"Pantallas de vídeo [televisores de pantalla grande]")</f>
        <v>Pantallas de vídeo [televisores de pantalla grande]</v>
      </c>
      <c r="M3097" s="10" t="s">
        <v>50</v>
      </c>
      <c r="N3097" s="8"/>
    </row>
    <row r="3098" spans="1:14" ht="11.25" customHeight="1">
      <c r="A3098" s="5" t="s">
        <v>8605</v>
      </c>
      <c r="B3098" s="5" t="s">
        <v>8870</v>
      </c>
      <c r="C3098" s="5" t="s">
        <v>8978</v>
      </c>
      <c r="D3098" s="5" t="s">
        <v>8608</v>
      </c>
      <c r="E3098" s="5" t="s">
        <v>44</v>
      </c>
      <c r="F3098" s="5" t="s">
        <v>8609</v>
      </c>
      <c r="G3098" s="5" t="s">
        <v>152</v>
      </c>
      <c r="H3098" s="5" t="s">
        <v>8872</v>
      </c>
      <c r="I3098" s="5" t="s">
        <v>8979</v>
      </c>
      <c r="J3098" s="5" t="s">
        <v>8980</v>
      </c>
      <c r="K3098" s="7" t="str">
        <f ca="1">IFERROR(__xludf.DUMMYFUNCTION("GOOGLETRANSLATE(H3098,""EN"",""ES"")"),"EQUIPOS DE TELECOMUNICACIONES, CONTROLES REMOTOS INALÁMBRICOS Y AMPLIFICADORES DE RADIO")</f>
        <v>EQUIPOS DE TELECOMUNICACIONES, CONTROLES REMOTOS INALÁMBRICOS Y AMPLIFICADORES DE RADIO</v>
      </c>
      <c r="L3098" s="5" t="str">
        <f ca="1">IFERROR(__xludf.DUMMYFUNCTION("GOOGLETRANSLATE(J3098,""EN"",""ES"")"),"Decodificadores de televisión")</f>
        <v>Decodificadores de televisión</v>
      </c>
      <c r="M3098" s="10" t="s">
        <v>50</v>
      </c>
      <c r="N3098" s="8"/>
    </row>
    <row r="3099" spans="1:14" ht="11.25" customHeight="1">
      <c r="A3099" s="5" t="s">
        <v>8605</v>
      </c>
      <c r="B3099" s="5" t="s">
        <v>8870</v>
      </c>
      <c r="C3099" s="5" t="s">
        <v>8981</v>
      </c>
      <c r="D3099" s="5" t="s">
        <v>8608</v>
      </c>
      <c r="E3099" s="5" t="s">
        <v>44</v>
      </c>
      <c r="F3099" s="5" t="s">
        <v>8609</v>
      </c>
      <c r="G3099" s="5" t="s">
        <v>152</v>
      </c>
      <c r="H3099" s="5" t="s">
        <v>8872</v>
      </c>
      <c r="I3099" s="5" t="s">
        <v>8982</v>
      </c>
      <c r="J3099" s="5" t="s">
        <v>8983</v>
      </c>
      <c r="K3099" s="7" t="str">
        <f ca="1">IFERROR(__xludf.DUMMYFUNCTION("GOOGLETRANSLATE(H3099,""EN"",""ES"")"),"EQUIPOS DE TELECOMUNICACIONES, CONTROLES REMOTOS INALÁMBRICOS Y AMPLIFICADORES DE RADIO")</f>
        <v>EQUIPOS DE TELECOMUNICACIONES, CONTROLES REMOTOS INALÁMBRICOS Y AMPLIFICADORES DE RADIO</v>
      </c>
      <c r="L3099" s="5" t="str">
        <f ca="1">IFERROR(__xludf.DUMMYFUNCTION("GOOGLETRANSLATE(J3099,""EN"",""ES"")"),"Aparatos básicos para teléfonos inalámbricos.")</f>
        <v>Aparatos básicos para teléfonos inalámbricos.</v>
      </c>
      <c r="M3099" s="10" t="s">
        <v>50</v>
      </c>
      <c r="N3099" s="8"/>
    </row>
    <row r="3100" spans="1:14" ht="11.25" customHeight="1">
      <c r="A3100" s="5" t="s">
        <v>8605</v>
      </c>
      <c r="B3100" s="5" t="s">
        <v>8870</v>
      </c>
      <c r="C3100" s="5" t="s">
        <v>8984</v>
      </c>
      <c r="D3100" s="5" t="s">
        <v>8608</v>
      </c>
      <c r="E3100" s="5" t="s">
        <v>44</v>
      </c>
      <c r="F3100" s="5" t="s">
        <v>8609</v>
      </c>
      <c r="G3100" s="5" t="s">
        <v>152</v>
      </c>
      <c r="H3100" s="5" t="s">
        <v>8872</v>
      </c>
      <c r="I3100" s="5" t="s">
        <v>8985</v>
      </c>
      <c r="J3100" s="5" t="s">
        <v>8986</v>
      </c>
      <c r="K3100" s="7" t="str">
        <f ca="1">IFERROR(__xludf.DUMMYFUNCTION("GOOGLETRANSLATE(H3100,""EN"",""ES"")"),"EQUIPOS DE TELECOMUNICACIONES, CONTROLES REMOTOS INALÁMBRICOS Y AMPLIFICADORES DE RADIO")</f>
        <v>EQUIPOS DE TELECOMUNICACIONES, CONTROLES REMOTOS INALÁMBRICOS Y AMPLIFICADORES DE RADIO</v>
      </c>
      <c r="L3100" s="5" t="str">
        <f ca="1">IFERROR(__xludf.DUMMYFUNCTION("GOOGLETRANSLATE(J3100,""EN"",""ES"")"),"Controles remotos [inalámbricos]")</f>
        <v>Controles remotos [inalámbricos]</v>
      </c>
      <c r="M3100" s="10" t="s">
        <v>50</v>
      </c>
      <c r="N3100" s="8"/>
    </row>
    <row r="3101" spans="1:14" ht="11.25" customHeight="1">
      <c r="A3101" s="5" t="s">
        <v>8605</v>
      </c>
      <c r="B3101" s="5" t="s">
        <v>8870</v>
      </c>
      <c r="C3101" s="5" t="s">
        <v>8987</v>
      </c>
      <c r="D3101" s="5" t="s">
        <v>8608</v>
      </c>
      <c r="E3101" s="5" t="s">
        <v>44</v>
      </c>
      <c r="F3101" s="5" t="s">
        <v>8609</v>
      </c>
      <c r="G3101" s="5" t="s">
        <v>152</v>
      </c>
      <c r="H3101" s="5" t="s">
        <v>8872</v>
      </c>
      <c r="I3101" s="5" t="s">
        <v>8988</v>
      </c>
      <c r="J3101" s="5" t="s">
        <v>8989</v>
      </c>
      <c r="K3101" s="7" t="str">
        <f ca="1">IFERROR(__xludf.DUMMYFUNCTION("GOOGLETRANSLATE(H3101,""EN"",""ES"")"),"EQUIPOS DE TELECOMUNICACIONES, CONTROLES REMOTOS INALÁMBRICOS Y AMPLIFICADORES DE RADIO")</f>
        <v>EQUIPOS DE TELECOMUNICACIONES, CONTROLES REMOTOS INALÁMBRICOS Y AMPLIFICADORES DE RADIO</v>
      </c>
      <c r="L3101" s="5" t="str">
        <f ca="1">IFERROR(__xludf.DUMMYFUNCTION("GOOGLETRANSLATE(J3101,""EN"",""ES"")"),"Videoteléfonos")</f>
        <v>Videoteléfonos</v>
      </c>
      <c r="M3101" s="10" t="s">
        <v>50</v>
      </c>
      <c r="N3101" s="8"/>
    </row>
    <row r="3102" spans="1:14" ht="11.25" customHeight="1">
      <c r="A3102" s="5" t="s">
        <v>8605</v>
      </c>
      <c r="B3102" s="5" t="s">
        <v>8870</v>
      </c>
      <c r="C3102" s="5" t="s">
        <v>8990</v>
      </c>
      <c r="D3102" s="5" t="s">
        <v>8608</v>
      </c>
      <c r="E3102" s="5" t="s">
        <v>44</v>
      </c>
      <c r="F3102" s="5" t="s">
        <v>8609</v>
      </c>
      <c r="G3102" s="5" t="s">
        <v>152</v>
      </c>
      <c r="H3102" s="5" t="s">
        <v>8872</v>
      </c>
      <c r="I3102" s="5" t="s">
        <v>8991</v>
      </c>
      <c r="J3102" s="5" t="s">
        <v>8992</v>
      </c>
      <c r="K3102" s="7" t="str">
        <f ca="1">IFERROR(__xludf.DUMMYFUNCTION("GOOGLETRANSLATE(H3102,""EN"",""ES"")"),"EQUIPOS DE TELECOMUNICACIONES, CONTROLES REMOTOS INALÁMBRICOS Y AMPLIFICADORES DE RADIO")</f>
        <v>EQUIPOS DE TELECOMUNICACIONES, CONTROLES REMOTOS INALÁMBRICOS Y AMPLIFICADORES DE RADIO</v>
      </c>
      <c r="L3102" s="5" t="str">
        <f ca="1">IFERROR(__xludf.DUMMYFUNCTION("GOOGLETRANSLATE(J3102,""EN"",""ES"")"),"Sintonizadores inalámbricos")</f>
        <v>Sintonizadores inalámbricos</v>
      </c>
      <c r="M3102" s="10" t="s">
        <v>50</v>
      </c>
      <c r="N3102" s="8"/>
    </row>
    <row r="3103" spans="1:14" ht="11.25" customHeight="1">
      <c r="A3103" s="5" t="s">
        <v>8605</v>
      </c>
      <c r="B3103" s="5" t="s">
        <v>8870</v>
      </c>
      <c r="C3103" s="5" t="s">
        <v>8993</v>
      </c>
      <c r="D3103" s="5" t="s">
        <v>8608</v>
      </c>
      <c r="E3103" s="5" t="s">
        <v>44</v>
      </c>
      <c r="F3103" s="5" t="s">
        <v>8609</v>
      </c>
      <c r="G3103" s="5" t="s">
        <v>152</v>
      </c>
      <c r="H3103" s="5" t="s">
        <v>8872</v>
      </c>
      <c r="I3103" s="5" t="s">
        <v>8994</v>
      </c>
      <c r="J3103" s="5" t="s">
        <v>8995</v>
      </c>
      <c r="K3103" s="7" t="str">
        <f ca="1">IFERROR(__xludf.DUMMYFUNCTION("GOOGLETRANSLATE(H3103,""EN"",""ES"")"),"EQUIPOS DE TELECOMUNICACIONES, CONTROLES REMOTOS INALÁMBRICOS Y AMPLIFICADORES DE RADIO")</f>
        <v>EQUIPOS DE TELECOMUNICACIONES, CONTROLES REMOTOS INALÁMBRICOS Y AMPLIFICADORES DE RADIO</v>
      </c>
      <c r="L3103" s="5" t="str">
        <f ca="1">IFERROR(__xludf.DUMMYFUNCTION("GOOGLETRANSLATE(J3103,""EN"",""ES"")"),"Pantallas para telefonía")</f>
        <v>Pantallas para telefonía</v>
      </c>
      <c r="M3103" s="10" t="s">
        <v>50</v>
      </c>
      <c r="N3103" s="8"/>
    </row>
    <row r="3104" spans="1:14" ht="11.25" customHeight="1">
      <c r="A3104" s="5" t="s">
        <v>8605</v>
      </c>
      <c r="B3104" s="5" t="s">
        <v>8870</v>
      </c>
      <c r="C3104" s="5" t="s">
        <v>8996</v>
      </c>
      <c r="D3104" s="5" t="s">
        <v>8608</v>
      </c>
      <c r="E3104" s="5" t="s">
        <v>44</v>
      </c>
      <c r="F3104" s="5" t="s">
        <v>8609</v>
      </c>
      <c r="G3104" s="5" t="s">
        <v>152</v>
      </c>
      <c r="H3104" s="5" t="s">
        <v>8872</v>
      </c>
      <c r="I3104" s="5" t="s">
        <v>8997</v>
      </c>
      <c r="J3104" s="5" t="s">
        <v>8998</v>
      </c>
      <c r="K3104" s="7" t="str">
        <f ca="1">IFERROR(__xludf.DUMMYFUNCTION("GOOGLETRANSLATE(H3104,""EN"",""ES"")"),"EQUIPOS DE TELECOMUNICACIONES, CONTROLES REMOTOS INALÁMBRICOS Y AMPLIFICADORES DE RADIO")</f>
        <v>EQUIPOS DE TELECOMUNICACIONES, CONTROLES REMOTOS INALÁMBRICOS Y AMPLIFICADORES DE RADIO</v>
      </c>
      <c r="L3104" s="5" t="str">
        <f ca="1">IFERROR(__xludf.DUMMYFUNCTION("GOOGLETRANSLATE(J3104,""EN"",""ES"")"),"Buscapersonas digitales")</f>
        <v>Buscapersonas digitales</v>
      </c>
      <c r="M3104" s="10" t="s">
        <v>50</v>
      </c>
      <c r="N3104" s="8"/>
    </row>
    <row r="3105" spans="1:14" ht="11.25" customHeight="1">
      <c r="A3105" s="5" t="s">
        <v>8605</v>
      </c>
      <c r="B3105" s="5" t="s">
        <v>8870</v>
      </c>
      <c r="C3105" s="5" t="s">
        <v>8999</v>
      </c>
      <c r="D3105" s="5" t="s">
        <v>8608</v>
      </c>
      <c r="E3105" s="5" t="s">
        <v>44</v>
      </c>
      <c r="F3105" s="5" t="s">
        <v>8609</v>
      </c>
      <c r="G3105" s="5" t="s">
        <v>152</v>
      </c>
      <c r="H3105" s="5" t="s">
        <v>8872</v>
      </c>
      <c r="I3105" s="5" t="s">
        <v>9000</v>
      </c>
      <c r="J3105" s="5" t="s">
        <v>9001</v>
      </c>
      <c r="K3105" s="7" t="str">
        <f ca="1">IFERROR(__xludf.DUMMYFUNCTION("GOOGLETRANSLATE(H3105,""EN"",""ES"")"),"EQUIPOS DE TELECOMUNICACIONES, CONTROLES REMOTOS INALÁMBRICOS Y AMPLIFICADORES DE RADIO")</f>
        <v>EQUIPOS DE TELECOMUNICACIONES, CONTROLES REMOTOS INALÁMBRICOS Y AMPLIFICADORES DE RADIO</v>
      </c>
      <c r="L3105" s="5" t="str">
        <f ca="1">IFERROR(__xludf.DUMMYFUNCTION("GOOGLETRANSLATE(J3105,""EN"",""ES"")"),"Módems inalámbricos")</f>
        <v>Módems inalámbricos</v>
      </c>
      <c r="M3105" s="10" t="s">
        <v>50</v>
      </c>
      <c r="N3105" s="8"/>
    </row>
    <row r="3106" spans="1:14" ht="11.25" customHeight="1">
      <c r="A3106" s="5" t="s">
        <v>8605</v>
      </c>
      <c r="B3106" s="5" t="s">
        <v>8870</v>
      </c>
      <c r="C3106" s="5" t="s">
        <v>9002</v>
      </c>
      <c r="D3106" s="5" t="s">
        <v>8608</v>
      </c>
      <c r="E3106" s="5" t="s">
        <v>44</v>
      </c>
      <c r="F3106" s="5" t="s">
        <v>8609</v>
      </c>
      <c r="G3106" s="5" t="s">
        <v>152</v>
      </c>
      <c r="H3106" s="5" t="s">
        <v>8872</v>
      </c>
      <c r="I3106" s="5" t="s">
        <v>9003</v>
      </c>
      <c r="J3106" s="5" t="s">
        <v>9004</v>
      </c>
      <c r="K3106" s="7" t="str">
        <f ca="1">IFERROR(__xludf.DUMMYFUNCTION("GOOGLETRANSLATE(H3106,""EN"",""ES"")"),"EQUIPOS DE TELECOMUNICACIONES, CONTROLES REMOTOS INALÁMBRICOS Y AMPLIFICADORES DE RADIO")</f>
        <v>EQUIPOS DE TELECOMUNICACIONES, CONTROLES REMOTOS INALÁMBRICOS Y AMPLIFICADORES DE RADIO</v>
      </c>
      <c r="L3106" s="5" t="str">
        <f ca="1">IFERROR(__xludf.DUMMYFUNCTION("GOOGLETRANSLATE(J3106,""EN"",""ES"")"),"Teléfonos portátiles")</f>
        <v>Teléfonos portátiles</v>
      </c>
      <c r="M3106" s="10" t="s">
        <v>50</v>
      </c>
      <c r="N3106" s="8"/>
    </row>
    <row r="3107" spans="1:14" ht="11.25" customHeight="1">
      <c r="A3107" s="5" t="s">
        <v>8605</v>
      </c>
      <c r="B3107" s="5" t="s">
        <v>8870</v>
      </c>
      <c r="C3107" s="5" t="s">
        <v>9005</v>
      </c>
      <c r="D3107" s="5" t="s">
        <v>8608</v>
      </c>
      <c r="E3107" s="5" t="s">
        <v>44</v>
      </c>
      <c r="F3107" s="5" t="s">
        <v>8609</v>
      </c>
      <c r="G3107" s="5" t="s">
        <v>152</v>
      </c>
      <c r="H3107" s="5" t="s">
        <v>8872</v>
      </c>
      <c r="I3107" s="5" t="s">
        <v>9006</v>
      </c>
      <c r="J3107" s="5" t="s">
        <v>9007</v>
      </c>
      <c r="K3107" s="7" t="str">
        <f ca="1">IFERROR(__xludf.DUMMYFUNCTION("GOOGLETRANSLATE(H3107,""EN"",""ES"")"),"EQUIPOS DE TELECOMUNICACIONES, CONTROLES REMOTOS INALÁMBRICOS Y AMPLIFICADORES DE RADIO")</f>
        <v>EQUIPOS DE TELECOMUNICACIONES, CONTROLES REMOTOS INALÁMBRICOS Y AMPLIFICADORES DE RADIO</v>
      </c>
      <c r="L3107" s="5" t="str">
        <f ca="1">IFERROR(__xludf.DUMMYFUNCTION("GOOGLETRANSLATE(J3107,""EN"",""ES"")"),"Auriculares telefónicos")</f>
        <v>Auriculares telefónicos</v>
      </c>
      <c r="M3107" s="10" t="s">
        <v>50</v>
      </c>
      <c r="N3107" s="8"/>
    </row>
    <row r="3108" spans="1:14" ht="11.25" customHeight="1">
      <c r="A3108" s="5" t="s">
        <v>8605</v>
      </c>
      <c r="B3108" s="5" t="s">
        <v>8870</v>
      </c>
      <c r="C3108" s="5" t="s">
        <v>9008</v>
      </c>
      <c r="D3108" s="5" t="s">
        <v>8608</v>
      </c>
      <c r="E3108" s="5" t="s">
        <v>44</v>
      </c>
      <c r="F3108" s="5" t="s">
        <v>8609</v>
      </c>
      <c r="G3108" s="5" t="s">
        <v>152</v>
      </c>
      <c r="H3108" s="5" t="s">
        <v>8872</v>
      </c>
      <c r="I3108" s="5" t="s">
        <v>9009</v>
      </c>
      <c r="J3108" s="5" t="s">
        <v>9010</v>
      </c>
      <c r="K3108" s="7" t="str">
        <f ca="1">IFERROR(__xludf.DUMMYFUNCTION("GOOGLETRANSLATE(H3108,""EN"",""ES"")"),"EQUIPOS DE TELECOMUNICACIONES, CONTROLES REMOTOS INALÁMBRICOS Y AMPLIFICADORES DE RADIO")</f>
        <v>EQUIPOS DE TELECOMUNICACIONES, CONTROLES REMOTOS INALÁMBRICOS Y AMPLIFICADORES DE RADIO</v>
      </c>
      <c r="L3108" s="5" t="str">
        <f ca="1">IFERROR(__xludf.DUMMYFUNCTION("GOOGLETRANSLATE(J3108,""EN"",""ES"")"),"Teléfonos intercomunicadores")</f>
        <v>Teléfonos intercomunicadores</v>
      </c>
      <c r="M3108" s="10" t="s">
        <v>50</v>
      </c>
      <c r="N3108" s="8"/>
    </row>
    <row r="3109" spans="1:14" ht="11.25" customHeight="1">
      <c r="A3109" s="5" t="s">
        <v>8605</v>
      </c>
      <c r="B3109" s="5" t="s">
        <v>8870</v>
      </c>
      <c r="C3109" s="5" t="s">
        <v>9011</v>
      </c>
      <c r="D3109" s="5" t="s">
        <v>8608</v>
      </c>
      <c r="E3109" s="5" t="s">
        <v>44</v>
      </c>
      <c r="F3109" s="5" t="s">
        <v>8609</v>
      </c>
      <c r="G3109" s="5" t="s">
        <v>152</v>
      </c>
      <c r="H3109" s="5" t="s">
        <v>8872</v>
      </c>
      <c r="I3109" s="5" t="s">
        <v>9012</v>
      </c>
      <c r="J3109" s="5" t="s">
        <v>9013</v>
      </c>
      <c r="K3109" s="7" t="str">
        <f ca="1">IFERROR(__xludf.DUMMYFUNCTION("GOOGLETRANSLATE(H3109,""EN"",""ES"")"),"EQUIPOS DE TELECOMUNICACIONES, CONTROLES REMOTOS INALÁMBRICOS Y AMPLIFICADORES DE RADIO")</f>
        <v>EQUIPOS DE TELECOMUNICACIONES, CONTROLES REMOTOS INALÁMBRICOS Y AMPLIFICADORES DE RADIO</v>
      </c>
      <c r="L3109" s="5" t="str">
        <f ca="1">IFERROR(__xludf.DUMMYFUNCTION("GOOGLETRANSLATE(J3109,""EN"",""ES"")"),"Receptores de satélite")</f>
        <v>Receptores de satélite</v>
      </c>
      <c r="M3109" s="10" t="s">
        <v>50</v>
      </c>
      <c r="N3109" s="8"/>
    </row>
    <row r="3110" spans="1:14" ht="11.25" customHeight="1">
      <c r="A3110" s="5" t="s">
        <v>8605</v>
      </c>
      <c r="B3110" s="5" t="s">
        <v>8870</v>
      </c>
      <c r="C3110" s="5" t="s">
        <v>9014</v>
      </c>
      <c r="D3110" s="5" t="s">
        <v>8608</v>
      </c>
      <c r="E3110" s="5" t="s">
        <v>44</v>
      </c>
      <c r="F3110" s="5" t="s">
        <v>8609</v>
      </c>
      <c r="G3110" s="5" t="s">
        <v>152</v>
      </c>
      <c r="H3110" s="5" t="s">
        <v>8872</v>
      </c>
      <c r="I3110" s="5" t="s">
        <v>9015</v>
      </c>
      <c r="J3110" s="5" t="s">
        <v>9016</v>
      </c>
      <c r="K3110" s="7" t="str">
        <f ca="1">IFERROR(__xludf.DUMMYFUNCTION("GOOGLETRANSLATE(H3110,""EN"",""ES"")"),"EQUIPOS DE TELECOMUNICACIONES, CONTROLES REMOTOS INALÁMBRICOS Y AMPLIFICADORES DE RADIO")</f>
        <v>EQUIPOS DE TELECOMUNICACIONES, CONTROLES REMOTOS INALÁMBRICOS Y AMPLIFICADORES DE RADIO</v>
      </c>
      <c r="L3110" s="5" t="str">
        <f ca="1">IFERROR(__xludf.DUMMYFUNCTION("GOOGLETRANSLATE(J3110,""EN"",""ES"")"),"Tomas de antena")</f>
        <v>Tomas de antena</v>
      </c>
      <c r="M3110" s="10" t="s">
        <v>50</v>
      </c>
      <c r="N3110" s="8"/>
    </row>
    <row r="3111" spans="1:14" ht="11.25" customHeight="1">
      <c r="A3111" s="5" t="s">
        <v>8605</v>
      </c>
      <c r="B3111" s="5" t="s">
        <v>8870</v>
      </c>
      <c r="C3111" s="5" t="s">
        <v>9017</v>
      </c>
      <c r="D3111" s="5" t="s">
        <v>8608</v>
      </c>
      <c r="E3111" s="5" t="s">
        <v>44</v>
      </c>
      <c r="F3111" s="5" t="s">
        <v>8609</v>
      </c>
      <c r="G3111" s="5" t="s">
        <v>152</v>
      </c>
      <c r="H3111" s="5" t="s">
        <v>8872</v>
      </c>
      <c r="I3111" s="5" t="s">
        <v>9018</v>
      </c>
      <c r="J3111" s="5" t="s">
        <v>9019</v>
      </c>
      <c r="K3111" s="7" t="str">
        <f ca="1">IFERROR(__xludf.DUMMYFUNCTION("GOOGLETRANSLATE(H3111,""EN"",""ES"")"),"EQUIPOS DE TELECOMUNICACIONES, CONTROLES REMOTOS INALÁMBRICOS Y AMPLIFICADORES DE RADIO")</f>
        <v>EQUIPOS DE TELECOMUNICACIONES, CONTROLES REMOTOS INALÁMBRICOS Y AMPLIFICADORES DE RADIO</v>
      </c>
      <c r="L3111" s="5" t="str">
        <f ca="1">IFERROR(__xludf.DUMMYFUNCTION("GOOGLETRANSLATE(J3111,""EN"",""ES"")"),"Dispositivos de posicionamiento global [GPS]")</f>
        <v>Dispositivos de posicionamiento global [GPS]</v>
      </c>
      <c r="M3111" s="10" t="s">
        <v>50</v>
      </c>
      <c r="N3111" s="8"/>
    </row>
    <row r="3112" spans="1:14" ht="11.25" customHeight="1">
      <c r="A3112" s="5" t="s">
        <v>8605</v>
      </c>
      <c r="B3112" s="5" t="s">
        <v>8870</v>
      </c>
      <c r="C3112" s="5" t="s">
        <v>9020</v>
      </c>
      <c r="D3112" s="5" t="s">
        <v>8608</v>
      </c>
      <c r="E3112" s="5" t="s">
        <v>44</v>
      </c>
      <c r="F3112" s="5" t="s">
        <v>8609</v>
      </c>
      <c r="G3112" s="5" t="s">
        <v>152</v>
      </c>
      <c r="H3112" s="5" t="s">
        <v>8872</v>
      </c>
      <c r="I3112" s="5" t="s">
        <v>9021</v>
      </c>
      <c r="J3112" s="5" t="s">
        <v>9022</v>
      </c>
      <c r="K3112" s="7" t="str">
        <f ca="1">IFERROR(__xludf.DUMMYFUNCTION("GOOGLETRANSLATE(H3112,""EN"",""ES"")"),"EQUIPOS DE TELECOMUNICACIONES, CONTROLES REMOTOS INALÁMBRICOS Y AMPLIFICADORES DE RADIO")</f>
        <v>EQUIPOS DE TELECOMUNICACIONES, CONTROLES REMOTOS INALÁMBRICOS Y AMPLIFICADORES DE RADIO</v>
      </c>
      <c r="L3112" s="5" t="str">
        <f ca="1">IFERROR(__xludf.DUMMYFUNCTION("GOOGLETRANSLATE(J3112,""EN"",""ES"")"),"Teléfonos móviles")</f>
        <v>Teléfonos móviles</v>
      </c>
      <c r="M3112" s="10" t="s">
        <v>50</v>
      </c>
      <c r="N3112" s="8"/>
    </row>
    <row r="3113" spans="1:14" ht="11.25" customHeight="1">
      <c r="A3113" s="5" t="s">
        <v>8605</v>
      </c>
      <c r="B3113" s="5" t="s">
        <v>8870</v>
      </c>
      <c r="C3113" s="5" t="s">
        <v>9023</v>
      </c>
      <c r="D3113" s="5" t="s">
        <v>8608</v>
      </c>
      <c r="E3113" s="5" t="s">
        <v>44</v>
      </c>
      <c r="F3113" s="5" t="s">
        <v>8609</v>
      </c>
      <c r="G3113" s="5" t="s">
        <v>152</v>
      </c>
      <c r="H3113" s="5" t="s">
        <v>8872</v>
      </c>
      <c r="I3113" s="5" t="s">
        <v>9024</v>
      </c>
      <c r="J3113" s="5" t="s">
        <v>9025</v>
      </c>
      <c r="K3113" s="7" t="str">
        <f ca="1">IFERROR(__xludf.DUMMYFUNCTION("GOOGLETRANSLATE(H3113,""EN"",""ES"")"),"EQUIPOS DE TELECOMUNICACIONES, CONTROLES REMOTOS INALÁMBRICOS Y AMPLIFICADORES DE RADIO")</f>
        <v>EQUIPOS DE TELECOMUNICACIONES, CONTROLES REMOTOS INALÁMBRICOS Y AMPLIFICADORES DE RADIO</v>
      </c>
      <c r="L3113" s="5" t="str">
        <f ca="1">IFERROR(__xludf.DUMMYFUNCTION("GOOGLETRANSLATE(J3113,""EN"",""ES"")"),"Dispositivos de navegación")</f>
        <v>Dispositivos de navegación</v>
      </c>
      <c r="M3113" s="10" t="s">
        <v>50</v>
      </c>
      <c r="N3113" s="8"/>
    </row>
    <row r="3114" spans="1:14" ht="11.25" customHeight="1">
      <c r="A3114" s="5" t="s">
        <v>8605</v>
      </c>
      <c r="B3114" s="5" t="s">
        <v>8870</v>
      </c>
      <c r="C3114" s="5" t="s">
        <v>9026</v>
      </c>
      <c r="D3114" s="5" t="s">
        <v>8608</v>
      </c>
      <c r="E3114" s="5" t="s">
        <v>44</v>
      </c>
      <c r="F3114" s="5" t="s">
        <v>8609</v>
      </c>
      <c r="G3114" s="5" t="s">
        <v>152</v>
      </c>
      <c r="H3114" s="5" t="s">
        <v>8872</v>
      </c>
      <c r="I3114" s="5" t="s">
        <v>9027</v>
      </c>
      <c r="J3114" s="5" t="s">
        <v>9028</v>
      </c>
      <c r="K3114" s="7" t="str">
        <f ca="1">IFERROR(__xludf.DUMMYFUNCTION("GOOGLETRANSLATE(H3114,""EN"",""ES"")"),"EQUIPOS DE TELECOMUNICACIONES, CONTROLES REMOTOS INALÁMBRICOS Y AMPLIFICADORES DE RADIO")</f>
        <v>EQUIPOS DE TELECOMUNICACIONES, CONTROLES REMOTOS INALÁMBRICOS Y AMPLIFICADORES DE RADIO</v>
      </c>
      <c r="L3114" s="5" t="str">
        <f ca="1">IFERROR(__xludf.DUMMYFUNCTION("GOOGLETRANSLATE(J3114,""EN"",""ES"")"),"Auriculares para teléfonos [auriculares y micrófonos combinados]")</f>
        <v>Auriculares para teléfonos [auriculares y micrófonos combinados]</v>
      </c>
      <c r="M3114" s="10" t="s">
        <v>50</v>
      </c>
      <c r="N3114" s="8"/>
    </row>
    <row r="3115" spans="1:14" ht="11.25" customHeight="1">
      <c r="A3115" s="5" t="s">
        <v>8605</v>
      </c>
      <c r="B3115" s="5" t="s">
        <v>8870</v>
      </c>
      <c r="C3115" s="5" t="s">
        <v>9029</v>
      </c>
      <c r="D3115" s="5" t="s">
        <v>8608</v>
      </c>
      <c r="E3115" s="5" t="s">
        <v>44</v>
      </c>
      <c r="F3115" s="5" t="s">
        <v>8609</v>
      </c>
      <c r="G3115" s="5" t="s">
        <v>152</v>
      </c>
      <c r="H3115" s="5" t="s">
        <v>8872</v>
      </c>
      <c r="I3115" s="5" t="s">
        <v>9030</v>
      </c>
      <c r="J3115" s="5" t="s">
        <v>9031</v>
      </c>
      <c r="K3115" s="7" t="str">
        <f ca="1">IFERROR(__xludf.DUMMYFUNCTION("GOOGLETRANSLATE(H3115,""EN"",""ES"")"),"EQUIPOS DE TELECOMUNICACIONES, CONTROLES REMOTOS INALÁMBRICOS Y AMPLIFICADORES DE RADIO")</f>
        <v>EQUIPOS DE TELECOMUNICACIONES, CONTROLES REMOTOS INALÁMBRICOS Y AMPLIFICADORES DE RADIO</v>
      </c>
      <c r="L3115" s="5" t="str">
        <f ca="1">IFERROR(__xludf.DUMMYFUNCTION("GOOGLETRANSLATE(J3115,""EN"",""ES"")"),"Controles remotos inalámbricos para presentaciones láser")</f>
        <v>Controles remotos inalámbricos para presentaciones láser</v>
      </c>
      <c r="M3115" s="10" t="s">
        <v>50</v>
      </c>
      <c r="N3115" s="8"/>
    </row>
    <row r="3116" spans="1:14" ht="11.25" customHeight="1">
      <c r="A3116" s="5" t="s">
        <v>8605</v>
      </c>
      <c r="B3116" s="5" t="s">
        <v>8870</v>
      </c>
      <c r="C3116" s="5" t="s">
        <v>9032</v>
      </c>
      <c r="D3116" s="5" t="s">
        <v>8608</v>
      </c>
      <c r="E3116" s="5" t="s">
        <v>44</v>
      </c>
      <c r="F3116" s="5" t="s">
        <v>8609</v>
      </c>
      <c r="G3116" s="5" t="s">
        <v>152</v>
      </c>
      <c r="H3116" s="5" t="s">
        <v>8872</v>
      </c>
      <c r="I3116" s="5" t="s">
        <v>9033</v>
      </c>
      <c r="J3116" s="5" t="s">
        <v>9034</v>
      </c>
      <c r="K3116" s="7" t="str">
        <f ca="1">IFERROR(__xludf.DUMMYFUNCTION("GOOGLETRANSLATE(H3116,""EN"",""ES"")"),"EQUIPOS DE TELECOMUNICACIONES, CONTROLES REMOTOS INALÁMBRICOS Y AMPLIFICADORES DE RADIO")</f>
        <v>EQUIPOS DE TELECOMUNICACIONES, CONTROLES REMOTOS INALÁMBRICOS Y AMPLIFICADORES DE RADIO</v>
      </c>
      <c r="L3116" s="5" t="str">
        <f ca="1">IFERROR(__xludf.DUMMYFUNCTION("GOOGLETRANSLATE(J3116,""EN"",""ES"")"),"Teléfonos inteligentes de muñeca")</f>
        <v>Teléfonos inteligentes de muñeca</v>
      </c>
      <c r="M3116" s="10" t="s">
        <v>50</v>
      </c>
      <c r="N3116" s="8"/>
    </row>
    <row r="3117" spans="1:14" ht="11.25" customHeight="1">
      <c r="A3117" s="5" t="s">
        <v>8605</v>
      </c>
      <c r="B3117" s="5" t="s">
        <v>8870</v>
      </c>
      <c r="C3117" s="5" t="s">
        <v>9032</v>
      </c>
      <c r="D3117" s="5" t="s">
        <v>8608</v>
      </c>
      <c r="E3117" s="5" t="s">
        <v>44</v>
      </c>
      <c r="F3117" s="5" t="s">
        <v>8609</v>
      </c>
      <c r="G3117" s="5" t="s">
        <v>152</v>
      </c>
      <c r="H3117" s="5" t="s">
        <v>8872</v>
      </c>
      <c r="I3117" s="5" t="s">
        <v>152</v>
      </c>
      <c r="J3117" s="5" t="s">
        <v>9035</v>
      </c>
      <c r="K3117" s="7" t="str">
        <f ca="1">IFERROR(__xludf.DUMMYFUNCTION("GOOGLETRANSLATE(H3117,""EN"",""ES"")"),"EQUIPOS DE TELECOMUNICACIONES, CONTROLES REMOTOS INALÁMBRICOS Y AMPLIFICADORES DE RADIO")</f>
        <v>EQUIPOS DE TELECOMUNICACIONES, CONTROLES REMOTOS INALÁMBRICOS Y AMPLIFICADORES DE RADIO</v>
      </c>
      <c r="L3117" s="5" t="str">
        <f ca="1">IFERROR(__xludf.DUMMYFUNCTION("GOOGLETRANSLATE(J3117,""EN"",""ES"")"),"N / A")</f>
        <v>N / A</v>
      </c>
      <c r="M3117" s="10" t="s">
        <v>50</v>
      </c>
      <c r="N3117" s="8"/>
    </row>
    <row r="3118" spans="1:14" ht="11.25" customHeight="1">
      <c r="A3118" s="5" t="s">
        <v>8605</v>
      </c>
      <c r="B3118" s="5" t="s">
        <v>8870</v>
      </c>
      <c r="C3118" s="5" t="s">
        <v>9036</v>
      </c>
      <c r="D3118" s="5" t="s">
        <v>8608</v>
      </c>
      <c r="E3118" s="5" t="s">
        <v>44</v>
      </c>
      <c r="F3118" s="5" t="s">
        <v>8609</v>
      </c>
      <c r="G3118" s="5" t="s">
        <v>152</v>
      </c>
      <c r="H3118" s="5" t="s">
        <v>8872</v>
      </c>
      <c r="I3118" s="5" t="s">
        <v>9037</v>
      </c>
      <c r="J3118" s="5" t="s">
        <v>9038</v>
      </c>
      <c r="K3118" s="7" t="str">
        <f ca="1">IFERROR(__xludf.DUMMYFUNCTION("GOOGLETRANSLATE(H3118,""EN"",""ES"")"),"EQUIPOS DE TELECOMUNICACIONES, CONTROLES REMOTOS INALÁMBRICOS Y AMPLIFICADORES DE RADIO")</f>
        <v>EQUIPOS DE TELECOMUNICACIONES, CONTROLES REMOTOS INALÁMBRICOS Y AMPLIFICADORES DE RADIO</v>
      </c>
      <c r="L3118" s="5" t="str">
        <f ca="1">IFERROR(__xludf.DUMMYFUNCTION("GOOGLETRANSLATE(J3118,""EN"",""ES"")"),"Teléfonos inteligentes")</f>
        <v>Teléfonos inteligentes</v>
      </c>
      <c r="M3118" s="10" t="s">
        <v>50</v>
      </c>
      <c r="N3118" s="8"/>
    </row>
    <row r="3119" spans="1:14" ht="11.25" customHeight="1">
      <c r="A3119" s="5" t="s">
        <v>8605</v>
      </c>
      <c r="B3119" s="5" t="s">
        <v>8870</v>
      </c>
      <c r="C3119" s="5" t="s">
        <v>9036</v>
      </c>
      <c r="D3119" s="5" t="s">
        <v>8608</v>
      </c>
      <c r="E3119" s="5" t="s">
        <v>44</v>
      </c>
      <c r="F3119" s="5" t="s">
        <v>8609</v>
      </c>
      <c r="G3119" s="5" t="s">
        <v>152</v>
      </c>
      <c r="H3119" s="5" t="s">
        <v>8872</v>
      </c>
      <c r="I3119" s="5" t="s">
        <v>152</v>
      </c>
      <c r="J3119" s="5" t="s">
        <v>9039</v>
      </c>
      <c r="K3119" s="7" t="str">
        <f ca="1">IFERROR(__xludf.DUMMYFUNCTION("GOOGLETRANSLATE(H3119,""EN"",""ES"")"),"EQUIPOS DE TELECOMUNICACIONES, CONTROLES REMOTOS INALÁMBRICOS Y AMPLIFICADORES DE RADIO")</f>
        <v>EQUIPOS DE TELECOMUNICACIONES, CONTROLES REMOTOS INALÁMBRICOS Y AMPLIFICADORES DE RADIO</v>
      </c>
      <c r="L3119" s="5" t="str">
        <f ca="1">IFERROR(__xludf.DUMMYFUNCTION("GOOGLETRANSLATE(J3119,""EN"",""ES"")"),"N / A")</f>
        <v>N / A</v>
      </c>
      <c r="M3119" s="10" t="s">
        <v>50</v>
      </c>
      <c r="N3119" s="8"/>
    </row>
    <row r="3120" spans="1:14" ht="11.25" customHeight="1">
      <c r="A3120" s="5" t="s">
        <v>8605</v>
      </c>
      <c r="B3120" s="5" t="s">
        <v>8870</v>
      </c>
      <c r="C3120" s="5" t="s">
        <v>9040</v>
      </c>
      <c r="D3120" s="5" t="s">
        <v>8608</v>
      </c>
      <c r="E3120" s="5" t="s">
        <v>44</v>
      </c>
      <c r="F3120" s="5" t="s">
        <v>8609</v>
      </c>
      <c r="G3120" s="5" t="s">
        <v>152</v>
      </c>
      <c r="H3120" s="5" t="s">
        <v>8872</v>
      </c>
      <c r="I3120" s="5" t="s">
        <v>9041</v>
      </c>
      <c r="J3120" s="5" t="s">
        <v>9042</v>
      </c>
      <c r="K3120" s="7" t="str">
        <f ca="1">IFERROR(__xludf.DUMMYFUNCTION("GOOGLETRANSLATE(H3120,""EN"",""ES"")"),"EQUIPOS DE TELECOMUNICACIONES, CONTROLES REMOTOS INALÁMBRICOS Y AMPLIFICADORES DE RADIO")</f>
        <v>EQUIPOS DE TELECOMUNICACIONES, CONTROLES REMOTOS INALÁMBRICOS Y AMPLIFICADORES DE RADIO</v>
      </c>
      <c r="L3120" s="5" t="str">
        <f ca="1">IFERROR(__xludf.DUMMYFUNCTION("GOOGLETRANSLATE(J3120,""EN"",""ES"")"),"phablets")</f>
        <v>phablets</v>
      </c>
      <c r="M3120" s="10" t="s">
        <v>50</v>
      </c>
      <c r="N3120" s="8"/>
    </row>
    <row r="3121" spans="1:14" ht="11.25" customHeight="1">
      <c r="A3121" s="5" t="s">
        <v>8605</v>
      </c>
      <c r="B3121" s="5" t="s">
        <v>8870</v>
      </c>
      <c r="C3121" s="5" t="s">
        <v>9043</v>
      </c>
      <c r="D3121" s="5" t="s">
        <v>8608</v>
      </c>
      <c r="E3121" s="5" t="s">
        <v>44</v>
      </c>
      <c r="F3121" s="5" t="s">
        <v>8609</v>
      </c>
      <c r="G3121" s="5" t="s">
        <v>152</v>
      </c>
      <c r="H3121" s="5" t="s">
        <v>8872</v>
      </c>
      <c r="I3121" s="5" t="s">
        <v>9044</v>
      </c>
      <c r="J3121" s="5" t="s">
        <v>9045</v>
      </c>
      <c r="K3121" s="7" t="str">
        <f ca="1">IFERROR(__xludf.DUMMYFUNCTION("GOOGLETRANSLATE(H3121,""EN"",""ES"")"),"EQUIPOS DE TELECOMUNICACIONES, CONTROLES REMOTOS INALÁMBRICOS Y AMPLIFICADORES DE RADIO")</f>
        <v>EQUIPOS DE TELECOMUNICACIONES, CONTROLES REMOTOS INALÁMBRICOS Y AMPLIFICADORES DE RADIO</v>
      </c>
      <c r="L3121" s="5" t="str">
        <f ca="1">IFERROR(__xludf.DUMMYFUNCTION("GOOGLETRANSLATE(J3121,""EN"",""ES"")"),"Aparato de votación inalámbrico portátil")</f>
        <v>Aparato de votación inalámbrico portátil</v>
      </c>
      <c r="M3121" s="10" t="s">
        <v>50</v>
      </c>
      <c r="N3121" s="8"/>
    </row>
    <row r="3122" spans="1:14" ht="11.25" customHeight="1">
      <c r="A3122" s="5" t="s">
        <v>8605</v>
      </c>
      <c r="B3122" s="5" t="s">
        <v>8870</v>
      </c>
      <c r="C3122" s="5" t="s">
        <v>9046</v>
      </c>
      <c r="D3122" s="5" t="s">
        <v>8608</v>
      </c>
      <c r="E3122" s="5" t="s">
        <v>44</v>
      </c>
      <c r="F3122" s="5" t="s">
        <v>8609</v>
      </c>
      <c r="G3122" s="5" t="s">
        <v>152</v>
      </c>
      <c r="H3122" s="5" t="s">
        <v>8872</v>
      </c>
      <c r="I3122" s="5" t="s">
        <v>9047</v>
      </c>
      <c r="J3122" s="5" t="s">
        <v>9048</v>
      </c>
      <c r="K3122" s="7" t="str">
        <f ca="1">IFERROR(__xludf.DUMMYFUNCTION("GOOGLETRANSLATE(H3122,""EN"",""ES"")"),"EQUIPOS DE TELECOMUNICACIONES, CONTROLES REMOTOS INALÁMBRICOS Y AMPLIFICADORES DE RADIO")</f>
        <v>EQUIPOS DE TELECOMUNICACIONES, CONTROLES REMOTOS INALÁMBRICOS Y AMPLIFICADORES DE RADIO</v>
      </c>
      <c r="L3122" s="5" t="str">
        <f ca="1">IFERROR(__xludf.DUMMYFUNCTION("GOOGLETRANSLATE(J3122,""EN"",""ES"")"),"Balizas para dispositivos inalámbricos")</f>
        <v>Balizas para dispositivos inalámbricos</v>
      </c>
      <c r="M3122" s="10" t="s">
        <v>50</v>
      </c>
      <c r="N3122" s="8"/>
    </row>
    <row r="3123" spans="1:14" ht="11.25" customHeight="1">
      <c r="A3123" s="5" t="s">
        <v>8605</v>
      </c>
      <c r="B3123" s="5" t="s">
        <v>8870</v>
      </c>
      <c r="C3123" s="5" t="s">
        <v>9049</v>
      </c>
      <c r="D3123" s="5" t="s">
        <v>8608</v>
      </c>
      <c r="E3123" s="5" t="s">
        <v>44</v>
      </c>
      <c r="F3123" s="5" t="s">
        <v>8609</v>
      </c>
      <c r="G3123" s="5" t="s">
        <v>152</v>
      </c>
      <c r="H3123" s="5" t="s">
        <v>8872</v>
      </c>
      <c r="I3123" s="5" t="s">
        <v>9050</v>
      </c>
      <c r="J3123" s="5" t="s">
        <v>9051</v>
      </c>
      <c r="K3123" s="7" t="str">
        <f ca="1">IFERROR(__xludf.DUMMYFUNCTION("GOOGLETRANSLATE(H3123,""EN"",""ES"")"),"EQUIPOS DE TELECOMUNICACIONES, CONTROLES REMOTOS INALÁMBRICOS Y AMPLIFICADORES DE RADIO")</f>
        <v>EQUIPOS DE TELECOMUNICACIONES, CONTROLES REMOTOS INALÁMBRICOS Y AMPLIFICADORES DE RADIO</v>
      </c>
      <c r="L3123" s="5" t="str">
        <f ca="1">IFERROR(__xludf.DUMMYFUNCTION("GOOGLETRANSLATE(J3123,""EN"",""ES"")"),"Pulseras de identificación por radiofrecuencia [RFID]")</f>
        <v>Pulseras de identificación por radiofrecuencia [RFID]</v>
      </c>
      <c r="M3123" s="10" t="s">
        <v>50</v>
      </c>
      <c r="N3123" s="8"/>
    </row>
    <row r="3124" spans="1:14" ht="11.25" customHeight="1">
      <c r="A3124" s="5" t="s">
        <v>8605</v>
      </c>
      <c r="B3124" s="5" t="s">
        <v>8870</v>
      </c>
      <c r="C3124" s="5" t="s">
        <v>9052</v>
      </c>
      <c r="D3124" s="5" t="s">
        <v>8608</v>
      </c>
      <c r="E3124" s="5" t="s">
        <v>44</v>
      </c>
      <c r="F3124" s="5" t="s">
        <v>8609</v>
      </c>
      <c r="G3124" s="5" t="s">
        <v>152</v>
      </c>
      <c r="H3124" s="5" t="s">
        <v>8872</v>
      </c>
      <c r="I3124" s="5" t="s">
        <v>9053</v>
      </c>
      <c r="J3124" s="5" t="s">
        <v>9054</v>
      </c>
      <c r="K3124" s="7" t="str">
        <f ca="1">IFERROR(__xludf.DUMMYFUNCTION("GOOGLETRANSLATE(H3124,""EN"",""ES"")"),"EQUIPOS DE TELECOMUNICACIONES, CONTROLES REMOTOS INALÁMBRICOS Y AMPLIFICADORES DE RADIO")</f>
        <v>EQUIPOS DE TELECOMUNICACIONES, CONTROLES REMOTOS INALÁMBRICOS Y AMPLIFICADORES DE RADIO</v>
      </c>
      <c r="L3124" s="5" t="str">
        <f ca="1">IFERROR(__xludf.DUMMYFUNCTION("GOOGLETRANSLATE(J3124,""EN"",""ES"")"),"Dispositivos de transmisión de video en vivo")</f>
        <v>Dispositivos de transmisión de video en vivo</v>
      </c>
      <c r="M3124" s="10" t="s">
        <v>50</v>
      </c>
      <c r="N3124" s="8"/>
    </row>
    <row r="3125" spans="1:14" ht="11.25" customHeight="1">
      <c r="A3125" s="5" t="s">
        <v>8605</v>
      </c>
      <c r="B3125" s="5" t="s">
        <v>8870</v>
      </c>
      <c r="C3125" s="5" t="s">
        <v>9055</v>
      </c>
      <c r="D3125" s="5" t="s">
        <v>8608</v>
      </c>
      <c r="E3125" s="5" t="s">
        <v>44</v>
      </c>
      <c r="F3125" s="5" t="s">
        <v>8609</v>
      </c>
      <c r="G3125" s="5" t="s">
        <v>152</v>
      </c>
      <c r="H3125" s="5" t="s">
        <v>8872</v>
      </c>
      <c r="I3125" s="5" t="s">
        <v>9056</v>
      </c>
      <c r="J3125" s="5" t="s">
        <v>9057</v>
      </c>
      <c r="K3125" s="7" t="str">
        <f ca="1">IFERROR(__xludf.DUMMYFUNCTION("GOOGLETRANSLATE(H3125,""EN"",""ES"")"),"EQUIPOS DE TELECOMUNICACIONES, CONTROLES REMOTOS INALÁMBRICOS Y AMPLIFICADORES DE RADIO")</f>
        <v>EQUIPOS DE TELECOMUNICACIONES, CONTROLES REMOTOS INALÁMBRICOS Y AMPLIFICADORES DE RADIO</v>
      </c>
      <c r="L3125" s="5" t="str">
        <f ca="1">IFERROR(__xludf.DUMMYFUNCTION("GOOGLETRANSLATE(J3125,""EN"",""ES"")"),"Etiquetas de seguimiento electrónico")</f>
        <v>Etiquetas de seguimiento electrónico</v>
      </c>
      <c r="M3125" s="10" t="s">
        <v>50</v>
      </c>
      <c r="N3125" s="8"/>
    </row>
    <row r="3126" spans="1:14" ht="11.25" customHeight="1">
      <c r="A3126" s="5" t="s">
        <v>8605</v>
      </c>
      <c r="B3126" s="5" t="s">
        <v>9058</v>
      </c>
      <c r="C3126" s="5" t="s">
        <v>9059</v>
      </c>
      <c r="D3126" s="5" t="s">
        <v>8608</v>
      </c>
      <c r="E3126" s="5" t="s">
        <v>44</v>
      </c>
      <c r="F3126" s="5" t="s">
        <v>8609</v>
      </c>
      <c r="G3126" s="5" t="s">
        <v>152</v>
      </c>
      <c r="H3126" s="5" t="s">
        <v>9060</v>
      </c>
      <c r="I3126" s="5" t="s">
        <v>9061</v>
      </c>
      <c r="J3126" s="5" t="s">
        <v>9062</v>
      </c>
      <c r="K3126" s="7" t="str">
        <f ca="1">IFERROR(__xludf.DUMMYFUNCTION("GOOGLETRANSLATE(H3126,""EN"",""ES"")"),"PANTALLAS E ICONOS")</f>
        <v>PANTALLAS E ICONOS</v>
      </c>
      <c r="L3126" s="5" t="str">
        <f ca="1">IFERROR(__xludf.DUMMYFUNCTION("GOOGLETRANSLATE(J3126,""EN"",""ES"")"),"Interfaces gráficas de usuario [diseño de pantalla de computadora]")</f>
        <v>Interfaces gráficas de usuario [diseño de pantalla de computadora]</v>
      </c>
      <c r="M3126" s="8" t="s">
        <v>49</v>
      </c>
      <c r="N3126" s="8"/>
    </row>
    <row r="3127" spans="1:14" ht="11.25" customHeight="1">
      <c r="A3127" s="5" t="s">
        <v>8605</v>
      </c>
      <c r="B3127" s="5" t="s">
        <v>9058</v>
      </c>
      <c r="C3127" s="5" t="s">
        <v>9063</v>
      </c>
      <c r="D3127" s="5" t="s">
        <v>8608</v>
      </c>
      <c r="E3127" s="5" t="s">
        <v>44</v>
      </c>
      <c r="F3127" s="5" t="s">
        <v>8609</v>
      </c>
      <c r="G3127" s="5" t="s">
        <v>152</v>
      </c>
      <c r="H3127" s="5" t="s">
        <v>9060</v>
      </c>
      <c r="I3127" s="5" t="s">
        <v>9064</v>
      </c>
      <c r="J3127" s="5" t="s">
        <v>9065</v>
      </c>
      <c r="K3127" s="7" t="str">
        <f ca="1">IFERROR(__xludf.DUMMYFUNCTION("GOOGLETRANSLATE(H3127,""EN"",""ES"")"),"PANTALLAS E ICONOS")</f>
        <v>PANTALLAS E ICONOS</v>
      </c>
      <c r="L3127" s="5" t="str">
        <f ca="1">IFERROR(__xludf.DUMMYFUNCTION("GOOGLETRANSLATE(J3127,""EN"",""ES"")"),"Iconos [para computadoras]")</f>
        <v>Iconos [para computadoras]</v>
      </c>
      <c r="M3127" s="8" t="s">
        <v>49</v>
      </c>
      <c r="N3127" s="8"/>
    </row>
    <row r="3128" spans="1:14" ht="11.25" customHeight="1">
      <c r="A3128" s="5" t="s">
        <v>8605</v>
      </c>
      <c r="B3128" s="5" t="s">
        <v>9058</v>
      </c>
      <c r="C3128" s="5" t="s">
        <v>9066</v>
      </c>
      <c r="D3128" s="5" t="s">
        <v>8608</v>
      </c>
      <c r="E3128" s="5" t="s">
        <v>44</v>
      </c>
      <c r="F3128" s="5" t="s">
        <v>8609</v>
      </c>
      <c r="G3128" s="5" t="s">
        <v>152</v>
      </c>
      <c r="H3128" s="5" t="s">
        <v>9060</v>
      </c>
      <c r="I3128" s="5" t="s">
        <v>9067</v>
      </c>
      <c r="J3128" s="5" t="s">
        <v>9068</v>
      </c>
      <c r="K3128" s="7" t="str">
        <f ca="1">IFERROR(__xludf.DUMMYFUNCTION("GOOGLETRANSLATE(H3128,""EN"",""ES"")"),"PANTALLAS E ICONOS")</f>
        <v>PANTALLAS E ICONOS</v>
      </c>
      <c r="L3128" s="5" t="str">
        <f ca="1">IFERROR(__xludf.DUMMYFUNCTION("GOOGLETRANSLATE(J3128,""EN"",""ES"")"),"Símbolos gráficos para visualización en pantalla.")</f>
        <v>Símbolos gráficos para visualización en pantalla.</v>
      </c>
      <c r="M3128" s="8" t="s">
        <v>49</v>
      </c>
      <c r="N3128" s="8"/>
    </row>
    <row r="3129" spans="1:14" ht="11.25" customHeight="1">
      <c r="A3129" s="5" t="s">
        <v>8605</v>
      </c>
      <c r="B3129" s="5" t="s">
        <v>9058</v>
      </c>
      <c r="C3129" s="5" t="s">
        <v>9069</v>
      </c>
      <c r="D3129" s="5" t="s">
        <v>8608</v>
      </c>
      <c r="E3129" s="5" t="s">
        <v>44</v>
      </c>
      <c r="F3129" s="5" t="s">
        <v>8609</v>
      </c>
      <c r="G3129" s="5" t="s">
        <v>152</v>
      </c>
      <c r="H3129" s="5" t="s">
        <v>9060</v>
      </c>
      <c r="I3129" s="5" t="s">
        <v>9070</v>
      </c>
      <c r="J3129" s="5" t="s">
        <v>9071</v>
      </c>
      <c r="K3129" s="7" t="str">
        <f ca="1">IFERROR(__xludf.DUMMYFUNCTION("GOOGLETRANSLATE(H3129,""EN"",""ES"")"),"PANTALLAS E ICONOS")</f>
        <v>PANTALLAS E ICONOS</v>
      </c>
      <c r="L3129" s="5" t="str">
        <f ca="1">IFERROR(__xludf.DUMMYFUNCTION("GOOGLETRANSLATE(J3129,""EN"",""ES"")"),"pancartas web")</f>
        <v>pancartas web</v>
      </c>
      <c r="M3129" s="8" t="s">
        <v>49</v>
      </c>
      <c r="N3129" s="8"/>
    </row>
    <row r="3130" spans="1:14" ht="11.25" customHeight="1">
      <c r="A3130" s="5" t="s">
        <v>8605</v>
      </c>
      <c r="B3130" s="5" t="s">
        <v>9058</v>
      </c>
      <c r="C3130" s="5" t="s">
        <v>9072</v>
      </c>
      <c r="D3130" s="5" t="s">
        <v>8608</v>
      </c>
      <c r="E3130" s="5" t="s">
        <v>44</v>
      </c>
      <c r="F3130" s="5" t="s">
        <v>8609</v>
      </c>
      <c r="G3130" s="5" t="s">
        <v>152</v>
      </c>
      <c r="H3130" s="5" t="s">
        <v>9060</v>
      </c>
      <c r="I3130" s="5" t="s">
        <v>9073</v>
      </c>
      <c r="J3130" s="5" t="s">
        <v>9074</v>
      </c>
      <c r="K3130" s="7" t="str">
        <f ca="1">IFERROR(__xludf.DUMMYFUNCTION("GOOGLETRANSLATE(H3130,""EN"",""ES"")"),"PANTALLAS E ICONOS")</f>
        <v>PANTALLAS E ICONOS</v>
      </c>
      <c r="L3130" s="5" t="str">
        <f ca="1">IFERROR(__xludf.DUMMYFUNCTION("GOOGLETRANSLATE(J3130,""EN"",""ES"")"),"Interfaces gráficas de usuario de realidad aumentada [para visualización en pantalla]")</f>
        <v>Interfaces gráficas de usuario de realidad aumentada [para visualización en pantalla]</v>
      </c>
      <c r="M3130" s="8" t="s">
        <v>49</v>
      </c>
      <c r="N3130" s="8"/>
    </row>
    <row r="3131" spans="1:14" ht="11.25" customHeight="1">
      <c r="A3131" s="5" t="s">
        <v>8605</v>
      </c>
      <c r="B3131" s="5" t="s">
        <v>9075</v>
      </c>
      <c r="C3131" s="5" t="s">
        <v>9076</v>
      </c>
      <c r="D3131" s="5" t="s">
        <v>8608</v>
      </c>
      <c r="E3131" s="5" t="s">
        <v>44</v>
      </c>
      <c r="F3131" s="5" t="s">
        <v>8609</v>
      </c>
      <c r="G3131" s="5" t="s">
        <v>152</v>
      </c>
      <c r="H3131" s="5" t="s">
        <v>9077</v>
      </c>
      <c r="I3131" s="5" t="s">
        <v>9078</v>
      </c>
      <c r="J3131" s="5" t="s">
        <v>9079</v>
      </c>
      <c r="K3131" s="7" t="str">
        <f ca="1">IFERROR(__xludf.DUMMYFUNCTION("GOOGLETRANSLATE(H3131,""EN"",""ES"")"),"Medios de grabación y almacenamiento de datos.")</f>
        <v>Medios de grabación y almacenamiento de datos.</v>
      </c>
      <c r="L3131" s="5" t="str">
        <f ca="1">IFERROR(__xludf.DUMMYFUNCTION("GOOGLETRANSLATE(J3131,""EN"",""ES"")"),"Tarjetas de memoria [electrónicas]")</f>
        <v>Tarjetas de memoria [electrónicas]</v>
      </c>
      <c r="M3131" s="8" t="s">
        <v>48</v>
      </c>
      <c r="N3131" s="8"/>
    </row>
    <row r="3132" spans="1:14" ht="11.25" customHeight="1">
      <c r="A3132" s="5" t="s">
        <v>8605</v>
      </c>
      <c r="B3132" s="5" t="s">
        <v>9075</v>
      </c>
      <c r="C3132" s="5" t="s">
        <v>9080</v>
      </c>
      <c r="D3132" s="5" t="s">
        <v>8608</v>
      </c>
      <c r="E3132" s="5" t="s">
        <v>44</v>
      </c>
      <c r="F3132" s="5" t="s">
        <v>8609</v>
      </c>
      <c r="G3132" s="5" t="s">
        <v>152</v>
      </c>
      <c r="H3132" s="5" t="s">
        <v>9077</v>
      </c>
      <c r="I3132" s="5" t="s">
        <v>9081</v>
      </c>
      <c r="J3132" s="5" t="s">
        <v>9082</v>
      </c>
      <c r="K3132" s="7" t="str">
        <f ca="1">IFERROR(__xludf.DUMMYFUNCTION("GOOGLETRANSLATE(H3131,""EN"",""ES"")"),"Medios de grabación y almacenamiento de datos.")</f>
        <v>Medios de grabación y almacenamiento de datos.</v>
      </c>
      <c r="L3132" s="5" t="str">
        <f ca="1">IFERROR(__xludf.DUMMYFUNCTION("GOOGLETRANSLATE(J3131,""EN"",""ES"")"),"Tarjetas de memoria [electrónicas]")</f>
        <v>Tarjetas de memoria [electrónicas]</v>
      </c>
      <c r="M3132" s="8" t="s">
        <v>48</v>
      </c>
      <c r="N3132" s="8"/>
    </row>
    <row r="3133" spans="1:14" ht="11.25" customHeight="1">
      <c r="A3133" s="5" t="s">
        <v>8605</v>
      </c>
      <c r="B3133" s="5" t="s">
        <v>9075</v>
      </c>
      <c r="C3133" s="5" t="s">
        <v>9080</v>
      </c>
      <c r="D3133" s="5" t="s">
        <v>8608</v>
      </c>
      <c r="E3133" s="5" t="s">
        <v>44</v>
      </c>
      <c r="F3133" s="5" t="s">
        <v>8609</v>
      </c>
      <c r="G3133" s="5" t="s">
        <v>152</v>
      </c>
      <c r="H3133" s="5" t="s">
        <v>9077</v>
      </c>
      <c r="I3133" s="5" t="s">
        <v>9083</v>
      </c>
      <c r="J3133" s="5" t="s">
        <v>152</v>
      </c>
      <c r="K3133" s="7" t="str">
        <f ca="1">IFERROR(__xludf.DUMMYFUNCTION("GOOGLETRANSLATE(H3131,""EN"",""ES"")"),"Medios de grabación y almacenamiento de datos.")</f>
        <v>Medios de grabación y almacenamiento de datos.</v>
      </c>
      <c r="L3133" s="5" t="str">
        <f ca="1">IFERROR(__xludf.DUMMYFUNCTION("GOOGLETRANSLATE(J3131,""EN"",""ES"")"),"Tarjetas de memoria [electrónicas]")</f>
        <v>Tarjetas de memoria [electrónicas]</v>
      </c>
      <c r="M3133" s="8" t="s">
        <v>48</v>
      </c>
      <c r="N3133" s="8"/>
    </row>
    <row r="3134" spans="1:14" ht="11.25" customHeight="1">
      <c r="A3134" s="5" t="s">
        <v>8605</v>
      </c>
      <c r="B3134" s="5" t="s">
        <v>9075</v>
      </c>
      <c r="C3134" s="5" t="s">
        <v>9084</v>
      </c>
      <c r="D3134" s="5" t="s">
        <v>8608</v>
      </c>
      <c r="E3134" s="5" t="s">
        <v>44</v>
      </c>
      <c r="F3134" s="5" t="s">
        <v>8609</v>
      </c>
      <c r="G3134" s="5" t="s">
        <v>152</v>
      </c>
      <c r="H3134" s="5" t="s">
        <v>9077</v>
      </c>
      <c r="I3134" s="5" t="s">
        <v>9085</v>
      </c>
      <c r="J3134" s="5" t="s">
        <v>9086</v>
      </c>
      <c r="K3134" s="7" t="str">
        <f ca="1">IFERROR(__xludf.DUMMYFUNCTION("GOOGLETRANSLATE(H3131,""EN"",""ES"")"),"Medios de grabación y almacenamiento de datos.")</f>
        <v>Medios de grabación y almacenamiento de datos.</v>
      </c>
      <c r="L3134" s="5" t="str">
        <f ca="1">IFERROR(__xludf.DUMMYFUNCTION("GOOGLETRANSLATE(J3131,""EN"",""ES"")"),"Tarjetas de memoria [electrónicas]")</f>
        <v>Tarjetas de memoria [electrónicas]</v>
      </c>
      <c r="M3134" s="8" t="s">
        <v>48</v>
      </c>
      <c r="N3134" s="8"/>
    </row>
    <row r="3135" spans="1:14" ht="11.25" customHeight="1">
      <c r="A3135" s="5" t="s">
        <v>8605</v>
      </c>
      <c r="B3135" s="5" t="s">
        <v>9075</v>
      </c>
      <c r="C3135" s="5" t="s">
        <v>9087</v>
      </c>
      <c r="D3135" s="5" t="s">
        <v>8608</v>
      </c>
      <c r="E3135" s="5" t="s">
        <v>44</v>
      </c>
      <c r="F3135" s="5" t="s">
        <v>8609</v>
      </c>
      <c r="G3135" s="5" t="s">
        <v>152</v>
      </c>
      <c r="H3135" s="5" t="s">
        <v>9077</v>
      </c>
      <c r="I3135" s="5" t="s">
        <v>9088</v>
      </c>
      <c r="J3135" s="5" t="s">
        <v>9089</v>
      </c>
      <c r="K3135" s="7" t="str">
        <f ca="1">IFERROR(__xludf.DUMMYFUNCTION("GOOGLETRANSLATE(H3131,""EN"",""ES"")"),"Medios de grabación y almacenamiento de datos.")</f>
        <v>Medios de grabación y almacenamiento de datos.</v>
      </c>
      <c r="L3135" s="5" t="str">
        <f ca="1">IFERROR(__xludf.DUMMYFUNCTION("GOOGLETRANSLATE(J3131,""EN"",""ES"")"),"Tarjetas de memoria [electrónicas]")</f>
        <v>Tarjetas de memoria [electrónicas]</v>
      </c>
      <c r="M3135" s="8" t="s">
        <v>48</v>
      </c>
      <c r="N3135" s="8"/>
    </row>
    <row r="3136" spans="1:14" ht="11.25" customHeight="1">
      <c r="A3136" s="5" t="s">
        <v>8605</v>
      </c>
      <c r="B3136" s="5" t="s">
        <v>9075</v>
      </c>
      <c r="C3136" s="5" t="s">
        <v>9090</v>
      </c>
      <c r="D3136" s="5" t="s">
        <v>8608</v>
      </c>
      <c r="E3136" s="5" t="s">
        <v>44</v>
      </c>
      <c r="F3136" s="5" t="s">
        <v>8609</v>
      </c>
      <c r="G3136" s="5" t="s">
        <v>152</v>
      </c>
      <c r="H3136" s="5" t="s">
        <v>9077</v>
      </c>
      <c r="I3136" s="5" t="s">
        <v>9091</v>
      </c>
      <c r="J3136" s="5" t="s">
        <v>9092</v>
      </c>
      <c r="K3136" s="7" t="str">
        <f ca="1">IFERROR(__xludf.DUMMYFUNCTION("GOOGLETRANSLATE(H3131,""EN"",""ES"")"),"Medios de grabación y almacenamiento de datos.")</f>
        <v>Medios de grabación y almacenamiento de datos.</v>
      </c>
      <c r="L3136" s="5" t="str">
        <f ca="1">IFERROR(__xludf.DUMMYFUNCTION("GOOGLETRANSLATE(J3131,""EN"",""ES"")"),"Tarjetas de memoria [electrónicas]")</f>
        <v>Tarjetas de memoria [electrónicas]</v>
      </c>
      <c r="M3136" s="8" t="s">
        <v>48</v>
      </c>
      <c r="N3136" s="8"/>
    </row>
    <row r="3137" spans="1:14" ht="11.25" customHeight="1">
      <c r="A3137" s="5" t="s">
        <v>8605</v>
      </c>
      <c r="B3137" s="5" t="s">
        <v>9075</v>
      </c>
      <c r="C3137" s="5" t="s">
        <v>9093</v>
      </c>
      <c r="D3137" s="5" t="s">
        <v>8608</v>
      </c>
      <c r="E3137" s="5" t="s">
        <v>44</v>
      </c>
      <c r="F3137" s="5" t="s">
        <v>8609</v>
      </c>
      <c r="G3137" s="5" t="s">
        <v>152</v>
      </c>
      <c r="H3137" s="5" t="s">
        <v>9077</v>
      </c>
      <c r="I3137" s="5" t="s">
        <v>9094</v>
      </c>
      <c r="J3137" s="5" t="s">
        <v>9095</v>
      </c>
      <c r="K3137" s="7" t="str">
        <f ca="1">IFERROR(__xludf.DUMMYFUNCTION("GOOGLETRANSLATE(H3131,""EN"",""ES"")"),"Medios de grabación y almacenamiento de datos.")</f>
        <v>Medios de grabación y almacenamiento de datos.</v>
      </c>
      <c r="L3137" s="5" t="str">
        <f ca="1">IFERROR(__xludf.DUMMYFUNCTION("GOOGLETRANSLATE(J3131,""EN"",""ES"")"),"Tarjetas de memoria [electrónicas]")</f>
        <v>Tarjetas de memoria [electrónicas]</v>
      </c>
      <c r="M3137" s="8" t="s">
        <v>48</v>
      </c>
      <c r="N3137" s="8"/>
    </row>
    <row r="3138" spans="1:14" ht="11.25" customHeight="1">
      <c r="A3138" s="5" t="s">
        <v>8605</v>
      </c>
      <c r="B3138" s="5" t="s">
        <v>9075</v>
      </c>
      <c r="C3138" s="5" t="s">
        <v>9096</v>
      </c>
      <c r="D3138" s="5" t="s">
        <v>8608</v>
      </c>
      <c r="E3138" s="5" t="s">
        <v>44</v>
      </c>
      <c r="F3138" s="5" t="s">
        <v>8609</v>
      </c>
      <c r="G3138" s="5" t="s">
        <v>152</v>
      </c>
      <c r="H3138" s="5" t="s">
        <v>9077</v>
      </c>
      <c r="I3138" s="5" t="s">
        <v>9097</v>
      </c>
      <c r="J3138" s="5" t="s">
        <v>9098</v>
      </c>
      <c r="K3138" s="7" t="str">
        <f ca="1">IFERROR(__xludf.DUMMYFUNCTION("GOOGLETRANSLATE(H3131,""EN"",""ES"")"),"Medios de grabación y almacenamiento de datos.")</f>
        <v>Medios de grabación y almacenamiento de datos.</v>
      </c>
      <c r="L3138" s="5" t="str">
        <f ca="1">IFERROR(__xludf.DUMMYFUNCTION("GOOGLETRANSLATE(J3131,""EN"",""ES"")"),"Tarjetas de memoria [electrónicas]")</f>
        <v>Tarjetas de memoria [electrónicas]</v>
      </c>
      <c r="M3138" s="8" t="s">
        <v>48</v>
      </c>
      <c r="N3138" s="10"/>
    </row>
    <row r="3139" spans="1:14" ht="11.25" customHeight="1">
      <c r="A3139" s="5" t="s">
        <v>8605</v>
      </c>
      <c r="B3139" s="5" t="s">
        <v>9075</v>
      </c>
      <c r="C3139" s="5" t="s">
        <v>9099</v>
      </c>
      <c r="D3139" s="5" t="s">
        <v>8608</v>
      </c>
      <c r="E3139" s="5" t="s">
        <v>44</v>
      </c>
      <c r="F3139" s="5" t="s">
        <v>8609</v>
      </c>
      <c r="G3139" s="5" t="s">
        <v>152</v>
      </c>
      <c r="H3139" s="5" t="s">
        <v>9077</v>
      </c>
      <c r="I3139" s="5" t="s">
        <v>9100</v>
      </c>
      <c r="J3139" s="5" t="s">
        <v>9101</v>
      </c>
      <c r="K3139" s="7" t="str">
        <f ca="1">IFERROR(__xludf.DUMMYFUNCTION("GOOGLETRANSLATE(H3131,""EN"",""ES"")"),"Medios de grabación y almacenamiento de datos.")</f>
        <v>Medios de grabación y almacenamiento de datos.</v>
      </c>
      <c r="L3139" s="5" t="str">
        <f ca="1">IFERROR(__xludf.DUMMYFUNCTION("GOOGLETRANSLATE(J3131,""EN"",""ES"")"),"Tarjetas de memoria [electrónicas]")</f>
        <v>Tarjetas de memoria [electrónicas]</v>
      </c>
      <c r="M3139" s="8" t="s">
        <v>48</v>
      </c>
      <c r="N3139" s="10"/>
    </row>
    <row r="3140" spans="1:14" ht="11.25" customHeight="1">
      <c r="A3140" s="5" t="s">
        <v>8605</v>
      </c>
      <c r="B3140" s="5" t="s">
        <v>9102</v>
      </c>
      <c r="C3140" s="5" t="s">
        <v>9103</v>
      </c>
      <c r="D3140" s="5" t="s">
        <v>8608</v>
      </c>
      <c r="E3140" s="5" t="s">
        <v>44</v>
      </c>
      <c r="F3140" s="5" t="s">
        <v>8609</v>
      </c>
      <c r="G3140" s="5" t="s">
        <v>152</v>
      </c>
      <c r="H3140" s="5" t="s">
        <v>9104</v>
      </c>
      <c r="I3140" s="5" t="s">
        <v>9105</v>
      </c>
      <c r="J3140" s="5" t="s">
        <v>9106</v>
      </c>
      <c r="K3140" s="7" t="str">
        <f ca="1">IFERROR(__xludf.DUMMYFUNCTION("GOOGLETRANSLATE(H3140,""EN"",""ES"")"),"Soportes, soportes y soportes para equipos electrónicos, no comprendidos en otras clases")</f>
        <v>Soportes, soportes y soportes para equipos electrónicos, no comprendidos en otras clases</v>
      </c>
      <c r="L3140" s="5" t="str">
        <f ca="1">IFERROR(__xludf.DUMMYFUNCTION("GOOGLETRANSLATE(J3140,""EN"",""ES"")"),"Soportes para teclado de computadora")</f>
        <v>Soportes para teclado de computadora</v>
      </c>
      <c r="M3140" s="8" t="s">
        <v>15</v>
      </c>
      <c r="N3140" s="10"/>
    </row>
    <row r="3141" spans="1:14" ht="11.25" customHeight="1">
      <c r="A3141" s="5" t="s">
        <v>8605</v>
      </c>
      <c r="B3141" s="5" t="s">
        <v>9102</v>
      </c>
      <c r="C3141" s="5" t="s">
        <v>9107</v>
      </c>
      <c r="D3141" s="5" t="s">
        <v>8608</v>
      </c>
      <c r="E3141" s="5" t="s">
        <v>44</v>
      </c>
      <c r="F3141" s="5" t="s">
        <v>8609</v>
      </c>
      <c r="G3141" s="5" t="s">
        <v>152</v>
      </c>
      <c r="H3141" s="5" t="s">
        <v>9104</v>
      </c>
      <c r="I3141" s="5" t="s">
        <v>9108</v>
      </c>
      <c r="J3141" s="5" t="s">
        <v>9109</v>
      </c>
      <c r="K3141" s="7" t="str">
        <f ca="1">IFERROR(__xludf.DUMMYFUNCTION("GOOGLETRANSLATE(H3141,""EN"",""ES"")"),"Soportes, soportes y soportes para equipos electrónicos, no comprendidos en otras clases")</f>
        <v>Soportes, soportes y soportes para equipos electrónicos, no comprendidos en otras clases</v>
      </c>
      <c r="L3141" s="5" t="str">
        <f ca="1">IFERROR(__xludf.DUMMYFUNCTION("GOOGLETRANSLATE(J3141,""EN"",""ES"")"),"Dispositivos de fijación [soportes] para altavoces")</f>
        <v>Dispositivos de fijación [soportes] para altavoces</v>
      </c>
      <c r="M3141" s="8" t="s">
        <v>15</v>
      </c>
      <c r="N3141" s="10"/>
    </row>
    <row r="3142" spans="1:14" ht="11.25" customHeight="1">
      <c r="A3142" s="5" t="s">
        <v>8605</v>
      </c>
      <c r="B3142" s="5" t="s">
        <v>9102</v>
      </c>
      <c r="C3142" s="5" t="s">
        <v>9110</v>
      </c>
      <c r="D3142" s="5" t="s">
        <v>8608</v>
      </c>
      <c r="E3142" s="5" t="s">
        <v>44</v>
      </c>
      <c r="F3142" s="5" t="s">
        <v>8609</v>
      </c>
      <c r="G3142" s="5" t="s">
        <v>152</v>
      </c>
      <c r="H3142" s="5" t="s">
        <v>9104</v>
      </c>
      <c r="I3142" s="5" t="s">
        <v>9111</v>
      </c>
      <c r="J3142" s="5" t="s">
        <v>9112</v>
      </c>
      <c r="K3142" s="7" t="str">
        <f ca="1">IFERROR(__xludf.DUMMYFUNCTION("GOOGLETRANSLATE(H3142,""EN"",""ES"")"),"Soportes, soportes y soportes para equipos electrónicos, no comprendidos en otras clases")</f>
        <v>Soportes, soportes y soportes para equipos electrónicos, no comprendidos en otras clases</v>
      </c>
      <c r="L3142" s="5" t="str">
        <f ca="1">IFERROR(__xludf.DUMMYFUNCTION("GOOGLETRANSLATE(J3142,""EN"",""ES"")"),"Soportes para mandos a distancia")</f>
        <v>Soportes para mandos a distancia</v>
      </c>
      <c r="M3142" s="8" t="s">
        <v>15</v>
      </c>
      <c r="N3142" s="10"/>
    </row>
    <row r="3143" spans="1:14" ht="11.25" customHeight="1">
      <c r="A3143" s="5" t="s">
        <v>8605</v>
      </c>
      <c r="B3143" s="5" t="s">
        <v>9102</v>
      </c>
      <c r="C3143" s="5" t="s">
        <v>9113</v>
      </c>
      <c r="D3143" s="5" t="s">
        <v>8608</v>
      </c>
      <c r="E3143" s="5" t="s">
        <v>44</v>
      </c>
      <c r="F3143" s="5" t="s">
        <v>8609</v>
      </c>
      <c r="G3143" s="5" t="s">
        <v>152</v>
      </c>
      <c r="H3143" s="5" t="s">
        <v>9104</v>
      </c>
      <c r="I3143" s="5" t="s">
        <v>9114</v>
      </c>
      <c r="J3143" s="5" t="s">
        <v>9115</v>
      </c>
      <c r="K3143" s="7" t="str">
        <f ca="1">IFERROR(__xludf.DUMMYFUNCTION("GOOGLETRANSLATE(H3143,""EN"",""ES"")"),"Soportes, soportes y soportes para equipos electrónicos, no comprendidos en otras clases")</f>
        <v>Soportes, soportes y soportes para equipos electrónicos, no comprendidos en otras clases</v>
      </c>
      <c r="L3143" s="5" t="str">
        <f ca="1">IFERROR(__xludf.DUMMYFUNCTION("GOOGLETRANSLATE(J3143,""EN"",""ES"")"),"Soportes para altavoces")</f>
        <v>Soportes para altavoces</v>
      </c>
      <c r="M3143" s="8" t="s">
        <v>15</v>
      </c>
      <c r="N3143" s="8"/>
    </row>
    <row r="3144" spans="1:14" ht="11.25" customHeight="1">
      <c r="A3144" s="5" t="s">
        <v>8605</v>
      </c>
      <c r="B3144" s="5" t="s">
        <v>9102</v>
      </c>
      <c r="C3144" s="5" t="s">
        <v>9116</v>
      </c>
      <c r="D3144" s="5" t="s">
        <v>8608</v>
      </c>
      <c r="E3144" s="5" t="s">
        <v>44</v>
      </c>
      <c r="F3144" s="5" t="s">
        <v>8609</v>
      </c>
      <c r="G3144" s="5" t="s">
        <v>152</v>
      </c>
      <c r="H3144" s="5" t="s">
        <v>9104</v>
      </c>
      <c r="I3144" s="5" t="s">
        <v>9117</v>
      </c>
      <c r="J3144" s="5" t="s">
        <v>9118</v>
      </c>
      <c r="K3144" s="7" t="str">
        <f ca="1">IFERROR(__xludf.DUMMYFUNCTION("GOOGLETRANSLATE(H3144,""EN"",""ES"")"),"Soportes, soportes y soportes para equipos electrónicos, no comprendidos en otras clases")</f>
        <v>Soportes, soportes y soportes para equipos electrónicos, no comprendidos en otras clases</v>
      </c>
      <c r="L3144" s="5" t="str">
        <f ca="1">IFERROR(__xludf.DUMMYFUNCTION("GOOGLETRANSLATE(J3144,""EN"",""ES"")"),"Soportes para terminales de ordenador")</f>
        <v>Soportes para terminales de ordenador</v>
      </c>
      <c r="M3144" s="8" t="s">
        <v>15</v>
      </c>
      <c r="N3144" s="8"/>
    </row>
    <row r="3145" spans="1:14" ht="11.25" customHeight="1">
      <c r="A3145" s="5" t="s">
        <v>8605</v>
      </c>
      <c r="B3145" s="5" t="s">
        <v>9102</v>
      </c>
      <c r="C3145" s="5" t="s">
        <v>9119</v>
      </c>
      <c r="D3145" s="5" t="s">
        <v>8608</v>
      </c>
      <c r="E3145" s="5" t="s">
        <v>44</v>
      </c>
      <c r="F3145" s="5" t="s">
        <v>8609</v>
      </c>
      <c r="G3145" s="5" t="s">
        <v>152</v>
      </c>
      <c r="H3145" s="5" t="s">
        <v>9104</v>
      </c>
      <c r="I3145" s="5" t="s">
        <v>9120</v>
      </c>
      <c r="J3145" s="5" t="s">
        <v>9121</v>
      </c>
      <c r="K3145" s="7" t="str">
        <f ca="1">IFERROR(__xludf.DUMMYFUNCTION("GOOGLETRANSLATE(H3145,""EN"",""ES"")"),"Soportes, soportes y soportes para equipos electrónicos, no comprendidos en otras clases")</f>
        <v>Soportes, soportes y soportes para equipos electrónicos, no comprendidos en otras clases</v>
      </c>
      <c r="L3145" s="5" t="str">
        <f ca="1">IFERROR(__xludf.DUMMYFUNCTION("GOOGLETRANSLATE(J3145,""EN"",""ES"")"),"Soportes para telefonos")</f>
        <v>Soportes para telefonos</v>
      </c>
      <c r="M3145" s="8" t="s">
        <v>15</v>
      </c>
      <c r="N3145" s="8"/>
    </row>
    <row r="3146" spans="1:14" ht="11.25" customHeight="1">
      <c r="A3146" s="5" t="s">
        <v>8605</v>
      </c>
      <c r="B3146" s="5" t="s">
        <v>9102</v>
      </c>
      <c r="C3146" s="5" t="s">
        <v>9122</v>
      </c>
      <c r="D3146" s="5" t="s">
        <v>8608</v>
      </c>
      <c r="E3146" s="5" t="s">
        <v>44</v>
      </c>
      <c r="F3146" s="5" t="s">
        <v>8609</v>
      </c>
      <c r="G3146" s="5" t="s">
        <v>152</v>
      </c>
      <c r="H3146" s="5" t="s">
        <v>9104</v>
      </c>
      <c r="I3146" s="5" t="s">
        <v>9123</v>
      </c>
      <c r="J3146" s="5" t="s">
        <v>9124</v>
      </c>
      <c r="K3146" s="7" t="str">
        <f ca="1">IFERROR(__xludf.DUMMYFUNCTION("GOOGLETRANSLATE(H3146,""EN"",""ES"")"),"Soportes, soportes y soportes para equipos electrónicos, no comprendidos en otras clases")</f>
        <v>Soportes, soportes y soportes para equipos electrónicos, no comprendidos en otras clases</v>
      </c>
      <c r="L3146" s="5" t="str">
        <f ca="1">IFERROR(__xludf.DUMMYFUNCTION("GOOGLETRANSLATE(J3146,""EN"",""ES"")"),"Soportes para aparatos de televisión")</f>
        <v>Soportes para aparatos de televisión</v>
      </c>
      <c r="M3146" s="8" t="s">
        <v>15</v>
      </c>
      <c r="N3146" s="8"/>
    </row>
    <row r="3147" spans="1:14" ht="11.25" customHeight="1">
      <c r="A3147" s="5" t="s">
        <v>8605</v>
      </c>
      <c r="B3147" s="5" t="s">
        <v>9102</v>
      </c>
      <c r="C3147" s="5" t="s">
        <v>9125</v>
      </c>
      <c r="D3147" s="5" t="s">
        <v>8608</v>
      </c>
      <c r="E3147" s="5" t="s">
        <v>44</v>
      </c>
      <c r="F3147" s="5" t="s">
        <v>8609</v>
      </c>
      <c r="G3147" s="5" t="s">
        <v>152</v>
      </c>
      <c r="H3147" s="5" t="s">
        <v>9104</v>
      </c>
      <c r="I3147" s="5" t="s">
        <v>9126</v>
      </c>
      <c r="J3147" s="5" t="s">
        <v>9127</v>
      </c>
      <c r="K3147" s="7" t="str">
        <f ca="1">IFERROR(__xludf.DUMMYFUNCTION("GOOGLETRANSLATE(H3147,""EN"",""ES"")"),"Soportes, soportes y soportes para equipos electrónicos, no comprendidos en otras clases")</f>
        <v>Soportes, soportes y soportes para equipos electrónicos, no comprendidos en otras clases</v>
      </c>
      <c r="L3147" s="5" t="str">
        <f ca="1">IFERROR(__xludf.DUMMYFUNCTION("GOOGLETRANSLATE(J3147,""EN"",""ES"")"),"palos para selfies")</f>
        <v>palos para selfies</v>
      </c>
      <c r="M3147" s="8" t="s">
        <v>15</v>
      </c>
      <c r="N3147" s="8"/>
    </row>
    <row r="3148" spans="1:14" ht="11.25" customHeight="1">
      <c r="A3148" s="5" t="s">
        <v>8605</v>
      </c>
      <c r="B3148" s="5" t="s">
        <v>9102</v>
      </c>
      <c r="C3148" s="5" t="s">
        <v>9128</v>
      </c>
      <c r="D3148" s="5" t="s">
        <v>8608</v>
      </c>
      <c r="E3148" s="5" t="s">
        <v>44</v>
      </c>
      <c r="F3148" s="5" t="s">
        <v>8609</v>
      </c>
      <c r="G3148" s="5" t="s">
        <v>152</v>
      </c>
      <c r="H3148" s="5" t="s">
        <v>9104</v>
      </c>
      <c r="I3148" s="5" t="s">
        <v>9129</v>
      </c>
      <c r="J3148" s="5" t="s">
        <v>9130</v>
      </c>
      <c r="K3148" s="7" t="str">
        <f ca="1">IFERROR(__xludf.DUMMYFUNCTION("GOOGLETRANSLATE(H3148,""EN"",""ES"")"),"Soportes, soportes y soportes para equipos electrónicos, no comprendidos en otras clases")</f>
        <v>Soportes, soportes y soportes para equipos electrónicos, no comprendidos en otras clases</v>
      </c>
      <c r="L3148" s="5" t="str">
        <f ca="1">IFERROR(__xludf.DUMMYFUNCTION("GOOGLETRANSLATE(J3148,""EN"",""ES"")"),"Soportes para teléfonos móviles")</f>
        <v>Soportes para teléfonos móviles</v>
      </c>
      <c r="M3148" s="8" t="s">
        <v>15</v>
      </c>
      <c r="N3148" s="8"/>
    </row>
    <row r="3149" spans="1:14" ht="11.25" customHeight="1">
      <c r="A3149" s="5" t="s">
        <v>8605</v>
      </c>
      <c r="B3149" s="5" t="s">
        <v>9102</v>
      </c>
      <c r="C3149" s="5" t="s">
        <v>9131</v>
      </c>
      <c r="D3149" s="5" t="s">
        <v>8608</v>
      </c>
      <c r="E3149" s="5" t="s">
        <v>44</v>
      </c>
      <c r="F3149" s="5" t="s">
        <v>8609</v>
      </c>
      <c r="G3149" s="5" t="s">
        <v>152</v>
      </c>
      <c r="H3149" s="5" t="s">
        <v>9104</v>
      </c>
      <c r="I3149" s="5" t="s">
        <v>9132</v>
      </c>
      <c r="J3149" s="5" t="s">
        <v>9133</v>
      </c>
      <c r="K3149" s="7" t="str">
        <f ca="1">IFERROR(__xludf.DUMMYFUNCTION("GOOGLETRANSLATE(H3149,""EN"",""ES"")"),"Soportes, soportes y soportes para equipos electrónicos, no comprendidos en otras clases")</f>
        <v>Soportes, soportes y soportes para equipos electrónicos, no comprendidos en otras clases</v>
      </c>
      <c r="L3149" s="5" t="str">
        <f ca="1">IFERROR(__xludf.DUMMYFUNCTION("GOOGLETRANSLATE(J3149,""EN"",""ES"")"),"Soportes para aparatos de radio para vehículos")</f>
        <v>Soportes para aparatos de radio para vehículos</v>
      </c>
      <c r="M3149" s="8" t="s">
        <v>15</v>
      </c>
      <c r="N3149" s="8"/>
    </row>
    <row r="3150" spans="1:14" ht="11.25" customHeight="1">
      <c r="A3150" s="5" t="s">
        <v>8605</v>
      </c>
      <c r="B3150" s="5" t="s">
        <v>9102</v>
      </c>
      <c r="C3150" s="5" t="s">
        <v>9131</v>
      </c>
      <c r="D3150" s="5" t="s">
        <v>8608</v>
      </c>
      <c r="E3150" s="5" t="s">
        <v>44</v>
      </c>
      <c r="F3150" s="5" t="s">
        <v>8609</v>
      </c>
      <c r="G3150" s="5" t="s">
        <v>152</v>
      </c>
      <c r="H3150" s="5" t="s">
        <v>9104</v>
      </c>
      <c r="I3150" s="5" t="s">
        <v>152</v>
      </c>
      <c r="J3150" s="5" t="s">
        <v>9134</v>
      </c>
      <c r="K3150" s="7" t="str">
        <f ca="1">IFERROR(__xludf.DUMMYFUNCTION("GOOGLETRANSLATE(H3150,""EN"",""ES"")"),"Soportes, soportes y soportes para equipos electrónicos, no comprendidos en otras clases")</f>
        <v>Soportes, soportes y soportes para equipos electrónicos, no comprendidos en otras clases</v>
      </c>
      <c r="L3150" s="5" t="str">
        <f ca="1">IFERROR(__xludf.DUMMYFUNCTION("GOOGLETRANSLATE(J3150,""EN"",""ES"")"),"N / A")</f>
        <v>N / A</v>
      </c>
      <c r="M3150" s="8" t="s">
        <v>15</v>
      </c>
      <c r="N3150" s="8"/>
    </row>
    <row r="3151" spans="1:14" ht="11.25" customHeight="1">
      <c r="A3151" s="5" t="s">
        <v>8605</v>
      </c>
      <c r="B3151" s="5" t="s">
        <v>9135</v>
      </c>
      <c r="C3151" s="5" t="s">
        <v>9136</v>
      </c>
      <c r="D3151" s="5" t="s">
        <v>8608</v>
      </c>
      <c r="E3151" s="5" t="s">
        <v>44</v>
      </c>
      <c r="F3151" s="5" t="s">
        <v>8609</v>
      </c>
      <c r="G3151" s="5" t="s">
        <v>152</v>
      </c>
      <c r="H3151" s="5" t="s">
        <v>330</v>
      </c>
      <c r="I3151" s="5" t="s">
        <v>9137</v>
      </c>
      <c r="J3151" s="5" t="s">
        <v>9138</v>
      </c>
      <c r="K3151" s="7" t="str">
        <f ca="1">IFERROR(__xludf.DUMMYFUNCTION("GOOGLETRANSLATE(H3151,""EN"",""ES"")"),"MISCELÁNEAS")</f>
        <v>MISCELÁNEAS</v>
      </c>
      <c r="L3151" s="5" t="str">
        <f ca="1">IFERROR(__xludf.DUMMYFUNCTION("GOOGLETRANSLATE(J3151,""EN"",""ES"")"),"Aparato de desmagnetización")</f>
        <v>Aparato de desmagnetización</v>
      </c>
      <c r="M3151" s="8" t="s">
        <v>47</v>
      </c>
      <c r="N3151" s="8"/>
    </row>
    <row r="3152" spans="1:14" ht="11.25" customHeight="1">
      <c r="A3152" s="5" t="s">
        <v>8605</v>
      </c>
      <c r="B3152" s="5" t="s">
        <v>9135</v>
      </c>
      <c r="C3152" s="5" t="s">
        <v>9139</v>
      </c>
      <c r="D3152" s="5" t="s">
        <v>8608</v>
      </c>
      <c r="E3152" s="5" t="s">
        <v>44</v>
      </c>
      <c r="F3152" s="5" t="s">
        <v>8609</v>
      </c>
      <c r="G3152" s="5" t="s">
        <v>152</v>
      </c>
      <c r="H3152" s="5" t="s">
        <v>330</v>
      </c>
      <c r="I3152" s="5" t="s">
        <v>9140</v>
      </c>
      <c r="J3152" s="5" t="s">
        <v>9141</v>
      </c>
      <c r="K3152" s="7" t="str">
        <f ca="1">IFERROR(__xludf.DUMMYFUNCTION("GOOGLETRANSLATE(H3152,""EN"",""ES"")"),"MISCELÁNEAS")</f>
        <v>MISCELÁNEAS</v>
      </c>
      <c r="L3152" s="5" t="str">
        <f ca="1">IFERROR(__xludf.DUMMYFUNCTION("GOOGLETRANSLATE(J3152,""EN"",""ES"")"),"Diodos de fototransmisión")</f>
        <v>Diodos de fototransmisión</v>
      </c>
      <c r="M3152" s="8" t="s">
        <v>47</v>
      </c>
      <c r="N3152" s="8"/>
    </row>
    <row r="3153" spans="1:14" ht="11.25" customHeight="1">
      <c r="A3153" s="5" t="s">
        <v>8605</v>
      </c>
      <c r="B3153" s="5" t="s">
        <v>9135</v>
      </c>
      <c r="C3153" s="5" t="s">
        <v>9142</v>
      </c>
      <c r="D3153" s="5" t="s">
        <v>8608</v>
      </c>
      <c r="E3153" s="5" t="s">
        <v>44</v>
      </c>
      <c r="F3153" s="5" t="s">
        <v>8609</v>
      </c>
      <c r="G3153" s="5" t="s">
        <v>152</v>
      </c>
      <c r="H3153" s="5" t="s">
        <v>330</v>
      </c>
      <c r="I3153" s="5" t="s">
        <v>9143</v>
      </c>
      <c r="J3153" s="5" t="s">
        <v>9144</v>
      </c>
      <c r="K3153" s="7" t="str">
        <f ca="1">IFERROR(__xludf.DUMMYFUNCTION("GOOGLETRANSLATE(H3153,""EN"",""ES"")"),"MISCELÁNEAS")</f>
        <v>MISCELÁNEAS</v>
      </c>
      <c r="L3153" s="5" t="str">
        <f ca="1">IFERROR(__xludf.DUMMYFUNCTION("GOOGLETRANSLATE(J3153,""EN"",""ES"")"),"tubos electronicos")</f>
        <v>tubos electronicos</v>
      </c>
      <c r="M3153" s="8" t="s">
        <v>47</v>
      </c>
      <c r="N3153" s="8"/>
    </row>
    <row r="3154" spans="1:14" ht="11.25" customHeight="1">
      <c r="A3154" s="5" t="s">
        <v>8605</v>
      </c>
      <c r="B3154" s="5" t="s">
        <v>9135</v>
      </c>
      <c r="C3154" s="5" t="s">
        <v>9145</v>
      </c>
      <c r="D3154" s="5" t="s">
        <v>8608</v>
      </c>
      <c r="E3154" s="5" t="s">
        <v>44</v>
      </c>
      <c r="F3154" s="5" t="s">
        <v>8609</v>
      </c>
      <c r="G3154" s="5" t="s">
        <v>152</v>
      </c>
      <c r="H3154" s="5" t="s">
        <v>330</v>
      </c>
      <c r="I3154" s="5" t="s">
        <v>9146</v>
      </c>
      <c r="J3154" s="5" t="s">
        <v>9147</v>
      </c>
      <c r="K3154" s="7" t="str">
        <f ca="1">IFERROR(__xludf.DUMMYFUNCTION("GOOGLETRANSLATE(H3154,""EN"",""ES"")"),"MISCELÁNEAS")</f>
        <v>MISCELÁNEAS</v>
      </c>
      <c r="L3154" s="5" t="str">
        <f ca="1">IFERROR(__xludf.DUMMYFUNCTION("GOOGLETRANSLATE(J3154,""EN"",""ES"")"),"Filtros protectores para visualizadores")</f>
        <v>Filtros protectores para visualizadores</v>
      </c>
      <c r="M3154" s="8" t="s">
        <v>47</v>
      </c>
      <c r="N3154" s="8"/>
    </row>
    <row r="3155" spans="1:14" ht="11.25" customHeight="1">
      <c r="A3155" s="5" t="s">
        <v>8605</v>
      </c>
      <c r="B3155" s="5" t="s">
        <v>9135</v>
      </c>
      <c r="C3155" s="5" t="s">
        <v>9148</v>
      </c>
      <c r="D3155" s="5" t="s">
        <v>8608</v>
      </c>
      <c r="E3155" s="5" t="s">
        <v>44</v>
      </c>
      <c r="F3155" s="5" t="s">
        <v>8609</v>
      </c>
      <c r="G3155" s="5" t="s">
        <v>152</v>
      </c>
      <c r="H3155" s="5" t="s">
        <v>330</v>
      </c>
      <c r="I3155" s="5" t="s">
        <v>9149</v>
      </c>
      <c r="J3155" s="5" t="s">
        <v>9150</v>
      </c>
      <c r="K3155" s="7" t="str">
        <f ca="1">IFERROR(__xludf.DUMMYFUNCTION("GOOGLETRANSLATE(H3155,""EN"",""ES"")"),"MISCELÁNEAS")</f>
        <v>MISCELÁNEAS</v>
      </c>
      <c r="L3155" s="5" t="str">
        <f ca="1">IFERROR(__xludf.DUMMYFUNCTION("GOOGLETRANSLATE(J3155,""EN"",""ES"")"),"Alfombrillas para ratón de ordenador")</f>
        <v>Alfombrillas para ratón de ordenador</v>
      </c>
      <c r="M3155" s="8" t="s">
        <v>47</v>
      </c>
      <c r="N3155" s="8"/>
    </row>
    <row r="3156" spans="1:14" ht="11.25" customHeight="1">
      <c r="A3156" s="5" t="s">
        <v>8605</v>
      </c>
      <c r="B3156" s="5" t="s">
        <v>9135</v>
      </c>
      <c r="C3156" s="5" t="s">
        <v>9151</v>
      </c>
      <c r="D3156" s="5" t="s">
        <v>8608</v>
      </c>
      <c r="E3156" s="5" t="s">
        <v>44</v>
      </c>
      <c r="F3156" s="5" t="s">
        <v>8609</v>
      </c>
      <c r="G3156" s="5" t="s">
        <v>152</v>
      </c>
      <c r="H3156" s="5" t="s">
        <v>330</v>
      </c>
      <c r="I3156" s="5" t="s">
        <v>9152</v>
      </c>
      <c r="J3156" s="5" t="s">
        <v>9153</v>
      </c>
      <c r="K3156" s="7" t="str">
        <f ca="1">IFERROR(__xludf.DUMMYFUNCTION("GOOGLETRANSLATE(H3156,""EN"",""ES"")"),"MISCELÁNEAS")</f>
        <v>MISCELÁNEAS</v>
      </c>
      <c r="L3156" s="5" t="str">
        <f ca="1">IFERROR(__xludf.DUMMYFUNCTION("GOOGLETRANSLATE(J3156,""EN"",""ES"")"),"Cajas para discos compactos [embalaje]")</f>
        <v>Cajas para discos compactos [embalaje]</v>
      </c>
      <c r="M3156" s="8" t="s">
        <v>47</v>
      </c>
      <c r="N3156" s="8"/>
    </row>
    <row r="3157" spans="1:14" ht="11.25" customHeight="1">
      <c r="A3157" s="5" t="s">
        <v>8605</v>
      </c>
      <c r="B3157" s="5" t="s">
        <v>9135</v>
      </c>
      <c r="C3157" s="5" t="s">
        <v>9154</v>
      </c>
      <c r="D3157" s="5" t="s">
        <v>8608</v>
      </c>
      <c r="E3157" s="5" t="s">
        <v>44</v>
      </c>
      <c r="F3157" s="5" t="s">
        <v>8609</v>
      </c>
      <c r="G3157" s="5" t="s">
        <v>152</v>
      </c>
      <c r="H3157" s="5" t="s">
        <v>330</v>
      </c>
      <c r="I3157" s="5" t="s">
        <v>9155</v>
      </c>
      <c r="J3157" s="5" t="s">
        <v>9156</v>
      </c>
      <c r="K3157" s="7" t="str">
        <f ca="1">IFERROR(__xludf.DUMMYFUNCTION("GOOGLETRANSLATE(H3157,""EN"",""ES"")"),"MISCELÁNEAS")</f>
        <v>MISCELÁNEAS</v>
      </c>
      <c r="L3157" s="5" t="str">
        <f ca="1">IFERROR(__xludf.DUMMYFUNCTION("GOOGLETRANSLATE(J3157,""EN"",""ES"")"),"Cables de transmisión de datos")</f>
        <v>Cables de transmisión de datos</v>
      </c>
      <c r="M3157" s="8" t="s">
        <v>47</v>
      </c>
      <c r="N3157" s="8"/>
    </row>
    <row r="3158" spans="1:14" ht="11.25" customHeight="1">
      <c r="A3158" s="5" t="s">
        <v>8605</v>
      </c>
      <c r="B3158" s="5" t="s">
        <v>9135</v>
      </c>
      <c r="C3158" s="5" t="s">
        <v>9157</v>
      </c>
      <c r="D3158" s="5" t="s">
        <v>8608</v>
      </c>
      <c r="E3158" s="5" t="s">
        <v>44</v>
      </c>
      <c r="F3158" s="5" t="s">
        <v>8609</v>
      </c>
      <c r="G3158" s="5" t="s">
        <v>152</v>
      </c>
      <c r="H3158" s="5" t="s">
        <v>330</v>
      </c>
      <c r="I3158" s="5" t="s">
        <v>9158</v>
      </c>
      <c r="J3158" s="5" t="s">
        <v>9159</v>
      </c>
      <c r="K3158" s="7" t="str">
        <f ca="1">IFERROR(__xludf.DUMMYFUNCTION("GOOGLETRANSLATE(H3158,""EN"",""ES"")"),"MISCELÁNEAS")</f>
        <v>MISCELÁNEAS</v>
      </c>
      <c r="L3158" s="5" t="str">
        <f ca="1">IFERROR(__xludf.DUMMYFUNCTION("GOOGLETRANSLATE(J3158,""EN"",""ES"")"),"Lápiz óptico para pantallas táctiles")</f>
        <v>Lápiz óptico para pantallas táctiles</v>
      </c>
      <c r="M3158" s="8" t="s">
        <v>47</v>
      </c>
      <c r="N3158" s="8"/>
    </row>
    <row r="3159" spans="1:14" ht="11.25" customHeight="1">
      <c r="A3159" s="5" t="s">
        <v>8605</v>
      </c>
      <c r="B3159" s="5" t="s">
        <v>9135</v>
      </c>
      <c r="C3159" s="5" t="s">
        <v>9160</v>
      </c>
      <c r="D3159" s="5" t="s">
        <v>8608</v>
      </c>
      <c r="E3159" s="5" t="s">
        <v>44</v>
      </c>
      <c r="F3159" s="5" t="s">
        <v>8609</v>
      </c>
      <c r="G3159" s="5" t="s">
        <v>152</v>
      </c>
      <c r="H3159" s="5" t="s">
        <v>330</v>
      </c>
      <c r="I3159" s="5" t="s">
        <v>9161</v>
      </c>
      <c r="J3159" s="5" t="s">
        <v>9162</v>
      </c>
      <c r="K3159" s="7" t="str">
        <f ca="1">IFERROR(__xludf.DUMMYFUNCTION("GOOGLETRANSLATE(H3159,""EN"",""ES"")"),"MISCELÁNEAS")</f>
        <v>MISCELÁNEAS</v>
      </c>
      <c r="L3159" s="5" t="str">
        <f ca="1">IFERROR(__xludf.DUMMYFUNCTION("GOOGLETRANSLATE(J3159,""EN"",""ES"")"),"concentradores USB")</f>
        <v>concentradores USB</v>
      </c>
      <c r="M3159" s="8" t="s">
        <v>47</v>
      </c>
      <c r="N3159" s="8"/>
    </row>
    <row r="3160" spans="1:14" ht="11.25" customHeight="1">
      <c r="A3160" s="5" t="s">
        <v>8605</v>
      </c>
      <c r="B3160" s="5" t="s">
        <v>9135</v>
      </c>
      <c r="C3160" s="5" t="s">
        <v>9163</v>
      </c>
      <c r="D3160" s="5" t="s">
        <v>8608</v>
      </c>
      <c r="E3160" s="5" t="s">
        <v>44</v>
      </c>
      <c r="F3160" s="5" t="s">
        <v>8609</v>
      </c>
      <c r="G3160" s="5" t="s">
        <v>152</v>
      </c>
      <c r="H3160" s="5" t="s">
        <v>330</v>
      </c>
      <c r="I3160" s="5" t="s">
        <v>9164</v>
      </c>
      <c r="J3160" s="5" t="s">
        <v>9165</v>
      </c>
      <c r="K3160" s="7" t="str">
        <f ca="1">IFERROR(__xludf.DUMMYFUNCTION("GOOGLETRANSLATE(H3160,""EN"",""ES"")"),"MISCELÁNEAS")</f>
        <v>MISCELÁNEAS</v>
      </c>
      <c r="L3160" s="5" t="str">
        <f ca="1">IFERROR(__xludf.DUMMYFUNCTION("GOOGLETRANSLATE(J3160,""EN"",""ES"")"),"Conectores de fibra óptica")</f>
        <v>Conectores de fibra óptica</v>
      </c>
      <c r="M3160" s="8" t="s">
        <v>47</v>
      </c>
      <c r="N3160" s="8"/>
    </row>
    <row r="3161" spans="1:14" ht="11.25" customHeight="1">
      <c r="A3161" s="5" t="s">
        <v>9166</v>
      </c>
      <c r="B3161" s="5" t="s">
        <v>9167</v>
      </c>
      <c r="C3161" s="5" t="s">
        <v>9168</v>
      </c>
      <c r="D3161" s="5" t="s">
        <v>9169</v>
      </c>
      <c r="E3161" s="5" t="s">
        <v>52</v>
      </c>
      <c r="F3161" s="5" t="s">
        <v>9170</v>
      </c>
      <c r="G3161" s="5" t="s">
        <v>152</v>
      </c>
      <c r="H3161" s="5" t="s">
        <v>9171</v>
      </c>
      <c r="I3161" s="5" t="s">
        <v>9172</v>
      </c>
      <c r="J3161" s="5" t="s">
        <v>9173</v>
      </c>
      <c r="K3161" s="7" t="str">
        <f ca="1">IFERROR(__xludf.DUMMYFUNCTION("GOOGLETRANSLATE(H3161,""EN"",""ES"")"),"MOTORES")</f>
        <v>MOTORES</v>
      </c>
      <c r="L3161" s="5" t="str">
        <f ca="1">IFERROR(__xludf.DUMMYFUNCTION("GOOGLETRANSLATE(J3161,""EN"",""ES"")"),"motores de aire caliente")</f>
        <v>motores de aire caliente</v>
      </c>
      <c r="M3161" s="8" t="s">
        <v>56</v>
      </c>
      <c r="N3161" s="8"/>
    </row>
    <row r="3162" spans="1:14" ht="11.25" customHeight="1">
      <c r="A3162" s="5" t="s">
        <v>9166</v>
      </c>
      <c r="B3162" s="5" t="s">
        <v>9167</v>
      </c>
      <c r="C3162" s="5" t="s">
        <v>9174</v>
      </c>
      <c r="D3162" s="5" t="s">
        <v>9169</v>
      </c>
      <c r="E3162" s="5" t="s">
        <v>52</v>
      </c>
      <c r="F3162" s="5" t="s">
        <v>9170</v>
      </c>
      <c r="G3162" s="5" t="s">
        <v>152</v>
      </c>
      <c r="H3162" s="5" t="s">
        <v>9171</v>
      </c>
      <c r="I3162" s="5" t="s">
        <v>9175</v>
      </c>
      <c r="J3162" s="5" t="s">
        <v>9176</v>
      </c>
      <c r="K3162" s="7" t="str">
        <f ca="1">IFERROR(__xludf.DUMMYFUNCTION("GOOGLETRANSLATE(H3162,""EN"",""ES"")"),"MOTORES")</f>
        <v>MOTORES</v>
      </c>
      <c r="L3162" s="5" t="str">
        <f ca="1">IFERROR(__xludf.DUMMYFUNCTION("GOOGLETRANSLATE(J3162,""EN"",""ES"")"),"Carburadores para motores")</f>
        <v>Carburadores para motores</v>
      </c>
      <c r="M3162" s="8" t="s">
        <v>56</v>
      </c>
      <c r="N3162" s="8"/>
    </row>
    <row r="3163" spans="1:14" ht="11.25" customHeight="1">
      <c r="A3163" s="5" t="s">
        <v>9166</v>
      </c>
      <c r="B3163" s="5" t="s">
        <v>9167</v>
      </c>
      <c r="C3163" s="5" t="s">
        <v>9177</v>
      </c>
      <c r="D3163" s="5" t="s">
        <v>9169</v>
      </c>
      <c r="E3163" s="5" t="s">
        <v>52</v>
      </c>
      <c r="F3163" s="5" t="s">
        <v>9170</v>
      </c>
      <c r="G3163" s="5" t="s">
        <v>152</v>
      </c>
      <c r="H3163" s="5" t="s">
        <v>9171</v>
      </c>
      <c r="I3163" s="5" t="s">
        <v>9178</v>
      </c>
      <c r="J3163" s="5" t="s">
        <v>9179</v>
      </c>
      <c r="K3163" s="7" t="str">
        <f ca="1">IFERROR(__xludf.DUMMYFUNCTION("GOOGLETRANSLATE(H3163,""EN"",""ES"")"),"MOTORES")</f>
        <v>MOTORES</v>
      </c>
      <c r="L3163" s="5" t="str">
        <f ca="1">IFERROR(__xludf.DUMMYFUNCTION("GOOGLETRANSLATE(J3163,""EN"",""ES"")"),"Engranajes y carcasas de engranajes")</f>
        <v>Engranajes y carcasas de engranajes</v>
      </c>
      <c r="M3163" s="8" t="s">
        <v>56</v>
      </c>
      <c r="N3163" s="8"/>
    </row>
    <row r="3164" spans="1:14" ht="11.25" customHeight="1">
      <c r="A3164" s="5" t="s">
        <v>9166</v>
      </c>
      <c r="B3164" s="5" t="s">
        <v>9167</v>
      </c>
      <c r="C3164" s="5" t="s">
        <v>9180</v>
      </c>
      <c r="D3164" s="5" t="s">
        <v>9169</v>
      </c>
      <c r="E3164" s="5" t="s">
        <v>52</v>
      </c>
      <c r="F3164" s="5" t="s">
        <v>9170</v>
      </c>
      <c r="G3164" s="5" t="s">
        <v>152</v>
      </c>
      <c r="H3164" s="5" t="s">
        <v>9171</v>
      </c>
      <c r="I3164" s="5" t="s">
        <v>9181</v>
      </c>
      <c r="J3164" s="5" t="s">
        <v>9182</v>
      </c>
      <c r="K3164" s="7" t="str">
        <f ca="1">IFERROR(__xludf.DUMMYFUNCTION("GOOGLETRANSLATE(H3164,""EN"",""ES"")"),"MOTORES")</f>
        <v>MOTORES</v>
      </c>
      <c r="L3164" s="5" t="str">
        <f ca="1">IFERROR(__xludf.DUMMYFUNCTION("GOOGLETRANSLATE(J3164,""EN"",""ES"")"),"Cilindros para motores")</f>
        <v>Cilindros para motores</v>
      </c>
      <c r="M3164" s="8" t="s">
        <v>56</v>
      </c>
      <c r="N3164" s="8"/>
    </row>
    <row r="3165" spans="1:14" ht="11.25" customHeight="1">
      <c r="A3165" s="5" t="s">
        <v>9166</v>
      </c>
      <c r="B3165" s="5" t="s">
        <v>9167</v>
      </c>
      <c r="C3165" s="5" t="s">
        <v>9183</v>
      </c>
      <c r="D3165" s="5" t="s">
        <v>9169</v>
      </c>
      <c r="E3165" s="5" t="s">
        <v>52</v>
      </c>
      <c r="F3165" s="5" t="s">
        <v>9170</v>
      </c>
      <c r="G3165" s="5" t="s">
        <v>152</v>
      </c>
      <c r="H3165" s="5" t="s">
        <v>9171</v>
      </c>
      <c r="I3165" s="5" t="s">
        <v>9184</v>
      </c>
      <c r="J3165" s="5" t="s">
        <v>9185</v>
      </c>
      <c r="K3165" s="7" t="str">
        <f ca="1">IFERROR(__xludf.DUMMYFUNCTION("GOOGLETRANSLATE(H3165,""EN"",""ES"")"),"MOTORES")</f>
        <v>MOTORES</v>
      </c>
      <c r="L3165" s="5" t="str">
        <f ca="1">IFERROR(__xludf.DUMMYFUNCTION("GOOGLETRANSLATE(J3165,""EN"",""ES"")"),"Silenciadores de escape")</f>
        <v>Silenciadores de escape</v>
      </c>
      <c r="M3165" s="8" t="s">
        <v>56</v>
      </c>
      <c r="N3165" s="8"/>
    </row>
    <row r="3166" spans="1:14" ht="11.25" customHeight="1">
      <c r="A3166" s="5" t="s">
        <v>9166</v>
      </c>
      <c r="B3166" s="5" t="s">
        <v>9167</v>
      </c>
      <c r="C3166" s="5" t="s">
        <v>9186</v>
      </c>
      <c r="D3166" s="5" t="s">
        <v>9169</v>
      </c>
      <c r="E3166" s="5" t="s">
        <v>52</v>
      </c>
      <c r="F3166" s="5" t="s">
        <v>9170</v>
      </c>
      <c r="G3166" s="5" t="s">
        <v>152</v>
      </c>
      <c r="H3166" s="5" t="s">
        <v>9171</v>
      </c>
      <c r="I3166" s="5" t="s">
        <v>9187</v>
      </c>
      <c r="J3166" s="5" t="s">
        <v>9188</v>
      </c>
      <c r="K3166" s="7" t="str">
        <f ca="1">IFERROR(__xludf.DUMMYFUNCTION("GOOGLETRANSLATE(H3166,""EN"",""ES"")"),"MOTORES")</f>
        <v>MOTORES</v>
      </c>
      <c r="L3166" s="5" t="str">
        <f ca="1">IFERROR(__xludf.DUMMYFUNCTION("GOOGLETRANSLATE(J3166,""EN"",""ES"")"),"Pistones del motor")</f>
        <v>Pistones del motor</v>
      </c>
      <c r="M3166" s="8" t="s">
        <v>56</v>
      </c>
      <c r="N3166" s="8"/>
    </row>
    <row r="3167" spans="1:14" ht="11.25" customHeight="1">
      <c r="A3167" s="5" t="s">
        <v>9166</v>
      </c>
      <c r="B3167" s="5" t="s">
        <v>9167</v>
      </c>
      <c r="C3167" s="5" t="s">
        <v>9189</v>
      </c>
      <c r="D3167" s="5" t="s">
        <v>9169</v>
      </c>
      <c r="E3167" s="5" t="s">
        <v>52</v>
      </c>
      <c r="F3167" s="5" t="s">
        <v>9170</v>
      </c>
      <c r="G3167" s="5" t="s">
        <v>152</v>
      </c>
      <c r="H3167" s="5" t="s">
        <v>9171</v>
      </c>
      <c r="I3167" s="5" t="s">
        <v>9190</v>
      </c>
      <c r="J3167" s="5" t="s">
        <v>9191</v>
      </c>
      <c r="K3167" s="7" t="str">
        <f ca="1">IFERROR(__xludf.DUMMYFUNCTION("GOOGLETRANSLATE(H3167,""EN"",""ES"")"),"MOTORES")</f>
        <v>MOTORES</v>
      </c>
      <c r="L3167" s="5" t="str">
        <f ca="1">IFERROR(__xludf.DUMMYFUNCTION("GOOGLETRANSLATE(J3167,""EN"",""ES"")"),"Motores a reacción")</f>
        <v>Motores a reacción</v>
      </c>
      <c r="M3167" s="8" t="s">
        <v>56</v>
      </c>
      <c r="N3167" s="8"/>
    </row>
    <row r="3168" spans="1:14" ht="11.25" customHeight="1">
      <c r="A3168" s="5" t="s">
        <v>9166</v>
      </c>
      <c r="B3168" s="5" t="s">
        <v>9167</v>
      </c>
      <c r="C3168" s="5" t="s">
        <v>9192</v>
      </c>
      <c r="D3168" s="5" t="s">
        <v>9169</v>
      </c>
      <c r="E3168" s="5" t="s">
        <v>52</v>
      </c>
      <c r="F3168" s="5" t="s">
        <v>9170</v>
      </c>
      <c r="G3168" s="5" t="s">
        <v>152</v>
      </c>
      <c r="H3168" s="5" t="s">
        <v>9171</v>
      </c>
      <c r="I3168" s="5" t="s">
        <v>9193</v>
      </c>
      <c r="J3168" s="5" t="s">
        <v>9194</v>
      </c>
      <c r="K3168" s="7" t="str">
        <f ca="1">IFERROR(__xludf.DUMMYFUNCTION("GOOGLETRANSLATE(H3168,""EN"",""ES"")"),"MOTORES")</f>
        <v>MOTORES</v>
      </c>
      <c r="L3168" s="5" t="str">
        <f ca="1">IFERROR(__xludf.DUMMYFUNCTION("GOOGLETRANSLATE(J3168,""EN"",""ES"")"),"motores")</f>
        <v>motores</v>
      </c>
      <c r="M3168" s="8" t="s">
        <v>56</v>
      </c>
      <c r="N3168" s="8"/>
    </row>
    <row r="3169" spans="1:14" ht="11.25" customHeight="1">
      <c r="A3169" s="5" t="s">
        <v>9166</v>
      </c>
      <c r="B3169" s="5" t="s">
        <v>9167</v>
      </c>
      <c r="C3169" s="5" t="s">
        <v>9195</v>
      </c>
      <c r="D3169" s="5" t="s">
        <v>9169</v>
      </c>
      <c r="E3169" s="5" t="s">
        <v>52</v>
      </c>
      <c r="F3169" s="5" t="s">
        <v>9170</v>
      </c>
      <c r="G3169" s="5" t="s">
        <v>152</v>
      </c>
      <c r="H3169" s="5" t="s">
        <v>9171</v>
      </c>
      <c r="I3169" s="5" t="s">
        <v>9196</v>
      </c>
      <c r="J3169" s="5" t="s">
        <v>9197</v>
      </c>
      <c r="K3169" s="7" t="str">
        <f ca="1">IFERROR(__xludf.DUMMYFUNCTION("GOOGLETRANSLATE(H3169,""EN"",""ES"")"),"MOTORES")</f>
        <v>MOTORES</v>
      </c>
      <c r="L3169" s="5" t="str">
        <f ca="1">IFERROR(__xludf.DUMMYFUNCTION("GOOGLETRANSLATE(J3169,""EN"",""ES"")"),"Rotores de turbina")</f>
        <v>Rotores de turbina</v>
      </c>
      <c r="M3169" s="8" t="s">
        <v>56</v>
      </c>
      <c r="N3169" s="8"/>
    </row>
    <row r="3170" spans="1:14" ht="11.25" customHeight="1">
      <c r="A3170" s="5" t="s">
        <v>9166</v>
      </c>
      <c r="B3170" s="5" t="s">
        <v>9167</v>
      </c>
      <c r="C3170" s="5" t="s">
        <v>9198</v>
      </c>
      <c r="D3170" s="5" t="s">
        <v>9169</v>
      </c>
      <c r="E3170" s="5" t="s">
        <v>52</v>
      </c>
      <c r="F3170" s="5" t="s">
        <v>9170</v>
      </c>
      <c r="G3170" s="5" t="s">
        <v>152</v>
      </c>
      <c r="H3170" s="5" t="s">
        <v>9171</v>
      </c>
      <c r="I3170" s="5" t="s">
        <v>9199</v>
      </c>
      <c r="J3170" s="5" t="s">
        <v>9200</v>
      </c>
      <c r="K3170" s="7" t="str">
        <f ca="1">IFERROR(__xludf.DUMMYFUNCTION("GOOGLETRANSLATE(H3170,""EN"",""ES"")"),"MOTORES")</f>
        <v>MOTORES</v>
      </c>
      <c r="L3170" s="5" t="str">
        <f ca="1">IFERROR(__xludf.DUMMYFUNCTION("GOOGLETRANSLATE(J3170,""EN"",""ES"")"),"Silenciadores para motores")</f>
        <v>Silenciadores para motores</v>
      </c>
      <c r="M3170" s="8" t="s">
        <v>56</v>
      </c>
      <c r="N3170" s="8"/>
    </row>
    <row r="3171" spans="1:14" ht="11.25" customHeight="1">
      <c r="A3171" s="5" t="s">
        <v>9166</v>
      </c>
      <c r="B3171" s="5" t="s">
        <v>9167</v>
      </c>
      <c r="C3171" s="5" t="s">
        <v>9198</v>
      </c>
      <c r="D3171" s="5" t="s">
        <v>9169</v>
      </c>
      <c r="E3171" s="5" t="s">
        <v>52</v>
      </c>
      <c r="F3171" s="5" t="s">
        <v>9170</v>
      </c>
      <c r="G3171" s="5" t="s">
        <v>152</v>
      </c>
      <c r="H3171" s="5" t="s">
        <v>9171</v>
      </c>
      <c r="I3171" s="5" t="s">
        <v>9201</v>
      </c>
      <c r="J3171" s="5" t="s">
        <v>152</v>
      </c>
      <c r="K3171" s="7" t="str">
        <f ca="1">IFERROR(__xludf.DUMMYFUNCTION("GOOGLETRANSLATE(H3171,""EN"",""ES"")"),"MOTORES")</f>
        <v>MOTORES</v>
      </c>
      <c r="L3171" s="5" t="str">
        <f ca="1">IFERROR(__xludf.DUMMYFUNCTION("GOOGLETRANSLATE(J3171,""EN"",""ES"")"),"Silenciadores para motores")</f>
        <v>Silenciadores para motores</v>
      </c>
      <c r="M3171" s="8" t="s">
        <v>56</v>
      </c>
      <c r="N3171" s="8"/>
    </row>
    <row r="3172" spans="1:14" ht="11.25" customHeight="1">
      <c r="A3172" s="5" t="s">
        <v>9166</v>
      </c>
      <c r="B3172" s="5" t="s">
        <v>9167</v>
      </c>
      <c r="C3172" s="5" t="s">
        <v>9202</v>
      </c>
      <c r="D3172" s="5" t="s">
        <v>9169</v>
      </c>
      <c r="E3172" s="5" t="s">
        <v>52</v>
      </c>
      <c r="F3172" s="5" t="s">
        <v>9170</v>
      </c>
      <c r="G3172" s="5" t="s">
        <v>152</v>
      </c>
      <c r="H3172" s="5" t="s">
        <v>9171</v>
      </c>
      <c r="I3172" s="5" t="s">
        <v>9203</v>
      </c>
      <c r="J3172" s="5" t="s">
        <v>9204</v>
      </c>
      <c r="K3172" s="7" t="str">
        <f ca="1">IFERROR(__xludf.DUMMYFUNCTION("GOOGLETRANSLATE(H3172,""EN"",""ES"")"),"MOTORES")</f>
        <v>MOTORES</v>
      </c>
      <c r="L3172" s="5" t="str">
        <f ca="1">IFERROR(__xludf.DUMMYFUNCTION("GOOGLETRANSLATE(J3172,""EN"",""ES"")"),"Estatores de turbina")</f>
        <v>Estatores de turbina</v>
      </c>
      <c r="M3172" s="8" t="s">
        <v>56</v>
      </c>
      <c r="N3172" s="8"/>
    </row>
    <row r="3173" spans="1:14" ht="11.25" customHeight="1">
      <c r="A3173" s="5" t="s">
        <v>9166</v>
      </c>
      <c r="B3173" s="5" t="s">
        <v>9167</v>
      </c>
      <c r="C3173" s="5" t="s">
        <v>9205</v>
      </c>
      <c r="D3173" s="5" t="s">
        <v>9169</v>
      </c>
      <c r="E3173" s="5" t="s">
        <v>52</v>
      </c>
      <c r="F3173" s="5" t="s">
        <v>9170</v>
      </c>
      <c r="G3173" s="5" t="s">
        <v>152</v>
      </c>
      <c r="H3173" s="5" t="s">
        <v>9171</v>
      </c>
      <c r="I3173" s="5" t="s">
        <v>9206</v>
      </c>
      <c r="J3173" s="5" t="s">
        <v>9206</v>
      </c>
      <c r="K3173" s="7" t="str">
        <f ca="1">IFERROR(__xludf.DUMMYFUNCTION("GOOGLETRANSLATE(H3173,""EN"",""ES"")"),"MOTORES")</f>
        <v>MOTORES</v>
      </c>
      <c r="L3173" s="5" t="str">
        <f ca="1">IFERROR(__xludf.DUMMYFUNCTION("GOOGLETRANSLATE(J3173,""EN"",""ES"")"),"turbinas")</f>
        <v>turbinas</v>
      </c>
      <c r="M3173" s="8" t="s">
        <v>56</v>
      </c>
      <c r="N3173" s="8"/>
    </row>
    <row r="3174" spans="1:14" ht="11.25" customHeight="1">
      <c r="A3174" s="5" t="s">
        <v>9166</v>
      </c>
      <c r="B3174" s="5" t="s">
        <v>9167</v>
      </c>
      <c r="C3174" s="5" t="s">
        <v>9207</v>
      </c>
      <c r="D3174" s="5" t="s">
        <v>9169</v>
      </c>
      <c r="E3174" s="5" t="s">
        <v>52</v>
      </c>
      <c r="F3174" s="5" t="s">
        <v>9170</v>
      </c>
      <c r="G3174" s="5" t="s">
        <v>152</v>
      </c>
      <c r="H3174" s="5" t="s">
        <v>9171</v>
      </c>
      <c r="I3174" s="5" t="s">
        <v>9208</v>
      </c>
      <c r="J3174" s="5" t="s">
        <v>9209</v>
      </c>
      <c r="K3174" s="7" t="str">
        <f ca="1">IFERROR(__xludf.DUMMYFUNCTION("GOOGLETRANSLATE(H3174,""EN"",""ES"")"),"MOTORES")</f>
        <v>MOTORES</v>
      </c>
      <c r="L3174" s="5" t="str">
        <f ca="1">IFERROR(__xludf.DUMMYFUNCTION("GOOGLETRANSLATE(J3174,""EN"",""ES"")"),"Bujias para motores")</f>
        <v>Bujias para motores</v>
      </c>
      <c r="M3174" s="8" t="s">
        <v>56</v>
      </c>
      <c r="N3174" s="8"/>
    </row>
    <row r="3175" spans="1:14" ht="11.25" customHeight="1">
      <c r="A3175" s="5" t="s">
        <v>9166</v>
      </c>
      <c r="B3175" s="5" t="s">
        <v>9167</v>
      </c>
      <c r="C3175" s="5" t="s">
        <v>9210</v>
      </c>
      <c r="D3175" s="5" t="s">
        <v>9169</v>
      </c>
      <c r="E3175" s="5" t="s">
        <v>52</v>
      </c>
      <c r="F3175" s="5" t="s">
        <v>9170</v>
      </c>
      <c r="G3175" s="5" t="s">
        <v>152</v>
      </c>
      <c r="H3175" s="5" t="s">
        <v>9171</v>
      </c>
      <c r="I3175" s="5" t="s">
        <v>9211</v>
      </c>
      <c r="J3175" s="5" t="s">
        <v>9212</v>
      </c>
      <c r="K3175" s="7" t="str">
        <f ca="1">IFERROR(__xludf.DUMMYFUNCTION("GOOGLETRANSLATE(H3175,""EN"",""ES"")"),"MOTORES")</f>
        <v>MOTORES</v>
      </c>
      <c r="L3175" s="5" t="str">
        <f ca="1">IFERROR(__xludf.DUMMYFUNCTION("GOOGLETRANSLATE(J3175,""EN"",""ES"")"),"Reguladores de encendido para motores.")</f>
        <v>Reguladores de encendido para motores.</v>
      </c>
      <c r="M3175" s="8" t="s">
        <v>56</v>
      </c>
      <c r="N3175" s="8"/>
    </row>
    <row r="3176" spans="1:14" ht="11.25" customHeight="1">
      <c r="A3176" s="5" t="s">
        <v>9166</v>
      </c>
      <c r="B3176" s="5" t="s">
        <v>9167</v>
      </c>
      <c r="C3176" s="5" t="s">
        <v>9213</v>
      </c>
      <c r="D3176" s="5" t="s">
        <v>9169</v>
      </c>
      <c r="E3176" s="5" t="s">
        <v>52</v>
      </c>
      <c r="F3176" s="5" t="s">
        <v>9170</v>
      </c>
      <c r="G3176" s="5" t="s">
        <v>152</v>
      </c>
      <c r="H3176" s="5" t="s">
        <v>9171</v>
      </c>
      <c r="I3176" s="5" t="s">
        <v>9214</v>
      </c>
      <c r="J3176" s="5" t="s">
        <v>9215</v>
      </c>
      <c r="K3176" s="7" t="str">
        <f ca="1">IFERROR(__xludf.DUMMYFUNCTION("GOOGLETRANSLATE(H3176,""EN"",""ES"")"),"MOTORES")</f>
        <v>MOTORES</v>
      </c>
      <c r="L3176" s="5" t="str">
        <f ca="1">IFERROR(__xludf.DUMMYFUNCTION("GOOGLETRANSLATE(J3176,""EN"",""ES"")"),"Motores de vapor")</f>
        <v>Motores de vapor</v>
      </c>
      <c r="M3176" s="8" t="s">
        <v>56</v>
      </c>
      <c r="N3176" s="8"/>
    </row>
    <row r="3177" spans="1:14" ht="11.25" customHeight="1">
      <c r="A3177" s="5" t="s">
        <v>9166</v>
      </c>
      <c r="B3177" s="5" t="s">
        <v>9167</v>
      </c>
      <c r="C3177" s="5" t="s">
        <v>9216</v>
      </c>
      <c r="D3177" s="5" t="s">
        <v>9169</v>
      </c>
      <c r="E3177" s="5" t="s">
        <v>52</v>
      </c>
      <c r="F3177" s="5" t="s">
        <v>9170</v>
      </c>
      <c r="G3177" s="5" t="s">
        <v>152</v>
      </c>
      <c r="H3177" s="5" t="s">
        <v>9171</v>
      </c>
      <c r="I3177" s="5" t="s">
        <v>9217</v>
      </c>
      <c r="J3177" s="5" t="s">
        <v>9218</v>
      </c>
      <c r="K3177" s="7" t="str">
        <f ca="1">IFERROR(__xludf.DUMMYFUNCTION("GOOGLETRANSLATE(H3177,""EN"",""ES"")"),"MOTORES")</f>
        <v>MOTORES</v>
      </c>
      <c r="L3177" s="5" t="str">
        <f ca="1">IFERROR(__xludf.DUMMYFUNCTION("GOOGLETRANSLATE(J3177,""EN"",""ES"")"),"Calentadores de motor")</f>
        <v>Calentadores de motor</v>
      </c>
      <c r="M3177" s="8" t="s">
        <v>56</v>
      </c>
      <c r="N3177" s="8"/>
    </row>
    <row r="3178" spans="1:14" ht="11.25" customHeight="1">
      <c r="A3178" s="5" t="s">
        <v>9166</v>
      </c>
      <c r="B3178" s="5" t="s">
        <v>9167</v>
      </c>
      <c r="C3178" s="5" t="s">
        <v>9219</v>
      </c>
      <c r="D3178" s="5" t="s">
        <v>9169</v>
      </c>
      <c r="E3178" s="5" t="s">
        <v>52</v>
      </c>
      <c r="F3178" s="5" t="s">
        <v>9170</v>
      </c>
      <c r="G3178" s="5" t="s">
        <v>152</v>
      </c>
      <c r="H3178" s="5" t="s">
        <v>9171</v>
      </c>
      <c r="I3178" s="5" t="s">
        <v>9220</v>
      </c>
      <c r="J3178" s="5" t="s">
        <v>9221</v>
      </c>
      <c r="K3178" s="7" t="str">
        <f ca="1">IFERROR(__xludf.DUMMYFUNCTION("GOOGLETRANSLATE(H3178,""EN"",""ES"")"),"MOTORES")</f>
        <v>MOTORES</v>
      </c>
      <c r="L3178" s="5" t="str">
        <f ca="1">IFERROR(__xludf.DUMMYFUNCTION("GOOGLETRANSLATE(J3178,""EN"",""ES"")"),"válvulas para motores")</f>
        <v>válvulas para motores</v>
      </c>
      <c r="M3178" s="8" t="s">
        <v>56</v>
      </c>
      <c r="N3178" s="8"/>
    </row>
    <row r="3179" spans="1:14" ht="11.25" customHeight="1">
      <c r="A3179" s="5" t="s">
        <v>9166</v>
      </c>
      <c r="B3179" s="5" t="s">
        <v>9167</v>
      </c>
      <c r="C3179" s="5" t="s">
        <v>9222</v>
      </c>
      <c r="D3179" s="5" t="s">
        <v>9169</v>
      </c>
      <c r="E3179" s="5" t="s">
        <v>52</v>
      </c>
      <c r="F3179" s="5" t="s">
        <v>9170</v>
      </c>
      <c r="G3179" s="5" t="s">
        <v>152</v>
      </c>
      <c r="H3179" s="5" t="s">
        <v>9171</v>
      </c>
      <c r="I3179" s="5" t="s">
        <v>9223</v>
      </c>
      <c r="J3179" s="5" t="s">
        <v>9224</v>
      </c>
      <c r="K3179" s="7" t="str">
        <f ca="1">IFERROR(__xludf.DUMMYFUNCTION("GOOGLETRANSLATE(H3179,""EN"",""ES"")"),"MOTORES")</f>
        <v>MOTORES</v>
      </c>
      <c r="L3179" s="5" t="str">
        <f ca="1">IFERROR(__xludf.DUMMYFUNCTION("GOOGLETRANSLATE(J3179,""EN"",""ES"")"),"Unidades de motor")</f>
        <v>Unidades de motor</v>
      </c>
      <c r="M3179" s="8" t="s">
        <v>56</v>
      </c>
      <c r="N3179" s="8"/>
    </row>
    <row r="3180" spans="1:14" ht="11.25" customHeight="1">
      <c r="A3180" s="5" t="s">
        <v>9166</v>
      </c>
      <c r="B3180" s="5" t="s">
        <v>9167</v>
      </c>
      <c r="C3180" s="5" t="s">
        <v>9225</v>
      </c>
      <c r="D3180" s="5" t="s">
        <v>9169</v>
      </c>
      <c r="E3180" s="5" t="s">
        <v>52</v>
      </c>
      <c r="F3180" s="5" t="s">
        <v>9170</v>
      </c>
      <c r="G3180" s="5" t="s">
        <v>152</v>
      </c>
      <c r="H3180" s="5" t="s">
        <v>9171</v>
      </c>
      <c r="I3180" s="5" t="s">
        <v>9226</v>
      </c>
      <c r="J3180" s="5" t="s">
        <v>9227</v>
      </c>
      <c r="K3180" s="7" t="str">
        <f ca="1">IFERROR(__xludf.DUMMYFUNCTION("GOOGLETRANSLATE(H3180,""EN"",""ES"")"),"MOTORES")</f>
        <v>MOTORES</v>
      </c>
      <c r="L3180" s="5" t="str">
        <f ca="1">IFERROR(__xludf.DUMMYFUNCTION("GOOGLETRANSLATE(J3180,""EN"",""ES"")"),"Cajas electrónicas para motores.")</f>
        <v>Cajas electrónicas para motores.</v>
      </c>
      <c r="M3180" s="8" t="s">
        <v>56</v>
      </c>
      <c r="N3180" s="8"/>
    </row>
    <row r="3181" spans="1:14" ht="11.25" customHeight="1">
      <c r="A3181" s="5" t="s">
        <v>9166</v>
      </c>
      <c r="B3181" s="5" t="s">
        <v>9167</v>
      </c>
      <c r="C3181" s="5" t="s">
        <v>9228</v>
      </c>
      <c r="D3181" s="5" t="s">
        <v>9169</v>
      </c>
      <c r="E3181" s="5" t="s">
        <v>52</v>
      </c>
      <c r="F3181" s="5" t="s">
        <v>9170</v>
      </c>
      <c r="G3181" s="5" t="s">
        <v>152</v>
      </c>
      <c r="H3181" s="5" t="s">
        <v>9171</v>
      </c>
      <c r="I3181" s="5" t="s">
        <v>9229</v>
      </c>
      <c r="J3181" s="5" t="s">
        <v>9230</v>
      </c>
      <c r="K3181" s="7" t="str">
        <f ca="1">IFERROR(__xludf.DUMMYFUNCTION("GOOGLETRANSLATE(H3181,""EN"",""ES"")"),"MOTORES")</f>
        <v>MOTORES</v>
      </c>
      <c r="L3181" s="5" t="str">
        <f ca="1">IFERROR(__xludf.DUMMYFUNCTION("GOOGLETRANSLATE(J3181,""EN"",""ES"")"),"ventiladores para motores")</f>
        <v>ventiladores para motores</v>
      </c>
      <c r="M3181" s="8" t="s">
        <v>56</v>
      </c>
      <c r="N3181" s="8"/>
    </row>
    <row r="3182" spans="1:14" ht="11.25" customHeight="1">
      <c r="A3182" s="5" t="s">
        <v>9166</v>
      </c>
      <c r="B3182" s="5" t="s">
        <v>9167</v>
      </c>
      <c r="C3182" s="5" t="s">
        <v>9231</v>
      </c>
      <c r="D3182" s="5" t="s">
        <v>9169</v>
      </c>
      <c r="E3182" s="5" t="s">
        <v>52</v>
      </c>
      <c r="F3182" s="5" t="s">
        <v>9170</v>
      </c>
      <c r="G3182" s="5" t="s">
        <v>152</v>
      </c>
      <c r="H3182" s="5" t="s">
        <v>9171</v>
      </c>
      <c r="I3182" s="5" t="s">
        <v>9232</v>
      </c>
      <c r="J3182" s="5" t="s">
        <v>9233</v>
      </c>
      <c r="K3182" s="7" t="str">
        <f ca="1">IFERROR(__xludf.DUMMYFUNCTION("GOOGLETRANSLATE(H3182,""EN"",""ES"")"),"MOTORES")</f>
        <v>MOTORES</v>
      </c>
      <c r="L3182" s="5" t="str">
        <f ca="1">IFERROR(__xludf.DUMMYFUNCTION("GOOGLETRANSLATE(J3182,""EN"",""ES"")"),"Colectores de escape para motores de combustión")</f>
        <v>Colectores de escape para motores de combustión</v>
      </c>
      <c r="M3182" s="8" t="s">
        <v>56</v>
      </c>
      <c r="N3182" s="8"/>
    </row>
    <row r="3183" spans="1:14" ht="11.25" customHeight="1">
      <c r="A3183" s="5" t="s">
        <v>9166</v>
      </c>
      <c r="B3183" s="5" t="s">
        <v>9167</v>
      </c>
      <c r="C3183" s="5" t="s">
        <v>9234</v>
      </c>
      <c r="D3183" s="5" t="s">
        <v>9169</v>
      </c>
      <c r="E3183" s="5" t="s">
        <v>52</v>
      </c>
      <c r="F3183" s="5" t="s">
        <v>9170</v>
      </c>
      <c r="G3183" s="5" t="s">
        <v>152</v>
      </c>
      <c r="H3183" s="5" t="s">
        <v>9171</v>
      </c>
      <c r="I3183" s="5" t="s">
        <v>9235</v>
      </c>
      <c r="J3183" s="5" t="s">
        <v>9236</v>
      </c>
      <c r="K3183" s="7" t="str">
        <f ca="1">IFERROR(__xludf.DUMMYFUNCTION("GOOGLETRANSLATE(H3183,""EN"",""ES"")"),"MOTORES")</f>
        <v>MOTORES</v>
      </c>
      <c r="L3183" s="5" t="str">
        <f ca="1">IFERROR(__xludf.DUMMYFUNCTION("GOOGLETRANSLATE(J3183,""EN"",""ES"")"),"Filtros para motores")</f>
        <v>Filtros para motores</v>
      </c>
      <c r="M3183" s="8" t="s">
        <v>56</v>
      </c>
      <c r="N3183" s="8"/>
    </row>
    <row r="3184" spans="1:14" ht="11.25" customHeight="1">
      <c r="A3184" s="5" t="s">
        <v>9166</v>
      </c>
      <c r="B3184" s="5" t="s">
        <v>9167</v>
      </c>
      <c r="C3184" s="5" t="s">
        <v>9237</v>
      </c>
      <c r="D3184" s="5" t="s">
        <v>9169</v>
      </c>
      <c r="E3184" s="5" t="s">
        <v>52</v>
      </c>
      <c r="F3184" s="5" t="s">
        <v>9170</v>
      </c>
      <c r="G3184" s="5" t="s">
        <v>152</v>
      </c>
      <c r="H3184" s="5" t="s">
        <v>9171</v>
      </c>
      <c r="I3184" s="5" t="s">
        <v>9238</v>
      </c>
      <c r="J3184" s="5" t="s">
        <v>9239</v>
      </c>
      <c r="K3184" s="7" t="str">
        <f ca="1">IFERROR(__xludf.DUMMYFUNCTION("GOOGLETRANSLATE(H3184,""EN"",""ES"")"),"MOTORES")</f>
        <v>MOTORES</v>
      </c>
      <c r="L3184" s="5" t="str">
        <f ca="1">IFERROR(__xludf.DUMMYFUNCTION("GOOGLETRANSLATE(J3184,""EN"",""ES"")"),"Actuadores [máquinas]")</f>
        <v>Actuadores [máquinas]</v>
      </c>
      <c r="M3184" s="8" t="s">
        <v>56</v>
      </c>
      <c r="N3184" s="8"/>
    </row>
    <row r="3185" spans="1:14" ht="11.25" customHeight="1">
      <c r="A3185" s="5" t="s">
        <v>9166</v>
      </c>
      <c r="B3185" s="5" t="s">
        <v>9240</v>
      </c>
      <c r="C3185" s="5" t="s">
        <v>9241</v>
      </c>
      <c r="D3185" s="5" t="s">
        <v>9169</v>
      </c>
      <c r="E3185" s="5" t="s">
        <v>52</v>
      </c>
      <c r="F3185" s="5" t="s">
        <v>9170</v>
      </c>
      <c r="G3185" s="5" t="s">
        <v>152</v>
      </c>
      <c r="H3185" s="5" t="s">
        <v>9242</v>
      </c>
      <c r="I3185" s="5" t="s">
        <v>9243</v>
      </c>
      <c r="J3185" s="5" t="s">
        <v>9244</v>
      </c>
      <c r="K3185" s="7" t="str">
        <f ca="1">IFERROR(__xludf.DUMMYFUNCTION("GOOGLETRANSLATE(H3185,""EN"",""ES"")"),"BOMBAS Y COMPRESORES")</f>
        <v>BOMBAS Y COMPRESORES</v>
      </c>
      <c r="L3185" s="5" t="str">
        <f ca="1">IFERROR(__xludf.DUMMYFUNCTION("GOOGLETRANSLATE(J3185,""EN"",""ES"")"),"Compresores")</f>
        <v>Compresores</v>
      </c>
      <c r="M3185" s="8" t="s">
        <v>56</v>
      </c>
      <c r="N3185" s="8"/>
    </row>
    <row r="3186" spans="1:14" ht="11.25" customHeight="1">
      <c r="A3186" s="5" t="s">
        <v>9166</v>
      </c>
      <c r="B3186" s="5" t="s">
        <v>9240</v>
      </c>
      <c r="C3186" s="5" t="s">
        <v>9245</v>
      </c>
      <c r="D3186" s="5" t="s">
        <v>9169</v>
      </c>
      <c r="E3186" s="5" t="s">
        <v>52</v>
      </c>
      <c r="F3186" s="5" t="s">
        <v>9170</v>
      </c>
      <c r="G3186" s="5" t="s">
        <v>152</v>
      </c>
      <c r="H3186" s="5" t="s">
        <v>9242</v>
      </c>
      <c r="I3186" s="5" t="s">
        <v>9246</v>
      </c>
      <c r="J3186" s="5" t="s">
        <v>9247</v>
      </c>
      <c r="K3186" s="7" t="str">
        <f ca="1">IFERROR(__xludf.DUMMYFUNCTION("GOOGLETRANSLATE(H3186,""EN"",""ES"")"),"BOMBAS Y COMPRESORES")</f>
        <v>BOMBAS Y COMPRESORES</v>
      </c>
      <c r="L3186" s="5" t="str">
        <f ca="1">IFERROR(__xludf.DUMMYFUNCTION("GOOGLETRANSLATE(J3186,""EN"",""ES"")"),"Dispensadores de aire para inflar neumáticos.")</f>
        <v>Dispensadores de aire para inflar neumáticos.</v>
      </c>
      <c r="M3186" s="8" t="s">
        <v>56</v>
      </c>
      <c r="N3186" s="8"/>
    </row>
    <row r="3187" spans="1:14" ht="11.25" customHeight="1">
      <c r="A3187" s="5" t="s">
        <v>9166</v>
      </c>
      <c r="B3187" s="5" t="s">
        <v>9240</v>
      </c>
      <c r="C3187" s="5" t="s">
        <v>9248</v>
      </c>
      <c r="D3187" s="5" t="s">
        <v>9169</v>
      </c>
      <c r="E3187" s="5" t="s">
        <v>52</v>
      </c>
      <c r="F3187" s="5" t="s">
        <v>9170</v>
      </c>
      <c r="G3187" s="5" t="s">
        <v>152</v>
      </c>
      <c r="H3187" s="5" t="s">
        <v>9242</v>
      </c>
      <c r="I3187" s="5" t="s">
        <v>9249</v>
      </c>
      <c r="J3187" s="5" t="s">
        <v>9250</v>
      </c>
      <c r="K3187" s="7" t="str">
        <f ca="1">IFERROR(__xludf.DUMMYFUNCTION("GOOGLETRANSLATE(H3187,""EN"",""ES"")"),"BOMBAS Y COMPRESORES")</f>
        <v>BOMBAS Y COMPRESORES</v>
      </c>
      <c r="L3187" s="5" t="str">
        <f ca="1">IFERROR(__xludf.DUMMYFUNCTION("GOOGLETRANSLATE(J3187,""EN"",""ES"")"),"Bombas para líquidos")</f>
        <v>Bombas para líquidos</v>
      </c>
      <c r="M3187" s="8" t="s">
        <v>56</v>
      </c>
      <c r="N3187" s="8"/>
    </row>
    <row r="3188" spans="1:14" ht="11.25" customHeight="1">
      <c r="A3188" s="5" t="s">
        <v>9166</v>
      </c>
      <c r="B3188" s="5" t="s">
        <v>9240</v>
      </c>
      <c r="C3188" s="5" t="s">
        <v>9251</v>
      </c>
      <c r="D3188" s="5" t="s">
        <v>9169</v>
      </c>
      <c r="E3188" s="5" t="s">
        <v>52</v>
      </c>
      <c r="F3188" s="5" t="s">
        <v>9170</v>
      </c>
      <c r="G3188" s="5" t="s">
        <v>152</v>
      </c>
      <c r="H3188" s="5" t="s">
        <v>9242</v>
      </c>
      <c r="I3188" s="5" t="s">
        <v>9252</v>
      </c>
      <c r="J3188" s="5" t="s">
        <v>9253</v>
      </c>
      <c r="K3188" s="7" t="str">
        <f ca="1">IFERROR(__xludf.DUMMYFUNCTION("GOOGLETRANSLATE(H3188,""EN"",""ES"")"),"BOMBAS Y COMPRESORES")</f>
        <v>BOMBAS Y COMPRESORES</v>
      </c>
      <c r="L3188" s="5" t="str">
        <f ca="1">IFERROR(__xludf.DUMMYFUNCTION("GOOGLETRANSLATE(J3188,""EN"",""ES"")"),"Bombas de vacío")</f>
        <v>Bombas de vacío</v>
      </c>
      <c r="M3188" s="8" t="s">
        <v>56</v>
      </c>
      <c r="N3188" s="8"/>
    </row>
    <row r="3189" spans="1:14" ht="11.25" customHeight="1">
      <c r="A3189" s="5" t="s">
        <v>9166</v>
      </c>
      <c r="B3189" s="5" t="s">
        <v>9240</v>
      </c>
      <c r="C3189" s="5" t="s">
        <v>9254</v>
      </c>
      <c r="D3189" s="5" t="s">
        <v>9169</v>
      </c>
      <c r="E3189" s="5" t="s">
        <v>52</v>
      </c>
      <c r="F3189" s="5" t="s">
        <v>9170</v>
      </c>
      <c r="G3189" s="5" t="s">
        <v>152</v>
      </c>
      <c r="H3189" s="5" t="s">
        <v>9242</v>
      </c>
      <c r="I3189" s="5" t="s">
        <v>9255</v>
      </c>
      <c r="J3189" s="5" t="s">
        <v>9256</v>
      </c>
      <c r="K3189" s="7" t="str">
        <f ca="1">IFERROR(__xludf.DUMMYFUNCTION("GOOGLETRANSLATE(H3189,""EN"",""ES"")"),"BOMBAS Y COMPRESORES")</f>
        <v>BOMBAS Y COMPRESORES</v>
      </c>
      <c r="L3189" s="5" t="str">
        <f ca="1">IFERROR(__xludf.DUMMYFUNCTION("GOOGLETRANSLATE(J3189,""EN"",""ES"")"),"Bombas para inflar neumáticos [máquinas]")</f>
        <v>Bombas para inflar neumáticos [máquinas]</v>
      </c>
      <c r="M3189" s="8" t="s">
        <v>56</v>
      </c>
      <c r="N3189" s="8"/>
    </row>
    <row r="3190" spans="1:14" ht="11.25" customHeight="1">
      <c r="A3190" s="5" t="s">
        <v>9166</v>
      </c>
      <c r="B3190" s="5" t="s">
        <v>9240</v>
      </c>
      <c r="C3190" s="5" t="s">
        <v>9257</v>
      </c>
      <c r="D3190" s="5" t="s">
        <v>9169</v>
      </c>
      <c r="E3190" s="5" t="s">
        <v>52</v>
      </c>
      <c r="F3190" s="5" t="s">
        <v>9170</v>
      </c>
      <c r="G3190" s="5" t="s">
        <v>152</v>
      </c>
      <c r="H3190" s="5" t="s">
        <v>9242</v>
      </c>
      <c r="I3190" s="5" t="s">
        <v>9258</v>
      </c>
      <c r="J3190" s="5" t="s">
        <v>9259</v>
      </c>
      <c r="K3190" s="7" t="str">
        <f ca="1">IFERROR(__xludf.DUMMYFUNCTION("GOOGLETRANSLATE(H3190,""EN"",""ES"")"),"BOMBAS Y COMPRESORES")</f>
        <v>BOMBAS Y COMPRESORES</v>
      </c>
      <c r="L3190" s="5" t="str">
        <f ca="1">IFERROR(__xludf.DUMMYFUNCTION("GOOGLETRANSLATE(J3190,""EN"",""ES"")"),"Bombas de inyección de combustible")</f>
        <v>Bombas de inyección de combustible</v>
      </c>
      <c r="M3190" s="8" t="s">
        <v>56</v>
      </c>
      <c r="N3190" s="8"/>
    </row>
    <row r="3191" spans="1:14" ht="11.25" customHeight="1">
      <c r="A3191" s="5" t="s">
        <v>9166</v>
      </c>
      <c r="B3191" s="5" t="s">
        <v>9240</v>
      </c>
      <c r="C3191" s="5" t="s">
        <v>9260</v>
      </c>
      <c r="D3191" s="5" t="s">
        <v>9169</v>
      </c>
      <c r="E3191" s="5" t="s">
        <v>52</v>
      </c>
      <c r="F3191" s="5" t="s">
        <v>9170</v>
      </c>
      <c r="G3191" s="5" t="s">
        <v>152</v>
      </c>
      <c r="H3191" s="5" t="s">
        <v>9242</v>
      </c>
      <c r="I3191" s="5" t="s">
        <v>9261</v>
      </c>
      <c r="J3191" s="5" t="s">
        <v>9262</v>
      </c>
      <c r="K3191" s="7" t="str">
        <f ca="1">IFERROR(__xludf.DUMMYFUNCTION("GOOGLETRANSLATE(H3191,""EN"",""ES"")"),"BOMBAS Y COMPRESORES")</f>
        <v>BOMBAS Y COMPRESORES</v>
      </c>
      <c r="L3191" s="5" t="str">
        <f ca="1">IFERROR(__xludf.DUMMYFUNCTION("GOOGLETRANSLATE(J3191,""EN"",""ES"")"),"Bombas de aire de laboratorio")</f>
        <v>Bombas de aire de laboratorio</v>
      </c>
      <c r="M3191" s="8" t="s">
        <v>56</v>
      </c>
      <c r="N3191" s="8"/>
    </row>
    <row r="3192" spans="1:14" ht="11.25" customHeight="1">
      <c r="A3192" s="5" t="s">
        <v>9166</v>
      </c>
      <c r="B3192" s="5" t="s">
        <v>9240</v>
      </c>
      <c r="C3192" s="5" t="s">
        <v>9260</v>
      </c>
      <c r="D3192" s="5" t="s">
        <v>9169</v>
      </c>
      <c r="E3192" s="5" t="s">
        <v>52</v>
      </c>
      <c r="F3192" s="5" t="s">
        <v>9170</v>
      </c>
      <c r="G3192" s="5" t="s">
        <v>152</v>
      </c>
      <c r="H3192" s="5" t="s">
        <v>9242</v>
      </c>
      <c r="I3192" s="5" t="s">
        <v>9263</v>
      </c>
      <c r="J3192" s="5" t="s">
        <v>152</v>
      </c>
      <c r="K3192" s="7" t="str">
        <f ca="1">IFERROR(__xludf.DUMMYFUNCTION("GOOGLETRANSLATE(H3192,""EN"",""ES"")"),"BOMBAS Y COMPRESORES")</f>
        <v>BOMBAS Y COMPRESORES</v>
      </c>
      <c r="L3192" s="5" t="str">
        <f ca="1">IFERROR(__xludf.DUMMYFUNCTION("GOOGLETRANSLATE(J3192,""EN"",""ES"")"),"Bombas de aire para laboratorios.")</f>
        <v>Bombas de aire para laboratorios.</v>
      </c>
      <c r="M3192" s="8" t="s">
        <v>56</v>
      </c>
      <c r="N3192" s="8"/>
    </row>
    <row r="3193" spans="1:14" ht="11.25" customHeight="1">
      <c r="A3193" s="5" t="s">
        <v>9166</v>
      </c>
      <c r="B3193" s="5" t="s">
        <v>9240</v>
      </c>
      <c r="C3193" s="5" t="s">
        <v>9264</v>
      </c>
      <c r="D3193" s="5" t="s">
        <v>9169</v>
      </c>
      <c r="E3193" s="5" t="s">
        <v>52</v>
      </c>
      <c r="F3193" s="5" t="s">
        <v>9170</v>
      </c>
      <c r="G3193" s="5" t="s">
        <v>152</v>
      </c>
      <c r="H3193" s="5" t="s">
        <v>9242</v>
      </c>
      <c r="I3193" s="5" t="s">
        <v>9265</v>
      </c>
      <c r="J3193" s="5" t="s">
        <v>9266</v>
      </c>
      <c r="K3193" s="7" t="str">
        <f ca="1">IFERROR(__xludf.DUMMYFUNCTION("GOOGLETRANSLATE(H3193,""EN"",""ES"")"),"BOMBAS Y COMPRESORES")</f>
        <v>BOMBAS Y COMPRESORES</v>
      </c>
      <c r="L3193" s="5" t="str">
        <f ca="1">IFERROR(__xludf.DUMMYFUNCTION("GOOGLETRANSLATE(J3193,""EN"",""ES"")"),"Bombas de aire para condensadores")</f>
        <v>Bombas de aire para condensadores</v>
      </c>
      <c r="M3193" s="8" t="s">
        <v>56</v>
      </c>
      <c r="N3193" s="8"/>
    </row>
    <row r="3194" spans="1:14" ht="11.25" customHeight="1">
      <c r="A3194" s="5" t="s">
        <v>9166</v>
      </c>
      <c r="B3194" s="5" t="s">
        <v>9240</v>
      </c>
      <c r="C3194" s="5" t="s">
        <v>9267</v>
      </c>
      <c r="D3194" s="5" t="s">
        <v>9169</v>
      </c>
      <c r="E3194" s="5" t="s">
        <v>52</v>
      </c>
      <c r="F3194" s="5" t="s">
        <v>9170</v>
      </c>
      <c r="G3194" s="5" t="s">
        <v>152</v>
      </c>
      <c r="H3194" s="5" t="s">
        <v>9242</v>
      </c>
      <c r="I3194" s="5" t="s">
        <v>9268</v>
      </c>
      <c r="J3194" s="5" t="s">
        <v>9269</v>
      </c>
      <c r="K3194" s="7" t="str">
        <f ca="1">IFERROR(__xludf.DUMMYFUNCTION("GOOGLETRANSLATE(H3194,""EN"",""ES"")"),"BOMBAS Y COMPRESORES")</f>
        <v>BOMBAS Y COMPRESORES</v>
      </c>
      <c r="L3194" s="5" t="str">
        <f ca="1">IFERROR(__xludf.DUMMYFUNCTION("GOOGLETRANSLATE(J3194,""EN"",""ES"")"),"Bombas de acción directa")</f>
        <v>Bombas de acción directa</v>
      </c>
      <c r="M3194" s="8" t="s">
        <v>56</v>
      </c>
      <c r="N3194" s="8"/>
    </row>
    <row r="3195" spans="1:14" ht="11.25" customHeight="1">
      <c r="A3195" s="5" t="s">
        <v>9166</v>
      </c>
      <c r="B3195" s="5" t="s">
        <v>9240</v>
      </c>
      <c r="C3195" s="5" t="s">
        <v>9270</v>
      </c>
      <c r="D3195" s="5" t="s">
        <v>9169</v>
      </c>
      <c r="E3195" s="5" t="s">
        <v>52</v>
      </c>
      <c r="F3195" s="5" t="s">
        <v>9170</v>
      </c>
      <c r="G3195" s="5" t="s">
        <v>152</v>
      </c>
      <c r="H3195" s="5" t="s">
        <v>9242</v>
      </c>
      <c r="I3195" s="5" t="s">
        <v>9271</v>
      </c>
      <c r="J3195" s="5" t="s">
        <v>9272</v>
      </c>
      <c r="K3195" s="7" t="str">
        <f ca="1">IFERROR(__xludf.DUMMYFUNCTION("GOOGLETRANSLATE(H3195,""EN"",""ES"")"),"BOMBAS Y COMPRESORES")</f>
        <v>BOMBAS Y COMPRESORES</v>
      </c>
      <c r="L3195" s="5" t="str">
        <f ca="1">IFERROR(__xludf.DUMMYFUNCTION("GOOGLETRANSLATE(J3195,""EN"",""ES"")"),"Bombas centrífugas")</f>
        <v>Bombas centrífugas</v>
      </c>
      <c r="M3195" s="8" t="s">
        <v>56</v>
      </c>
      <c r="N3195" s="8"/>
    </row>
    <row r="3196" spans="1:14" ht="11.25" customHeight="1">
      <c r="A3196" s="5" t="s">
        <v>9166</v>
      </c>
      <c r="B3196" s="5" t="s">
        <v>9240</v>
      </c>
      <c r="C3196" s="5" t="s">
        <v>9273</v>
      </c>
      <c r="D3196" s="5" t="s">
        <v>9169</v>
      </c>
      <c r="E3196" s="5" t="s">
        <v>52</v>
      </c>
      <c r="F3196" s="5" t="s">
        <v>9170</v>
      </c>
      <c r="G3196" s="5" t="s">
        <v>152</v>
      </c>
      <c r="H3196" s="5" t="s">
        <v>9242</v>
      </c>
      <c r="I3196" s="5" t="s">
        <v>9274</v>
      </c>
      <c r="J3196" s="5" t="s">
        <v>9275</v>
      </c>
      <c r="K3196" s="7" t="str">
        <f ca="1">IFERROR(__xludf.DUMMYFUNCTION("GOOGLETRANSLATE(H3196,""EN"",""ES"")"),"BOMBAS Y COMPRESORES")</f>
        <v>BOMBAS Y COMPRESORES</v>
      </c>
      <c r="L3196" s="5" t="str">
        <f ca="1">IFERROR(__xludf.DUMMYFUNCTION("GOOGLETRANSLATE(J3196,""EN"",""ES"")"),"Bombas de alimentación de calderas")</f>
        <v>Bombas de alimentación de calderas</v>
      </c>
      <c r="M3196" s="8" t="s">
        <v>56</v>
      </c>
      <c r="N3196" s="8"/>
    </row>
    <row r="3197" spans="1:14" ht="11.25" customHeight="1">
      <c r="A3197" s="5" t="s">
        <v>9166</v>
      </c>
      <c r="B3197" s="5" t="s">
        <v>9240</v>
      </c>
      <c r="C3197" s="5" t="s">
        <v>9276</v>
      </c>
      <c r="D3197" s="5" t="s">
        <v>9169</v>
      </c>
      <c r="E3197" s="5" t="s">
        <v>52</v>
      </c>
      <c r="F3197" s="5" t="s">
        <v>9170</v>
      </c>
      <c r="G3197" s="5" t="s">
        <v>152</v>
      </c>
      <c r="H3197" s="5" t="s">
        <v>9242</v>
      </c>
      <c r="I3197" s="5" t="s">
        <v>9277</v>
      </c>
      <c r="J3197" s="5" t="s">
        <v>9278</v>
      </c>
      <c r="K3197" s="7" t="str">
        <f ca="1">IFERROR(__xludf.DUMMYFUNCTION("GOOGLETRANSLATE(H3197,""EN"",""ES"")"),"BOMBAS Y COMPRESORES")</f>
        <v>BOMBAS Y COMPRESORES</v>
      </c>
      <c r="L3197" s="5" t="str">
        <f ca="1">IFERROR(__xludf.DUMMYFUNCTION("GOOGLETRANSLATE(J3197,""EN"",""ES"")"),"Bombas de aspiración e inyección de salmuera.")</f>
        <v>Bombas de aspiración e inyección de salmuera.</v>
      </c>
      <c r="M3197" s="8" t="s">
        <v>56</v>
      </c>
      <c r="N3197" s="8"/>
    </row>
    <row r="3198" spans="1:14" ht="11.25" customHeight="1">
      <c r="A3198" s="5" t="s">
        <v>9166</v>
      </c>
      <c r="B3198" s="5" t="s">
        <v>9240</v>
      </c>
      <c r="C3198" s="5" t="s">
        <v>9276</v>
      </c>
      <c r="D3198" s="5" t="s">
        <v>9169</v>
      </c>
      <c r="E3198" s="5" t="s">
        <v>52</v>
      </c>
      <c r="F3198" s="5" t="s">
        <v>9170</v>
      </c>
      <c r="G3198" s="5" t="s">
        <v>152</v>
      </c>
      <c r="H3198" s="5" t="s">
        <v>9242</v>
      </c>
      <c r="I3198" s="5" t="s">
        <v>152</v>
      </c>
      <c r="J3198" s="5" t="s">
        <v>9279</v>
      </c>
      <c r="K3198" s="7" t="str">
        <f ca="1">IFERROR(__xludf.DUMMYFUNCTION("GOOGLETRANSLATE(H3198,""EN"",""ES"")"),"BOMBAS Y COMPRESORES")</f>
        <v>BOMBAS Y COMPRESORES</v>
      </c>
      <c r="L3198" s="5" t="str">
        <f ca="1">IFERROR(__xludf.DUMMYFUNCTION("GOOGLETRANSLATE(J3198,""EN"",""ES"")"),"N / A")</f>
        <v>N / A</v>
      </c>
      <c r="M3198" s="8" t="s">
        <v>56</v>
      </c>
      <c r="N3198" s="8"/>
    </row>
    <row r="3199" spans="1:14" ht="11.25" customHeight="1">
      <c r="A3199" s="5" t="s">
        <v>9166</v>
      </c>
      <c r="B3199" s="5" t="s">
        <v>9240</v>
      </c>
      <c r="C3199" s="5" t="s">
        <v>9280</v>
      </c>
      <c r="D3199" s="5" t="s">
        <v>9169</v>
      </c>
      <c r="E3199" s="5" t="s">
        <v>52</v>
      </c>
      <c r="F3199" s="5" t="s">
        <v>9170</v>
      </c>
      <c r="G3199" s="5" t="s">
        <v>152</v>
      </c>
      <c r="H3199" s="5" t="s">
        <v>9242</v>
      </c>
      <c r="I3199" s="5" t="s">
        <v>9281</v>
      </c>
      <c r="J3199" s="5" t="s">
        <v>9282</v>
      </c>
      <c r="K3199" s="7" t="str">
        <f ca="1">IFERROR(__xludf.DUMMYFUNCTION("GOOGLETRANSLATE(H3199,""EN"",""ES"")"),"BOMBAS Y COMPRESORES")</f>
        <v>BOMBAS Y COMPRESORES</v>
      </c>
      <c r="L3199" s="5" t="str">
        <f ca="1">IFERROR(__xludf.DUMMYFUNCTION("GOOGLETRANSLATE(J3199,""EN"",""ES"")"),"Bombas de calefacción central")</f>
        <v>Bombas de calefacción central</v>
      </c>
      <c r="M3199" s="8" t="s">
        <v>56</v>
      </c>
      <c r="N3199" s="8"/>
    </row>
    <row r="3200" spans="1:14" ht="11.25" customHeight="1">
      <c r="A3200" s="5" t="s">
        <v>9166</v>
      </c>
      <c r="B3200" s="5" t="s">
        <v>9240</v>
      </c>
      <c r="C3200" s="5" t="s">
        <v>9280</v>
      </c>
      <c r="D3200" s="5" t="s">
        <v>9169</v>
      </c>
      <c r="E3200" s="5" t="s">
        <v>52</v>
      </c>
      <c r="F3200" s="5" t="s">
        <v>9170</v>
      </c>
      <c r="G3200" s="5" t="s">
        <v>152</v>
      </c>
      <c r="H3200" s="5" t="s">
        <v>9242</v>
      </c>
      <c r="I3200" s="5" t="s">
        <v>152</v>
      </c>
      <c r="J3200" s="5" t="s">
        <v>9283</v>
      </c>
      <c r="K3200" s="7" t="str">
        <f ca="1">IFERROR(__xludf.DUMMYFUNCTION("GOOGLETRANSLATE(H3200,""EN"",""ES"")"),"BOMBAS Y COMPRESORES")</f>
        <v>BOMBAS Y COMPRESORES</v>
      </c>
      <c r="L3200" s="5" t="str">
        <f ca="1">IFERROR(__xludf.DUMMYFUNCTION("GOOGLETRANSLATE(J3200,""EN"",""ES"")"),"N / A")</f>
        <v>N / A</v>
      </c>
      <c r="M3200" s="8" t="s">
        <v>56</v>
      </c>
      <c r="N3200" s="8"/>
    </row>
    <row r="3201" spans="1:14" ht="11.25" customHeight="1">
      <c r="A3201" s="5" t="s">
        <v>9166</v>
      </c>
      <c r="B3201" s="5" t="s">
        <v>9240</v>
      </c>
      <c r="C3201" s="5" t="s">
        <v>9284</v>
      </c>
      <c r="D3201" s="5" t="s">
        <v>9169</v>
      </c>
      <c r="E3201" s="5" t="s">
        <v>52</v>
      </c>
      <c r="F3201" s="5" t="s">
        <v>9170</v>
      </c>
      <c r="G3201" s="5" t="s">
        <v>152</v>
      </c>
      <c r="H3201" s="5" t="s">
        <v>9242</v>
      </c>
      <c r="I3201" s="5" t="s">
        <v>9285</v>
      </c>
      <c r="J3201" s="5" t="s">
        <v>9286</v>
      </c>
      <c r="K3201" s="7" t="str">
        <f ca="1">IFERROR(__xludf.DUMMYFUNCTION("GOOGLETRANSLATE(H3201,""EN"",""ES"")"),"BOMBAS Y COMPRESORES")</f>
        <v>BOMBAS Y COMPRESORES</v>
      </c>
      <c r="L3201" s="5" t="str">
        <f ca="1">IFERROR(__xludf.DUMMYFUNCTION("GOOGLETRANSLATE(J3201,""EN"",""ES"")"),"Pistolas de engrase [máquinas]")</f>
        <v>Pistolas de engrase [máquinas]</v>
      </c>
      <c r="M3201" s="8" t="s">
        <v>56</v>
      </c>
      <c r="N3201" s="8"/>
    </row>
    <row r="3202" spans="1:14" ht="11.25" customHeight="1">
      <c r="A3202" s="5" t="s">
        <v>9166</v>
      </c>
      <c r="B3202" s="5" t="s">
        <v>9287</v>
      </c>
      <c r="C3202" s="5" t="s">
        <v>9288</v>
      </c>
      <c r="D3202" s="5" t="s">
        <v>9169</v>
      </c>
      <c r="E3202" s="5" t="s">
        <v>52</v>
      </c>
      <c r="F3202" s="5" t="s">
        <v>9170</v>
      </c>
      <c r="G3202" s="5" t="s">
        <v>152</v>
      </c>
      <c r="H3202" s="5" t="s">
        <v>9289</v>
      </c>
      <c r="I3202" s="5" t="s">
        <v>9290</v>
      </c>
      <c r="J3202" s="5" t="s">
        <v>9291</v>
      </c>
      <c r="K3202" s="7" t="str">
        <f ca="1">IFERROR(__xludf.DUMMYFUNCTION("GOOGLETRANSLATE(H3202,""EN"",""ES"")"),"MAQUINARIA AGRÍCOLA Y FORESTAL")</f>
        <v>MAQUINARIA AGRÍCOLA Y FORESTAL</v>
      </c>
      <c r="L3202" s="5" t="str">
        <f ca="1">IFERROR(__xludf.DUMMYFUNCTION("GOOGLETRANSLATE(J3202,""EN"",""ES"")"),"Maquinas agricolas")</f>
        <v>Maquinas agricolas</v>
      </c>
      <c r="M3202" s="8" t="s">
        <v>51</v>
      </c>
      <c r="N3202" s="8"/>
    </row>
    <row r="3203" spans="1:14" ht="11.25" customHeight="1">
      <c r="A3203" s="5" t="s">
        <v>9166</v>
      </c>
      <c r="B3203" s="5" t="s">
        <v>9287</v>
      </c>
      <c r="C3203" s="5" t="s">
        <v>9292</v>
      </c>
      <c r="D3203" s="5" t="s">
        <v>9169</v>
      </c>
      <c r="E3203" s="5" t="s">
        <v>52</v>
      </c>
      <c r="F3203" s="5" t="s">
        <v>9170</v>
      </c>
      <c r="G3203" s="5" t="s">
        <v>152</v>
      </c>
      <c r="H3203" s="5" t="s">
        <v>9289</v>
      </c>
      <c r="I3203" s="5" t="s">
        <v>9293</v>
      </c>
      <c r="J3203" s="5" t="s">
        <v>9294</v>
      </c>
      <c r="K3203" s="7" t="str">
        <f ca="1">IFERROR(__xludf.DUMMYFUNCTION("GOOGLETRANSLATE(H3203,""EN"",""ES"")"),"MAQUINARIA AGRÍCOLA Y FORESTAL")</f>
        <v>MAQUINARIA AGRÍCOLA Y FORESTAL</v>
      </c>
      <c r="L3203" s="5" t="str">
        <f ca="1">IFERROR(__xludf.DUMMYFUNCTION("GOOGLETRANSLATE(J3203,""EN"",""ES"")"),"Excavadoras de patatas [máquinas]")</f>
        <v>Excavadoras de patatas [máquinas]</v>
      </c>
      <c r="M3203" s="8" t="s">
        <v>51</v>
      </c>
      <c r="N3203" s="8"/>
    </row>
    <row r="3204" spans="1:14" ht="11.25" customHeight="1">
      <c r="A3204" s="5" t="s">
        <v>9166</v>
      </c>
      <c r="B3204" s="5" t="s">
        <v>9287</v>
      </c>
      <c r="C3204" s="5" t="s">
        <v>9295</v>
      </c>
      <c r="D3204" s="5" t="s">
        <v>9169</v>
      </c>
      <c r="E3204" s="5" t="s">
        <v>52</v>
      </c>
      <c r="F3204" s="5" t="s">
        <v>9170</v>
      </c>
      <c r="G3204" s="5" t="s">
        <v>152</v>
      </c>
      <c r="H3204" s="5" t="s">
        <v>9289</v>
      </c>
      <c r="I3204" s="5" t="s">
        <v>9296</v>
      </c>
      <c r="J3204" s="5" t="s">
        <v>9297</v>
      </c>
      <c r="K3204" s="7" t="str">
        <f ca="1">IFERROR(__xludf.DUMMYFUNCTION("GOOGLETRANSLATE(H3204,""EN"",""ES"")"),"MAQUINARIA AGRÍCOLA Y FORESTAL")</f>
        <v>MAQUINARIA AGRÍCOLA Y FORESTAL</v>
      </c>
      <c r="L3204" s="5" t="str">
        <f ca="1">IFERROR(__xludf.DUMMYFUNCTION("GOOGLETRANSLATE(J3204,""EN"",""ES"")"),"trilladoras")</f>
        <v>trilladoras</v>
      </c>
      <c r="M3204" s="8" t="s">
        <v>51</v>
      </c>
      <c r="N3204" s="8"/>
    </row>
    <row r="3205" spans="1:14" ht="11.25" customHeight="1">
      <c r="A3205" s="5" t="s">
        <v>9166</v>
      </c>
      <c r="B3205" s="5" t="s">
        <v>9287</v>
      </c>
      <c r="C3205" s="5" t="s">
        <v>9298</v>
      </c>
      <c r="D3205" s="5" t="s">
        <v>9169</v>
      </c>
      <c r="E3205" s="5" t="s">
        <v>52</v>
      </c>
      <c r="F3205" s="5" t="s">
        <v>9170</v>
      </c>
      <c r="G3205" s="5" t="s">
        <v>152</v>
      </c>
      <c r="H3205" s="5" t="s">
        <v>9289</v>
      </c>
      <c r="I3205" s="5" t="s">
        <v>9299</v>
      </c>
      <c r="J3205" s="5" t="s">
        <v>9300</v>
      </c>
      <c r="K3205" s="7" t="str">
        <f ca="1">IFERROR(__xludf.DUMMYFUNCTION("GOOGLETRANSLATE(H3205,""EN"",""ES"")"),"MAQUINARIA AGRÍCOLA Y FORESTAL")</f>
        <v>MAQUINARIA AGRÍCOLA Y FORESTAL</v>
      </c>
      <c r="L3205" s="5" t="str">
        <f ca="1">IFERROR(__xludf.DUMMYFUNCTION("GOOGLETRANSLATE(J3205,""EN"",""ES"")"),"Máquinas azadas")</f>
        <v>Máquinas azadas</v>
      </c>
      <c r="M3205" s="8" t="s">
        <v>51</v>
      </c>
      <c r="N3205" s="8"/>
    </row>
    <row r="3206" spans="1:14" ht="11.25" customHeight="1">
      <c r="A3206" s="5" t="s">
        <v>9166</v>
      </c>
      <c r="B3206" s="5" t="s">
        <v>9287</v>
      </c>
      <c r="C3206" s="5" t="s">
        <v>9301</v>
      </c>
      <c r="D3206" s="5" t="s">
        <v>9169</v>
      </c>
      <c r="E3206" s="5" t="s">
        <v>52</v>
      </c>
      <c r="F3206" s="5" t="s">
        <v>9170</v>
      </c>
      <c r="G3206" s="5" t="s">
        <v>152</v>
      </c>
      <c r="H3206" s="5" t="s">
        <v>9289</v>
      </c>
      <c r="I3206" s="5" t="s">
        <v>9302</v>
      </c>
      <c r="J3206" s="5" t="s">
        <v>9303</v>
      </c>
      <c r="K3206" s="7" t="str">
        <f ca="1">IFERROR(__xludf.DUMMYFUNCTION("GOOGLETRANSLATE(H3206,""EN"",""ES"")"),"MAQUINARIA AGRÍCOLA Y FORESTAL")</f>
        <v>MAQUINARIA AGRÍCOLA Y FORESTAL</v>
      </c>
      <c r="L3206" s="5" t="str">
        <f ca="1">IFERROR(__xludf.DUMMYFUNCTION("GOOGLETRANSLATE(J3206,""EN"",""ES"")"),"Máquinas de truss")</f>
        <v>Máquinas de truss</v>
      </c>
      <c r="M3206" s="8" t="s">
        <v>51</v>
      </c>
      <c r="N3206" s="8"/>
    </row>
    <row r="3207" spans="1:14" ht="11.25" customHeight="1">
      <c r="A3207" s="5" t="s">
        <v>9166</v>
      </c>
      <c r="B3207" s="5" t="s">
        <v>9287</v>
      </c>
      <c r="C3207" s="5" t="s">
        <v>9304</v>
      </c>
      <c r="D3207" s="5" t="s">
        <v>9169</v>
      </c>
      <c r="E3207" s="5" t="s">
        <v>52</v>
      </c>
      <c r="F3207" s="5" t="s">
        <v>9170</v>
      </c>
      <c r="G3207" s="5" t="s">
        <v>152</v>
      </c>
      <c r="H3207" s="5" t="s">
        <v>9289</v>
      </c>
      <c r="I3207" s="5" t="s">
        <v>9305</v>
      </c>
      <c r="J3207" s="5" t="s">
        <v>9306</v>
      </c>
      <c r="K3207" s="7" t="str">
        <f ca="1">IFERROR(__xludf.DUMMYFUNCTION("GOOGLETRANSLATE(H3207,""EN"",""ES"")"),"MAQUINARIA AGRÍCOLA Y FORESTAL")</f>
        <v>MAQUINARIA AGRÍCOLA Y FORESTAL</v>
      </c>
      <c r="L3207" s="5" t="str">
        <f ca="1">IFERROR(__xludf.DUMMYFUNCTION("GOOGLETRANSLATE(J3207,""EN"",""ES"")"),"Arados")</f>
        <v>Arados</v>
      </c>
      <c r="M3207" s="8" t="s">
        <v>51</v>
      </c>
      <c r="N3207" s="8"/>
    </row>
    <row r="3208" spans="1:14" ht="11.25" customHeight="1">
      <c r="A3208" s="5" t="s">
        <v>9166</v>
      </c>
      <c r="B3208" s="5" t="s">
        <v>9287</v>
      </c>
      <c r="C3208" s="5" t="s">
        <v>9304</v>
      </c>
      <c r="D3208" s="5" t="s">
        <v>9169</v>
      </c>
      <c r="E3208" s="5" t="s">
        <v>52</v>
      </c>
      <c r="F3208" s="5" t="s">
        <v>9170</v>
      </c>
      <c r="G3208" s="5" t="s">
        <v>152</v>
      </c>
      <c r="H3208" s="5" t="s">
        <v>9289</v>
      </c>
      <c r="I3208" s="5" t="s">
        <v>9307</v>
      </c>
      <c r="J3208" s="5" t="s">
        <v>152</v>
      </c>
      <c r="K3208" s="7" t="str">
        <f ca="1">IFERROR(__xludf.DUMMYFUNCTION("GOOGLETRANSLATE(H3208,""EN"",""ES"")"),"MAQUINARIA AGRÍCOLA Y FORESTAL")</f>
        <v>MAQUINARIA AGRÍCOLA Y FORESTAL</v>
      </c>
      <c r="L3208" s="5" t="str">
        <f ca="1">IFERROR(__xludf.DUMMYFUNCTION("GOOGLETRANSLATE(J3208,""EN"",""ES"")"),"Arados")</f>
        <v>Arados</v>
      </c>
      <c r="M3208" s="8" t="s">
        <v>51</v>
      </c>
      <c r="N3208" s="8"/>
    </row>
    <row r="3209" spans="1:14" ht="11.25" customHeight="1">
      <c r="A3209" s="5" t="s">
        <v>9166</v>
      </c>
      <c r="B3209" s="5" t="s">
        <v>9287</v>
      </c>
      <c r="C3209" s="5" t="s">
        <v>9308</v>
      </c>
      <c r="D3209" s="5" t="s">
        <v>9169</v>
      </c>
      <c r="E3209" s="5" t="s">
        <v>52</v>
      </c>
      <c r="F3209" s="5" t="s">
        <v>9170</v>
      </c>
      <c r="G3209" s="5" t="s">
        <v>152</v>
      </c>
      <c r="H3209" s="5" t="s">
        <v>9289</v>
      </c>
      <c r="I3209" s="5" t="s">
        <v>9309</v>
      </c>
      <c r="J3209" s="5" t="s">
        <v>9310</v>
      </c>
      <c r="K3209" s="7" t="str">
        <f ca="1">IFERROR(__xludf.DUMMYFUNCTION("GOOGLETRANSLATE(H3209,""EN"",""ES"")"),"MAQUINARIA AGRÍCOLA Y FORESTAL")</f>
        <v>MAQUINARIA AGRÍCOLA Y FORESTAL</v>
      </c>
      <c r="L3209" s="5" t="str">
        <f ca="1">IFERROR(__xludf.DUMMYFUNCTION("GOOGLETRANSLATE(J3209,""EN"",""ES"")"),"Esparcidores de cal [agricultura]")</f>
        <v>Esparcidores de cal [agricultura]</v>
      </c>
      <c r="M3209" s="8" t="s">
        <v>51</v>
      </c>
      <c r="N3209" s="8"/>
    </row>
    <row r="3210" spans="1:14" ht="11.25" customHeight="1">
      <c r="A3210" s="5" t="s">
        <v>9166</v>
      </c>
      <c r="B3210" s="5" t="s">
        <v>9287</v>
      </c>
      <c r="C3210" s="5" t="s">
        <v>9311</v>
      </c>
      <c r="D3210" s="5" t="s">
        <v>9169</v>
      </c>
      <c r="E3210" s="5" t="s">
        <v>52</v>
      </c>
      <c r="F3210" s="5" t="s">
        <v>9170</v>
      </c>
      <c r="G3210" s="5" t="s">
        <v>152</v>
      </c>
      <c r="H3210" s="5" t="s">
        <v>9289</v>
      </c>
      <c r="I3210" s="5" t="s">
        <v>9312</v>
      </c>
      <c r="J3210" s="5" t="s">
        <v>9313</v>
      </c>
      <c r="K3210" s="7" t="str">
        <f ca="1">IFERROR(__xludf.DUMMYFUNCTION("GOOGLETRANSLATE(H3210,""EN"",""ES"")"),"MAQUINARIA AGRÍCOLA Y FORESTAL")</f>
        <v>MAQUINARIA AGRÍCOLA Y FORESTAL</v>
      </c>
      <c r="L3210" s="5" t="str">
        <f ca="1">IFERROR(__xludf.DUMMYFUNCTION("GOOGLETRANSLATE(J3210,""EN"",""ES"")"),"Cortadoras de heno [máquinas]")</f>
        <v>Cortadoras de heno [máquinas]</v>
      </c>
      <c r="M3210" s="8" t="s">
        <v>51</v>
      </c>
      <c r="N3210" s="8"/>
    </row>
    <row r="3211" spans="1:14" ht="11.25" customHeight="1">
      <c r="A3211" s="5" t="s">
        <v>9166</v>
      </c>
      <c r="B3211" s="5" t="s">
        <v>9287</v>
      </c>
      <c r="C3211" s="5" t="s">
        <v>9314</v>
      </c>
      <c r="D3211" s="5" t="s">
        <v>9169</v>
      </c>
      <c r="E3211" s="5" t="s">
        <v>52</v>
      </c>
      <c r="F3211" s="5" t="s">
        <v>9170</v>
      </c>
      <c r="G3211" s="5" t="s">
        <v>152</v>
      </c>
      <c r="H3211" s="5" t="s">
        <v>9289</v>
      </c>
      <c r="I3211" s="5" t="s">
        <v>9315</v>
      </c>
      <c r="J3211" s="5" t="s">
        <v>9316</v>
      </c>
      <c r="K3211" s="7" t="str">
        <f ca="1">IFERROR(__xludf.DUMMYFUNCTION("GOOGLETRANSLATE(H3211,""EN"",""ES"")"),"MAQUINARIA AGRÍCOLA Y FORESTAL")</f>
        <v>MAQUINARIA AGRÍCOLA Y FORESTAL</v>
      </c>
      <c r="L3211" s="5" t="str">
        <f ca="1">IFERROR(__xludf.DUMMYFUNCTION("GOOGLETRANSLATE(J3211,""EN"",""ES"")"),"Máquinas de corte superior para tubérculos")</f>
        <v>Máquinas de corte superior para tubérculos</v>
      </c>
      <c r="M3211" s="8" t="s">
        <v>51</v>
      </c>
      <c r="N3211" s="8"/>
    </row>
    <row r="3212" spans="1:14" ht="11.25" customHeight="1">
      <c r="A3212" s="5" t="s">
        <v>9166</v>
      </c>
      <c r="B3212" s="5" t="s">
        <v>9287</v>
      </c>
      <c r="C3212" s="5" t="s">
        <v>9317</v>
      </c>
      <c r="D3212" s="5" t="s">
        <v>9169</v>
      </c>
      <c r="E3212" s="5" t="s">
        <v>52</v>
      </c>
      <c r="F3212" s="5" t="s">
        <v>9170</v>
      </c>
      <c r="G3212" s="5" t="s">
        <v>152</v>
      </c>
      <c r="H3212" s="5" t="s">
        <v>9289</v>
      </c>
      <c r="I3212" s="5" t="s">
        <v>9318</v>
      </c>
      <c r="J3212" s="5" t="s">
        <v>9319</v>
      </c>
      <c r="K3212" s="7" t="str">
        <f ca="1">IFERROR(__xludf.DUMMYFUNCTION("GOOGLETRANSLATE(H3212,""EN"",""ES"")"),"MAQUINARIA AGRÍCOLA Y FORESTAL")</f>
        <v>MAQUINARIA AGRÍCOLA Y FORESTAL</v>
      </c>
      <c r="L3212" s="5" t="str">
        <f ca="1">IFERROR(__xludf.DUMMYFUNCTION("GOOGLETRANSLATE(J3212,""EN"",""ES"")"),"Esparcidores de fertilizantes")</f>
        <v>Esparcidores de fertilizantes</v>
      </c>
      <c r="M3212" s="8" t="s">
        <v>51</v>
      </c>
      <c r="N3212" s="8"/>
    </row>
    <row r="3213" spans="1:14" ht="11.25" customHeight="1">
      <c r="A3213" s="5" t="s">
        <v>9166</v>
      </c>
      <c r="B3213" s="5" t="s">
        <v>9287</v>
      </c>
      <c r="C3213" s="5" t="s">
        <v>9320</v>
      </c>
      <c r="D3213" s="5" t="s">
        <v>9169</v>
      </c>
      <c r="E3213" s="5" t="s">
        <v>52</v>
      </c>
      <c r="F3213" s="5" t="s">
        <v>9170</v>
      </c>
      <c r="G3213" s="5" t="s">
        <v>152</v>
      </c>
      <c r="H3213" s="5" t="s">
        <v>9289</v>
      </c>
      <c r="I3213" s="5" t="s">
        <v>9321</v>
      </c>
      <c r="J3213" s="5" t="s">
        <v>9322</v>
      </c>
      <c r="K3213" s="7" t="str">
        <f ca="1">IFERROR(__xludf.DUMMYFUNCTION("GOOGLETRANSLATE(H3213,""EN"",""ES"")"),"MAQUINARIA AGRÍCOLA Y FORESTAL")</f>
        <v>MAQUINARIA AGRÍCOLA Y FORESTAL</v>
      </c>
      <c r="L3213" s="5" t="str">
        <f ca="1">IFERROR(__xludf.DUMMYFUNCTION("GOOGLETRANSLATE(J3213,""EN"",""ES"")"),"Esparcidores de estiércol")</f>
        <v>Esparcidores de estiércol</v>
      </c>
      <c r="M3213" s="8" t="s">
        <v>51</v>
      </c>
      <c r="N3213" s="8"/>
    </row>
    <row r="3214" spans="1:14" ht="11.25" customHeight="1">
      <c r="A3214" s="5" t="s">
        <v>9166</v>
      </c>
      <c r="B3214" s="5" t="s">
        <v>9287</v>
      </c>
      <c r="C3214" s="5" t="s">
        <v>9323</v>
      </c>
      <c r="D3214" s="5" t="s">
        <v>9169</v>
      </c>
      <c r="E3214" s="5" t="s">
        <v>52</v>
      </c>
      <c r="F3214" s="5" t="s">
        <v>9170</v>
      </c>
      <c r="G3214" s="5" t="s">
        <v>152</v>
      </c>
      <c r="H3214" s="5" t="s">
        <v>9289</v>
      </c>
      <c r="I3214" s="5" t="s">
        <v>9324</v>
      </c>
      <c r="J3214" s="5" t="s">
        <v>9325</v>
      </c>
      <c r="K3214" s="7" t="str">
        <f ca="1">IFERROR(__xludf.DUMMYFUNCTION("GOOGLETRANSLATE(H3214,""EN"",""ES"")"),"MAQUINARIA AGRÍCOLA Y FORESTAL")</f>
        <v>MAQUINARIA AGRÍCOLA Y FORESTAL</v>
      </c>
      <c r="L3214" s="5" t="str">
        <f ca="1">IFERROR(__xludf.DUMMYFUNCTION("GOOGLETRANSLATE(J3214,""EN"",""ES"")"),"Máquinas quitapiedras para cereales")</f>
        <v>Máquinas quitapiedras para cereales</v>
      </c>
      <c r="M3214" s="8" t="s">
        <v>51</v>
      </c>
      <c r="N3214" s="8"/>
    </row>
    <row r="3215" spans="1:14" ht="11.25" customHeight="1">
      <c r="A3215" s="5" t="s">
        <v>9166</v>
      </c>
      <c r="B3215" s="5" t="s">
        <v>9287</v>
      </c>
      <c r="C3215" s="5" t="s">
        <v>9326</v>
      </c>
      <c r="D3215" s="5" t="s">
        <v>9169</v>
      </c>
      <c r="E3215" s="5" t="s">
        <v>52</v>
      </c>
      <c r="F3215" s="5" t="s">
        <v>9170</v>
      </c>
      <c r="G3215" s="5" t="s">
        <v>152</v>
      </c>
      <c r="H3215" s="5" t="s">
        <v>9289</v>
      </c>
      <c r="I3215" s="5" t="s">
        <v>9327</v>
      </c>
      <c r="J3215" s="5" t="s">
        <v>9328</v>
      </c>
      <c r="K3215" s="7" t="str">
        <f ca="1">IFERROR(__xludf.DUMMYFUNCTION("GOOGLETRANSLATE(H3215,""EN"",""ES"")"),"MAQUINARIA AGRÍCOLA Y FORESTAL")</f>
        <v>MAQUINARIA AGRÍCOLA Y FORESTAL</v>
      </c>
      <c r="L3215" s="5" t="str">
        <f ca="1">IFERROR(__xludf.DUMMYFUNCTION("GOOGLETRANSLATE(J3215,""EN"",""ES"")"),"Secadores de vapor [agricultura]")</f>
        <v>Secadores de vapor [agricultura]</v>
      </c>
      <c r="M3215" s="8" t="s">
        <v>51</v>
      </c>
      <c r="N3215" s="8"/>
    </row>
    <row r="3216" spans="1:14" ht="11.25" customHeight="1">
      <c r="A3216" s="5" t="s">
        <v>9166</v>
      </c>
      <c r="B3216" s="5" t="s">
        <v>9287</v>
      </c>
      <c r="C3216" s="5" t="s">
        <v>9326</v>
      </c>
      <c r="D3216" s="5" t="s">
        <v>9169</v>
      </c>
      <c r="E3216" s="5" t="s">
        <v>52</v>
      </c>
      <c r="F3216" s="5" t="s">
        <v>9170</v>
      </c>
      <c r="G3216" s="5" t="s">
        <v>152</v>
      </c>
      <c r="H3216" s="5" t="s">
        <v>9289</v>
      </c>
      <c r="I3216" s="5" t="s">
        <v>152</v>
      </c>
      <c r="J3216" s="5" t="s">
        <v>9329</v>
      </c>
      <c r="K3216" s="7" t="str">
        <f ca="1">IFERROR(__xludf.DUMMYFUNCTION("GOOGLETRANSLATE(H3216,""EN"",""ES"")"),"MAQUINARIA AGRÍCOLA Y FORESTAL")</f>
        <v>MAQUINARIA AGRÍCOLA Y FORESTAL</v>
      </c>
      <c r="L3216" s="5" t="str">
        <f ca="1">IFERROR(__xludf.DUMMYFUNCTION("GOOGLETRANSLATE(J3216,""EN"",""ES"")"),"N / A")</f>
        <v>N / A</v>
      </c>
      <c r="M3216" s="8" t="s">
        <v>51</v>
      </c>
      <c r="N3216" s="8"/>
    </row>
    <row r="3217" spans="1:14" ht="11.25" customHeight="1">
      <c r="A3217" s="5" t="s">
        <v>9166</v>
      </c>
      <c r="B3217" s="5" t="s">
        <v>9287</v>
      </c>
      <c r="C3217" s="5" t="s">
        <v>9330</v>
      </c>
      <c r="D3217" s="5" t="s">
        <v>9169</v>
      </c>
      <c r="E3217" s="5" t="s">
        <v>52</v>
      </c>
      <c r="F3217" s="5" t="s">
        <v>9170</v>
      </c>
      <c r="G3217" s="5" t="s">
        <v>152</v>
      </c>
      <c r="H3217" s="5" t="s">
        <v>9289</v>
      </c>
      <c r="I3217" s="5" t="s">
        <v>9331</v>
      </c>
      <c r="J3217" s="5" t="s">
        <v>9332</v>
      </c>
      <c r="K3217" s="7" t="str">
        <f ca="1">IFERROR(__xludf.DUMMYFUNCTION("GOOGLETRANSLATE(H3217,""EN"",""ES"")"),"MAQUINARIA AGRÍCOLA Y FORESTAL")</f>
        <v>MAQUINARIA AGRÍCOLA Y FORESTAL</v>
      </c>
      <c r="L3217" s="5" t="str">
        <f ca="1">IFERROR(__xludf.DUMMYFUNCTION("GOOGLETRANSLATE(J3217,""EN"",""ES"")"),"Henificadoras de heno [máquinas]")</f>
        <v>Henificadoras de heno [máquinas]</v>
      </c>
      <c r="M3217" s="8" t="s">
        <v>51</v>
      </c>
      <c r="N3217" s="8"/>
    </row>
    <row r="3218" spans="1:14" ht="11.25" customHeight="1">
      <c r="A3218" s="5" t="s">
        <v>9166</v>
      </c>
      <c r="B3218" s="5" t="s">
        <v>9287</v>
      </c>
      <c r="C3218" s="5" t="s">
        <v>9333</v>
      </c>
      <c r="D3218" s="5" t="s">
        <v>9169</v>
      </c>
      <c r="E3218" s="5" t="s">
        <v>52</v>
      </c>
      <c r="F3218" s="5" t="s">
        <v>9170</v>
      </c>
      <c r="G3218" s="5" t="s">
        <v>152</v>
      </c>
      <c r="H3218" s="5" t="s">
        <v>9289</v>
      </c>
      <c r="I3218" s="5" t="s">
        <v>9334</v>
      </c>
      <c r="J3218" s="5" t="s">
        <v>9335</v>
      </c>
      <c r="K3218" s="7" t="str">
        <f ca="1">IFERROR(__xludf.DUMMYFUNCTION("GOOGLETRANSLATE(H3218,""EN"",""ES"")"),"MAQUINARIA AGRÍCOLA Y FORESTAL")</f>
        <v>MAQUINARIA AGRÍCOLA Y FORESTAL</v>
      </c>
      <c r="L3218" s="5" t="str">
        <f ca="1">IFERROR(__xludf.DUMMYFUNCTION("GOOGLETRANSLATE(J3218,""EN"",""ES"")"),"Segadoras [agricultura]")</f>
        <v>Segadoras [agricultura]</v>
      </c>
      <c r="M3218" s="8" t="s">
        <v>51</v>
      </c>
      <c r="N3218" s="8"/>
    </row>
    <row r="3219" spans="1:14" ht="11.25" customHeight="1">
      <c r="A3219" s="5" t="s">
        <v>9166</v>
      </c>
      <c r="B3219" s="5" t="s">
        <v>9287</v>
      </c>
      <c r="C3219" s="5" t="s">
        <v>9336</v>
      </c>
      <c r="D3219" s="5" t="s">
        <v>9169</v>
      </c>
      <c r="E3219" s="5" t="s">
        <v>52</v>
      </c>
      <c r="F3219" s="5" t="s">
        <v>9170</v>
      </c>
      <c r="G3219" s="5" t="s">
        <v>152</v>
      </c>
      <c r="H3219" s="5" t="s">
        <v>9289</v>
      </c>
      <c r="I3219" s="5" t="s">
        <v>9337</v>
      </c>
      <c r="J3219" s="5" t="s">
        <v>9338</v>
      </c>
      <c r="K3219" s="7" t="str">
        <f ca="1">IFERROR(__xludf.DUMMYFUNCTION("GOOGLETRANSLATE(H3219,""EN"",""ES"")"),"MAQUINARIA AGRÍCOLA Y FORESTAL")</f>
        <v>MAQUINARIA AGRÍCOLA Y FORESTAL</v>
      </c>
      <c r="L3219" s="5" t="str">
        <f ca="1">IFERROR(__xludf.DUMMYFUNCTION("GOOGLETRANSLATE(J3219,""EN"",""ES"")"),"Fumigadores para el tratamiento de plantas.")</f>
        <v>Fumigadores para el tratamiento de plantas.</v>
      </c>
      <c r="M3219" s="8" t="s">
        <v>51</v>
      </c>
      <c r="N3219" s="8"/>
    </row>
    <row r="3220" spans="1:14" ht="11.25" customHeight="1">
      <c r="A3220" s="5" t="s">
        <v>9166</v>
      </c>
      <c r="B3220" s="5" t="s">
        <v>9287</v>
      </c>
      <c r="C3220" s="5" t="s">
        <v>9339</v>
      </c>
      <c r="D3220" s="5" t="s">
        <v>9169</v>
      </c>
      <c r="E3220" s="5" t="s">
        <v>52</v>
      </c>
      <c r="F3220" s="5" t="s">
        <v>9170</v>
      </c>
      <c r="G3220" s="5" t="s">
        <v>152</v>
      </c>
      <c r="H3220" s="5" t="s">
        <v>9289</v>
      </c>
      <c r="I3220" s="5" t="s">
        <v>9340</v>
      </c>
      <c r="J3220" s="5" t="s">
        <v>9341</v>
      </c>
      <c r="K3220" s="7" t="str">
        <f ca="1">IFERROR(__xludf.DUMMYFUNCTION("GOOGLETRANSLATE(H3220,""EN"",""ES"")"),"MAQUINARIA AGRÍCOLA Y FORESTAL")</f>
        <v>MAQUINARIA AGRÍCOLA Y FORESTAL</v>
      </c>
      <c r="L3220" s="5" t="str">
        <f ca="1">IFERROR(__xludf.DUMMYFUNCTION("GOOGLETRANSLATE(J3220,""EN"",""ES"")"),"Secadores de granos [máquinas]")</f>
        <v>Secadores de granos [máquinas]</v>
      </c>
      <c r="M3220" s="8" t="s">
        <v>51</v>
      </c>
      <c r="N3220" s="8"/>
    </row>
    <row r="3221" spans="1:14" ht="11.25" customHeight="1">
      <c r="A3221" s="5" t="s">
        <v>9166</v>
      </c>
      <c r="B3221" s="5" t="s">
        <v>9287</v>
      </c>
      <c r="C3221" s="5" t="s">
        <v>9342</v>
      </c>
      <c r="D3221" s="5" t="s">
        <v>9169</v>
      </c>
      <c r="E3221" s="5" t="s">
        <v>52</v>
      </c>
      <c r="F3221" s="5" t="s">
        <v>9170</v>
      </c>
      <c r="G3221" s="5" t="s">
        <v>152</v>
      </c>
      <c r="H3221" s="5" t="s">
        <v>9289</v>
      </c>
      <c r="I3221" s="5" t="s">
        <v>9343</v>
      </c>
      <c r="J3221" s="5" t="s">
        <v>9344</v>
      </c>
      <c r="K3221" s="7" t="str">
        <f ca="1">IFERROR(__xludf.DUMMYFUNCTION("GOOGLETRANSLATE(H3221,""EN"",""ES"")"),"MAQUINARIA AGRÍCOLA Y FORESTAL")</f>
        <v>MAQUINARIA AGRÍCOLA Y FORESTAL</v>
      </c>
      <c r="L3221" s="5" t="str">
        <f ca="1">IFERROR(__xludf.DUMMYFUNCTION("GOOGLETRANSLATE(J3221,""EN"",""ES"")"),"Separadores de granos")</f>
        <v>Separadores de granos</v>
      </c>
      <c r="M3221" s="8" t="s">
        <v>51</v>
      </c>
      <c r="N3221" s="8"/>
    </row>
    <row r="3222" spans="1:14" ht="11.25" customHeight="1">
      <c r="A3222" s="5" t="s">
        <v>9166</v>
      </c>
      <c r="B3222" s="5" t="s">
        <v>9287</v>
      </c>
      <c r="C3222" s="5" t="s">
        <v>9345</v>
      </c>
      <c r="D3222" s="5" t="s">
        <v>9169</v>
      </c>
      <c r="E3222" s="5" t="s">
        <v>52</v>
      </c>
      <c r="F3222" s="5" t="s">
        <v>9170</v>
      </c>
      <c r="G3222" s="5" t="s">
        <v>152</v>
      </c>
      <c r="H3222" s="5" t="s">
        <v>9289</v>
      </c>
      <c r="I3222" s="5" t="s">
        <v>9346</v>
      </c>
      <c r="J3222" s="5" t="s">
        <v>9347</v>
      </c>
      <c r="K3222" s="7" t="str">
        <f ca="1">IFERROR(__xludf.DUMMYFUNCTION("GOOGLETRANSLATE(H3222,""EN"",""ES"")"),"MAQUINARIA AGRÍCOLA Y FORESTAL")</f>
        <v>MAQUINARIA AGRÍCOLA Y FORESTAL</v>
      </c>
      <c r="L3222" s="5" t="str">
        <f ca="1">IFERROR(__xludf.DUMMYFUNCTION("GOOGLETRANSLATE(J3222,""EN"",""ES"")"),"Cuchillas desgranadoras")</f>
        <v>Cuchillas desgranadoras</v>
      </c>
      <c r="M3222" s="8" t="s">
        <v>51</v>
      </c>
      <c r="N3222" s="8"/>
    </row>
    <row r="3223" spans="1:14" ht="11.25" customHeight="1">
      <c r="A3223" s="5" t="s">
        <v>9166</v>
      </c>
      <c r="B3223" s="5" t="s">
        <v>9287</v>
      </c>
      <c r="C3223" s="5" t="s">
        <v>9348</v>
      </c>
      <c r="D3223" s="5" t="s">
        <v>9169</v>
      </c>
      <c r="E3223" s="5" t="s">
        <v>52</v>
      </c>
      <c r="F3223" s="5" t="s">
        <v>9170</v>
      </c>
      <c r="G3223" s="5" t="s">
        <v>152</v>
      </c>
      <c r="H3223" s="5" t="s">
        <v>9289</v>
      </c>
      <c r="I3223" s="5" t="s">
        <v>9349</v>
      </c>
      <c r="J3223" s="5" t="s">
        <v>9350</v>
      </c>
      <c r="K3223" s="7" t="str">
        <f ca="1">IFERROR(__xludf.DUMMYFUNCTION("GOOGLETRANSLATE(H3223,""EN"",""ES"")"),"MAQUINARIA AGRÍCOLA Y FORESTAL")</f>
        <v>MAQUINARIA AGRÍCOLA Y FORESTAL</v>
      </c>
      <c r="L3223" s="5" t="str">
        <f ca="1">IFERROR(__xludf.DUMMYFUNCTION("GOOGLETRANSLATE(J3223,""EN"",""ES"")"),"cortadores de paja")</f>
        <v>cortadores de paja</v>
      </c>
      <c r="M3223" s="8" t="s">
        <v>51</v>
      </c>
      <c r="N3223" s="8"/>
    </row>
    <row r="3224" spans="1:14" ht="11.25" customHeight="1">
      <c r="A3224" s="5" t="s">
        <v>9166</v>
      </c>
      <c r="B3224" s="5" t="s">
        <v>9287</v>
      </c>
      <c r="C3224" s="5" t="s">
        <v>9351</v>
      </c>
      <c r="D3224" s="5" t="s">
        <v>9169</v>
      </c>
      <c r="E3224" s="5" t="s">
        <v>52</v>
      </c>
      <c r="F3224" s="5" t="s">
        <v>9170</v>
      </c>
      <c r="G3224" s="5" t="s">
        <v>152</v>
      </c>
      <c r="H3224" s="5" t="s">
        <v>9289</v>
      </c>
      <c r="I3224" s="5" t="s">
        <v>9352</v>
      </c>
      <c r="J3224" s="5" t="s">
        <v>9353</v>
      </c>
      <c r="K3224" s="7" t="str">
        <f ca="1">IFERROR(__xludf.DUMMYFUNCTION("GOOGLETRANSLATE(H3224,""EN"",""ES"")"),"MAQUINARIA AGRÍCOLA Y FORESTAL")</f>
        <v>MAQUINARIA AGRÍCOLA Y FORESTAL</v>
      </c>
      <c r="L3224" s="5" t="str">
        <f ca="1">IFERROR(__xludf.DUMMYFUNCTION("GOOGLETRANSLATE(J3224,""EN"",""ES"")"),"Gradas [máquinas agrícolas]")</f>
        <v>Gradas [máquinas agrícolas]</v>
      </c>
      <c r="M3224" s="8" t="s">
        <v>51</v>
      </c>
      <c r="N3224" s="8"/>
    </row>
    <row r="3225" spans="1:14" ht="11.25" customHeight="1">
      <c r="A3225" s="5" t="s">
        <v>9166</v>
      </c>
      <c r="B3225" s="5" t="s">
        <v>9287</v>
      </c>
      <c r="C3225" s="5" t="s">
        <v>9354</v>
      </c>
      <c r="D3225" s="5" t="s">
        <v>9169</v>
      </c>
      <c r="E3225" s="5" t="s">
        <v>52</v>
      </c>
      <c r="F3225" s="5" t="s">
        <v>9170</v>
      </c>
      <c r="G3225" s="5" t="s">
        <v>152</v>
      </c>
      <c r="H3225" s="5" t="s">
        <v>9289</v>
      </c>
      <c r="I3225" s="5" t="s">
        <v>9355</v>
      </c>
      <c r="J3225" s="5" t="s">
        <v>9356</v>
      </c>
      <c r="K3225" s="7" t="str">
        <f ca="1">IFERROR(__xludf.DUMMYFUNCTION("GOOGLETRANSLATE(H3225,""EN"",""ES"")"),"MAQUINARIA AGRÍCOLA Y FORESTAL")</f>
        <v>MAQUINARIA AGRÍCOLA Y FORESTAL</v>
      </c>
      <c r="L3225" s="5" t="str">
        <f ca="1">IFERROR(__xludf.DUMMYFUNCTION("GOOGLETRANSLATE(J3225,""EN"",""ES"")"),"Cuchillas de arado")</f>
        <v>Cuchillas de arado</v>
      </c>
      <c r="M3225" s="8" t="s">
        <v>51</v>
      </c>
      <c r="N3225" s="8"/>
    </row>
    <row r="3226" spans="1:14" ht="11.25" customHeight="1">
      <c r="A3226" s="5" t="s">
        <v>9166</v>
      </c>
      <c r="B3226" s="5" t="s">
        <v>9287</v>
      </c>
      <c r="C3226" s="5" t="s">
        <v>9354</v>
      </c>
      <c r="D3226" s="5" t="s">
        <v>9169</v>
      </c>
      <c r="E3226" s="5" t="s">
        <v>52</v>
      </c>
      <c r="F3226" s="5" t="s">
        <v>9170</v>
      </c>
      <c r="G3226" s="5" t="s">
        <v>152</v>
      </c>
      <c r="H3226" s="5" t="s">
        <v>9289</v>
      </c>
      <c r="I3226" s="5" t="s">
        <v>9357</v>
      </c>
      <c r="J3226" s="5" t="s">
        <v>152</v>
      </c>
      <c r="K3226" s="7" t="str">
        <f ca="1">IFERROR(__xludf.DUMMYFUNCTION("GOOGLETRANSLATE(H3226,""EN"",""ES"")"),"MAQUINARIA AGRÍCOLA Y FORESTAL")</f>
        <v>MAQUINARIA AGRÍCOLA Y FORESTAL</v>
      </c>
      <c r="L3226" s="5" t="str">
        <f ca="1">IFERROR(__xludf.DUMMYFUNCTION("GOOGLETRANSLATE(J3226,""EN"",""ES"")"),"Cuchillas de arado")</f>
        <v>Cuchillas de arado</v>
      </c>
      <c r="M3226" s="8" t="s">
        <v>51</v>
      </c>
      <c r="N3226" s="8"/>
    </row>
    <row r="3227" spans="1:14" ht="11.25" customHeight="1">
      <c r="A3227" s="5" t="s">
        <v>9166</v>
      </c>
      <c r="B3227" s="5" t="s">
        <v>9287</v>
      </c>
      <c r="C3227" s="5" t="s">
        <v>9358</v>
      </c>
      <c r="D3227" s="5" t="s">
        <v>9169</v>
      </c>
      <c r="E3227" s="5" t="s">
        <v>52</v>
      </c>
      <c r="F3227" s="5" t="s">
        <v>9170</v>
      </c>
      <c r="G3227" s="5" t="s">
        <v>152</v>
      </c>
      <c r="H3227" s="5" t="s">
        <v>9289</v>
      </c>
      <c r="I3227" s="5" t="s">
        <v>9359</v>
      </c>
      <c r="J3227" s="5" t="s">
        <v>9360</v>
      </c>
      <c r="K3227" s="7" t="str">
        <f ca="1">IFERROR(__xludf.DUMMYFUNCTION("GOOGLETRANSLATE(H3227,""EN"",""ES"")"),"MAQUINARIA AGRÍCOLA Y FORESTAL")</f>
        <v>MAQUINARIA AGRÍCOLA Y FORESTAL</v>
      </c>
      <c r="L3227" s="5" t="str">
        <f ca="1">IFERROR(__xludf.DUMMYFUNCTION("GOOGLETRANSLATE(J3227,""EN"",""ES"")"),"Cultivadores motorizados")</f>
        <v>Cultivadores motorizados</v>
      </c>
      <c r="M3227" s="8" t="s">
        <v>51</v>
      </c>
      <c r="N3227" s="8"/>
    </row>
    <row r="3228" spans="1:14" ht="11.25" customHeight="1">
      <c r="A3228" s="5" t="s">
        <v>9166</v>
      </c>
      <c r="B3228" s="5" t="s">
        <v>9287</v>
      </c>
      <c r="C3228" s="5" t="s">
        <v>9361</v>
      </c>
      <c r="D3228" s="5" t="s">
        <v>9169</v>
      </c>
      <c r="E3228" s="5" t="s">
        <v>52</v>
      </c>
      <c r="F3228" s="5" t="s">
        <v>9170</v>
      </c>
      <c r="G3228" s="5" t="s">
        <v>152</v>
      </c>
      <c r="H3228" s="5" t="s">
        <v>9289</v>
      </c>
      <c r="I3228" s="5" t="s">
        <v>9362</v>
      </c>
      <c r="J3228" s="5" t="s">
        <v>9363</v>
      </c>
      <c r="K3228" s="7" t="str">
        <f ca="1">IFERROR(__xludf.DUMMYFUNCTION("GOOGLETRANSLATE(H3228,""EN"",""ES"")"),"MAQUINARIA AGRÍCOLA Y FORESTAL")</f>
        <v>MAQUINARIA AGRÍCOLA Y FORESTAL</v>
      </c>
      <c r="L3228" s="5" t="str">
        <f ca="1">IFERROR(__xludf.DUMMYFUNCTION("GOOGLETRANSLATE(J3228,""EN"",""ES"")"),"maquinas plantadoras")</f>
        <v>maquinas plantadoras</v>
      </c>
      <c r="M3228" s="8" t="s">
        <v>51</v>
      </c>
      <c r="N3228" s="8"/>
    </row>
    <row r="3229" spans="1:14" ht="11.25" customHeight="1">
      <c r="A3229" s="5" t="s">
        <v>9166</v>
      </c>
      <c r="B3229" s="5" t="s">
        <v>9287</v>
      </c>
      <c r="C3229" s="5" t="s">
        <v>9364</v>
      </c>
      <c r="D3229" s="5" t="s">
        <v>9169</v>
      </c>
      <c r="E3229" s="5" t="s">
        <v>52</v>
      </c>
      <c r="F3229" s="5" t="s">
        <v>9170</v>
      </c>
      <c r="G3229" s="5" t="s">
        <v>152</v>
      </c>
      <c r="H3229" s="5" t="s">
        <v>9289</v>
      </c>
      <c r="I3229" s="5" t="s">
        <v>9365</v>
      </c>
      <c r="J3229" s="5" t="s">
        <v>9366</v>
      </c>
      <c r="K3229" s="7" t="str">
        <f ca="1">IFERROR(__xludf.DUMMYFUNCTION("GOOGLETRANSLATE(H3229,""EN"",""ES"")"),"MAQUINARIA AGRÍCOLA Y FORESTAL")</f>
        <v>MAQUINARIA AGRÍCOLA Y FORESTAL</v>
      </c>
      <c r="L3229" s="5" t="str">
        <f ca="1">IFERROR(__xludf.DUMMYFUNCTION("GOOGLETRANSLATE(J3229,""EN"",""ES"")"),"Rastrillos [máquinas]")</f>
        <v>Rastrillos [máquinas]</v>
      </c>
      <c r="M3229" s="8" t="s">
        <v>51</v>
      </c>
      <c r="N3229" s="8"/>
    </row>
    <row r="3230" spans="1:14" ht="11.25" customHeight="1">
      <c r="A3230" s="5" t="s">
        <v>9166</v>
      </c>
      <c r="B3230" s="5" t="s">
        <v>9287</v>
      </c>
      <c r="C3230" s="5" t="s">
        <v>9367</v>
      </c>
      <c r="D3230" s="5" t="s">
        <v>9169</v>
      </c>
      <c r="E3230" s="5" t="s">
        <v>52</v>
      </c>
      <c r="F3230" s="5" t="s">
        <v>9170</v>
      </c>
      <c r="G3230" s="5" t="s">
        <v>152</v>
      </c>
      <c r="H3230" s="5" t="s">
        <v>9289</v>
      </c>
      <c r="I3230" s="5" t="s">
        <v>9368</v>
      </c>
      <c r="J3230" s="5" t="s">
        <v>9369</v>
      </c>
      <c r="K3230" s="7" t="str">
        <f ca="1">IFERROR(__xludf.DUMMYFUNCTION("GOOGLETRANSLATE(H3230,""EN"",""ES"")"),"MAQUINARIA AGRÍCOLA Y FORESTAL")</f>
        <v>MAQUINARIA AGRÍCOLA Y FORESTAL</v>
      </c>
      <c r="L3230" s="5" t="str">
        <f ca="1">IFERROR(__xludf.DUMMYFUNCTION("GOOGLETRANSLATE(J3230,""EN"",""ES"")"),"Máquinas para pinchar")</f>
        <v>Máquinas para pinchar</v>
      </c>
      <c r="M3230" s="8" t="s">
        <v>51</v>
      </c>
      <c r="N3230" s="8"/>
    </row>
    <row r="3231" spans="1:14" ht="11.25" customHeight="1">
      <c r="A3231" s="5" t="s">
        <v>9166</v>
      </c>
      <c r="B3231" s="5" t="s">
        <v>9287</v>
      </c>
      <c r="C3231" s="5" t="s">
        <v>9370</v>
      </c>
      <c r="D3231" s="5" t="s">
        <v>9169</v>
      </c>
      <c r="E3231" s="5" t="s">
        <v>52</v>
      </c>
      <c r="F3231" s="5" t="s">
        <v>9170</v>
      </c>
      <c r="G3231" s="5" t="s">
        <v>152</v>
      </c>
      <c r="H3231" s="5" t="s">
        <v>9289</v>
      </c>
      <c r="I3231" s="5" t="s">
        <v>9371</v>
      </c>
      <c r="J3231" s="5" t="s">
        <v>9372</v>
      </c>
      <c r="K3231" s="7" t="str">
        <f ca="1">IFERROR(__xludf.DUMMYFUNCTION("GOOGLETRANSLATE(H3231,""EN"",""ES"")"),"MAQUINARIA AGRÍCOLA Y FORESTAL")</f>
        <v>MAQUINARIA AGRÍCOLA Y FORESTAL</v>
      </c>
      <c r="L3231" s="5" t="str">
        <f ca="1">IFERROR(__xludf.DUMMYFUNCTION("GOOGLETRANSLATE(J3231,""EN"",""ES"")"),"Rodillos terrestres [máquinas]")</f>
        <v>Rodillos terrestres [máquinas]</v>
      </c>
      <c r="M3231" s="8" t="s">
        <v>51</v>
      </c>
      <c r="N3231" s="8"/>
    </row>
    <row r="3232" spans="1:14" ht="11.25" customHeight="1">
      <c r="A3232" s="5" t="s">
        <v>9166</v>
      </c>
      <c r="B3232" s="5" t="s">
        <v>9287</v>
      </c>
      <c r="C3232" s="5" t="s">
        <v>9373</v>
      </c>
      <c r="D3232" s="5" t="s">
        <v>9169</v>
      </c>
      <c r="E3232" s="5" t="s">
        <v>52</v>
      </c>
      <c r="F3232" s="5" t="s">
        <v>9170</v>
      </c>
      <c r="G3232" s="5" t="s">
        <v>152</v>
      </c>
      <c r="H3232" s="5" t="s">
        <v>9289</v>
      </c>
      <c r="I3232" s="5" t="s">
        <v>9374</v>
      </c>
      <c r="J3232" s="5" t="s">
        <v>9375</v>
      </c>
      <c r="K3232" s="7" t="str">
        <f ca="1">IFERROR(__xludf.DUMMYFUNCTION("GOOGLETRANSLATE(H3232,""EN"",""ES"")"),"MAQUINARIA AGRÍCOLA Y FORESTAL")</f>
        <v>MAQUINARIA AGRÍCOLA Y FORESTAL</v>
      </c>
      <c r="L3232" s="5" t="str">
        <f ca="1">IFERROR(__xludf.DUMMYFUNCTION("GOOGLETRANSLATE(J3232,""EN"",""ES"")"),"Máquinas desmalezadoras")</f>
        <v>Máquinas desmalezadoras</v>
      </c>
      <c r="M3232" s="8" t="s">
        <v>51</v>
      </c>
      <c r="N3232" s="8"/>
    </row>
    <row r="3233" spans="1:14" ht="11.25" customHeight="1">
      <c r="A3233" s="5" t="s">
        <v>9166</v>
      </c>
      <c r="B3233" s="5" t="s">
        <v>9287</v>
      </c>
      <c r="C3233" s="5" t="s">
        <v>9376</v>
      </c>
      <c r="D3233" s="5" t="s">
        <v>9169</v>
      </c>
      <c r="E3233" s="5" t="s">
        <v>52</v>
      </c>
      <c r="F3233" s="5" t="s">
        <v>9170</v>
      </c>
      <c r="G3233" s="5" t="s">
        <v>152</v>
      </c>
      <c r="H3233" s="5" t="s">
        <v>9289</v>
      </c>
      <c r="I3233" s="5" t="s">
        <v>9377</v>
      </c>
      <c r="J3233" s="5" t="s">
        <v>9378</v>
      </c>
      <c r="K3233" s="7" t="str">
        <f ca="1">IFERROR(__xludf.DUMMYFUNCTION("GOOGLETRANSLATE(H3233,""EN"",""ES"")"),"MAQUINARIA AGRÍCOLA Y FORESTAL")</f>
        <v>MAQUINARIA AGRÍCOLA Y FORESTAL</v>
      </c>
      <c r="L3233" s="5" t="str">
        <f ca="1">IFERROR(__xludf.DUMMYFUNCTION("GOOGLETRANSLATE(J3233,""EN"",""ES"")"),"Escarificadores [agricultura]")</f>
        <v>Escarificadores [agricultura]</v>
      </c>
      <c r="M3233" s="8" t="s">
        <v>51</v>
      </c>
      <c r="N3233" s="8"/>
    </row>
    <row r="3234" spans="1:14" ht="11.25" customHeight="1">
      <c r="A3234" s="5" t="s">
        <v>9166</v>
      </c>
      <c r="B3234" s="5" t="s">
        <v>9287</v>
      </c>
      <c r="C3234" s="5" t="s">
        <v>9379</v>
      </c>
      <c r="D3234" s="5" t="s">
        <v>9169</v>
      </c>
      <c r="E3234" s="5" t="s">
        <v>52</v>
      </c>
      <c r="F3234" s="5" t="s">
        <v>9170</v>
      </c>
      <c r="G3234" s="5" t="s">
        <v>152</v>
      </c>
      <c r="H3234" s="5" t="s">
        <v>9289</v>
      </c>
      <c r="I3234" s="5" t="s">
        <v>9380</v>
      </c>
      <c r="J3234" s="5" t="s">
        <v>9381</v>
      </c>
      <c r="K3234" s="7" t="str">
        <f ca="1">IFERROR(__xludf.DUMMYFUNCTION("GOOGLETRANSLATE(H3234,""EN"",""ES"")"),"MAQUINARIA AGRÍCOLA Y FORESTAL")</f>
        <v>MAQUINARIA AGRÍCOLA Y FORESTAL</v>
      </c>
      <c r="L3234" s="5" t="str">
        <f ca="1">IFERROR(__xludf.DUMMYFUNCTION("GOOGLETRANSLATE(J3234,""EN"",""ES"")"),"Sembradoras")</f>
        <v>Sembradoras</v>
      </c>
      <c r="M3234" s="8" t="s">
        <v>51</v>
      </c>
      <c r="N3234" s="8"/>
    </row>
    <row r="3235" spans="1:14" ht="11.25" customHeight="1">
      <c r="A3235" s="5" t="s">
        <v>9166</v>
      </c>
      <c r="B3235" s="5" t="s">
        <v>9287</v>
      </c>
      <c r="C3235" s="5" t="s">
        <v>9379</v>
      </c>
      <c r="D3235" s="5" t="s">
        <v>9169</v>
      </c>
      <c r="E3235" s="5" t="s">
        <v>52</v>
      </c>
      <c r="F3235" s="5" t="s">
        <v>9170</v>
      </c>
      <c r="G3235" s="5" t="s">
        <v>152</v>
      </c>
      <c r="H3235" s="5" t="s">
        <v>9289</v>
      </c>
      <c r="I3235" s="5" t="s">
        <v>9382</v>
      </c>
      <c r="J3235" s="5" t="s">
        <v>152</v>
      </c>
      <c r="K3235" s="7" t="str">
        <f ca="1">IFERROR(__xludf.DUMMYFUNCTION("GOOGLETRANSLATE(H3235,""EN"",""ES"")"),"MAQUINARIA AGRÍCOLA Y FORESTAL")</f>
        <v>MAQUINARIA AGRÍCOLA Y FORESTAL</v>
      </c>
      <c r="L3235" s="5" t="str">
        <f ca="1">IFERROR(__xludf.DUMMYFUNCTION("GOOGLETRANSLATE(J3235,""EN"",""ES"")"),"Sembradoras")</f>
        <v>Sembradoras</v>
      </c>
      <c r="M3235" s="8" t="s">
        <v>51</v>
      </c>
      <c r="N3235" s="8"/>
    </row>
    <row r="3236" spans="1:14" ht="11.25" customHeight="1">
      <c r="A3236" s="5" t="s">
        <v>9166</v>
      </c>
      <c r="B3236" s="5" t="s">
        <v>9287</v>
      </c>
      <c r="C3236" s="5" t="s">
        <v>9383</v>
      </c>
      <c r="D3236" s="5" t="s">
        <v>9169</v>
      </c>
      <c r="E3236" s="5" t="s">
        <v>52</v>
      </c>
      <c r="F3236" s="5" t="s">
        <v>9170</v>
      </c>
      <c r="G3236" s="5" t="s">
        <v>152</v>
      </c>
      <c r="H3236" s="5" t="s">
        <v>9289</v>
      </c>
      <c r="I3236" s="5" t="s">
        <v>9384</v>
      </c>
      <c r="J3236" s="5" t="s">
        <v>9385</v>
      </c>
      <c r="K3236" s="7" t="str">
        <f ca="1">IFERROR(__xludf.DUMMYFUNCTION("GOOGLETRANSLATE(H3236,""EN"",""ES"")"),"MAQUINARIA AGRÍCOLA Y FORESTAL")</f>
        <v>MAQUINARIA AGRÍCOLA Y FORESTAL</v>
      </c>
      <c r="L3236" s="5" t="str">
        <f ca="1">IFERROR(__xludf.DUMMYFUNCTION("GOOGLETRANSLATE(J3236,""EN"",""ES"")"),"Rejas de arado")</f>
        <v>Rejas de arado</v>
      </c>
      <c r="M3236" s="8" t="s">
        <v>51</v>
      </c>
      <c r="N3236" s="8"/>
    </row>
    <row r="3237" spans="1:14" ht="11.25" customHeight="1">
      <c r="A3237" s="5" t="s">
        <v>9166</v>
      </c>
      <c r="B3237" s="5" t="s">
        <v>9287</v>
      </c>
      <c r="C3237" s="5" t="s">
        <v>9386</v>
      </c>
      <c r="D3237" s="5" t="s">
        <v>9169</v>
      </c>
      <c r="E3237" s="5" t="s">
        <v>52</v>
      </c>
      <c r="F3237" s="5" t="s">
        <v>9170</v>
      </c>
      <c r="G3237" s="5" t="s">
        <v>152</v>
      </c>
      <c r="H3237" s="5" t="s">
        <v>9289</v>
      </c>
      <c r="I3237" s="5" t="s">
        <v>9387</v>
      </c>
      <c r="J3237" s="5" t="s">
        <v>9388</v>
      </c>
      <c r="K3237" s="7" t="str">
        <f ca="1">IFERROR(__xludf.DUMMYFUNCTION("GOOGLETRANSLATE(H3237,""EN"",""ES"")"),"MAQUINARIA AGRÍCOLA Y FORESTAL")</f>
        <v>MAQUINARIA AGRÍCOLA Y FORESTAL</v>
      </c>
      <c r="L3237" s="5" t="str">
        <f ca="1">IFERROR(__xludf.DUMMYFUNCTION("GOOGLETRANSLATE(J3237,""EN"",""ES"")"),"Sulfuradores [agricultura]")</f>
        <v>Sulfuradores [agricultura]</v>
      </c>
      <c r="M3237" s="8" t="s">
        <v>51</v>
      </c>
      <c r="N3237" s="8"/>
    </row>
    <row r="3238" spans="1:14" ht="11.25" customHeight="1">
      <c r="A3238" s="5" t="s">
        <v>9166</v>
      </c>
      <c r="B3238" s="5" t="s">
        <v>9287</v>
      </c>
      <c r="C3238" s="5" t="s">
        <v>9389</v>
      </c>
      <c r="D3238" s="5" t="s">
        <v>9169</v>
      </c>
      <c r="E3238" s="5" t="s">
        <v>52</v>
      </c>
      <c r="F3238" s="5" t="s">
        <v>9170</v>
      </c>
      <c r="G3238" s="5" t="s">
        <v>152</v>
      </c>
      <c r="H3238" s="5" t="s">
        <v>9289</v>
      </c>
      <c r="I3238" s="5" t="s">
        <v>9390</v>
      </c>
      <c r="J3238" s="5" t="s">
        <v>9391</v>
      </c>
      <c r="K3238" s="7" t="str">
        <f ca="1">IFERROR(__xludf.DUMMYFUNCTION("GOOGLETRANSLATE(H3238,""EN"",""ES"")"),"MAQUINARIA AGRÍCOLA Y FORESTAL")</f>
        <v>MAQUINARIA AGRÍCOLA Y FORESTAL</v>
      </c>
      <c r="L3238" s="5" t="str">
        <f ca="1">IFERROR(__xludf.DUMMYFUNCTION("GOOGLETRANSLATE(J3238,""EN"",""ES"")"),"maquinas de ordeño")</f>
        <v>maquinas de ordeño</v>
      </c>
      <c r="M3238" s="8" t="s">
        <v>51</v>
      </c>
      <c r="N3238" s="8"/>
    </row>
    <row r="3239" spans="1:14" ht="11.25" customHeight="1">
      <c r="A3239" s="5" t="s">
        <v>9166</v>
      </c>
      <c r="B3239" s="5" t="s">
        <v>9287</v>
      </c>
      <c r="C3239" s="5" t="s">
        <v>9392</v>
      </c>
      <c r="D3239" s="5" t="s">
        <v>9169</v>
      </c>
      <c r="E3239" s="5" t="s">
        <v>52</v>
      </c>
      <c r="F3239" s="5" t="s">
        <v>9170</v>
      </c>
      <c r="G3239" s="5" t="s">
        <v>152</v>
      </c>
      <c r="H3239" s="5" t="s">
        <v>9289</v>
      </c>
      <c r="I3239" s="5" t="s">
        <v>9393</v>
      </c>
      <c r="J3239" s="5" t="s">
        <v>9394</v>
      </c>
      <c r="K3239" s="7" t="str">
        <f ca="1">IFERROR(__xludf.DUMMYFUNCTION("GOOGLETRANSLATE(H3239,""EN"",""ES"")"),"MAQUINARIA AGRÍCOLA Y FORESTAL")</f>
        <v>MAQUINARIA AGRÍCOLA Y FORESTAL</v>
      </c>
      <c r="L3239" s="5" t="str">
        <f ca="1">IFERROR(__xludf.DUMMYFUNCTION("GOOGLETRANSLATE(J3239,""EN"",""ES"")"),"Cortadoras de raíces [máquinas]")</f>
        <v>Cortadoras de raíces [máquinas]</v>
      </c>
      <c r="M3239" s="8" t="s">
        <v>51</v>
      </c>
      <c r="N3239" s="8"/>
    </row>
    <row r="3240" spans="1:14" ht="11.25" customHeight="1">
      <c r="A3240" s="5" t="s">
        <v>9166</v>
      </c>
      <c r="B3240" s="5" t="s">
        <v>9287</v>
      </c>
      <c r="C3240" s="5" t="s">
        <v>9395</v>
      </c>
      <c r="D3240" s="5" t="s">
        <v>9169</v>
      </c>
      <c r="E3240" s="5" t="s">
        <v>52</v>
      </c>
      <c r="F3240" s="5" t="s">
        <v>9170</v>
      </c>
      <c r="G3240" s="5" t="s">
        <v>152</v>
      </c>
      <c r="H3240" s="5" t="s">
        <v>9289</v>
      </c>
      <c r="I3240" s="5" t="s">
        <v>9396</v>
      </c>
      <c r="J3240" s="5" t="s">
        <v>9397</v>
      </c>
      <c r="K3240" s="7" t="str">
        <f ca="1">IFERROR(__xludf.DUMMYFUNCTION("GOOGLETRANSLATE(H3240,""EN"",""ES"")"),"MAQUINARIA AGRÍCOLA Y FORESTAL")</f>
        <v>MAQUINARIA AGRÍCOLA Y FORESTAL</v>
      </c>
      <c r="L3240" s="5" t="str">
        <f ca="1">IFERROR(__xludf.DUMMYFUNCTION("GOOGLETRANSLATE(J3240,""EN"",""ES"")"),"Máquinas para el tratamiento químico de plantas.")</f>
        <v>Máquinas para el tratamiento químico de plantas.</v>
      </c>
      <c r="M3240" s="8" t="s">
        <v>51</v>
      </c>
      <c r="N3240" s="8"/>
    </row>
    <row r="3241" spans="1:14" ht="11.25" customHeight="1">
      <c r="A3241" s="5" t="s">
        <v>9166</v>
      </c>
      <c r="B3241" s="5" t="s">
        <v>9287</v>
      </c>
      <c r="C3241" s="5" t="s">
        <v>9398</v>
      </c>
      <c r="D3241" s="5" t="s">
        <v>9169</v>
      </c>
      <c r="E3241" s="5" t="s">
        <v>52</v>
      </c>
      <c r="F3241" s="5" t="s">
        <v>9170</v>
      </c>
      <c r="G3241" s="5" t="s">
        <v>152</v>
      </c>
      <c r="H3241" s="5" t="s">
        <v>9289</v>
      </c>
      <c r="I3241" s="5" t="s">
        <v>9399</v>
      </c>
      <c r="J3241" s="5" t="s">
        <v>9400</v>
      </c>
      <c r="K3241" s="7" t="str">
        <f ca="1">IFERROR(__xludf.DUMMYFUNCTION("GOOGLETRANSLATE(H3241,""EN"",""ES"")"),"MAQUINARIA AGRÍCOLA Y FORESTAL")</f>
        <v>MAQUINARIA AGRÍCOLA Y FORESTAL</v>
      </c>
      <c r="L3241" s="5" t="str">
        <f ca="1">IFERROR(__xludf.DUMMYFUNCTION("GOOGLETRANSLATE(J3241,""EN"",""ES"")"),"Levantadores de remolacha [máquinas]")</f>
        <v>Levantadores de remolacha [máquinas]</v>
      </c>
      <c r="M3241" s="8" t="s">
        <v>51</v>
      </c>
      <c r="N3241" s="8"/>
    </row>
    <row r="3242" spans="1:14" ht="11.25" customHeight="1">
      <c r="A3242" s="5" t="s">
        <v>9166</v>
      </c>
      <c r="B3242" s="5" t="s">
        <v>9287</v>
      </c>
      <c r="C3242" s="5" t="s">
        <v>9401</v>
      </c>
      <c r="D3242" s="5" t="s">
        <v>9169</v>
      </c>
      <c r="E3242" s="5" t="s">
        <v>52</v>
      </c>
      <c r="F3242" s="5" t="s">
        <v>9170</v>
      </c>
      <c r="G3242" s="5" t="s">
        <v>152</v>
      </c>
      <c r="H3242" s="5" t="s">
        <v>9289</v>
      </c>
      <c r="I3242" s="5" t="s">
        <v>9402</v>
      </c>
      <c r="J3242" s="5" t="s">
        <v>9403</v>
      </c>
      <c r="K3242" s="7" t="str">
        <f ca="1">IFERROR(__xludf.DUMMYFUNCTION("GOOGLETRANSLATE(H3242,""EN"",""ES"")"),"MAQUINARIA AGRÍCOLA Y FORESTAL")</f>
        <v>MAQUINARIA AGRÍCOLA Y FORESTAL</v>
      </c>
      <c r="L3242" s="5" t="str">
        <f ca="1">IFERROR(__xludf.DUMMYFUNCTION("GOOGLETRANSLATE(J3242,""EN"",""ES"")"),"Arados de viña")</f>
        <v>Arados de viña</v>
      </c>
      <c r="M3242" s="8" t="s">
        <v>51</v>
      </c>
      <c r="N3242" s="8"/>
    </row>
    <row r="3243" spans="1:14" ht="11.25" customHeight="1">
      <c r="A3243" s="5" t="s">
        <v>9166</v>
      </c>
      <c r="B3243" s="5" t="s">
        <v>9287</v>
      </c>
      <c r="C3243" s="5" t="s">
        <v>9404</v>
      </c>
      <c r="D3243" s="5" t="s">
        <v>9169</v>
      </c>
      <c r="E3243" s="5" t="s">
        <v>52</v>
      </c>
      <c r="F3243" s="5" t="s">
        <v>9170</v>
      </c>
      <c r="G3243" s="5" t="s">
        <v>152</v>
      </c>
      <c r="H3243" s="5" t="s">
        <v>9289</v>
      </c>
      <c r="I3243" s="5" t="s">
        <v>9405</v>
      </c>
      <c r="J3243" s="5" t="s">
        <v>9406</v>
      </c>
      <c r="K3243" s="7" t="str">
        <f ca="1">IFERROR(__xludf.DUMMYFUNCTION("GOOGLETRANSLATE(H3243,""EN"",""ES"")"),"MAQUINARIA AGRÍCOLA Y FORESTAL")</f>
        <v>MAQUINARIA AGRÍCOLA Y FORESTAL</v>
      </c>
      <c r="L3243" s="5" t="str">
        <f ca="1">IFERROR(__xludf.DUMMYFUNCTION("GOOGLETRANSLATE(J3243,""EN"",""ES"")"),"Máquinas segadoras y atadoras")</f>
        <v>Máquinas segadoras y atadoras</v>
      </c>
      <c r="M3243" s="8" t="s">
        <v>51</v>
      </c>
      <c r="N3243" s="8"/>
    </row>
    <row r="3244" spans="1:14" ht="11.25" customHeight="1">
      <c r="A3244" s="5" t="s">
        <v>9166</v>
      </c>
      <c r="B3244" s="5" t="s">
        <v>9287</v>
      </c>
      <c r="C3244" s="5" t="s">
        <v>9404</v>
      </c>
      <c r="D3244" s="5" t="s">
        <v>9169</v>
      </c>
      <c r="E3244" s="5" t="s">
        <v>52</v>
      </c>
      <c r="F3244" s="5" t="s">
        <v>9170</v>
      </c>
      <c r="G3244" s="5" t="s">
        <v>152</v>
      </c>
      <c r="H3244" s="5" t="s">
        <v>9289</v>
      </c>
      <c r="I3244" s="5" t="s">
        <v>9407</v>
      </c>
      <c r="J3244" s="5" t="s">
        <v>152</v>
      </c>
      <c r="K3244" s="7" t="str">
        <f ca="1">IFERROR(__xludf.DUMMYFUNCTION("GOOGLETRANSLATE(H3244,""EN"",""ES"")"),"MAQUINARIA AGRÍCOLA Y FORESTAL")</f>
        <v>MAQUINARIA AGRÍCOLA Y FORESTAL</v>
      </c>
      <c r="L3244" s="5" t="str">
        <f ca="1">IFERROR(__xludf.DUMMYFUNCTION("GOOGLETRANSLATE(J3244,""EN"",""ES"")"),"Máquinas atadoras y segadoras")</f>
        <v>Máquinas atadoras y segadoras</v>
      </c>
      <c r="M3244" s="8" t="s">
        <v>51</v>
      </c>
      <c r="N3244" s="8"/>
    </row>
    <row r="3245" spans="1:14" ht="11.25" customHeight="1">
      <c r="A3245" s="5" t="s">
        <v>9166</v>
      </c>
      <c r="B3245" s="5" t="s">
        <v>9287</v>
      </c>
      <c r="C3245" s="5" t="s">
        <v>9408</v>
      </c>
      <c r="D3245" s="5" t="s">
        <v>9169</v>
      </c>
      <c r="E3245" s="5" t="s">
        <v>52</v>
      </c>
      <c r="F3245" s="5" t="s">
        <v>9170</v>
      </c>
      <c r="G3245" s="5" t="s">
        <v>152</v>
      </c>
      <c r="H3245" s="5" t="s">
        <v>9289</v>
      </c>
      <c r="I3245" s="5" t="s">
        <v>9409</v>
      </c>
      <c r="J3245" s="5" t="s">
        <v>9410</v>
      </c>
      <c r="K3245" s="7" t="str">
        <f ca="1">IFERROR(__xludf.DUMMYFUNCTION("GOOGLETRANSLATE(H3245,""EN"",""ES"")"),"MAQUINARIA AGRÍCOLA Y FORESTAL")</f>
        <v>MAQUINARIA AGRÍCOLA Y FORESTAL</v>
      </c>
      <c r="L3245" s="5" t="str">
        <f ca="1">IFERROR(__xludf.DUMMYFUNCTION("GOOGLETRANSLATE(J3245,""EN"",""ES"")"),"Prensas de forraje")</f>
        <v>Prensas de forraje</v>
      </c>
      <c r="M3245" s="8" t="s">
        <v>51</v>
      </c>
      <c r="N3245" s="8"/>
    </row>
    <row r="3246" spans="1:14" ht="11.25" customHeight="1">
      <c r="A3246" s="5" t="s">
        <v>9166</v>
      </c>
      <c r="B3246" s="5" t="s">
        <v>9287</v>
      </c>
      <c r="C3246" s="5" t="s">
        <v>9411</v>
      </c>
      <c r="D3246" s="5" t="s">
        <v>9169</v>
      </c>
      <c r="E3246" s="5" t="s">
        <v>52</v>
      </c>
      <c r="F3246" s="5" t="s">
        <v>9170</v>
      </c>
      <c r="G3246" s="5" t="s">
        <v>152</v>
      </c>
      <c r="H3246" s="5" t="s">
        <v>9289</v>
      </c>
      <c r="I3246" s="5" t="s">
        <v>9412</v>
      </c>
      <c r="J3246" s="5" t="s">
        <v>9413</v>
      </c>
      <c r="K3246" s="7" t="str">
        <f ca="1">IFERROR(__xludf.DUMMYFUNCTION("GOOGLETRANSLATE(H3246,""EN"",""ES"")"),"MAQUINARIA AGRÍCOLA Y FORESTAL")</f>
        <v>MAQUINARIA AGRÍCOLA Y FORESTAL</v>
      </c>
      <c r="L3246" s="5" t="str">
        <f ca="1">IFERROR(__xludf.DUMMYFUNCTION("GOOGLETRANSLATE(J3246,""EN"",""ES"")"),"cortadoras de césped")</f>
        <v>cortadoras de césped</v>
      </c>
      <c r="M3246" s="8" t="s">
        <v>51</v>
      </c>
      <c r="N3246" s="8"/>
    </row>
    <row r="3247" spans="1:14" ht="11.25" customHeight="1">
      <c r="A3247" s="5" t="s">
        <v>9166</v>
      </c>
      <c r="B3247" s="5" t="s">
        <v>9287</v>
      </c>
      <c r="C3247" s="5" t="s">
        <v>9414</v>
      </c>
      <c r="D3247" s="5" t="s">
        <v>9169</v>
      </c>
      <c r="E3247" s="5" t="s">
        <v>52</v>
      </c>
      <c r="F3247" s="5" t="s">
        <v>9170</v>
      </c>
      <c r="G3247" s="5" t="s">
        <v>152</v>
      </c>
      <c r="H3247" s="5" t="s">
        <v>9289</v>
      </c>
      <c r="I3247" s="5" t="s">
        <v>9415</v>
      </c>
      <c r="J3247" s="5" t="s">
        <v>9416</v>
      </c>
      <c r="K3247" s="7" t="str">
        <f ca="1">IFERROR(__xludf.DUMMYFUNCTION("GOOGLETRANSLATE(H3247,""EN"",""ES"")"),"MAQUINARIA AGRÍCOLA Y FORESTAL")</f>
        <v>MAQUINARIA AGRÍCOLA Y FORESTAL</v>
      </c>
      <c r="L3247" s="5" t="str">
        <f ca="1">IFERROR(__xludf.DUMMYFUNCTION("GOOGLETRANSLATE(J3247,""EN"",""ES"")"),"Topadoras de árboles")</f>
        <v>Topadoras de árboles</v>
      </c>
      <c r="M3247" s="8" t="s">
        <v>51</v>
      </c>
      <c r="N3247" s="8"/>
    </row>
    <row r="3248" spans="1:14" ht="11.25" customHeight="1">
      <c r="A3248" s="5" t="s">
        <v>9166</v>
      </c>
      <c r="B3248" s="5" t="s">
        <v>9287</v>
      </c>
      <c r="C3248" s="5" t="s">
        <v>9417</v>
      </c>
      <c r="D3248" s="5" t="s">
        <v>9169</v>
      </c>
      <c r="E3248" s="5" t="s">
        <v>52</v>
      </c>
      <c r="F3248" s="5" t="s">
        <v>9170</v>
      </c>
      <c r="G3248" s="5" t="s">
        <v>152</v>
      </c>
      <c r="H3248" s="5" t="s">
        <v>9289</v>
      </c>
      <c r="I3248" s="5" t="s">
        <v>9418</v>
      </c>
      <c r="J3248" s="5" t="s">
        <v>9419</v>
      </c>
      <c r="K3248" s="7" t="str">
        <f ca="1">IFERROR(__xludf.DUMMYFUNCTION("GOOGLETRANSLATE(H3248,""EN"",""ES"")"),"MAQUINARIA AGRÍCOLA Y FORESTAL")</f>
        <v>MAQUINARIA AGRÍCOLA Y FORESTAL</v>
      </c>
      <c r="L3248" s="5" t="str">
        <f ca="1">IFERROR(__xludf.DUMMYFUNCTION("GOOGLETRANSLATE(J3248,""EN"",""ES"")"),"Aireadores de césped")</f>
        <v>Aireadores de césped</v>
      </c>
      <c r="M3248" s="8" t="s">
        <v>51</v>
      </c>
      <c r="N3248" s="8"/>
    </row>
    <row r="3249" spans="1:14" ht="11.25" customHeight="1">
      <c r="A3249" s="5" t="s">
        <v>9166</v>
      </c>
      <c r="B3249" s="5" t="s">
        <v>9287</v>
      </c>
      <c r="C3249" s="5" t="s">
        <v>9420</v>
      </c>
      <c r="D3249" s="5" t="s">
        <v>9169</v>
      </c>
      <c r="E3249" s="5" t="s">
        <v>52</v>
      </c>
      <c r="F3249" s="5" t="s">
        <v>9170</v>
      </c>
      <c r="G3249" s="5" t="s">
        <v>152</v>
      </c>
      <c r="H3249" s="5" t="s">
        <v>9289</v>
      </c>
      <c r="I3249" s="5" t="s">
        <v>9421</v>
      </c>
      <c r="J3249" s="5" t="s">
        <v>9422</v>
      </c>
      <c r="K3249" s="7" t="str">
        <f ca="1">IFERROR(__xludf.DUMMYFUNCTION("GOOGLETRANSLATE(H3249,""EN"",""ES"")"),"MAQUINARIA AGRÍCOLA Y FORESTAL")</f>
        <v>MAQUINARIA AGRÍCOLA Y FORESTAL</v>
      </c>
      <c r="L3249" s="5" t="str">
        <f ca="1">IFERROR(__xludf.DUMMYFUNCTION("GOOGLETRANSLATE(J3249,""EN"",""ES"")"),"cortacésped robóticos")</f>
        <v>cortacésped robóticos</v>
      </c>
      <c r="M3249" s="8" t="s">
        <v>51</v>
      </c>
      <c r="N3249" s="8"/>
    </row>
    <row r="3250" spans="1:14" ht="11.25" customHeight="1">
      <c r="A3250" s="5" t="s">
        <v>9166</v>
      </c>
      <c r="B3250" s="5" t="s">
        <v>9287</v>
      </c>
      <c r="C3250" s="5" t="s">
        <v>9423</v>
      </c>
      <c r="D3250" s="5" t="s">
        <v>9169</v>
      </c>
      <c r="E3250" s="5" t="s">
        <v>52</v>
      </c>
      <c r="F3250" s="5" t="s">
        <v>9170</v>
      </c>
      <c r="G3250" s="5" t="s">
        <v>152</v>
      </c>
      <c r="H3250" s="5" t="s">
        <v>9289</v>
      </c>
      <c r="I3250" s="5" t="s">
        <v>9424</v>
      </c>
      <c r="J3250" s="5" t="s">
        <v>9425</v>
      </c>
      <c r="K3250" s="7" t="str">
        <f ca="1">IFERROR(__xludf.DUMMYFUNCTION("GOOGLETRANSLATE(H3250,""EN"",""ES"")"),"MAQUINARIA AGRÍCOLA Y FORESTAL")</f>
        <v>MAQUINARIA AGRÍCOLA Y FORESTAL</v>
      </c>
      <c r="L3250" s="5" t="str">
        <f ca="1">IFERROR(__xludf.DUMMYFUNCTION("GOOGLETRANSLATE(J3250,""EN"",""ES"")"),"cortadoras de césped")</f>
        <v>cortadoras de césped</v>
      </c>
      <c r="M3250" s="8" t="s">
        <v>51</v>
      </c>
      <c r="N3250" s="8"/>
    </row>
    <row r="3251" spans="1:14" ht="11.25" customHeight="1">
      <c r="A3251" s="5" t="s">
        <v>9166</v>
      </c>
      <c r="B3251" s="5" t="s">
        <v>9287</v>
      </c>
      <c r="C3251" s="5" t="s">
        <v>9426</v>
      </c>
      <c r="D3251" s="5" t="s">
        <v>9169</v>
      </c>
      <c r="E3251" s="5" t="s">
        <v>52</v>
      </c>
      <c r="F3251" s="5" t="s">
        <v>9170</v>
      </c>
      <c r="G3251" s="5" t="s">
        <v>152</v>
      </c>
      <c r="H3251" s="5" t="s">
        <v>9289</v>
      </c>
      <c r="I3251" s="5" t="s">
        <v>9427</v>
      </c>
      <c r="J3251" s="5" t="s">
        <v>9428</v>
      </c>
      <c r="K3251" s="7" t="str">
        <f ca="1">IFERROR(__xludf.DUMMYFUNCTION("GOOGLETRANSLATE(H3251,""EN"",""ES"")"),"MAQUINARIA AGRÍCOLA Y FORESTAL")</f>
        <v>MAQUINARIA AGRÍCOLA Y FORESTAL</v>
      </c>
      <c r="L3251" s="5" t="str">
        <f ca="1">IFERROR(__xludf.DUMMYFUNCTION("GOOGLETRANSLATE(J3251,""EN"",""ES"")"),"Máquinas para talar árboles.")</f>
        <v>Máquinas para talar árboles.</v>
      </c>
      <c r="M3251" s="8" t="s">
        <v>51</v>
      </c>
      <c r="N3251" s="8"/>
    </row>
    <row r="3252" spans="1:14" ht="11.25" customHeight="1">
      <c r="A3252" s="5" t="s">
        <v>9166</v>
      </c>
      <c r="B3252" s="5" t="s">
        <v>9287</v>
      </c>
      <c r="C3252" s="5" t="s">
        <v>9429</v>
      </c>
      <c r="D3252" s="5" t="s">
        <v>9169</v>
      </c>
      <c r="E3252" s="5" t="s">
        <v>52</v>
      </c>
      <c r="F3252" s="5" t="s">
        <v>9170</v>
      </c>
      <c r="G3252" s="5" t="s">
        <v>152</v>
      </c>
      <c r="H3252" s="5" t="s">
        <v>9289</v>
      </c>
      <c r="I3252" s="5" t="s">
        <v>9430</v>
      </c>
      <c r="J3252" s="5" t="s">
        <v>9431</v>
      </c>
      <c r="K3252" s="7" t="str">
        <f ca="1">IFERROR(__xludf.DUMMYFUNCTION("GOOGLETRANSLATE(H3252,""EN"",""ES"")"),"MAQUINARIA AGRÍCOLA Y FORESTAL")</f>
        <v>MAQUINARIA AGRÍCOLA Y FORESTAL</v>
      </c>
      <c r="L3252" s="5" t="str">
        <f ca="1">IFERROR(__xludf.DUMMYFUNCTION("GOOGLETRANSLATE(J3252,""EN"",""ES"")"),"Cosechadoras [bosque]")</f>
        <v>Cosechadoras [bosque]</v>
      </c>
      <c r="M3252" s="8" t="s">
        <v>51</v>
      </c>
      <c r="N3252" s="8"/>
    </row>
    <row r="3253" spans="1:14" ht="11.25" customHeight="1">
      <c r="A3253" s="5" t="s">
        <v>9166</v>
      </c>
      <c r="B3253" s="5" t="s">
        <v>9287</v>
      </c>
      <c r="C3253" s="5" t="s">
        <v>9432</v>
      </c>
      <c r="D3253" s="5" t="s">
        <v>9169</v>
      </c>
      <c r="E3253" s="5" t="s">
        <v>52</v>
      </c>
      <c r="F3253" s="5" t="s">
        <v>9170</v>
      </c>
      <c r="G3253" s="5" t="s">
        <v>152</v>
      </c>
      <c r="H3253" s="5" t="s">
        <v>9289</v>
      </c>
      <c r="I3253" s="5" t="s">
        <v>9433</v>
      </c>
      <c r="J3253" s="5" t="s">
        <v>9434</v>
      </c>
      <c r="K3253" s="7" t="str">
        <f ca="1">IFERROR(__xludf.DUMMYFUNCTION("GOOGLETRANSLATE(H3253,""EN"",""ES"")"),"MAQUINARIA AGRÍCOLA Y FORESTAL")</f>
        <v>MAQUINARIA AGRÍCOLA Y FORESTAL</v>
      </c>
      <c r="L3253" s="5" t="str">
        <f ca="1">IFERROR(__xludf.DUMMYFUNCTION("GOOGLETRANSLATE(J3253,""EN"",""ES"")"),"Quitanieves [máquinas]")</f>
        <v>Quitanieves [máquinas]</v>
      </c>
      <c r="M3253" s="8" t="s">
        <v>51</v>
      </c>
      <c r="N3253" s="8"/>
    </row>
    <row r="3254" spans="1:14" ht="11.25" customHeight="1">
      <c r="A3254" s="5" t="s">
        <v>9166</v>
      </c>
      <c r="B3254" s="5" t="s">
        <v>9435</v>
      </c>
      <c r="C3254" s="5" t="s">
        <v>9436</v>
      </c>
      <c r="D3254" s="5" t="s">
        <v>9169</v>
      </c>
      <c r="E3254" s="5" t="s">
        <v>52</v>
      </c>
      <c r="F3254" s="5" t="s">
        <v>9170</v>
      </c>
      <c r="G3254" s="5" t="s">
        <v>152</v>
      </c>
      <c r="H3254" s="5" t="s">
        <v>9437</v>
      </c>
      <c r="I3254" s="5" t="s">
        <v>9438</v>
      </c>
      <c r="J3254" s="5" t="s">
        <v>9439</v>
      </c>
      <c r="K3254" s="7" t="str">
        <f ca="1">IFERROR(__xludf.DUMMYFUNCTION("GOOGLETRANSLATE(H3254,""EN"",""ES"")"),"MAQUINARIA DE CONSTRUCCIÓN Y MINERÍA")</f>
        <v>MAQUINARIA DE CONSTRUCCIÓN Y MINERÍA</v>
      </c>
      <c r="L3254" s="5" t="str">
        <f ca="1">IFERROR(__xludf.DUMMYFUNCTION("GOOGLETRANSLATE(J3254,""EN"",""ES"")"),"maquinas de construccion")</f>
        <v>maquinas de construccion</v>
      </c>
      <c r="M3254" s="8" t="s">
        <v>53</v>
      </c>
      <c r="N3254" s="8"/>
    </row>
    <row r="3255" spans="1:14" ht="11.25" customHeight="1">
      <c r="A3255" s="5" t="s">
        <v>9166</v>
      </c>
      <c r="B3255" s="5" t="s">
        <v>9435</v>
      </c>
      <c r="C3255" s="5" t="s">
        <v>9440</v>
      </c>
      <c r="D3255" s="5" t="s">
        <v>9169</v>
      </c>
      <c r="E3255" s="5" t="s">
        <v>52</v>
      </c>
      <c r="F3255" s="5" t="s">
        <v>9170</v>
      </c>
      <c r="G3255" s="5" t="s">
        <v>152</v>
      </c>
      <c r="H3255" s="5" t="s">
        <v>9437</v>
      </c>
      <c r="I3255" s="5" t="s">
        <v>9441</v>
      </c>
      <c r="J3255" s="5" t="s">
        <v>9442</v>
      </c>
      <c r="K3255" s="7" t="str">
        <f ca="1">IFERROR(__xludf.DUMMYFUNCTION("GOOGLETRANSLATE(H3255,""EN"",""ES"")"),"MAQUINARIA DE CONSTRUCCIÓN Y MINERÍA")</f>
        <v>MAQUINARIA DE CONSTRUCCIÓN Y MINERÍA</v>
      </c>
      <c r="L3255" s="5" t="str">
        <f ca="1">IFERROR(__xludf.DUMMYFUNCTION("GOOGLETRANSLATE(J3255,""EN"",""ES"")"),"Hormigoneras")</f>
        <v>Hormigoneras</v>
      </c>
      <c r="M3255" s="8" t="s">
        <v>53</v>
      </c>
      <c r="N3255" s="8"/>
    </row>
    <row r="3256" spans="1:14" ht="11.25" customHeight="1">
      <c r="A3256" s="5" t="s">
        <v>9166</v>
      </c>
      <c r="B3256" s="5" t="s">
        <v>9435</v>
      </c>
      <c r="C3256" s="5" t="s">
        <v>9440</v>
      </c>
      <c r="D3256" s="5" t="s">
        <v>9169</v>
      </c>
      <c r="E3256" s="5" t="s">
        <v>52</v>
      </c>
      <c r="F3256" s="5" t="s">
        <v>9170</v>
      </c>
      <c r="G3256" s="5" t="s">
        <v>152</v>
      </c>
      <c r="H3256" s="5" t="s">
        <v>9437</v>
      </c>
      <c r="I3256" s="5" t="s">
        <v>152</v>
      </c>
      <c r="J3256" s="5" t="s">
        <v>9443</v>
      </c>
      <c r="K3256" s="7" t="str">
        <f ca="1">IFERROR(__xludf.DUMMYFUNCTION("GOOGLETRANSLATE(H3256,""EN"",""ES"")"),"MAQUINARIA DE CONSTRUCCIÓN Y MINERÍA")</f>
        <v>MAQUINARIA DE CONSTRUCCIÓN Y MINERÍA</v>
      </c>
      <c r="L3256" s="5" t="str">
        <f ca="1">IFERROR(__xludf.DUMMYFUNCTION("GOOGLETRANSLATE(J3256,""EN"",""ES"")"),"N / A")</f>
        <v>N / A</v>
      </c>
      <c r="M3256" s="8" t="s">
        <v>53</v>
      </c>
      <c r="N3256" s="8"/>
    </row>
    <row r="3257" spans="1:14" ht="11.25" customHeight="1">
      <c r="A3257" s="5" t="s">
        <v>9166</v>
      </c>
      <c r="B3257" s="5" t="s">
        <v>9435</v>
      </c>
      <c r="C3257" s="5" t="s">
        <v>9444</v>
      </c>
      <c r="D3257" s="5" t="s">
        <v>9169</v>
      </c>
      <c r="E3257" s="5" t="s">
        <v>52</v>
      </c>
      <c r="F3257" s="5" t="s">
        <v>9170</v>
      </c>
      <c r="G3257" s="5" t="s">
        <v>152</v>
      </c>
      <c r="H3257" s="5" t="s">
        <v>9437</v>
      </c>
      <c r="I3257" s="5" t="s">
        <v>9445</v>
      </c>
      <c r="J3257" s="5" t="s">
        <v>9446</v>
      </c>
      <c r="K3257" s="7" t="str">
        <f ca="1">IFERROR(__xludf.DUMMYFUNCTION("GOOGLETRANSLATE(H3257,""EN"",""ES"")"),"MAQUINARIA DE CONSTRUCCIÓN Y MINERÍA")</f>
        <v>MAQUINARIA DE CONSTRUCCIÓN Y MINERÍA</v>
      </c>
      <c r="L3257" s="5" t="str">
        <f ca="1">IFERROR(__xludf.DUMMYFUNCTION("GOOGLETRANSLATE(J3257,""EN"",""ES"")"),"topadoras")</f>
        <v>topadoras</v>
      </c>
      <c r="M3257" s="8" t="s">
        <v>53</v>
      </c>
      <c r="N3257" s="8"/>
    </row>
    <row r="3258" spans="1:14" ht="11.25" customHeight="1">
      <c r="A3258" s="5" t="s">
        <v>9166</v>
      </c>
      <c r="B3258" s="5" t="s">
        <v>9435</v>
      </c>
      <c r="C3258" s="5" t="s">
        <v>9447</v>
      </c>
      <c r="D3258" s="5" t="s">
        <v>9169</v>
      </c>
      <c r="E3258" s="5" t="s">
        <v>52</v>
      </c>
      <c r="F3258" s="5" t="s">
        <v>9170</v>
      </c>
      <c r="G3258" s="5" t="s">
        <v>152</v>
      </c>
      <c r="H3258" s="5" t="s">
        <v>9437</v>
      </c>
      <c r="I3258" s="5" t="s">
        <v>9448</v>
      </c>
      <c r="J3258" s="5" t="s">
        <v>9449</v>
      </c>
      <c r="K3258" s="7" t="str">
        <f ca="1">IFERROR(__xludf.DUMMYFUNCTION("GOOGLETRANSLATE(H3258,""EN"",""ES"")"),"MAQUINARIA DE CONSTRUCCIÓN Y MINERÍA")</f>
        <v>MAQUINARIA DE CONSTRUCCIÓN Y MINERÍA</v>
      </c>
      <c r="L3258" s="5" t="str">
        <f ca="1">IFERROR(__xludf.DUMMYFUNCTION("GOOGLETRANSLATE(J3258,""EN"",""ES"")"),"dragas")</f>
        <v>dragas</v>
      </c>
      <c r="M3258" s="8" t="s">
        <v>53</v>
      </c>
      <c r="N3258" s="8"/>
    </row>
    <row r="3259" spans="1:14" ht="11.25" customHeight="1">
      <c r="A3259" s="5" t="s">
        <v>9166</v>
      </c>
      <c r="B3259" s="5" t="s">
        <v>9435</v>
      </c>
      <c r="C3259" s="5" t="s">
        <v>9450</v>
      </c>
      <c r="D3259" s="5" t="s">
        <v>9169</v>
      </c>
      <c r="E3259" s="5" t="s">
        <v>52</v>
      </c>
      <c r="F3259" s="5" t="s">
        <v>9170</v>
      </c>
      <c r="G3259" s="5" t="s">
        <v>152</v>
      </c>
      <c r="H3259" s="5" t="s">
        <v>9437</v>
      </c>
      <c r="I3259" s="5" t="s">
        <v>9451</v>
      </c>
      <c r="J3259" s="5" t="s">
        <v>9452</v>
      </c>
      <c r="K3259" s="7" t="str">
        <f ca="1">IFERROR(__xludf.DUMMYFUNCTION("GOOGLETRANSLATE(H3259,""EN"",""ES"")"),"MAQUINARIA DE CONSTRUCCIÓN Y MINERÍA")</f>
        <v>MAQUINARIA DE CONSTRUCCIÓN Y MINERÍA</v>
      </c>
      <c r="L3259" s="5" t="str">
        <f ca="1">IFERROR(__xludf.DUMMYFUNCTION("GOOGLETRANSLATE(J3259,""EN"",""ES"")"),"Excavadoras")</f>
        <v>Excavadoras</v>
      </c>
      <c r="M3259" s="8" t="s">
        <v>53</v>
      </c>
      <c r="N3259" s="8"/>
    </row>
    <row r="3260" spans="1:14" ht="11.25" customHeight="1">
      <c r="A3260" s="5" t="s">
        <v>9166</v>
      </c>
      <c r="B3260" s="5" t="s">
        <v>9435</v>
      </c>
      <c r="C3260" s="5" t="s">
        <v>9453</v>
      </c>
      <c r="D3260" s="5" t="s">
        <v>9169</v>
      </c>
      <c r="E3260" s="5" t="s">
        <v>52</v>
      </c>
      <c r="F3260" s="5" t="s">
        <v>9170</v>
      </c>
      <c r="G3260" s="5" t="s">
        <v>152</v>
      </c>
      <c r="H3260" s="5" t="s">
        <v>9437</v>
      </c>
      <c r="I3260" s="5" t="s">
        <v>9454</v>
      </c>
      <c r="J3260" s="5" t="s">
        <v>9455</v>
      </c>
      <c r="K3260" s="7" t="str">
        <f ca="1">IFERROR(__xludf.DUMMYFUNCTION("GOOGLETRANSLATE(H3260,""EN"",""ES"")"),"MAQUINARIA DE CONSTRUCCIÓN Y MINERÍA")</f>
        <v>MAQUINARIA DE CONSTRUCCIÓN Y MINERÍA</v>
      </c>
      <c r="L3260" s="5" t="str">
        <f ca="1">IFERROR(__xludf.DUMMYFUNCTION("GOOGLETRANSLATE(J3260,""EN"",""ES"")"),"maquinas de ingenieria civil")</f>
        <v>maquinas de ingenieria civil</v>
      </c>
      <c r="M3260" s="8" t="s">
        <v>53</v>
      </c>
      <c r="N3260" s="8"/>
    </row>
    <row r="3261" spans="1:14" ht="11.25" customHeight="1">
      <c r="A3261" s="5" t="s">
        <v>9166</v>
      </c>
      <c r="B3261" s="5" t="s">
        <v>9435</v>
      </c>
      <c r="C3261" s="5" t="s">
        <v>9456</v>
      </c>
      <c r="D3261" s="5" t="s">
        <v>9169</v>
      </c>
      <c r="E3261" s="5" t="s">
        <v>52</v>
      </c>
      <c r="F3261" s="5" t="s">
        <v>9170</v>
      </c>
      <c r="G3261" s="5" t="s">
        <v>152</v>
      </c>
      <c r="H3261" s="5" t="s">
        <v>9437</v>
      </c>
      <c r="I3261" s="5" t="s">
        <v>9457</v>
      </c>
      <c r="J3261" s="5" t="s">
        <v>9458</v>
      </c>
      <c r="K3261" s="7" t="str">
        <f ca="1">IFERROR(__xludf.DUMMYFUNCTION("GOOGLETRANSLATE(H3261,""EN"",""ES"")"),"MAQUINARIA DE CONSTRUCCIÓN Y MINERÍA")</f>
        <v>MAQUINARIA DE CONSTRUCCIÓN Y MINERÍA</v>
      </c>
      <c r="L3261" s="5" t="str">
        <f ca="1">IFERROR(__xludf.DUMMYFUNCTION("GOOGLETRANSLATE(J3261,""EN"",""ES"")"),"Máquinas pulverizadoras de alquitrán")</f>
        <v>Máquinas pulverizadoras de alquitrán</v>
      </c>
      <c r="M3261" s="8" t="s">
        <v>53</v>
      </c>
      <c r="N3261" s="8"/>
    </row>
    <row r="3262" spans="1:14" ht="11.25" customHeight="1">
      <c r="A3262" s="5" t="s">
        <v>9166</v>
      </c>
      <c r="B3262" s="5" t="s">
        <v>9435</v>
      </c>
      <c r="C3262" s="5" t="s">
        <v>9459</v>
      </c>
      <c r="D3262" s="5" t="s">
        <v>9169</v>
      </c>
      <c r="E3262" s="5" t="s">
        <v>52</v>
      </c>
      <c r="F3262" s="5" t="s">
        <v>9170</v>
      </c>
      <c r="G3262" s="5" t="s">
        <v>152</v>
      </c>
      <c r="H3262" s="5" t="s">
        <v>9437</v>
      </c>
      <c r="I3262" s="5" t="s">
        <v>9460</v>
      </c>
      <c r="J3262" s="5" t="s">
        <v>9461</v>
      </c>
      <c r="K3262" s="7" t="str">
        <f ca="1">IFERROR(__xludf.DUMMYFUNCTION("GOOGLETRANSLATE(H3262,""EN"",""ES"")"),"MAQUINARIA DE CONSTRUCCIÓN Y MINERÍA")</f>
        <v>MAQUINARIA DE CONSTRUCCIÓN Y MINERÍA</v>
      </c>
      <c r="L3262" s="5" t="str">
        <f ca="1">IFERROR(__xludf.DUMMYFUNCTION("GOOGLETRANSLATE(J3262,""EN"",""ES"")"),"Máquinas mezcladoras [construcción]")</f>
        <v>Máquinas mezcladoras [construcción]</v>
      </c>
      <c r="M3262" s="8" t="s">
        <v>53</v>
      </c>
      <c r="N3262" s="8"/>
    </row>
    <row r="3263" spans="1:14" ht="11.25" customHeight="1">
      <c r="A3263" s="5" t="s">
        <v>9166</v>
      </c>
      <c r="B3263" s="5" t="s">
        <v>9435</v>
      </c>
      <c r="C3263" s="5" t="s">
        <v>9462</v>
      </c>
      <c r="D3263" s="5" t="s">
        <v>9169</v>
      </c>
      <c r="E3263" s="5" t="s">
        <v>52</v>
      </c>
      <c r="F3263" s="5" t="s">
        <v>9170</v>
      </c>
      <c r="G3263" s="5" t="s">
        <v>152</v>
      </c>
      <c r="H3263" s="5" t="s">
        <v>9437</v>
      </c>
      <c r="I3263" s="5" t="s">
        <v>9463</v>
      </c>
      <c r="J3263" s="5" t="s">
        <v>9464</v>
      </c>
      <c r="K3263" s="7" t="str">
        <f ca="1">IFERROR(__xludf.DUMMYFUNCTION("GOOGLETRANSLATE(H3263,""EN"",""ES"")"),"MAQUINARIA DE CONSTRUCCIÓN Y MINERÍA")</f>
        <v>MAQUINARIA DE CONSTRUCCIÓN Y MINERÍA</v>
      </c>
      <c r="L3263" s="5" t="str">
        <f ca="1">IFERROR(__xludf.DUMMYFUNCTION("GOOGLETRANSLATE(J3263,""EN"",""ES"")"),"Arietes martinetes")</f>
        <v>Arietes martinetes</v>
      </c>
      <c r="M3263" s="8" t="s">
        <v>53</v>
      </c>
      <c r="N3263" s="8"/>
    </row>
    <row r="3264" spans="1:14" ht="11.25" customHeight="1">
      <c r="A3264" s="5" t="s">
        <v>9166</v>
      </c>
      <c r="B3264" s="5" t="s">
        <v>9435</v>
      </c>
      <c r="C3264" s="5" t="s">
        <v>9465</v>
      </c>
      <c r="D3264" s="5" t="s">
        <v>9169</v>
      </c>
      <c r="E3264" s="5" t="s">
        <v>52</v>
      </c>
      <c r="F3264" s="5" t="s">
        <v>9170</v>
      </c>
      <c r="G3264" s="5" t="s">
        <v>152</v>
      </c>
      <c r="H3264" s="5" t="s">
        <v>9437</v>
      </c>
      <c r="I3264" s="5" t="s">
        <v>9466</v>
      </c>
      <c r="J3264" s="5" t="s">
        <v>9467</v>
      </c>
      <c r="K3264" s="7" t="str">
        <f ca="1">IFERROR(__xludf.DUMMYFUNCTION("GOOGLETRANSLATE(H3264,""EN"",""ES"")"),"MAQUINARIA DE CONSTRUCCIÓN Y MINERÍA")</f>
        <v>MAQUINARIA DE CONSTRUCCIÓN Y MINERÍA</v>
      </c>
      <c r="L3264" s="5" t="str">
        <f ca="1">IFERROR(__xludf.DUMMYFUNCTION("GOOGLETRANSLATE(J3264,""EN"",""ES"")"),"Palas mecánicas")</f>
        <v>Palas mecánicas</v>
      </c>
      <c r="M3264" s="8" t="s">
        <v>53</v>
      </c>
      <c r="N3264" s="8"/>
    </row>
    <row r="3265" spans="1:14" ht="11.25" customHeight="1">
      <c r="A3265" s="5" t="s">
        <v>9166</v>
      </c>
      <c r="B3265" s="5" t="s">
        <v>9435</v>
      </c>
      <c r="C3265" s="5" t="s">
        <v>9468</v>
      </c>
      <c r="D3265" s="5" t="s">
        <v>9169</v>
      </c>
      <c r="E3265" s="5" t="s">
        <v>52</v>
      </c>
      <c r="F3265" s="5" t="s">
        <v>9170</v>
      </c>
      <c r="G3265" s="5" t="s">
        <v>152</v>
      </c>
      <c r="H3265" s="5" t="s">
        <v>9437</v>
      </c>
      <c r="I3265" s="5" t="s">
        <v>9469</v>
      </c>
      <c r="J3265" s="5" t="s">
        <v>9470</v>
      </c>
      <c r="K3265" s="7" t="str">
        <f ca="1">IFERROR(__xludf.DUMMYFUNCTION("GOOGLETRANSLATE(H3265,""EN"",""ES"")"),"MAQUINARIA DE CONSTRUCCIÓN Y MINERÍA")</f>
        <v>MAQUINARIA DE CONSTRUCCIÓN Y MINERÍA</v>
      </c>
      <c r="L3265" s="5" t="str">
        <f ca="1">IFERROR(__xludf.DUMMYFUNCTION("GOOGLETRANSLATE(J3265,""EN"",""ES"")"),"Perforadoras [construcción]")</f>
        <v>Perforadoras [construcción]</v>
      </c>
      <c r="M3265" s="8" t="s">
        <v>53</v>
      </c>
      <c r="N3265" s="8"/>
    </row>
    <row r="3266" spans="1:14" ht="11.25" customHeight="1">
      <c r="A3266" s="5" t="s">
        <v>9166</v>
      </c>
      <c r="B3266" s="5" t="s">
        <v>9435</v>
      </c>
      <c r="C3266" s="5" t="s">
        <v>9471</v>
      </c>
      <c r="D3266" s="5" t="s">
        <v>9169</v>
      </c>
      <c r="E3266" s="5" t="s">
        <v>52</v>
      </c>
      <c r="F3266" s="5" t="s">
        <v>9170</v>
      </c>
      <c r="G3266" s="5" t="s">
        <v>152</v>
      </c>
      <c r="H3266" s="5" t="s">
        <v>9437</v>
      </c>
      <c r="I3266" s="5" t="s">
        <v>9472</v>
      </c>
      <c r="J3266" s="5" t="s">
        <v>9473</v>
      </c>
      <c r="K3266" s="7" t="str">
        <f ca="1">IFERROR(__xludf.DUMMYFUNCTION("GOOGLETRANSLATE(H3266,""EN"",""ES"")"),"MAQUINARIA DE CONSTRUCCIÓN Y MINERÍA")</f>
        <v>MAQUINARIA DE CONSTRUCCIÓN Y MINERÍA</v>
      </c>
      <c r="L3266" s="5" t="str">
        <f ca="1">IFERROR(__xludf.DUMMYFUNCTION("GOOGLETRANSLATE(J3266,""EN"",""ES"")"),"Vibradores [construcción]")</f>
        <v>Vibradores [construcción]</v>
      </c>
      <c r="M3266" s="8" t="s">
        <v>53</v>
      </c>
      <c r="N3266" s="8"/>
    </row>
    <row r="3267" spans="1:14" ht="11.25" customHeight="1">
      <c r="A3267" s="5" t="s">
        <v>9166</v>
      </c>
      <c r="B3267" s="5" t="s">
        <v>9435</v>
      </c>
      <c r="C3267" s="5" t="s">
        <v>9474</v>
      </c>
      <c r="D3267" s="5" t="s">
        <v>9169</v>
      </c>
      <c r="E3267" s="5" t="s">
        <v>52</v>
      </c>
      <c r="F3267" s="5" t="s">
        <v>9170</v>
      </c>
      <c r="G3267" s="5" t="s">
        <v>152</v>
      </c>
      <c r="H3267" s="5" t="s">
        <v>9437</v>
      </c>
      <c r="I3267" s="5" t="s">
        <v>9475</v>
      </c>
      <c r="J3267" s="5" t="s">
        <v>9476</v>
      </c>
      <c r="K3267" s="7" t="str">
        <f ca="1">IFERROR(__xludf.DUMMYFUNCTION("GOOGLETRANSLATE(H3267,""EN"",""ES"")"),"MAQUINARIA DE CONSTRUCCIÓN Y MINERÍA")</f>
        <v>MAQUINARIA DE CONSTRUCCIÓN Y MINERÍA</v>
      </c>
      <c r="L3267" s="5" t="str">
        <f ca="1">IFERROR(__xludf.DUMMYFUNCTION("GOOGLETRANSLATE(J3267,""EN"",""ES"")"),"Máquinas para hacer carreteras")</f>
        <v>Máquinas para hacer carreteras</v>
      </c>
      <c r="M3267" s="8" t="s">
        <v>53</v>
      </c>
      <c r="N3267" s="8"/>
    </row>
    <row r="3268" spans="1:14" ht="11.25" customHeight="1">
      <c r="A3268" s="5" t="s">
        <v>9166</v>
      </c>
      <c r="B3268" s="5" t="s">
        <v>9435</v>
      </c>
      <c r="C3268" s="5" t="s">
        <v>9477</v>
      </c>
      <c r="D3268" s="5" t="s">
        <v>9169</v>
      </c>
      <c r="E3268" s="5" t="s">
        <v>52</v>
      </c>
      <c r="F3268" s="5" t="s">
        <v>9170</v>
      </c>
      <c r="G3268" s="5" t="s">
        <v>152</v>
      </c>
      <c r="H3268" s="5" t="s">
        <v>9437</v>
      </c>
      <c r="I3268" s="5" t="s">
        <v>9478</v>
      </c>
      <c r="J3268" s="5" t="s">
        <v>9479</v>
      </c>
      <c r="K3268" s="7" t="str">
        <f ca="1">IFERROR(__xludf.DUMMYFUNCTION("GOOGLETRANSLATE(H3268,""EN"",""ES"")"),"MAQUINARIA DE CONSTRUCCIÓN Y MINERÍA")</f>
        <v>MAQUINARIA DE CONSTRUCCIÓN Y MINERÍA</v>
      </c>
      <c r="L3268" s="5" t="str">
        <f ca="1">IFERROR(__xludf.DUMMYFUNCTION("GOOGLETRANSLATE(J3268,""EN"",""ES"")"),"Cucharones de excavadora")</f>
        <v>Cucharones de excavadora</v>
      </c>
      <c r="M3268" s="8" t="s">
        <v>53</v>
      </c>
      <c r="N3268" s="8"/>
    </row>
    <row r="3269" spans="1:14" ht="11.25" customHeight="1">
      <c r="A3269" s="5" t="s">
        <v>9166</v>
      </c>
      <c r="B3269" s="5" t="s">
        <v>9435</v>
      </c>
      <c r="C3269" s="5" t="s">
        <v>9480</v>
      </c>
      <c r="D3269" s="5" t="s">
        <v>9169</v>
      </c>
      <c r="E3269" s="5" t="s">
        <v>52</v>
      </c>
      <c r="F3269" s="5" t="s">
        <v>9170</v>
      </c>
      <c r="G3269" s="5" t="s">
        <v>152</v>
      </c>
      <c r="H3269" s="5" t="s">
        <v>9437</v>
      </c>
      <c r="I3269" s="5" t="s">
        <v>9481</v>
      </c>
      <c r="J3269" s="5" t="s">
        <v>9482</v>
      </c>
      <c r="K3269" s="7" t="str">
        <f ca="1">IFERROR(__xludf.DUMMYFUNCTION("GOOGLETRANSLATE(H3269,""EN"",""ES"")"),"MAQUINARIA DE CONSTRUCCIÓN Y MINERÍA")</f>
        <v>MAQUINARIA DE CONSTRUCCIÓN Y MINERÍA</v>
      </c>
      <c r="L3269" s="5" t="str">
        <f ca="1">IFERROR(__xludf.DUMMYFUNCTION("GOOGLETRANSLATE(J3269,""EN"",""ES"")"),"Cucharones de draga")</f>
        <v>Cucharones de draga</v>
      </c>
      <c r="M3269" s="8" t="s">
        <v>53</v>
      </c>
      <c r="N3269" s="8"/>
    </row>
    <row r="3270" spans="1:14" ht="11.25" customHeight="1">
      <c r="A3270" s="5" t="s">
        <v>9166</v>
      </c>
      <c r="B3270" s="5" t="s">
        <v>9435</v>
      </c>
      <c r="C3270" s="5" t="s">
        <v>9483</v>
      </c>
      <c r="D3270" s="5" t="s">
        <v>9169</v>
      </c>
      <c r="E3270" s="5" t="s">
        <v>52</v>
      </c>
      <c r="F3270" s="5" t="s">
        <v>9170</v>
      </c>
      <c r="G3270" s="5" t="s">
        <v>152</v>
      </c>
      <c r="H3270" s="5" t="s">
        <v>9437</v>
      </c>
      <c r="I3270" s="5" t="s">
        <v>9484</v>
      </c>
      <c r="J3270" s="5" t="s">
        <v>9485</v>
      </c>
      <c r="K3270" s="7" t="str">
        <f ca="1">IFERROR(__xludf.DUMMYFUNCTION("GOOGLETRANSLATE(H3270,""EN"",""ES"")"),"MAQUINARIA DE CONSTRUCCIÓN Y MINERÍA")</f>
        <v>MAQUINARIA DE CONSTRUCCIÓN Y MINERÍA</v>
      </c>
      <c r="L3270" s="5" t="str">
        <f ca="1">IFERROR(__xludf.DUMMYFUNCTION("GOOGLETRANSLATE(J3270,""EN"",""ES"")"),"Apisonadoras [motorizadas]")</f>
        <v>Apisonadoras [motorizadas]</v>
      </c>
      <c r="M3270" s="8" t="s">
        <v>53</v>
      </c>
      <c r="N3270" s="8"/>
    </row>
    <row r="3271" spans="1:14" ht="11.25" customHeight="1">
      <c r="A3271" s="5" t="s">
        <v>9166</v>
      </c>
      <c r="B3271" s="5" t="s">
        <v>9435</v>
      </c>
      <c r="C3271" s="5" t="s">
        <v>9486</v>
      </c>
      <c r="D3271" s="5" t="s">
        <v>9169</v>
      </c>
      <c r="E3271" s="5" t="s">
        <v>52</v>
      </c>
      <c r="F3271" s="5" t="s">
        <v>9170</v>
      </c>
      <c r="G3271" s="5" t="s">
        <v>152</v>
      </c>
      <c r="H3271" s="5" t="s">
        <v>9437</v>
      </c>
      <c r="I3271" s="5" t="s">
        <v>9487</v>
      </c>
      <c r="J3271" s="5" t="s">
        <v>9488</v>
      </c>
      <c r="K3271" s="7" t="str">
        <f ca="1">IFERROR(__xludf.DUMMYFUNCTION("GOOGLETRANSLATE(H3271,""EN"",""ES"")"),"MAQUINARIA DE CONSTRUCCIÓN Y MINERÍA")</f>
        <v>MAQUINARIA DE CONSTRUCCIÓN Y MINERÍA</v>
      </c>
      <c r="L3271" s="5" t="str">
        <f ca="1">IFERROR(__xludf.DUMMYFUNCTION("GOOGLETRANSLATE(J3271,""EN"",""ES"")"),"Trituradoras")</f>
        <v>Trituradoras</v>
      </c>
      <c r="M3271" s="8" t="s">
        <v>53</v>
      </c>
      <c r="N3271" s="8"/>
    </row>
    <row r="3272" spans="1:14" ht="11.25" customHeight="1">
      <c r="A3272" s="5" t="s">
        <v>9166</v>
      </c>
      <c r="B3272" s="5" t="s">
        <v>9435</v>
      </c>
      <c r="C3272" s="5" t="s">
        <v>9489</v>
      </c>
      <c r="D3272" s="5" t="s">
        <v>9169</v>
      </c>
      <c r="E3272" s="5" t="s">
        <v>52</v>
      </c>
      <c r="F3272" s="5" t="s">
        <v>9170</v>
      </c>
      <c r="G3272" s="5" t="s">
        <v>152</v>
      </c>
      <c r="H3272" s="5" t="s">
        <v>9437</v>
      </c>
      <c r="I3272" s="5" t="s">
        <v>9490</v>
      </c>
      <c r="J3272" s="5" t="s">
        <v>9491</v>
      </c>
      <c r="K3272" s="7" t="str">
        <f ca="1">IFERROR(__xludf.DUMMYFUNCTION("GOOGLETRANSLATE(H3272,""EN"",""ES"")"),"MAQUINARIA DE CONSTRUCCIÓN Y MINERÍA")</f>
        <v>MAQUINARIA DE CONSTRUCCIÓN Y MINERÍA</v>
      </c>
      <c r="L3272" s="5" t="str">
        <f ca="1">IFERROR(__xludf.DUMMYFUNCTION("GOOGLETRANSLATE(J3272,""EN"",""ES"")"),"trituradoras de mineral")</f>
        <v>trituradoras de mineral</v>
      </c>
      <c r="M3272" s="8" t="s">
        <v>53</v>
      </c>
      <c r="N3272" s="8"/>
    </row>
    <row r="3273" spans="1:14" ht="11.25" customHeight="1">
      <c r="A3273" s="5" t="s">
        <v>9166</v>
      </c>
      <c r="B3273" s="5" t="s">
        <v>9435</v>
      </c>
      <c r="C3273" s="5" t="s">
        <v>9492</v>
      </c>
      <c r="D3273" s="5" t="s">
        <v>9169</v>
      </c>
      <c r="E3273" s="5" t="s">
        <v>52</v>
      </c>
      <c r="F3273" s="5" t="s">
        <v>9170</v>
      </c>
      <c r="G3273" s="5" t="s">
        <v>152</v>
      </c>
      <c r="H3273" s="5" t="s">
        <v>9437</v>
      </c>
      <c r="I3273" s="5" t="s">
        <v>9493</v>
      </c>
      <c r="J3273" s="5" t="s">
        <v>9494</v>
      </c>
      <c r="K3273" s="7" t="str">
        <f ca="1">IFERROR(__xludf.DUMMYFUNCTION("GOOGLETRANSLATE(H3273,""EN"",""ES"")"),"MAQUINARIA DE CONSTRUCCIÓN Y MINERÍA")</f>
        <v>MAQUINARIA DE CONSTRUCCIÓN Y MINERÍA</v>
      </c>
      <c r="L3273" s="5" t="str">
        <f ca="1">IFERROR(__xludf.DUMMYFUNCTION("GOOGLETRANSLATE(J3273,""EN"",""ES"")"),"Separadores de mineral")</f>
        <v>Separadores de mineral</v>
      </c>
      <c r="M3273" s="8" t="s">
        <v>53</v>
      </c>
      <c r="N3273" s="8"/>
    </row>
    <row r="3274" spans="1:14" ht="11.25" customHeight="1">
      <c r="A3274" s="5" t="s">
        <v>9166</v>
      </c>
      <c r="B3274" s="5" t="s">
        <v>9435</v>
      </c>
      <c r="C3274" s="5" t="s">
        <v>9492</v>
      </c>
      <c r="D3274" s="5" t="s">
        <v>9169</v>
      </c>
      <c r="E3274" s="5" t="s">
        <v>52</v>
      </c>
      <c r="F3274" s="5" t="s">
        <v>9170</v>
      </c>
      <c r="G3274" s="5" t="s">
        <v>152</v>
      </c>
      <c r="H3274" s="5" t="s">
        <v>9437</v>
      </c>
      <c r="I3274" s="5" t="s">
        <v>152</v>
      </c>
      <c r="J3274" s="5" t="s">
        <v>9495</v>
      </c>
      <c r="K3274" s="7" t="str">
        <f ca="1">IFERROR(__xludf.DUMMYFUNCTION("GOOGLETRANSLATE(H3274,""EN"",""ES"")"),"MAQUINARIA DE CONSTRUCCIÓN Y MINERÍA")</f>
        <v>MAQUINARIA DE CONSTRUCCIÓN Y MINERÍA</v>
      </c>
      <c r="L3274" s="5" t="str">
        <f ca="1">IFERROR(__xludf.DUMMYFUNCTION("GOOGLETRANSLATE(J3274,""EN"",""ES"")"),"N / A")</f>
        <v>N / A</v>
      </c>
      <c r="M3274" s="8" t="s">
        <v>53</v>
      </c>
      <c r="N3274" s="8"/>
    </row>
    <row r="3275" spans="1:14" ht="11.25" customHeight="1">
      <c r="A3275" s="5" t="s">
        <v>9166</v>
      </c>
      <c r="B3275" s="5" t="s">
        <v>9435</v>
      </c>
      <c r="C3275" s="5" t="s">
        <v>9496</v>
      </c>
      <c r="D3275" s="5" t="s">
        <v>9169</v>
      </c>
      <c r="E3275" s="5" t="s">
        <v>52</v>
      </c>
      <c r="F3275" s="5" t="s">
        <v>9170</v>
      </c>
      <c r="G3275" s="5" t="s">
        <v>152</v>
      </c>
      <c r="H3275" s="5" t="s">
        <v>9437</v>
      </c>
      <c r="I3275" s="5" t="s">
        <v>9497</v>
      </c>
      <c r="J3275" s="5" t="s">
        <v>9498</v>
      </c>
      <c r="K3275" s="7" t="str">
        <f ca="1">IFERROR(__xludf.DUMMYFUNCTION("GOOGLETRANSLATE(H3275,""EN"",""ES"")"),"MAQUINARIA DE CONSTRUCCIÓN Y MINERÍA")</f>
        <v>MAQUINARIA DE CONSTRUCCIÓN Y MINERÍA</v>
      </c>
      <c r="L3275" s="5" t="str">
        <f ca="1">IFERROR(__xludf.DUMMYFUNCTION("GOOGLETRANSLATE(J3275,""EN"",""ES"")"),"taladros de roca")</f>
        <v>taladros de roca</v>
      </c>
      <c r="M3275" s="8" t="s">
        <v>53</v>
      </c>
      <c r="N3275" s="8"/>
    </row>
    <row r="3276" spans="1:14" ht="11.25" customHeight="1">
      <c r="A3276" s="5" t="s">
        <v>9166</v>
      </c>
      <c r="B3276" s="5" t="s">
        <v>9435</v>
      </c>
      <c r="C3276" s="5" t="s">
        <v>9499</v>
      </c>
      <c r="D3276" s="5" t="s">
        <v>9169</v>
      </c>
      <c r="E3276" s="5" t="s">
        <v>52</v>
      </c>
      <c r="F3276" s="5" t="s">
        <v>9170</v>
      </c>
      <c r="G3276" s="5" t="s">
        <v>152</v>
      </c>
      <c r="H3276" s="5" t="s">
        <v>9437</v>
      </c>
      <c r="I3276" s="5" t="s">
        <v>9500</v>
      </c>
      <c r="J3276" s="5" t="s">
        <v>9501</v>
      </c>
      <c r="K3276" s="7" t="str">
        <f ca="1">IFERROR(__xludf.DUMMYFUNCTION("GOOGLETRANSLATE(H3276,""EN"",""ES"")"),"MAQUINARIA DE CONSTRUCCIÓN Y MINERÍA")</f>
        <v>MAQUINARIA DE CONSTRUCCIÓN Y MINERÍA</v>
      </c>
      <c r="L3276" s="5" t="str">
        <f ca="1">IFERROR(__xludf.DUMMYFUNCTION("GOOGLETRANSLATE(J3276,""EN"",""ES"")"),"Máquinas bobinadoras [minería]")</f>
        <v>Máquinas bobinadoras [minería]</v>
      </c>
      <c r="M3276" s="8" t="s">
        <v>53</v>
      </c>
      <c r="N3276" s="8"/>
    </row>
    <row r="3277" spans="1:14" ht="11.25" customHeight="1">
      <c r="A3277" s="5" t="s">
        <v>9166</v>
      </c>
      <c r="B3277" s="5" t="s">
        <v>9435</v>
      </c>
      <c r="C3277" s="5" t="s">
        <v>9502</v>
      </c>
      <c r="D3277" s="5" t="s">
        <v>9169</v>
      </c>
      <c r="E3277" s="5" t="s">
        <v>52</v>
      </c>
      <c r="F3277" s="5" t="s">
        <v>9170</v>
      </c>
      <c r="G3277" s="5" t="s">
        <v>152</v>
      </c>
      <c r="H3277" s="5" t="s">
        <v>9437</v>
      </c>
      <c r="I3277" s="5" t="s">
        <v>9503</v>
      </c>
      <c r="J3277" s="5" t="s">
        <v>9504</v>
      </c>
      <c r="K3277" s="7" t="str">
        <f ca="1">IFERROR(__xludf.DUMMYFUNCTION("GOOGLETRANSLATE(H3277,""EN"",""ES"")"),"MAQUINARIA DE CONSTRUCCIÓN Y MINERÍA")</f>
        <v>MAQUINARIA DE CONSTRUCCIÓN Y MINERÍA</v>
      </c>
      <c r="L3277" s="5" t="str">
        <f ca="1">IFERROR(__xludf.DUMMYFUNCTION("GOOGLETRANSLATE(J3277,""EN"",""ES"")"),"Aparato para perforar el suelo.")</f>
        <v>Aparato para perforar el suelo.</v>
      </c>
      <c r="M3277" s="8" t="s">
        <v>53</v>
      </c>
      <c r="N3277" s="8"/>
    </row>
    <row r="3278" spans="1:14" ht="11.25" customHeight="1">
      <c r="A3278" s="5" t="s">
        <v>9166</v>
      </c>
      <c r="B3278" s="5" t="s">
        <v>9435</v>
      </c>
      <c r="C3278" s="5" t="s">
        <v>9505</v>
      </c>
      <c r="D3278" s="5" t="s">
        <v>9169</v>
      </c>
      <c r="E3278" s="5" t="s">
        <v>52</v>
      </c>
      <c r="F3278" s="5" t="s">
        <v>9170</v>
      </c>
      <c r="G3278" s="5" t="s">
        <v>152</v>
      </c>
      <c r="H3278" s="5" t="s">
        <v>9437</v>
      </c>
      <c r="I3278" s="5" t="s">
        <v>9506</v>
      </c>
      <c r="J3278" s="5" t="s">
        <v>9507</v>
      </c>
      <c r="K3278" s="7" t="str">
        <f ca="1">IFERROR(__xludf.DUMMYFUNCTION("GOOGLETRANSLATE(H3278,""EN"",""ES"")"),"MAQUINARIA DE CONSTRUCCIÓN Y MINERÍA")</f>
        <v>MAQUINARIA DE CONSTRUCCIÓN Y MINERÍA</v>
      </c>
      <c r="L3278" s="5" t="str">
        <f ca="1">IFERROR(__xludf.DUMMYFUNCTION("GOOGLETRANSLATE(J3278,""EN"",""ES"")"),"Perforadoras de roca [máquinas]")</f>
        <v>Perforadoras de roca [máquinas]</v>
      </c>
      <c r="M3278" s="8" t="s">
        <v>53</v>
      </c>
      <c r="N3278" s="8"/>
    </row>
    <row r="3279" spans="1:14" ht="11.25" customHeight="1">
      <c r="A3279" s="5" t="s">
        <v>9166</v>
      </c>
      <c r="B3279" s="5" t="s">
        <v>9435</v>
      </c>
      <c r="C3279" s="5" t="s">
        <v>9505</v>
      </c>
      <c r="D3279" s="5" t="s">
        <v>9169</v>
      </c>
      <c r="E3279" s="5" t="s">
        <v>52</v>
      </c>
      <c r="F3279" s="5" t="s">
        <v>9170</v>
      </c>
      <c r="G3279" s="5" t="s">
        <v>152</v>
      </c>
      <c r="H3279" s="5" t="s">
        <v>9437</v>
      </c>
      <c r="I3279" s="5" t="s">
        <v>152</v>
      </c>
      <c r="J3279" s="5" t="s">
        <v>9508</v>
      </c>
      <c r="K3279" s="7" t="str">
        <f ca="1">IFERROR(__xludf.DUMMYFUNCTION("GOOGLETRANSLATE(H3279,""EN"",""ES"")"),"MAQUINARIA DE CONSTRUCCIÓN Y MINERÍA")</f>
        <v>MAQUINARIA DE CONSTRUCCIÓN Y MINERÍA</v>
      </c>
      <c r="L3279" s="5" t="str">
        <f ca="1">IFERROR(__xludf.DUMMYFUNCTION("GOOGLETRANSLATE(J3279,""EN"",""ES"")"),"N / A")</f>
        <v>N / A</v>
      </c>
      <c r="M3279" s="8" t="s">
        <v>53</v>
      </c>
      <c r="N3279" s="8"/>
    </row>
    <row r="3280" spans="1:14" ht="11.25" customHeight="1">
      <c r="A3280" s="5" t="s">
        <v>9166</v>
      </c>
      <c r="B3280" s="5" t="s">
        <v>9509</v>
      </c>
      <c r="C3280" s="5" t="s">
        <v>9510</v>
      </c>
      <c r="D3280" s="5" t="s">
        <v>9169</v>
      </c>
      <c r="E3280" s="5" t="s">
        <v>52</v>
      </c>
      <c r="F3280" s="5" t="s">
        <v>9170</v>
      </c>
      <c r="G3280" s="5" t="s">
        <v>152</v>
      </c>
      <c r="H3280" s="5" t="s">
        <v>9511</v>
      </c>
      <c r="I3280" s="5" t="s">
        <v>9512</v>
      </c>
      <c r="J3280" s="5" t="s">
        <v>9513</v>
      </c>
      <c r="K3280" s="7" t="str">
        <f ca="1">IFERROR(__xludf.DUMMYFUNCTION("GOOGLETRANSLATE(H3280,""EN"",""ES"")"),"MÁQUINAS DE LAVADO, LIMPIEZA Y SECADO")</f>
        <v>MÁQUINAS DE LAVADO, LIMPIEZA Y SECADO</v>
      </c>
      <c r="L3280" s="5" t="str">
        <f ca="1">IFERROR(__xludf.DUMMYFUNCTION("GOOGLETRANSLATE(J3280,""EN"",""ES"")"),"Armarios de secado")</f>
        <v>Armarios de secado</v>
      </c>
      <c r="M3280" s="8" t="s">
        <v>54</v>
      </c>
      <c r="N3280" s="8"/>
    </row>
    <row r="3281" spans="1:14" ht="11.25" customHeight="1">
      <c r="A3281" s="5" t="s">
        <v>9166</v>
      </c>
      <c r="B3281" s="5" t="s">
        <v>9509</v>
      </c>
      <c r="C3281" s="5" t="s">
        <v>9514</v>
      </c>
      <c r="D3281" s="5" t="s">
        <v>9169</v>
      </c>
      <c r="E3281" s="5" t="s">
        <v>52</v>
      </c>
      <c r="F3281" s="5" t="s">
        <v>9170</v>
      </c>
      <c r="G3281" s="5" t="s">
        <v>152</v>
      </c>
      <c r="H3281" s="5" t="s">
        <v>9511</v>
      </c>
      <c r="I3281" s="5" t="s">
        <v>9515</v>
      </c>
      <c r="J3281" s="5" t="s">
        <v>9516</v>
      </c>
      <c r="K3281" s="7" t="str">
        <f ca="1">IFERROR(__xludf.DUMMYFUNCTION("GOOGLETRANSLATE(H3281,""EN"",""ES"")"),"MÁQUINAS DE LAVADO, LIMPIEZA Y SECADO")</f>
        <v>MÁQUINAS DE LAVADO, LIMPIEZA Y SECADO</v>
      </c>
      <c r="L3281" s="5" t="str">
        <f ca="1">IFERROR(__xludf.DUMMYFUNCTION("GOOGLETRANSLATE(J3281,""EN"",""ES"")"),"Aspiradoras [industriales o domésticas]")</f>
        <v>Aspiradoras [industriales o domésticas]</v>
      </c>
      <c r="M3281" s="8" t="s">
        <v>54</v>
      </c>
      <c r="N3281" s="8"/>
    </row>
    <row r="3282" spans="1:14" ht="11.25" customHeight="1">
      <c r="A3282" s="5" t="s">
        <v>9166</v>
      </c>
      <c r="B3282" s="5" t="s">
        <v>9509</v>
      </c>
      <c r="C3282" s="5" t="s">
        <v>9517</v>
      </c>
      <c r="D3282" s="5" t="s">
        <v>9169</v>
      </c>
      <c r="E3282" s="5" t="s">
        <v>52</v>
      </c>
      <c r="F3282" s="5" t="s">
        <v>9170</v>
      </c>
      <c r="G3282" s="5" t="s">
        <v>152</v>
      </c>
      <c r="H3282" s="5" t="s">
        <v>9511</v>
      </c>
      <c r="I3282" s="5" t="s">
        <v>9518</v>
      </c>
      <c r="J3282" s="5" t="s">
        <v>9519</v>
      </c>
      <c r="K3282" s="7" t="str">
        <f ca="1">IFERROR(__xludf.DUMMYFUNCTION("GOOGLETRANSLATE(H3282,""EN"",""ES"")"),"MÁQUINAS DE LAVADO, LIMPIEZA Y SECADO")</f>
        <v>MÁQUINAS DE LAVADO, LIMPIEZA Y SECADO</v>
      </c>
      <c r="L3282" s="5" t="str">
        <f ca="1">IFERROR(__xludf.DUMMYFUNCTION("GOOGLETRANSLATE(J3282,""EN"",""ES"")"),"Aspiradoras batidoras de alfombras")</f>
        <v>Aspiradoras batidoras de alfombras</v>
      </c>
      <c r="M3282" s="8" t="s">
        <v>54</v>
      </c>
      <c r="N3282" s="8"/>
    </row>
    <row r="3283" spans="1:14" ht="11.25" customHeight="1">
      <c r="A3283" s="5" t="s">
        <v>9166</v>
      </c>
      <c r="B3283" s="5" t="s">
        <v>9509</v>
      </c>
      <c r="C3283" s="5" t="s">
        <v>9520</v>
      </c>
      <c r="D3283" s="5" t="s">
        <v>9169</v>
      </c>
      <c r="E3283" s="5" t="s">
        <v>52</v>
      </c>
      <c r="F3283" s="5" t="s">
        <v>9170</v>
      </c>
      <c r="G3283" s="5" t="s">
        <v>152</v>
      </c>
      <c r="H3283" s="5" t="s">
        <v>9511</v>
      </c>
      <c r="I3283" s="5" t="s">
        <v>9521</v>
      </c>
      <c r="J3283" s="5" t="s">
        <v>9522</v>
      </c>
      <c r="K3283" s="7" t="str">
        <f ca="1">IFERROR(__xludf.DUMMYFUNCTION("GOOGLETRANSLATE(H3283,""EN"",""ES"")"),"MÁQUINAS DE LAVADO, LIMPIEZA Y SECADO")</f>
        <v>MÁQUINAS DE LAVADO, LIMPIEZA Y SECADO</v>
      </c>
      <c r="L3283" s="5" t="str">
        <f ca="1">IFERROR(__xludf.DUMMYFUNCTION("GOOGLETRANSLATE(J3283,""EN"",""ES"")"),"Instalaciones de lavado para automóviles.")</f>
        <v>Instalaciones de lavado para automóviles.</v>
      </c>
      <c r="M3283" s="8" t="s">
        <v>54</v>
      </c>
      <c r="N3283" s="8"/>
    </row>
    <row r="3284" spans="1:14" ht="11.25" customHeight="1">
      <c r="A3284" s="5" t="s">
        <v>9166</v>
      </c>
      <c r="B3284" s="5" t="s">
        <v>9509</v>
      </c>
      <c r="C3284" s="5" t="s">
        <v>9523</v>
      </c>
      <c r="D3284" s="5" t="s">
        <v>9169</v>
      </c>
      <c r="E3284" s="5" t="s">
        <v>52</v>
      </c>
      <c r="F3284" s="5" t="s">
        <v>9170</v>
      </c>
      <c r="G3284" s="5" t="s">
        <v>152</v>
      </c>
      <c r="H3284" s="5" t="s">
        <v>9511</v>
      </c>
      <c r="I3284" s="5" t="s">
        <v>9524</v>
      </c>
      <c r="J3284" s="5" t="s">
        <v>9525</v>
      </c>
      <c r="K3284" s="7" t="str">
        <f ca="1">IFERROR(__xludf.DUMMYFUNCTION("GOOGLETRANSLATE(H3284,""EN"",""ES"")"),"MÁQUINAS DE LAVADO, LIMPIEZA Y SECADO")</f>
        <v>MÁQUINAS DE LAVADO, LIMPIEZA Y SECADO</v>
      </c>
      <c r="L3284" s="5" t="str">
        <f ca="1">IFERROR(__xludf.DUMMYFUNCTION("GOOGLETRANSLATE(J3284,""EN"",""ES"")"),"Aparatos de lavandería")</f>
        <v>Aparatos de lavandería</v>
      </c>
      <c r="M3284" s="8" t="s">
        <v>54</v>
      </c>
      <c r="N3284" s="8"/>
    </row>
    <row r="3285" spans="1:14" ht="11.25" customHeight="1">
      <c r="A3285" s="5" t="s">
        <v>9166</v>
      </c>
      <c r="B3285" s="5" t="s">
        <v>9509</v>
      </c>
      <c r="C3285" s="5" t="s">
        <v>9526</v>
      </c>
      <c r="D3285" s="5" t="s">
        <v>9169</v>
      </c>
      <c r="E3285" s="5" t="s">
        <v>52</v>
      </c>
      <c r="F3285" s="5" t="s">
        <v>9170</v>
      </c>
      <c r="G3285" s="5" t="s">
        <v>152</v>
      </c>
      <c r="H3285" s="5" t="s">
        <v>9511</v>
      </c>
      <c r="I3285" s="5" t="s">
        <v>9527</v>
      </c>
      <c r="J3285" s="5" t="s">
        <v>9528</v>
      </c>
      <c r="K3285" s="7" t="str">
        <f ca="1">IFERROR(__xludf.DUMMYFUNCTION("GOOGLETRANSLATE(H3285,""EN"",""ES"")"),"MÁQUINAS DE LAVADO, LIMPIEZA Y SECADO")</f>
        <v>MÁQUINAS DE LAVADO, LIMPIEZA Y SECADO</v>
      </c>
      <c r="L3285" s="5" t="str">
        <f ca="1">IFERROR(__xludf.DUMMYFUNCTION("GOOGLETRANSLATE(J3285,""EN"",""ES"")"),"Cepilladoras para zapatos")</f>
        <v>Cepilladoras para zapatos</v>
      </c>
      <c r="M3285" s="8" t="s">
        <v>54</v>
      </c>
      <c r="N3285" s="8"/>
    </row>
    <row r="3286" spans="1:14" ht="11.25" customHeight="1">
      <c r="A3286" s="5" t="s">
        <v>9166</v>
      </c>
      <c r="B3286" s="5" t="s">
        <v>9509</v>
      </c>
      <c r="C3286" s="5" t="s">
        <v>9529</v>
      </c>
      <c r="D3286" s="5" t="s">
        <v>9169</v>
      </c>
      <c r="E3286" s="5" t="s">
        <v>52</v>
      </c>
      <c r="F3286" s="5" t="s">
        <v>9170</v>
      </c>
      <c r="G3286" s="5" t="s">
        <v>152</v>
      </c>
      <c r="H3286" s="5" t="s">
        <v>9511</v>
      </c>
      <c r="I3286" s="5" t="s">
        <v>9530</v>
      </c>
      <c r="J3286" s="5" t="s">
        <v>9531</v>
      </c>
      <c r="K3286" s="7" t="str">
        <f ca="1">IFERROR(__xludf.DUMMYFUNCTION("GOOGLETRANSLATE(H3286,""EN"",""ES"")"),"MÁQUINAS DE LAVADO, LIMPIEZA Y SECADO")</f>
        <v>MÁQUINAS DE LAVADO, LIMPIEZA Y SECADO</v>
      </c>
      <c r="L3286" s="5" t="str">
        <f ca="1">IFERROR(__xludf.DUMMYFUNCTION("GOOGLETRANSLATE(J3286,""EN"",""ES"")"),"mangles")</f>
        <v>mangles</v>
      </c>
      <c r="M3286" s="8" t="s">
        <v>54</v>
      </c>
      <c r="N3286" s="8"/>
    </row>
    <row r="3287" spans="1:14" ht="11.25" customHeight="1">
      <c r="A3287" s="5" t="s">
        <v>9166</v>
      </c>
      <c r="B3287" s="5" t="s">
        <v>9509</v>
      </c>
      <c r="C3287" s="5" t="s">
        <v>9532</v>
      </c>
      <c r="D3287" s="5" t="s">
        <v>9169</v>
      </c>
      <c r="E3287" s="5" t="s">
        <v>52</v>
      </c>
      <c r="F3287" s="5" t="s">
        <v>9170</v>
      </c>
      <c r="G3287" s="5" t="s">
        <v>152</v>
      </c>
      <c r="H3287" s="5" t="s">
        <v>9511</v>
      </c>
      <c r="I3287" s="5" t="s">
        <v>9533</v>
      </c>
      <c r="J3287" s="5" t="s">
        <v>9534</v>
      </c>
      <c r="K3287" s="7" t="str">
        <f ca="1">IFERROR(__xludf.DUMMYFUNCTION("GOOGLETRANSLATE(H3287,""EN"",""ES"")"),"MÁQUINAS DE LAVADO, LIMPIEZA Y SECADO")</f>
        <v>MÁQUINAS DE LAVADO, LIMPIEZA Y SECADO</v>
      </c>
      <c r="L3287" s="5" t="str">
        <f ca="1">IFERROR(__xludf.DUMMYFUNCTION("GOOGLETRANSLATE(J3287,""EN"",""ES"")"),"Pulidoras de suelos eléctricas")</f>
        <v>Pulidoras de suelos eléctricas</v>
      </c>
      <c r="M3287" s="8" t="s">
        <v>54</v>
      </c>
      <c r="N3287" s="8"/>
    </row>
    <row r="3288" spans="1:14" ht="11.25" customHeight="1">
      <c r="A3288" s="5" t="s">
        <v>9166</v>
      </c>
      <c r="B3288" s="5" t="s">
        <v>9509</v>
      </c>
      <c r="C3288" s="5" t="s">
        <v>9535</v>
      </c>
      <c r="D3288" s="5" t="s">
        <v>9169</v>
      </c>
      <c r="E3288" s="5" t="s">
        <v>52</v>
      </c>
      <c r="F3288" s="5" t="s">
        <v>9170</v>
      </c>
      <c r="G3288" s="5" t="s">
        <v>152</v>
      </c>
      <c r="H3288" s="5" t="s">
        <v>9511</v>
      </c>
      <c r="I3288" s="5" t="s">
        <v>9536</v>
      </c>
      <c r="J3288" s="5" t="s">
        <v>9537</v>
      </c>
      <c r="K3288" s="7" t="str">
        <f ca="1">IFERROR(__xludf.DUMMYFUNCTION("GOOGLETRANSLATE(H3288,""EN"",""ES"")"),"MÁQUINAS DE LAVADO, LIMPIEZA Y SECADO")</f>
        <v>MÁQUINAS DE LAVADO, LIMPIEZA Y SECADO</v>
      </c>
      <c r="L3288" s="5" t="str">
        <f ca="1">IFERROR(__xludf.DUMMYFUNCTION("GOOGLETRANSLATE(J3288,""EN"",""ES"")"),"Rejillas para platos para lavavajillas [máquinas]")</f>
        <v>Rejillas para platos para lavavajillas [máquinas]</v>
      </c>
      <c r="M3288" s="8" t="s">
        <v>54</v>
      </c>
      <c r="N3288" s="8"/>
    </row>
    <row r="3289" spans="1:14" ht="11.25" customHeight="1">
      <c r="A3289" s="5" t="s">
        <v>9166</v>
      </c>
      <c r="B3289" s="5" t="s">
        <v>9509</v>
      </c>
      <c r="C3289" s="5" t="s">
        <v>9538</v>
      </c>
      <c r="D3289" s="5" t="s">
        <v>9169</v>
      </c>
      <c r="E3289" s="5" t="s">
        <v>52</v>
      </c>
      <c r="F3289" s="5" t="s">
        <v>9170</v>
      </c>
      <c r="G3289" s="5" t="s">
        <v>152</v>
      </c>
      <c r="H3289" s="5" t="s">
        <v>9511</v>
      </c>
      <c r="I3289" s="5" t="s">
        <v>9539</v>
      </c>
      <c r="J3289" s="5" t="s">
        <v>9540</v>
      </c>
      <c r="K3289" s="7" t="str">
        <f ca="1">IFERROR(__xludf.DUMMYFUNCTION("GOOGLETRANSLATE(H3289,""EN"",""ES"")"),"MÁQUINAS DE LAVADO, LIMPIEZA Y SECADO")</f>
        <v>MÁQUINAS DE LAVADO, LIMPIEZA Y SECADO</v>
      </c>
      <c r="L3289" s="5" t="str">
        <f ca="1">IFERROR(__xludf.DUMMYFUNCTION("GOOGLETRANSLATE(J3289,""EN"",""ES"")"),"Máquinas de limpieza de alcantarillas")</f>
        <v>Máquinas de limpieza de alcantarillas</v>
      </c>
      <c r="M3289" s="8" t="s">
        <v>54</v>
      </c>
      <c r="N3289" s="8"/>
    </row>
    <row r="3290" spans="1:14" ht="11.25" customHeight="1">
      <c r="A3290" s="5" t="s">
        <v>9166</v>
      </c>
      <c r="B3290" s="5" t="s">
        <v>9509</v>
      </c>
      <c r="C3290" s="5" t="s">
        <v>9541</v>
      </c>
      <c r="D3290" s="5" t="s">
        <v>9169</v>
      </c>
      <c r="E3290" s="5" t="s">
        <v>52</v>
      </c>
      <c r="F3290" s="5" t="s">
        <v>9170</v>
      </c>
      <c r="G3290" s="5" t="s">
        <v>152</v>
      </c>
      <c r="H3290" s="5" t="s">
        <v>9511</v>
      </c>
      <c r="I3290" s="5" t="s">
        <v>9542</v>
      </c>
      <c r="J3290" s="5" t="s">
        <v>9543</v>
      </c>
      <c r="K3290" s="7" t="str">
        <f ca="1">IFERROR(__xludf.DUMMYFUNCTION("GOOGLETRANSLATE(H3290,""EN"",""ES"")"),"MÁQUINAS DE LAVADO, LIMPIEZA Y SECADO")</f>
        <v>MÁQUINAS DE LAVADO, LIMPIEZA Y SECADO</v>
      </c>
      <c r="L3290" s="5" t="str">
        <f ca="1">IFERROR(__xludf.DUMMYFUNCTION("GOOGLETRANSLATE(J3290,""EN"",""ES"")"),"Secadoras para lavandería")</f>
        <v>Secadoras para lavandería</v>
      </c>
      <c r="M3290" s="8" t="s">
        <v>54</v>
      </c>
      <c r="N3290" s="8"/>
    </row>
    <row r="3291" spans="1:14" ht="11.25" customHeight="1">
      <c r="A3291" s="5" t="s">
        <v>9166</v>
      </c>
      <c r="B3291" s="5" t="s">
        <v>9509</v>
      </c>
      <c r="C3291" s="5" t="s">
        <v>9544</v>
      </c>
      <c r="D3291" s="5" t="s">
        <v>9169</v>
      </c>
      <c r="E3291" s="5" t="s">
        <v>52</v>
      </c>
      <c r="F3291" s="5" t="s">
        <v>9170</v>
      </c>
      <c r="G3291" s="5" t="s">
        <v>152</v>
      </c>
      <c r="H3291" s="5" t="s">
        <v>9511</v>
      </c>
      <c r="I3291" s="5" t="s">
        <v>9545</v>
      </c>
      <c r="J3291" s="5" t="s">
        <v>9546</v>
      </c>
      <c r="K3291" s="7" t="str">
        <f ca="1">IFERROR(__xludf.DUMMYFUNCTION("GOOGLETRANSLATE(H3291,""EN"",""ES"")"),"MÁQUINAS DE LAVADO, LIMPIEZA Y SECADO")</f>
        <v>MÁQUINAS DE LAVADO, LIMPIEZA Y SECADO</v>
      </c>
      <c r="L3291" s="5" t="str">
        <f ca="1">IFERROR(__xludf.DUMMYFUNCTION("GOOGLETRANSLATE(J3291,""EN"",""ES"")"),"Lavavajillas [máquinas]")</f>
        <v>Lavavajillas [máquinas]</v>
      </c>
      <c r="M3291" s="8" t="s">
        <v>54</v>
      </c>
      <c r="N3291" s="8"/>
    </row>
    <row r="3292" spans="1:14" ht="11.25" customHeight="1">
      <c r="A3292" s="5" t="s">
        <v>9166</v>
      </c>
      <c r="B3292" s="5" t="s">
        <v>9509</v>
      </c>
      <c r="C3292" s="5" t="s">
        <v>9544</v>
      </c>
      <c r="D3292" s="5" t="s">
        <v>9169</v>
      </c>
      <c r="E3292" s="5" t="s">
        <v>52</v>
      </c>
      <c r="F3292" s="5" t="s">
        <v>9170</v>
      </c>
      <c r="G3292" s="5" t="s">
        <v>152</v>
      </c>
      <c r="H3292" s="5" t="s">
        <v>9511</v>
      </c>
      <c r="I3292" s="5" t="s">
        <v>152</v>
      </c>
      <c r="J3292" s="5" t="s">
        <v>9547</v>
      </c>
      <c r="K3292" s="7" t="str">
        <f ca="1">IFERROR(__xludf.DUMMYFUNCTION("GOOGLETRANSLATE(H3292,""EN"",""ES"")"),"MÁQUINAS DE LAVADO, LIMPIEZA Y SECADO")</f>
        <v>MÁQUINAS DE LAVADO, LIMPIEZA Y SECADO</v>
      </c>
      <c r="L3292" s="5" t="str">
        <f ca="1">IFERROR(__xludf.DUMMYFUNCTION("GOOGLETRANSLATE(J3292,""EN"",""ES"")"),"N / A")</f>
        <v>N / A</v>
      </c>
      <c r="M3292" s="8" t="s">
        <v>54</v>
      </c>
      <c r="N3292" s="8"/>
    </row>
    <row r="3293" spans="1:14" ht="11.25" customHeight="1">
      <c r="A3293" s="5" t="s">
        <v>9166</v>
      </c>
      <c r="B3293" s="5" t="s">
        <v>9509</v>
      </c>
      <c r="C3293" s="5" t="s">
        <v>9548</v>
      </c>
      <c r="D3293" s="5" t="s">
        <v>9169</v>
      </c>
      <c r="E3293" s="5" t="s">
        <v>52</v>
      </c>
      <c r="F3293" s="5" t="s">
        <v>9170</v>
      </c>
      <c r="G3293" s="5" t="s">
        <v>152</v>
      </c>
      <c r="H3293" s="5" t="s">
        <v>9511</v>
      </c>
      <c r="I3293" s="5" t="s">
        <v>9549</v>
      </c>
      <c r="J3293" s="5" t="s">
        <v>9550</v>
      </c>
      <c r="K3293" s="7" t="str">
        <f ca="1">IFERROR(__xludf.DUMMYFUNCTION("GOOGLETRANSLATE(H3293,""EN"",""ES"")"),"MÁQUINAS DE LAVADO, LIMPIEZA Y SECADO")</f>
        <v>MÁQUINAS DE LAVADO, LIMPIEZA Y SECADO</v>
      </c>
      <c r="L3293" s="5" t="str">
        <f ca="1">IFERROR(__xludf.DUMMYFUNCTION("GOOGLETRANSLATE(J3293,""EN"",""ES"")"),"Lavadoras")</f>
        <v>Lavadoras</v>
      </c>
      <c r="M3293" s="8" t="s">
        <v>54</v>
      </c>
      <c r="N3293" s="8"/>
    </row>
    <row r="3294" spans="1:14" ht="11.25" customHeight="1">
      <c r="A3294" s="5" t="s">
        <v>9166</v>
      </c>
      <c r="B3294" s="5" t="s">
        <v>9509</v>
      </c>
      <c r="C3294" s="5" t="s">
        <v>9551</v>
      </c>
      <c r="D3294" s="5" t="s">
        <v>9169</v>
      </c>
      <c r="E3294" s="5" t="s">
        <v>52</v>
      </c>
      <c r="F3294" s="5" t="s">
        <v>9170</v>
      </c>
      <c r="G3294" s="5" t="s">
        <v>152</v>
      </c>
      <c r="H3294" s="5" t="s">
        <v>9511</v>
      </c>
      <c r="I3294" s="5" t="s">
        <v>9552</v>
      </c>
      <c r="J3294" s="5" t="s">
        <v>9553</v>
      </c>
      <c r="K3294" s="7" t="str">
        <f ca="1">IFERROR(__xludf.DUMMYFUNCTION("GOOGLETRANSLATE(H3294,""EN"",""ES"")"),"MÁQUINAS DE LAVADO, LIMPIEZA Y SECADO")</f>
        <v>MÁQUINAS DE LAVADO, LIMPIEZA Y SECADO</v>
      </c>
      <c r="L3294" s="5" t="str">
        <f ca="1">IFERROR(__xludf.DUMMYFUNCTION("GOOGLETRANSLATE(J3294,""EN"",""ES"")"),"Lavadoras para lavar ropa")</f>
        <v>Lavadoras para lavar ropa</v>
      </c>
      <c r="M3294" s="8" t="s">
        <v>54</v>
      </c>
      <c r="N3294" s="8"/>
    </row>
    <row r="3295" spans="1:14" ht="11.25" customHeight="1">
      <c r="A3295" s="5" t="s">
        <v>9166</v>
      </c>
      <c r="B3295" s="5" t="s">
        <v>9509</v>
      </c>
      <c r="C3295" s="5" t="s">
        <v>9554</v>
      </c>
      <c r="D3295" s="5" t="s">
        <v>9169</v>
      </c>
      <c r="E3295" s="5" t="s">
        <v>52</v>
      </c>
      <c r="F3295" s="5" t="s">
        <v>9170</v>
      </c>
      <c r="G3295" s="5" t="s">
        <v>152</v>
      </c>
      <c r="H3295" s="5" t="s">
        <v>9511</v>
      </c>
      <c r="I3295" s="5" t="s">
        <v>9555</v>
      </c>
      <c r="J3295" s="5" t="s">
        <v>9556</v>
      </c>
      <c r="K3295" s="7" t="str">
        <f ca="1">IFERROR(__xludf.DUMMYFUNCTION("GOOGLETRANSLATE(H3295,""EN"",""ES"")"),"MÁQUINAS DE LAVADO, LIMPIEZA Y SECADO")</f>
        <v>MÁQUINAS DE LAVADO, LIMPIEZA Y SECADO</v>
      </c>
      <c r="L3295" s="5" t="str">
        <f ca="1">IFERROR(__xludf.DUMMYFUNCTION("GOOGLETRANSLATE(J3295,""EN"",""ES"")"),"Máquinas de limpieza de calzado")</f>
        <v>Máquinas de limpieza de calzado</v>
      </c>
      <c r="M3295" s="8" t="s">
        <v>54</v>
      </c>
      <c r="N3295" s="8"/>
    </row>
    <row r="3296" spans="1:14" ht="11.25" customHeight="1">
      <c r="A3296" s="5" t="s">
        <v>9166</v>
      </c>
      <c r="B3296" s="5" t="s">
        <v>9509</v>
      </c>
      <c r="C3296" s="5" t="s">
        <v>9557</v>
      </c>
      <c r="D3296" s="5" t="s">
        <v>9169</v>
      </c>
      <c r="E3296" s="5" t="s">
        <v>52</v>
      </c>
      <c r="F3296" s="5" t="s">
        <v>9170</v>
      </c>
      <c r="G3296" s="5" t="s">
        <v>152</v>
      </c>
      <c r="H3296" s="5" t="s">
        <v>9511</v>
      </c>
      <c r="I3296" s="5" t="s">
        <v>9558</v>
      </c>
      <c r="J3296" s="5" t="s">
        <v>9559</v>
      </c>
      <c r="K3296" s="7" t="str">
        <f ca="1">IFERROR(__xludf.DUMMYFUNCTION("GOOGLETRANSLATE(H3296,""EN"",""ES"")"),"MÁQUINAS DE LAVADO, LIMPIEZA Y SECADO")</f>
        <v>MÁQUINAS DE LAVADO, LIMPIEZA Y SECADO</v>
      </c>
      <c r="L3296" s="5" t="str">
        <f ca="1">IFERROR(__xludf.DUMMYFUNCTION("GOOGLETRANSLATE(J3296,""EN"",""ES"")"),"maquinas para limpiar pisos")</f>
        <v>maquinas para limpiar pisos</v>
      </c>
      <c r="M3296" s="8" t="s">
        <v>54</v>
      </c>
      <c r="N3296" s="8"/>
    </row>
    <row r="3297" spans="1:14" ht="11.25" customHeight="1">
      <c r="A3297" s="5" t="s">
        <v>9166</v>
      </c>
      <c r="B3297" s="5" t="s">
        <v>9509</v>
      </c>
      <c r="C3297" s="5" t="s">
        <v>9557</v>
      </c>
      <c r="D3297" s="5" t="s">
        <v>9169</v>
      </c>
      <c r="E3297" s="5" t="s">
        <v>52</v>
      </c>
      <c r="F3297" s="5" t="s">
        <v>9170</v>
      </c>
      <c r="G3297" s="5" t="s">
        <v>152</v>
      </c>
      <c r="H3297" s="5" t="s">
        <v>9511</v>
      </c>
      <c r="I3297" s="5" t="s">
        <v>9560</v>
      </c>
      <c r="J3297" s="5" t="s">
        <v>9561</v>
      </c>
      <c r="K3297" s="7" t="str">
        <f ca="1">IFERROR(__xludf.DUMMYFUNCTION("GOOGLETRANSLATE(H3297,""EN"",""ES"")"),"MÁQUINAS DE LAVADO, LIMPIEZA Y SECADO")</f>
        <v>MÁQUINAS DE LAVADO, LIMPIEZA Y SECADO</v>
      </c>
      <c r="L3297" s="5" t="str">
        <f ca="1">IFERROR(__xludf.DUMMYFUNCTION("GOOGLETRANSLATE(J3297,""EN"",""ES"")"),"Maquinas para limpiar pisos.")</f>
        <v>Maquinas para limpiar pisos.</v>
      </c>
      <c r="M3297" s="8" t="s">
        <v>54</v>
      </c>
      <c r="N3297" s="8"/>
    </row>
    <row r="3298" spans="1:14" ht="11.25" customHeight="1">
      <c r="A3298" s="5" t="s">
        <v>9166</v>
      </c>
      <c r="B3298" s="5" t="s">
        <v>9509</v>
      </c>
      <c r="C3298" s="5" t="s">
        <v>9562</v>
      </c>
      <c r="D3298" s="5" t="s">
        <v>9169</v>
      </c>
      <c r="E3298" s="5" t="s">
        <v>52</v>
      </c>
      <c r="F3298" s="5" t="s">
        <v>9170</v>
      </c>
      <c r="G3298" s="5" t="s">
        <v>152</v>
      </c>
      <c r="H3298" s="5" t="s">
        <v>9511</v>
      </c>
      <c r="I3298" s="5" t="s">
        <v>9563</v>
      </c>
      <c r="J3298" s="5" t="s">
        <v>9564</v>
      </c>
      <c r="K3298" s="7" t="str">
        <f ca="1">IFERROR(__xludf.DUMMYFUNCTION("GOOGLETRANSLATE(H3298,""EN"",""ES"")"),"MÁQUINAS DE LAVADO, LIMPIEZA Y SECADO")</f>
        <v>MÁQUINAS DE LAVADO, LIMPIEZA Y SECADO</v>
      </c>
      <c r="L3298" s="5" t="str">
        <f ca="1">IFERROR(__xludf.DUMMYFUNCTION("GOOGLETRANSLATE(J3298,""EN"",""ES"")"),"maquinas de planchar")</f>
        <v>maquinas de planchar</v>
      </c>
      <c r="M3298" s="8" t="s">
        <v>54</v>
      </c>
      <c r="N3298" s="8"/>
    </row>
    <row r="3299" spans="1:14" ht="11.25" customHeight="1">
      <c r="A3299" s="5" t="s">
        <v>9166</v>
      </c>
      <c r="B3299" s="5" t="s">
        <v>9509</v>
      </c>
      <c r="C3299" s="5" t="s">
        <v>9562</v>
      </c>
      <c r="D3299" s="5" t="s">
        <v>9169</v>
      </c>
      <c r="E3299" s="5" t="s">
        <v>52</v>
      </c>
      <c r="F3299" s="5" t="s">
        <v>9170</v>
      </c>
      <c r="G3299" s="5" t="s">
        <v>152</v>
      </c>
      <c r="H3299" s="5" t="s">
        <v>9511</v>
      </c>
      <c r="I3299" s="5" t="s">
        <v>152</v>
      </c>
      <c r="J3299" s="5" t="s">
        <v>9565</v>
      </c>
      <c r="K3299" s="7" t="str">
        <f ca="1">IFERROR(__xludf.DUMMYFUNCTION("GOOGLETRANSLATE(H3299,""EN"",""ES"")"),"MÁQUINAS DE LAVADO, LIMPIEZA Y SECADO")</f>
        <v>MÁQUINAS DE LAVADO, LIMPIEZA Y SECADO</v>
      </c>
      <c r="L3299" s="5" t="str">
        <f ca="1">IFERROR(__xludf.DUMMYFUNCTION("GOOGLETRANSLATE(J3299,""EN"",""ES"")"),"N / A")</f>
        <v>N / A</v>
      </c>
      <c r="M3299" s="8" t="s">
        <v>54</v>
      </c>
      <c r="N3299" s="8"/>
    </row>
    <row r="3300" spans="1:14" ht="11.25" customHeight="1">
      <c r="A3300" s="5" t="s">
        <v>9166</v>
      </c>
      <c r="B3300" s="5" t="s">
        <v>9509</v>
      </c>
      <c r="C3300" s="5" t="s">
        <v>9566</v>
      </c>
      <c r="D3300" s="5" t="s">
        <v>9169</v>
      </c>
      <c r="E3300" s="5" t="s">
        <v>52</v>
      </c>
      <c r="F3300" s="5" t="s">
        <v>9170</v>
      </c>
      <c r="G3300" s="5" t="s">
        <v>152</v>
      </c>
      <c r="H3300" s="5" t="s">
        <v>9511</v>
      </c>
      <c r="I3300" s="5" t="s">
        <v>9567</v>
      </c>
      <c r="J3300" s="5" t="s">
        <v>9568</v>
      </c>
      <c r="K3300" s="7" t="str">
        <f ca="1">IFERROR(__xludf.DUMMYFUNCTION("GOOGLETRANSLATE(H3300,""EN"",""ES"")"),"MÁQUINAS DE LAVADO, LIMPIEZA Y SECADO")</f>
        <v>MÁQUINAS DE LAVADO, LIMPIEZA Y SECADO</v>
      </c>
      <c r="L3300" s="5" t="str">
        <f ca="1">IFERROR(__xludf.DUMMYFUNCTION("GOOGLETRANSLATE(J3300,""EN"",""ES"")"),"Lavadoras de botellas")</f>
        <v>Lavadoras de botellas</v>
      </c>
      <c r="M3300" s="8" t="s">
        <v>54</v>
      </c>
      <c r="N3300" s="8"/>
    </row>
    <row r="3301" spans="1:14" ht="11.25" customHeight="1">
      <c r="A3301" s="5" t="s">
        <v>9166</v>
      </c>
      <c r="B3301" s="5" t="s">
        <v>9509</v>
      </c>
      <c r="C3301" s="5" t="s">
        <v>9569</v>
      </c>
      <c r="D3301" s="5" t="s">
        <v>9169</v>
      </c>
      <c r="E3301" s="5" t="s">
        <v>52</v>
      </c>
      <c r="F3301" s="5" t="s">
        <v>9170</v>
      </c>
      <c r="G3301" s="5" t="s">
        <v>152</v>
      </c>
      <c r="H3301" s="5" t="s">
        <v>9511</v>
      </c>
      <c r="I3301" s="5" t="s">
        <v>9570</v>
      </c>
      <c r="J3301" s="5" t="s">
        <v>9571</v>
      </c>
      <c r="K3301" s="7" t="str">
        <f ca="1">IFERROR(__xludf.DUMMYFUNCTION("GOOGLETRANSLATE(H3301,""EN"",""ES"")"),"MÁQUINAS DE LAVADO, LIMPIEZA Y SECADO")</f>
        <v>MÁQUINAS DE LAVADO, LIMPIEZA Y SECADO</v>
      </c>
      <c r="L3301" s="5" t="str">
        <f ca="1">IFERROR(__xludf.DUMMYFUNCTION("GOOGLETRANSLATE(J3301,""EN"",""ES"")"),"Enjuagadoras para barricas")</f>
        <v>Enjuagadoras para barricas</v>
      </c>
      <c r="M3301" s="8" t="s">
        <v>54</v>
      </c>
      <c r="N3301" s="8"/>
    </row>
    <row r="3302" spans="1:14" ht="11.25" customHeight="1">
      <c r="A3302" s="5" t="s">
        <v>9166</v>
      </c>
      <c r="B3302" s="5" t="s">
        <v>9509</v>
      </c>
      <c r="C3302" s="5" t="s">
        <v>9572</v>
      </c>
      <c r="D3302" s="5" t="s">
        <v>9169</v>
      </c>
      <c r="E3302" s="5" t="s">
        <v>52</v>
      </c>
      <c r="F3302" s="5" t="s">
        <v>9170</v>
      </c>
      <c r="G3302" s="5" t="s">
        <v>152</v>
      </c>
      <c r="H3302" s="5" t="s">
        <v>9511</v>
      </c>
      <c r="I3302" s="5" t="s">
        <v>9573</v>
      </c>
      <c r="J3302" s="5" t="s">
        <v>9574</v>
      </c>
      <c r="K3302" s="7" t="str">
        <f ca="1">IFERROR(__xludf.DUMMYFUNCTION("GOOGLETRANSLATE(H3302,""EN"",""ES"")"),"MÁQUINAS DE LAVADO, LIMPIEZA Y SECADO")</f>
        <v>MÁQUINAS DE LAVADO, LIMPIEZA Y SECADO</v>
      </c>
      <c r="L3302" s="5" t="str">
        <f ca="1">IFERROR(__xludf.DUMMYFUNCTION("GOOGLETRANSLATE(J3302,""EN"",""ES"")"),"maquinas secadoras")</f>
        <v>maquinas secadoras</v>
      </c>
      <c r="M3302" s="8" t="s">
        <v>54</v>
      </c>
      <c r="N3302" s="8"/>
    </row>
    <row r="3303" spans="1:14" ht="11.25" customHeight="1">
      <c r="A3303" s="5" t="s">
        <v>9166</v>
      </c>
      <c r="B3303" s="5" t="s">
        <v>9509</v>
      </c>
      <c r="C3303" s="5" t="s">
        <v>9575</v>
      </c>
      <c r="D3303" s="5" t="s">
        <v>9169</v>
      </c>
      <c r="E3303" s="5" t="s">
        <v>52</v>
      </c>
      <c r="F3303" s="5" t="s">
        <v>9170</v>
      </c>
      <c r="G3303" s="5" t="s">
        <v>152</v>
      </c>
      <c r="H3303" s="5" t="s">
        <v>9511</v>
      </c>
      <c r="I3303" s="5" t="s">
        <v>9576</v>
      </c>
      <c r="J3303" s="5" t="s">
        <v>9577</v>
      </c>
      <c r="K3303" s="7" t="str">
        <f ca="1">IFERROR(__xludf.DUMMYFUNCTION("GOOGLETRANSLATE(H3303,""EN"",""ES"")"),"MÁQUINAS DE LAVADO, LIMPIEZA Y SECADO")</f>
        <v>MÁQUINAS DE LAVADO, LIMPIEZA Y SECADO</v>
      </c>
      <c r="L3303" s="5" t="str">
        <f ca="1">IFERROR(__xludf.DUMMYFUNCTION("GOOGLETRANSLATE(J3303,""EN"",""ES"")"),"Puertas transparentes para lavadoras.")</f>
        <v>Puertas transparentes para lavadoras.</v>
      </c>
      <c r="M3303" s="8" t="s">
        <v>54</v>
      </c>
      <c r="N3303" s="8"/>
    </row>
    <row r="3304" spans="1:14" ht="11.25" customHeight="1">
      <c r="A3304" s="5" t="s">
        <v>9166</v>
      </c>
      <c r="B3304" s="5" t="s">
        <v>9509</v>
      </c>
      <c r="C3304" s="5" t="s">
        <v>9578</v>
      </c>
      <c r="D3304" s="5" t="s">
        <v>9169</v>
      </c>
      <c r="E3304" s="5" t="s">
        <v>52</v>
      </c>
      <c r="F3304" s="5" t="s">
        <v>9170</v>
      </c>
      <c r="G3304" s="5" t="s">
        <v>152</v>
      </c>
      <c r="H3304" s="5" t="s">
        <v>9511</v>
      </c>
      <c r="I3304" s="5" t="s">
        <v>9579</v>
      </c>
      <c r="J3304" s="5" t="s">
        <v>9580</v>
      </c>
      <c r="K3304" s="7" t="str">
        <f ca="1">IFERROR(__xludf.DUMMYFUNCTION("GOOGLETRANSLATE(H3304,""EN"",""ES"")"),"MÁQUINAS DE LAVADO, LIMPIEZA Y SECADO")</f>
        <v>MÁQUINAS DE LAVADO, LIMPIEZA Y SECADO</v>
      </c>
      <c r="L3304" s="5" t="str">
        <f ca="1">IFERROR(__xludf.DUMMYFUNCTION("GOOGLETRANSLATE(J3304,""EN"",""ES"")"),"Máquinas para lustrar botas y zapatos")</f>
        <v>Máquinas para lustrar botas y zapatos</v>
      </c>
      <c r="M3304" s="8" t="s">
        <v>54</v>
      </c>
      <c r="N3304" s="8"/>
    </row>
    <row r="3305" spans="1:14" ht="11.25" customHeight="1">
      <c r="A3305" s="5" t="s">
        <v>9166</v>
      </c>
      <c r="B3305" s="5" t="s">
        <v>9509</v>
      </c>
      <c r="C3305" s="5" t="s">
        <v>9581</v>
      </c>
      <c r="D3305" s="5" t="s">
        <v>9169</v>
      </c>
      <c r="E3305" s="5" t="s">
        <v>52</v>
      </c>
      <c r="F3305" s="5" t="s">
        <v>9170</v>
      </c>
      <c r="G3305" s="5" t="s">
        <v>152</v>
      </c>
      <c r="H3305" s="5" t="s">
        <v>9511</v>
      </c>
      <c r="I3305" s="5" t="s">
        <v>9582</v>
      </c>
      <c r="J3305" s="5" t="s">
        <v>9583</v>
      </c>
      <c r="K3305" s="7" t="str">
        <f ca="1">IFERROR(__xludf.DUMMYFUNCTION("GOOGLETRANSLATE(H3305,""EN"",""ES"")"),"MÁQUINAS DE LAVADO, LIMPIEZA Y SECADO")</f>
        <v>MÁQUINAS DE LAVADO, LIMPIEZA Y SECADO</v>
      </c>
      <c r="L3305" s="5" t="str">
        <f ca="1">IFERROR(__xludf.DUMMYFUNCTION("GOOGLETRANSLATE(J3305,""EN"",""ES"")"),"Secadoras centrífugas")</f>
        <v>Secadoras centrífugas</v>
      </c>
      <c r="M3305" s="8" t="s">
        <v>54</v>
      </c>
      <c r="N3305" s="8"/>
    </row>
    <row r="3306" spans="1:14" ht="11.25" customHeight="1">
      <c r="A3306" s="5" t="s">
        <v>9166</v>
      </c>
      <c r="B3306" s="5" t="s">
        <v>9509</v>
      </c>
      <c r="C3306" s="5" t="s">
        <v>9584</v>
      </c>
      <c r="D3306" s="5" t="s">
        <v>9169</v>
      </c>
      <c r="E3306" s="5" t="s">
        <v>52</v>
      </c>
      <c r="F3306" s="5" t="s">
        <v>9170</v>
      </c>
      <c r="G3306" s="5" t="s">
        <v>152</v>
      </c>
      <c r="H3306" s="5" t="s">
        <v>9511</v>
      </c>
      <c r="I3306" s="5" t="s">
        <v>9585</v>
      </c>
      <c r="J3306" s="5" t="s">
        <v>9586</v>
      </c>
      <c r="K3306" s="7" t="str">
        <f ca="1">IFERROR(__xludf.DUMMYFUNCTION("GOOGLETRANSLATE(H3306,""EN"",""ES"")"),"MÁQUINAS DE LAVADO, LIMPIEZA Y SECADO")</f>
        <v>MÁQUINAS DE LAVADO, LIMPIEZA Y SECADO</v>
      </c>
      <c r="L3306" s="5" t="str">
        <f ca="1">IFERROR(__xludf.DUMMYFUNCTION("GOOGLETRANSLATE(J3306,""EN"",""ES"")"),"Indicadores de llenado para aspiradoras")</f>
        <v>Indicadores de llenado para aspiradoras</v>
      </c>
      <c r="M3306" s="8" t="s">
        <v>54</v>
      </c>
      <c r="N3306" s="8"/>
    </row>
    <row r="3307" spans="1:14" ht="11.25" customHeight="1">
      <c r="A3307" s="5" t="s">
        <v>9166</v>
      </c>
      <c r="B3307" s="5" t="s">
        <v>9509</v>
      </c>
      <c r="C3307" s="5" t="s">
        <v>9587</v>
      </c>
      <c r="D3307" s="5" t="s">
        <v>9169</v>
      </c>
      <c r="E3307" s="5" t="s">
        <v>52</v>
      </c>
      <c r="F3307" s="5" t="s">
        <v>9170</v>
      </c>
      <c r="G3307" s="5" t="s">
        <v>152</v>
      </c>
      <c r="H3307" s="5" t="s">
        <v>9511</v>
      </c>
      <c r="I3307" s="5" t="s">
        <v>9588</v>
      </c>
      <c r="J3307" s="5" t="s">
        <v>9589</v>
      </c>
      <c r="K3307" s="7" t="str">
        <f ca="1">IFERROR(__xludf.DUMMYFUNCTION("GOOGLETRANSLATE(H3307,""EN"",""ES"")"),"MÁQUINAS DE LAVADO, LIMPIEZA Y SECADO")</f>
        <v>MÁQUINAS DE LAVADO, LIMPIEZA Y SECADO</v>
      </c>
      <c r="L3307" s="5" t="str">
        <f ca="1">IFERROR(__xludf.DUMMYFUNCTION("GOOGLETRANSLATE(J3307,""EN"",""ES"")"),"Máquinas para lavar vasos")</f>
        <v>Máquinas para lavar vasos</v>
      </c>
      <c r="M3307" s="8" t="s">
        <v>54</v>
      </c>
      <c r="N3307" s="8"/>
    </row>
    <row r="3308" spans="1:14" ht="11.25" customHeight="1">
      <c r="A3308" s="5" t="s">
        <v>9166</v>
      </c>
      <c r="B3308" s="5" t="s">
        <v>9509</v>
      </c>
      <c r="C3308" s="5" t="s">
        <v>9590</v>
      </c>
      <c r="D3308" s="5" t="s">
        <v>9169</v>
      </c>
      <c r="E3308" s="5" t="s">
        <v>52</v>
      </c>
      <c r="F3308" s="5" t="s">
        <v>9170</v>
      </c>
      <c r="G3308" s="5" t="s">
        <v>152</v>
      </c>
      <c r="H3308" s="5" t="s">
        <v>9511</v>
      </c>
      <c r="I3308" s="5" t="s">
        <v>9591</v>
      </c>
      <c r="J3308" s="5" t="s">
        <v>9592</v>
      </c>
      <c r="K3308" s="7" t="str">
        <f ca="1">IFERROR(__xludf.DUMMYFUNCTION("GOOGLETRANSLATE(H3308,""EN"",""ES"")"),"MÁQUINAS DE LAVADO, LIMPIEZA Y SECADO")</f>
        <v>MÁQUINAS DE LAVADO, LIMPIEZA Y SECADO</v>
      </c>
      <c r="L3308" s="5" t="str">
        <f ca="1">IFERROR(__xludf.DUMMYFUNCTION("GOOGLETRANSLATE(J3308,""EN"",""ES"")"),"Secadoras de ropa [máquinas]")</f>
        <v>Secadoras de ropa [máquinas]</v>
      </c>
      <c r="M3308" s="8" t="s">
        <v>54</v>
      </c>
      <c r="N3308" s="8"/>
    </row>
    <row r="3309" spans="1:14" ht="11.25" customHeight="1">
      <c r="A3309" s="5" t="s">
        <v>9166</v>
      </c>
      <c r="B3309" s="5" t="s">
        <v>9509</v>
      </c>
      <c r="C3309" s="5" t="s">
        <v>9593</v>
      </c>
      <c r="D3309" s="5" t="s">
        <v>9169</v>
      </c>
      <c r="E3309" s="5" t="s">
        <v>52</v>
      </c>
      <c r="F3309" s="5" t="s">
        <v>9170</v>
      </c>
      <c r="G3309" s="5" t="s">
        <v>152</v>
      </c>
      <c r="H3309" s="5" t="s">
        <v>9511</v>
      </c>
      <c r="I3309" s="5" t="s">
        <v>9594</v>
      </c>
      <c r="J3309" s="5" t="s">
        <v>9595</v>
      </c>
      <c r="K3309" s="7" t="str">
        <f ca="1">IFERROR(__xludf.DUMMYFUNCTION("GOOGLETRANSLATE(H3309,""EN"",""ES"")"),"MÁQUINAS DE LAVADO, LIMPIEZA Y SECADO")</f>
        <v>MÁQUINAS DE LAVADO, LIMPIEZA Y SECADO</v>
      </c>
      <c r="L3309" s="5" t="str">
        <f ca="1">IFERROR(__xludf.DUMMYFUNCTION("GOOGLETRANSLATE(J3309,""EN"",""ES"")"),"Limpiadoras de alta presión")</f>
        <v>Limpiadoras de alta presión</v>
      </c>
      <c r="M3309" s="8" t="s">
        <v>54</v>
      </c>
      <c r="N3309" s="8"/>
    </row>
    <row r="3310" spans="1:14" ht="11.25" customHeight="1">
      <c r="A3310" s="5" t="s">
        <v>9166</v>
      </c>
      <c r="B3310" s="5" t="s">
        <v>9509</v>
      </c>
      <c r="C3310" s="5" t="s">
        <v>9596</v>
      </c>
      <c r="D3310" s="5" t="s">
        <v>9169</v>
      </c>
      <c r="E3310" s="5" t="s">
        <v>52</v>
      </c>
      <c r="F3310" s="5" t="s">
        <v>9170</v>
      </c>
      <c r="G3310" s="5" t="s">
        <v>152</v>
      </c>
      <c r="H3310" s="5" t="s">
        <v>9511</v>
      </c>
      <c r="I3310" s="5" t="s">
        <v>9597</v>
      </c>
      <c r="J3310" s="5" t="s">
        <v>9598</v>
      </c>
      <c r="K3310" s="7" t="str">
        <f ca="1">IFERROR(__xludf.DUMMYFUNCTION("GOOGLETRANSLATE(H3310,""EN"",""ES"")"),"MÁQUINAS DE LAVADO, LIMPIEZA Y SECADO")</f>
        <v>MÁQUINAS DE LAVADO, LIMPIEZA Y SECADO</v>
      </c>
      <c r="L3310" s="5" t="str">
        <f ca="1">IFERROR(__xludf.DUMMYFUNCTION("GOOGLETRANSLATE(J3310,""EN"",""ES"")"),"Lavadoras de alfombras")</f>
        <v>Lavadoras de alfombras</v>
      </c>
      <c r="M3310" s="8" t="s">
        <v>54</v>
      </c>
      <c r="N3310" s="8"/>
    </row>
    <row r="3311" spans="1:14" ht="11.25" customHeight="1">
      <c r="A3311" s="5" t="s">
        <v>9166</v>
      </c>
      <c r="B3311" s="5" t="s">
        <v>9509</v>
      </c>
      <c r="C3311" s="5" t="s">
        <v>9599</v>
      </c>
      <c r="D3311" s="5" t="s">
        <v>9169</v>
      </c>
      <c r="E3311" s="5" t="s">
        <v>52</v>
      </c>
      <c r="F3311" s="5" t="s">
        <v>9170</v>
      </c>
      <c r="G3311" s="5" t="s">
        <v>152</v>
      </c>
      <c r="H3311" s="5" t="s">
        <v>9511</v>
      </c>
      <c r="I3311" s="5" t="s">
        <v>9600</v>
      </c>
      <c r="J3311" s="5" t="s">
        <v>9601</v>
      </c>
      <c r="K3311" s="7" t="str">
        <f ca="1">IFERROR(__xludf.DUMMYFUNCTION("GOOGLETRANSLATE(H3311,""EN"",""ES"")"),"MÁQUINAS DE LAVADO, LIMPIEZA Y SECADO")</f>
        <v>MÁQUINAS DE LAVADO, LIMPIEZA Y SECADO</v>
      </c>
      <c r="L3311" s="5" t="str">
        <f ca="1">IFERROR(__xludf.DUMMYFUNCTION("GOOGLETRANSLATE(J3311,""EN"",""ES"")"),"Aparato de succión de agua")</f>
        <v>Aparato de succión de agua</v>
      </c>
      <c r="M3311" s="8" t="s">
        <v>54</v>
      </c>
      <c r="N3311" s="8"/>
    </row>
    <row r="3312" spans="1:14" ht="11.25" customHeight="1">
      <c r="A3312" s="5" t="s">
        <v>9166</v>
      </c>
      <c r="B3312" s="5" t="s">
        <v>9509</v>
      </c>
      <c r="C3312" s="5" t="s">
        <v>9602</v>
      </c>
      <c r="D3312" s="5" t="s">
        <v>9169</v>
      </c>
      <c r="E3312" s="5" t="s">
        <v>52</v>
      </c>
      <c r="F3312" s="5" t="s">
        <v>9170</v>
      </c>
      <c r="G3312" s="5" t="s">
        <v>152</v>
      </c>
      <c r="H3312" s="5" t="s">
        <v>9511</v>
      </c>
      <c r="I3312" s="5" t="s">
        <v>9603</v>
      </c>
      <c r="J3312" s="5" t="s">
        <v>9604</v>
      </c>
      <c r="K3312" s="7" t="str">
        <f ca="1">IFERROR(__xludf.DUMMYFUNCTION("GOOGLETRANSLATE(H3312,""EN"",""ES"")"),"MÁQUINAS DE LAVADO, LIMPIEZA Y SECADO")</f>
        <v>MÁQUINAS DE LAVADO, LIMPIEZA Y SECADO</v>
      </c>
      <c r="L3312" s="5" t="str">
        <f ca="1">IFERROR(__xludf.DUMMYFUNCTION("GOOGLETRANSLATE(J3312,""EN"",""ES"")"),"Limpiafondos automáticos para piscinas")</f>
        <v>Limpiafondos automáticos para piscinas</v>
      </c>
      <c r="M3312" s="8" t="s">
        <v>54</v>
      </c>
      <c r="N3312" s="8"/>
    </row>
    <row r="3313" spans="1:14" ht="11.25" customHeight="1">
      <c r="A3313" s="5" t="s">
        <v>9166</v>
      </c>
      <c r="B3313" s="5" t="s">
        <v>9509</v>
      </c>
      <c r="C3313" s="5" t="s">
        <v>9602</v>
      </c>
      <c r="D3313" s="5" t="s">
        <v>9169</v>
      </c>
      <c r="E3313" s="5" t="s">
        <v>52</v>
      </c>
      <c r="F3313" s="5" t="s">
        <v>9170</v>
      </c>
      <c r="G3313" s="5" t="s">
        <v>152</v>
      </c>
      <c r="H3313" s="5" t="s">
        <v>9511</v>
      </c>
      <c r="I3313" s="5" t="s">
        <v>9605</v>
      </c>
      <c r="J3313" s="5" t="s">
        <v>152</v>
      </c>
      <c r="K3313" s="7" t="str">
        <f ca="1">IFERROR(__xludf.DUMMYFUNCTION("GOOGLETRANSLATE(H3313,""EN"",""ES"")"),"MÁQUINAS DE LAVADO, LIMPIEZA Y SECADO")</f>
        <v>MÁQUINAS DE LAVADO, LIMPIEZA Y SECADO</v>
      </c>
      <c r="L3313" s="5" t="str">
        <f ca="1">IFERROR(__xludf.DUMMYFUNCTION("GOOGLETRANSLATE(J3313,""EN"",""ES"")"),"Limpiafondos automáticos para piscinas")</f>
        <v>Limpiafondos automáticos para piscinas</v>
      </c>
      <c r="M3313" s="8" t="s">
        <v>54</v>
      </c>
      <c r="N3313" s="8"/>
    </row>
    <row r="3314" spans="1:14" ht="11.25" customHeight="1">
      <c r="A3314" s="5" t="s">
        <v>9166</v>
      </c>
      <c r="B3314" s="5" t="s">
        <v>9509</v>
      </c>
      <c r="C3314" s="5" t="s">
        <v>9606</v>
      </c>
      <c r="D3314" s="5" t="s">
        <v>9169</v>
      </c>
      <c r="E3314" s="5" t="s">
        <v>52</v>
      </c>
      <c r="F3314" s="5" t="s">
        <v>9170</v>
      </c>
      <c r="G3314" s="5" t="s">
        <v>152</v>
      </c>
      <c r="H3314" s="5" t="s">
        <v>9511</v>
      </c>
      <c r="I3314" s="5" t="s">
        <v>9607</v>
      </c>
      <c r="J3314" s="5" t="s">
        <v>9608</v>
      </c>
      <c r="K3314" s="7" t="str">
        <f ca="1">IFERROR(__xludf.DUMMYFUNCTION("GOOGLETRANSLATE(H3314,""EN"",""ES"")"),"MÁQUINAS DE LAVADO, LIMPIEZA Y SECADO")</f>
        <v>MÁQUINAS DE LAVADO, LIMPIEZA Y SECADO</v>
      </c>
      <c r="L3314" s="5" t="str">
        <f ca="1">IFERROR(__xludf.DUMMYFUNCTION("GOOGLETRANSLATE(J3314,""EN"",""ES"")"),"Cabezales de limpieza [incluidos cepillos]")</f>
        <v>Cabezales de limpieza [incluidos cepillos]</v>
      </c>
      <c r="M3314" s="8" t="s">
        <v>54</v>
      </c>
      <c r="N3314" s="8"/>
    </row>
    <row r="3315" spans="1:14" ht="11.25" customHeight="1">
      <c r="A3315" s="5" t="s">
        <v>9166</v>
      </c>
      <c r="B3315" s="5" t="s">
        <v>9509</v>
      </c>
      <c r="C3315" s="5" t="s">
        <v>9609</v>
      </c>
      <c r="D3315" s="5" t="s">
        <v>9169</v>
      </c>
      <c r="E3315" s="5" t="s">
        <v>52</v>
      </c>
      <c r="F3315" s="5" t="s">
        <v>9170</v>
      </c>
      <c r="G3315" s="5" t="s">
        <v>152</v>
      </c>
      <c r="H3315" s="5" t="s">
        <v>9511</v>
      </c>
      <c r="I3315" s="5" t="s">
        <v>9610</v>
      </c>
      <c r="J3315" s="5" t="s">
        <v>9611</v>
      </c>
      <c r="K3315" s="7" t="str">
        <f ca="1">IFERROR(__xludf.DUMMYFUNCTION("GOOGLETRANSLATE(H3315,""EN"",""ES"")"),"MÁQUINAS DE LAVADO, LIMPIEZA Y SECADO")</f>
        <v>MÁQUINAS DE LAVADO, LIMPIEZA Y SECADO</v>
      </c>
      <c r="L3315" s="5" t="str">
        <f ca="1">IFERROR(__xludf.DUMMYFUNCTION("GOOGLETRANSLATE(J3315,""EN"",""ES"")"),"trapeadores a vapor")</f>
        <v>trapeadores a vapor</v>
      </c>
      <c r="M3315" s="8" t="s">
        <v>54</v>
      </c>
      <c r="N3315" s="8"/>
    </row>
    <row r="3316" spans="1:14" ht="11.25" customHeight="1">
      <c r="A3316" s="5" t="s">
        <v>9166</v>
      </c>
      <c r="B3316" s="5" t="s">
        <v>9509</v>
      </c>
      <c r="C3316" s="5" t="s">
        <v>9612</v>
      </c>
      <c r="D3316" s="5" t="s">
        <v>9169</v>
      </c>
      <c r="E3316" s="5" t="s">
        <v>52</v>
      </c>
      <c r="F3316" s="5" t="s">
        <v>9170</v>
      </c>
      <c r="G3316" s="5" t="s">
        <v>152</v>
      </c>
      <c r="H3316" s="5" t="s">
        <v>9511</v>
      </c>
      <c r="I3316" s="5" t="s">
        <v>9613</v>
      </c>
      <c r="J3316" s="5" t="s">
        <v>9614</v>
      </c>
      <c r="K3316" s="7" t="str">
        <f ca="1">IFERROR(__xludf.DUMMYFUNCTION("GOOGLETRANSLATE(H3316,""EN"",""ES"")"),"MÁQUINAS DE LAVADO, LIMPIEZA Y SECADO")</f>
        <v>MÁQUINAS DE LAVADO, LIMPIEZA Y SECADO</v>
      </c>
      <c r="L3316" s="5" t="str">
        <f ca="1">IFERROR(__xludf.DUMMYFUNCTION("GOOGLETRANSLATE(J3316,""EN"",""ES"")"),"Barredoras para chimeneas")</f>
        <v>Barredoras para chimeneas</v>
      </c>
      <c r="M3316" s="8" t="s">
        <v>54</v>
      </c>
      <c r="N3316" s="8"/>
    </row>
    <row r="3317" spans="1:14" ht="11.25" customHeight="1">
      <c r="A3317" s="5" t="s">
        <v>9166</v>
      </c>
      <c r="B3317" s="5" t="s">
        <v>9509</v>
      </c>
      <c r="C3317" s="5" t="s">
        <v>9615</v>
      </c>
      <c r="D3317" s="5" t="s">
        <v>9169</v>
      </c>
      <c r="E3317" s="5" t="s">
        <v>52</v>
      </c>
      <c r="F3317" s="5" t="s">
        <v>9170</v>
      </c>
      <c r="G3317" s="5" t="s">
        <v>152</v>
      </c>
      <c r="H3317" s="5" t="s">
        <v>9511</v>
      </c>
      <c r="I3317" s="5" t="s">
        <v>9616</v>
      </c>
      <c r="J3317" s="5" t="s">
        <v>9617</v>
      </c>
      <c r="K3317" s="7" t="str">
        <f ca="1">IFERROR(__xludf.DUMMYFUNCTION("GOOGLETRANSLATE(H3317,""EN"",""ES"")"),"MÁQUINAS DE LAVADO, LIMPIEZA Y SECADO")</f>
        <v>MÁQUINAS DE LAVADO, LIMPIEZA Y SECADO</v>
      </c>
      <c r="L3317" s="5" t="str">
        <f ca="1">IFERROR(__xludf.DUMMYFUNCTION("GOOGLETRANSLATE(J3317,""EN"",""ES"")"),"Aspiradoras robóticas")</f>
        <v>Aspiradoras robóticas</v>
      </c>
      <c r="M3317" s="8" t="s">
        <v>54</v>
      </c>
      <c r="N3317" s="8"/>
    </row>
    <row r="3318" spans="1:14" ht="11.25" customHeight="1">
      <c r="A3318" s="5" t="s">
        <v>9166</v>
      </c>
      <c r="B3318" s="5" t="s">
        <v>9509</v>
      </c>
      <c r="C3318" s="5" t="s">
        <v>9618</v>
      </c>
      <c r="D3318" s="5" t="s">
        <v>9169</v>
      </c>
      <c r="E3318" s="5" t="s">
        <v>52</v>
      </c>
      <c r="F3318" s="5" t="s">
        <v>9170</v>
      </c>
      <c r="G3318" s="5" t="s">
        <v>152</v>
      </c>
      <c r="H3318" s="5" t="s">
        <v>9511</v>
      </c>
      <c r="I3318" s="5" t="s">
        <v>9619</v>
      </c>
      <c r="J3318" s="5" t="s">
        <v>9620</v>
      </c>
      <c r="K3318" s="7" t="str">
        <f ca="1">IFERROR(__xludf.DUMMYFUNCTION("GOOGLETRANSLATE(H3318,""EN"",""ES"")"),"MÁQUINAS DE LAVADO, LIMPIEZA Y SECADO")</f>
        <v>MÁQUINAS DE LAVADO, LIMPIEZA Y SECADO</v>
      </c>
      <c r="L3318" s="5" t="str">
        <f ca="1">IFERROR(__xludf.DUMMYFUNCTION("GOOGLETRANSLATE(J3318,""EN"",""ES"")"),"Armarios de esterilización [excepto para fines médicos]")</f>
        <v>Armarios de esterilización [excepto para fines médicos]</v>
      </c>
      <c r="M3318" s="8" t="s">
        <v>54</v>
      </c>
      <c r="N3318" s="8"/>
    </row>
    <row r="3319" spans="1:14" ht="11.25" customHeight="1">
      <c r="A3319" s="5" t="s">
        <v>9166</v>
      </c>
      <c r="B3319" s="5" t="s">
        <v>9509</v>
      </c>
      <c r="C3319" s="5" t="s">
        <v>9621</v>
      </c>
      <c r="D3319" s="5" t="s">
        <v>9169</v>
      </c>
      <c r="E3319" s="5" t="s">
        <v>52</v>
      </c>
      <c r="F3319" s="5" t="s">
        <v>9170</v>
      </c>
      <c r="G3319" s="5" t="s">
        <v>152</v>
      </c>
      <c r="H3319" s="5" t="s">
        <v>9511</v>
      </c>
      <c r="I3319" s="5" t="s">
        <v>9622</v>
      </c>
      <c r="J3319" s="5" t="s">
        <v>9623</v>
      </c>
      <c r="K3319" s="7" t="str">
        <f ca="1">IFERROR(__xludf.DUMMYFUNCTION("GOOGLETRANSLATE(H3319,""EN"",""ES"")"),"MÁQUINAS DE LAVADO, LIMPIEZA Y SECADO")</f>
        <v>MÁQUINAS DE LAVADO, LIMPIEZA Y SECADO</v>
      </c>
      <c r="L3319" s="5" t="str">
        <f ca="1">IFERROR(__xludf.DUMMYFUNCTION("GOOGLETRANSLATE(J3319,""EN"",""ES"")"),"Armarios para limpiar y refrescar la ropa.")</f>
        <v>Armarios para limpiar y refrescar la ropa.</v>
      </c>
      <c r="M3319" s="8" t="s">
        <v>54</v>
      </c>
      <c r="N3319" s="8"/>
    </row>
    <row r="3320" spans="1:14" ht="11.25" customHeight="1">
      <c r="A3320" s="5" t="s">
        <v>9166</v>
      </c>
      <c r="B3320" s="5" t="s">
        <v>9509</v>
      </c>
      <c r="C3320" s="5" t="s">
        <v>9624</v>
      </c>
      <c r="D3320" s="5" t="s">
        <v>9169</v>
      </c>
      <c r="E3320" s="5" t="s">
        <v>52</v>
      </c>
      <c r="F3320" s="5" t="s">
        <v>9170</v>
      </c>
      <c r="G3320" s="5" t="s">
        <v>152</v>
      </c>
      <c r="H3320" s="5" t="s">
        <v>9511</v>
      </c>
      <c r="I3320" s="5" t="s">
        <v>9625</v>
      </c>
      <c r="J3320" s="5" t="s">
        <v>9626</v>
      </c>
      <c r="K3320" s="7" t="str">
        <f ca="1">IFERROR(__xludf.DUMMYFUNCTION("GOOGLETRANSLATE(H3320,""EN"",""ES"")"),"MÁQUINAS DE LAVADO, LIMPIEZA Y SECADO")</f>
        <v>MÁQUINAS DE LAVADO, LIMPIEZA Y SECADO</v>
      </c>
      <c r="L3320" s="5" t="str">
        <f ca="1">IFERROR(__xludf.DUMMYFUNCTION("GOOGLETRANSLATE(J3320,""EN"",""ES"")"),"Dispositivos de lavado ultrasónicos [portátiles]")</f>
        <v>Dispositivos de lavado ultrasónicos [portátiles]</v>
      </c>
      <c r="M3320" s="8" t="s">
        <v>54</v>
      </c>
      <c r="N3320" s="8"/>
    </row>
    <row r="3321" spans="1:14" ht="11.25" customHeight="1">
      <c r="A3321" s="5" t="s">
        <v>9166</v>
      </c>
      <c r="B3321" s="5" t="s">
        <v>9509</v>
      </c>
      <c r="C3321" s="5" t="s">
        <v>9627</v>
      </c>
      <c r="D3321" s="5" t="s">
        <v>9169</v>
      </c>
      <c r="E3321" s="5" t="s">
        <v>52</v>
      </c>
      <c r="F3321" s="5" t="s">
        <v>9170</v>
      </c>
      <c r="G3321" s="5" t="s">
        <v>152</v>
      </c>
      <c r="H3321" s="5" t="s">
        <v>9511</v>
      </c>
      <c r="I3321" s="5" t="s">
        <v>9628</v>
      </c>
      <c r="J3321" s="5" t="s">
        <v>9629</v>
      </c>
      <c r="K3321" s="7" t="str">
        <f ca="1">IFERROR(__xludf.DUMMYFUNCTION("GOOGLETRANSLATE(H3321,""EN"",""ES"")"),"MÁQUINAS DE LAVADO, LIMPIEZA Y SECADO")</f>
        <v>MÁQUINAS DE LAVADO, LIMPIEZA Y SECADO</v>
      </c>
      <c r="L3321" s="5" t="str">
        <f ca="1">IFERROR(__xludf.DUMMYFUNCTION("GOOGLETRANSLATE(J3321,""EN"",""ES"")"),"Aspiradores para ácaros del polvo")</f>
        <v>Aspiradores para ácaros del polvo</v>
      </c>
      <c r="M3321" s="8" t="s">
        <v>54</v>
      </c>
      <c r="N3321" s="8"/>
    </row>
    <row r="3322" spans="1:14" ht="11.25" customHeight="1">
      <c r="A3322" s="5" t="s">
        <v>9166</v>
      </c>
      <c r="B3322" s="5" t="s">
        <v>9509</v>
      </c>
      <c r="C3322" s="5" t="s">
        <v>9630</v>
      </c>
      <c r="D3322" s="5" t="s">
        <v>9169</v>
      </c>
      <c r="E3322" s="5" t="s">
        <v>52</v>
      </c>
      <c r="F3322" s="5" t="s">
        <v>9170</v>
      </c>
      <c r="G3322" s="5" t="s">
        <v>152</v>
      </c>
      <c r="H3322" s="5" t="s">
        <v>9511</v>
      </c>
      <c r="I3322" s="5" t="s">
        <v>9631</v>
      </c>
      <c r="J3322" s="5" t="s">
        <v>9632</v>
      </c>
      <c r="K3322" s="7" t="str">
        <f ca="1">IFERROR(__xludf.DUMMYFUNCTION("GOOGLETRANSLATE(H3322,""EN"",""ES"")"),"MÁQUINAS DE LAVADO, LIMPIEZA Y SECADO")</f>
        <v>MÁQUINAS DE LAVADO, LIMPIEZA Y SECADO</v>
      </c>
      <c r="L3322" s="5" t="str">
        <f ca="1">IFERROR(__xludf.DUMMYFUNCTION("GOOGLETRANSLATE(J3322,""EN"",""ES"")"),"Sopladores de hojas")</f>
        <v>Sopladores de hojas</v>
      </c>
      <c r="M3322" s="8" t="s">
        <v>54</v>
      </c>
      <c r="N3322" s="8"/>
    </row>
    <row r="3323" spans="1:14" ht="11.25" customHeight="1">
      <c r="A3323" s="5" t="s">
        <v>9166</v>
      </c>
      <c r="B3323" s="5" t="s">
        <v>9509</v>
      </c>
      <c r="C3323" s="5" t="s">
        <v>9633</v>
      </c>
      <c r="D3323" s="5" t="s">
        <v>9169</v>
      </c>
      <c r="E3323" s="5" t="s">
        <v>52</v>
      </c>
      <c r="F3323" s="5" t="s">
        <v>9170</v>
      </c>
      <c r="G3323" s="5" t="s">
        <v>152</v>
      </c>
      <c r="H3323" s="5" t="s">
        <v>9511</v>
      </c>
      <c r="I3323" s="5" t="s">
        <v>9634</v>
      </c>
      <c r="J3323" s="5" t="s">
        <v>9635</v>
      </c>
      <c r="K3323" s="7" t="str">
        <f ca="1">IFERROR(__xludf.DUMMYFUNCTION("GOOGLETRANSLATE(H3323,""EN"",""ES"")"),"MÁQUINAS DE LAVADO, LIMPIEZA Y SECADO")</f>
        <v>MÁQUINAS DE LAVADO, LIMPIEZA Y SECADO</v>
      </c>
      <c r="L3323" s="5" t="str">
        <f ca="1">IFERROR(__xludf.DUMMYFUNCTION("GOOGLETRANSLATE(J3323,""EN"",""ES"")"),"Robots para limpieza de cristales.")</f>
        <v>Robots para limpieza de cristales.</v>
      </c>
      <c r="M3323" s="8" t="s">
        <v>54</v>
      </c>
      <c r="N3323" s="8"/>
    </row>
    <row r="3324" spans="1:14" ht="11.25" customHeight="1">
      <c r="A3324" s="5" t="s">
        <v>9166</v>
      </c>
      <c r="B3324" s="5" t="s">
        <v>9636</v>
      </c>
      <c r="C3324" s="5" t="s">
        <v>9637</v>
      </c>
      <c r="D3324" s="5" t="s">
        <v>9169</v>
      </c>
      <c r="E3324" s="5" t="s">
        <v>52</v>
      </c>
      <c r="F3324" s="5" t="s">
        <v>9170</v>
      </c>
      <c r="G3324" s="5" t="s">
        <v>152</v>
      </c>
      <c r="H3324" s="5" t="s">
        <v>9638</v>
      </c>
      <c r="I3324" s="5" t="s">
        <v>9639</v>
      </c>
      <c r="J3324" s="5" t="s">
        <v>9640</v>
      </c>
      <c r="K3324" s="7" t="str">
        <f ca="1">IFERROR(__xludf.DUMMYFUNCTION("GOOGLETRANSLATE(H3324,""EN"",""ES"")"),"MÁQUINAS TEXTILES, DE COSER, DE PUNTO Y DE BORDAR, INCLUIDAS SUS PARTES INTEGRALES")</f>
        <v>MÁQUINAS TEXTILES, DE COSER, DE PUNTO Y DE BORDAR, INCLUIDAS SUS PARTES INTEGRALES</v>
      </c>
      <c r="L3324" s="5" t="str">
        <f ca="1">IFERROR(__xludf.DUMMYFUNCTION("GOOGLETRANSLATE(J3324,""EN"",""ES"")"),"Marcos para estirar telas")</f>
        <v>Marcos para estirar telas</v>
      </c>
      <c r="M3324" s="8" t="s">
        <v>55</v>
      </c>
      <c r="N3324" s="8"/>
    </row>
    <row r="3325" spans="1:14" ht="11.25" customHeight="1">
      <c r="A3325" s="5" t="s">
        <v>9166</v>
      </c>
      <c r="B3325" s="5" t="s">
        <v>9636</v>
      </c>
      <c r="C3325" s="5" t="s">
        <v>9641</v>
      </c>
      <c r="D3325" s="5" t="s">
        <v>9169</v>
      </c>
      <c r="E3325" s="5" t="s">
        <v>52</v>
      </c>
      <c r="F3325" s="5" t="s">
        <v>9170</v>
      </c>
      <c r="G3325" s="5" t="s">
        <v>152</v>
      </c>
      <c r="H3325" s="5" t="s">
        <v>9638</v>
      </c>
      <c r="I3325" s="5" t="s">
        <v>9642</v>
      </c>
      <c r="J3325" s="5" t="s">
        <v>9643</v>
      </c>
      <c r="K3325" s="7" t="str">
        <f ca="1">IFERROR(__xludf.DUMMYFUNCTION("GOOGLETRANSLATE(H3325,""EN"",""ES"")"),"MÁQUINAS TEXTILES, DE COSER, DE PUNTO Y DE BORDAR, INCLUIDAS SUS PARTES INTEGRALES")</f>
        <v>MÁQUINAS TEXTILES, DE COSER, DE PUNTO Y DE BORDAR, INCLUIDAS SUS PARTES INTEGRALES</v>
      </c>
      <c r="L3325" s="5" t="str">
        <f ca="1">IFERROR(__xludf.DUMMYFUNCTION("GOOGLETRANSLATE(J3325,""EN"",""ES"")"),"Bobinas [girando]")</f>
        <v>Bobinas [girando]</v>
      </c>
      <c r="M3325" s="8" t="s">
        <v>55</v>
      </c>
      <c r="N3325" s="8"/>
    </row>
    <row r="3326" spans="1:14" ht="11.25" customHeight="1">
      <c r="A3326" s="5" t="s">
        <v>9166</v>
      </c>
      <c r="B3326" s="5" t="s">
        <v>9636</v>
      </c>
      <c r="C3326" s="5" t="s">
        <v>9644</v>
      </c>
      <c r="D3326" s="5" t="s">
        <v>9169</v>
      </c>
      <c r="E3326" s="5" t="s">
        <v>52</v>
      </c>
      <c r="F3326" s="5" t="s">
        <v>9170</v>
      </c>
      <c r="G3326" s="5" t="s">
        <v>152</v>
      </c>
      <c r="H3326" s="5" t="s">
        <v>9638</v>
      </c>
      <c r="I3326" s="5" t="s">
        <v>9645</v>
      </c>
      <c r="J3326" s="5" t="s">
        <v>9646</v>
      </c>
      <c r="K3326" s="7" t="str">
        <f ca="1">IFERROR(__xludf.DUMMYFUNCTION("GOOGLETRANSLATE(H3326,""EN"",""ES"")"),"MÁQUINAS TEXTILES, DE COSER, DE PUNTO Y DE BORDAR, INCLUIDAS SUS PARTES INTEGRALES")</f>
        <v>MÁQUINAS TEXTILES, DE COSER, DE PUNTO Y DE BORDAR, INCLUIDAS SUS PARTES INTEGRALES</v>
      </c>
      <c r="L3326" s="5" t="str">
        <f ca="1">IFERROR(__xludf.DUMMYFUNCTION("GOOGLETRANSLATE(J3326,""EN"",""ES"")"),"Máquinas para ojales")</f>
        <v>Máquinas para ojales</v>
      </c>
      <c r="M3326" s="8" t="s">
        <v>55</v>
      </c>
      <c r="N3326" s="8"/>
    </row>
    <row r="3327" spans="1:14" ht="11.25" customHeight="1">
      <c r="A3327" s="5" t="s">
        <v>9166</v>
      </c>
      <c r="B3327" s="5" t="s">
        <v>9636</v>
      </c>
      <c r="C3327" s="5" t="s">
        <v>9647</v>
      </c>
      <c r="D3327" s="5" t="s">
        <v>9169</v>
      </c>
      <c r="E3327" s="5" t="s">
        <v>52</v>
      </c>
      <c r="F3327" s="5" t="s">
        <v>9170</v>
      </c>
      <c r="G3327" s="5" t="s">
        <v>152</v>
      </c>
      <c r="H3327" s="5" t="s">
        <v>9638</v>
      </c>
      <c r="I3327" s="5" t="s">
        <v>9648</v>
      </c>
      <c r="J3327" s="5" t="s">
        <v>9649</v>
      </c>
      <c r="K3327" s="7" t="str">
        <f ca="1">IFERROR(__xludf.DUMMYFUNCTION("GOOGLETRANSLATE(H3327,""EN"",""ES"")"),"MÁQUINAS TEXTILES, DE COSER, DE PUNTO Y DE BORDAR, INCLUIDAS SUS PARTES INTEGRALES")</f>
        <v>MÁQUINAS TEXTILES, DE COSER, DE PUNTO Y DE BORDAR, INCLUIDAS SUS PARTES INTEGRALES</v>
      </c>
      <c r="L3327" s="5" t="str">
        <f ca="1">IFERROR(__xludf.DUMMYFUNCTION("GOOGLETRANSLATE(J3327,""EN"",""ES"")"),"Husillos")</f>
        <v>Husillos</v>
      </c>
      <c r="M3327" s="8" t="s">
        <v>55</v>
      </c>
      <c r="N3327" s="8"/>
    </row>
    <row r="3328" spans="1:14" ht="11.25" customHeight="1">
      <c r="A3328" s="5" t="s">
        <v>9166</v>
      </c>
      <c r="B3328" s="5" t="s">
        <v>9636</v>
      </c>
      <c r="C3328" s="5" t="s">
        <v>9650</v>
      </c>
      <c r="D3328" s="5" t="s">
        <v>9169</v>
      </c>
      <c r="E3328" s="5" t="s">
        <v>52</v>
      </c>
      <c r="F3328" s="5" t="s">
        <v>9170</v>
      </c>
      <c r="G3328" s="5" t="s">
        <v>152</v>
      </c>
      <c r="H3328" s="5" t="s">
        <v>9638</v>
      </c>
      <c r="I3328" s="5" t="s">
        <v>9651</v>
      </c>
      <c r="J3328" s="5" t="s">
        <v>9652</v>
      </c>
      <c r="K3328" s="7" t="str">
        <f ca="1">IFERROR(__xludf.DUMMYFUNCTION("GOOGLETRANSLATE(H3328,""EN"",""ES"")"),"MÁQUINAS TEXTILES, DE COSER, DE PUNTO Y DE BORDAR, INCLUIDAS SUS PARTES INTEGRALES")</f>
        <v>MÁQUINAS TEXTILES, DE COSER, DE PUNTO Y DE BORDAR, INCLUIDAS SUS PARTES INTEGRALES</v>
      </c>
      <c r="L3328" s="5" t="str">
        <f ca="1">IFERROR(__xludf.DUMMYFUNCTION("GOOGLETRANSLATE(J3328,""EN"",""ES"")"),"Pasadores de lanzadera")</f>
        <v>Pasadores de lanzadera</v>
      </c>
      <c r="M3328" s="8" t="s">
        <v>55</v>
      </c>
      <c r="N3328" s="8"/>
    </row>
    <row r="3329" spans="1:14" ht="11.25" customHeight="1">
      <c r="A3329" s="5" t="s">
        <v>9166</v>
      </c>
      <c r="B3329" s="5" t="s">
        <v>9636</v>
      </c>
      <c r="C3329" s="5" t="s">
        <v>9653</v>
      </c>
      <c r="D3329" s="5" t="s">
        <v>9169</v>
      </c>
      <c r="E3329" s="5" t="s">
        <v>52</v>
      </c>
      <c r="F3329" s="5" t="s">
        <v>9170</v>
      </c>
      <c r="G3329" s="5" t="s">
        <v>152</v>
      </c>
      <c r="H3329" s="5" t="s">
        <v>9638</v>
      </c>
      <c r="I3329" s="5" t="s">
        <v>9654</v>
      </c>
      <c r="J3329" s="5" t="s">
        <v>9655</v>
      </c>
      <c r="K3329" s="7" t="str">
        <f ca="1">IFERROR(__xludf.DUMMYFUNCTION("GOOGLETRANSLATE(H3329,""EN"",""ES"")"),"MÁQUINAS TEXTILES, DE COSER, DE PUNTO Y DE BORDAR, INCLUIDAS SUS PARTES INTEGRALES")</f>
        <v>MÁQUINAS TEXTILES, DE COSER, DE PUNTO Y DE BORDAR, INCLUIDAS SUS PARTES INTEGRALES</v>
      </c>
      <c r="L3329" s="5" t="str">
        <f ca="1">IFERROR(__xludf.DUMMYFUNCTION("GOOGLETRANSLATE(J3329,""EN"",""ES"")"),"maquinas de bordar")</f>
        <v>maquinas de bordar</v>
      </c>
      <c r="M3329" s="8" t="s">
        <v>55</v>
      </c>
      <c r="N3329" s="8"/>
    </row>
    <row r="3330" spans="1:14" ht="11.25" customHeight="1">
      <c r="A3330" s="5" t="s">
        <v>9166</v>
      </c>
      <c r="B3330" s="5" t="s">
        <v>9636</v>
      </c>
      <c r="C3330" s="5" t="s">
        <v>9656</v>
      </c>
      <c r="D3330" s="5" t="s">
        <v>9169</v>
      </c>
      <c r="E3330" s="5" t="s">
        <v>52</v>
      </c>
      <c r="F3330" s="5" t="s">
        <v>9170</v>
      </c>
      <c r="G3330" s="5" t="s">
        <v>152</v>
      </c>
      <c r="H3330" s="5" t="s">
        <v>9638</v>
      </c>
      <c r="I3330" s="5" t="s">
        <v>9657</v>
      </c>
      <c r="J3330" s="5" t="s">
        <v>9658</v>
      </c>
      <c r="K3330" s="7" t="str">
        <f ca="1">IFERROR(__xludf.DUMMYFUNCTION("GOOGLETRANSLATE(H3330,""EN"",""ES"")"),"MÁQUINAS TEXTILES, DE COSER, DE PUNTO Y DE BORDAR, INCLUIDAS SUS PARTES INTEGRALES")</f>
        <v>MÁQUINAS TEXTILES, DE COSER, DE PUNTO Y DE BORDAR, INCLUIDAS SUS PARTES INTEGRALES</v>
      </c>
      <c r="L3330" s="5" t="str">
        <f ca="1">IFERROR(__xludf.DUMMYFUNCTION("GOOGLETRANSLATE(J3330,""EN"",""ES"")"),"Calandras de rodillos [textil]")</f>
        <v>Calandras de rodillos [textil]</v>
      </c>
      <c r="M3330" s="8" t="s">
        <v>55</v>
      </c>
      <c r="N3330" s="8"/>
    </row>
    <row r="3331" spans="1:14" ht="11.25" customHeight="1">
      <c r="A3331" s="5" t="s">
        <v>9166</v>
      </c>
      <c r="B3331" s="5" t="s">
        <v>9636</v>
      </c>
      <c r="C3331" s="5" t="s">
        <v>9659</v>
      </c>
      <c r="D3331" s="5" t="s">
        <v>9169</v>
      </c>
      <c r="E3331" s="5" t="s">
        <v>52</v>
      </c>
      <c r="F3331" s="5" t="s">
        <v>9170</v>
      </c>
      <c r="G3331" s="5" t="s">
        <v>152</v>
      </c>
      <c r="H3331" s="5" t="s">
        <v>9638</v>
      </c>
      <c r="I3331" s="5" t="s">
        <v>9660</v>
      </c>
      <c r="J3331" s="5" t="s">
        <v>9661</v>
      </c>
      <c r="K3331" s="7" t="str">
        <f ca="1">IFERROR(__xludf.DUMMYFUNCTION("GOOGLETRANSLATE(H3331,""EN"",""ES"")"),"MÁQUINAS TEXTILES, DE COSER, DE PUNTO Y DE BORDAR, INCLUIDAS SUS PARTES INTEGRALES")</f>
        <v>MÁQUINAS TEXTILES, DE COSER, DE PUNTO Y DE BORDAR, INCLUIDAS SUS PARTES INTEGRALES</v>
      </c>
      <c r="L3331" s="5" t="str">
        <f ca="1">IFERROR(__xludf.DUMMYFUNCTION("GOOGLETRANSLATE(J3331,""EN"",""ES"")"),"maquinas de coser")</f>
        <v>maquinas de coser</v>
      </c>
      <c r="M3331" s="8" t="s">
        <v>55</v>
      </c>
      <c r="N3331" s="8"/>
    </row>
    <row r="3332" spans="1:14" ht="11.25" customHeight="1">
      <c r="A3332" s="5" t="s">
        <v>9166</v>
      </c>
      <c r="B3332" s="5" t="s">
        <v>9636</v>
      </c>
      <c r="C3332" s="5" t="s">
        <v>9662</v>
      </c>
      <c r="D3332" s="5" t="s">
        <v>9169</v>
      </c>
      <c r="E3332" s="5" t="s">
        <v>52</v>
      </c>
      <c r="F3332" s="5" t="s">
        <v>9170</v>
      </c>
      <c r="G3332" s="5" t="s">
        <v>152</v>
      </c>
      <c r="H3332" s="5" t="s">
        <v>9638</v>
      </c>
      <c r="I3332" s="5" t="s">
        <v>9663</v>
      </c>
      <c r="J3332" s="5" t="s">
        <v>9664</v>
      </c>
      <c r="K3332" s="7" t="str">
        <f ca="1">IFERROR(__xludf.DUMMYFUNCTION("GOOGLETRANSLATE(H3332,""EN"",""ES"")"),"MÁQUINAS TEXTILES, DE COSER, DE PUNTO Y DE BORDAR, INCLUIDAS SUS PARTES INTEGRALES")</f>
        <v>MÁQUINAS TEXTILES, DE COSER, DE PUNTO Y DE BORDAR, INCLUIDAS SUS PARTES INTEGRALES</v>
      </c>
      <c r="L3332" s="5" t="str">
        <f ca="1">IFERROR(__xludf.DUMMYFUNCTION("GOOGLETRANSLATE(J3332,""EN"",""ES"")"),"Máquinas desenrolladoras")</f>
        <v>Máquinas desenrolladoras</v>
      </c>
      <c r="M3332" s="8" t="s">
        <v>55</v>
      </c>
      <c r="N3332" s="8"/>
    </row>
    <row r="3333" spans="1:14" ht="11.25" customHeight="1">
      <c r="A3333" s="5" t="s">
        <v>9166</v>
      </c>
      <c r="B3333" s="5" t="s">
        <v>9636</v>
      </c>
      <c r="C3333" s="5" t="s">
        <v>9665</v>
      </c>
      <c r="D3333" s="5" t="s">
        <v>9169</v>
      </c>
      <c r="E3333" s="5" t="s">
        <v>52</v>
      </c>
      <c r="F3333" s="5" t="s">
        <v>9170</v>
      </c>
      <c r="G3333" s="5" t="s">
        <v>152</v>
      </c>
      <c r="H3333" s="5" t="s">
        <v>9638</v>
      </c>
      <c r="I3333" s="5" t="s">
        <v>9666</v>
      </c>
      <c r="J3333" s="5" t="s">
        <v>9667</v>
      </c>
      <c r="K3333" s="7" t="str">
        <f ca="1">IFERROR(__xludf.DUMMYFUNCTION("GOOGLETRANSLATE(H3333,""EN"",""ES"")"),"MÁQUINAS TEXTILES, DE COSER, DE PUNTO Y DE BORDAR, INCLUIDAS SUS PARTES INTEGRALES")</f>
        <v>MÁQUINAS TEXTILES, DE COSER, DE PUNTO Y DE BORDAR, INCLUIDAS SUS PARTES INTEGRALES</v>
      </c>
      <c r="L3333" s="5" t="str">
        <f ca="1">IFERROR(__xludf.DUMMYFUNCTION("GOOGLETRANSLATE(J3333,""EN"",""ES"")"),"Bobinas para máquinas textiles")</f>
        <v>Bobinas para máquinas textiles</v>
      </c>
      <c r="M3333" s="8" t="s">
        <v>55</v>
      </c>
      <c r="N3333" s="8"/>
    </row>
    <row r="3334" spans="1:14" ht="11.25" customHeight="1">
      <c r="A3334" s="5" t="s">
        <v>9166</v>
      </c>
      <c r="B3334" s="5" t="s">
        <v>9636</v>
      </c>
      <c r="C3334" s="5" t="s">
        <v>9668</v>
      </c>
      <c r="D3334" s="5" t="s">
        <v>9169</v>
      </c>
      <c r="E3334" s="5" t="s">
        <v>52</v>
      </c>
      <c r="F3334" s="5" t="s">
        <v>9170</v>
      </c>
      <c r="G3334" s="5" t="s">
        <v>152</v>
      </c>
      <c r="H3334" s="5" t="s">
        <v>9638</v>
      </c>
      <c r="I3334" s="5" t="s">
        <v>9669</v>
      </c>
      <c r="J3334" s="5" t="s">
        <v>9670</v>
      </c>
      <c r="K3334" s="7" t="str">
        <f ca="1">IFERROR(__xludf.DUMMYFUNCTION("GOOGLETRANSLATE(H3334,""EN"",""ES"")"),"MÁQUINAS TEXTILES, DE COSER, DE PUNTO Y DE BORDAR, INCLUIDAS SUS PARTES INTEGRALES")</f>
        <v>MÁQUINAS TEXTILES, DE COSER, DE PUNTO Y DE BORDAR, INCLUIDAS SUS PARTES INTEGRALES</v>
      </c>
      <c r="L3334" s="5" t="str">
        <f ca="1">IFERROR(__xludf.DUMMYFUNCTION("GOOGLETRANSLATE(J3334,""EN"",""ES"")"),"Máquinas de corte para textiles")</f>
        <v>Máquinas de corte para textiles</v>
      </c>
      <c r="M3334" s="8" t="s">
        <v>55</v>
      </c>
      <c r="N3334" s="8"/>
    </row>
    <row r="3335" spans="1:14" ht="11.25" customHeight="1">
      <c r="A3335" s="5" t="s">
        <v>9166</v>
      </c>
      <c r="B3335" s="5" t="s">
        <v>9636</v>
      </c>
      <c r="C3335" s="5" t="s">
        <v>9671</v>
      </c>
      <c r="D3335" s="5" t="s">
        <v>9169</v>
      </c>
      <c r="E3335" s="5" t="s">
        <v>52</v>
      </c>
      <c r="F3335" s="5" t="s">
        <v>9170</v>
      </c>
      <c r="G3335" s="5" t="s">
        <v>152</v>
      </c>
      <c r="H3335" s="5" t="s">
        <v>9638</v>
      </c>
      <c r="I3335" s="5" t="s">
        <v>9672</v>
      </c>
      <c r="J3335" s="5" t="s">
        <v>9673</v>
      </c>
      <c r="K3335" s="7" t="str">
        <f ca="1">IFERROR(__xludf.DUMMYFUNCTION("GOOGLETRANSLATE(H3335,""EN"",""ES"")"),"MÁQUINAS TEXTILES, DE COSER, DE PUNTO Y DE BORDAR, INCLUIDAS SUS PARTES INTEGRALES")</f>
        <v>MÁQUINAS TEXTILES, DE COSER, DE PUNTO Y DE BORDAR, INCLUIDAS SUS PARTES INTEGRALES</v>
      </c>
      <c r="L3335" s="5" t="str">
        <f ca="1">IFERROR(__xludf.DUMMYFUNCTION("GOOGLETRANSLATE(J3335,""EN"",""ES"")"),"Desmotadoras de algodón")</f>
        <v>Desmotadoras de algodón</v>
      </c>
      <c r="M3335" s="8" t="s">
        <v>55</v>
      </c>
      <c r="N3335" s="8"/>
    </row>
    <row r="3336" spans="1:14" ht="11.25" customHeight="1">
      <c r="A3336" s="5" t="s">
        <v>9166</v>
      </c>
      <c r="B3336" s="5" t="s">
        <v>9636</v>
      </c>
      <c r="C3336" s="5" t="s">
        <v>9674</v>
      </c>
      <c r="D3336" s="5" t="s">
        <v>9169</v>
      </c>
      <c r="E3336" s="5" t="s">
        <v>52</v>
      </c>
      <c r="F3336" s="5" t="s">
        <v>9170</v>
      </c>
      <c r="G3336" s="5" t="s">
        <v>152</v>
      </c>
      <c r="H3336" s="5" t="s">
        <v>9638</v>
      </c>
      <c r="I3336" s="5" t="s">
        <v>9675</v>
      </c>
      <c r="J3336" s="5" t="s">
        <v>9676</v>
      </c>
      <c r="K3336" s="7" t="str">
        <f ca="1">IFERROR(__xludf.DUMMYFUNCTION("GOOGLETRANSLATE(H3336,""EN"",""ES"")"),"MÁQUINAS TEXTILES, DE COSER, DE PUNTO Y DE BORDAR, INCLUIDAS SUS PARTES INTEGRALES")</f>
        <v>MÁQUINAS TEXTILES, DE COSER, DE PUNTO Y DE BORDAR, INCLUIDAS SUS PARTES INTEGRALES</v>
      </c>
      <c r="L3336" s="5" t="str">
        <f ca="1">IFERROR(__xludf.DUMMYFUNCTION("GOOGLETRANSLATE(J3336,""EN"",""ES"")"),"Máquinas de hilar")</f>
        <v>Máquinas de hilar</v>
      </c>
      <c r="M3336" s="8" t="s">
        <v>55</v>
      </c>
      <c r="N3336" s="8"/>
    </row>
    <row r="3337" spans="1:14" ht="11.25" customHeight="1">
      <c r="A3337" s="5" t="s">
        <v>9166</v>
      </c>
      <c r="B3337" s="5" t="s">
        <v>9636</v>
      </c>
      <c r="C3337" s="5" t="s">
        <v>9677</v>
      </c>
      <c r="D3337" s="5" t="s">
        <v>9169</v>
      </c>
      <c r="E3337" s="5" t="s">
        <v>52</v>
      </c>
      <c r="F3337" s="5" t="s">
        <v>9170</v>
      </c>
      <c r="G3337" s="5" t="s">
        <v>152</v>
      </c>
      <c r="H3337" s="5" t="s">
        <v>9638</v>
      </c>
      <c r="I3337" s="5" t="s">
        <v>9678</v>
      </c>
      <c r="J3337" s="5" t="s">
        <v>9679</v>
      </c>
      <c r="K3337" s="7" t="str">
        <f ca="1">IFERROR(__xludf.DUMMYFUNCTION("GOOGLETRANSLATE(H3337,""EN"",""ES"")"),"MÁQUINAS TEXTILES, DE COSER, DE PUNTO Y DE BORDAR, INCLUIDAS SUS PARTES INTEGRALES")</f>
        <v>MÁQUINAS TEXTILES, DE COSER, DE PUNTO Y DE BORDAR, INCLUIDAS SUS PARTES INTEGRALES</v>
      </c>
      <c r="L3337" s="5" t="str">
        <f ca="1">IFERROR(__xludf.DUMMYFUNCTION("GOOGLETRANSLATE(J3337,""EN"",""ES"")"),"Humidificadores de hilo [hilados]")</f>
        <v>Humidificadores de hilo [hilados]</v>
      </c>
      <c r="M3337" s="8" t="s">
        <v>55</v>
      </c>
      <c r="N3337" s="8"/>
    </row>
    <row r="3338" spans="1:14" ht="11.25" customHeight="1">
      <c r="A3338" s="5" t="s">
        <v>9166</v>
      </c>
      <c r="B3338" s="5" t="s">
        <v>9636</v>
      </c>
      <c r="C3338" s="5" t="s">
        <v>9680</v>
      </c>
      <c r="D3338" s="5" t="s">
        <v>9169</v>
      </c>
      <c r="E3338" s="5" t="s">
        <v>52</v>
      </c>
      <c r="F3338" s="5" t="s">
        <v>9170</v>
      </c>
      <c r="G3338" s="5" t="s">
        <v>152</v>
      </c>
      <c r="H3338" s="5" t="s">
        <v>9638</v>
      </c>
      <c r="I3338" s="5" t="s">
        <v>9681</v>
      </c>
      <c r="J3338" s="5" t="s">
        <v>9682</v>
      </c>
      <c r="K3338" s="7" t="str">
        <f ca="1">IFERROR(__xludf.DUMMYFUNCTION("GOOGLETRANSLATE(H3338,""EN"",""ES"")"),"MÁQUINAS TEXTILES, DE COSER, DE PUNTO Y DE BORDAR, INCLUIDAS SUS PARTES INTEGRALES")</f>
        <v>MÁQUINAS TEXTILES, DE COSER, DE PUNTO Y DE BORDAR, INCLUIDAS SUS PARTES INTEGRALES</v>
      </c>
      <c r="L3338" s="5" t="str">
        <f ca="1">IFERROR(__xludf.DUMMYFUNCTION("GOOGLETRANSLATE(J3338,""EN"",""ES"")"),"Molinos de torsión")</f>
        <v>Molinos de torsión</v>
      </c>
      <c r="M3338" s="8" t="s">
        <v>55</v>
      </c>
      <c r="N3338" s="8"/>
    </row>
    <row r="3339" spans="1:14" ht="11.25" customHeight="1">
      <c r="A3339" s="5" t="s">
        <v>9166</v>
      </c>
      <c r="B3339" s="5" t="s">
        <v>9636</v>
      </c>
      <c r="C3339" s="5" t="s">
        <v>9683</v>
      </c>
      <c r="D3339" s="5" t="s">
        <v>9169</v>
      </c>
      <c r="E3339" s="5" t="s">
        <v>52</v>
      </c>
      <c r="F3339" s="5" t="s">
        <v>9170</v>
      </c>
      <c r="G3339" s="5" t="s">
        <v>152</v>
      </c>
      <c r="H3339" s="5" t="s">
        <v>9638</v>
      </c>
      <c r="I3339" s="5" t="s">
        <v>9684</v>
      </c>
      <c r="J3339" s="5" t="s">
        <v>9685</v>
      </c>
      <c r="K3339" s="7" t="str">
        <f ca="1">IFERROR(__xludf.DUMMYFUNCTION("GOOGLETRANSLATE(H3339,""EN"",""ES"")"),"MÁQUINAS TEXTILES, DE COSER, DE PUNTO Y DE BORDAR, INCLUIDAS SUS PARTES INTEGRALES")</f>
        <v>MÁQUINAS TEXTILES, DE COSER, DE PUNTO Y DE BORDAR, INCLUIDAS SUS PARTES INTEGRALES</v>
      </c>
      <c r="L3339" s="5" t="str">
        <f ca="1">IFERROR(__xludf.DUMMYFUNCTION("GOOGLETRANSLATE(J3339,""EN"",""ES"")"),"Telares")</f>
        <v>Telares</v>
      </c>
      <c r="M3339" s="8" t="s">
        <v>55</v>
      </c>
      <c r="N3339" s="8"/>
    </row>
    <row r="3340" spans="1:14" ht="11.25" customHeight="1">
      <c r="A3340" s="5" t="s">
        <v>9166</v>
      </c>
      <c r="B3340" s="5" t="s">
        <v>9636</v>
      </c>
      <c r="C3340" s="5" t="s">
        <v>9686</v>
      </c>
      <c r="D3340" s="5" t="s">
        <v>9169</v>
      </c>
      <c r="E3340" s="5" t="s">
        <v>52</v>
      </c>
      <c r="F3340" s="5" t="s">
        <v>9170</v>
      </c>
      <c r="G3340" s="5" t="s">
        <v>152</v>
      </c>
      <c r="H3340" s="5" t="s">
        <v>9638</v>
      </c>
      <c r="I3340" s="5" t="s">
        <v>9687</v>
      </c>
      <c r="J3340" s="5" t="s">
        <v>9688</v>
      </c>
      <c r="K3340" s="7" t="str">
        <f ca="1">IFERROR(__xludf.DUMMYFUNCTION("GOOGLETRANSLATE(H3340,""EN"",""ES"")"),"MÁQUINAS TEXTILES, DE COSER, DE PUNTO Y DE BORDAR, INCLUIDAS SUS PARTES INTEGRALES")</f>
        <v>MÁQUINAS TEXTILES, DE COSER, DE PUNTO Y DE BORDAR, INCLUIDAS SUS PARTES INTEGRALES</v>
      </c>
      <c r="L3340" s="5" t="str">
        <f ca="1">IFERROR(__xludf.DUMMYFUNCTION("GOOGLETRANSLATE(J3340,""EN"",""ES"")"),"Telares de tejer")</f>
        <v>Telares de tejer</v>
      </c>
      <c r="M3340" s="8" t="s">
        <v>55</v>
      </c>
      <c r="N3340" s="8"/>
    </row>
    <row r="3341" spans="1:14" ht="11.25" customHeight="1">
      <c r="A3341" s="5" t="s">
        <v>9166</v>
      </c>
      <c r="B3341" s="5" t="s">
        <v>9636</v>
      </c>
      <c r="C3341" s="5" t="s">
        <v>9689</v>
      </c>
      <c r="D3341" s="5" t="s">
        <v>9169</v>
      </c>
      <c r="E3341" s="5" t="s">
        <v>52</v>
      </c>
      <c r="F3341" s="5" t="s">
        <v>9170</v>
      </c>
      <c r="G3341" s="5" t="s">
        <v>152</v>
      </c>
      <c r="H3341" s="5" t="s">
        <v>9638</v>
      </c>
      <c r="I3341" s="5" t="s">
        <v>9690</v>
      </c>
      <c r="J3341" s="5" t="s">
        <v>9691</v>
      </c>
      <c r="K3341" s="7" t="str">
        <f ca="1">IFERROR(__xludf.DUMMYFUNCTION("GOOGLETRANSLATE(H3341,""EN"",""ES"")"),"MÁQUINAS TEXTILES, DE COSER, DE PUNTO Y DE BORDAR, INCLUIDAS SUS PARTES INTEGRALES")</f>
        <v>MÁQUINAS TEXTILES, DE COSER, DE PUNTO Y DE BORDAR, INCLUIDAS SUS PARTES INTEGRALES</v>
      </c>
      <c r="L3341" s="5" t="str">
        <f ca="1">IFERROR(__xludf.DUMMYFUNCTION("GOOGLETRANSLATE(J3341,""EN"",""ES"")"),"Telares para tul y encaje")</f>
        <v>Telares para tul y encaje</v>
      </c>
      <c r="M3341" s="8" t="s">
        <v>55</v>
      </c>
      <c r="N3341" s="8"/>
    </row>
    <row r="3342" spans="1:14" ht="11.25" customHeight="1">
      <c r="A3342" s="5" t="s">
        <v>9166</v>
      </c>
      <c r="B3342" s="5" t="s">
        <v>9636</v>
      </c>
      <c r="C3342" s="5" t="s">
        <v>9692</v>
      </c>
      <c r="D3342" s="5" t="s">
        <v>9169</v>
      </c>
      <c r="E3342" s="5" t="s">
        <v>52</v>
      </c>
      <c r="F3342" s="5" t="s">
        <v>9170</v>
      </c>
      <c r="G3342" s="5" t="s">
        <v>152</v>
      </c>
      <c r="H3342" s="5" t="s">
        <v>9638</v>
      </c>
      <c r="I3342" s="5" t="s">
        <v>9693</v>
      </c>
      <c r="J3342" s="5" t="s">
        <v>9694</v>
      </c>
      <c r="K3342" s="7" t="str">
        <f ca="1">IFERROR(__xludf.DUMMYFUNCTION("GOOGLETRANSLATE(H3342,""EN"",""ES"")"),"MÁQUINAS TEXTILES, DE COSER, DE PUNTO Y DE BORDAR, INCLUIDAS SUS PARTES INTEGRALES")</f>
        <v>MÁQUINAS TEXTILES, DE COSER, DE PUNTO Y DE BORDAR, INCLUIDAS SUS PARTES INTEGRALES</v>
      </c>
      <c r="L3342" s="5" t="str">
        <f ca="1">IFERROR(__xludf.DUMMYFUNCTION("GOOGLETRANSLATE(J3342,""EN"",""ES"")"),"Urdidores")</f>
        <v>Urdidores</v>
      </c>
      <c r="M3342" s="8" t="s">
        <v>55</v>
      </c>
      <c r="N3342" s="8"/>
    </row>
    <row r="3343" spans="1:14" ht="11.25" customHeight="1">
      <c r="A3343" s="5" t="s">
        <v>9166</v>
      </c>
      <c r="B3343" s="5" t="s">
        <v>9636</v>
      </c>
      <c r="C3343" s="5" t="s">
        <v>9695</v>
      </c>
      <c r="D3343" s="5" t="s">
        <v>9169</v>
      </c>
      <c r="E3343" s="5" t="s">
        <v>52</v>
      </c>
      <c r="F3343" s="5" t="s">
        <v>9170</v>
      </c>
      <c r="G3343" s="5" t="s">
        <v>152</v>
      </c>
      <c r="H3343" s="5" t="s">
        <v>9638</v>
      </c>
      <c r="I3343" s="5" t="s">
        <v>9696</v>
      </c>
      <c r="J3343" s="5" t="s">
        <v>9697</v>
      </c>
      <c r="K3343" s="7" t="str">
        <f ca="1">IFERROR(__xludf.DUMMYFUNCTION("GOOGLETRANSLATE(H3343,""EN"",""ES"")"),"MÁQUINAS TEXTILES, DE COSER, DE PUNTO Y DE BORDAR, INCLUIDAS SUS PARTES INTEGRALES")</f>
        <v>MÁQUINAS TEXTILES, DE COSER, DE PUNTO Y DE BORDAR, INCLUIDAS SUS PARTES INTEGRALES</v>
      </c>
      <c r="L3343" s="5" t="str">
        <f ca="1">IFERROR(__xludf.DUMMYFUNCTION("GOOGLETRANSLATE(J3343,""EN"",""ES"")"),"Dobladillos")</f>
        <v>Dobladillos</v>
      </c>
      <c r="M3343" s="8" t="s">
        <v>55</v>
      </c>
      <c r="N3343" s="8"/>
    </row>
    <row r="3344" spans="1:14" ht="11.25" customHeight="1">
      <c r="A3344" s="5" t="s">
        <v>9166</v>
      </c>
      <c r="B3344" s="5" t="s">
        <v>9636</v>
      </c>
      <c r="C3344" s="5" t="s">
        <v>9698</v>
      </c>
      <c r="D3344" s="5" t="s">
        <v>9169</v>
      </c>
      <c r="E3344" s="5" t="s">
        <v>52</v>
      </c>
      <c r="F3344" s="5" t="s">
        <v>9170</v>
      </c>
      <c r="G3344" s="5" t="s">
        <v>152</v>
      </c>
      <c r="H3344" s="5" t="s">
        <v>9638</v>
      </c>
      <c r="I3344" s="5" t="s">
        <v>9699</v>
      </c>
      <c r="J3344" s="5" t="s">
        <v>9700</v>
      </c>
      <c r="K3344" s="7" t="str">
        <f ca="1">IFERROR(__xludf.DUMMYFUNCTION("GOOGLETRANSLATE(H3344,""EN"",""ES"")"),"MÁQUINAS TEXTILES, DE COSER, DE PUNTO Y DE BORDAR, INCLUIDAS SUS PARTES INTEGRALES")</f>
        <v>MÁQUINAS TEXTILES, DE COSER, DE PUNTO Y DE BORDAR, INCLUIDAS SUS PARTES INTEGRALES</v>
      </c>
      <c r="L3344" s="5" t="str">
        <f ca="1">IFERROR(__xludf.DUMMYFUNCTION("GOOGLETRANSLATE(J3344,""EN"",""ES"")"),"Peines [tejido]")</f>
        <v>Peines [tejido]</v>
      </c>
      <c r="M3344" s="8" t="s">
        <v>55</v>
      </c>
      <c r="N3344" s="8"/>
    </row>
    <row r="3345" spans="1:14" ht="11.25" customHeight="1">
      <c r="A3345" s="5" t="s">
        <v>9166</v>
      </c>
      <c r="B3345" s="5" t="s">
        <v>9636</v>
      </c>
      <c r="C3345" s="5" t="s">
        <v>9701</v>
      </c>
      <c r="D3345" s="5" t="s">
        <v>9169</v>
      </c>
      <c r="E3345" s="5" t="s">
        <v>52</v>
      </c>
      <c r="F3345" s="5" t="s">
        <v>9170</v>
      </c>
      <c r="G3345" s="5" t="s">
        <v>152</v>
      </c>
      <c r="H3345" s="5" t="s">
        <v>9638</v>
      </c>
      <c r="I3345" s="5" t="s">
        <v>9702</v>
      </c>
      <c r="J3345" s="5" t="s">
        <v>9703</v>
      </c>
      <c r="K3345" s="7" t="str">
        <f ca="1">IFERROR(__xludf.DUMMYFUNCTION("GOOGLETRANSLATE(H3345,""EN"",""ES"")"),"MÁQUINAS TEXTILES, DE COSER, DE PUNTO Y DE BORDAR, INCLUIDAS SUS PARTES INTEGRALES")</f>
        <v>MÁQUINAS TEXTILES, DE COSER, DE PUNTO Y DE BORDAR, INCLUIDAS SUS PARTES INTEGRALES</v>
      </c>
      <c r="L3345" s="5" t="str">
        <f ca="1">IFERROR(__xludf.DUMMYFUNCTION("GOOGLETRANSLATE(J3345,""EN"",""ES"")"),"Máquinas de bolas")</f>
        <v>Máquinas de bolas</v>
      </c>
      <c r="M3345" s="8" t="s">
        <v>55</v>
      </c>
      <c r="N3345" s="8"/>
    </row>
    <row r="3346" spans="1:14" ht="11.25" customHeight="1">
      <c r="A3346" s="5" t="s">
        <v>9166</v>
      </c>
      <c r="B3346" s="5" t="s">
        <v>9636</v>
      </c>
      <c r="C3346" s="5" t="s">
        <v>9704</v>
      </c>
      <c r="D3346" s="5" t="s">
        <v>9169</v>
      </c>
      <c r="E3346" s="5" t="s">
        <v>52</v>
      </c>
      <c r="F3346" s="5" t="s">
        <v>9170</v>
      </c>
      <c r="G3346" s="5" t="s">
        <v>152</v>
      </c>
      <c r="H3346" s="5" t="s">
        <v>9638</v>
      </c>
      <c r="I3346" s="5" t="s">
        <v>9705</v>
      </c>
      <c r="J3346" s="5" t="s">
        <v>9706</v>
      </c>
      <c r="K3346" s="7" t="str">
        <f ca="1">IFERROR(__xludf.DUMMYFUNCTION("GOOGLETRANSLATE(H3346,""EN"",""ES"")"),"MÁQUINAS TEXTILES, DE COSER, DE PUNTO Y DE BORDAR, INCLUIDAS SUS PARTES INTEGRALES")</f>
        <v>MÁQUINAS TEXTILES, DE COSER, DE PUNTO Y DE BORDAR, INCLUIDAS SUS PARTES INTEGRALES</v>
      </c>
      <c r="L3346" s="5" t="str">
        <f ca="1">IFERROR(__xludf.DUMMYFUNCTION("GOOGLETRANSLATE(J3346,""EN"",""ES"")"),"máquinas de zurcir")</f>
        <v>máquinas de zurcir</v>
      </c>
      <c r="M3346" s="8" t="s">
        <v>55</v>
      </c>
      <c r="N3346" s="8"/>
    </row>
    <row r="3347" spans="1:14" ht="11.25" customHeight="1">
      <c r="A3347" s="5" t="s">
        <v>9166</v>
      </c>
      <c r="B3347" s="5" t="s">
        <v>9636</v>
      </c>
      <c r="C3347" s="5" t="s">
        <v>9707</v>
      </c>
      <c r="D3347" s="5" t="s">
        <v>9169</v>
      </c>
      <c r="E3347" s="5" t="s">
        <v>52</v>
      </c>
      <c r="F3347" s="5" t="s">
        <v>9170</v>
      </c>
      <c r="G3347" s="5" t="s">
        <v>152</v>
      </c>
      <c r="H3347" s="5" t="s">
        <v>9638</v>
      </c>
      <c r="I3347" s="5" t="s">
        <v>9708</v>
      </c>
      <c r="J3347" s="5" t="s">
        <v>9709</v>
      </c>
      <c r="K3347" s="7" t="str">
        <f ca="1">IFERROR(__xludf.DUMMYFUNCTION("GOOGLETRANSLATE(H3347,""EN"",""ES"")"),"MÁQUINAS TEXTILES, DE COSER, DE PUNTO Y DE BORDAR, INCLUIDAS SUS PARTES INTEGRALES")</f>
        <v>MÁQUINAS TEXTILES, DE COSER, DE PUNTO Y DE BORDAR, INCLUIDAS SUS PARTES INTEGRALES</v>
      </c>
      <c r="L3347" s="5" t="str">
        <f ca="1">IFERROR(__xludf.DUMMYFUNCTION("GOOGLETRANSLATE(J3347,""EN"",""ES"")"),"Ruedas giratorias")</f>
        <v>Ruedas giratorias</v>
      </c>
      <c r="M3347" s="8" t="s">
        <v>55</v>
      </c>
      <c r="N3347" s="8"/>
    </row>
    <row r="3348" spans="1:14" ht="11.25" customHeight="1">
      <c r="A3348" s="5" t="s">
        <v>9166</v>
      </c>
      <c r="B3348" s="5" t="s">
        <v>9636</v>
      </c>
      <c r="C3348" s="5" t="s">
        <v>9710</v>
      </c>
      <c r="D3348" s="5" t="s">
        <v>9169</v>
      </c>
      <c r="E3348" s="5" t="s">
        <v>52</v>
      </c>
      <c r="F3348" s="5" t="s">
        <v>9170</v>
      </c>
      <c r="G3348" s="5" t="s">
        <v>152</v>
      </c>
      <c r="H3348" s="5" t="s">
        <v>9638</v>
      </c>
      <c r="I3348" s="5" t="s">
        <v>9711</v>
      </c>
      <c r="J3348" s="5" t="s">
        <v>9712</v>
      </c>
      <c r="K3348" s="7" t="str">
        <f ca="1">IFERROR(__xludf.DUMMYFUNCTION("GOOGLETRANSLATE(H3348,""EN"",""ES"")"),"MÁQUINAS TEXTILES, DE COSER, DE PUNTO Y DE BORDAR, INCLUIDAS SUS PARTES INTEGRALES")</f>
        <v>MÁQUINAS TEXTILES, DE COSER, DE PUNTO Y DE BORDAR, INCLUIDAS SUS PARTES INTEGRALES</v>
      </c>
      <c r="L3348" s="5" t="str">
        <f ca="1">IFERROR(__xludf.DUMMYFUNCTION("GOOGLETRANSLATE(J3348,""EN"",""ES"")"),"Maquinaria para tejer")</f>
        <v>Maquinaria para tejer</v>
      </c>
      <c r="M3348" s="8" t="s">
        <v>55</v>
      </c>
      <c r="N3348" s="8"/>
    </row>
    <row r="3349" spans="1:14" ht="11.25" customHeight="1">
      <c r="A3349" s="5" t="s">
        <v>9166</v>
      </c>
      <c r="B3349" s="5" t="s">
        <v>9636</v>
      </c>
      <c r="C3349" s="5" t="s">
        <v>9713</v>
      </c>
      <c r="D3349" s="5" t="s">
        <v>9169</v>
      </c>
      <c r="E3349" s="5" t="s">
        <v>52</v>
      </c>
      <c r="F3349" s="5" t="s">
        <v>9170</v>
      </c>
      <c r="G3349" s="5" t="s">
        <v>152</v>
      </c>
      <c r="H3349" s="5" t="s">
        <v>9638</v>
      </c>
      <c r="I3349" s="5" t="s">
        <v>9714</v>
      </c>
      <c r="J3349" s="5" t="s">
        <v>9715</v>
      </c>
      <c r="K3349" s="7" t="str">
        <f ca="1">IFERROR(__xludf.DUMMYFUNCTION("GOOGLETRANSLATE(H3349,""EN"",""ES"")"),"MÁQUINAS TEXTILES, DE COSER, DE PUNTO Y DE BORDAR, INCLUIDAS SUS PARTES INTEGRALES")</f>
        <v>MÁQUINAS TEXTILES, DE COSER, DE PUNTO Y DE BORDAR, INCLUIDAS SUS PARTES INTEGRALES</v>
      </c>
      <c r="L3349" s="5" t="str">
        <f ca="1">IFERROR(__xludf.DUMMYFUNCTION("GOOGLETRANSLATE(J3349,""EN"",""ES"")"),"Máquinas trenzadoras [textil]")</f>
        <v>Máquinas trenzadoras [textil]</v>
      </c>
      <c r="M3349" s="8" t="s">
        <v>55</v>
      </c>
      <c r="N3349" s="8"/>
    </row>
    <row r="3350" spans="1:14" ht="11.25" customHeight="1">
      <c r="A3350" s="5" t="s">
        <v>9166</v>
      </c>
      <c r="B3350" s="5" t="s">
        <v>9636</v>
      </c>
      <c r="C3350" s="5" t="s">
        <v>9716</v>
      </c>
      <c r="D3350" s="5" t="s">
        <v>9169</v>
      </c>
      <c r="E3350" s="5" t="s">
        <v>52</v>
      </c>
      <c r="F3350" s="5" t="s">
        <v>9170</v>
      </c>
      <c r="G3350" s="5" t="s">
        <v>152</v>
      </c>
      <c r="H3350" s="5" t="s">
        <v>9638</v>
      </c>
      <c r="I3350" s="5" t="s">
        <v>9717</v>
      </c>
      <c r="J3350" s="5" t="s">
        <v>9718</v>
      </c>
      <c r="K3350" s="7" t="str">
        <f ca="1">IFERROR(__xludf.DUMMYFUNCTION("GOOGLETRANSLATE(H3350,""EN"",""ES"")"),"MÁQUINAS TEXTILES, DE COSER, DE PUNTO Y DE BORDAR, INCLUIDAS SUS PARTES INTEGRALES")</f>
        <v>MÁQUINAS TEXTILES, DE COSER, DE PUNTO Y DE BORDAR, INCLUIDAS SUS PARTES INTEGRALES</v>
      </c>
      <c r="L3350" s="5" t="str">
        <f ca="1">IFERROR(__xludf.DUMMYFUNCTION("GOOGLETRANSLATE(J3350,""EN"",""ES"")"),"Máquinas de tejer")</f>
        <v>Máquinas de tejer</v>
      </c>
      <c r="M3350" s="8" t="s">
        <v>55</v>
      </c>
      <c r="N3350" s="8"/>
    </row>
    <row r="3351" spans="1:14" ht="11.25" customHeight="1">
      <c r="A3351" s="5" t="s">
        <v>9166</v>
      </c>
      <c r="B3351" s="5" t="s">
        <v>9636</v>
      </c>
      <c r="C3351" s="5" t="s">
        <v>9719</v>
      </c>
      <c r="D3351" s="5" t="s">
        <v>9169</v>
      </c>
      <c r="E3351" s="5" t="s">
        <v>52</v>
      </c>
      <c r="F3351" s="5" t="s">
        <v>9170</v>
      </c>
      <c r="G3351" s="5" t="s">
        <v>152</v>
      </c>
      <c r="H3351" s="5" t="s">
        <v>9638</v>
      </c>
      <c r="I3351" s="5" t="s">
        <v>9720</v>
      </c>
      <c r="J3351" s="5" t="s">
        <v>9721</v>
      </c>
      <c r="K3351" s="7" t="str">
        <f ca="1">IFERROR(__xludf.DUMMYFUNCTION("GOOGLETRANSLATE(H3351,""EN"",""ES"")"),"MÁQUINAS TEXTILES, DE COSER, DE PUNTO Y DE BORDAR, INCLUIDAS SUS PARTES INTEGRALES")</f>
        <v>MÁQUINAS TEXTILES, DE COSER, DE PUNTO Y DE BORDAR, INCLUIDAS SUS PARTES INTEGRALES</v>
      </c>
      <c r="L3351" s="5" t="str">
        <f ca="1">IFERROR(__xludf.DUMMYFUNCTION("GOOGLETRANSLATE(J3351,""EN"",""ES"")"),"Telares de calcetería")</f>
        <v>Telares de calcetería</v>
      </c>
      <c r="M3351" s="8" t="s">
        <v>55</v>
      </c>
      <c r="N3351" s="8"/>
    </row>
    <row r="3352" spans="1:14" ht="11.25" customHeight="1">
      <c r="A3352" s="5" t="s">
        <v>9166</v>
      </c>
      <c r="B3352" s="5" t="s">
        <v>9636</v>
      </c>
      <c r="C3352" s="5" t="s">
        <v>9722</v>
      </c>
      <c r="D3352" s="5" t="s">
        <v>9169</v>
      </c>
      <c r="E3352" s="5" t="s">
        <v>52</v>
      </c>
      <c r="F3352" s="5" t="s">
        <v>9170</v>
      </c>
      <c r="G3352" s="5" t="s">
        <v>152</v>
      </c>
      <c r="H3352" s="5" t="s">
        <v>9638</v>
      </c>
      <c r="I3352" s="5" t="s">
        <v>9723</v>
      </c>
      <c r="J3352" s="5" t="s">
        <v>9724</v>
      </c>
      <c r="K3352" s="7" t="str">
        <f ca="1">IFERROR(__xludf.DUMMYFUNCTION("GOOGLETRANSLATE(H3352,""EN"",""ES"")"),"MÁQUINAS TEXTILES, DE COSER, DE PUNTO Y DE BORDAR, INCLUIDAS SUS PARTES INTEGRALES")</f>
        <v>MÁQUINAS TEXTILES, DE COSER, DE PUNTO Y DE BORDAR, INCLUIDAS SUS PARTES INTEGRALES</v>
      </c>
      <c r="L3352" s="5" t="str">
        <f ca="1">IFERROR(__xludf.DUMMYFUNCTION("GOOGLETRANSLATE(J3352,""EN"",""ES"")"),"Marcos de bordado")</f>
        <v>Marcos de bordado</v>
      </c>
      <c r="M3352" s="8" t="s">
        <v>55</v>
      </c>
      <c r="N3352" s="8"/>
    </row>
    <row r="3353" spans="1:14" ht="11.25" customHeight="1">
      <c r="A3353" s="5" t="s">
        <v>9166</v>
      </c>
      <c r="B3353" s="5" t="s">
        <v>9636</v>
      </c>
      <c r="C3353" s="5" t="s">
        <v>9725</v>
      </c>
      <c r="D3353" s="5" t="s">
        <v>9169</v>
      </c>
      <c r="E3353" s="5" t="s">
        <v>52</v>
      </c>
      <c r="F3353" s="5" t="s">
        <v>9170</v>
      </c>
      <c r="G3353" s="5" t="s">
        <v>152</v>
      </c>
      <c r="H3353" s="5" t="s">
        <v>9638</v>
      </c>
      <c r="I3353" s="5" t="s">
        <v>9726</v>
      </c>
      <c r="J3353" s="5" t="s">
        <v>9727</v>
      </c>
      <c r="K3353" s="7" t="str">
        <f ca="1">IFERROR(__xludf.DUMMYFUNCTION("GOOGLETRANSLATE(H3353,""EN"",""ES"")"),"MÁQUINAS TEXTILES, DE COSER, DE PUNTO Y DE BORDAR, INCLUIDAS SUS PARTES INTEGRALES")</f>
        <v>MÁQUINAS TEXTILES, DE COSER, DE PUNTO Y DE BORDAR, INCLUIDAS SUS PARTES INTEGRALES</v>
      </c>
      <c r="L3353" s="5" t="str">
        <f ca="1">IFERROR(__xludf.DUMMYFUNCTION("GOOGLETRANSLATE(J3353,""EN"",""ES"")"),"Marcos giratorios")</f>
        <v>Marcos giratorios</v>
      </c>
      <c r="M3353" s="8" t="s">
        <v>55</v>
      </c>
      <c r="N3353" s="8"/>
    </row>
    <row r="3354" spans="1:14" ht="11.25" customHeight="1">
      <c r="A3354" s="5" t="s">
        <v>9166</v>
      </c>
      <c r="B3354" s="5" t="s">
        <v>9636</v>
      </c>
      <c r="C3354" s="5" t="s">
        <v>9728</v>
      </c>
      <c r="D3354" s="5" t="s">
        <v>9169</v>
      </c>
      <c r="E3354" s="5" t="s">
        <v>52</v>
      </c>
      <c r="F3354" s="5" t="s">
        <v>9170</v>
      </c>
      <c r="G3354" s="5" t="s">
        <v>152</v>
      </c>
      <c r="H3354" s="5" t="s">
        <v>9638</v>
      </c>
      <c r="I3354" s="5" t="s">
        <v>9729</v>
      </c>
      <c r="J3354" s="5" t="s">
        <v>9730</v>
      </c>
      <c r="K3354" s="7" t="str">
        <f ca="1">IFERROR(__xludf.DUMMYFUNCTION("GOOGLETRANSLATE(H3354,""EN"",""ES"")"),"MÁQUINAS TEXTILES, DE COSER, DE PUNTO Y DE BORDAR, INCLUIDAS SUS PARTES INTEGRALES")</f>
        <v>MÁQUINAS TEXTILES, DE COSER, DE PUNTO Y DE BORDAR, INCLUIDAS SUS PARTES INTEGRALES</v>
      </c>
      <c r="L3354" s="5" t="str">
        <f ca="1">IFERROR(__xludf.DUMMYFUNCTION("GOOGLETRANSLATE(J3354,""EN"",""ES"")"),"mesas para maquinas de coser")</f>
        <v>mesas para maquinas de coser</v>
      </c>
      <c r="M3354" s="8" t="s">
        <v>55</v>
      </c>
      <c r="N3354" s="8"/>
    </row>
    <row r="3355" spans="1:14" ht="11.25" customHeight="1">
      <c r="A3355" s="5" t="s">
        <v>9166</v>
      </c>
      <c r="B3355" s="5" t="s">
        <v>9636</v>
      </c>
      <c r="C3355" s="5" t="s">
        <v>9731</v>
      </c>
      <c r="D3355" s="5" t="s">
        <v>9169</v>
      </c>
      <c r="E3355" s="5" t="s">
        <v>52</v>
      </c>
      <c r="F3355" s="5" t="s">
        <v>9170</v>
      </c>
      <c r="G3355" s="5" t="s">
        <v>152</v>
      </c>
      <c r="H3355" s="5" t="s">
        <v>9638</v>
      </c>
      <c r="I3355" s="5" t="s">
        <v>9732</v>
      </c>
      <c r="J3355" s="5" t="s">
        <v>9733</v>
      </c>
      <c r="K3355" s="7" t="str">
        <f ca="1">IFERROR(__xludf.DUMMYFUNCTION("GOOGLETRANSLATE(H3355,""EN"",""ES"")"),"MÁQUINAS TEXTILES, DE COSER, DE PUNTO Y DE BORDAR, INCLUIDAS SUS PARTES INTEGRALES")</f>
        <v>MÁQUINAS TEXTILES, DE COSER, DE PUNTO Y DE BORDAR, INCLUIDAS SUS PARTES INTEGRALES</v>
      </c>
      <c r="L3355" s="5" t="str">
        <f ca="1">IFERROR(__xludf.DUMMYFUNCTION("GOOGLETRANSLATE(J3355,""EN"",""ES"")"),"Lanzaderas para máquinas de coser.")</f>
        <v>Lanzaderas para máquinas de coser.</v>
      </c>
      <c r="M3355" s="8" t="s">
        <v>55</v>
      </c>
      <c r="N3355" s="8"/>
    </row>
    <row r="3356" spans="1:14" ht="11.25" customHeight="1">
      <c r="A3356" s="5" t="s">
        <v>9166</v>
      </c>
      <c r="B3356" s="5" t="s">
        <v>9636</v>
      </c>
      <c r="C3356" s="5" t="s">
        <v>9734</v>
      </c>
      <c r="D3356" s="5" t="s">
        <v>9169</v>
      </c>
      <c r="E3356" s="5" t="s">
        <v>52</v>
      </c>
      <c r="F3356" s="5" t="s">
        <v>9170</v>
      </c>
      <c r="G3356" s="5" t="s">
        <v>152</v>
      </c>
      <c r="H3356" s="5" t="s">
        <v>9638</v>
      </c>
      <c r="I3356" s="5" t="s">
        <v>9735</v>
      </c>
      <c r="J3356" s="5" t="s">
        <v>9736</v>
      </c>
      <c r="K3356" s="7" t="str">
        <f ca="1">IFERROR(__xludf.DUMMYFUNCTION("GOOGLETRANSLATE(H3356,""EN"",""ES"")"),"MÁQUINAS TEXTILES, DE COSER, DE PUNTO Y DE BORDAR, INCLUIDAS SUS PARTES INTEGRALES")</f>
        <v>MÁQUINAS TEXTILES, DE COSER, DE PUNTO Y DE BORDAR, INCLUIDAS SUS PARTES INTEGRALES</v>
      </c>
      <c r="L3356" s="5" t="str">
        <f ca="1">IFERROR(__xludf.DUMMYFUNCTION("GOOGLETRANSLATE(J3356,""EN"",""ES"")"),"Lanzaderas [listones] para telares")</f>
        <v>Lanzaderas [listones] para telares</v>
      </c>
      <c r="M3356" s="8" t="s">
        <v>55</v>
      </c>
      <c r="N3356" s="8"/>
    </row>
    <row r="3357" spans="1:14" ht="11.25" customHeight="1">
      <c r="A3357" s="5" t="s">
        <v>9166</v>
      </c>
      <c r="B3357" s="5" t="s">
        <v>9636</v>
      </c>
      <c r="C3357" s="5" t="s">
        <v>9734</v>
      </c>
      <c r="D3357" s="5" t="s">
        <v>9169</v>
      </c>
      <c r="E3357" s="5" t="s">
        <v>52</v>
      </c>
      <c r="F3357" s="5" t="s">
        <v>9170</v>
      </c>
      <c r="G3357" s="5" t="s">
        <v>152</v>
      </c>
      <c r="H3357" s="5" t="s">
        <v>9638</v>
      </c>
      <c r="I3357" s="5" t="s">
        <v>9737</v>
      </c>
      <c r="J3357" s="5" t="s">
        <v>152</v>
      </c>
      <c r="K3357" s="7" t="str">
        <f ca="1">IFERROR(__xludf.DUMMYFUNCTION("GOOGLETRANSLATE(H3357,""EN"",""ES"")"),"MÁQUINAS TEXTILES, DE COSER, DE PUNTO Y DE BORDAR, INCLUIDAS SUS PARTES INTEGRALES")</f>
        <v>MÁQUINAS TEXTILES, DE COSER, DE PUNTO Y DE BORDAR, INCLUIDAS SUS PARTES INTEGRALES</v>
      </c>
      <c r="L3357" s="5" t="str">
        <f ca="1">IFERROR(__xludf.DUMMYFUNCTION("GOOGLETRANSLATE(J3357,""EN"",""ES"")"),"Lanzaderas para telares [listones]")</f>
        <v>Lanzaderas para telares [listones]</v>
      </c>
      <c r="M3357" s="8" t="s">
        <v>55</v>
      </c>
      <c r="N3357" s="8"/>
    </row>
    <row r="3358" spans="1:14" ht="11.25" customHeight="1">
      <c r="A3358" s="5" t="s">
        <v>9166</v>
      </c>
      <c r="B3358" s="5" t="s">
        <v>9636</v>
      </c>
      <c r="C3358" s="5" t="s">
        <v>9738</v>
      </c>
      <c r="D3358" s="5" t="s">
        <v>9169</v>
      </c>
      <c r="E3358" s="5" t="s">
        <v>52</v>
      </c>
      <c r="F3358" s="5" t="s">
        <v>9170</v>
      </c>
      <c r="G3358" s="5" t="s">
        <v>152</v>
      </c>
      <c r="H3358" s="5" t="s">
        <v>9638</v>
      </c>
      <c r="I3358" s="5" t="s">
        <v>9739</v>
      </c>
      <c r="J3358" s="5" t="s">
        <v>9740</v>
      </c>
      <c r="K3358" s="7" t="str">
        <f ca="1">IFERROR(__xludf.DUMMYFUNCTION("GOOGLETRANSLATE(H3358,""EN"",""ES"")"),"MÁQUINAS TEXTILES, DE COSER, DE PUNTO Y DE BORDAR, INCLUIDAS SUS PARTES INTEGRALES")</f>
        <v>MÁQUINAS TEXTILES, DE COSER, DE PUNTO Y DE BORDAR, INCLUIDAS SUS PARTES INTEGRALES</v>
      </c>
      <c r="L3358" s="5" t="str">
        <f ca="1">IFERROR(__xludf.DUMMYFUNCTION("GOOGLETRANSLATE(J3358,""EN"",""ES"")"),"lizos")</f>
        <v>lizos</v>
      </c>
      <c r="M3358" s="8" t="s">
        <v>55</v>
      </c>
      <c r="N3358" s="8"/>
    </row>
    <row r="3359" spans="1:14" ht="11.25" customHeight="1">
      <c r="A3359" s="5" t="s">
        <v>9166</v>
      </c>
      <c r="B3359" s="5" t="s">
        <v>9636</v>
      </c>
      <c r="C3359" s="5" t="s">
        <v>9741</v>
      </c>
      <c r="D3359" s="5" t="s">
        <v>9169</v>
      </c>
      <c r="E3359" s="5" t="s">
        <v>52</v>
      </c>
      <c r="F3359" s="5" t="s">
        <v>9170</v>
      </c>
      <c r="G3359" s="5" t="s">
        <v>152</v>
      </c>
      <c r="H3359" s="5" t="s">
        <v>9638</v>
      </c>
      <c r="I3359" s="5" t="s">
        <v>9742</v>
      </c>
      <c r="J3359" s="5" t="s">
        <v>9743</v>
      </c>
      <c r="K3359" s="7" t="str">
        <f ca="1">IFERROR(__xludf.DUMMYFUNCTION("GOOGLETRANSLATE(H3359,""EN"",""ES"")"),"MÁQUINAS TEXTILES, DE COSER, DE PUNTO Y DE BORDAR, INCLUIDAS SUS PARTES INTEGRALES")</f>
        <v>MÁQUINAS TEXTILES, DE COSER, DE PUNTO Y DE BORDAR, INCLUIDAS SUS PARTES INTEGRALES</v>
      </c>
      <c r="L3359" s="5" t="str">
        <f ca="1">IFERROR(__xludf.DUMMYFUNCTION("GOOGLETRANSLATE(J3359,""EN"",""ES"")"),"bobinas para maquinas de coser")</f>
        <v>bobinas para maquinas de coser</v>
      </c>
      <c r="M3359" s="8" t="s">
        <v>55</v>
      </c>
      <c r="N3359" s="8"/>
    </row>
    <row r="3360" spans="1:14" ht="11.25" customHeight="1">
      <c r="A3360" s="5" t="s">
        <v>9166</v>
      </c>
      <c r="B3360" s="5" t="s">
        <v>9636</v>
      </c>
      <c r="C3360" s="5" t="s">
        <v>9744</v>
      </c>
      <c r="D3360" s="5" t="s">
        <v>9169</v>
      </c>
      <c r="E3360" s="5" t="s">
        <v>52</v>
      </c>
      <c r="F3360" s="5" t="s">
        <v>9170</v>
      </c>
      <c r="G3360" s="5" t="s">
        <v>152</v>
      </c>
      <c r="H3360" s="5" t="s">
        <v>9638</v>
      </c>
      <c r="I3360" s="5" t="s">
        <v>9745</v>
      </c>
      <c r="J3360" s="5" t="s">
        <v>9746</v>
      </c>
      <c r="K3360" s="7" t="str">
        <f ca="1">IFERROR(__xludf.DUMMYFUNCTION("GOOGLETRANSLATE(H3360,""EN"",""ES"")"),"MÁQUINAS TEXTILES, DE COSER, DE PUNTO Y DE BORDAR, INCLUIDAS SUS PARTES INTEGRALES")</f>
        <v>MÁQUINAS TEXTILES, DE COSER, DE PUNTO Y DE BORDAR, INCLUIDAS SUS PARTES INTEGRALES</v>
      </c>
      <c r="L3360" s="5" t="str">
        <f ca="1">IFERROR(__xludf.DUMMYFUNCTION("GOOGLETRANSLATE(J3360,""EN"",""ES"")"),"Pedales [pedales] para máquinas de coser")</f>
        <v>Pedales [pedales] para máquinas de coser</v>
      </c>
      <c r="M3360" s="8" t="s">
        <v>55</v>
      </c>
      <c r="N3360" s="8"/>
    </row>
    <row r="3361" spans="1:14" ht="11.25" customHeight="1">
      <c r="A3361" s="5" t="s">
        <v>9166</v>
      </c>
      <c r="B3361" s="5" t="s">
        <v>9636</v>
      </c>
      <c r="C3361" s="5" t="s">
        <v>9744</v>
      </c>
      <c r="D3361" s="5" t="s">
        <v>9169</v>
      </c>
      <c r="E3361" s="5" t="s">
        <v>52</v>
      </c>
      <c r="F3361" s="5" t="s">
        <v>9170</v>
      </c>
      <c r="G3361" s="5" t="s">
        <v>152</v>
      </c>
      <c r="H3361" s="5" t="s">
        <v>9638</v>
      </c>
      <c r="I3361" s="5" t="s">
        <v>9747</v>
      </c>
      <c r="J3361" s="5" t="s">
        <v>152</v>
      </c>
      <c r="K3361" s="7" t="str">
        <f ca="1">IFERROR(__xludf.DUMMYFUNCTION("GOOGLETRANSLATE(H3361,""EN"",""ES"")"),"MÁQUINAS TEXTILES, DE COSER, DE PUNTO Y DE BORDAR, INCLUIDAS SUS PARTES INTEGRALES")</f>
        <v>MÁQUINAS TEXTILES, DE COSER, DE PUNTO Y DE BORDAR, INCLUIDAS SUS PARTES INTEGRALES</v>
      </c>
      <c r="L3361" s="5" t="str">
        <f ca="1">IFERROR(__xludf.DUMMYFUNCTION("GOOGLETRANSLATE(J3361,""EN"",""ES"")"),"Pedales para máquinas de coser [pedales]")</f>
        <v>Pedales para máquinas de coser [pedales]</v>
      </c>
      <c r="M3361" s="8" t="s">
        <v>55</v>
      </c>
      <c r="N3361" s="8"/>
    </row>
    <row r="3362" spans="1:14" ht="11.25" customHeight="1">
      <c r="A3362" s="5" t="s">
        <v>9166</v>
      </c>
      <c r="B3362" s="5" t="s">
        <v>9636</v>
      </c>
      <c r="C3362" s="5" t="s">
        <v>9748</v>
      </c>
      <c r="D3362" s="5" t="s">
        <v>9169</v>
      </c>
      <c r="E3362" s="5" t="s">
        <v>52</v>
      </c>
      <c r="F3362" s="5" t="s">
        <v>9170</v>
      </c>
      <c r="G3362" s="5" t="s">
        <v>152</v>
      </c>
      <c r="H3362" s="5" t="s">
        <v>9638</v>
      </c>
      <c r="I3362" s="5" t="s">
        <v>9749</v>
      </c>
      <c r="J3362" s="5" t="s">
        <v>9750</v>
      </c>
      <c r="K3362" s="7" t="str">
        <f ca="1">IFERROR(__xludf.DUMMYFUNCTION("GOOGLETRANSLATE(H3362,""EN"",""ES"")"),"MÁQUINAS TEXTILES, DE COSER, DE PUNTO Y DE BORDAR, INCLUIDAS SUS PARTES INTEGRALES")</f>
        <v>MÁQUINAS TEXTILES, DE COSER, DE PUNTO Y DE BORDAR, INCLUIDAS SUS PARTES INTEGRALES</v>
      </c>
      <c r="L3362" s="5" t="str">
        <f ca="1">IFERROR(__xludf.DUMMYFUNCTION("GOOGLETRANSLATE(J3362,""EN"",""ES"")"),"Cardadoras")</f>
        <v>Cardadoras</v>
      </c>
      <c r="M3362" s="8" t="s">
        <v>55</v>
      </c>
      <c r="N3362" s="8"/>
    </row>
    <row r="3363" spans="1:14" ht="11.25" customHeight="1">
      <c r="A3363" s="5" t="s">
        <v>9166</v>
      </c>
      <c r="B3363" s="5" t="s">
        <v>9636</v>
      </c>
      <c r="C3363" s="5" t="s">
        <v>9751</v>
      </c>
      <c r="D3363" s="5" t="s">
        <v>9169</v>
      </c>
      <c r="E3363" s="5" t="s">
        <v>52</v>
      </c>
      <c r="F3363" s="5" t="s">
        <v>9170</v>
      </c>
      <c r="G3363" s="5" t="s">
        <v>152</v>
      </c>
      <c r="H3363" s="5" t="s">
        <v>9638</v>
      </c>
      <c r="I3363" s="5" t="s">
        <v>9752</v>
      </c>
      <c r="J3363" s="5" t="s">
        <v>9753</v>
      </c>
      <c r="K3363" s="7" t="str">
        <f ca="1">IFERROR(__xludf.DUMMYFUNCTION("GOOGLETRANSLATE(H3363,""EN"",""ES"")"),"MÁQUINAS TEXTILES, DE COSER, DE PUNTO Y DE BORDAR, INCLUIDAS SUS PARTES INTEGRALES")</f>
        <v>MÁQUINAS TEXTILES, DE COSER, DE PUNTO Y DE BORDAR, INCLUIDAS SUS PARTES INTEGRALES</v>
      </c>
      <c r="L3363" s="5" t="str">
        <f ca="1">IFERROR(__xludf.DUMMYFUNCTION("GOOGLETRANSLATE(J3363,""EN"",""ES"")"),"Pedales [pedales] para telares")</f>
        <v>Pedales [pedales] para telares</v>
      </c>
      <c r="M3363" s="8" t="s">
        <v>55</v>
      </c>
      <c r="N3363" s="8"/>
    </row>
    <row r="3364" spans="1:14" ht="11.25" customHeight="1">
      <c r="A3364" s="5" t="s">
        <v>9166</v>
      </c>
      <c r="B3364" s="5" t="s">
        <v>9636</v>
      </c>
      <c r="C3364" s="5" t="s">
        <v>9754</v>
      </c>
      <c r="D3364" s="5" t="s">
        <v>9169</v>
      </c>
      <c r="E3364" s="5" t="s">
        <v>52</v>
      </c>
      <c r="F3364" s="5" t="s">
        <v>9170</v>
      </c>
      <c r="G3364" s="5" t="s">
        <v>152</v>
      </c>
      <c r="H3364" s="5" t="s">
        <v>9638</v>
      </c>
      <c r="I3364" s="5" t="s">
        <v>9755</v>
      </c>
      <c r="J3364" s="5" t="s">
        <v>9756</v>
      </c>
      <c r="K3364" s="7" t="str">
        <f ca="1">IFERROR(__xludf.DUMMYFUNCTION("GOOGLETRANSLATE(H3364,""EN"",""ES"")"),"MÁQUINAS TEXTILES, DE COSER, DE PUNTO Y DE BORDAR, INCLUIDAS SUS PARTES INTEGRALES")</f>
        <v>MÁQUINAS TEXTILES, DE COSER, DE PUNTO Y DE BORDAR, INCLUIDAS SUS PARTES INTEGRALES</v>
      </c>
      <c r="L3364" s="5" t="str">
        <f ca="1">IFERROR(__xludf.DUMMYFUNCTION("GOOGLETRANSLATE(J3364,""EN"",""ES"")"),"Separadores de hilos para telares")</f>
        <v>Separadores de hilos para telares</v>
      </c>
      <c r="M3364" s="8" t="s">
        <v>55</v>
      </c>
      <c r="N3364" s="8"/>
    </row>
    <row r="3365" spans="1:14" ht="11.25" customHeight="1">
      <c r="A3365" s="5" t="s">
        <v>9166</v>
      </c>
      <c r="B3365" s="5" t="s">
        <v>9757</v>
      </c>
      <c r="C3365" s="5" t="s">
        <v>9758</v>
      </c>
      <c r="D3365" s="5" t="s">
        <v>9169</v>
      </c>
      <c r="E3365" s="5" t="s">
        <v>52</v>
      </c>
      <c r="F3365" s="5" t="s">
        <v>9170</v>
      </c>
      <c r="G3365" s="5" t="s">
        <v>152</v>
      </c>
      <c r="H3365" s="5" t="s">
        <v>9759</v>
      </c>
      <c r="I3365" s="5" t="s">
        <v>9760</v>
      </c>
      <c r="J3365" s="5" t="s">
        <v>9761</v>
      </c>
      <c r="K3365" s="7" t="str">
        <f ca="1">IFERROR(__xludf.DUMMYFUNCTION("GOOGLETRANSLATE(H3365,""EN"",""ES"")"),"MAQUINARIA Y APARATOS DE REFRIGERACIÓN")</f>
        <v>MAQUINARIA Y APARATOS DE REFRIGERACIÓN</v>
      </c>
      <c r="L3365" s="5" t="str">
        <f ca="1">IFERROR(__xludf.DUMMYFUNCTION("GOOGLETRANSLATE(J3365,""EN"",""ES"")"),"Refrigeradores")</f>
        <v>Refrigeradores</v>
      </c>
      <c r="M3365" s="8" t="s">
        <v>54</v>
      </c>
      <c r="N3365" s="8"/>
    </row>
    <row r="3366" spans="1:14" ht="11.25" customHeight="1">
      <c r="A3366" s="5" t="s">
        <v>9166</v>
      </c>
      <c r="B3366" s="5" t="s">
        <v>9757</v>
      </c>
      <c r="C3366" s="5" t="s">
        <v>9762</v>
      </c>
      <c r="D3366" s="5" t="s">
        <v>9169</v>
      </c>
      <c r="E3366" s="5" t="s">
        <v>52</v>
      </c>
      <c r="F3366" s="5" t="s">
        <v>9170</v>
      </c>
      <c r="G3366" s="5" t="s">
        <v>152</v>
      </c>
      <c r="H3366" s="5" t="s">
        <v>9759</v>
      </c>
      <c r="I3366" s="5" t="s">
        <v>9763</v>
      </c>
      <c r="J3366" s="5" t="s">
        <v>9764</v>
      </c>
      <c r="K3366" s="7" t="str">
        <f ca="1">IFERROR(__xludf.DUMMYFUNCTION("GOOGLETRANSLATE(H3366,""EN"",""ES"")"),"MAQUINARIA Y APARATOS DE REFRIGERACIÓN")</f>
        <v>MAQUINARIA Y APARATOS DE REFRIGERACIÓN</v>
      </c>
      <c r="L3366" s="5" t="str">
        <f ca="1">IFERROR(__xludf.DUMMYFUNCTION("GOOGLETRANSLATE(J3366,""EN"",""ES"")"),"Mostradores de venta refrigerados")</f>
        <v>Mostradores de venta refrigerados</v>
      </c>
      <c r="M3366" s="8" t="s">
        <v>54</v>
      </c>
      <c r="N3366" s="8"/>
    </row>
    <row r="3367" spans="1:14" ht="11.25" customHeight="1">
      <c r="A3367" s="5" t="s">
        <v>9166</v>
      </c>
      <c r="B3367" s="5" t="s">
        <v>9757</v>
      </c>
      <c r="C3367" s="5" t="s">
        <v>9765</v>
      </c>
      <c r="D3367" s="5" t="s">
        <v>9169</v>
      </c>
      <c r="E3367" s="5" t="s">
        <v>52</v>
      </c>
      <c r="F3367" s="5" t="s">
        <v>9170</v>
      </c>
      <c r="G3367" s="5" t="s">
        <v>152</v>
      </c>
      <c r="H3367" s="5" t="s">
        <v>9759</v>
      </c>
      <c r="I3367" s="5" t="s">
        <v>9766</v>
      </c>
      <c r="J3367" s="5" t="s">
        <v>9767</v>
      </c>
      <c r="K3367" s="7" t="str">
        <f ca="1">IFERROR(__xludf.DUMMYFUNCTION("GOOGLETRANSLATE(H3367,""EN"",""ES"")"),"MAQUINARIA Y APARATOS DE REFRIGERACIÓN")</f>
        <v>MAQUINARIA Y APARATOS DE REFRIGERACIÓN</v>
      </c>
      <c r="L3367" s="5" t="str">
        <f ca="1">IFERROR(__xludf.DUMMYFUNCTION("GOOGLETRANSLATE(J3367,""EN"",""ES"")"),"Aparatos de refrigeración")</f>
        <v>Aparatos de refrigeración</v>
      </c>
      <c r="M3367" s="8" t="s">
        <v>54</v>
      </c>
      <c r="N3367" s="8"/>
    </row>
    <row r="3368" spans="1:14" ht="11.25" customHeight="1">
      <c r="A3368" s="5" t="s">
        <v>9166</v>
      </c>
      <c r="B3368" s="5" t="s">
        <v>9757</v>
      </c>
      <c r="C3368" s="5" t="s">
        <v>9768</v>
      </c>
      <c r="D3368" s="5" t="s">
        <v>9169</v>
      </c>
      <c r="E3368" s="5" t="s">
        <v>52</v>
      </c>
      <c r="F3368" s="5" t="s">
        <v>9170</v>
      </c>
      <c r="G3368" s="5" t="s">
        <v>152</v>
      </c>
      <c r="H3368" s="5" t="s">
        <v>9759</v>
      </c>
      <c r="I3368" s="5" t="s">
        <v>9769</v>
      </c>
      <c r="J3368" s="5" t="s">
        <v>9770</v>
      </c>
      <c r="K3368" s="7" t="str">
        <f ca="1">IFERROR(__xludf.DUMMYFUNCTION("GOOGLETRANSLATE(H3368,""EN"",""ES"")"),"MAQUINARIA Y APARATOS DE REFRIGERACIÓN")</f>
        <v>MAQUINARIA Y APARATOS DE REFRIGERACIÓN</v>
      </c>
      <c r="L3368" s="5" t="str">
        <f ca="1">IFERROR(__xludf.DUMMYFUNCTION("GOOGLETRANSLATE(J3368,""EN"",""ES"")"),"Máquinas y aparatos de hielo.")</f>
        <v>Máquinas y aparatos de hielo.</v>
      </c>
      <c r="M3368" s="8" t="s">
        <v>54</v>
      </c>
      <c r="N3368" s="8"/>
    </row>
    <row r="3369" spans="1:14" ht="11.25" customHeight="1">
      <c r="A3369" s="5" t="s">
        <v>9166</v>
      </c>
      <c r="B3369" s="5" t="s">
        <v>9757</v>
      </c>
      <c r="C3369" s="5" t="s">
        <v>9771</v>
      </c>
      <c r="D3369" s="5" t="s">
        <v>9169</v>
      </c>
      <c r="E3369" s="5" t="s">
        <v>52</v>
      </c>
      <c r="F3369" s="5" t="s">
        <v>9170</v>
      </c>
      <c r="G3369" s="5" t="s">
        <v>152</v>
      </c>
      <c r="H3369" s="5" t="s">
        <v>9759</v>
      </c>
      <c r="I3369" s="5" t="s">
        <v>9772</v>
      </c>
      <c r="J3369" s="5" t="s">
        <v>9773</v>
      </c>
      <c r="K3369" s="7" t="str">
        <f ca="1">IFERROR(__xludf.DUMMYFUNCTION("GOOGLETRANSLATE(H3369,""EN"",""ES"")"),"MAQUINARIA Y APARATOS DE REFRIGERACIÓN")</f>
        <v>MAQUINARIA Y APARATOS DE REFRIGERACIÓN</v>
      </c>
      <c r="L3369" s="5" t="str">
        <f ca="1">IFERROR(__xludf.DUMMYFUNCTION("GOOGLETRANSLATE(J3369,""EN"",""ES"")"),"Puertas de frigorífico")</f>
        <v>Puertas de frigorífico</v>
      </c>
      <c r="M3369" s="8" t="s">
        <v>54</v>
      </c>
      <c r="N3369" s="8"/>
    </row>
    <row r="3370" spans="1:14" ht="11.25" customHeight="1">
      <c r="A3370" s="5" t="s">
        <v>9166</v>
      </c>
      <c r="B3370" s="5" t="s">
        <v>9757</v>
      </c>
      <c r="C3370" s="5" t="s">
        <v>9774</v>
      </c>
      <c r="D3370" s="5" t="s">
        <v>9169</v>
      </c>
      <c r="E3370" s="5" t="s">
        <v>52</v>
      </c>
      <c r="F3370" s="5" t="s">
        <v>9170</v>
      </c>
      <c r="G3370" s="5" t="s">
        <v>152</v>
      </c>
      <c r="H3370" s="5" t="s">
        <v>9759</v>
      </c>
      <c r="I3370" s="5" t="s">
        <v>9775</v>
      </c>
      <c r="J3370" s="5" t="s">
        <v>9776</v>
      </c>
      <c r="K3370" s="7" t="str">
        <f ca="1">IFERROR(__xludf.DUMMYFUNCTION("GOOGLETRANSLATE(H3370,""EN"",""ES"")"),"MAQUINARIA Y APARATOS DE REFRIGERACIÓN")</f>
        <v>MAQUINARIA Y APARATOS DE REFRIGERACIÓN</v>
      </c>
      <c r="L3370" s="5" t="str">
        <f ca="1">IFERROR(__xludf.DUMMYFUNCTION("GOOGLETRANSLATE(J3370,""EN"",""ES"")"),"Congeladores")</f>
        <v>Congeladores</v>
      </c>
      <c r="M3370" s="8" t="s">
        <v>54</v>
      </c>
      <c r="N3370" s="8"/>
    </row>
    <row r="3371" spans="1:14" ht="11.25" customHeight="1">
      <c r="A3371" s="5" t="s">
        <v>9166</v>
      </c>
      <c r="B3371" s="5" t="s">
        <v>9757</v>
      </c>
      <c r="C3371" s="5" t="s">
        <v>9777</v>
      </c>
      <c r="D3371" s="5" t="s">
        <v>9169</v>
      </c>
      <c r="E3371" s="5" t="s">
        <v>52</v>
      </c>
      <c r="F3371" s="5" t="s">
        <v>9170</v>
      </c>
      <c r="G3371" s="5" t="s">
        <v>152</v>
      </c>
      <c r="H3371" s="5" t="s">
        <v>9759</v>
      </c>
      <c r="I3371" s="5" t="s">
        <v>9778</v>
      </c>
      <c r="J3371" s="5" t="s">
        <v>9779</v>
      </c>
      <c r="K3371" s="7" t="str">
        <f ca="1">IFERROR(__xludf.DUMMYFUNCTION("GOOGLETRANSLATE(H3371,""EN"",""ES"")"),"MAQUINARIA Y APARATOS DE REFRIGERACIÓN")</f>
        <v>MAQUINARIA Y APARATOS DE REFRIGERACIÓN</v>
      </c>
      <c r="L3371" s="5" t="str">
        <f ca="1">IFERROR(__xludf.DUMMYFUNCTION("GOOGLETRANSLATE(J3371,""EN"",""ES"")"),"Vitrinas refrigeradas")</f>
        <v>Vitrinas refrigeradas</v>
      </c>
      <c r="M3371" s="8" t="s">
        <v>54</v>
      </c>
      <c r="N3371" s="8"/>
    </row>
    <row r="3372" spans="1:14" ht="11.25" customHeight="1">
      <c r="A3372" s="5" t="s">
        <v>9166</v>
      </c>
      <c r="B3372" s="5" t="s">
        <v>9780</v>
      </c>
      <c r="C3372" s="5" t="s">
        <v>152</v>
      </c>
      <c r="D3372" s="5" t="s">
        <v>9169</v>
      </c>
      <c r="E3372" s="5" t="s">
        <v>52</v>
      </c>
      <c r="F3372" s="5" t="s">
        <v>9170</v>
      </c>
      <c r="G3372" s="5" t="s">
        <v>152</v>
      </c>
      <c r="H3372" s="5" t="s">
        <v>1599</v>
      </c>
      <c r="I3372" s="5" t="s">
        <v>152</v>
      </c>
      <c r="J3372" s="5" t="s">
        <v>152</v>
      </c>
      <c r="K3372" s="7" t="str">
        <f ca="1">IFERROR(__xludf.DUMMYFUNCTION("GOOGLETRANSLATE(H3372,""EN"",""ES"")"),"[vacante]")</f>
        <v>[vacante]</v>
      </c>
      <c r="L3372" s="5" t="str">
        <f ca="1">IFERROR(__xludf.DUMMYFUNCTION("GOOGLETRANSLATE(J3372,""EN"",""ES"")"),"N / A")</f>
        <v>N / A</v>
      </c>
      <c r="M3372" s="8" t="s">
        <v>54</v>
      </c>
      <c r="N3372" s="8"/>
    </row>
    <row r="3373" spans="1:14" ht="11.25" customHeight="1">
      <c r="A3373" s="5" t="s">
        <v>9166</v>
      </c>
      <c r="B3373" s="5" t="s">
        <v>9781</v>
      </c>
      <c r="C3373" s="5" t="s">
        <v>9782</v>
      </c>
      <c r="D3373" s="5" t="s">
        <v>9169</v>
      </c>
      <c r="E3373" s="5" t="s">
        <v>52</v>
      </c>
      <c r="F3373" s="5" t="s">
        <v>9170</v>
      </c>
      <c r="G3373" s="5" t="s">
        <v>152</v>
      </c>
      <c r="H3373" s="5" t="s">
        <v>9783</v>
      </c>
      <c r="I3373" s="5" t="s">
        <v>9784</v>
      </c>
      <c r="J3373" s="5" t="s">
        <v>9785</v>
      </c>
      <c r="K3373" s="7" t="str">
        <f ca="1">IFERROR(__xludf.DUMMYFUNCTION("GOOGLETRANSLATE(H3373,""EN"",""ES"")"),"MÁQUINAS HERRAMIENTA, MAQUINARIA DE ABRASADO Y CIMENTACIÓN")</f>
        <v>MÁQUINAS HERRAMIENTA, MAQUINARIA DE ABRASADO Y CIMENTACIÓN</v>
      </c>
      <c r="L3373" s="5" t="str">
        <f ca="1">IFERROR(__xludf.DUMMYFUNCTION("GOOGLETRANSLATE(J3373,""EN"",""ES"")"),"Máquinas abrasivas")</f>
        <v>Máquinas abrasivas</v>
      </c>
      <c r="M3373" s="8" t="s">
        <v>55</v>
      </c>
      <c r="N3373" s="8"/>
    </row>
    <row r="3374" spans="1:14" ht="11.25" customHeight="1">
      <c r="A3374" s="5" t="s">
        <v>9166</v>
      </c>
      <c r="B3374" s="5" t="s">
        <v>9781</v>
      </c>
      <c r="C3374" s="5" t="s">
        <v>9786</v>
      </c>
      <c r="D3374" s="5" t="s">
        <v>9169</v>
      </c>
      <c r="E3374" s="5" t="s">
        <v>52</v>
      </c>
      <c r="F3374" s="5" t="s">
        <v>9170</v>
      </c>
      <c r="G3374" s="5" t="s">
        <v>152</v>
      </c>
      <c r="H3374" s="5" t="s">
        <v>9783</v>
      </c>
      <c r="I3374" s="5" t="s">
        <v>9787</v>
      </c>
      <c r="J3374" s="5" t="s">
        <v>9788</v>
      </c>
      <c r="K3374" s="7" t="str">
        <f ca="1">IFERROR(__xludf.DUMMYFUNCTION("GOOGLETRANSLATE(H3374,""EN"",""ES"")"),"MÁQUINAS HERRAMIENTA, MAQUINARIA DE ABRASADO Y CIMENTACIÓN")</f>
        <v>MÁQUINAS HERRAMIENTA, MAQUINARIA DE ABRASADO Y CIMENTACIÓN</v>
      </c>
      <c r="L3374" s="5" t="str">
        <f ca="1">IFERROR(__xludf.DUMMYFUNCTION("GOOGLETRANSLATE(J3374,""EN"",""ES"")"),"Afiladoras")</f>
        <v>Afiladoras</v>
      </c>
      <c r="M3374" s="8" t="s">
        <v>55</v>
      </c>
      <c r="N3374" s="8"/>
    </row>
    <row r="3375" spans="1:14" ht="11.25" customHeight="1">
      <c r="A3375" s="5" t="s">
        <v>9166</v>
      </c>
      <c r="B3375" s="5" t="s">
        <v>9781</v>
      </c>
      <c r="C3375" s="5" t="s">
        <v>9789</v>
      </c>
      <c r="D3375" s="5" t="s">
        <v>9169</v>
      </c>
      <c r="E3375" s="5" t="s">
        <v>52</v>
      </c>
      <c r="F3375" s="5" t="s">
        <v>9170</v>
      </c>
      <c r="G3375" s="5" t="s">
        <v>152</v>
      </c>
      <c r="H3375" s="5" t="s">
        <v>9783</v>
      </c>
      <c r="I3375" s="5" t="s">
        <v>9790</v>
      </c>
      <c r="J3375" s="5" t="s">
        <v>9791</v>
      </c>
      <c r="K3375" s="7" t="str">
        <f ca="1">IFERROR(__xludf.DUMMYFUNCTION("GOOGLETRANSLATE(H3375,""EN"",""ES"")"),"MÁQUINAS HERRAMIENTA, MAQUINARIA DE ABRASADO Y CIMENTACIÓN")</f>
        <v>MÁQUINAS HERRAMIENTA, MAQUINARIA DE ABRASADO Y CIMENTACIÓN</v>
      </c>
      <c r="L3375" s="5" t="str">
        <f ca="1">IFERROR(__xludf.DUMMYFUNCTION("GOOGLETRANSLATE(J3375,""EN"",""ES"")"),"Enfriadores para fundiciones")</f>
        <v>Enfriadores para fundiciones</v>
      </c>
      <c r="M3375" s="8" t="s">
        <v>55</v>
      </c>
      <c r="N3375" s="8"/>
    </row>
    <row r="3376" spans="1:14" ht="11.25" customHeight="1">
      <c r="A3376" s="5" t="s">
        <v>9166</v>
      </c>
      <c r="B3376" s="5" t="s">
        <v>9781</v>
      </c>
      <c r="C3376" s="5" t="s">
        <v>9792</v>
      </c>
      <c r="D3376" s="5" t="s">
        <v>9169</v>
      </c>
      <c r="E3376" s="5" t="s">
        <v>52</v>
      </c>
      <c r="F3376" s="5" t="s">
        <v>9170</v>
      </c>
      <c r="G3376" s="5" t="s">
        <v>152</v>
      </c>
      <c r="H3376" s="5" t="s">
        <v>9783</v>
      </c>
      <c r="I3376" s="5" t="s">
        <v>9793</v>
      </c>
      <c r="J3376" s="5" t="s">
        <v>9794</v>
      </c>
      <c r="K3376" s="7" t="str">
        <f ca="1">IFERROR(__xludf.DUMMYFUNCTION("GOOGLETRANSLATE(H3376,""EN"",""ES"")"),"MÁQUINAS HERRAMIENTA, MAQUINARIA DE ABRASADO Y CIMENTACIÓN")</f>
        <v>MÁQUINAS HERRAMIENTA, MAQUINARIA DE ABRASADO Y CIMENTACIÓN</v>
      </c>
      <c r="L3376" s="5" t="str">
        <f ca="1">IFERROR(__xludf.DUMMYFUNCTION("GOOGLETRANSLATE(J3376,""EN"",""ES"")"),"Rectificadoras y trituradoras para la industria")</f>
        <v>Rectificadoras y trituradoras para la industria</v>
      </c>
      <c r="M3376" s="8" t="s">
        <v>55</v>
      </c>
      <c r="N3376" s="8"/>
    </row>
    <row r="3377" spans="1:14" ht="11.25" customHeight="1">
      <c r="A3377" s="5" t="s">
        <v>9166</v>
      </c>
      <c r="B3377" s="5" t="s">
        <v>9781</v>
      </c>
      <c r="C3377" s="5" t="s">
        <v>9795</v>
      </c>
      <c r="D3377" s="5" t="s">
        <v>9169</v>
      </c>
      <c r="E3377" s="5" t="s">
        <v>52</v>
      </c>
      <c r="F3377" s="5" t="s">
        <v>9170</v>
      </c>
      <c r="G3377" s="5" t="s">
        <v>152</v>
      </c>
      <c r="H3377" s="5" t="s">
        <v>9783</v>
      </c>
      <c r="I3377" s="5" t="s">
        <v>9796</v>
      </c>
      <c r="J3377" s="5" t="s">
        <v>9797</v>
      </c>
      <c r="K3377" s="7" t="str">
        <f ca="1">IFERROR(__xludf.DUMMYFUNCTION("GOOGLETRANSLATE(H3377,""EN"",""ES"")"),"MÁQUINAS HERRAMIENTA, MAQUINARIA DE ABRASADO Y CIMENTACIÓN")</f>
        <v>MÁQUINAS HERRAMIENTA, MAQUINARIA DE ABRASADO Y CIMENTACIÓN</v>
      </c>
      <c r="L3377" s="5" t="str">
        <f ca="1">IFERROR(__xludf.DUMMYFUNCTION("GOOGLETRANSLATE(J3377,""EN"",""ES"")"),"Calandras para la fabricación de papel.")</f>
        <v>Calandras para la fabricación de papel.</v>
      </c>
      <c r="M3377" s="8" t="s">
        <v>55</v>
      </c>
      <c r="N3377" s="8"/>
    </row>
    <row r="3378" spans="1:14" ht="11.25" customHeight="1">
      <c r="A3378" s="5" t="s">
        <v>9166</v>
      </c>
      <c r="B3378" s="5" t="s">
        <v>9781</v>
      </c>
      <c r="C3378" s="5" t="s">
        <v>9798</v>
      </c>
      <c r="D3378" s="5" t="s">
        <v>9169</v>
      </c>
      <c r="E3378" s="5" t="s">
        <v>52</v>
      </c>
      <c r="F3378" s="5" t="s">
        <v>9170</v>
      </c>
      <c r="G3378" s="5" t="s">
        <v>152</v>
      </c>
      <c r="H3378" s="5" t="s">
        <v>9783</v>
      </c>
      <c r="I3378" s="5" t="s">
        <v>9799</v>
      </c>
      <c r="J3378" s="5" t="s">
        <v>9800</v>
      </c>
      <c r="K3378" s="7" t="str">
        <f ca="1">IFERROR(__xludf.DUMMYFUNCTION("GOOGLETRANSLATE(H3378,""EN"",""ES"")"),"MÁQUINAS HERRAMIENTA, MAQUINARIA DE ABRASADO Y CIMENTACIÓN")</f>
        <v>MÁQUINAS HERRAMIENTA, MAQUINARIA DE ABRASADO Y CIMENTACIÓN</v>
      </c>
      <c r="L3378" s="5" t="str">
        <f ca="1">IFERROR(__xludf.DUMMYFUNCTION("GOOGLETRANSLATE(J3378,""EN"",""ES"")"),"Máquinas para taladrar, taladrar y ranurar cañones de fusil.")</f>
        <v>Máquinas para taladrar, taladrar y ranurar cañones de fusil.</v>
      </c>
      <c r="M3378" s="8" t="s">
        <v>55</v>
      </c>
      <c r="N3378" s="8"/>
    </row>
    <row r="3379" spans="1:14" ht="11.25" customHeight="1">
      <c r="A3379" s="5" t="s">
        <v>9166</v>
      </c>
      <c r="B3379" s="5" t="s">
        <v>9781</v>
      </c>
      <c r="C3379" s="5" t="s">
        <v>9801</v>
      </c>
      <c r="D3379" s="5" t="s">
        <v>9169</v>
      </c>
      <c r="E3379" s="5" t="s">
        <v>52</v>
      </c>
      <c r="F3379" s="5" t="s">
        <v>9170</v>
      </c>
      <c r="G3379" s="5" t="s">
        <v>152</v>
      </c>
      <c r="H3379" s="5" t="s">
        <v>9783</v>
      </c>
      <c r="I3379" s="5" t="s">
        <v>9802</v>
      </c>
      <c r="J3379" s="5" t="s">
        <v>9803</v>
      </c>
      <c r="K3379" s="7" t="str">
        <f ca="1">IFERROR(__xludf.DUMMYFUNCTION("GOOGLETRANSLATE(H3379,""EN"",""ES"")"),"MÁQUINAS HERRAMIENTA, MAQUINARIA DE ABRASADO Y CIMENTACIÓN")</f>
        <v>MÁQUINAS HERRAMIENTA, MAQUINARIA DE ABRASADO Y CIMENTACIÓN</v>
      </c>
      <c r="L3379" s="5" t="str">
        <f ca="1">IFERROR(__xludf.DUMMYFUNCTION("GOOGLETRANSLATE(J3379,""EN"",""ES"")"),"Máquinas biseladoras")</f>
        <v>Máquinas biseladoras</v>
      </c>
      <c r="M3379" s="8" t="s">
        <v>55</v>
      </c>
      <c r="N3379" s="8"/>
    </row>
    <row r="3380" spans="1:14" ht="11.25" customHeight="1">
      <c r="A3380" s="5" t="s">
        <v>9166</v>
      </c>
      <c r="B3380" s="5" t="s">
        <v>9781</v>
      </c>
      <c r="C3380" s="5" t="s">
        <v>9804</v>
      </c>
      <c r="D3380" s="5" t="s">
        <v>9169</v>
      </c>
      <c r="E3380" s="5" t="s">
        <v>52</v>
      </c>
      <c r="F3380" s="5" t="s">
        <v>9170</v>
      </c>
      <c r="G3380" s="5" t="s">
        <v>152</v>
      </c>
      <c r="H3380" s="5" t="s">
        <v>9783</v>
      </c>
      <c r="I3380" s="5" t="s">
        <v>9805</v>
      </c>
      <c r="J3380" s="5" t="s">
        <v>9806</v>
      </c>
      <c r="K3380" s="7" t="str">
        <f ca="1">IFERROR(__xludf.DUMMYFUNCTION("GOOGLETRANSLATE(H3380,""EN"",""ES"")"),"MÁQUINAS HERRAMIENTA, MAQUINARIA DE ABRASADO Y CIMENTACIÓN")</f>
        <v>MÁQUINAS HERRAMIENTA, MAQUINARIA DE ABRASADO Y CIMENTACIÓN</v>
      </c>
      <c r="L3380" s="5" t="str">
        <f ca="1">IFERROR(__xludf.DUMMYFUNCTION("GOOGLETRANSLATE(J3380,""EN"",""ES"")"),"Carros de fundición")</f>
        <v>Carros de fundición</v>
      </c>
      <c r="M3380" s="8" t="s">
        <v>55</v>
      </c>
      <c r="N3380" s="8"/>
    </row>
    <row r="3381" spans="1:14" ht="11.25" customHeight="1">
      <c r="A3381" s="5" t="s">
        <v>9166</v>
      </c>
      <c r="B3381" s="5" t="s">
        <v>9781</v>
      </c>
      <c r="C3381" s="5" t="s">
        <v>9807</v>
      </c>
      <c r="D3381" s="5" t="s">
        <v>9169</v>
      </c>
      <c r="E3381" s="5" t="s">
        <v>52</v>
      </c>
      <c r="F3381" s="5" t="s">
        <v>9170</v>
      </c>
      <c r="G3381" s="5" t="s">
        <v>152</v>
      </c>
      <c r="H3381" s="5" t="s">
        <v>9783</v>
      </c>
      <c r="I3381" s="5" t="s">
        <v>9808</v>
      </c>
      <c r="J3381" s="5" t="s">
        <v>9809</v>
      </c>
      <c r="K3381" s="7" t="str">
        <f ca="1">IFERROR(__xludf.DUMMYFUNCTION("GOOGLETRANSLATE(H3381,""EN"",""ES"")"),"MÁQUINAS HERRAMIENTA, MAQUINARIA DE ABRASADO Y CIMENTACIÓN")</f>
        <v>MÁQUINAS HERRAMIENTA, MAQUINARIA DE ABRASADO Y CIMENTACIÓN</v>
      </c>
      <c r="L3381" s="5" t="str">
        <f ca="1">IFERROR(__xludf.DUMMYFUNCTION("GOOGLETRANSLATE(J3381,""EN"",""ES"")"),"Dobladoras")</f>
        <v>Dobladoras</v>
      </c>
      <c r="M3381" s="8" t="s">
        <v>55</v>
      </c>
      <c r="N3381" s="8"/>
    </row>
    <row r="3382" spans="1:14" ht="11.25" customHeight="1">
      <c r="A3382" s="5" t="s">
        <v>9166</v>
      </c>
      <c r="B3382" s="5" t="s">
        <v>9781</v>
      </c>
      <c r="C3382" s="5" t="s">
        <v>9810</v>
      </c>
      <c r="D3382" s="5" t="s">
        <v>9169</v>
      </c>
      <c r="E3382" s="5" t="s">
        <v>52</v>
      </c>
      <c r="F3382" s="5" t="s">
        <v>9170</v>
      </c>
      <c r="G3382" s="5" t="s">
        <v>152</v>
      </c>
      <c r="H3382" s="5" t="s">
        <v>9783</v>
      </c>
      <c r="I3382" s="5" t="s">
        <v>9811</v>
      </c>
      <c r="J3382" s="5" t="s">
        <v>9812</v>
      </c>
      <c r="K3382" s="7" t="str">
        <f ca="1">IFERROR(__xludf.DUMMYFUNCTION("GOOGLETRANSLATE(H3382,""EN"",""ES"")"),"MÁQUINAS HERRAMIENTA, MAQUINARIA DE ABRASADO Y CIMENTACIÓN")</f>
        <v>MÁQUINAS HERRAMIENTA, MAQUINARIA DE ABRASADO Y CIMENTACIÓN</v>
      </c>
      <c r="L3382" s="5" t="str">
        <f ca="1">IFERROR(__xludf.DUMMYFUNCTION("GOOGLETRANSLATE(J3382,""EN"",""ES"")"),"Dobladores de tubos")</f>
        <v>Dobladores de tubos</v>
      </c>
      <c r="M3382" s="8" t="s">
        <v>55</v>
      </c>
      <c r="N3382" s="8"/>
    </row>
    <row r="3383" spans="1:14" ht="11.25" customHeight="1">
      <c r="A3383" s="5" t="s">
        <v>9166</v>
      </c>
      <c r="B3383" s="5" t="s">
        <v>9781</v>
      </c>
      <c r="C3383" s="5" t="s">
        <v>9813</v>
      </c>
      <c r="D3383" s="5" t="s">
        <v>9169</v>
      </c>
      <c r="E3383" s="5" t="s">
        <v>52</v>
      </c>
      <c r="F3383" s="5" t="s">
        <v>9170</v>
      </c>
      <c r="G3383" s="5" t="s">
        <v>152</v>
      </c>
      <c r="H3383" s="5" t="s">
        <v>9783</v>
      </c>
      <c r="I3383" s="5" t="s">
        <v>9814</v>
      </c>
      <c r="J3383" s="5" t="s">
        <v>9815</v>
      </c>
      <c r="K3383" s="7" t="str">
        <f ca="1">IFERROR(__xludf.DUMMYFUNCTION("GOOGLETRANSLATE(H3383,""EN"",""ES"")"),"MÁQUINAS HERRAMIENTA, MAQUINARIA DE ABRASADO Y CIMENTACIÓN")</f>
        <v>MÁQUINAS HERRAMIENTA, MAQUINARIA DE ABRASADO Y CIMENTACIÓN</v>
      </c>
      <c r="L3383" s="5" t="str">
        <f ca="1">IFERROR(__xludf.DUMMYFUNCTION("GOOGLETRANSLATE(J3383,""EN"",""ES"")"),"maquinas para cortar")</f>
        <v>maquinas para cortar</v>
      </c>
      <c r="M3383" s="8" t="s">
        <v>55</v>
      </c>
      <c r="N3383" s="8"/>
    </row>
    <row r="3384" spans="1:14" ht="11.25" customHeight="1">
      <c r="A3384" s="5" t="s">
        <v>9166</v>
      </c>
      <c r="B3384" s="5" t="s">
        <v>9781</v>
      </c>
      <c r="C3384" s="5" t="s">
        <v>9816</v>
      </c>
      <c r="D3384" s="5" t="s">
        <v>9169</v>
      </c>
      <c r="E3384" s="5" t="s">
        <v>52</v>
      </c>
      <c r="F3384" s="5" t="s">
        <v>9170</v>
      </c>
      <c r="G3384" s="5" t="s">
        <v>152</v>
      </c>
      <c r="H3384" s="5" t="s">
        <v>9783</v>
      </c>
      <c r="I3384" s="5" t="s">
        <v>9817</v>
      </c>
      <c r="J3384" s="5" t="s">
        <v>9818</v>
      </c>
      <c r="K3384" s="7" t="str">
        <f ca="1">IFERROR(__xludf.DUMMYFUNCTION("GOOGLETRANSLATE(H3384,""EN"",""ES"")"),"MÁQUINAS HERRAMIENTA, MAQUINARIA DE ABRASADO Y CIMENTACIÓN")</f>
        <v>MÁQUINAS HERRAMIENTA, MAQUINARIA DE ABRASADO Y CIMENTACIÓN</v>
      </c>
      <c r="L3384" s="5" t="str">
        <f ca="1">IFERROR(__xludf.DUMMYFUNCTION("GOOGLETRANSLATE(J3384,""EN"",""ES"")"),"Canteadoras para cuero")</f>
        <v>Canteadoras para cuero</v>
      </c>
      <c r="M3384" s="8" t="s">
        <v>55</v>
      </c>
      <c r="N3384" s="8"/>
    </row>
    <row r="3385" spans="1:14" ht="11.25" customHeight="1">
      <c r="A3385" s="5" t="s">
        <v>9166</v>
      </c>
      <c r="B3385" s="5" t="s">
        <v>9781</v>
      </c>
      <c r="C3385" s="5" t="s">
        <v>9819</v>
      </c>
      <c r="D3385" s="5" t="s">
        <v>9169</v>
      </c>
      <c r="E3385" s="5" t="s">
        <v>52</v>
      </c>
      <c r="F3385" s="5" t="s">
        <v>9170</v>
      </c>
      <c r="G3385" s="5" t="s">
        <v>152</v>
      </c>
      <c r="H3385" s="5" t="s">
        <v>9783</v>
      </c>
      <c r="I3385" s="5" t="s">
        <v>9820</v>
      </c>
      <c r="J3385" s="5" t="s">
        <v>9821</v>
      </c>
      <c r="K3385" s="7" t="str">
        <f ca="1">IFERROR(__xludf.DUMMYFUNCTION("GOOGLETRANSLATE(H3385,""EN"",""ES"")"),"MÁQUINAS HERRAMIENTA, MAQUINARIA DE ABRASADO Y CIMENTACIÓN")</f>
        <v>MÁQUINAS HERRAMIENTA, MAQUINARIA DE ABRASADO Y CIMENTACIÓN</v>
      </c>
      <c r="L3385" s="5" t="str">
        <f ca="1">IFERROR(__xludf.DUMMYFUNCTION("GOOGLETRANSLATE(J3385,""EN"",""ES"")"),"Máquinas de estampado")</f>
        <v>Máquinas de estampado</v>
      </c>
      <c r="M3385" s="8" t="s">
        <v>55</v>
      </c>
      <c r="N3385" s="8"/>
    </row>
    <row r="3386" spans="1:14" ht="11.25" customHeight="1">
      <c r="A3386" s="5" t="s">
        <v>9166</v>
      </c>
      <c r="B3386" s="5" t="s">
        <v>9781</v>
      </c>
      <c r="C3386" s="5" t="s">
        <v>9822</v>
      </c>
      <c r="D3386" s="5" t="s">
        <v>9169</v>
      </c>
      <c r="E3386" s="5" t="s">
        <v>52</v>
      </c>
      <c r="F3386" s="5" t="s">
        <v>9170</v>
      </c>
      <c r="G3386" s="5" t="s">
        <v>152</v>
      </c>
      <c r="H3386" s="5" t="s">
        <v>9783</v>
      </c>
      <c r="I3386" s="5" t="s">
        <v>9823</v>
      </c>
      <c r="J3386" s="5" t="s">
        <v>9824</v>
      </c>
      <c r="K3386" s="7" t="str">
        <f ca="1">IFERROR(__xludf.DUMMYFUNCTION("GOOGLETRANSLATE(H3386,""EN"",""ES"")"),"MÁQUINAS HERRAMIENTA, MAQUINARIA DE ABRASADO Y CIMENTACIÓN")</f>
        <v>MÁQUINAS HERRAMIENTA, MAQUINARIA DE ABRASADO Y CIMENTACIÓN</v>
      </c>
      <c r="L3386" s="5" t="str">
        <f ca="1">IFERROR(__xludf.DUMMYFUNCTION("GOOGLETRANSLATE(J3386,""EN"",""ES"")"),"Máquinas para estampar metales.")</f>
        <v>Máquinas para estampar metales.</v>
      </c>
      <c r="M3386" s="8" t="s">
        <v>55</v>
      </c>
      <c r="N3386" s="8"/>
    </row>
    <row r="3387" spans="1:14" ht="11.25" customHeight="1">
      <c r="A3387" s="5" t="s">
        <v>9166</v>
      </c>
      <c r="B3387" s="5" t="s">
        <v>9781</v>
      </c>
      <c r="C3387" s="5" t="s">
        <v>9825</v>
      </c>
      <c r="D3387" s="5" t="s">
        <v>9169</v>
      </c>
      <c r="E3387" s="5" t="s">
        <v>52</v>
      </c>
      <c r="F3387" s="5" t="s">
        <v>9170</v>
      </c>
      <c r="G3387" s="5" t="s">
        <v>152</v>
      </c>
      <c r="H3387" s="5" t="s">
        <v>9783</v>
      </c>
      <c r="I3387" s="5" t="s">
        <v>9826</v>
      </c>
      <c r="J3387" s="5" t="s">
        <v>9827</v>
      </c>
      <c r="K3387" s="7" t="str">
        <f ca="1">IFERROR(__xludf.DUMMYFUNCTION("GOOGLETRANSLATE(H3387,""EN"",""ES"")"),"MÁQUINAS HERRAMIENTA, MAQUINARIA DE ABRASADO Y CIMENTACIÓN")</f>
        <v>MÁQUINAS HERRAMIENTA, MAQUINARIA DE ABRASADO Y CIMENTACIÓN</v>
      </c>
      <c r="L3387" s="5" t="str">
        <f ca="1">IFERROR(__xludf.DUMMYFUNCTION("GOOGLETRANSLATE(J3387,""EN"",""ES"")"),"Máquinas para trabajar metales en frío.")</f>
        <v>Máquinas para trabajar metales en frío.</v>
      </c>
      <c r="M3387" s="8" t="s">
        <v>55</v>
      </c>
      <c r="N3387" s="8"/>
    </row>
    <row r="3388" spans="1:14" ht="11.25" customHeight="1">
      <c r="A3388" s="5" t="s">
        <v>9166</v>
      </c>
      <c r="B3388" s="5" t="s">
        <v>9781</v>
      </c>
      <c r="C3388" s="5" t="s">
        <v>9828</v>
      </c>
      <c r="D3388" s="5" t="s">
        <v>9169</v>
      </c>
      <c r="E3388" s="5" t="s">
        <v>52</v>
      </c>
      <c r="F3388" s="5" t="s">
        <v>9170</v>
      </c>
      <c r="G3388" s="5" t="s">
        <v>152</v>
      </c>
      <c r="H3388" s="5" t="s">
        <v>9783</v>
      </c>
      <c r="I3388" s="5" t="s">
        <v>9829</v>
      </c>
      <c r="J3388" s="5" t="s">
        <v>9830</v>
      </c>
      <c r="K3388" s="7" t="str">
        <f ca="1">IFERROR(__xludf.DUMMYFUNCTION("GOOGLETRANSLATE(H3388,""EN"",""ES"")"),"MÁQUINAS HERRAMIENTA, MAQUINARIA DE ABRASADO Y CIMENTACIÓN")</f>
        <v>MÁQUINAS HERRAMIENTA, MAQUINARIA DE ABRASADO Y CIMENTACIÓN</v>
      </c>
      <c r="L3388" s="5" t="str">
        <f ca="1">IFERROR(__xludf.DUMMYFUNCTION("GOOGLETRANSLATE(J3388,""EN"",""ES"")"),"Fresadoras fijas")</f>
        <v>Fresadoras fijas</v>
      </c>
      <c r="M3388" s="8" t="s">
        <v>55</v>
      </c>
      <c r="N3388" s="8"/>
    </row>
    <row r="3389" spans="1:14" ht="11.25" customHeight="1">
      <c r="A3389" s="5" t="s">
        <v>9166</v>
      </c>
      <c r="B3389" s="5" t="s">
        <v>9781</v>
      </c>
      <c r="C3389" s="5" t="s">
        <v>9831</v>
      </c>
      <c r="D3389" s="5" t="s">
        <v>9169</v>
      </c>
      <c r="E3389" s="5" t="s">
        <v>52</v>
      </c>
      <c r="F3389" s="5" t="s">
        <v>9170</v>
      </c>
      <c r="G3389" s="5" t="s">
        <v>152</v>
      </c>
      <c r="H3389" s="5" t="s">
        <v>9783</v>
      </c>
      <c r="I3389" s="5" t="s">
        <v>9832</v>
      </c>
      <c r="J3389" s="5" t="s">
        <v>9833</v>
      </c>
      <c r="K3389" s="7" t="str">
        <f ca="1">IFERROR(__xludf.DUMMYFUNCTION("GOOGLETRANSLATE(H3389,""EN"",""ES"")"),"MÁQUINAS HERRAMIENTA, MAQUINARIA DE ABRASADO Y CIMENTACIÓN")</f>
        <v>MÁQUINAS HERRAMIENTA, MAQUINARIA DE ABRASADO Y CIMENTACIÓN</v>
      </c>
      <c r="L3389" s="5" t="str">
        <f ca="1">IFERROR(__xludf.DUMMYFUNCTION("GOOGLETRANSLATE(J3389,""EN"",""ES"")"),"Máquinas perforadoras [excepto para roca]")</f>
        <v>Máquinas perforadoras [excepto para roca]</v>
      </c>
      <c r="M3389" s="8" t="s">
        <v>55</v>
      </c>
      <c r="N3389" s="8"/>
    </row>
    <row r="3390" spans="1:14" ht="11.25" customHeight="1">
      <c r="A3390" s="5" t="s">
        <v>9166</v>
      </c>
      <c r="B3390" s="5" t="s">
        <v>9781</v>
      </c>
      <c r="C3390" s="5" t="s">
        <v>9831</v>
      </c>
      <c r="D3390" s="5" t="s">
        <v>9169</v>
      </c>
      <c r="E3390" s="5" t="s">
        <v>52</v>
      </c>
      <c r="F3390" s="5" t="s">
        <v>9170</v>
      </c>
      <c r="G3390" s="5" t="s">
        <v>152</v>
      </c>
      <c r="H3390" s="5" t="s">
        <v>9783</v>
      </c>
      <c r="I3390" s="5" t="s">
        <v>152</v>
      </c>
      <c r="J3390" s="5" t="s">
        <v>9834</v>
      </c>
      <c r="K3390" s="7" t="str">
        <f ca="1">IFERROR(__xludf.DUMMYFUNCTION("GOOGLETRANSLATE(H3390,""EN"",""ES"")"),"MÁQUINAS HERRAMIENTA, MAQUINARIA DE ABRASADO Y CIMENTACIÓN")</f>
        <v>MÁQUINAS HERRAMIENTA, MAQUINARIA DE ABRASADO Y CIMENTACIÓN</v>
      </c>
      <c r="L3390" s="5" t="str">
        <f ca="1">IFERROR(__xludf.DUMMYFUNCTION("GOOGLETRANSLATE(J3390,""EN"",""ES"")"),"N / A")</f>
        <v>N / A</v>
      </c>
      <c r="M3390" s="8" t="s">
        <v>55</v>
      </c>
      <c r="N3390" s="8"/>
    </row>
    <row r="3391" spans="1:14" ht="11.25" customHeight="1">
      <c r="A3391" s="5" t="s">
        <v>9166</v>
      </c>
      <c r="B3391" s="5" t="s">
        <v>9781</v>
      </c>
      <c r="C3391" s="5" t="s">
        <v>9835</v>
      </c>
      <c r="D3391" s="5" t="s">
        <v>9169</v>
      </c>
      <c r="E3391" s="5" t="s">
        <v>52</v>
      </c>
      <c r="F3391" s="5" t="s">
        <v>9170</v>
      </c>
      <c r="G3391" s="5" t="s">
        <v>152</v>
      </c>
      <c r="H3391" s="5" t="s">
        <v>9783</v>
      </c>
      <c r="I3391" s="5" t="s">
        <v>9836</v>
      </c>
      <c r="J3391" s="5" t="s">
        <v>9837</v>
      </c>
      <c r="K3391" s="7" t="str">
        <f ca="1">IFERROR(__xludf.DUMMYFUNCTION("GOOGLETRANSLATE(H3391,""EN"",""ES"")"),"MÁQUINAS HERRAMIENTA, MAQUINARIA DE ABRASADO Y CIMENTACIÓN")</f>
        <v>MÁQUINAS HERRAMIENTA, MAQUINARIA DE ABRASADO Y CIMENTACIÓN</v>
      </c>
      <c r="L3391" s="5" t="str">
        <f ca="1">IFERROR(__xludf.DUMMYFUNCTION("GOOGLETRANSLATE(J3391,""EN"",""ES"")"),"Aparatos para cargar altos hornos.")</f>
        <v>Aparatos para cargar altos hornos.</v>
      </c>
      <c r="M3391" s="8" t="s">
        <v>55</v>
      </c>
      <c r="N3391" s="8"/>
    </row>
    <row r="3392" spans="1:14" ht="11.25" customHeight="1">
      <c r="A3392" s="5" t="s">
        <v>9166</v>
      </c>
      <c r="B3392" s="5" t="s">
        <v>9781</v>
      </c>
      <c r="C3392" s="5" t="s">
        <v>9838</v>
      </c>
      <c r="D3392" s="5" t="s">
        <v>9169</v>
      </c>
      <c r="E3392" s="5" t="s">
        <v>52</v>
      </c>
      <c r="F3392" s="5" t="s">
        <v>9170</v>
      </c>
      <c r="G3392" s="5" t="s">
        <v>152</v>
      </c>
      <c r="H3392" s="5" t="s">
        <v>9783</v>
      </c>
      <c r="I3392" s="5" t="s">
        <v>9839</v>
      </c>
      <c r="J3392" s="5" t="s">
        <v>9840</v>
      </c>
      <c r="K3392" s="7" t="str">
        <f ca="1">IFERROR(__xludf.DUMMYFUNCTION("GOOGLETRANSLATE(H3392,""EN"",""ES"")"),"MÁQUINAS HERRAMIENTA, MAQUINARIA DE ABRASADO Y CIMENTACIÓN")</f>
        <v>MÁQUINAS HERRAMIENTA, MAQUINARIA DE ABRASADO Y CIMENTACIÓN</v>
      </c>
      <c r="L3392" s="5" t="str">
        <f ca="1">IFERROR(__xludf.DUMMYFUNCTION("GOOGLETRANSLATE(J3392,""EN"",""ES"")"),"maquinas archivadoras")</f>
        <v>maquinas archivadoras</v>
      </c>
      <c r="M3392" s="8" t="s">
        <v>55</v>
      </c>
      <c r="N3392" s="8"/>
    </row>
    <row r="3393" spans="1:14" ht="11.25" customHeight="1">
      <c r="A3393" s="5" t="s">
        <v>9166</v>
      </c>
      <c r="B3393" s="5" t="s">
        <v>9781</v>
      </c>
      <c r="C3393" s="5" t="s">
        <v>9841</v>
      </c>
      <c r="D3393" s="5" t="s">
        <v>9169</v>
      </c>
      <c r="E3393" s="5" t="s">
        <v>52</v>
      </c>
      <c r="F3393" s="5" t="s">
        <v>9170</v>
      </c>
      <c r="G3393" s="5" t="s">
        <v>152</v>
      </c>
      <c r="H3393" s="5" t="s">
        <v>9783</v>
      </c>
      <c r="I3393" s="5" t="s">
        <v>9842</v>
      </c>
      <c r="J3393" s="5" t="s">
        <v>9843</v>
      </c>
      <c r="K3393" s="7" t="str">
        <f ca="1">IFERROR(__xludf.DUMMYFUNCTION("GOOGLETRANSLATE(H3393,""EN"",""ES"")"),"MÁQUINAS HERRAMIENTA, MAQUINARIA DE ABRASADO Y CIMENTACIÓN")</f>
        <v>MÁQUINAS HERRAMIENTA, MAQUINARIA DE ABRASADO Y CIMENTACIÓN</v>
      </c>
      <c r="L3393" s="5" t="str">
        <f ca="1">IFERROR(__xludf.DUMMYFUNCTION("GOOGLETRANSLATE(J3393,""EN"",""ES"")"),"Máquinas herramienta para trabajar la madera y el metal.")</f>
        <v>Máquinas herramienta para trabajar la madera y el metal.</v>
      </c>
      <c r="M3393" s="8" t="s">
        <v>55</v>
      </c>
      <c r="N3393" s="8"/>
    </row>
    <row r="3394" spans="1:14" ht="11.25" customHeight="1">
      <c r="A3394" s="5" t="s">
        <v>9166</v>
      </c>
      <c r="B3394" s="5" t="s">
        <v>9781</v>
      </c>
      <c r="C3394" s="5" t="s">
        <v>9844</v>
      </c>
      <c r="D3394" s="5" t="s">
        <v>9169</v>
      </c>
      <c r="E3394" s="5" t="s">
        <v>52</v>
      </c>
      <c r="F3394" s="5" t="s">
        <v>9170</v>
      </c>
      <c r="G3394" s="5" t="s">
        <v>152</v>
      </c>
      <c r="H3394" s="5" t="s">
        <v>9783</v>
      </c>
      <c r="I3394" s="5" t="s">
        <v>9845</v>
      </c>
      <c r="J3394" s="5" t="s">
        <v>9846</v>
      </c>
      <c r="K3394" s="7" t="str">
        <f ca="1">IFERROR(__xludf.DUMMYFUNCTION("GOOGLETRANSLATE(H3394,""EN"",""ES"")"),"MÁQUINAS HERRAMIENTA, MAQUINARIA DE ABRASADO Y CIMENTACIÓN")</f>
        <v>MÁQUINAS HERRAMIENTA, MAQUINARIA DE ABRASADO Y CIMENTACIÓN</v>
      </c>
      <c r="L3394" s="5" t="str">
        <f ca="1">IFERROR(__xludf.DUMMYFUNCTION("GOOGLETRANSLATE(J3394,""EN"",""ES"")"),"Martillos eléctricos")</f>
        <v>Martillos eléctricos</v>
      </c>
      <c r="M3394" s="8" t="s">
        <v>55</v>
      </c>
      <c r="N3394" s="8"/>
    </row>
    <row r="3395" spans="1:14" ht="11.25" customHeight="1">
      <c r="A3395" s="5" t="s">
        <v>9166</v>
      </c>
      <c r="B3395" s="5" t="s">
        <v>9781</v>
      </c>
      <c r="C3395" s="5" t="s">
        <v>9847</v>
      </c>
      <c r="D3395" s="5" t="s">
        <v>9169</v>
      </c>
      <c r="E3395" s="5" t="s">
        <v>52</v>
      </c>
      <c r="F3395" s="5" t="s">
        <v>9170</v>
      </c>
      <c r="G3395" s="5" t="s">
        <v>152</v>
      </c>
      <c r="H3395" s="5" t="s">
        <v>9783</v>
      </c>
      <c r="I3395" s="5" t="s">
        <v>9848</v>
      </c>
      <c r="J3395" s="5" t="s">
        <v>9849</v>
      </c>
      <c r="K3395" s="7" t="str">
        <f ca="1">IFERROR(__xludf.DUMMYFUNCTION("GOOGLETRANSLATE(H3395,""EN"",""ES"")"),"MÁQUINAS HERRAMIENTA, MAQUINARIA DE ABRASADO Y CIMENTACIÓN")</f>
        <v>MÁQUINAS HERRAMIENTA, MAQUINARIA DE ABRASADO Y CIMENTACIÓN</v>
      </c>
      <c r="L3395" s="5" t="str">
        <f ca="1">IFERROR(__xludf.DUMMYFUNCTION("GOOGLETRANSLATE(J3395,""EN"",""ES"")"),"Equipos de galvanoplastia")</f>
        <v>Equipos de galvanoplastia</v>
      </c>
      <c r="M3395" s="8" t="s">
        <v>55</v>
      </c>
      <c r="N3395" s="8"/>
    </row>
    <row r="3396" spans="1:14" ht="11.25" customHeight="1">
      <c r="A3396" s="5" t="s">
        <v>9166</v>
      </c>
      <c r="B3396" s="5" t="s">
        <v>9781</v>
      </c>
      <c r="C3396" s="5" t="s">
        <v>9850</v>
      </c>
      <c r="D3396" s="5" t="s">
        <v>9169</v>
      </c>
      <c r="E3396" s="5" t="s">
        <v>52</v>
      </c>
      <c r="F3396" s="5" t="s">
        <v>9170</v>
      </c>
      <c r="G3396" s="5" t="s">
        <v>152</v>
      </c>
      <c r="H3396" s="5" t="s">
        <v>9783</v>
      </c>
      <c r="I3396" s="5" t="s">
        <v>9851</v>
      </c>
      <c r="J3396" s="5" t="s">
        <v>9852</v>
      </c>
      <c r="K3396" s="7" t="str">
        <f ca="1">IFERROR(__xludf.DUMMYFUNCTION("GOOGLETRANSLATE(H3396,""EN"",""ES"")"),"MÁQUINAS HERRAMIENTA, MAQUINARIA DE ABRASADO Y CIMENTACIÓN")</f>
        <v>MÁQUINAS HERRAMIENTA, MAQUINARIA DE ABRASADO Y CIMENTACIÓN</v>
      </c>
      <c r="L3396" s="5" t="str">
        <f ca="1">IFERROR(__xludf.DUMMYFUNCTION("GOOGLETRANSLATE(J3396,""EN"",""ES"")"),"piedras de molino")</f>
        <v>piedras de molino</v>
      </c>
      <c r="M3396" s="8" t="s">
        <v>55</v>
      </c>
      <c r="N3396" s="8"/>
    </row>
    <row r="3397" spans="1:14" ht="11.25" customHeight="1">
      <c r="A3397" s="5" t="s">
        <v>9166</v>
      </c>
      <c r="B3397" s="5" t="s">
        <v>9781</v>
      </c>
      <c r="C3397" s="5" t="s">
        <v>9853</v>
      </c>
      <c r="D3397" s="5" t="s">
        <v>9169</v>
      </c>
      <c r="E3397" s="5" t="s">
        <v>52</v>
      </c>
      <c r="F3397" s="5" t="s">
        <v>9170</v>
      </c>
      <c r="G3397" s="5" t="s">
        <v>152</v>
      </c>
      <c r="H3397" s="5" t="s">
        <v>9783</v>
      </c>
      <c r="I3397" s="5" t="s">
        <v>9854</v>
      </c>
      <c r="J3397" s="5" t="s">
        <v>9855</v>
      </c>
      <c r="K3397" s="7" t="str">
        <f ca="1">IFERROR(__xludf.DUMMYFUNCTION("GOOGLETRANSLATE(H3397,""EN"",""ES"")"),"MÁQUINAS HERRAMIENTA, MAQUINARIA DE ABRASADO Y CIMENTACIÓN")</f>
        <v>MÁQUINAS HERRAMIENTA, MAQUINARIA DE ABRASADO Y CIMENTACIÓN</v>
      </c>
      <c r="L3397" s="5" t="str">
        <f ca="1">IFERROR(__xludf.DUMMYFUNCTION("GOOGLETRANSLATE(J3397,""EN"",""ES"")"),"Máquinas tragamonedas")</f>
        <v>Máquinas tragamonedas</v>
      </c>
      <c r="M3397" s="8" t="s">
        <v>55</v>
      </c>
      <c r="N3397" s="8"/>
    </row>
    <row r="3398" spans="1:14" ht="11.25" customHeight="1">
      <c r="A3398" s="5" t="s">
        <v>9166</v>
      </c>
      <c r="B3398" s="5" t="s">
        <v>9781</v>
      </c>
      <c r="C3398" s="5" t="s">
        <v>9856</v>
      </c>
      <c r="D3398" s="5" t="s">
        <v>9169</v>
      </c>
      <c r="E3398" s="5" t="s">
        <v>52</v>
      </c>
      <c r="F3398" s="5" t="s">
        <v>9170</v>
      </c>
      <c r="G3398" s="5" t="s">
        <v>152</v>
      </c>
      <c r="H3398" s="5" t="s">
        <v>9783</v>
      </c>
      <c r="I3398" s="5" t="s">
        <v>9857</v>
      </c>
      <c r="J3398" s="5" t="s">
        <v>9858</v>
      </c>
      <c r="K3398" s="7" t="str">
        <f ca="1">IFERROR(__xludf.DUMMYFUNCTION("GOOGLETRANSLATE(H3398,""EN"",""ES"")"),"MÁQUINAS HERRAMIENTA, MAQUINARIA DE ABRASADO Y CIMENTACIÓN")</f>
        <v>MÁQUINAS HERRAMIENTA, MAQUINARIA DE ABRASADO Y CIMENTACIÓN</v>
      </c>
      <c r="L3398" s="5" t="str">
        <f ca="1">IFERROR(__xludf.DUMMYFUNCTION("GOOGLETRANSLATE(J3398,""EN"",""ES"")"),"Máquinas de fundición")</f>
        <v>Máquinas de fundición</v>
      </c>
      <c r="M3398" s="8" t="s">
        <v>55</v>
      </c>
      <c r="N3398" s="8"/>
    </row>
    <row r="3399" spans="1:14" ht="11.25" customHeight="1">
      <c r="A3399" s="5" t="s">
        <v>9166</v>
      </c>
      <c r="B3399" s="5" t="s">
        <v>9781</v>
      </c>
      <c r="C3399" s="5" t="s">
        <v>9859</v>
      </c>
      <c r="D3399" s="5" t="s">
        <v>9169</v>
      </c>
      <c r="E3399" s="5" t="s">
        <v>52</v>
      </c>
      <c r="F3399" s="5" t="s">
        <v>9170</v>
      </c>
      <c r="G3399" s="5" t="s">
        <v>152</v>
      </c>
      <c r="H3399" s="5" t="s">
        <v>9783</v>
      </c>
      <c r="I3399" s="5" t="s">
        <v>9860</v>
      </c>
      <c r="J3399" s="5" t="s">
        <v>9861</v>
      </c>
      <c r="K3399" s="7" t="str">
        <f ca="1">IFERROR(__xludf.DUMMYFUNCTION("GOOGLETRANSLATE(H3399,""EN"",""ES"")"),"MÁQUINAS HERRAMIENTA, MAQUINARIA DE ABRASADO Y CIMENTACIÓN")</f>
        <v>MÁQUINAS HERRAMIENTA, MAQUINARIA DE ABRASADO Y CIMENTACIÓN</v>
      </c>
      <c r="L3399" s="5" t="str">
        <f ca="1">IFERROR(__xludf.DUMMYFUNCTION("GOOGLETRANSLATE(J3399,""EN"",""ES"")"),"Máquinas para fijar ojales")</f>
        <v>Máquinas para fijar ojales</v>
      </c>
      <c r="M3399" s="8" t="s">
        <v>55</v>
      </c>
      <c r="N3399" s="8"/>
    </row>
    <row r="3400" spans="1:14" ht="11.25" customHeight="1">
      <c r="A3400" s="5" t="s">
        <v>9166</v>
      </c>
      <c r="B3400" s="5" t="s">
        <v>9781</v>
      </c>
      <c r="C3400" s="5" t="s">
        <v>9862</v>
      </c>
      <c r="D3400" s="5" t="s">
        <v>9169</v>
      </c>
      <c r="E3400" s="5" t="s">
        <v>52</v>
      </c>
      <c r="F3400" s="5" t="s">
        <v>9170</v>
      </c>
      <c r="G3400" s="5" t="s">
        <v>152</v>
      </c>
      <c r="H3400" s="5" t="s">
        <v>9783</v>
      </c>
      <c r="I3400" s="5" t="s">
        <v>9863</v>
      </c>
      <c r="J3400" s="5" t="s">
        <v>9864</v>
      </c>
      <c r="K3400" s="7" t="str">
        <f ca="1">IFERROR(__xludf.DUMMYFUNCTION("GOOGLETRANSLATE(H3400,""EN"",""ES"")"),"MÁQUINAS HERRAMIENTA, MAQUINARIA DE ABRASADO Y CIMENTACIÓN")</f>
        <v>MÁQUINAS HERRAMIENTA, MAQUINARIA DE ABRASADO Y CIMENTACIÓN</v>
      </c>
      <c r="L3400" s="5" t="str">
        <f ca="1">IFERROR(__xludf.DUMMYFUNCTION("GOOGLETRANSLATE(J3400,""EN"",""ES"")"),"Máquinas para aserrar o cortar piedras")</f>
        <v>Máquinas para aserrar o cortar piedras</v>
      </c>
      <c r="M3400" s="8" t="s">
        <v>55</v>
      </c>
      <c r="N3400" s="8"/>
    </row>
    <row r="3401" spans="1:14" ht="11.25" customHeight="1">
      <c r="A3401" s="5" t="s">
        <v>9166</v>
      </c>
      <c r="B3401" s="5" t="s">
        <v>9781</v>
      </c>
      <c r="C3401" s="5" t="s">
        <v>9865</v>
      </c>
      <c r="D3401" s="5" t="s">
        <v>9169</v>
      </c>
      <c r="E3401" s="5" t="s">
        <v>52</v>
      </c>
      <c r="F3401" s="5" t="s">
        <v>9170</v>
      </c>
      <c r="G3401" s="5" t="s">
        <v>152</v>
      </c>
      <c r="H3401" s="5" t="s">
        <v>9783</v>
      </c>
      <c r="I3401" s="5" t="s">
        <v>9866</v>
      </c>
      <c r="J3401" s="5" t="s">
        <v>9867</v>
      </c>
      <c r="K3401" s="7" t="str">
        <f ca="1">IFERROR(__xludf.DUMMYFUNCTION("GOOGLETRANSLATE(H3401,""EN"",""ES"")"),"MÁQUINAS HERRAMIENTA, MAQUINARIA DE ABRASADO Y CIMENTACIÓN")</f>
        <v>MÁQUINAS HERRAMIENTA, MAQUINARIA DE ABRASADO Y CIMENTACIÓN</v>
      </c>
      <c r="L3401" s="5" t="str">
        <f ca="1">IFERROR(__xludf.DUMMYFUNCTION("GOOGLETRANSLATE(J3401,""EN"",""ES"")"),"Máquinas cepilladoras [máquinas herramienta]")</f>
        <v>Máquinas cepilladoras [máquinas herramienta]</v>
      </c>
      <c r="M3401" s="8" t="s">
        <v>55</v>
      </c>
      <c r="N3401" s="8"/>
    </row>
    <row r="3402" spans="1:14" ht="11.25" customHeight="1">
      <c r="A3402" s="5" t="s">
        <v>9166</v>
      </c>
      <c r="B3402" s="5" t="s">
        <v>9781</v>
      </c>
      <c r="C3402" s="5" t="s">
        <v>9868</v>
      </c>
      <c r="D3402" s="5" t="s">
        <v>9169</v>
      </c>
      <c r="E3402" s="5" t="s">
        <v>52</v>
      </c>
      <c r="F3402" s="5" t="s">
        <v>9170</v>
      </c>
      <c r="G3402" s="5" t="s">
        <v>152</v>
      </c>
      <c r="H3402" s="5" t="s">
        <v>9783</v>
      </c>
      <c r="I3402" s="5" t="s">
        <v>9869</v>
      </c>
      <c r="J3402" s="5" t="s">
        <v>9870</v>
      </c>
      <c r="K3402" s="7" t="str">
        <f ca="1">IFERROR(__xludf.DUMMYFUNCTION("GOOGLETRANSLATE(H3402,""EN"",""ES"")"),"MÁQUINAS HERRAMIENTA, MAQUINARIA DE ABRASADO Y CIMENTACIÓN")</f>
        <v>MÁQUINAS HERRAMIENTA, MAQUINARIA DE ABRASADO Y CIMENTACIÓN</v>
      </c>
      <c r="L3402" s="5" t="str">
        <f ca="1">IFERROR(__xludf.DUMMYFUNCTION("GOOGLETRANSLATE(J3402,""EN"",""ES"")"),"Punzonadoras [industria]")</f>
        <v>Punzonadoras [industria]</v>
      </c>
      <c r="M3402" s="8" t="s">
        <v>55</v>
      </c>
      <c r="N3402" s="8"/>
    </row>
    <row r="3403" spans="1:14" ht="11.25" customHeight="1">
      <c r="A3403" s="5" t="s">
        <v>9166</v>
      </c>
      <c r="B3403" s="5" t="s">
        <v>9781</v>
      </c>
      <c r="C3403" s="5" t="s">
        <v>9871</v>
      </c>
      <c r="D3403" s="5" t="s">
        <v>9169</v>
      </c>
      <c r="E3403" s="5" t="s">
        <v>52</v>
      </c>
      <c r="F3403" s="5" t="s">
        <v>9170</v>
      </c>
      <c r="G3403" s="5" t="s">
        <v>152</v>
      </c>
      <c r="H3403" s="5" t="s">
        <v>9783</v>
      </c>
      <c r="I3403" s="5" t="s">
        <v>9872</v>
      </c>
      <c r="J3403" s="5" t="s">
        <v>9873</v>
      </c>
      <c r="K3403" s="7" t="str">
        <f ca="1">IFERROR(__xludf.DUMMYFUNCTION("GOOGLETRANSLATE(H3403,""EN"",""ES"")"),"MÁQUINAS HERRAMIENTA, MAQUINARIA DE ABRASADO Y CIMENTACIÓN")</f>
        <v>MÁQUINAS HERRAMIENTA, MAQUINARIA DE ABRASADO Y CIMENTACIÓN</v>
      </c>
      <c r="L3403" s="5" t="str">
        <f ca="1">IFERROR(__xludf.DUMMYFUNCTION("GOOGLETRANSLATE(J3403,""EN"",""ES"")"),"Pulidoras para metal")</f>
        <v>Pulidoras para metal</v>
      </c>
      <c r="M3403" s="8" t="s">
        <v>55</v>
      </c>
      <c r="N3403" s="8"/>
    </row>
    <row r="3404" spans="1:14" ht="11.25" customHeight="1">
      <c r="A3404" s="5" t="s">
        <v>9166</v>
      </c>
      <c r="B3404" s="5" t="s">
        <v>9781</v>
      </c>
      <c r="C3404" s="5" t="s">
        <v>9874</v>
      </c>
      <c r="D3404" s="5" t="s">
        <v>9169</v>
      </c>
      <c r="E3404" s="5" t="s">
        <v>52</v>
      </c>
      <c r="F3404" s="5" t="s">
        <v>9170</v>
      </c>
      <c r="G3404" s="5" t="s">
        <v>152</v>
      </c>
      <c r="H3404" s="5" t="s">
        <v>9783</v>
      </c>
      <c r="I3404" s="5" t="s">
        <v>9875</v>
      </c>
      <c r="J3404" s="5" t="s">
        <v>9876</v>
      </c>
      <c r="K3404" s="7" t="str">
        <f ca="1">IFERROR(__xludf.DUMMYFUNCTION("GOOGLETRANSLATE(H3404,""EN"",""ES"")"),"MÁQUINAS HERRAMIENTA, MAQUINARIA DE ABRASADO Y CIMENTACIÓN")</f>
        <v>MÁQUINAS HERRAMIENTA, MAQUINARIA DE ABRASADO Y CIMENTACIÓN</v>
      </c>
      <c r="L3404" s="5" t="str">
        <f ca="1">IFERROR(__xludf.DUMMYFUNCTION("GOOGLETRANSLATE(J3404,""EN"",""ES"")"),"Lijadoras")</f>
        <v>Lijadoras</v>
      </c>
      <c r="M3404" s="8" t="s">
        <v>55</v>
      </c>
      <c r="N3404" s="8"/>
    </row>
    <row r="3405" spans="1:14" ht="11.25" customHeight="1">
      <c r="A3405" s="5" t="s">
        <v>9166</v>
      </c>
      <c r="B3405" s="5" t="s">
        <v>9781</v>
      </c>
      <c r="C3405" s="5" t="s">
        <v>9877</v>
      </c>
      <c r="D3405" s="5" t="s">
        <v>9169</v>
      </c>
      <c r="E3405" s="5" t="s">
        <v>52</v>
      </c>
      <c r="F3405" s="5" t="s">
        <v>9170</v>
      </c>
      <c r="G3405" s="5" t="s">
        <v>152</v>
      </c>
      <c r="H3405" s="5" t="s">
        <v>9783</v>
      </c>
      <c r="I3405" s="5" t="s">
        <v>9878</v>
      </c>
      <c r="J3405" s="5" t="s">
        <v>9879</v>
      </c>
      <c r="K3405" s="7" t="str">
        <f ca="1">IFERROR(__xludf.DUMMYFUNCTION("GOOGLETRANSLATE(H3405,""EN"",""ES"")"),"MÁQUINAS HERRAMIENTA, MAQUINARIA DE ABRASADO Y CIMENTACIÓN")</f>
        <v>MÁQUINAS HERRAMIENTA, MAQUINARIA DE ABRASADO Y CIMENTACIÓN</v>
      </c>
      <c r="L3405" s="5" t="str">
        <f ca="1">IFERROR(__xludf.DUMMYFUNCTION("GOOGLETRANSLATE(J3405,""EN"",""ES"")"),"Contrapuntos para tornos")</f>
        <v>Contrapuntos para tornos</v>
      </c>
      <c r="M3405" s="8" t="s">
        <v>55</v>
      </c>
      <c r="N3405" s="8"/>
    </row>
    <row r="3406" spans="1:14" ht="11.25" customHeight="1">
      <c r="A3406" s="5" t="s">
        <v>9166</v>
      </c>
      <c r="B3406" s="5" t="s">
        <v>9781</v>
      </c>
      <c r="C3406" s="5" t="s">
        <v>9880</v>
      </c>
      <c r="D3406" s="5" t="s">
        <v>9169</v>
      </c>
      <c r="E3406" s="5" t="s">
        <v>52</v>
      </c>
      <c r="F3406" s="5" t="s">
        <v>9170</v>
      </c>
      <c r="G3406" s="5" t="s">
        <v>152</v>
      </c>
      <c r="H3406" s="5" t="s">
        <v>9783</v>
      </c>
      <c r="I3406" s="5" t="s">
        <v>9881</v>
      </c>
      <c r="J3406" s="5" t="s">
        <v>9882</v>
      </c>
      <c r="K3406" s="7" t="str">
        <f ca="1">IFERROR(__xludf.DUMMYFUNCTION("GOOGLETRANSLATE(H3406,""EN"",""ES"")"),"MÁQUINAS HERRAMIENTA, MAQUINARIA DE ABRASADO Y CIMENTACIÓN")</f>
        <v>MÁQUINAS HERRAMIENTA, MAQUINARIA DE ABRASADO Y CIMENTACIÓN</v>
      </c>
      <c r="L3406" s="5" t="str">
        <f ca="1">IFERROR(__xludf.DUMMYFUNCTION("GOOGLETRANSLATE(J3406,""EN"",""ES"")"),"Prensas para briquetas de combustible.")</f>
        <v>Prensas para briquetas de combustible.</v>
      </c>
      <c r="M3406" s="8" t="s">
        <v>55</v>
      </c>
      <c r="N3406" s="8"/>
    </row>
    <row r="3407" spans="1:14" ht="11.25" customHeight="1">
      <c r="A3407" s="5" t="s">
        <v>9166</v>
      </c>
      <c r="B3407" s="5" t="s">
        <v>9781</v>
      </c>
      <c r="C3407" s="5" t="s">
        <v>9883</v>
      </c>
      <c r="D3407" s="5" t="s">
        <v>9169</v>
      </c>
      <c r="E3407" s="5" t="s">
        <v>52</v>
      </c>
      <c r="F3407" s="5" t="s">
        <v>9170</v>
      </c>
      <c r="G3407" s="5" t="s">
        <v>152</v>
      </c>
      <c r="H3407" s="5" t="s">
        <v>9783</v>
      </c>
      <c r="I3407" s="5" t="s">
        <v>9884</v>
      </c>
      <c r="J3407" s="5" t="s">
        <v>9885</v>
      </c>
      <c r="K3407" s="7" t="str">
        <f ca="1">IFERROR(__xludf.DUMMYFUNCTION("GOOGLETRANSLATE(H3407,""EN"",""ES"")"),"MÁQUINAS HERRAMIENTA, MAQUINARIA DE ABRASADO Y CIMENTACIÓN")</f>
        <v>MÁQUINAS HERRAMIENTA, MAQUINARIA DE ABRASADO Y CIMENTACIÓN</v>
      </c>
      <c r="L3407" s="5" t="str">
        <f ca="1">IFERROR(__xludf.DUMMYFUNCTION("GOOGLETRANSLATE(J3407,""EN"",""ES"")"),"Frenos doblados")</f>
        <v>Frenos doblados</v>
      </c>
      <c r="M3407" s="8" t="s">
        <v>55</v>
      </c>
      <c r="N3407" s="8"/>
    </row>
    <row r="3408" spans="1:14" ht="11.25" customHeight="1">
      <c r="A3408" s="5" t="s">
        <v>9166</v>
      </c>
      <c r="B3408" s="5" t="s">
        <v>9781</v>
      </c>
      <c r="C3408" s="5" t="s">
        <v>9886</v>
      </c>
      <c r="D3408" s="5" t="s">
        <v>9169</v>
      </c>
      <c r="E3408" s="5" t="s">
        <v>52</v>
      </c>
      <c r="F3408" s="5" t="s">
        <v>9170</v>
      </c>
      <c r="G3408" s="5" t="s">
        <v>152</v>
      </c>
      <c r="H3408" s="5" t="s">
        <v>9783</v>
      </c>
      <c r="I3408" s="5" t="s">
        <v>9887</v>
      </c>
      <c r="J3408" s="5" t="s">
        <v>9888</v>
      </c>
      <c r="K3408" s="7" t="str">
        <f ca="1">IFERROR(__xludf.DUMMYFUNCTION("GOOGLETRANSLATE(H3408,""EN"",""ES"")"),"MÁQUINAS HERRAMIENTA, MAQUINARIA DE ABRASADO Y CIMENTACIÓN")</f>
        <v>MÁQUINAS HERRAMIENTA, MAQUINARIA DE ABRASADO Y CIMENTACIÓN</v>
      </c>
      <c r="L3408" s="5" t="str">
        <f ca="1">IFERROR(__xludf.DUMMYFUNCTION("GOOGLETRANSLATE(J3408,""EN"",""ES"")"),"Cepilladoras")</f>
        <v>Cepilladoras</v>
      </c>
      <c r="M3408" s="8" t="s">
        <v>55</v>
      </c>
      <c r="N3408" s="8"/>
    </row>
    <row r="3409" spans="1:14" ht="11.25" customHeight="1">
      <c r="A3409" s="5" t="s">
        <v>9166</v>
      </c>
      <c r="B3409" s="5" t="s">
        <v>9781</v>
      </c>
      <c r="C3409" s="5" t="s">
        <v>9889</v>
      </c>
      <c r="D3409" s="5" t="s">
        <v>9169</v>
      </c>
      <c r="E3409" s="5" t="s">
        <v>52</v>
      </c>
      <c r="F3409" s="5" t="s">
        <v>9170</v>
      </c>
      <c r="G3409" s="5" t="s">
        <v>152</v>
      </c>
      <c r="H3409" s="5" t="s">
        <v>9783</v>
      </c>
      <c r="I3409" s="5" t="s">
        <v>9890</v>
      </c>
      <c r="J3409" s="5" t="s">
        <v>9891</v>
      </c>
      <c r="K3409" s="7" t="str">
        <f ca="1">IFERROR(__xludf.DUMMYFUNCTION("GOOGLETRANSLATE(H3409,""EN"",""ES"")"),"MÁQUINAS HERRAMIENTA, MAQUINARIA DE ABRASADO Y CIMENTACIÓN")</f>
        <v>MÁQUINAS HERRAMIENTA, MAQUINARIA DE ABRASADO Y CIMENTACIÓN</v>
      </c>
      <c r="L3409" s="5" t="str">
        <f ca="1">IFERROR(__xludf.DUMMYFUNCTION("GOOGLETRANSLATE(J3409,""EN"",""ES"")"),"Remachadoras")</f>
        <v>Remachadoras</v>
      </c>
      <c r="M3409" s="8" t="s">
        <v>55</v>
      </c>
      <c r="N3409" s="8"/>
    </row>
    <row r="3410" spans="1:14" ht="11.25" customHeight="1">
      <c r="A3410" s="5" t="s">
        <v>9166</v>
      </c>
      <c r="B3410" s="5" t="s">
        <v>9781</v>
      </c>
      <c r="C3410" s="5" t="s">
        <v>9892</v>
      </c>
      <c r="D3410" s="5" t="s">
        <v>9169</v>
      </c>
      <c r="E3410" s="5" t="s">
        <v>52</v>
      </c>
      <c r="F3410" s="5" t="s">
        <v>9170</v>
      </c>
      <c r="G3410" s="5" t="s">
        <v>152</v>
      </c>
      <c r="H3410" s="5" t="s">
        <v>9783</v>
      </c>
      <c r="I3410" s="5" t="s">
        <v>9893</v>
      </c>
      <c r="J3410" s="5" t="s">
        <v>9894</v>
      </c>
      <c r="K3410" s="7" t="str">
        <f ca="1">IFERROR(__xludf.DUMMYFUNCTION("GOOGLETRANSLATE(H3410,""EN"",""ES"")"),"MÁQUINAS HERRAMIENTA, MAQUINARIA DE ABRASADO Y CIMENTACIÓN")</f>
        <v>MÁQUINAS HERRAMIENTA, MAQUINARIA DE ABRASADO Y CIMENTACIÓN</v>
      </c>
      <c r="L3410" s="5" t="str">
        <f ca="1">IFERROR(__xludf.DUMMYFUNCTION("GOOGLETRANSLATE(J3410,""EN"",""ES"")"),"Aparatos de soldadura para materiales termoplásticos.")</f>
        <v>Aparatos de soldadura para materiales termoplásticos.</v>
      </c>
      <c r="M3410" s="8" t="s">
        <v>55</v>
      </c>
      <c r="N3410" s="8"/>
    </row>
    <row r="3411" spans="1:14" ht="11.25" customHeight="1">
      <c r="A3411" s="5" t="s">
        <v>9166</v>
      </c>
      <c r="B3411" s="5" t="s">
        <v>9781</v>
      </c>
      <c r="C3411" s="5" t="s">
        <v>9895</v>
      </c>
      <c r="D3411" s="5" t="s">
        <v>9169</v>
      </c>
      <c r="E3411" s="5" t="s">
        <v>52</v>
      </c>
      <c r="F3411" s="5" t="s">
        <v>9170</v>
      </c>
      <c r="G3411" s="5" t="s">
        <v>152</v>
      </c>
      <c r="H3411" s="5" t="s">
        <v>9783</v>
      </c>
      <c r="I3411" s="5" t="s">
        <v>9896</v>
      </c>
      <c r="J3411" s="5" t="s">
        <v>9897</v>
      </c>
      <c r="K3411" s="7" t="str">
        <f ca="1">IFERROR(__xludf.DUMMYFUNCTION("GOOGLETRANSLATE(H3411,""EN"",""ES"")"),"MÁQUINAS HERRAMIENTA, MAQUINARIA DE ABRASADO Y CIMENTACIÓN")</f>
        <v>MÁQUINAS HERRAMIENTA, MAQUINARIA DE ABRASADO Y CIMENTACIÓN</v>
      </c>
      <c r="L3411" s="5" t="str">
        <f ca="1">IFERROR(__xludf.DUMMYFUNCTION("GOOGLETRANSLATE(J3411,""EN"",""ES"")"),"Sierras fijas")</f>
        <v>Sierras fijas</v>
      </c>
      <c r="M3411" s="8" t="s">
        <v>55</v>
      </c>
      <c r="N3411" s="8"/>
    </row>
    <row r="3412" spans="1:14" ht="11.25" customHeight="1">
      <c r="A3412" s="5" t="s">
        <v>9166</v>
      </c>
      <c r="B3412" s="5" t="s">
        <v>9781</v>
      </c>
      <c r="C3412" s="5" t="s">
        <v>9898</v>
      </c>
      <c r="D3412" s="5" t="s">
        <v>9169</v>
      </c>
      <c r="E3412" s="5" t="s">
        <v>52</v>
      </c>
      <c r="F3412" s="5" t="s">
        <v>9170</v>
      </c>
      <c r="G3412" s="5" t="s">
        <v>152</v>
      </c>
      <c r="H3412" s="5" t="s">
        <v>9783</v>
      </c>
      <c r="I3412" s="5" t="s">
        <v>9899</v>
      </c>
      <c r="J3412" s="5" t="s">
        <v>9900</v>
      </c>
      <c r="K3412" s="7" t="str">
        <f ca="1">IFERROR(__xludf.DUMMYFUNCTION("GOOGLETRANSLATE(H3412,""EN"",""ES"")"),"MÁQUINAS HERRAMIENTA, MAQUINARIA DE ABRASADO Y CIMENTACIÓN")</f>
        <v>MÁQUINAS HERRAMIENTA, MAQUINARIA DE ABRASADO Y CIMENTACIÓN</v>
      </c>
      <c r="L3412" s="5" t="str">
        <f ca="1">IFERROR(__xludf.DUMMYFUNCTION("GOOGLETRANSLATE(J3412,""EN"",""ES"")"),"Sierras de cinta")</f>
        <v>Sierras de cinta</v>
      </c>
      <c r="M3412" s="8" t="s">
        <v>55</v>
      </c>
      <c r="N3412" s="8"/>
    </row>
    <row r="3413" spans="1:14" ht="11.25" customHeight="1">
      <c r="A3413" s="5" t="s">
        <v>9166</v>
      </c>
      <c r="B3413" s="5" t="s">
        <v>9781</v>
      </c>
      <c r="C3413" s="5" t="s">
        <v>9901</v>
      </c>
      <c r="D3413" s="5" t="s">
        <v>9169</v>
      </c>
      <c r="E3413" s="5" t="s">
        <v>52</v>
      </c>
      <c r="F3413" s="5" t="s">
        <v>9170</v>
      </c>
      <c r="G3413" s="5" t="s">
        <v>152</v>
      </c>
      <c r="H3413" s="5" t="s">
        <v>9783</v>
      </c>
      <c r="I3413" s="5" t="s">
        <v>9902</v>
      </c>
      <c r="J3413" s="5" t="s">
        <v>9903</v>
      </c>
      <c r="K3413" s="7" t="str">
        <f ca="1">IFERROR(__xludf.DUMMYFUNCTION("GOOGLETRANSLATE(H3413,""EN"",""ES"")"),"MÁQUINAS HERRAMIENTA, MAQUINARIA DE ABRASADO Y CIMENTACIÓN")</f>
        <v>MÁQUINAS HERRAMIENTA, MAQUINARIA DE ABRASADO Y CIMENTACIÓN</v>
      </c>
      <c r="L3413" s="5" t="str">
        <f ca="1">IFERROR(__xludf.DUMMYFUNCTION("GOOGLETRANSLATE(J3413,""EN"",""ES"")"),"maquinas de soldar")</f>
        <v>maquinas de soldar</v>
      </c>
      <c r="M3413" s="8" t="s">
        <v>55</v>
      </c>
      <c r="N3413" s="8"/>
    </row>
    <row r="3414" spans="1:14" ht="11.25" customHeight="1">
      <c r="A3414" s="5" t="s">
        <v>9166</v>
      </c>
      <c r="B3414" s="5" t="s">
        <v>9781</v>
      </c>
      <c r="C3414" s="5" t="s">
        <v>9904</v>
      </c>
      <c r="D3414" s="5" t="s">
        <v>9169</v>
      </c>
      <c r="E3414" s="5" t="s">
        <v>52</v>
      </c>
      <c r="F3414" s="5" t="s">
        <v>9170</v>
      </c>
      <c r="G3414" s="5" t="s">
        <v>152</v>
      </c>
      <c r="H3414" s="5" t="s">
        <v>9783</v>
      </c>
      <c r="I3414" s="5" t="s">
        <v>9905</v>
      </c>
      <c r="J3414" s="5" t="s">
        <v>9906</v>
      </c>
      <c r="K3414" s="7" t="str">
        <f ca="1">IFERROR(__xludf.DUMMYFUNCTION("GOOGLETRANSLATE(H3414,""EN"",""ES"")"),"MÁQUINAS HERRAMIENTA, MAQUINARIA DE ABRASADO Y CIMENTACIÓN")</f>
        <v>MÁQUINAS HERRAMIENTA, MAQUINARIA DE ABRASADO Y CIMENTACIÓN</v>
      </c>
      <c r="L3414" s="5" t="str">
        <f ca="1">IFERROR(__xludf.DUMMYFUNCTION("GOOGLETRANSLATE(J3414,""EN"",""ES"")"),"Máquinas de chorro de arena")</f>
        <v>Máquinas de chorro de arena</v>
      </c>
      <c r="M3414" s="8" t="s">
        <v>55</v>
      </c>
      <c r="N3414" s="8"/>
    </row>
    <row r="3415" spans="1:14" ht="11.25" customHeight="1">
      <c r="A3415" s="5" t="s">
        <v>9166</v>
      </c>
      <c r="B3415" s="5" t="s">
        <v>9781</v>
      </c>
      <c r="C3415" s="5" t="s">
        <v>9907</v>
      </c>
      <c r="D3415" s="5" t="s">
        <v>9169</v>
      </c>
      <c r="E3415" s="5" t="s">
        <v>52</v>
      </c>
      <c r="F3415" s="5" t="s">
        <v>9170</v>
      </c>
      <c r="G3415" s="5" t="s">
        <v>152</v>
      </c>
      <c r="H3415" s="5" t="s">
        <v>9783</v>
      </c>
      <c r="I3415" s="5" t="s">
        <v>9908</v>
      </c>
      <c r="J3415" s="5" t="s">
        <v>9909</v>
      </c>
      <c r="K3415" s="7" t="str">
        <f ca="1">IFERROR(__xludf.DUMMYFUNCTION("GOOGLETRANSLATE(H3415,""EN"",""ES"")"),"MÁQUINAS HERRAMIENTA, MAQUINARIA DE ABRASADO Y CIMENTACIÓN")</f>
        <v>MÁQUINAS HERRAMIENTA, MAQUINARIA DE ABRASADO Y CIMENTACIÓN</v>
      </c>
      <c r="L3415" s="5" t="str">
        <f ca="1">IFERROR(__xludf.DUMMYFUNCTION("GOOGLETRANSLATE(J3415,""EN"",""ES"")"),"Máquinas de roscar")</f>
        <v>Máquinas de roscar</v>
      </c>
      <c r="M3415" s="8" t="s">
        <v>55</v>
      </c>
      <c r="N3415" s="8"/>
    </row>
    <row r="3416" spans="1:14" ht="11.25" customHeight="1">
      <c r="A3416" s="5" t="s">
        <v>9166</v>
      </c>
      <c r="B3416" s="5" t="s">
        <v>9781</v>
      </c>
      <c r="C3416" s="5" t="s">
        <v>9910</v>
      </c>
      <c r="D3416" s="5" t="s">
        <v>9169</v>
      </c>
      <c r="E3416" s="5" t="s">
        <v>52</v>
      </c>
      <c r="F3416" s="5" t="s">
        <v>9170</v>
      </c>
      <c r="G3416" s="5" t="s">
        <v>152</v>
      </c>
      <c r="H3416" s="5" t="s">
        <v>9783</v>
      </c>
      <c r="I3416" s="5" t="s">
        <v>9911</v>
      </c>
      <c r="J3416" s="5" t="s">
        <v>9912</v>
      </c>
      <c r="K3416" s="7" t="str">
        <f ca="1">IFERROR(__xludf.DUMMYFUNCTION("GOOGLETRANSLATE(H3416,""EN"",""ES"")"),"MÁQUINAS HERRAMIENTA, MAQUINARIA DE ABRASADO Y CIMENTACIÓN")</f>
        <v>MÁQUINAS HERRAMIENTA, MAQUINARIA DE ABRASADO Y CIMENTACIÓN</v>
      </c>
      <c r="L3416" s="5" t="str">
        <f ca="1">IFERROR(__xludf.DUMMYFUNCTION("GOOGLETRANSLATE(J3416,""EN"",""ES"")"),"Máquinas de moldeo por husillo")</f>
        <v>Máquinas de moldeo por husillo</v>
      </c>
      <c r="M3416" s="8" t="s">
        <v>55</v>
      </c>
      <c r="N3416" s="8"/>
    </row>
    <row r="3417" spans="1:14" ht="11.25" customHeight="1">
      <c r="A3417" s="5" t="s">
        <v>9166</v>
      </c>
      <c r="B3417" s="5" t="s">
        <v>9781</v>
      </c>
      <c r="C3417" s="5" t="s">
        <v>9910</v>
      </c>
      <c r="D3417" s="5" t="s">
        <v>9169</v>
      </c>
      <c r="E3417" s="5" t="s">
        <v>52</v>
      </c>
      <c r="F3417" s="5" t="s">
        <v>9170</v>
      </c>
      <c r="G3417" s="5" t="s">
        <v>152</v>
      </c>
      <c r="H3417" s="5" t="s">
        <v>9783</v>
      </c>
      <c r="I3417" s="5" t="s">
        <v>9913</v>
      </c>
      <c r="J3417" s="5" t="s">
        <v>152</v>
      </c>
      <c r="K3417" s="7" t="str">
        <f ca="1">IFERROR(__xludf.DUMMYFUNCTION("GOOGLETRANSLATE(H3417,""EN"",""ES"")"),"MÁQUINAS HERRAMIENTA, MAQUINARIA DE ABRASADO Y CIMENTACIÓN")</f>
        <v>MÁQUINAS HERRAMIENTA, MAQUINARIA DE ABRASADO Y CIMENTACIÓN</v>
      </c>
      <c r="L3417" s="5" t="str">
        <f ca="1">IFERROR(__xludf.DUMMYFUNCTION("GOOGLETRANSLATE(J3417,""EN"",""ES"")"),"Máquinas de moldeo por husillo")</f>
        <v>Máquinas de moldeo por husillo</v>
      </c>
      <c r="M3417" s="8" t="s">
        <v>55</v>
      </c>
      <c r="N3417" s="8"/>
    </row>
    <row r="3418" spans="1:14" ht="11.25" customHeight="1">
      <c r="A3418" s="5" t="s">
        <v>9166</v>
      </c>
      <c r="B3418" s="5" t="s">
        <v>9781</v>
      </c>
      <c r="C3418" s="5" t="s">
        <v>9914</v>
      </c>
      <c r="D3418" s="5" t="s">
        <v>9169</v>
      </c>
      <c r="E3418" s="5" t="s">
        <v>52</v>
      </c>
      <c r="F3418" s="5" t="s">
        <v>9170</v>
      </c>
      <c r="G3418" s="5" t="s">
        <v>152</v>
      </c>
      <c r="H3418" s="5" t="s">
        <v>9783</v>
      </c>
      <c r="I3418" s="5" t="s">
        <v>9915</v>
      </c>
      <c r="J3418" s="5" t="s">
        <v>9916</v>
      </c>
      <c r="K3418" s="7" t="str">
        <f ca="1">IFERROR(__xludf.DUMMYFUNCTION("GOOGLETRANSLATE(H3418,""EN"",""ES"")"),"MÁQUINAS HERRAMIENTA, MAQUINARIA DE ABRASADO Y CIMENTACIÓN")</f>
        <v>MÁQUINAS HERRAMIENTA, MAQUINARIA DE ABRASADO Y CIMENTACIÓN</v>
      </c>
      <c r="L3418" s="5" t="str">
        <f ca="1">IFERROR(__xludf.DUMMYFUNCTION("GOOGLETRANSLATE(J3418,""EN"",""ES"")"),"Tornos [máquinas herramienta]")</f>
        <v>Tornos [máquinas herramienta]</v>
      </c>
      <c r="M3418" s="8" t="s">
        <v>55</v>
      </c>
      <c r="N3418" s="8"/>
    </row>
    <row r="3419" spans="1:14" ht="11.25" customHeight="1">
      <c r="A3419" s="5" t="s">
        <v>9166</v>
      </c>
      <c r="B3419" s="5" t="s">
        <v>9781</v>
      </c>
      <c r="C3419" s="5" t="s">
        <v>9917</v>
      </c>
      <c r="D3419" s="5" t="s">
        <v>9169</v>
      </c>
      <c r="E3419" s="5" t="s">
        <v>52</v>
      </c>
      <c r="F3419" s="5" t="s">
        <v>9170</v>
      </c>
      <c r="G3419" s="5" t="s">
        <v>152</v>
      </c>
      <c r="H3419" s="5" t="s">
        <v>9783</v>
      </c>
      <c r="I3419" s="5" t="s">
        <v>9918</v>
      </c>
      <c r="J3419" s="5" t="s">
        <v>9919</v>
      </c>
      <c r="K3419" s="7" t="str">
        <f ca="1">IFERROR(__xludf.DUMMYFUNCTION("GOOGLETRANSLATE(H3419,""EN"",""ES"")"),"MÁQUINAS HERRAMIENTA, MAQUINARIA DE ABRASADO Y CIMENTACIÓN")</f>
        <v>MÁQUINAS HERRAMIENTA, MAQUINARIA DE ABRASADO Y CIMENTACIÓN</v>
      </c>
      <c r="L3419" s="5" t="str">
        <f ca="1">IFERROR(__xludf.DUMMYFUNCTION("GOOGLETRANSLATE(J3419,""EN"",""ES"")"),"tornos de óptica")</f>
        <v>tornos de óptica</v>
      </c>
      <c r="M3419" s="8" t="s">
        <v>55</v>
      </c>
      <c r="N3419" s="8"/>
    </row>
    <row r="3420" spans="1:14" ht="11.25" customHeight="1">
      <c r="A3420" s="5" t="s">
        <v>9166</v>
      </c>
      <c r="B3420" s="5" t="s">
        <v>9781</v>
      </c>
      <c r="C3420" s="5" t="s">
        <v>9920</v>
      </c>
      <c r="D3420" s="5" t="s">
        <v>9169</v>
      </c>
      <c r="E3420" s="5" t="s">
        <v>52</v>
      </c>
      <c r="F3420" s="5" t="s">
        <v>9170</v>
      </c>
      <c r="G3420" s="5" t="s">
        <v>152</v>
      </c>
      <c r="H3420" s="5" t="s">
        <v>9783</v>
      </c>
      <c r="I3420" s="5" t="s">
        <v>9921</v>
      </c>
      <c r="J3420" s="5" t="s">
        <v>9922</v>
      </c>
      <c r="K3420" s="7" t="str">
        <f ca="1">IFERROR(__xludf.DUMMYFUNCTION("GOOGLETRANSLATE(H3420,""EN"",""ES"")"),"MÁQUINAS HERRAMIENTA, MAQUINARIA DE ABRASADO Y CIMENTACIÓN")</f>
        <v>MÁQUINAS HERRAMIENTA, MAQUINARIA DE ABRASADO Y CIMENTACIÓN</v>
      </c>
      <c r="L3420" s="5" t="str">
        <f ca="1">IFERROR(__xludf.DUMMYFUNCTION("GOOGLETRANSLATE(J3420,""EN"",""ES"")"),"tornos de alfarero")</f>
        <v>tornos de alfarero</v>
      </c>
      <c r="M3420" s="8" t="s">
        <v>55</v>
      </c>
      <c r="N3420" s="8"/>
    </row>
    <row r="3421" spans="1:14" ht="11.25" customHeight="1">
      <c r="A3421" s="5" t="s">
        <v>9166</v>
      </c>
      <c r="B3421" s="5" t="s">
        <v>9781</v>
      </c>
      <c r="C3421" s="5" t="s">
        <v>9923</v>
      </c>
      <c r="D3421" s="5" t="s">
        <v>9169</v>
      </c>
      <c r="E3421" s="5" t="s">
        <v>52</v>
      </c>
      <c r="F3421" s="5" t="s">
        <v>9170</v>
      </c>
      <c r="G3421" s="5" t="s">
        <v>152</v>
      </c>
      <c r="H3421" s="5" t="s">
        <v>9783</v>
      </c>
      <c r="I3421" s="5" t="s">
        <v>9924</v>
      </c>
      <c r="J3421" s="5" t="s">
        <v>9925</v>
      </c>
      <c r="K3421" s="7" t="str">
        <f ca="1">IFERROR(__xludf.DUMMYFUNCTION("GOOGLETRANSLATE(H3421,""EN"",""ES"")"),"MÁQUINAS HERRAMIENTA, MAQUINARIA DE ABRASADO Y CIMENTACIÓN")</f>
        <v>MÁQUINAS HERRAMIENTA, MAQUINARIA DE ABRASADO Y CIMENTACIÓN</v>
      </c>
      <c r="L3421" s="5" t="str">
        <f ca="1">IFERROR(__xludf.DUMMYFUNCTION("GOOGLETRANSLATE(J3421,""EN"",""ES"")"),"Máquinas trefiladoras")</f>
        <v>Máquinas trefiladoras</v>
      </c>
      <c r="M3421" s="8" t="s">
        <v>55</v>
      </c>
      <c r="N3421" s="8"/>
    </row>
    <row r="3422" spans="1:14" ht="11.25" customHeight="1">
      <c r="A3422" s="5" t="s">
        <v>9166</v>
      </c>
      <c r="B3422" s="5" t="s">
        <v>9781</v>
      </c>
      <c r="C3422" s="5" t="s">
        <v>9926</v>
      </c>
      <c r="D3422" s="5" t="s">
        <v>9169</v>
      </c>
      <c r="E3422" s="5" t="s">
        <v>52</v>
      </c>
      <c r="F3422" s="5" t="s">
        <v>9170</v>
      </c>
      <c r="G3422" s="5" t="s">
        <v>152</v>
      </c>
      <c r="H3422" s="5" t="s">
        <v>9783</v>
      </c>
      <c r="I3422" s="5" t="s">
        <v>9927</v>
      </c>
      <c r="J3422" s="5" t="s">
        <v>9928</v>
      </c>
      <c r="K3422" s="7" t="str">
        <f ca="1">IFERROR(__xludf.DUMMYFUNCTION("GOOGLETRANSLATE(H3422,""EN"",""ES"")"),"MÁQUINAS HERRAMIENTA, MAQUINARIA DE ABRASADO Y CIMENTACIÓN")</f>
        <v>MÁQUINAS HERRAMIENTA, MAQUINARIA DE ABRASADO Y CIMENTACIÓN</v>
      </c>
      <c r="L3422" s="5" t="str">
        <f ca="1">IFERROR(__xludf.DUMMYFUNCTION("GOOGLETRANSLATE(J3422,""EN"",""ES"")"),"Máquinas para fabricar tornillos")</f>
        <v>Máquinas para fabricar tornillos</v>
      </c>
      <c r="M3422" s="8" t="s">
        <v>55</v>
      </c>
      <c r="N3422" s="8"/>
    </row>
    <row r="3423" spans="1:14" ht="11.25" customHeight="1">
      <c r="A3423" s="5" t="s">
        <v>9166</v>
      </c>
      <c r="B3423" s="5" t="s">
        <v>9781</v>
      </c>
      <c r="C3423" s="5" t="s">
        <v>9929</v>
      </c>
      <c r="D3423" s="5" t="s">
        <v>9169</v>
      </c>
      <c r="E3423" s="5" t="s">
        <v>52</v>
      </c>
      <c r="F3423" s="5" t="s">
        <v>9170</v>
      </c>
      <c r="G3423" s="5" t="s">
        <v>152</v>
      </c>
      <c r="H3423" s="5" t="s">
        <v>9783</v>
      </c>
      <c r="I3423" s="5" t="s">
        <v>9930</v>
      </c>
      <c r="J3423" s="5" t="s">
        <v>9931</v>
      </c>
      <c r="K3423" s="7" t="str">
        <f ca="1">IFERROR(__xludf.DUMMYFUNCTION("GOOGLETRANSLATE(H3423,""EN"",""ES"")"),"MÁQUINAS HERRAMIENTA, MAQUINARIA DE ABRASADO Y CIMENTACIÓN")</f>
        <v>MÁQUINAS HERRAMIENTA, MAQUINARIA DE ABRASADO Y CIMENTACIÓN</v>
      </c>
      <c r="L3423" s="5" t="str">
        <f ca="1">IFERROR(__xludf.DUMMYFUNCTION("GOOGLETRANSLATE(J3423,""EN"",""ES"")"),"Prensas rodantes para la fabricación de papel.")</f>
        <v>Prensas rodantes para la fabricación de papel.</v>
      </c>
      <c r="M3423" s="8" t="s">
        <v>55</v>
      </c>
      <c r="N3423" s="8"/>
    </row>
    <row r="3424" spans="1:14" ht="11.25" customHeight="1">
      <c r="A3424" s="5" t="s">
        <v>9166</v>
      </c>
      <c r="B3424" s="5" t="s">
        <v>9781</v>
      </c>
      <c r="C3424" s="5" t="s">
        <v>9932</v>
      </c>
      <c r="D3424" s="5" t="s">
        <v>9169</v>
      </c>
      <c r="E3424" s="5" t="s">
        <v>52</v>
      </c>
      <c r="F3424" s="5" t="s">
        <v>9170</v>
      </c>
      <c r="G3424" s="5" t="s">
        <v>152</v>
      </c>
      <c r="H3424" s="5" t="s">
        <v>9783</v>
      </c>
      <c r="I3424" s="5" t="s">
        <v>9933</v>
      </c>
      <c r="J3424" s="5" t="s">
        <v>9934</v>
      </c>
      <c r="K3424" s="7" t="str">
        <f ca="1">IFERROR(__xludf.DUMMYFUNCTION("GOOGLETRANSLATE(H3424,""EN"",""ES"")"),"MÁQUINAS HERRAMIENTA, MAQUINARIA DE ABRASADO Y CIMENTACIÓN")</f>
        <v>MÁQUINAS HERRAMIENTA, MAQUINARIA DE ABRASADO Y CIMENTACIÓN</v>
      </c>
      <c r="L3424" s="5" t="str">
        <f ca="1">IFERROR(__xludf.DUMMYFUNCTION("GOOGLETRANSLATE(J3424,""EN"",""ES"")"),"Laminadores para metal")</f>
        <v>Laminadores para metal</v>
      </c>
      <c r="M3424" s="8" t="s">
        <v>55</v>
      </c>
      <c r="N3424" s="8"/>
    </row>
    <row r="3425" spans="1:14" ht="11.25" customHeight="1">
      <c r="A3425" s="5" t="s">
        <v>9166</v>
      </c>
      <c r="B3425" s="5" t="s">
        <v>9781</v>
      </c>
      <c r="C3425" s="5" t="s">
        <v>9935</v>
      </c>
      <c r="D3425" s="5" t="s">
        <v>9169</v>
      </c>
      <c r="E3425" s="5" t="s">
        <v>52</v>
      </c>
      <c r="F3425" s="5" t="s">
        <v>9170</v>
      </c>
      <c r="G3425" s="5" t="s">
        <v>152</v>
      </c>
      <c r="H3425" s="5" t="s">
        <v>9783</v>
      </c>
      <c r="I3425" s="5" t="s">
        <v>9936</v>
      </c>
      <c r="J3425" s="5" t="s">
        <v>9937</v>
      </c>
      <c r="K3425" s="7" t="str">
        <f ca="1">IFERROR(__xludf.DUMMYFUNCTION("GOOGLETRANSLATE(H3425,""EN"",""ES"")"),"MÁQUINAS HERRAMIENTA, MAQUINARIA DE ABRASADO Y CIMENTACIÓN")</f>
        <v>MÁQUINAS HERRAMIENTA, MAQUINARIA DE ABRASADO Y CIMENTACIÓN</v>
      </c>
      <c r="L3425" s="5" t="str">
        <f ca="1">IFERROR(__xludf.DUMMYFUNCTION("GOOGLETRANSLATE(J3425,""EN"",""ES"")"),"Placas de dibujo para metal.")</f>
        <v>Placas de dibujo para metal.</v>
      </c>
      <c r="M3425" s="8" t="s">
        <v>55</v>
      </c>
      <c r="N3425" s="8"/>
    </row>
    <row r="3426" spans="1:14" ht="11.25" customHeight="1">
      <c r="A3426" s="5" t="s">
        <v>9166</v>
      </c>
      <c r="B3426" s="5" t="s">
        <v>9781</v>
      </c>
      <c r="C3426" s="5" t="s">
        <v>9938</v>
      </c>
      <c r="D3426" s="5" t="s">
        <v>9169</v>
      </c>
      <c r="E3426" s="5" t="s">
        <v>52</v>
      </c>
      <c r="F3426" s="5" t="s">
        <v>9170</v>
      </c>
      <c r="G3426" s="5" t="s">
        <v>152</v>
      </c>
      <c r="H3426" s="5" t="s">
        <v>9783</v>
      </c>
      <c r="I3426" s="5" t="s">
        <v>9939</v>
      </c>
      <c r="J3426" s="5" t="s">
        <v>9940</v>
      </c>
      <c r="K3426" s="7" t="str">
        <f ca="1">IFERROR(__xludf.DUMMYFUNCTION("GOOGLETRANSLATE(H3426,""EN"",""ES"")"),"MÁQUINAS HERRAMIENTA, MAQUINARIA DE ABRASADO Y CIMENTACIÓN")</f>
        <v>MÁQUINAS HERRAMIENTA, MAQUINARIA DE ABRASADO Y CIMENTACIÓN</v>
      </c>
      <c r="L3426" s="5" t="str">
        <f ca="1">IFERROR(__xludf.DUMMYFUNCTION("GOOGLETRANSLATE(J3426,""EN"",""ES"")"),"Máquinas para fabricar tapones de corcho")</f>
        <v>Máquinas para fabricar tapones de corcho</v>
      </c>
      <c r="M3426" s="8" t="s">
        <v>55</v>
      </c>
      <c r="N3426" s="8"/>
    </row>
    <row r="3427" spans="1:14" ht="11.25" customHeight="1">
      <c r="A3427" s="5" t="s">
        <v>9166</v>
      </c>
      <c r="B3427" s="5" t="s">
        <v>9781</v>
      </c>
      <c r="C3427" s="5" t="s">
        <v>9941</v>
      </c>
      <c r="D3427" s="5" t="s">
        <v>9169</v>
      </c>
      <c r="E3427" s="5" t="s">
        <v>52</v>
      </c>
      <c r="F3427" s="5" t="s">
        <v>9170</v>
      </c>
      <c r="G3427" s="5" t="s">
        <v>152</v>
      </c>
      <c r="H3427" s="5" t="s">
        <v>9783</v>
      </c>
      <c r="I3427" s="5" t="s">
        <v>9942</v>
      </c>
      <c r="J3427" s="5" t="s">
        <v>9943</v>
      </c>
      <c r="K3427" s="7" t="str">
        <f ca="1">IFERROR(__xludf.DUMMYFUNCTION("GOOGLETRANSLATE(H3427,""EN"",""ES"")"),"MÁQUINAS HERRAMIENTA, MAQUINARIA DE ABRASADO Y CIMENTACIÓN")</f>
        <v>MÁQUINAS HERRAMIENTA, MAQUINARIA DE ABRASADO Y CIMENTACIÓN</v>
      </c>
      <c r="L3427" s="5" t="str">
        <f ca="1">IFERROR(__xludf.DUMMYFUNCTION("GOOGLETRANSLATE(J3427,""EN"",""ES"")"),"Rectificadoras para afilar, rectificar y ajustar")</f>
        <v>Rectificadoras para afilar, rectificar y ajustar</v>
      </c>
      <c r="M3427" s="8" t="s">
        <v>55</v>
      </c>
      <c r="N3427" s="8"/>
    </row>
    <row r="3428" spans="1:14" ht="11.25" customHeight="1">
      <c r="A3428" s="5" t="s">
        <v>9166</v>
      </c>
      <c r="B3428" s="5" t="s">
        <v>9781</v>
      </c>
      <c r="C3428" s="5" t="s">
        <v>9944</v>
      </c>
      <c r="D3428" s="5" t="s">
        <v>9169</v>
      </c>
      <c r="E3428" s="5" t="s">
        <v>52</v>
      </c>
      <c r="F3428" s="5" t="s">
        <v>9170</v>
      </c>
      <c r="G3428" s="5" t="s">
        <v>152</v>
      </c>
      <c r="H3428" s="5" t="s">
        <v>9783</v>
      </c>
      <c r="I3428" s="5" t="s">
        <v>9945</v>
      </c>
      <c r="J3428" s="5" t="s">
        <v>9946</v>
      </c>
      <c r="K3428" s="7" t="str">
        <f ca="1">IFERROR(__xludf.DUMMYFUNCTION("GOOGLETRANSLATE(H3428,""EN"",""ES"")"),"MÁQUINAS HERRAMIENTA, MAQUINARIA DE ABRASADO Y CIMENTACIÓN")</f>
        <v>MÁQUINAS HERRAMIENTA, MAQUINARIA DE ABRASADO Y CIMENTACIÓN</v>
      </c>
      <c r="L3428" s="5" t="str">
        <f ca="1">IFERROR(__xludf.DUMMYFUNCTION("GOOGLETRANSLATE(J3428,""EN"",""ES"")"),"Prensas de forja")</f>
        <v>Prensas de forja</v>
      </c>
      <c r="M3428" s="8" t="s">
        <v>55</v>
      </c>
      <c r="N3428" s="8"/>
    </row>
    <row r="3429" spans="1:14" ht="11.25" customHeight="1">
      <c r="A3429" s="5" t="s">
        <v>9166</v>
      </c>
      <c r="B3429" s="5" t="s">
        <v>9781</v>
      </c>
      <c r="C3429" s="5" t="s">
        <v>9947</v>
      </c>
      <c r="D3429" s="5" t="s">
        <v>9169</v>
      </c>
      <c r="E3429" s="5" t="s">
        <v>52</v>
      </c>
      <c r="F3429" s="5" t="s">
        <v>9170</v>
      </c>
      <c r="G3429" s="5" t="s">
        <v>152</v>
      </c>
      <c r="H3429" s="5" t="s">
        <v>9783</v>
      </c>
      <c r="I3429" s="5" t="s">
        <v>9948</v>
      </c>
      <c r="J3429" s="5" t="s">
        <v>9949</v>
      </c>
      <c r="K3429" s="7" t="str">
        <f ca="1">IFERROR(__xludf.DUMMYFUNCTION("GOOGLETRANSLATE(H3429,""EN"",""ES"")"),"MÁQUINAS HERRAMIENTA, MAQUINARIA DE ABRASADO Y CIMENTACIÓN")</f>
        <v>MÁQUINAS HERRAMIENTA, MAQUINARIA DE ABRASADO Y CIMENTACIÓN</v>
      </c>
      <c r="L3429" s="5" t="str">
        <f ca="1">IFERROR(__xludf.DUMMYFUNCTION("GOOGLETRANSLATE(J3429,""EN"",""ES"")"),"Prensas hidráulicas")</f>
        <v>Prensas hidráulicas</v>
      </c>
      <c r="M3429" s="8" t="s">
        <v>55</v>
      </c>
      <c r="N3429" s="8"/>
    </row>
    <row r="3430" spans="1:14" ht="11.25" customHeight="1">
      <c r="A3430" s="5" t="s">
        <v>9166</v>
      </c>
      <c r="B3430" s="5" t="s">
        <v>9781</v>
      </c>
      <c r="C3430" s="5" t="s">
        <v>9950</v>
      </c>
      <c r="D3430" s="5" t="s">
        <v>9169</v>
      </c>
      <c r="E3430" s="5" t="s">
        <v>52</v>
      </c>
      <c r="F3430" s="5" t="s">
        <v>9170</v>
      </c>
      <c r="G3430" s="5" t="s">
        <v>152</v>
      </c>
      <c r="H3430" s="5" t="s">
        <v>9783</v>
      </c>
      <c r="I3430" s="5" t="s">
        <v>9951</v>
      </c>
      <c r="J3430" s="5" t="s">
        <v>9952</v>
      </c>
      <c r="K3430" s="7" t="str">
        <f ca="1">IFERROR(__xludf.DUMMYFUNCTION("GOOGLETRANSLATE(H3430,""EN"",""ES"")"),"MÁQUINAS HERRAMIENTA, MAQUINARIA DE ABRASADO Y CIMENTACIÓN")</f>
        <v>MÁQUINAS HERRAMIENTA, MAQUINARIA DE ABRASADO Y CIMENTACIÓN</v>
      </c>
      <c r="L3430" s="5" t="str">
        <f ca="1">IFERROR(__xludf.DUMMYFUNCTION("GOOGLETRANSLATE(J3430,""EN"",""ES"")"),"Pupitres de control para máquinas herramienta")</f>
        <v>Pupitres de control para máquinas herramienta</v>
      </c>
      <c r="M3430" s="8" t="s">
        <v>55</v>
      </c>
      <c r="N3430" s="8"/>
    </row>
    <row r="3431" spans="1:14" ht="11.25" customHeight="1">
      <c r="A3431" s="5" t="s">
        <v>9166</v>
      </c>
      <c r="B3431" s="5" t="s">
        <v>9781</v>
      </c>
      <c r="C3431" s="5" t="s">
        <v>9953</v>
      </c>
      <c r="D3431" s="5" t="s">
        <v>9169</v>
      </c>
      <c r="E3431" s="5" t="s">
        <v>52</v>
      </c>
      <c r="F3431" s="5" t="s">
        <v>9170</v>
      </c>
      <c r="G3431" s="5" t="s">
        <v>152</v>
      </c>
      <c r="H3431" s="5" t="s">
        <v>9783</v>
      </c>
      <c r="I3431" s="5" t="s">
        <v>9954</v>
      </c>
      <c r="J3431" s="5" t="s">
        <v>9955</v>
      </c>
      <c r="K3431" s="7" t="str">
        <f ca="1">IFERROR(__xludf.DUMMYFUNCTION("GOOGLETRANSLATE(H3431,""EN"",""ES"")"),"MÁQUINAS HERRAMIENTA, MAQUINARIA DE ABRASADO Y CIMENTACIÓN")</f>
        <v>MÁQUINAS HERRAMIENTA, MAQUINARIA DE ABRASADO Y CIMENTACIÓN</v>
      </c>
      <c r="L3431" s="5" t="str">
        <f ca="1">IFERROR(__xludf.DUMMYFUNCTION("GOOGLETRANSLATE(J3431,""EN"",""ES"")"),"Cepilladoras de barricas")</f>
        <v>Cepilladoras de barricas</v>
      </c>
      <c r="M3431" s="8" t="s">
        <v>55</v>
      </c>
      <c r="N3431" s="8"/>
    </row>
    <row r="3432" spans="1:14" ht="11.25" customHeight="1">
      <c r="A3432" s="5" t="s">
        <v>9166</v>
      </c>
      <c r="B3432" s="5" t="s">
        <v>9781</v>
      </c>
      <c r="C3432" s="5" t="s">
        <v>9956</v>
      </c>
      <c r="D3432" s="5" t="s">
        <v>9169</v>
      </c>
      <c r="E3432" s="5" t="s">
        <v>52</v>
      </c>
      <c r="F3432" s="5" t="s">
        <v>9170</v>
      </c>
      <c r="G3432" s="5" t="s">
        <v>152</v>
      </c>
      <c r="H3432" s="5" t="s">
        <v>9783</v>
      </c>
      <c r="I3432" s="5" t="s">
        <v>9957</v>
      </c>
      <c r="J3432" s="5" t="s">
        <v>9958</v>
      </c>
      <c r="K3432" s="7" t="str">
        <f ca="1">IFERROR(__xludf.DUMMYFUNCTION("GOOGLETRANSLATE(H3432,""EN"",""ES"")"),"MÁQUINAS HERRAMIENTA, MAQUINARIA DE ABRASADO Y CIMENTACIÓN")</f>
        <v>MÁQUINAS HERRAMIENTA, MAQUINARIA DE ABRASADO Y CIMENTACIÓN</v>
      </c>
      <c r="L3432" s="5" t="str">
        <f ca="1">IFERROR(__xludf.DUMMYFUNCTION("GOOGLETRANSLATE(J3432,""EN"",""ES"")"),"Máquinas moldeadoras de azulejos y ladrillos.")</f>
        <v>Máquinas moldeadoras de azulejos y ladrillos.</v>
      </c>
      <c r="M3432" s="8" t="s">
        <v>55</v>
      </c>
      <c r="N3432" s="8"/>
    </row>
    <row r="3433" spans="1:14" ht="11.25" customHeight="1">
      <c r="A3433" s="5" t="s">
        <v>9166</v>
      </c>
      <c r="B3433" s="5" t="s">
        <v>9781</v>
      </c>
      <c r="C3433" s="5" t="s">
        <v>9956</v>
      </c>
      <c r="D3433" s="5" t="s">
        <v>9169</v>
      </c>
      <c r="E3433" s="5" t="s">
        <v>52</v>
      </c>
      <c r="F3433" s="5" t="s">
        <v>9170</v>
      </c>
      <c r="G3433" s="5" t="s">
        <v>152</v>
      </c>
      <c r="H3433" s="5" t="s">
        <v>9783</v>
      </c>
      <c r="I3433" s="5" t="s">
        <v>9959</v>
      </c>
      <c r="J3433" s="5" t="s">
        <v>152</v>
      </c>
      <c r="K3433" s="7" t="str">
        <f ca="1">IFERROR(__xludf.DUMMYFUNCTION("GOOGLETRANSLATE(H3433,""EN"",""ES"")"),"MÁQUINAS HERRAMIENTA, MAQUINARIA DE ABRASADO Y CIMENTACIÓN")</f>
        <v>MÁQUINAS HERRAMIENTA, MAQUINARIA DE ABRASADO Y CIMENTACIÓN</v>
      </c>
      <c r="L3433" s="5" t="str">
        <f ca="1">IFERROR(__xludf.DUMMYFUNCTION("GOOGLETRANSLATE(J3433,""EN"",""ES"")"),"Máquinas moldeadoras de ladrillos y tejas")</f>
        <v>Máquinas moldeadoras de ladrillos y tejas</v>
      </c>
      <c r="M3433" s="8" t="s">
        <v>55</v>
      </c>
      <c r="N3433" s="8"/>
    </row>
    <row r="3434" spans="1:14" ht="11.25" customHeight="1">
      <c r="A3434" s="5" t="s">
        <v>9166</v>
      </c>
      <c r="B3434" s="5" t="s">
        <v>9781</v>
      </c>
      <c r="C3434" s="5" t="s">
        <v>9956</v>
      </c>
      <c r="D3434" s="5" t="s">
        <v>9169</v>
      </c>
      <c r="E3434" s="5" t="s">
        <v>52</v>
      </c>
      <c r="F3434" s="5" t="s">
        <v>9170</v>
      </c>
      <c r="G3434" s="5" t="s">
        <v>152</v>
      </c>
      <c r="H3434" s="5" t="s">
        <v>9783</v>
      </c>
      <c r="I3434" s="5" t="s">
        <v>9960</v>
      </c>
      <c r="J3434" s="5" t="s">
        <v>152</v>
      </c>
      <c r="K3434" s="7" t="str">
        <f ca="1">IFERROR(__xludf.DUMMYFUNCTION("GOOGLETRANSLATE(H3434,""EN"",""ES"")"),"MÁQUINAS HERRAMIENTA, MAQUINARIA DE ABRASADO Y CIMENTACIÓN")</f>
        <v>MÁQUINAS HERRAMIENTA, MAQUINARIA DE ABRASADO Y CIMENTACIÓN</v>
      </c>
      <c r="L3434" s="5" t="str">
        <f ca="1">IFERROR(__xludf.DUMMYFUNCTION("GOOGLETRANSLATE(J3434,""EN"",""ES"")"),"Máquinas moldeadoras de ladrillos y tejas")</f>
        <v>Máquinas moldeadoras de ladrillos y tejas</v>
      </c>
      <c r="M3434" s="8" t="s">
        <v>55</v>
      </c>
      <c r="N3434" s="8"/>
    </row>
    <row r="3435" spans="1:14" ht="11.25" customHeight="1">
      <c r="A3435" s="5" t="s">
        <v>9166</v>
      </c>
      <c r="B3435" s="5" t="s">
        <v>9781</v>
      </c>
      <c r="C3435" s="5" t="s">
        <v>9956</v>
      </c>
      <c r="D3435" s="5" t="s">
        <v>9169</v>
      </c>
      <c r="E3435" s="5" t="s">
        <v>52</v>
      </c>
      <c r="F3435" s="5" t="s">
        <v>9170</v>
      </c>
      <c r="G3435" s="5" t="s">
        <v>152</v>
      </c>
      <c r="H3435" s="5" t="s">
        <v>9783</v>
      </c>
      <c r="I3435" s="5" t="s">
        <v>9961</v>
      </c>
      <c r="J3435" s="5" t="s">
        <v>152</v>
      </c>
      <c r="K3435" s="7" t="str">
        <f ca="1">IFERROR(__xludf.DUMMYFUNCTION("GOOGLETRANSLATE(H3435,""EN"",""ES"")"),"MÁQUINAS HERRAMIENTA, MAQUINARIA DE ABRASADO Y CIMENTACIÓN")</f>
        <v>MÁQUINAS HERRAMIENTA, MAQUINARIA DE ABRASADO Y CIMENTACIÓN</v>
      </c>
      <c r="L3435" s="5" t="str">
        <f ca="1">IFERROR(__xludf.DUMMYFUNCTION("GOOGLETRANSLATE(J3435,""EN"",""ES"")"),"Máquinas moldeadoras de azulejos y ladrillos.")</f>
        <v>Máquinas moldeadoras de azulejos y ladrillos.</v>
      </c>
      <c r="M3435" s="8" t="s">
        <v>55</v>
      </c>
      <c r="N3435" s="8"/>
    </row>
    <row r="3436" spans="1:14" ht="11.25" customHeight="1">
      <c r="A3436" s="5" t="s">
        <v>9166</v>
      </c>
      <c r="B3436" s="5" t="s">
        <v>9781</v>
      </c>
      <c r="C3436" s="5" t="s">
        <v>9962</v>
      </c>
      <c r="D3436" s="5" t="s">
        <v>9169</v>
      </c>
      <c r="E3436" s="5" t="s">
        <v>52</v>
      </c>
      <c r="F3436" s="5" t="s">
        <v>9170</v>
      </c>
      <c r="G3436" s="5" t="s">
        <v>152</v>
      </c>
      <c r="H3436" s="5" t="s">
        <v>9783</v>
      </c>
      <c r="I3436" s="5" t="s">
        <v>9963</v>
      </c>
      <c r="J3436" s="5" t="s">
        <v>9964</v>
      </c>
      <c r="K3436" s="7" t="str">
        <f ca="1">IFERROR(__xludf.DUMMYFUNCTION("GOOGLETRANSLATE(H3436,""EN"",""ES"")"),"MÁQUINAS HERRAMIENTA, MAQUINARIA DE ABRASADO Y CIMENTACIÓN")</f>
        <v>MÁQUINAS HERRAMIENTA, MAQUINARIA DE ABRASADO Y CIMENTACIÓN</v>
      </c>
      <c r="L3436" s="5" t="str">
        <f ca="1">IFERROR(__xludf.DUMMYFUNCTION("GOOGLETRANSLATE(J3436,""EN"",""ES"")"),"Prensas para moldear jabón.")</f>
        <v>Prensas para moldear jabón.</v>
      </c>
      <c r="M3436" s="8" t="s">
        <v>55</v>
      </c>
      <c r="N3436" s="8"/>
    </row>
    <row r="3437" spans="1:14" ht="11.25" customHeight="1">
      <c r="A3437" s="5" t="s">
        <v>9166</v>
      </c>
      <c r="B3437" s="5" t="s">
        <v>9781</v>
      </c>
      <c r="C3437" s="5" t="s">
        <v>9962</v>
      </c>
      <c r="D3437" s="5" t="s">
        <v>9169</v>
      </c>
      <c r="E3437" s="5" t="s">
        <v>52</v>
      </c>
      <c r="F3437" s="5" t="s">
        <v>9170</v>
      </c>
      <c r="G3437" s="5" t="s">
        <v>152</v>
      </c>
      <c r="H3437" s="5" t="s">
        <v>9783</v>
      </c>
      <c r="I3437" s="5" t="s">
        <v>9965</v>
      </c>
      <c r="J3437" s="5" t="s">
        <v>152</v>
      </c>
      <c r="K3437" s="7" t="str">
        <f ca="1">IFERROR(__xludf.DUMMYFUNCTION("GOOGLETRANSLATE(H3437,""EN"",""ES"")"),"MÁQUINAS HERRAMIENTA, MAQUINARIA DE ABRASADO Y CIMENTACIÓN")</f>
        <v>MÁQUINAS HERRAMIENTA, MAQUINARIA DE ABRASADO Y CIMENTACIÓN</v>
      </c>
      <c r="L3437" s="5" t="str">
        <f ca="1">IFERROR(__xludf.DUMMYFUNCTION("GOOGLETRANSLATE(J3437,""EN"",""ES"")"),"Prensas para moldear jabón.")</f>
        <v>Prensas para moldear jabón.</v>
      </c>
      <c r="M3437" s="8" t="s">
        <v>55</v>
      </c>
      <c r="N3437" s="8"/>
    </row>
    <row r="3438" spans="1:14" ht="11.25" customHeight="1">
      <c r="A3438" s="5" t="s">
        <v>9166</v>
      </c>
      <c r="B3438" s="5" t="s">
        <v>9781</v>
      </c>
      <c r="C3438" s="5" t="s">
        <v>9966</v>
      </c>
      <c r="D3438" s="5" t="s">
        <v>9169</v>
      </c>
      <c r="E3438" s="5" t="s">
        <v>52</v>
      </c>
      <c r="F3438" s="5" t="s">
        <v>9170</v>
      </c>
      <c r="G3438" s="5" t="s">
        <v>152</v>
      </c>
      <c r="H3438" s="5" t="s">
        <v>9783</v>
      </c>
      <c r="I3438" s="5" t="s">
        <v>9967</v>
      </c>
      <c r="J3438" s="5" t="s">
        <v>9968</v>
      </c>
      <c r="K3438" s="7" t="str">
        <f ca="1">IFERROR(__xludf.DUMMYFUNCTION("GOOGLETRANSLATE(H3438,""EN"",""ES"")"),"MÁQUINAS HERRAMIENTA, MAQUINARIA DE ABRASADO Y CIMENTACIÓN")</f>
        <v>MÁQUINAS HERRAMIENTA, MAQUINARIA DE ABRASADO Y CIMENTACIÓN</v>
      </c>
      <c r="L3438" s="5" t="str">
        <f ca="1">IFERROR(__xludf.DUMMYFUNCTION("GOOGLETRANSLATE(J3438,""EN"",""ES"")"),"Molinos para hacer cemento.")</f>
        <v>Molinos para hacer cemento.</v>
      </c>
      <c r="M3438" s="8" t="s">
        <v>55</v>
      </c>
      <c r="N3438" s="8"/>
    </row>
    <row r="3439" spans="1:14" ht="11.25" customHeight="1">
      <c r="A3439" s="5" t="s">
        <v>9166</v>
      </c>
      <c r="B3439" s="5" t="s">
        <v>9781</v>
      </c>
      <c r="C3439" s="5" t="s">
        <v>9969</v>
      </c>
      <c r="D3439" s="5" t="s">
        <v>9169</v>
      </c>
      <c r="E3439" s="5" t="s">
        <v>52</v>
      </c>
      <c r="F3439" s="5" t="s">
        <v>9170</v>
      </c>
      <c r="G3439" s="5" t="s">
        <v>152</v>
      </c>
      <c r="H3439" s="5" t="s">
        <v>9783</v>
      </c>
      <c r="I3439" s="5" t="s">
        <v>9970</v>
      </c>
      <c r="J3439" s="5" t="s">
        <v>9971</v>
      </c>
      <c r="K3439" s="7" t="str">
        <f ca="1">IFERROR(__xludf.DUMMYFUNCTION("GOOGLETRANSLATE(H3439,""EN"",""ES"")"),"MÁQUINAS HERRAMIENTA, MAQUINARIA DE ABRASADO Y CIMENTACIÓN")</f>
        <v>MÁQUINAS HERRAMIENTA, MAQUINARIA DE ABRASADO Y CIMENTACIÓN</v>
      </c>
      <c r="L3439" s="5" t="str">
        <f ca="1">IFERROR(__xludf.DUMMYFUNCTION("GOOGLETRANSLATE(J3439,""EN"",""ES"")"),"Moldes para hormigón [construcción]")</f>
        <v>Moldes para hormigón [construcción]</v>
      </c>
      <c r="M3439" s="8" t="s">
        <v>55</v>
      </c>
      <c r="N3439" s="8"/>
    </row>
    <row r="3440" spans="1:14" ht="11.25" customHeight="1">
      <c r="A3440" s="5" t="s">
        <v>9166</v>
      </c>
      <c r="B3440" s="5" t="s">
        <v>9781</v>
      </c>
      <c r="C3440" s="5" t="s">
        <v>9969</v>
      </c>
      <c r="D3440" s="5" t="s">
        <v>9169</v>
      </c>
      <c r="E3440" s="5" t="s">
        <v>52</v>
      </c>
      <c r="F3440" s="5" t="s">
        <v>9170</v>
      </c>
      <c r="G3440" s="5" t="s">
        <v>152</v>
      </c>
      <c r="H3440" s="5" t="s">
        <v>9783</v>
      </c>
      <c r="I3440" s="5" t="s">
        <v>9972</v>
      </c>
      <c r="J3440" s="5" t="s">
        <v>152</v>
      </c>
      <c r="K3440" s="7" t="str">
        <f ca="1">IFERROR(__xludf.DUMMYFUNCTION("GOOGLETRANSLATE(H3440,""EN"",""ES"")"),"MÁQUINAS HERRAMIENTA, MAQUINARIA DE ABRASADO Y CIMENTACIÓN")</f>
        <v>MÁQUINAS HERRAMIENTA, MAQUINARIA DE ABRASADO Y CIMENTACIÓN</v>
      </c>
      <c r="L3440" s="5" t="str">
        <f ca="1">IFERROR(__xludf.DUMMYFUNCTION("GOOGLETRANSLATE(J3440,""EN"",""ES"")"),"Moldes para hormigón [construcción]")</f>
        <v>Moldes para hormigón [construcción]</v>
      </c>
      <c r="M3440" s="8" t="s">
        <v>55</v>
      </c>
      <c r="N3440" s="8"/>
    </row>
    <row r="3441" spans="1:14" ht="11.25" customHeight="1">
      <c r="A3441" s="5" t="s">
        <v>9166</v>
      </c>
      <c r="B3441" s="5" t="s">
        <v>9781</v>
      </c>
      <c r="C3441" s="5" t="s">
        <v>9973</v>
      </c>
      <c r="D3441" s="5" t="s">
        <v>9169</v>
      </c>
      <c r="E3441" s="5" t="s">
        <v>52</v>
      </c>
      <c r="F3441" s="5" t="s">
        <v>9170</v>
      </c>
      <c r="G3441" s="5" t="s">
        <v>152</v>
      </c>
      <c r="H3441" s="5" t="s">
        <v>9783</v>
      </c>
      <c r="I3441" s="5" t="s">
        <v>9974</v>
      </c>
      <c r="J3441" s="5" t="s">
        <v>9975</v>
      </c>
      <c r="K3441" s="7" t="str">
        <f ca="1">IFERROR(__xludf.DUMMYFUNCTION("GOOGLETRANSLATE(H3441,""EN"",""ES"")"),"MÁQUINAS HERRAMIENTA, MAQUINARIA DE ABRASADO Y CIMENTACIÓN")</f>
        <v>MÁQUINAS HERRAMIENTA, MAQUINARIA DE ABRASADO Y CIMENTACIÓN</v>
      </c>
      <c r="L3441" s="5" t="str">
        <f ca="1">IFERROR(__xludf.DUMMYFUNCTION("GOOGLETRANSLATE(J3441,""EN"",""ES"")"),"Sierras circulares [máquinas]")</f>
        <v>Sierras circulares [máquinas]</v>
      </c>
      <c r="M3441" s="8" t="s">
        <v>55</v>
      </c>
      <c r="N3441" s="8"/>
    </row>
    <row r="3442" spans="1:14" ht="11.25" customHeight="1">
      <c r="A3442" s="5" t="s">
        <v>9166</v>
      </c>
      <c r="B3442" s="5" t="s">
        <v>9781</v>
      </c>
      <c r="C3442" s="5" t="s">
        <v>9976</v>
      </c>
      <c r="D3442" s="5" t="s">
        <v>9169</v>
      </c>
      <c r="E3442" s="5" t="s">
        <v>52</v>
      </c>
      <c r="F3442" s="5" t="s">
        <v>9170</v>
      </c>
      <c r="G3442" s="5" t="s">
        <v>152</v>
      </c>
      <c r="H3442" s="5" t="s">
        <v>9783</v>
      </c>
      <c r="I3442" s="5" t="s">
        <v>9977</v>
      </c>
      <c r="J3442" s="5" t="s">
        <v>9978</v>
      </c>
      <c r="K3442" s="7" t="str">
        <f ca="1">IFERROR(__xludf.DUMMYFUNCTION("GOOGLETRANSLATE(H3442,""EN"",""ES"")"),"MÁQUINAS HERRAMIENTA, MAQUINARIA DE ABRASADO Y CIMENTACIÓN")</f>
        <v>MÁQUINAS HERRAMIENTA, MAQUINARIA DE ABRASADO Y CIMENTACIÓN</v>
      </c>
      <c r="L3442" s="5" t="str">
        <f ca="1">IFERROR(__xludf.DUMMYFUNCTION("GOOGLETRANSLATE(J3442,""EN"",""ES"")"),"Picadoras de leña [máquinas]")</f>
        <v>Picadoras de leña [máquinas]</v>
      </c>
      <c r="M3442" s="8" t="s">
        <v>55</v>
      </c>
      <c r="N3442" s="8"/>
    </row>
    <row r="3443" spans="1:14" ht="11.25" customHeight="1">
      <c r="A3443" s="5" t="s">
        <v>9166</v>
      </c>
      <c r="B3443" s="5" t="s">
        <v>9781</v>
      </c>
      <c r="C3443" s="5" t="s">
        <v>9979</v>
      </c>
      <c r="D3443" s="5" t="s">
        <v>9169</v>
      </c>
      <c r="E3443" s="5" t="s">
        <v>52</v>
      </c>
      <c r="F3443" s="5" t="s">
        <v>9170</v>
      </c>
      <c r="G3443" s="5" t="s">
        <v>152</v>
      </c>
      <c r="H3443" s="5" t="s">
        <v>9783</v>
      </c>
      <c r="I3443" s="5" t="s">
        <v>9980</v>
      </c>
      <c r="J3443" s="5" t="s">
        <v>9981</v>
      </c>
      <c r="K3443" s="7" t="str">
        <f ca="1">IFERROR(__xludf.DUMMYFUNCTION("GOOGLETRANSLATE(H3443,""EN"",""ES"")"),"MÁQUINAS HERRAMIENTA, MAQUINARIA DE ABRASADO Y CIMENTACIÓN")</f>
        <v>MÁQUINAS HERRAMIENTA, MAQUINARIA DE ABRASADO Y CIMENTACIÓN</v>
      </c>
      <c r="L3443" s="5" t="str">
        <f ca="1">IFERROR(__xludf.DUMMYFUNCTION("GOOGLETRANSLATE(J3443,""EN"",""ES"")"),"Máquinas para trabajar metales")</f>
        <v>Máquinas para trabajar metales</v>
      </c>
      <c r="M3443" s="8" t="s">
        <v>55</v>
      </c>
      <c r="N3443" s="8"/>
    </row>
    <row r="3444" spans="1:14" ht="11.25" customHeight="1">
      <c r="A3444" s="5" t="s">
        <v>9166</v>
      </c>
      <c r="B3444" s="5" t="s">
        <v>9781</v>
      </c>
      <c r="C3444" s="5" t="s">
        <v>9982</v>
      </c>
      <c r="D3444" s="5" t="s">
        <v>9169</v>
      </c>
      <c r="E3444" s="5" t="s">
        <v>52</v>
      </c>
      <c r="F3444" s="5" t="s">
        <v>9170</v>
      </c>
      <c r="G3444" s="5" t="s">
        <v>152</v>
      </c>
      <c r="H3444" s="5" t="s">
        <v>9783</v>
      </c>
      <c r="I3444" s="5" t="s">
        <v>9983</v>
      </c>
      <c r="J3444" s="5" t="s">
        <v>9984</v>
      </c>
      <c r="K3444" s="7" t="str">
        <f ca="1">IFERROR(__xludf.DUMMYFUNCTION("GOOGLETRANSLATE(H3444,""EN"",""ES"")"),"MÁQUINAS HERRAMIENTA, MAQUINARIA DE ABRASADO Y CIMENTACIÓN")</f>
        <v>MÁQUINAS HERRAMIENTA, MAQUINARIA DE ABRASADO Y CIMENTACIÓN</v>
      </c>
      <c r="L3444" s="5" t="str">
        <f ca="1">IFERROR(__xludf.DUMMYFUNCTION("GOOGLETRANSLATE(J3444,""EN"",""ES"")"),"impresoras 3D")</f>
        <v>impresoras 3D</v>
      </c>
      <c r="M3444" s="8" t="s">
        <v>55</v>
      </c>
      <c r="N3444" s="8"/>
    </row>
    <row r="3445" spans="1:14" ht="11.25" customHeight="1">
      <c r="A3445" s="5" t="s">
        <v>9166</v>
      </c>
      <c r="B3445" s="5" t="s">
        <v>9781</v>
      </c>
      <c r="C3445" s="5" t="s">
        <v>9985</v>
      </c>
      <c r="D3445" s="5" t="s">
        <v>9169</v>
      </c>
      <c r="E3445" s="5" t="s">
        <v>52</v>
      </c>
      <c r="F3445" s="5" t="s">
        <v>9170</v>
      </c>
      <c r="G3445" s="5" t="s">
        <v>152</v>
      </c>
      <c r="H3445" s="5" t="s">
        <v>9783</v>
      </c>
      <c r="I3445" s="5" t="s">
        <v>9986</v>
      </c>
      <c r="J3445" s="5" t="s">
        <v>9987</v>
      </c>
      <c r="K3445" s="7" t="str">
        <f ca="1">IFERROR(__xludf.DUMMYFUNCTION("GOOGLETRANSLATE(H3445,""EN"",""ES"")"),"MÁQUINAS HERRAMIENTA, MAQUINARIA DE ABRASADO Y CIMENTACIÓN")</f>
        <v>MÁQUINAS HERRAMIENTA, MAQUINARIA DE ABRASADO Y CIMENTACIÓN</v>
      </c>
      <c r="L3445" s="5" t="str">
        <f ca="1">IFERROR(__xludf.DUMMYFUNCTION("GOOGLETRANSLATE(J3445,""EN"",""ES"")"),"Máquinas herramienta de control numérico por ordenador [CNC]")</f>
        <v>Máquinas herramienta de control numérico por ordenador [CNC]</v>
      </c>
      <c r="M3445" s="8" t="s">
        <v>55</v>
      </c>
      <c r="N3445" s="8"/>
    </row>
    <row r="3446" spans="1:14" ht="11.25" customHeight="1">
      <c r="A3446" s="5" t="s">
        <v>9166</v>
      </c>
      <c r="B3446" s="5" t="s">
        <v>9781</v>
      </c>
      <c r="C3446" s="5" t="s">
        <v>9988</v>
      </c>
      <c r="D3446" s="5" t="s">
        <v>9169</v>
      </c>
      <c r="E3446" s="5" t="s">
        <v>52</v>
      </c>
      <c r="F3446" s="5" t="s">
        <v>9170</v>
      </c>
      <c r="G3446" s="5" t="s">
        <v>152</v>
      </c>
      <c r="H3446" s="5" t="s">
        <v>9783</v>
      </c>
      <c r="I3446" s="5" t="s">
        <v>9989</v>
      </c>
      <c r="J3446" s="5" t="s">
        <v>9990</v>
      </c>
      <c r="K3446" s="7" t="str">
        <f ca="1">IFERROR(__xludf.DUMMYFUNCTION("GOOGLETRANSLATE(H3446,""EN"",""ES"")"),"MÁQUINAS HERRAMIENTA, MAQUINARIA DE ABRASADO Y CIMENTACIÓN")</f>
        <v>MÁQUINAS HERRAMIENTA, MAQUINARIA DE ABRASADO Y CIMENTACIÓN</v>
      </c>
      <c r="L3446" s="5" t="str">
        <f ca="1">IFERROR(__xludf.DUMMYFUNCTION("GOOGLETRANSLATE(J3446,""EN"",""ES"")"),"Máquinas de moldeo por inyección")</f>
        <v>Máquinas de moldeo por inyección</v>
      </c>
      <c r="M3446" s="8" t="s">
        <v>55</v>
      </c>
      <c r="N3446" s="8"/>
    </row>
    <row r="3447" spans="1:14" ht="11.25" customHeight="1">
      <c r="A3447" s="5" t="s">
        <v>9166</v>
      </c>
      <c r="B3447" s="5" t="s">
        <v>9781</v>
      </c>
      <c r="C3447" s="5" t="s">
        <v>9988</v>
      </c>
      <c r="D3447" s="5" t="s">
        <v>9169</v>
      </c>
      <c r="E3447" s="5" t="s">
        <v>52</v>
      </c>
      <c r="F3447" s="5" t="s">
        <v>9170</v>
      </c>
      <c r="G3447" s="5" t="s">
        <v>152</v>
      </c>
      <c r="H3447" s="5" t="s">
        <v>9783</v>
      </c>
      <c r="I3447" s="5" t="s">
        <v>9991</v>
      </c>
      <c r="J3447" s="5" t="s">
        <v>152</v>
      </c>
      <c r="K3447" s="7" t="str">
        <f ca="1">IFERROR(__xludf.DUMMYFUNCTION("GOOGLETRANSLATE(H3447,""EN"",""ES"")"),"MÁQUINAS HERRAMIENTA, MAQUINARIA DE ABRASADO Y CIMENTACIÓN")</f>
        <v>MÁQUINAS HERRAMIENTA, MAQUINARIA DE ABRASADO Y CIMENTACIÓN</v>
      </c>
      <c r="L3447" s="5" t="str">
        <f ca="1">IFERROR(__xludf.DUMMYFUNCTION("GOOGLETRANSLATE(J3447,""EN"",""ES"")"),"Máquinas de moldeo por inyección")</f>
        <v>Máquinas de moldeo por inyección</v>
      </c>
      <c r="M3447" s="8" t="s">
        <v>55</v>
      </c>
      <c r="N3447" s="8"/>
    </row>
    <row r="3448" spans="1:14" ht="11.25" customHeight="1">
      <c r="A3448" s="5" t="s">
        <v>9166</v>
      </c>
      <c r="B3448" s="5" t="s">
        <v>9992</v>
      </c>
      <c r="C3448" s="5" t="s">
        <v>9993</v>
      </c>
      <c r="D3448" s="5" t="s">
        <v>9169</v>
      </c>
      <c r="E3448" s="5" t="s">
        <v>52</v>
      </c>
      <c r="F3448" s="5" t="s">
        <v>9170</v>
      </c>
      <c r="G3448" s="5" t="s">
        <v>152</v>
      </c>
      <c r="H3448" s="5" t="s">
        <v>9994</v>
      </c>
      <c r="I3448" s="5" t="s">
        <v>9995</v>
      </c>
      <c r="J3448" s="5" t="s">
        <v>9996</v>
      </c>
      <c r="K3448" s="7" t="str">
        <f ca="1">IFERROR(__xludf.DUMMYFUNCTION("GOOGLETRANSLATE(H3448,""EN"",""ES"")"),"Maquinaria para llenado, envasado o envasado")</f>
        <v>Maquinaria para llenado, envasado o envasado</v>
      </c>
      <c r="L3448" s="5" t="str">
        <f ca="1">IFERROR(__xludf.DUMMYFUNCTION("GOOGLETRANSLATE(J3448,""EN"",""ES"")"),"Máquinas empacadoras")</f>
        <v>Máquinas empacadoras</v>
      </c>
      <c r="M3448" s="8" t="s">
        <v>55</v>
      </c>
      <c r="N3448" s="8"/>
    </row>
    <row r="3449" spans="1:14" ht="11.25" customHeight="1">
      <c r="A3449" s="5" t="s">
        <v>9166</v>
      </c>
      <c r="B3449" s="5" t="s">
        <v>9992</v>
      </c>
      <c r="C3449" s="5" t="s">
        <v>9997</v>
      </c>
      <c r="D3449" s="5" t="s">
        <v>9169</v>
      </c>
      <c r="E3449" s="5" t="s">
        <v>52</v>
      </c>
      <c r="F3449" s="5" t="s">
        <v>9170</v>
      </c>
      <c r="G3449" s="5" t="s">
        <v>152</v>
      </c>
      <c r="H3449" s="5" t="s">
        <v>9994</v>
      </c>
      <c r="I3449" s="5" t="s">
        <v>9998</v>
      </c>
      <c r="J3449" s="5" t="s">
        <v>9999</v>
      </c>
      <c r="K3449" s="7" t="str">
        <f ca="1">IFERROR(__xludf.DUMMYFUNCTION("GOOGLETRANSLATE(H3449,""EN"",""ES"")"),"Maquinaria para llenado, envasado o envasado")</f>
        <v>Maquinaria para llenado, envasado o envasado</v>
      </c>
      <c r="L3449" s="5" t="str">
        <f ca="1">IFERROR(__xludf.DUMMYFUNCTION("GOOGLETRANSLATE(J3449,""EN"",""ES"")"),"Máquinas para llenar bolsas o sacos")</f>
        <v>Máquinas para llenar bolsas o sacos</v>
      </c>
      <c r="M3449" s="8" t="s">
        <v>55</v>
      </c>
      <c r="N3449" s="8"/>
    </row>
    <row r="3450" spans="1:14" ht="11.25" customHeight="1">
      <c r="A3450" s="5" t="s">
        <v>9166</v>
      </c>
      <c r="B3450" s="5" t="s">
        <v>9992</v>
      </c>
      <c r="C3450" s="5" t="s">
        <v>10000</v>
      </c>
      <c r="D3450" s="5" t="s">
        <v>9169</v>
      </c>
      <c r="E3450" s="5" t="s">
        <v>52</v>
      </c>
      <c r="F3450" s="5" t="s">
        <v>9170</v>
      </c>
      <c r="G3450" s="5" t="s">
        <v>152</v>
      </c>
      <c r="H3450" s="5" t="s">
        <v>9994</v>
      </c>
      <c r="I3450" s="5" t="s">
        <v>10001</v>
      </c>
      <c r="J3450" s="5" t="s">
        <v>10002</v>
      </c>
      <c r="K3450" s="7" t="str">
        <f ca="1">IFERROR(__xludf.DUMMYFUNCTION("GOOGLETRANSLATE(H3450,""EN"",""ES"")"),"Maquinaria para llenado, envasado o envasado")</f>
        <v>Maquinaria para llenado, envasado o envasado</v>
      </c>
      <c r="L3450" s="5" t="str">
        <f ca="1">IFERROR(__xludf.DUMMYFUNCTION("GOOGLETRANSLATE(J3450,""EN"",""ES"")"),"Máquinas para pesar y llenar bolsas.")</f>
        <v>Máquinas para pesar y llenar bolsas.</v>
      </c>
      <c r="M3450" s="8" t="s">
        <v>55</v>
      </c>
      <c r="N3450" s="8"/>
    </row>
    <row r="3451" spans="1:14" ht="11.25" customHeight="1">
      <c r="A3451" s="5" t="s">
        <v>9166</v>
      </c>
      <c r="B3451" s="5" t="s">
        <v>9992</v>
      </c>
      <c r="C3451" s="5" t="s">
        <v>10003</v>
      </c>
      <c r="D3451" s="5" t="s">
        <v>9169</v>
      </c>
      <c r="E3451" s="5" t="s">
        <v>52</v>
      </c>
      <c r="F3451" s="5" t="s">
        <v>9170</v>
      </c>
      <c r="G3451" s="5" t="s">
        <v>152</v>
      </c>
      <c r="H3451" s="5" t="s">
        <v>9994</v>
      </c>
      <c r="I3451" s="5" t="s">
        <v>10004</v>
      </c>
      <c r="J3451" s="5" t="s">
        <v>10005</v>
      </c>
      <c r="K3451" s="7" t="str">
        <f ca="1">IFERROR(__xludf.DUMMYFUNCTION("GOOGLETRANSLATE(H3451,""EN"",""ES"")"),"Maquinaria para llenado, envasado o envasado")</f>
        <v>Maquinaria para llenado, envasado o envasado</v>
      </c>
      <c r="L3451" s="5" t="str">
        <f ca="1">IFERROR(__xludf.DUMMYFUNCTION("GOOGLETRANSLATE(J3451,""EN"",""ES"")"),"Máquinas para llenar botellas.")</f>
        <v>Máquinas para llenar botellas.</v>
      </c>
      <c r="M3451" s="8" t="s">
        <v>55</v>
      </c>
      <c r="N3451" s="8"/>
    </row>
    <row r="3452" spans="1:14" ht="11.25" customHeight="1">
      <c r="A3452" s="5" t="s">
        <v>9166</v>
      </c>
      <c r="B3452" s="5" t="s">
        <v>9992</v>
      </c>
      <c r="C3452" s="5" t="s">
        <v>10006</v>
      </c>
      <c r="D3452" s="5" t="s">
        <v>9169</v>
      </c>
      <c r="E3452" s="5" t="s">
        <v>52</v>
      </c>
      <c r="F3452" s="5" t="s">
        <v>9170</v>
      </c>
      <c r="G3452" s="5" t="s">
        <v>152</v>
      </c>
      <c r="H3452" s="5" t="s">
        <v>9994</v>
      </c>
      <c r="I3452" s="5" t="s">
        <v>10007</v>
      </c>
      <c r="J3452" s="5" t="s">
        <v>10008</v>
      </c>
      <c r="K3452" s="7" t="str">
        <f ca="1">IFERROR(__xludf.DUMMYFUNCTION("GOOGLETRANSLATE(H3452,""EN"",""ES"")"),"Maquinaria para llenado, envasado o envasado")</f>
        <v>Maquinaria para llenado, envasado o envasado</v>
      </c>
      <c r="L3452" s="5" t="str">
        <f ca="1">IFERROR(__xludf.DUMMYFUNCTION("GOOGLETRANSLATE(J3452,""EN"",""ES"")"),"Máquinas taponadoras de botellas")</f>
        <v>Máquinas taponadoras de botellas</v>
      </c>
      <c r="M3452" s="8" t="s">
        <v>55</v>
      </c>
      <c r="N3452" s="8"/>
    </row>
    <row r="3453" spans="1:14" ht="11.25" customHeight="1">
      <c r="A3453" s="5" t="s">
        <v>9166</v>
      </c>
      <c r="B3453" s="5" t="s">
        <v>9992</v>
      </c>
      <c r="C3453" s="5" t="s">
        <v>10009</v>
      </c>
      <c r="D3453" s="5" t="s">
        <v>9169</v>
      </c>
      <c r="E3453" s="5" t="s">
        <v>52</v>
      </c>
      <c r="F3453" s="5" t="s">
        <v>9170</v>
      </c>
      <c r="G3453" s="5" t="s">
        <v>152</v>
      </c>
      <c r="H3453" s="5" t="s">
        <v>9994</v>
      </c>
      <c r="I3453" s="5" t="s">
        <v>10010</v>
      </c>
      <c r="J3453" s="5" t="s">
        <v>10011</v>
      </c>
      <c r="K3453" s="7" t="str">
        <f ca="1">IFERROR(__xludf.DUMMYFUNCTION("GOOGLETRANSLATE(H3453,""EN"",""ES"")"),"Maquinaria para llenado, envasado o envasado")</f>
        <v>Maquinaria para llenado, envasado o envasado</v>
      </c>
      <c r="L3453" s="5" t="str">
        <f ca="1">IFERROR(__xludf.DUMMYFUNCTION("GOOGLETRANSLATE(J3453,""EN"",""ES"")"),"Máquinas taponadoras")</f>
        <v>Máquinas taponadoras</v>
      </c>
      <c r="M3453" s="8" t="s">
        <v>55</v>
      </c>
      <c r="N3453" s="8"/>
    </row>
    <row r="3454" spans="1:14" ht="11.25" customHeight="1">
      <c r="A3454" s="5" t="s">
        <v>9166</v>
      </c>
      <c r="B3454" s="5" t="s">
        <v>10012</v>
      </c>
      <c r="C3454" s="5" t="s">
        <v>10013</v>
      </c>
      <c r="D3454" s="5" t="s">
        <v>9169</v>
      </c>
      <c r="E3454" s="5" t="s">
        <v>52</v>
      </c>
      <c r="F3454" s="5" t="s">
        <v>9170</v>
      </c>
      <c r="G3454" s="5" t="s">
        <v>152</v>
      </c>
      <c r="H3454" s="5" t="s">
        <v>330</v>
      </c>
      <c r="I3454" s="5" t="s">
        <v>10014</v>
      </c>
      <c r="J3454" s="5" t="s">
        <v>10015</v>
      </c>
      <c r="K3454" s="7" t="str">
        <f ca="1">IFERROR(__xludf.DUMMYFUNCTION("GOOGLETRANSLATE(H3454,""EN"",""ES"")"),"MISCELÁNEAS")</f>
        <v>MISCELÁNEAS</v>
      </c>
      <c r="L3454" s="5" t="str">
        <f ca="1">IFERROR(__xludf.DUMMYFUNCTION("GOOGLETRANSLATE(J3454,""EN"",""ES"")"),"Grapadoras")</f>
        <v>Grapadoras</v>
      </c>
      <c r="M3454" s="8" t="s">
        <v>55</v>
      </c>
      <c r="N3454" s="8"/>
    </row>
    <row r="3455" spans="1:14" ht="11.25" customHeight="1">
      <c r="A3455" s="5" t="s">
        <v>9166</v>
      </c>
      <c r="B3455" s="5" t="s">
        <v>10012</v>
      </c>
      <c r="C3455" s="5" t="s">
        <v>10016</v>
      </c>
      <c r="D3455" s="5" t="s">
        <v>9169</v>
      </c>
      <c r="E3455" s="5" t="s">
        <v>52</v>
      </c>
      <c r="F3455" s="5" t="s">
        <v>9170</v>
      </c>
      <c r="G3455" s="5" t="s">
        <v>152</v>
      </c>
      <c r="H3455" s="5" t="s">
        <v>330</v>
      </c>
      <c r="I3455" s="5" t="s">
        <v>10017</v>
      </c>
      <c r="J3455" s="5" t="s">
        <v>10018</v>
      </c>
      <c r="K3455" s="7" t="str">
        <f ca="1">IFERROR(__xludf.DUMMYFUNCTION("GOOGLETRANSLATE(H3455,""EN"",""ES"")"),"MISCELÁNEAS")</f>
        <v>MISCELÁNEAS</v>
      </c>
      <c r="L3455" s="5" t="str">
        <f ca="1">IFERROR(__xludf.DUMMYFUNCTION("GOOGLETRANSLATE(J3455,""EN"",""ES"")"),"Plantillas para reparar carrocerías de vehículos.")</f>
        <v>Plantillas para reparar carrocerías de vehículos.</v>
      </c>
      <c r="M3455" s="8" t="s">
        <v>55</v>
      </c>
      <c r="N3455" s="8"/>
    </row>
    <row r="3456" spans="1:14" ht="11.25" customHeight="1">
      <c r="A3456" s="5" t="s">
        <v>9166</v>
      </c>
      <c r="B3456" s="5" t="s">
        <v>10012</v>
      </c>
      <c r="C3456" s="5" t="s">
        <v>10019</v>
      </c>
      <c r="D3456" s="5" t="s">
        <v>9169</v>
      </c>
      <c r="E3456" s="5" t="s">
        <v>52</v>
      </c>
      <c r="F3456" s="5" t="s">
        <v>9170</v>
      </c>
      <c r="G3456" s="5" t="s">
        <v>152</v>
      </c>
      <c r="H3456" s="5" t="s">
        <v>330</v>
      </c>
      <c r="I3456" s="5" t="s">
        <v>10020</v>
      </c>
      <c r="J3456" s="5" t="s">
        <v>10021</v>
      </c>
      <c r="K3456" s="7" t="str">
        <f ca="1">IFERROR(__xludf.DUMMYFUNCTION("GOOGLETRANSLATE(H3456,""EN"",""ES"")"),"MISCELÁNEAS")</f>
        <v>MISCELÁNEAS</v>
      </c>
      <c r="L3456" s="5" t="str">
        <f ca="1">IFERROR(__xludf.DUMMYFUNCTION("GOOGLETRANSLATE(J3456,""EN"",""ES"")"),"Palancas de cambio para maquinaria")</f>
        <v>Palancas de cambio para maquinaria</v>
      </c>
      <c r="M3456" s="8" t="s">
        <v>55</v>
      </c>
      <c r="N3456" s="8"/>
    </row>
    <row r="3457" spans="1:14" ht="11.25" customHeight="1">
      <c r="A3457" s="5" t="s">
        <v>9166</v>
      </c>
      <c r="B3457" s="5" t="s">
        <v>10012</v>
      </c>
      <c r="C3457" s="5" t="s">
        <v>10022</v>
      </c>
      <c r="D3457" s="5" t="s">
        <v>9169</v>
      </c>
      <c r="E3457" s="5" t="s">
        <v>52</v>
      </c>
      <c r="F3457" s="5" t="s">
        <v>9170</v>
      </c>
      <c r="G3457" s="5" t="s">
        <v>152</v>
      </c>
      <c r="H3457" s="5" t="s">
        <v>330</v>
      </c>
      <c r="I3457" s="5" t="s">
        <v>10023</v>
      </c>
      <c r="J3457" s="5" t="s">
        <v>10024</v>
      </c>
      <c r="K3457" s="7" t="str">
        <f ca="1">IFERROR(__xludf.DUMMYFUNCTION("GOOGLETRANSLATE(H3457,""EN"",""ES"")"),"MISCELÁNEAS")</f>
        <v>MISCELÁNEAS</v>
      </c>
      <c r="L3457" s="5" t="str">
        <f ca="1">IFERROR(__xludf.DUMMYFUNCTION("GOOGLETRANSLATE(J3457,""EN"",""ES"")"),"Máquinas para hacer cigarrillos.")</f>
        <v>Máquinas para hacer cigarrillos.</v>
      </c>
      <c r="M3457" s="8" t="s">
        <v>55</v>
      </c>
      <c r="N3457" s="8"/>
    </row>
    <row r="3458" spans="1:14" ht="11.25" customHeight="1">
      <c r="A3458" s="5" t="s">
        <v>9166</v>
      </c>
      <c r="B3458" s="5" t="s">
        <v>10012</v>
      </c>
      <c r="C3458" s="5" t="s">
        <v>10025</v>
      </c>
      <c r="D3458" s="5" t="s">
        <v>9169</v>
      </c>
      <c r="E3458" s="5" t="s">
        <v>52</v>
      </c>
      <c r="F3458" s="5" t="s">
        <v>9170</v>
      </c>
      <c r="G3458" s="5" t="s">
        <v>152</v>
      </c>
      <c r="H3458" s="5" t="s">
        <v>330</v>
      </c>
      <c r="I3458" s="5" t="s">
        <v>10026</v>
      </c>
      <c r="J3458" s="5" t="s">
        <v>10027</v>
      </c>
      <c r="K3458" s="7" t="str">
        <f ca="1">IFERROR(__xludf.DUMMYFUNCTION("GOOGLETRANSLATE(H3458,""EN"",""ES"")"),"MISCELÁNEAS")</f>
        <v>MISCELÁNEAS</v>
      </c>
      <c r="L3458" s="5" t="str">
        <f ca="1">IFERROR(__xludf.DUMMYFUNCTION("GOOGLETRANSLATE(J3458,""EN"",""ES"")"),"Clavadoras")</f>
        <v>Clavadoras</v>
      </c>
      <c r="M3458" s="8" t="s">
        <v>55</v>
      </c>
      <c r="N3458" s="8"/>
    </row>
    <row r="3459" spans="1:14" ht="11.25" customHeight="1">
      <c r="A3459" s="5" t="s">
        <v>9166</v>
      </c>
      <c r="B3459" s="5" t="s">
        <v>10012</v>
      </c>
      <c r="C3459" s="5" t="s">
        <v>10028</v>
      </c>
      <c r="D3459" s="5" t="s">
        <v>9169</v>
      </c>
      <c r="E3459" s="5" t="s">
        <v>52</v>
      </c>
      <c r="F3459" s="5" t="s">
        <v>9170</v>
      </c>
      <c r="G3459" s="5" t="s">
        <v>152</v>
      </c>
      <c r="H3459" s="5" t="s">
        <v>330</v>
      </c>
      <c r="I3459" s="5" t="s">
        <v>10029</v>
      </c>
      <c r="J3459" s="5" t="s">
        <v>10030</v>
      </c>
      <c r="K3459" s="7" t="str">
        <f ca="1">IFERROR(__xludf.DUMMYFUNCTION("GOOGLETRANSLATE(H3459,""EN"",""ES"")"),"MISCELÁNEAS")</f>
        <v>MISCELÁNEAS</v>
      </c>
      <c r="L3459" s="5" t="str">
        <f ca="1">IFERROR(__xludf.DUMMYFUNCTION("GOOGLETRANSLATE(J3459,""EN"",""ES"")"),"Máquinas de bandas")</f>
        <v>Máquinas de bandas</v>
      </c>
      <c r="M3459" s="8" t="s">
        <v>55</v>
      </c>
      <c r="N3459" s="8"/>
    </row>
    <row r="3460" spans="1:14" ht="11.25" customHeight="1">
      <c r="A3460" s="5" t="s">
        <v>9166</v>
      </c>
      <c r="B3460" s="5" t="s">
        <v>10012</v>
      </c>
      <c r="C3460" s="5" t="s">
        <v>10031</v>
      </c>
      <c r="D3460" s="5" t="s">
        <v>9169</v>
      </c>
      <c r="E3460" s="5" t="s">
        <v>52</v>
      </c>
      <c r="F3460" s="5" t="s">
        <v>9170</v>
      </c>
      <c r="G3460" s="5" t="s">
        <v>152</v>
      </c>
      <c r="H3460" s="5" t="s">
        <v>330</v>
      </c>
      <c r="I3460" s="5" t="s">
        <v>10032</v>
      </c>
      <c r="J3460" s="5" t="s">
        <v>10033</v>
      </c>
      <c r="K3460" s="7" t="str">
        <f ca="1">IFERROR(__xludf.DUMMYFUNCTION("GOOGLETRANSLATE(H3460,""EN"",""ES"")"),"MISCELÁNEAS")</f>
        <v>MISCELÁNEAS</v>
      </c>
      <c r="L3460" s="5" t="str">
        <f ca="1">IFERROR(__xludf.DUMMYFUNCTION("GOOGLETRANSLATE(J3460,""EN"",""ES"")"),"Correas de transmisión [para máquinas]")</f>
        <v>Correas de transmisión [para máquinas]</v>
      </c>
      <c r="M3460" s="8" t="s">
        <v>55</v>
      </c>
      <c r="N3460" s="8"/>
    </row>
    <row r="3461" spans="1:14" ht="11.25" customHeight="1">
      <c r="A3461" s="5" t="s">
        <v>9166</v>
      </c>
      <c r="B3461" s="5" t="s">
        <v>10012</v>
      </c>
      <c r="C3461" s="5" t="s">
        <v>10034</v>
      </c>
      <c r="D3461" s="5" t="s">
        <v>9169</v>
      </c>
      <c r="E3461" s="5" t="s">
        <v>52</v>
      </c>
      <c r="F3461" s="5" t="s">
        <v>9170</v>
      </c>
      <c r="G3461" s="5" t="s">
        <v>152</v>
      </c>
      <c r="H3461" s="5" t="s">
        <v>330</v>
      </c>
      <c r="I3461" s="5" t="s">
        <v>10035</v>
      </c>
      <c r="J3461" s="5" t="s">
        <v>10036</v>
      </c>
      <c r="K3461" s="7" t="str">
        <f ca="1">IFERROR(__xludf.DUMMYFUNCTION("GOOGLETRANSLATE(H3461,""EN"",""ES"")"),"MISCELÁNEAS")</f>
        <v>MISCELÁNEAS</v>
      </c>
      <c r="L3461" s="5" t="str">
        <f ca="1">IFERROR(__xludf.DUMMYFUNCTION("GOOGLETRANSLATE(J3461,""EN"",""ES"")"),"Calderas de vulcanización")</f>
        <v>Calderas de vulcanización</v>
      </c>
      <c r="M3461" s="8" t="s">
        <v>55</v>
      </c>
      <c r="N3461" s="8"/>
    </row>
    <row r="3462" spans="1:14" ht="11.25" customHeight="1">
      <c r="A3462" s="5" t="s">
        <v>9166</v>
      </c>
      <c r="B3462" s="5" t="s">
        <v>10012</v>
      </c>
      <c r="C3462" s="5" t="s">
        <v>10037</v>
      </c>
      <c r="D3462" s="5" t="s">
        <v>9169</v>
      </c>
      <c r="E3462" s="5" t="s">
        <v>52</v>
      </c>
      <c r="F3462" s="5" t="s">
        <v>9170</v>
      </c>
      <c r="G3462" s="5" t="s">
        <v>152</v>
      </c>
      <c r="H3462" s="5" t="s">
        <v>330</v>
      </c>
      <c r="I3462" s="5" t="s">
        <v>10038</v>
      </c>
      <c r="J3462" s="5" t="s">
        <v>10039</v>
      </c>
      <c r="K3462" s="7" t="str">
        <f ca="1">IFERROR(__xludf.DUMMYFUNCTION("GOOGLETRANSLATE(H3462,""EN"",""ES"")"),"MISCELÁNEAS")</f>
        <v>MISCELÁNEAS</v>
      </c>
      <c r="L3462" s="5" t="str">
        <f ca="1">IFERROR(__xludf.DUMMYFUNCTION("GOOGLETRANSLATE(J3462,""EN"",""ES"")"),"Máquinas equilibradoras de ruedas de vehículos")</f>
        <v>Máquinas equilibradoras de ruedas de vehículos</v>
      </c>
      <c r="M3462" s="8" t="s">
        <v>55</v>
      </c>
      <c r="N3462" s="8"/>
    </row>
    <row r="3463" spans="1:14" ht="11.25" customHeight="1">
      <c r="A3463" s="5" t="s">
        <v>9166</v>
      </c>
      <c r="B3463" s="5" t="s">
        <v>10012</v>
      </c>
      <c r="C3463" s="5" t="s">
        <v>10040</v>
      </c>
      <c r="D3463" s="5" t="s">
        <v>9169</v>
      </c>
      <c r="E3463" s="5" t="s">
        <v>52</v>
      </c>
      <c r="F3463" s="5" t="s">
        <v>9170</v>
      </c>
      <c r="G3463" s="5" t="s">
        <v>152</v>
      </c>
      <c r="H3463" s="5" t="s">
        <v>330</v>
      </c>
      <c r="I3463" s="5" t="s">
        <v>10041</v>
      </c>
      <c r="J3463" s="5" t="s">
        <v>10042</v>
      </c>
      <c r="K3463" s="7" t="str">
        <f ca="1">IFERROR(__xludf.DUMMYFUNCTION("GOOGLETRANSLATE(H3463,""EN"",""ES"")"),"MISCELÁNEAS")</f>
        <v>MISCELÁNEAS</v>
      </c>
      <c r="L3463" s="5" t="str">
        <f ca="1">IFERROR(__xludf.DUMMYFUNCTION("GOOGLETRANSLATE(J3463,""EN"",""ES"")"),"Mezcladores industriales")</f>
        <v>Mezcladores industriales</v>
      </c>
      <c r="M3463" s="8" t="s">
        <v>55</v>
      </c>
      <c r="N3463" s="8"/>
    </row>
    <row r="3464" spans="1:14" ht="11.25" customHeight="1">
      <c r="A3464" s="5" t="s">
        <v>9166</v>
      </c>
      <c r="B3464" s="5" t="s">
        <v>10012</v>
      </c>
      <c r="C3464" s="5" t="s">
        <v>10043</v>
      </c>
      <c r="D3464" s="5" t="s">
        <v>9169</v>
      </c>
      <c r="E3464" s="5" t="s">
        <v>52</v>
      </c>
      <c r="F3464" s="5" t="s">
        <v>9170</v>
      </c>
      <c r="G3464" s="5" t="s">
        <v>152</v>
      </c>
      <c r="H3464" s="5" t="s">
        <v>330</v>
      </c>
      <c r="I3464" s="5" t="s">
        <v>10044</v>
      </c>
      <c r="J3464" s="5" t="s">
        <v>10045</v>
      </c>
      <c r="K3464" s="7" t="str">
        <f ca="1">IFERROR(__xludf.DUMMYFUNCTION("GOOGLETRANSLATE(H3464,""EN"",""ES"")"),"MISCELÁNEAS")</f>
        <v>MISCELÁNEAS</v>
      </c>
      <c r="L3464" s="5" t="str">
        <f ca="1">IFERROR(__xludf.DUMMYFUNCTION("GOOGLETRANSLATE(J3464,""EN"",""ES"")"),"Máquinas para la manipulación mecánica de material radiactivo.")</f>
        <v>Máquinas para la manipulación mecánica de material radiactivo.</v>
      </c>
      <c r="M3464" s="8" t="s">
        <v>55</v>
      </c>
      <c r="N3464" s="8"/>
    </row>
    <row r="3465" spans="1:14" ht="11.25" customHeight="1">
      <c r="A3465" s="5" t="s">
        <v>9166</v>
      </c>
      <c r="B3465" s="5" t="s">
        <v>10012</v>
      </c>
      <c r="C3465" s="5" t="s">
        <v>10046</v>
      </c>
      <c r="D3465" s="5" t="s">
        <v>9169</v>
      </c>
      <c r="E3465" s="5" t="s">
        <v>52</v>
      </c>
      <c r="F3465" s="5" t="s">
        <v>9170</v>
      </c>
      <c r="G3465" s="5" t="s">
        <v>152</v>
      </c>
      <c r="H3465" s="5" t="s">
        <v>330</v>
      </c>
      <c r="I3465" s="5" t="s">
        <v>10047</v>
      </c>
      <c r="J3465" s="5" t="s">
        <v>10048</v>
      </c>
      <c r="K3465" s="7" t="str">
        <f ca="1">IFERROR(__xludf.DUMMYFUNCTION("GOOGLETRANSLATE(H3465,""EN"",""ES"")"),"MISCELÁNEAS")</f>
        <v>MISCELÁNEAS</v>
      </c>
      <c r="L3465" s="5" t="str">
        <f ca="1">IFERROR(__xludf.DUMMYFUNCTION("GOOGLETRANSLATE(J3465,""EN"",""ES"")"),"Máquinas mezcladoras y tamizadoras de tabaco")</f>
        <v>Máquinas mezcladoras y tamizadoras de tabaco</v>
      </c>
      <c r="M3465" s="8" t="s">
        <v>55</v>
      </c>
      <c r="N3465" s="8"/>
    </row>
    <row r="3466" spans="1:14" ht="11.25" customHeight="1">
      <c r="A3466" s="5" t="s">
        <v>9166</v>
      </c>
      <c r="B3466" s="5" t="s">
        <v>10012</v>
      </c>
      <c r="C3466" s="5" t="s">
        <v>10049</v>
      </c>
      <c r="D3466" s="5" t="s">
        <v>9169</v>
      </c>
      <c r="E3466" s="5" t="s">
        <v>52</v>
      </c>
      <c r="F3466" s="5" t="s">
        <v>9170</v>
      </c>
      <c r="G3466" s="5" t="s">
        <v>152</v>
      </c>
      <c r="H3466" s="5" t="s">
        <v>330</v>
      </c>
      <c r="I3466" s="5" t="s">
        <v>10050</v>
      </c>
      <c r="J3466" s="5" t="s">
        <v>10051</v>
      </c>
      <c r="K3466" s="7" t="str">
        <f ca="1">IFERROR(__xludf.DUMMYFUNCTION("GOOGLETRANSLATE(H3466,""EN"",""ES"")"),"MISCELÁNEAS")</f>
        <v>MISCELÁNEAS</v>
      </c>
      <c r="L3466" s="5" t="str">
        <f ca="1">IFERROR(__xludf.DUMMYFUNCTION("GOOGLETRANSLATE(J3466,""EN"",""ES"")"),"Máquinas para montar neumáticos")</f>
        <v>Máquinas para montar neumáticos</v>
      </c>
      <c r="M3466" s="8" t="s">
        <v>55</v>
      </c>
      <c r="N3466" s="8"/>
    </row>
    <row r="3467" spans="1:14" ht="11.25" customHeight="1">
      <c r="A3467" s="5" t="s">
        <v>9166</v>
      </c>
      <c r="B3467" s="5" t="s">
        <v>10012</v>
      </c>
      <c r="C3467" s="5" t="s">
        <v>10052</v>
      </c>
      <c r="D3467" s="5" t="s">
        <v>9169</v>
      </c>
      <c r="E3467" s="5" t="s">
        <v>52</v>
      </c>
      <c r="F3467" s="5" t="s">
        <v>9170</v>
      </c>
      <c r="G3467" s="5" t="s">
        <v>152</v>
      </c>
      <c r="H3467" s="5" t="s">
        <v>330</v>
      </c>
      <c r="I3467" s="5" t="s">
        <v>10053</v>
      </c>
      <c r="J3467" s="5" t="s">
        <v>10054</v>
      </c>
      <c r="K3467" s="7" t="str">
        <f ca="1">IFERROR(__xludf.DUMMYFUNCTION("GOOGLETRANSLATE(H3467,""EN"",""ES"")"),"MISCELÁNEAS")</f>
        <v>MISCELÁNEAS</v>
      </c>
      <c r="L3467" s="5" t="str">
        <f ca="1">IFERROR(__xludf.DUMMYFUNCTION("GOOGLETRANSLATE(J3467,""EN"",""ES"")"),"Hormas para zapatería [piezas de máquinas]")</f>
        <v>Hormas para zapatería [piezas de máquinas]</v>
      </c>
      <c r="M3467" s="8" t="s">
        <v>55</v>
      </c>
      <c r="N3467" s="8"/>
    </row>
    <row r="3468" spans="1:14" ht="11.25" customHeight="1">
      <c r="A3468" s="5" t="s">
        <v>9166</v>
      </c>
      <c r="B3468" s="5" t="s">
        <v>10012</v>
      </c>
      <c r="C3468" s="5" t="s">
        <v>10055</v>
      </c>
      <c r="D3468" s="5" t="s">
        <v>9169</v>
      </c>
      <c r="E3468" s="5" t="s">
        <v>52</v>
      </c>
      <c r="F3468" s="5" t="s">
        <v>9170</v>
      </c>
      <c r="G3468" s="5" t="s">
        <v>152</v>
      </c>
      <c r="H3468" s="5" t="s">
        <v>330</v>
      </c>
      <c r="I3468" s="5" t="s">
        <v>10056</v>
      </c>
      <c r="J3468" s="5" t="s">
        <v>10057</v>
      </c>
      <c r="K3468" s="7" t="str">
        <f ca="1">IFERROR(__xludf.DUMMYFUNCTION("GOOGLETRANSLATE(H3468,""EN"",""ES"")"),"MISCELÁNEAS")</f>
        <v>MISCELÁNEAS</v>
      </c>
      <c r="L3468" s="5" t="str">
        <f ca="1">IFERROR(__xludf.DUMMYFUNCTION("GOOGLETRANSLATE(J3468,""EN"",""ES"")"),"Marcos para hacer colchones.")</f>
        <v>Marcos para hacer colchones.</v>
      </c>
      <c r="M3468" s="8" t="s">
        <v>55</v>
      </c>
      <c r="N3468" s="8"/>
    </row>
    <row r="3469" spans="1:14" ht="11.25" customHeight="1">
      <c r="A3469" s="5" t="s">
        <v>9166</v>
      </c>
      <c r="B3469" s="5" t="s">
        <v>10012</v>
      </c>
      <c r="C3469" s="5" t="s">
        <v>10058</v>
      </c>
      <c r="D3469" s="5" t="s">
        <v>9169</v>
      </c>
      <c r="E3469" s="5" t="s">
        <v>52</v>
      </c>
      <c r="F3469" s="5" t="s">
        <v>9170</v>
      </c>
      <c r="G3469" s="5" t="s">
        <v>152</v>
      </c>
      <c r="H3469" s="5" t="s">
        <v>330</v>
      </c>
      <c r="I3469" s="5" t="s">
        <v>10059</v>
      </c>
      <c r="J3469" s="5" t="s">
        <v>10060</v>
      </c>
      <c r="K3469" s="7" t="str">
        <f ca="1">IFERROR(__xludf.DUMMYFUNCTION("GOOGLETRANSLATE(H3469,""EN"",""ES"")"),"MISCELÁNEAS")</f>
        <v>MISCELÁNEAS</v>
      </c>
      <c r="L3469" s="5" t="str">
        <f ca="1">IFERROR(__xludf.DUMMYFUNCTION("GOOGLETRANSLATE(J3469,""EN"",""ES"")"),"rodamientos de bolas")</f>
        <v>rodamientos de bolas</v>
      </c>
      <c r="M3469" s="8" t="s">
        <v>55</v>
      </c>
      <c r="N3469" s="8"/>
    </row>
    <row r="3470" spans="1:14" ht="11.25" customHeight="1">
      <c r="A3470" s="5" t="s">
        <v>9166</v>
      </c>
      <c r="B3470" s="5" t="s">
        <v>10012</v>
      </c>
      <c r="C3470" s="5" t="s">
        <v>10061</v>
      </c>
      <c r="D3470" s="5" t="s">
        <v>9169</v>
      </c>
      <c r="E3470" s="5" t="s">
        <v>52</v>
      </c>
      <c r="F3470" s="5" t="s">
        <v>9170</v>
      </c>
      <c r="G3470" s="5" t="s">
        <v>152</v>
      </c>
      <c r="H3470" s="5" t="s">
        <v>330</v>
      </c>
      <c r="I3470" s="5" t="s">
        <v>10062</v>
      </c>
      <c r="J3470" s="5" t="s">
        <v>10063</v>
      </c>
      <c r="K3470" s="7" t="str">
        <f ca="1">IFERROR(__xludf.DUMMYFUNCTION("GOOGLETRANSLATE(H3470,""EN"",""ES"")"),"MISCELÁNEAS")</f>
        <v>MISCELÁNEAS</v>
      </c>
      <c r="L3470" s="5" t="str">
        <f ca="1">IFERROR(__xludf.DUMMYFUNCTION("GOOGLETRANSLATE(J3470,""EN"",""ES"")"),"Separadores de grasas para aguas residuales [máquinas]")</f>
        <v>Separadores de grasas para aguas residuales [máquinas]</v>
      </c>
      <c r="M3470" s="8" t="s">
        <v>55</v>
      </c>
      <c r="N3470" s="8"/>
    </row>
    <row r="3471" spans="1:14" ht="11.25" customHeight="1">
      <c r="A3471" s="5" t="s">
        <v>9166</v>
      </c>
      <c r="B3471" s="5" t="s">
        <v>10012</v>
      </c>
      <c r="C3471" s="5" t="s">
        <v>10064</v>
      </c>
      <c r="D3471" s="5" t="s">
        <v>9169</v>
      </c>
      <c r="E3471" s="5" t="s">
        <v>52</v>
      </c>
      <c r="F3471" s="5" t="s">
        <v>9170</v>
      </c>
      <c r="G3471" s="5" t="s">
        <v>152</v>
      </c>
      <c r="H3471" s="5" t="s">
        <v>330</v>
      </c>
      <c r="I3471" s="5" t="s">
        <v>10065</v>
      </c>
      <c r="J3471" s="5" t="s">
        <v>10066</v>
      </c>
      <c r="K3471" s="7" t="str">
        <f ca="1">IFERROR(__xludf.DUMMYFUNCTION("GOOGLETRANSLATE(H3471,""EN"",""ES"")"),"MISCELÁNEAS")</f>
        <v>MISCELÁNEAS</v>
      </c>
      <c r="L3471" s="5" t="str">
        <f ca="1">IFERROR(__xludf.DUMMYFUNCTION("GOOGLETRANSLATE(J3471,""EN"",""ES"")"),"Separadores de líquidos y vapores")</f>
        <v>Separadores de líquidos y vapores</v>
      </c>
      <c r="M3471" s="8" t="s">
        <v>55</v>
      </c>
      <c r="N3471" s="8"/>
    </row>
    <row r="3472" spans="1:14" ht="11.25" customHeight="1">
      <c r="A3472" s="5" t="s">
        <v>9166</v>
      </c>
      <c r="B3472" s="5" t="s">
        <v>10012</v>
      </c>
      <c r="C3472" s="5" t="s">
        <v>10067</v>
      </c>
      <c r="D3472" s="5" t="s">
        <v>9169</v>
      </c>
      <c r="E3472" s="5" t="s">
        <v>52</v>
      </c>
      <c r="F3472" s="5" t="s">
        <v>9170</v>
      </c>
      <c r="G3472" s="5" t="s">
        <v>152</v>
      </c>
      <c r="H3472" s="5" t="s">
        <v>330</v>
      </c>
      <c r="I3472" s="5" t="s">
        <v>10068</v>
      </c>
      <c r="J3472" s="5" t="s">
        <v>10069</v>
      </c>
      <c r="K3472" s="7" t="str">
        <f ca="1">IFERROR(__xludf.DUMMYFUNCTION("GOOGLETRANSLATE(H3472,""EN"",""ES"")"),"MISCELÁNEAS")</f>
        <v>MISCELÁNEAS</v>
      </c>
      <c r="L3472" s="5" t="str">
        <f ca="1">IFERROR(__xludf.DUMMYFUNCTION("GOOGLETRANSLATE(J3472,""EN"",""ES"")"),"Máquinas para desollar animales [excepto para uso en la industria alimentaria]")</f>
        <v>Máquinas para desollar animales [excepto para uso en la industria alimentaria]</v>
      </c>
      <c r="M3472" s="8" t="s">
        <v>55</v>
      </c>
      <c r="N3472" s="8"/>
    </row>
    <row r="3473" spans="1:14" ht="11.25" customHeight="1">
      <c r="A3473" s="5" t="s">
        <v>9166</v>
      </c>
      <c r="B3473" s="5" t="s">
        <v>10012</v>
      </c>
      <c r="C3473" s="5" t="s">
        <v>10070</v>
      </c>
      <c r="D3473" s="5" t="s">
        <v>9169</v>
      </c>
      <c r="E3473" s="5" t="s">
        <v>52</v>
      </c>
      <c r="F3473" s="5" t="s">
        <v>9170</v>
      </c>
      <c r="G3473" s="5" t="s">
        <v>152</v>
      </c>
      <c r="H3473" s="5" t="s">
        <v>330</v>
      </c>
      <c r="I3473" s="5" t="s">
        <v>10071</v>
      </c>
      <c r="J3473" s="5" t="s">
        <v>10072</v>
      </c>
      <c r="K3473" s="7" t="str">
        <f ca="1">IFERROR(__xludf.DUMMYFUNCTION("GOOGLETRANSLATE(H3473,""EN"",""ES"")"),"MISCELÁNEAS")</f>
        <v>MISCELÁNEAS</v>
      </c>
      <c r="L3473" s="5" t="str">
        <f ca="1">IFERROR(__xludf.DUMMYFUNCTION("GOOGLETRANSLATE(J3473,""EN"",""ES"")"),"Prensas de papel usado")</f>
        <v>Prensas de papel usado</v>
      </c>
      <c r="M3473" s="8" t="s">
        <v>55</v>
      </c>
      <c r="N3473" s="8"/>
    </row>
    <row r="3474" spans="1:14" ht="11.25" customHeight="1">
      <c r="A3474" s="5" t="s">
        <v>9166</v>
      </c>
      <c r="B3474" s="5" t="s">
        <v>10012</v>
      </c>
      <c r="C3474" s="5" t="s">
        <v>10073</v>
      </c>
      <c r="D3474" s="5" t="s">
        <v>9169</v>
      </c>
      <c r="E3474" s="5" t="s">
        <v>52</v>
      </c>
      <c r="F3474" s="5" t="s">
        <v>9170</v>
      </c>
      <c r="G3474" s="5" t="s">
        <v>152</v>
      </c>
      <c r="H3474" s="5" t="s">
        <v>330</v>
      </c>
      <c r="I3474" s="5" t="s">
        <v>10074</v>
      </c>
      <c r="J3474" s="5" t="s">
        <v>10075</v>
      </c>
      <c r="K3474" s="7" t="str">
        <f ca="1">IFERROR(__xludf.DUMMYFUNCTION("GOOGLETRANSLATE(H3474,""EN"",""ES"")"),"MISCELÁNEAS")</f>
        <v>MISCELÁNEAS</v>
      </c>
      <c r="L3474" s="5" t="str">
        <f ca="1">IFERROR(__xludf.DUMMYFUNCTION("GOOGLETRANSLATE(J3474,""EN"",""ES"")"),"Bobinadoras")</f>
        <v>Bobinadoras</v>
      </c>
      <c r="M3474" s="8" t="s">
        <v>55</v>
      </c>
      <c r="N3474" s="8"/>
    </row>
    <row r="3475" spans="1:14" ht="11.25" customHeight="1">
      <c r="A3475" s="5" t="s">
        <v>9166</v>
      </c>
      <c r="B3475" s="5" t="s">
        <v>10012</v>
      </c>
      <c r="C3475" s="5" t="s">
        <v>10076</v>
      </c>
      <c r="D3475" s="5" t="s">
        <v>9169</v>
      </c>
      <c r="E3475" s="5" t="s">
        <v>52</v>
      </c>
      <c r="F3475" s="5" t="s">
        <v>9170</v>
      </c>
      <c r="G3475" s="5" t="s">
        <v>152</v>
      </c>
      <c r="H3475" s="5" t="s">
        <v>330</v>
      </c>
      <c r="I3475" s="5" t="s">
        <v>10077</v>
      </c>
      <c r="J3475" s="5" t="s">
        <v>10078</v>
      </c>
      <c r="K3475" s="7" t="str">
        <f ca="1">IFERROR(__xludf.DUMMYFUNCTION("GOOGLETRANSLATE(H3475,""EN"",""ES"")"),"MISCELÁNEAS")</f>
        <v>MISCELÁNEAS</v>
      </c>
      <c r="L3475" s="5" t="str">
        <f ca="1">IFERROR(__xludf.DUMMYFUNCTION("GOOGLETRANSLATE(J3475,""EN"",""ES"")"),"pistolas de nieve")</f>
        <v>pistolas de nieve</v>
      </c>
      <c r="M3475" s="8" t="s">
        <v>55</v>
      </c>
      <c r="N3475" s="8"/>
    </row>
    <row r="3476" spans="1:14" ht="11.25" customHeight="1">
      <c r="A3476" s="5" t="s">
        <v>9166</v>
      </c>
      <c r="B3476" s="5" t="s">
        <v>10012</v>
      </c>
      <c r="C3476" s="5" t="s">
        <v>10079</v>
      </c>
      <c r="D3476" s="5" t="s">
        <v>9169</v>
      </c>
      <c r="E3476" s="5" t="s">
        <v>52</v>
      </c>
      <c r="F3476" s="5" t="s">
        <v>9170</v>
      </c>
      <c r="G3476" s="5" t="s">
        <v>152</v>
      </c>
      <c r="H3476" s="5" t="s">
        <v>330</v>
      </c>
      <c r="I3476" s="5" t="s">
        <v>10080</v>
      </c>
      <c r="J3476" s="5" t="s">
        <v>10081</v>
      </c>
      <c r="K3476" s="7" t="str">
        <f ca="1">IFERROR(__xludf.DUMMYFUNCTION("GOOGLETRANSLATE(H3476,""EN"",""ES"")"),"MISCELÁNEAS")</f>
        <v>MISCELÁNEAS</v>
      </c>
      <c r="L3476" s="5" t="str">
        <f ca="1">IFERROR(__xludf.DUMMYFUNCTION("GOOGLETRANSLATE(J3476,""EN"",""ES"")"),"Aparato de cultivo interior.")</f>
        <v>Aparato de cultivo interior.</v>
      </c>
      <c r="M3476" s="8" t="s">
        <v>55</v>
      </c>
      <c r="N3476" s="8"/>
    </row>
    <row r="3477" spans="1:14" ht="11.25" customHeight="1">
      <c r="A3477" s="5" t="s">
        <v>9166</v>
      </c>
      <c r="B3477" s="5" t="s">
        <v>10012</v>
      </c>
      <c r="C3477" s="5" t="s">
        <v>10082</v>
      </c>
      <c r="D3477" s="5" t="s">
        <v>9169</v>
      </c>
      <c r="E3477" s="5" t="s">
        <v>52</v>
      </c>
      <c r="F3477" s="5" t="s">
        <v>9170</v>
      </c>
      <c r="G3477" s="5" t="s">
        <v>152</v>
      </c>
      <c r="H3477" s="5" t="s">
        <v>330</v>
      </c>
      <c r="I3477" s="5" t="s">
        <v>10083</v>
      </c>
      <c r="J3477" s="5" t="s">
        <v>10084</v>
      </c>
      <c r="K3477" s="7" t="str">
        <f ca="1">IFERROR(__xludf.DUMMYFUNCTION("GOOGLETRANSLATE(H3477,""EN"",""ES"")"),"MISCELÁNEAS")</f>
        <v>MISCELÁNEAS</v>
      </c>
      <c r="L3477" s="5" t="str">
        <f ca="1">IFERROR(__xludf.DUMMYFUNCTION("GOOGLETRANSLATE(J3477,""EN"",""ES"")"),"robots industriales")</f>
        <v>robots industriales</v>
      </c>
      <c r="M3477" s="8" t="s">
        <v>55</v>
      </c>
      <c r="N3477" s="8" t="s">
        <v>57</v>
      </c>
    </row>
    <row r="3478" spans="1:14" ht="11.25" customHeight="1">
      <c r="A3478" s="5" t="s">
        <v>9166</v>
      </c>
      <c r="B3478" s="5" t="s">
        <v>10012</v>
      </c>
      <c r="C3478" s="5" t="s">
        <v>10085</v>
      </c>
      <c r="D3478" s="5" t="s">
        <v>9169</v>
      </c>
      <c r="E3478" s="5" t="s">
        <v>52</v>
      </c>
      <c r="F3478" s="5" t="s">
        <v>9170</v>
      </c>
      <c r="G3478" s="5" t="s">
        <v>152</v>
      </c>
      <c r="H3478" s="5" t="s">
        <v>330</v>
      </c>
      <c r="I3478" s="5" t="s">
        <v>10086</v>
      </c>
      <c r="J3478" s="5" t="s">
        <v>10087</v>
      </c>
      <c r="K3478" s="7" t="str">
        <f ca="1">IFERROR(__xludf.DUMMYFUNCTION("GOOGLETRANSLATE(H3478,""EN"",""ES"")"),"MISCELÁNEAS")</f>
        <v>MISCELÁNEAS</v>
      </c>
      <c r="L3478" s="5" t="str">
        <f ca="1">IFERROR(__xludf.DUMMYFUNCTION("GOOGLETRANSLATE(J3478,""EN"",""ES"")"),"Robots para guiar a las personas.")</f>
        <v>Robots para guiar a las personas.</v>
      </c>
      <c r="M3478" s="8" t="s">
        <v>55</v>
      </c>
      <c r="N3478" s="8" t="s">
        <v>57</v>
      </c>
    </row>
    <row r="3479" spans="1:14" ht="11.25" customHeight="1">
      <c r="A3479" s="5" t="s">
        <v>9166</v>
      </c>
      <c r="B3479" s="5" t="s">
        <v>10012</v>
      </c>
      <c r="C3479" s="5" t="s">
        <v>10088</v>
      </c>
      <c r="D3479" s="5" t="s">
        <v>9169</v>
      </c>
      <c r="E3479" s="5" t="s">
        <v>52</v>
      </c>
      <c r="F3479" s="5" t="s">
        <v>9170</v>
      </c>
      <c r="G3479" s="5" t="s">
        <v>152</v>
      </c>
      <c r="H3479" s="5" t="s">
        <v>330</v>
      </c>
      <c r="I3479" s="5" t="s">
        <v>10089</v>
      </c>
      <c r="J3479" s="5" t="s">
        <v>10090</v>
      </c>
      <c r="K3479" s="7" t="str">
        <f ca="1">IFERROR(__xludf.DUMMYFUNCTION("GOOGLETRANSLATE(H3479,""EN"",""ES"")"),"MISCELÁNEAS")</f>
        <v>MISCELÁNEAS</v>
      </c>
      <c r="L3479" s="5" t="str">
        <f ca="1">IFERROR(__xludf.DUMMYFUNCTION("GOOGLETRANSLATE(J3479,""EN"",""ES"")"),"Máquinas de lacado")</f>
        <v>Máquinas de lacado</v>
      </c>
      <c r="M3479" s="8" t="s">
        <v>55</v>
      </c>
      <c r="N3479" s="8"/>
    </row>
    <row r="3480" spans="1:14" ht="11.25" customHeight="1">
      <c r="A3480" s="5" t="s">
        <v>9166</v>
      </c>
      <c r="B3480" s="5" t="s">
        <v>10012</v>
      </c>
      <c r="C3480" s="5" t="s">
        <v>10091</v>
      </c>
      <c r="D3480" s="5" t="s">
        <v>9169</v>
      </c>
      <c r="E3480" s="5" t="s">
        <v>52</v>
      </c>
      <c r="F3480" s="5" t="s">
        <v>9170</v>
      </c>
      <c r="G3480" s="5" t="s">
        <v>152</v>
      </c>
      <c r="H3480" s="5" t="s">
        <v>330</v>
      </c>
      <c r="I3480" s="5" t="s">
        <v>10092</v>
      </c>
      <c r="J3480" s="5" t="s">
        <v>10093</v>
      </c>
      <c r="K3480" s="7" t="str">
        <f ca="1">IFERROR(__xludf.DUMMYFUNCTION("GOOGLETRANSLATE(H3480,""EN"",""ES"")"),"MISCELÁNEAS")</f>
        <v>MISCELÁNEAS</v>
      </c>
      <c r="L3480" s="5" t="str">
        <f ca="1">IFERROR(__xludf.DUMMYFUNCTION("GOOGLETRANSLATE(J3480,""EN"",""ES"")"),"Amortiguadores de aceite para máquinas")</f>
        <v>Amortiguadores de aceite para máquinas</v>
      </c>
      <c r="M3480" s="8" t="s">
        <v>55</v>
      </c>
      <c r="N3480" s="8"/>
    </row>
    <row r="3481" spans="1:14" ht="11.25" customHeight="1">
      <c r="A3481" s="5" t="s">
        <v>9166</v>
      </c>
      <c r="B3481" s="5" t="s">
        <v>10012</v>
      </c>
      <c r="C3481" s="5" t="s">
        <v>10094</v>
      </c>
      <c r="D3481" s="5" t="s">
        <v>9169</v>
      </c>
      <c r="E3481" s="5" t="s">
        <v>52</v>
      </c>
      <c r="F3481" s="5" t="s">
        <v>9170</v>
      </c>
      <c r="G3481" s="5" t="s">
        <v>152</v>
      </c>
      <c r="H3481" s="5" t="s">
        <v>330</v>
      </c>
      <c r="I3481" s="5" t="s">
        <v>10095</v>
      </c>
      <c r="J3481" s="5" t="s">
        <v>10096</v>
      </c>
      <c r="K3481" s="7" t="str">
        <f ca="1">IFERROR(__xludf.DUMMYFUNCTION("GOOGLETRANSLATE(H3481,""EN"",""ES"")"),"MISCELÁNEAS")</f>
        <v>MISCELÁNEAS</v>
      </c>
      <c r="L3481" s="5" t="str">
        <f ca="1">IFERROR(__xludf.DUMMYFUNCTION("GOOGLETRANSLATE(J3481,""EN"",""ES"")"),"Cigüeñales para máquinas")</f>
        <v>Cigüeñales para máquinas</v>
      </c>
      <c r="M3481" s="8" t="s">
        <v>55</v>
      </c>
      <c r="N3481" s="8"/>
    </row>
    <row r="3482" spans="1:14" ht="11.25" customHeight="1">
      <c r="A3482" s="5" t="s">
        <v>9166</v>
      </c>
      <c r="B3482" s="5" t="s">
        <v>10012</v>
      </c>
      <c r="C3482" s="5" t="s">
        <v>10097</v>
      </c>
      <c r="D3482" s="5" t="s">
        <v>9169</v>
      </c>
      <c r="E3482" s="5" t="s">
        <v>52</v>
      </c>
      <c r="F3482" s="5" t="s">
        <v>9170</v>
      </c>
      <c r="G3482" s="5" t="s">
        <v>152</v>
      </c>
      <c r="H3482" s="5" t="s">
        <v>330</v>
      </c>
      <c r="I3482" s="5" t="s">
        <v>10098</v>
      </c>
      <c r="J3482" s="5" t="s">
        <v>10099</v>
      </c>
      <c r="K3482" s="7" t="str">
        <f ca="1">IFERROR(__xludf.DUMMYFUNCTION("GOOGLETRANSLATE(H3482,""EN"",""ES"")"),"MISCELÁNEAS")</f>
        <v>MISCELÁNEAS</v>
      </c>
      <c r="L3482" s="5" t="str">
        <f ca="1">IFERROR(__xludf.DUMMYFUNCTION("GOOGLETRANSLATE(J3482,""EN"",""ES"")"),"Actuadores lineales [máquinas]")</f>
        <v>Actuadores lineales [máquinas]</v>
      </c>
      <c r="M3482" s="8" t="s">
        <v>55</v>
      </c>
      <c r="N3482" s="8"/>
    </row>
    <row r="3483" spans="1:14" ht="11.25" customHeight="1">
      <c r="A3483" s="5" t="s">
        <v>9166</v>
      </c>
      <c r="B3483" s="5" t="s">
        <v>10012</v>
      </c>
      <c r="C3483" s="5" t="s">
        <v>10100</v>
      </c>
      <c r="D3483" s="5" t="s">
        <v>9169</v>
      </c>
      <c r="E3483" s="5" t="s">
        <v>52</v>
      </c>
      <c r="F3483" s="5" t="s">
        <v>9170</v>
      </c>
      <c r="G3483" s="5" t="s">
        <v>152</v>
      </c>
      <c r="H3483" s="5" t="s">
        <v>330</v>
      </c>
      <c r="I3483" s="5" t="s">
        <v>10101</v>
      </c>
      <c r="J3483" s="5" t="s">
        <v>10102</v>
      </c>
      <c r="K3483" s="7" t="str">
        <f ca="1">IFERROR(__xludf.DUMMYFUNCTION("GOOGLETRANSLATE(H3483,""EN"",""ES"")"),"MISCELÁNEAS")</f>
        <v>MISCELÁNEAS</v>
      </c>
      <c r="L3483" s="5" t="str">
        <f ca="1">IFERROR(__xludf.DUMMYFUNCTION("GOOGLETRANSLATE(J3483,""EN"",""ES"")"),"Máquinas de humo")</f>
        <v>Máquinas de humo</v>
      </c>
      <c r="M3483" s="8" t="s">
        <v>55</v>
      </c>
      <c r="N3483" s="8"/>
    </row>
    <row r="3484" spans="1:14" ht="11.25" customHeight="1">
      <c r="A3484" s="5" t="s">
        <v>9166</v>
      </c>
      <c r="B3484" s="5" t="s">
        <v>10012</v>
      </c>
      <c r="C3484" s="5" t="s">
        <v>10103</v>
      </c>
      <c r="D3484" s="5" t="s">
        <v>9169</v>
      </c>
      <c r="E3484" s="5" t="s">
        <v>52</v>
      </c>
      <c r="F3484" s="5" t="s">
        <v>9170</v>
      </c>
      <c r="G3484" s="5" t="s">
        <v>152</v>
      </c>
      <c r="H3484" s="5" t="s">
        <v>330</v>
      </c>
      <c r="I3484" s="5" t="s">
        <v>10104</v>
      </c>
      <c r="J3484" s="5" t="s">
        <v>10105</v>
      </c>
      <c r="K3484" s="7" t="str">
        <f ca="1">IFERROR(__xludf.DUMMYFUNCTION("GOOGLETRANSLATE(H3484,""EN"",""ES"")"),"MISCELÁNEAS")</f>
        <v>MISCELÁNEAS</v>
      </c>
      <c r="L3484" s="5" t="str">
        <f ca="1">IFERROR(__xludf.DUMMYFUNCTION("GOOGLETRANSLATE(J3484,""EN"",""ES"")"),"Robots [distintos de los que tienen una función específica]")</f>
        <v>Robots [distintos de los que tienen una función específica]</v>
      </c>
      <c r="M3484" s="8" t="s">
        <v>55</v>
      </c>
      <c r="N3484" s="8" t="s">
        <v>57</v>
      </c>
    </row>
    <row r="3485" spans="1:14" ht="11.25" customHeight="1">
      <c r="A3485" s="5" t="s">
        <v>10106</v>
      </c>
      <c r="B3485" s="5" t="s">
        <v>10107</v>
      </c>
      <c r="C3485" s="5" t="s">
        <v>10108</v>
      </c>
      <c r="D3485" s="5" t="s">
        <v>10109</v>
      </c>
      <c r="E3485" s="5" t="s">
        <v>59</v>
      </c>
      <c r="F3485" s="5" t="s">
        <v>10110</v>
      </c>
      <c r="G3485" s="5" t="s">
        <v>10111</v>
      </c>
      <c r="H3485" s="5" t="s">
        <v>10112</v>
      </c>
      <c r="I3485" s="5" t="s">
        <v>10113</v>
      </c>
      <c r="J3485" s="5" t="s">
        <v>10114</v>
      </c>
      <c r="K3485" s="7" t="str">
        <f ca="1">IFERROR(__xludf.DUMMYFUNCTION("GOOGLETRANSLATE(H3485,""EN"",""ES"")"),"CÁMARAS FOTOGRÁFICAS Y CÁMARAS DE PELÍCULA")</f>
        <v>CÁMARAS FOTOGRÁFICAS Y CÁMARAS DE PELÍCULA</v>
      </c>
      <c r="L3485" s="5" t="str">
        <f ca="1">IFERROR(__xludf.DUMMYFUNCTION("GOOGLETRANSLATE(J3485,""EN"",""ES"")"),"Cámaras cinematográficas")</f>
        <v>Cámaras cinematográficas</v>
      </c>
      <c r="M3485" s="8" t="s">
        <v>58</v>
      </c>
      <c r="N3485" s="8"/>
    </row>
    <row r="3486" spans="1:14" ht="11.25" customHeight="1">
      <c r="A3486" s="5" t="s">
        <v>10106</v>
      </c>
      <c r="B3486" s="5" t="s">
        <v>10107</v>
      </c>
      <c r="C3486" s="5" t="s">
        <v>10115</v>
      </c>
      <c r="D3486" s="5" t="s">
        <v>10109</v>
      </c>
      <c r="E3486" s="5" t="s">
        <v>59</v>
      </c>
      <c r="F3486" s="5" t="s">
        <v>10110</v>
      </c>
      <c r="G3486" s="5" t="s">
        <v>10111</v>
      </c>
      <c r="H3486" s="5" t="s">
        <v>10112</v>
      </c>
      <c r="I3486" s="5" t="s">
        <v>10116</v>
      </c>
      <c r="J3486" s="5" t="s">
        <v>10117</v>
      </c>
      <c r="K3486" s="7" t="str">
        <f ca="1">IFERROR(__xludf.DUMMYFUNCTION("GOOGLETRANSLATE(H3486,""EN"",""ES"")"),"CÁMARAS FOTOGRÁFICAS Y CÁMARAS DE PELÍCULA")</f>
        <v>CÁMARAS FOTOGRÁFICAS Y CÁMARAS DE PELÍCULA</v>
      </c>
      <c r="L3486" s="5" t="str">
        <f ca="1">IFERROR(__xludf.DUMMYFUNCTION("GOOGLETRANSLATE(J3486,""EN"",""ES"")"),"Diafragmas [fotografía]")</f>
        <v>Diafragmas [fotografía]</v>
      </c>
      <c r="M3486" s="8" t="s">
        <v>58</v>
      </c>
      <c r="N3486" s="8"/>
    </row>
    <row r="3487" spans="1:14" ht="11.25" customHeight="1">
      <c r="A3487" s="5" t="s">
        <v>10106</v>
      </c>
      <c r="B3487" s="5" t="s">
        <v>10107</v>
      </c>
      <c r="C3487" s="5" t="s">
        <v>10118</v>
      </c>
      <c r="D3487" s="5" t="s">
        <v>10109</v>
      </c>
      <c r="E3487" s="5" t="s">
        <v>59</v>
      </c>
      <c r="F3487" s="5" t="s">
        <v>10110</v>
      </c>
      <c r="G3487" s="5" t="s">
        <v>10111</v>
      </c>
      <c r="H3487" s="5" t="s">
        <v>10112</v>
      </c>
      <c r="I3487" s="5" t="s">
        <v>10119</v>
      </c>
      <c r="J3487" s="5" t="s">
        <v>10120</v>
      </c>
      <c r="K3487" s="7" t="str">
        <f ca="1">IFERROR(__xludf.DUMMYFUNCTION("GOOGLETRANSLATE(H3487,""EN"",""ES"")"),"CÁMARAS FOTOGRÁFICAS Y CÁMARAS DE PELÍCULA")</f>
        <v>CÁMARAS FOTOGRÁFICAS Y CÁMARAS DE PELÍCULA</v>
      </c>
      <c r="L3487" s="5" t="str">
        <f ca="1">IFERROR(__xludf.DUMMYFUNCTION("GOOGLETRANSLATE(J3487,""EN"",""ES"")"),"Aparato de filmación")</f>
        <v>Aparato de filmación</v>
      </c>
      <c r="M3487" s="8" t="s">
        <v>58</v>
      </c>
      <c r="N3487" s="8"/>
    </row>
    <row r="3488" spans="1:14" ht="11.25" customHeight="1">
      <c r="A3488" s="5" t="s">
        <v>10106</v>
      </c>
      <c r="B3488" s="5" t="s">
        <v>10107</v>
      </c>
      <c r="C3488" s="5" t="s">
        <v>10121</v>
      </c>
      <c r="D3488" s="5" t="s">
        <v>10109</v>
      </c>
      <c r="E3488" s="5" t="s">
        <v>59</v>
      </c>
      <c r="F3488" s="5" t="s">
        <v>10110</v>
      </c>
      <c r="G3488" s="5" t="s">
        <v>10111</v>
      </c>
      <c r="H3488" s="5" t="s">
        <v>10112</v>
      </c>
      <c r="I3488" s="5" t="s">
        <v>10122</v>
      </c>
      <c r="J3488" s="5" t="s">
        <v>10123</v>
      </c>
      <c r="K3488" s="7" t="str">
        <f ca="1">IFERROR(__xludf.DUMMYFUNCTION("GOOGLETRANSLATE(H3488,""EN"",""ES"")"),"CÁMARAS FOTOGRÁFICAS Y CÁMARAS DE PELÍCULA")</f>
        <v>CÁMARAS FOTOGRÁFICAS Y CÁMARAS DE PELÍCULA</v>
      </c>
      <c r="L3488" s="5" t="str">
        <f ca="1">IFERROR(__xludf.DUMMYFUNCTION("GOOGLETRANSLATE(J3488,""EN"",""ES"")"),"Cámaras fotográficas")</f>
        <v>Cámaras fotográficas</v>
      </c>
      <c r="M3488" s="8" t="s">
        <v>58</v>
      </c>
      <c r="N3488" s="8"/>
    </row>
    <row r="3489" spans="1:14" ht="11.25" customHeight="1">
      <c r="A3489" s="5" t="s">
        <v>10106</v>
      </c>
      <c r="B3489" s="5" t="s">
        <v>10107</v>
      </c>
      <c r="C3489" s="5" t="s">
        <v>10124</v>
      </c>
      <c r="D3489" s="5" t="s">
        <v>10109</v>
      </c>
      <c r="E3489" s="5" t="s">
        <v>59</v>
      </c>
      <c r="F3489" s="5" t="s">
        <v>10110</v>
      </c>
      <c r="G3489" s="5" t="s">
        <v>10111</v>
      </c>
      <c r="H3489" s="5" t="s">
        <v>10112</v>
      </c>
      <c r="I3489" s="5" t="s">
        <v>10125</v>
      </c>
      <c r="J3489" s="5" t="s">
        <v>10126</v>
      </c>
      <c r="K3489" s="7" t="str">
        <f ca="1">IFERROR(__xludf.DUMMYFUNCTION("GOOGLETRANSLATE(H3489,""EN"",""ES"")"),"CÁMARAS FOTOGRÁFICAS Y CÁMARAS DE PELÍCULA")</f>
        <v>CÁMARAS FOTOGRÁFICAS Y CÁMARAS DE PELÍCULA</v>
      </c>
      <c r="L3489" s="5" t="str">
        <f ca="1">IFERROR(__xludf.DUMMYFUNCTION("GOOGLETRANSLATE(J3489,""EN"",""ES"")"),"Camaras de television")</f>
        <v>Camaras de television</v>
      </c>
      <c r="M3489" s="8" t="s">
        <v>58</v>
      </c>
      <c r="N3489" s="8"/>
    </row>
    <row r="3490" spans="1:14" ht="11.25" customHeight="1">
      <c r="A3490" s="5" t="s">
        <v>10106</v>
      </c>
      <c r="B3490" s="5" t="s">
        <v>10107</v>
      </c>
      <c r="C3490" s="5" t="s">
        <v>10127</v>
      </c>
      <c r="D3490" s="5" t="s">
        <v>10109</v>
      </c>
      <c r="E3490" s="5" t="s">
        <v>59</v>
      </c>
      <c r="F3490" s="5" t="s">
        <v>10110</v>
      </c>
      <c r="G3490" s="5" t="s">
        <v>10111</v>
      </c>
      <c r="H3490" s="5" t="s">
        <v>10112</v>
      </c>
      <c r="I3490" s="5" t="s">
        <v>10128</v>
      </c>
      <c r="J3490" s="5" t="s">
        <v>10129</v>
      </c>
      <c r="K3490" s="7" t="str">
        <f ca="1">IFERROR(__xludf.DUMMYFUNCTION("GOOGLETRANSLATE(H3490,""EN"",""ES"")"),"CÁMARAS FOTOGRÁFICAS Y CÁMARAS DE PELÍCULA")</f>
        <v>CÁMARAS FOTOGRÁFICAS Y CÁMARAS DE PELÍCULA</v>
      </c>
      <c r="L3490" s="5" t="str">
        <f ca="1">IFERROR(__xludf.DUMMYFUNCTION("GOOGLETRANSLATE(J3490,""EN"",""ES"")"),"Contraventanas [fotografía]")</f>
        <v>Contraventanas [fotografía]</v>
      </c>
      <c r="M3490" s="8" t="s">
        <v>58</v>
      </c>
      <c r="N3490" s="8"/>
    </row>
    <row r="3491" spans="1:14" ht="11.25" customHeight="1">
      <c r="A3491" s="5" t="s">
        <v>10106</v>
      </c>
      <c r="B3491" s="5" t="s">
        <v>10107</v>
      </c>
      <c r="C3491" s="5" t="s">
        <v>10130</v>
      </c>
      <c r="D3491" s="5" t="s">
        <v>10109</v>
      </c>
      <c r="E3491" s="5" t="s">
        <v>59</v>
      </c>
      <c r="F3491" s="5" t="s">
        <v>10110</v>
      </c>
      <c r="G3491" s="5" t="s">
        <v>10111</v>
      </c>
      <c r="H3491" s="5" t="s">
        <v>10112</v>
      </c>
      <c r="I3491" s="5" t="s">
        <v>10131</v>
      </c>
      <c r="J3491" s="5" t="s">
        <v>10132</v>
      </c>
      <c r="K3491" s="7" t="str">
        <f ca="1">IFERROR(__xludf.DUMMYFUNCTION("GOOGLETRANSLATE(H3491,""EN"",""ES"")"),"CÁMARAS FOTOGRÁFICAS Y CÁMARAS DE PELÍCULA")</f>
        <v>CÁMARAS FOTOGRÁFICAS Y CÁMARAS DE PELÍCULA</v>
      </c>
      <c r="L3491" s="5" t="str">
        <f ca="1">IFERROR(__xludf.DUMMYFUNCTION("GOOGLETRANSLATE(J3491,""EN"",""ES"")"),"Videocámaras")</f>
        <v>Videocámaras</v>
      </c>
      <c r="M3491" s="8" t="s">
        <v>58</v>
      </c>
      <c r="N3491" s="8"/>
    </row>
    <row r="3492" spans="1:14" ht="11.25" customHeight="1">
      <c r="A3492" s="5" t="s">
        <v>10106</v>
      </c>
      <c r="B3492" s="5" t="s">
        <v>10107</v>
      </c>
      <c r="C3492" s="5" t="s">
        <v>10133</v>
      </c>
      <c r="D3492" s="5" t="s">
        <v>10109</v>
      </c>
      <c r="E3492" s="5" t="s">
        <v>59</v>
      </c>
      <c r="F3492" s="5" t="s">
        <v>10110</v>
      </c>
      <c r="G3492" s="5" t="s">
        <v>10111</v>
      </c>
      <c r="H3492" s="5" t="s">
        <v>10112</v>
      </c>
      <c r="I3492" s="5" t="s">
        <v>10134</v>
      </c>
      <c r="J3492" s="5" t="s">
        <v>10135</v>
      </c>
      <c r="K3492" s="7" t="str">
        <f ca="1">IFERROR(__xludf.DUMMYFUNCTION("GOOGLETRANSLATE(H3492,""EN"",""ES"")"),"CÁMARAS FOTOGRÁFICAS Y CÁMARAS DE PELÍCULA")</f>
        <v>CÁMARAS FOTOGRÁFICAS Y CÁMARAS DE PELÍCULA</v>
      </c>
      <c r="L3492" s="5" t="str">
        <f ca="1">IFERROR(__xludf.DUMMYFUNCTION("GOOGLETRANSLATE(J3492,""EN"",""ES"")"),"Camaras de vigilancia")</f>
        <v>Camaras de vigilancia</v>
      </c>
      <c r="M3492" s="8" t="s">
        <v>58</v>
      </c>
      <c r="N3492" s="8" t="s">
        <v>60</v>
      </c>
    </row>
    <row r="3493" spans="1:14" ht="11.25" customHeight="1">
      <c r="A3493" s="5" t="s">
        <v>10106</v>
      </c>
      <c r="B3493" s="5" t="s">
        <v>10107</v>
      </c>
      <c r="C3493" s="5" t="s">
        <v>10136</v>
      </c>
      <c r="D3493" s="5" t="s">
        <v>10109</v>
      </c>
      <c r="E3493" s="5" t="s">
        <v>59</v>
      </c>
      <c r="F3493" s="5" t="s">
        <v>10110</v>
      </c>
      <c r="G3493" s="5" t="s">
        <v>10111</v>
      </c>
      <c r="H3493" s="5" t="s">
        <v>10112</v>
      </c>
      <c r="I3493" s="5" t="s">
        <v>10137</v>
      </c>
      <c r="J3493" s="5" t="s">
        <v>10138</v>
      </c>
      <c r="K3493" s="7" t="str">
        <f ca="1">IFERROR(__xludf.DUMMYFUNCTION("GOOGLETRANSLATE(H3493,""EN"",""ES"")"),"CÁMARAS FOTOGRÁFICAS Y CÁMARAS DE PELÍCULA")</f>
        <v>CÁMARAS FOTOGRÁFICAS Y CÁMARAS DE PELÍCULA</v>
      </c>
      <c r="L3493" s="5" t="str">
        <f ca="1">IFERROR(__xludf.DUMMYFUNCTION("GOOGLETRANSLATE(J3493,""EN"",""ES"")"),"Cámaras web")</f>
        <v>Cámaras web</v>
      </c>
      <c r="M3493" s="8" t="s">
        <v>58</v>
      </c>
      <c r="N3493" s="8"/>
    </row>
    <row r="3494" spans="1:14" ht="11.25" customHeight="1">
      <c r="A3494" s="5" t="s">
        <v>10106</v>
      </c>
      <c r="B3494" s="5" t="s">
        <v>10107</v>
      </c>
      <c r="C3494" s="5" t="s">
        <v>10136</v>
      </c>
      <c r="D3494" s="5" t="s">
        <v>10109</v>
      </c>
      <c r="E3494" s="5" t="s">
        <v>59</v>
      </c>
      <c r="F3494" s="5" t="s">
        <v>10110</v>
      </c>
      <c r="G3494" s="5" t="s">
        <v>10111</v>
      </c>
      <c r="H3494" s="5" t="s">
        <v>10112</v>
      </c>
      <c r="I3494" s="5" t="s">
        <v>152</v>
      </c>
      <c r="J3494" s="5" t="s">
        <v>10139</v>
      </c>
      <c r="K3494" s="7" t="str">
        <f ca="1">IFERROR(__xludf.DUMMYFUNCTION("GOOGLETRANSLATE(H3494,""EN"",""ES"")"),"CÁMARAS FOTOGRÁFICAS Y CÁMARAS DE PELÍCULA")</f>
        <v>CÁMARAS FOTOGRÁFICAS Y CÁMARAS DE PELÍCULA</v>
      </c>
      <c r="L3494" s="5" t="str">
        <f ca="1">IFERROR(__xludf.DUMMYFUNCTION("GOOGLETRANSLATE(J3494,""EN"",""ES"")"),"N / A")</f>
        <v>N / A</v>
      </c>
      <c r="M3494" s="8" t="s">
        <v>58</v>
      </c>
      <c r="N3494" s="8"/>
    </row>
    <row r="3495" spans="1:14" ht="11.25" customHeight="1">
      <c r="A3495" s="5" t="s">
        <v>10106</v>
      </c>
      <c r="B3495" s="5" t="s">
        <v>10107</v>
      </c>
      <c r="C3495" s="5" t="s">
        <v>10140</v>
      </c>
      <c r="D3495" s="5" t="s">
        <v>10109</v>
      </c>
      <c r="E3495" s="5" t="s">
        <v>59</v>
      </c>
      <c r="F3495" s="5" t="s">
        <v>10110</v>
      </c>
      <c r="G3495" s="5" t="s">
        <v>10111</v>
      </c>
      <c r="H3495" s="5" t="s">
        <v>10112</v>
      </c>
      <c r="I3495" s="5" t="s">
        <v>10141</v>
      </c>
      <c r="J3495" s="5" t="s">
        <v>10142</v>
      </c>
      <c r="K3495" s="7" t="str">
        <f ca="1">IFERROR(__xludf.DUMMYFUNCTION("GOOGLETRANSLATE(H3495,""EN"",""ES"")"),"CÁMARAS FOTOGRÁFICAS Y CÁMARAS DE PELÍCULA")</f>
        <v>CÁMARAS FOTOGRÁFICAS Y CÁMARAS DE PELÍCULA</v>
      </c>
      <c r="L3495" s="5" t="str">
        <f ca="1">IFERROR(__xludf.DUMMYFUNCTION("GOOGLETRANSLATE(J3495,""EN"",""ES"")"),"Cámaras de tablero")</f>
        <v>Cámaras de tablero</v>
      </c>
      <c r="M3495" s="8" t="s">
        <v>58</v>
      </c>
      <c r="N3495" s="8"/>
    </row>
    <row r="3496" spans="1:14" ht="11.25" customHeight="1">
      <c r="A3496" s="5" t="s">
        <v>10106</v>
      </c>
      <c r="B3496" s="5" t="s">
        <v>10107</v>
      </c>
      <c r="C3496" s="5" t="s">
        <v>10143</v>
      </c>
      <c r="D3496" s="5" t="s">
        <v>10109</v>
      </c>
      <c r="E3496" s="5" t="s">
        <v>59</v>
      </c>
      <c r="F3496" s="5" t="s">
        <v>10110</v>
      </c>
      <c r="G3496" s="5" t="s">
        <v>10111</v>
      </c>
      <c r="H3496" s="5" t="s">
        <v>10112</v>
      </c>
      <c r="I3496" s="5" t="s">
        <v>10144</v>
      </c>
      <c r="J3496" s="5" t="s">
        <v>10145</v>
      </c>
      <c r="K3496" s="7" t="str">
        <f ca="1">IFERROR(__xludf.DUMMYFUNCTION("GOOGLETRANSLATE(H3496,""EN"",""ES"")"),"CÁMARAS FOTOGRÁFICAS Y CÁMARAS DE PELÍCULA")</f>
        <v>CÁMARAS FOTOGRÁFICAS Y CÁMARAS DE PELÍCULA</v>
      </c>
      <c r="L3496" s="5" t="str">
        <f ca="1">IFERROR(__xludf.DUMMYFUNCTION("GOOGLETRANSLATE(J3496,""EN"",""ES"")"),"Cámaras termográficas")</f>
        <v>Cámaras termográficas</v>
      </c>
      <c r="M3496" s="8" t="s">
        <v>58</v>
      </c>
      <c r="N3496" s="8"/>
    </row>
    <row r="3497" spans="1:14" ht="11.25" customHeight="1">
      <c r="A3497" s="5" t="s">
        <v>10106</v>
      </c>
      <c r="B3497" s="5" t="s">
        <v>10107</v>
      </c>
      <c r="C3497" s="5" t="s">
        <v>10146</v>
      </c>
      <c r="D3497" s="5" t="s">
        <v>10109</v>
      </c>
      <c r="E3497" s="5" t="s">
        <v>59</v>
      </c>
      <c r="F3497" s="5" t="s">
        <v>10110</v>
      </c>
      <c r="G3497" s="5" t="s">
        <v>10111</v>
      </c>
      <c r="H3497" s="5" t="s">
        <v>10112</v>
      </c>
      <c r="I3497" s="5" t="s">
        <v>10147</v>
      </c>
      <c r="J3497" s="5" t="s">
        <v>10148</v>
      </c>
      <c r="K3497" s="7" t="str">
        <f ca="1">IFERROR(__xludf.DUMMYFUNCTION("GOOGLETRANSLATE(H3497,""EN"",""ES"")"),"CÁMARAS FOTOGRÁFICAS Y CÁMARAS DE PELÍCULA")</f>
        <v>CÁMARAS FOTOGRÁFICAS Y CÁMARAS DE PELÍCULA</v>
      </c>
      <c r="L3497" s="5" t="str">
        <f ca="1">IFERROR(__xludf.DUMMYFUNCTION("GOOGLETRANSLATE(J3497,""EN"",""ES"")"),"Fotomatones")</f>
        <v>Fotomatones</v>
      </c>
      <c r="M3497" s="8" t="s">
        <v>58</v>
      </c>
      <c r="N3497" s="8"/>
    </row>
    <row r="3498" spans="1:14" ht="11.25" customHeight="1">
      <c r="A3498" s="5" t="s">
        <v>10106</v>
      </c>
      <c r="B3498" s="5" t="s">
        <v>10149</v>
      </c>
      <c r="C3498" s="5" t="s">
        <v>10150</v>
      </c>
      <c r="D3498" s="5" t="s">
        <v>10109</v>
      </c>
      <c r="E3498" s="5" t="s">
        <v>59</v>
      </c>
      <c r="F3498" s="5" t="s">
        <v>10110</v>
      </c>
      <c r="G3498" s="5" t="s">
        <v>10111</v>
      </c>
      <c r="H3498" s="5" t="s">
        <v>10151</v>
      </c>
      <c r="I3498" s="5" t="s">
        <v>10152</v>
      </c>
      <c r="J3498" s="5" t="s">
        <v>10153</v>
      </c>
      <c r="K3498" s="7" t="str">
        <f ca="1">IFERROR(__xludf.DUMMYFUNCTION("GOOGLETRANSLATE(H3498,""EN"",""ES"")"),"PROYECTORES Y VISORES")</f>
        <v>PROYECTORES Y VISORES</v>
      </c>
      <c r="L3498" s="5" t="str">
        <f ca="1">IFERROR(__xludf.DUMMYFUNCTION("GOOGLETRANSLATE(J3498,""EN"",""ES"")"),"Proyectores de diapositivas")</f>
        <v>Proyectores de diapositivas</v>
      </c>
      <c r="M3498" s="8" t="s">
        <v>58</v>
      </c>
      <c r="N3498" s="8"/>
    </row>
    <row r="3499" spans="1:14" ht="11.25" customHeight="1">
      <c r="A3499" s="5" t="s">
        <v>10106</v>
      </c>
      <c r="B3499" s="5" t="s">
        <v>10149</v>
      </c>
      <c r="C3499" s="5" t="s">
        <v>10150</v>
      </c>
      <c r="D3499" s="5" t="s">
        <v>10109</v>
      </c>
      <c r="E3499" s="5" t="s">
        <v>59</v>
      </c>
      <c r="F3499" s="5" t="s">
        <v>10110</v>
      </c>
      <c r="G3499" s="5" t="s">
        <v>10111</v>
      </c>
      <c r="H3499" s="5" t="s">
        <v>10151</v>
      </c>
      <c r="I3499" s="5" t="s">
        <v>10154</v>
      </c>
      <c r="J3499" s="5" t="s">
        <v>152</v>
      </c>
      <c r="K3499" s="7" t="str">
        <f ca="1">IFERROR(__xludf.DUMMYFUNCTION("GOOGLETRANSLATE(H3499,""EN"",""ES"")"),"PROYECTORES Y VISORES")</f>
        <v>PROYECTORES Y VISORES</v>
      </c>
      <c r="L3499" s="5" t="str">
        <f ca="1">IFERROR(__xludf.DUMMYFUNCTION("GOOGLETRANSLATE(J3499,""EN"",""ES"")"),"Aparato de proyección diapositiva")</f>
        <v>Aparato de proyección diapositiva</v>
      </c>
      <c r="M3499" s="8" t="s">
        <v>58</v>
      </c>
      <c r="N3499" s="8"/>
    </row>
    <row r="3500" spans="1:14" ht="11.25" customHeight="1">
      <c r="A3500" s="5" t="s">
        <v>10106</v>
      </c>
      <c r="B3500" s="5" t="s">
        <v>10149</v>
      </c>
      <c r="C3500" s="5" t="s">
        <v>10155</v>
      </c>
      <c r="D3500" s="5" t="s">
        <v>10109</v>
      </c>
      <c r="E3500" s="5" t="s">
        <v>59</v>
      </c>
      <c r="F3500" s="5" t="s">
        <v>10110</v>
      </c>
      <c r="G3500" s="5" t="s">
        <v>10111</v>
      </c>
      <c r="H3500" s="5" t="s">
        <v>10151</v>
      </c>
      <c r="I3500" s="5" t="s">
        <v>10156</v>
      </c>
      <c r="J3500" s="5" t="s">
        <v>10157</v>
      </c>
      <c r="K3500" s="7" t="str">
        <f ca="1">IFERROR(__xludf.DUMMYFUNCTION("GOOGLETRANSLATE(H3500,""EN"",""ES"")"),"PROYECTORES Y VISORES")</f>
        <v>PROYECTORES Y VISORES</v>
      </c>
      <c r="L3500" s="5" t="str">
        <f ca="1">IFERROR(__xludf.DUMMYFUNCTION("GOOGLETRANSLATE(J3500,""EN"",""ES"")"),"Proyectores de cine")</f>
        <v>Proyectores de cine</v>
      </c>
      <c r="M3500" s="8" t="s">
        <v>58</v>
      </c>
      <c r="N3500" s="8"/>
    </row>
    <row r="3501" spans="1:14" ht="11.25" customHeight="1">
      <c r="A3501" s="5" t="s">
        <v>10106</v>
      </c>
      <c r="B3501" s="5" t="s">
        <v>10149</v>
      </c>
      <c r="C3501" s="5" t="s">
        <v>10158</v>
      </c>
      <c r="D3501" s="5" t="s">
        <v>10109</v>
      </c>
      <c r="E3501" s="5" t="s">
        <v>59</v>
      </c>
      <c r="F3501" s="5" t="s">
        <v>10110</v>
      </c>
      <c r="G3501" s="5" t="s">
        <v>10111</v>
      </c>
      <c r="H3501" s="5" t="s">
        <v>10151</v>
      </c>
      <c r="I3501" s="5" t="s">
        <v>10159</v>
      </c>
      <c r="J3501" s="5" t="s">
        <v>10160</v>
      </c>
      <c r="K3501" s="7" t="str">
        <f ca="1">IFERROR(__xludf.DUMMYFUNCTION("GOOGLETRANSLATE(H3501,""EN"",""ES"")"),"PROYECTORES Y VISORES")</f>
        <v>PROYECTORES Y VISORES</v>
      </c>
      <c r="L3501" s="5" t="str">
        <f ca="1">IFERROR(__xludf.DUMMYFUNCTION("GOOGLETRANSLATE(J3501,""EN"",""ES"")"),"Espectadores de películas")</f>
        <v>Espectadores de películas</v>
      </c>
      <c r="M3501" s="8" t="s">
        <v>58</v>
      </c>
      <c r="N3501" s="8"/>
    </row>
    <row r="3502" spans="1:14" ht="11.25" customHeight="1">
      <c r="A3502" s="5" t="s">
        <v>10106</v>
      </c>
      <c r="B3502" s="5" t="s">
        <v>10149</v>
      </c>
      <c r="C3502" s="5" t="s">
        <v>10161</v>
      </c>
      <c r="D3502" s="5" t="s">
        <v>10109</v>
      </c>
      <c r="E3502" s="5" t="s">
        <v>59</v>
      </c>
      <c r="F3502" s="5" t="s">
        <v>10110</v>
      </c>
      <c r="G3502" s="5" t="s">
        <v>10111</v>
      </c>
      <c r="H3502" s="5" t="s">
        <v>10151</v>
      </c>
      <c r="I3502" s="5" t="s">
        <v>10162</v>
      </c>
      <c r="J3502" s="5" t="s">
        <v>10163</v>
      </c>
      <c r="K3502" s="7" t="str">
        <f ca="1">IFERROR(__xludf.DUMMYFUNCTION("GOOGLETRANSLATE(H3502,""EN"",""ES"")"),"PROYECTORES Y VISORES")</f>
        <v>PROYECTORES Y VISORES</v>
      </c>
      <c r="L3502" s="5" t="str">
        <f ca="1">IFERROR(__xludf.DUMMYFUNCTION("GOOGLETRANSLATE(J3502,""EN"",""ES"")"),"Visores de diapositivas")</f>
        <v>Visores de diapositivas</v>
      </c>
      <c r="M3502" s="8" t="s">
        <v>58</v>
      </c>
      <c r="N3502" s="8"/>
    </row>
    <row r="3503" spans="1:14" ht="11.25" customHeight="1">
      <c r="A3503" s="5" t="s">
        <v>10106</v>
      </c>
      <c r="B3503" s="5" t="s">
        <v>10149</v>
      </c>
      <c r="C3503" s="5" t="s">
        <v>10164</v>
      </c>
      <c r="D3503" s="5" t="s">
        <v>10109</v>
      </c>
      <c r="E3503" s="5" t="s">
        <v>59</v>
      </c>
      <c r="F3503" s="5" t="s">
        <v>10110</v>
      </c>
      <c r="G3503" s="5" t="s">
        <v>10111</v>
      </c>
      <c r="H3503" s="5" t="s">
        <v>10151</v>
      </c>
      <c r="I3503" s="5" t="s">
        <v>10165</v>
      </c>
      <c r="J3503" s="5" t="s">
        <v>10166</v>
      </c>
      <c r="K3503" s="7" t="str">
        <f ca="1">IFERROR(__xludf.DUMMYFUNCTION("GOOGLETRANSLATE(H3503,""EN"",""ES"")"),"PROYECTORES Y VISORES")</f>
        <v>PROYECTORES Y VISORES</v>
      </c>
      <c r="L3503" s="5" t="str">
        <f ca="1">IFERROR(__xludf.DUMMYFUNCTION("GOOGLETRANSLATE(J3503,""EN"",""ES"")"),"Retroproyectores")</f>
        <v>Retroproyectores</v>
      </c>
      <c r="M3503" s="8" t="s">
        <v>58</v>
      </c>
      <c r="N3503" s="8"/>
    </row>
    <row r="3504" spans="1:14" ht="11.25" customHeight="1">
      <c r="A3504" s="5" t="s">
        <v>10106</v>
      </c>
      <c r="B3504" s="5" t="s">
        <v>10149</v>
      </c>
      <c r="C3504" s="5" t="s">
        <v>10167</v>
      </c>
      <c r="D3504" s="5" t="s">
        <v>10109</v>
      </c>
      <c r="E3504" s="5" t="s">
        <v>59</v>
      </c>
      <c r="F3504" s="5" t="s">
        <v>10110</v>
      </c>
      <c r="G3504" s="5" t="s">
        <v>10111</v>
      </c>
      <c r="H3504" s="5" t="s">
        <v>10151</v>
      </c>
      <c r="I3504" s="5" t="s">
        <v>10168</v>
      </c>
      <c r="J3504" s="5" t="s">
        <v>10169</v>
      </c>
      <c r="K3504" s="7" t="str">
        <f ca="1">IFERROR(__xludf.DUMMYFUNCTION("GOOGLETRANSLATE(H3504,""EN"",""ES"")"),"PROYECTORES Y VISORES")</f>
        <v>PROYECTORES Y VISORES</v>
      </c>
      <c r="L3504" s="5" t="str">
        <f ca="1">IFERROR(__xludf.DUMMYFUNCTION("GOOGLETRANSLATE(J3504,""EN"",""ES"")"),"Proyectores inteligentes")</f>
        <v>Proyectores inteligentes</v>
      </c>
      <c r="M3504" s="8" t="s">
        <v>58</v>
      </c>
      <c r="N3504" s="8"/>
    </row>
    <row r="3505" spans="1:14" ht="11.25" customHeight="1">
      <c r="A3505" s="5" t="s">
        <v>10106</v>
      </c>
      <c r="B3505" s="5" t="s">
        <v>10170</v>
      </c>
      <c r="C3505" s="5" t="s">
        <v>10171</v>
      </c>
      <c r="D3505" s="5" t="s">
        <v>10109</v>
      </c>
      <c r="E3505" s="5" t="s">
        <v>59</v>
      </c>
      <c r="F3505" s="5" t="s">
        <v>10110</v>
      </c>
      <c r="G3505" s="5" t="s">
        <v>10111</v>
      </c>
      <c r="H3505" s="5" t="s">
        <v>10172</v>
      </c>
      <c r="I3505" s="5" t="s">
        <v>10173</v>
      </c>
      <c r="J3505" s="5" t="s">
        <v>10174</v>
      </c>
      <c r="K3505" s="7" t="str">
        <f ca="1">IFERROR(__xludf.DUMMYFUNCTION("GOOGLETRANSLATE(H3505,""EN"",""ES"")"),"APARATOS DE FOTOCOPIADO Y AMPLIADORAS")</f>
        <v>APARATOS DE FOTOCOPIADO Y AMPLIADORAS</v>
      </c>
      <c r="L3505" s="5" t="str">
        <f ca="1">IFERROR(__xludf.DUMMYFUNCTION("GOOGLETRANSLATE(J3505,""EN"",""ES"")"),"Ampliadoras [fotografía]")</f>
        <v>Ampliadoras [fotografía]</v>
      </c>
      <c r="M3505" s="8" t="s">
        <v>58</v>
      </c>
      <c r="N3505" s="8"/>
    </row>
    <row r="3506" spans="1:14" ht="11.25" customHeight="1">
      <c r="A3506" s="5" t="s">
        <v>10106</v>
      </c>
      <c r="B3506" s="5" t="s">
        <v>10170</v>
      </c>
      <c r="C3506" s="5" t="s">
        <v>10175</v>
      </c>
      <c r="D3506" s="5" t="s">
        <v>10109</v>
      </c>
      <c r="E3506" s="5" t="s">
        <v>59</v>
      </c>
      <c r="F3506" s="5" t="s">
        <v>10110</v>
      </c>
      <c r="G3506" s="5" t="s">
        <v>10111</v>
      </c>
      <c r="H3506" s="5" t="s">
        <v>10172</v>
      </c>
      <c r="I3506" s="5" t="s">
        <v>10176</v>
      </c>
      <c r="J3506" s="5" t="s">
        <v>10177</v>
      </c>
      <c r="K3506" s="7" t="str">
        <f ca="1">IFERROR(__xludf.DUMMYFUNCTION("GOOGLETRANSLATE(H3506,""EN"",""ES"")"),"APARATOS DE FOTOCOPIADO Y AMPLIADORAS")</f>
        <v>APARATOS DE FOTOCOPIADO Y AMPLIADORAS</v>
      </c>
      <c r="L3506" s="5" t="str">
        <f ca="1">IFERROR(__xludf.DUMMYFUNCTION("GOOGLETRANSLATE(J3506,""EN"",""ES"")"),"Caballetes para ampliación fotográfica.")</f>
        <v>Caballetes para ampliación fotográfica.</v>
      </c>
      <c r="M3506" s="8" t="s">
        <v>58</v>
      </c>
      <c r="N3506" s="8"/>
    </row>
    <row r="3507" spans="1:14" ht="11.25" customHeight="1">
      <c r="A3507" s="5" t="s">
        <v>10106</v>
      </c>
      <c r="B3507" s="5" t="s">
        <v>10170</v>
      </c>
      <c r="C3507" s="5" t="s">
        <v>10178</v>
      </c>
      <c r="D3507" s="5" t="s">
        <v>10109</v>
      </c>
      <c r="E3507" s="5" t="s">
        <v>59</v>
      </c>
      <c r="F3507" s="5" t="s">
        <v>10110</v>
      </c>
      <c r="G3507" s="5" t="s">
        <v>10111</v>
      </c>
      <c r="H3507" s="5" t="s">
        <v>10172</v>
      </c>
      <c r="I3507" s="5" t="s">
        <v>10179</v>
      </c>
      <c r="J3507" s="5" t="s">
        <v>10180</v>
      </c>
      <c r="K3507" s="7" t="str">
        <f ca="1">IFERROR(__xludf.DUMMYFUNCTION("GOOGLETRANSLATE(H3507,""EN"",""ES"")"),"APARATOS DE FOTOCOPIADO Y AMPLIADORAS")</f>
        <v>APARATOS DE FOTOCOPIADO Y AMPLIADORAS</v>
      </c>
      <c r="L3507" s="5" t="str">
        <f ca="1">IFERROR(__xludf.DUMMYFUNCTION("GOOGLETRANSLATE(J3507,""EN"",""ES"")"),"Aparato de planos")</f>
        <v>Aparato de planos</v>
      </c>
      <c r="M3507" s="8" t="s">
        <v>58</v>
      </c>
      <c r="N3507" s="8"/>
    </row>
    <row r="3508" spans="1:14" ht="11.25" customHeight="1">
      <c r="A3508" s="5" t="s">
        <v>10106</v>
      </c>
      <c r="B3508" s="5" t="s">
        <v>10170</v>
      </c>
      <c r="C3508" s="5" t="s">
        <v>10181</v>
      </c>
      <c r="D3508" s="5" t="s">
        <v>10109</v>
      </c>
      <c r="E3508" s="5" t="s">
        <v>59</v>
      </c>
      <c r="F3508" s="5" t="s">
        <v>10110</v>
      </c>
      <c r="G3508" s="5" t="s">
        <v>10111</v>
      </c>
      <c r="H3508" s="5" t="s">
        <v>10172</v>
      </c>
      <c r="I3508" s="5" t="s">
        <v>10182</v>
      </c>
      <c r="J3508" s="5" t="s">
        <v>10183</v>
      </c>
      <c r="K3508" s="7" t="str">
        <f ca="1">IFERROR(__xludf.DUMMYFUNCTION("GOOGLETRANSLATE(H3508,""EN"",""ES"")"),"APARATOS DE FOTOCOPIADO Y AMPLIADORAS")</f>
        <v>APARATOS DE FOTOCOPIADO Y AMPLIADORAS</v>
      </c>
      <c r="L3508" s="5" t="str">
        <f ca="1">IFERROR(__xludf.DUMMYFUNCTION("GOOGLETRANSLATE(J3508,""EN"",""ES"")"),"Aparato de lectura de microfilmes")</f>
        <v>Aparato de lectura de microfilmes</v>
      </c>
      <c r="M3508" s="8" t="s">
        <v>58</v>
      </c>
      <c r="N3508" s="8"/>
    </row>
    <row r="3509" spans="1:14" ht="11.25" customHeight="1">
      <c r="A3509" s="5" t="s">
        <v>10106</v>
      </c>
      <c r="B3509" s="5" t="s">
        <v>10170</v>
      </c>
      <c r="C3509" s="5" t="s">
        <v>10184</v>
      </c>
      <c r="D3509" s="5" t="s">
        <v>10109</v>
      </c>
      <c r="E3509" s="5" t="s">
        <v>59</v>
      </c>
      <c r="F3509" s="5" t="s">
        <v>10110</v>
      </c>
      <c r="G3509" s="5" t="s">
        <v>10111</v>
      </c>
      <c r="H3509" s="5" t="s">
        <v>10172</v>
      </c>
      <c r="I3509" s="5" t="s">
        <v>10185</v>
      </c>
      <c r="J3509" s="5" t="s">
        <v>10186</v>
      </c>
      <c r="K3509" s="7" t="str">
        <f ca="1">IFERROR(__xludf.DUMMYFUNCTION("GOOGLETRANSLATE(H3509,""EN"",""ES"")"),"APARATOS DE FOTOCOPIADO Y AMPLIADORAS")</f>
        <v>APARATOS DE FOTOCOPIADO Y AMPLIADORAS</v>
      </c>
      <c r="L3509" s="5" t="str">
        <f ca="1">IFERROR(__xludf.DUMMYFUNCTION("GOOGLETRANSLATE(J3509,""EN"",""ES"")"),"Aparato de microfilmación")</f>
        <v>Aparato de microfilmación</v>
      </c>
      <c r="M3509" s="8" t="s">
        <v>58</v>
      </c>
      <c r="N3509" s="8"/>
    </row>
    <row r="3510" spans="1:14" ht="11.25" customHeight="1">
      <c r="A3510" s="5" t="s">
        <v>10106</v>
      </c>
      <c r="B3510" s="5" t="s">
        <v>10170</v>
      </c>
      <c r="C3510" s="5" t="s">
        <v>10187</v>
      </c>
      <c r="D3510" s="5" t="s">
        <v>10109</v>
      </c>
      <c r="E3510" s="5" t="s">
        <v>59</v>
      </c>
      <c r="F3510" s="5" t="s">
        <v>10110</v>
      </c>
      <c r="G3510" s="5" t="s">
        <v>10111</v>
      </c>
      <c r="H3510" s="5" t="s">
        <v>10172</v>
      </c>
      <c r="I3510" s="5" t="s">
        <v>10188</v>
      </c>
      <c r="J3510" s="5" t="s">
        <v>10189</v>
      </c>
      <c r="K3510" s="7" t="str">
        <f ca="1">IFERROR(__xludf.DUMMYFUNCTION("GOOGLETRANSLATE(H3510,""EN"",""ES"")"),"APARATOS DE FOTOCOPIADO Y AMPLIADORAS")</f>
        <v>APARATOS DE FOTOCOPIADO Y AMPLIADORAS</v>
      </c>
      <c r="L3510" s="5" t="str">
        <f ca="1">IFERROR(__xludf.DUMMYFUNCTION("GOOGLETRANSLATE(J3510,""EN"",""ES"")"),"Aparato fotocopiador")</f>
        <v>Aparato fotocopiador</v>
      </c>
      <c r="M3510" s="8" t="s">
        <v>58</v>
      </c>
      <c r="N3510" s="8"/>
    </row>
    <row r="3511" spans="1:14" ht="11.25" customHeight="1">
      <c r="A3511" s="5" t="s">
        <v>10106</v>
      </c>
      <c r="B3511" s="5" t="s">
        <v>10170</v>
      </c>
      <c r="C3511" s="5" t="s">
        <v>10190</v>
      </c>
      <c r="D3511" s="5" t="s">
        <v>10109</v>
      </c>
      <c r="E3511" s="5" t="s">
        <v>59</v>
      </c>
      <c r="F3511" s="5" t="s">
        <v>10110</v>
      </c>
      <c r="G3511" s="5" t="s">
        <v>10111</v>
      </c>
      <c r="H3511" s="5" t="s">
        <v>10172</v>
      </c>
      <c r="I3511" s="5" t="s">
        <v>10191</v>
      </c>
      <c r="J3511" s="5" t="s">
        <v>10192</v>
      </c>
      <c r="K3511" s="7" t="str">
        <f ca="1">IFERROR(__xludf.DUMMYFUNCTION("GOOGLETRANSLATE(H3511,""EN"",""ES"")"),"APARATOS DE FOTOCOPIADO Y AMPLIADORAS")</f>
        <v>APARATOS DE FOTOCOPIADO Y AMPLIADORAS</v>
      </c>
      <c r="L3511" s="5" t="str">
        <f ca="1">IFERROR(__xludf.DUMMYFUNCTION("GOOGLETRANSLATE(J3511,""EN"",""ES"")"),"Impresoras [fotografía]")</f>
        <v>Impresoras [fotografía]</v>
      </c>
      <c r="M3511" s="8" t="s">
        <v>58</v>
      </c>
      <c r="N3511" s="8"/>
    </row>
    <row r="3512" spans="1:14" ht="11.25" customHeight="1">
      <c r="A3512" s="5" t="s">
        <v>10106</v>
      </c>
      <c r="B3512" s="5" t="s">
        <v>10170</v>
      </c>
      <c r="C3512" s="5" t="s">
        <v>10193</v>
      </c>
      <c r="D3512" s="5" t="s">
        <v>10109</v>
      </c>
      <c r="E3512" s="5" t="s">
        <v>59</v>
      </c>
      <c r="F3512" s="5" t="s">
        <v>10110</v>
      </c>
      <c r="G3512" s="5" t="s">
        <v>10111</v>
      </c>
      <c r="H3512" s="5" t="s">
        <v>10172</v>
      </c>
      <c r="I3512" s="5" t="s">
        <v>10194</v>
      </c>
      <c r="J3512" s="5" t="s">
        <v>10195</v>
      </c>
      <c r="K3512" s="7" t="str">
        <f ca="1">IFERROR(__xludf.DUMMYFUNCTION("GOOGLETRANSLATE(H3512,""EN"",""ES"")"),"APARATOS DE FOTOCOPIADO Y AMPLIADORAS")</f>
        <v>APARATOS DE FOTOCOPIADO Y AMPLIADORAS</v>
      </c>
      <c r="L3512" s="5" t="str">
        <f ca="1">IFERROR(__xludf.DUMMYFUNCTION("GOOGLETRANSLATE(J3512,""EN"",""ES"")"),"Cartuchos de tóner para fotocopiadoras de oficina.")</f>
        <v>Cartuchos de tóner para fotocopiadoras de oficina.</v>
      </c>
      <c r="M3512" s="8" t="s">
        <v>58</v>
      </c>
      <c r="N3512" s="8"/>
    </row>
    <row r="3513" spans="1:14" ht="11.25" customHeight="1">
      <c r="A3513" s="5" t="s">
        <v>10106</v>
      </c>
      <c r="B3513" s="5" t="s">
        <v>10196</v>
      </c>
      <c r="C3513" s="5" t="s">
        <v>10197</v>
      </c>
      <c r="D3513" s="5" t="s">
        <v>10109</v>
      </c>
      <c r="E3513" s="5" t="s">
        <v>59</v>
      </c>
      <c r="F3513" s="5" t="s">
        <v>10110</v>
      </c>
      <c r="G3513" s="5" t="s">
        <v>10111</v>
      </c>
      <c r="H3513" s="5" t="s">
        <v>10198</v>
      </c>
      <c r="I3513" s="5" t="s">
        <v>10199</v>
      </c>
      <c r="J3513" s="5" t="s">
        <v>10200</v>
      </c>
      <c r="K3513" s="7" t="str">
        <f ca="1">IFERROR(__xludf.DUMMYFUNCTION("GOOGLETRANSLATE(H3513,""EN"",""ES"")"),"DESARROLLO DE APARATOS Y EQUIPOS")</f>
        <v>DESARROLLO DE APARATOS Y EQUIPOS</v>
      </c>
      <c r="L3513" s="5" t="str">
        <f ca="1">IFERROR(__xludf.DUMMYFUNCTION("GOOGLETRANSLATE(J3513,""EN"",""ES"")"),"Aparatos e instrumentos de revelado de películas.")</f>
        <v>Aparatos e instrumentos de revelado de películas.</v>
      </c>
      <c r="M3513" s="8" t="s">
        <v>58</v>
      </c>
      <c r="N3513" s="8"/>
    </row>
    <row r="3514" spans="1:14" ht="11.25" customHeight="1">
      <c r="A3514" s="5" t="s">
        <v>10106</v>
      </c>
      <c r="B3514" s="5" t="s">
        <v>10196</v>
      </c>
      <c r="C3514" s="5" t="s">
        <v>10201</v>
      </c>
      <c r="D3514" s="5" t="s">
        <v>10109</v>
      </c>
      <c r="E3514" s="5" t="s">
        <v>59</v>
      </c>
      <c r="F3514" s="5" t="s">
        <v>10110</v>
      </c>
      <c r="G3514" s="5" t="s">
        <v>10111</v>
      </c>
      <c r="H3514" s="5" t="s">
        <v>10198</v>
      </c>
      <c r="I3514" s="5" t="s">
        <v>10202</v>
      </c>
      <c r="J3514" s="5" t="s">
        <v>10203</v>
      </c>
      <c r="K3514" s="7" t="str">
        <f ca="1">IFERROR(__xludf.DUMMYFUNCTION("GOOGLETRANSLATE(H3514,""EN"",""ES"")"),"DESARROLLO DE APARATOS Y EQUIPOS")</f>
        <v>DESARROLLO DE APARATOS Y EQUIPOS</v>
      </c>
      <c r="L3514" s="5" t="str">
        <f ca="1">IFERROR(__xludf.DUMMYFUNCTION("GOOGLETRANSLATE(J3514,""EN"",""ES"")"),"Equipos de revelado para impresiones fotográficas.")</f>
        <v>Equipos de revelado para impresiones fotográficas.</v>
      </c>
      <c r="M3514" s="8" t="s">
        <v>58</v>
      </c>
      <c r="N3514" s="8"/>
    </row>
    <row r="3515" spans="1:14" ht="11.25" customHeight="1">
      <c r="A3515" s="5" t="s">
        <v>10106</v>
      </c>
      <c r="B3515" s="5" t="s">
        <v>10196</v>
      </c>
      <c r="C3515" s="5" t="s">
        <v>10204</v>
      </c>
      <c r="D3515" s="5" t="s">
        <v>10109</v>
      </c>
      <c r="E3515" s="5" t="s">
        <v>59</v>
      </c>
      <c r="F3515" s="5" t="s">
        <v>10110</v>
      </c>
      <c r="G3515" s="5" t="s">
        <v>10111</v>
      </c>
      <c r="H3515" s="5" t="s">
        <v>10198</v>
      </c>
      <c r="I3515" s="5" t="s">
        <v>10205</v>
      </c>
      <c r="J3515" s="5" t="s">
        <v>10206</v>
      </c>
      <c r="K3515" s="7" t="str">
        <f ca="1">IFERROR(__xludf.DUMMYFUNCTION("GOOGLETRANSLATE(H3515,""EN"",""ES"")"),"DESARROLLO DE APARATOS Y EQUIPOS")</f>
        <v>DESARROLLO DE APARATOS Y EQUIPOS</v>
      </c>
      <c r="L3515" s="5" t="str">
        <f ca="1">IFERROR(__xludf.DUMMYFUNCTION("GOOGLETRANSLATE(J3515,""EN"",""ES"")"),"Tanques para revelar películas.")</f>
        <v>Tanques para revelar películas.</v>
      </c>
      <c r="M3515" s="8" t="s">
        <v>58</v>
      </c>
      <c r="N3515" s="8"/>
    </row>
    <row r="3516" spans="1:14" ht="11.25" customHeight="1">
      <c r="A3516" s="5" t="s">
        <v>10106</v>
      </c>
      <c r="B3516" s="5" t="s">
        <v>10196</v>
      </c>
      <c r="C3516" s="5" t="s">
        <v>10207</v>
      </c>
      <c r="D3516" s="5" t="s">
        <v>10109</v>
      </c>
      <c r="E3516" s="5" t="s">
        <v>59</v>
      </c>
      <c r="F3516" s="5" t="s">
        <v>10110</v>
      </c>
      <c r="G3516" s="5" t="s">
        <v>10111</v>
      </c>
      <c r="H3516" s="5" t="s">
        <v>10198</v>
      </c>
      <c r="I3516" s="5" t="s">
        <v>10208</v>
      </c>
      <c r="J3516" s="5" t="s">
        <v>10209</v>
      </c>
      <c r="K3516" s="7" t="str">
        <f ca="1">IFERROR(__xludf.DUMMYFUNCTION("GOOGLETRANSLATE(H3516,""EN"",""ES"")"),"DESARROLLO DE APARATOS Y EQUIPOS")</f>
        <v>DESARROLLO DE APARATOS Y EQUIPOS</v>
      </c>
      <c r="L3516" s="5" t="str">
        <f ca="1">IFERROR(__xludf.DUMMYFUNCTION("GOOGLETRANSLATE(J3516,""EN"",""ES"")"),"Baños de revelado [contenedores] para fotografía.")</f>
        <v>Baños de revelado [contenedores] para fotografía.</v>
      </c>
      <c r="M3516" s="8" t="s">
        <v>58</v>
      </c>
      <c r="N3516" s="8"/>
    </row>
    <row r="3517" spans="1:14" ht="11.25" customHeight="1">
      <c r="A3517" s="5" t="s">
        <v>10106</v>
      </c>
      <c r="B3517" s="5" t="s">
        <v>10210</v>
      </c>
      <c r="C3517" s="5" t="s">
        <v>10211</v>
      </c>
      <c r="D3517" s="5" t="s">
        <v>10109</v>
      </c>
      <c r="E3517" s="5" t="s">
        <v>59</v>
      </c>
      <c r="F3517" s="5" t="s">
        <v>10110</v>
      </c>
      <c r="G3517" s="5" t="s">
        <v>10111</v>
      </c>
      <c r="H3517" s="5" t="s">
        <v>10212</v>
      </c>
      <c r="I3517" s="5" t="s">
        <v>10213</v>
      </c>
      <c r="J3517" s="5" t="s">
        <v>10214</v>
      </c>
      <c r="K3517" s="7" t="str">
        <f ca="1">IFERROR(__xludf.DUMMYFUNCTION("GOOGLETRANSLATE(H3517,""EN"",""ES"")"),"ACCESORIOS")</f>
        <v>ACCESORIOS</v>
      </c>
      <c r="L3517" s="5" t="str">
        <f ca="1">IFERROR(__xludf.DUMMYFUNCTION("GOOGLETRANSLATE(J3517,""EN"",""ES"")"),"Medidores de exposición")</f>
        <v>Medidores de exposición</v>
      </c>
      <c r="M3517" s="8" t="s">
        <v>58</v>
      </c>
      <c r="N3517" s="8"/>
    </row>
    <row r="3518" spans="1:14" ht="11.25" customHeight="1">
      <c r="A3518" s="5" t="s">
        <v>10106</v>
      </c>
      <c r="B3518" s="5" t="s">
        <v>10210</v>
      </c>
      <c r="C3518" s="5" t="s">
        <v>10215</v>
      </c>
      <c r="D3518" s="5" t="s">
        <v>10109</v>
      </c>
      <c r="E3518" s="5" t="s">
        <v>59</v>
      </c>
      <c r="F3518" s="5" t="s">
        <v>10110</v>
      </c>
      <c r="G3518" s="5" t="s">
        <v>10111</v>
      </c>
      <c r="H3518" s="5" t="s">
        <v>10212</v>
      </c>
      <c r="I3518" s="5" t="s">
        <v>10216</v>
      </c>
      <c r="J3518" s="5" t="s">
        <v>10217</v>
      </c>
      <c r="K3518" s="7" t="str">
        <f ca="1">IFERROR(__xludf.DUMMYFUNCTION("GOOGLETRANSLATE(H3518,""EN"",""ES"")"),"ACCESORIOS")</f>
        <v>ACCESORIOS</v>
      </c>
      <c r="L3518" s="5" t="str">
        <f ca="1">IFERROR(__xludf.DUMMYFUNCTION("GOOGLETRANSLATE(J3518,""EN"",""ES"")"),"carretes de fotos")</f>
        <v>carretes de fotos</v>
      </c>
      <c r="M3518" s="8" t="s">
        <v>58</v>
      </c>
      <c r="N3518" s="8"/>
    </row>
    <row r="3519" spans="1:14" ht="11.25" customHeight="1">
      <c r="A3519" s="5" t="s">
        <v>10106</v>
      </c>
      <c r="B3519" s="5" t="s">
        <v>10210</v>
      </c>
      <c r="C3519" s="5" t="s">
        <v>10218</v>
      </c>
      <c r="D3519" s="5" t="s">
        <v>10109</v>
      </c>
      <c r="E3519" s="5" t="s">
        <v>59</v>
      </c>
      <c r="F3519" s="5" t="s">
        <v>10110</v>
      </c>
      <c r="G3519" s="5" t="s">
        <v>10111</v>
      </c>
      <c r="H3519" s="5" t="s">
        <v>10212</v>
      </c>
      <c r="I3519" s="5" t="s">
        <v>10219</v>
      </c>
      <c r="J3519" s="5" t="s">
        <v>10220</v>
      </c>
      <c r="K3519" s="7" t="str">
        <f ca="1">IFERROR(__xludf.DUMMYFUNCTION("GOOGLETRANSLATE(H3519,""EN"",""ES"")"),"ACCESORIOS")</f>
        <v>ACCESORIOS</v>
      </c>
      <c r="L3519" s="5" t="str">
        <f ca="1">IFERROR(__xludf.DUMMYFUNCTION("GOOGLETRANSLATE(J3519,""EN"",""ES"")"),"Bobinas para proyectores de cine.")</f>
        <v>Bobinas para proyectores de cine.</v>
      </c>
      <c r="M3519" s="8" t="s">
        <v>58</v>
      </c>
      <c r="N3519" s="8"/>
    </row>
    <row r="3520" spans="1:14" ht="11.25" customHeight="1">
      <c r="A3520" s="5" t="s">
        <v>10106</v>
      </c>
      <c r="B3520" s="5" t="s">
        <v>10210</v>
      </c>
      <c r="C3520" s="5" t="s">
        <v>10221</v>
      </c>
      <c r="D3520" s="5" t="s">
        <v>10109</v>
      </c>
      <c r="E3520" s="5" t="s">
        <v>59</v>
      </c>
      <c r="F3520" s="5" t="s">
        <v>10110</v>
      </c>
      <c r="G3520" s="5" t="s">
        <v>10111</v>
      </c>
      <c r="H3520" s="5" t="s">
        <v>10212</v>
      </c>
      <c r="I3520" s="5" t="s">
        <v>10222</v>
      </c>
      <c r="J3520" s="5" t="s">
        <v>10223</v>
      </c>
      <c r="K3520" s="7" t="str">
        <f ca="1">IFERROR(__xludf.DUMMYFUNCTION("GOOGLETRANSLATE(H3520,""EN"",""ES"")"),"ACCESORIOS")</f>
        <v>ACCESORIOS</v>
      </c>
      <c r="L3520" s="5" t="str">
        <f ca="1">IFERROR(__xludf.DUMMYFUNCTION("GOOGLETRANSLATE(J3520,""EN"",""ES"")"),"Impresión de máscaras [fotografía]")</f>
        <v>Impresión de máscaras [fotografía]</v>
      </c>
      <c r="M3520" s="8" t="s">
        <v>58</v>
      </c>
      <c r="N3520" s="8"/>
    </row>
    <row r="3521" spans="1:14" ht="11.25" customHeight="1">
      <c r="A3521" s="5" t="s">
        <v>10106</v>
      </c>
      <c r="B3521" s="5" t="s">
        <v>10210</v>
      </c>
      <c r="C3521" s="5" t="s">
        <v>10224</v>
      </c>
      <c r="D3521" s="5" t="s">
        <v>10109</v>
      </c>
      <c r="E3521" s="5" t="s">
        <v>59</v>
      </c>
      <c r="F3521" s="5" t="s">
        <v>10110</v>
      </c>
      <c r="G3521" s="5" t="s">
        <v>10111</v>
      </c>
      <c r="H3521" s="5" t="s">
        <v>10212</v>
      </c>
      <c r="I3521" s="5" t="s">
        <v>10225</v>
      </c>
      <c r="J3521" s="5" t="s">
        <v>10226</v>
      </c>
      <c r="K3521" s="7" t="str">
        <f ca="1">IFERROR(__xludf.DUMMYFUNCTION("GOOGLETRANSLATE(H3521,""EN"",""ES"")"),"ACCESORIOS")</f>
        <v>ACCESORIOS</v>
      </c>
      <c r="L3521" s="5" t="str">
        <f ca="1">IFERROR(__xludf.DUMMYFUNCTION("GOOGLETRANSLATE(J3521,""EN"",""ES"")"),"Marcos para transparencias [diapositivas]")</f>
        <v>Marcos para transparencias [diapositivas]</v>
      </c>
      <c r="M3521" s="8" t="s">
        <v>58</v>
      </c>
      <c r="N3521" s="8"/>
    </row>
    <row r="3522" spans="1:14" ht="11.25" customHeight="1">
      <c r="A3522" s="5" t="s">
        <v>10106</v>
      </c>
      <c r="B3522" s="5" t="s">
        <v>10210</v>
      </c>
      <c r="C3522" s="5" t="s">
        <v>10224</v>
      </c>
      <c r="D3522" s="5" t="s">
        <v>10109</v>
      </c>
      <c r="E3522" s="5" t="s">
        <v>59</v>
      </c>
      <c r="F3522" s="5" t="s">
        <v>10110</v>
      </c>
      <c r="G3522" s="5" t="s">
        <v>10111</v>
      </c>
      <c r="H3522" s="5" t="s">
        <v>10212</v>
      </c>
      <c r="I3522" s="5" t="s">
        <v>10227</v>
      </c>
      <c r="J3522" s="5" t="s">
        <v>152</v>
      </c>
      <c r="K3522" s="7" t="str">
        <f ca="1">IFERROR(__xludf.DUMMYFUNCTION("GOOGLETRANSLATE(H3522,""EN"",""ES"")"),"ACCESORIOS")</f>
        <v>ACCESORIOS</v>
      </c>
      <c r="L3522" s="5" t="str">
        <f ca="1">IFERROR(__xludf.DUMMYFUNCTION("GOOGLETRANSLATE(J3522,""EN"",""ES"")"),"Marcos de diapositivas [fotografía]")</f>
        <v>Marcos de diapositivas [fotografía]</v>
      </c>
      <c r="M3522" s="8" t="s">
        <v>58</v>
      </c>
      <c r="N3522" s="8"/>
    </row>
    <row r="3523" spans="1:14" ht="11.25" customHeight="1">
      <c r="A3523" s="5" t="s">
        <v>10106</v>
      </c>
      <c r="B3523" s="5" t="s">
        <v>10210</v>
      </c>
      <c r="C3523" s="5" t="s">
        <v>10228</v>
      </c>
      <c r="D3523" s="5" t="s">
        <v>10109</v>
      </c>
      <c r="E3523" s="5" t="s">
        <v>59</v>
      </c>
      <c r="F3523" s="5" t="s">
        <v>10110</v>
      </c>
      <c r="G3523" s="5" t="s">
        <v>10111</v>
      </c>
      <c r="H3523" s="5" t="s">
        <v>10212</v>
      </c>
      <c r="I3523" s="5" t="s">
        <v>10229</v>
      </c>
      <c r="J3523" s="5" t="s">
        <v>10230</v>
      </c>
      <c r="K3523" s="7" t="str">
        <f ca="1">IFERROR(__xludf.DUMMYFUNCTION("GOOGLETRANSLATE(H3523,""EN"",""ES"")"),"ACCESORIOS")</f>
        <v>ACCESORIOS</v>
      </c>
      <c r="L3523" s="5" t="str">
        <f ca="1">IFERROR(__xludf.DUMMYFUNCTION("GOOGLETRANSLATE(J3523,""EN"",""ES"")"),"Marcos de cartón para fotografías.")</f>
        <v>Marcos de cartón para fotografías.</v>
      </c>
      <c r="M3523" s="8" t="s">
        <v>58</v>
      </c>
      <c r="N3523" s="8"/>
    </row>
    <row r="3524" spans="1:14" ht="11.25" customHeight="1">
      <c r="A3524" s="5" t="s">
        <v>10106</v>
      </c>
      <c r="B3524" s="5" t="s">
        <v>10210</v>
      </c>
      <c r="C3524" s="5" t="s">
        <v>10231</v>
      </c>
      <c r="D3524" s="5" t="s">
        <v>10109</v>
      </c>
      <c r="E3524" s="5" t="s">
        <v>59</v>
      </c>
      <c r="F3524" s="5" t="s">
        <v>10110</v>
      </c>
      <c r="G3524" s="5" t="s">
        <v>10111</v>
      </c>
      <c r="H3524" s="5" t="s">
        <v>10212</v>
      </c>
      <c r="I3524" s="5" t="s">
        <v>10232</v>
      </c>
      <c r="J3524" s="5" t="s">
        <v>10233</v>
      </c>
      <c r="K3524" s="7" t="str">
        <f ca="1">IFERROR(__xludf.DUMMYFUNCTION("GOOGLETRANSLATE(H3524,""EN"",""ES"")"),"ACCESORIOS")</f>
        <v>ACCESORIOS</v>
      </c>
      <c r="L3524" s="5" t="str">
        <f ca="1">IFERROR(__xludf.DUMMYFUNCTION("GOOGLETRANSLATE(J3524,""EN"",""ES"")"),"casetes de película")</f>
        <v>casetes de película</v>
      </c>
      <c r="M3524" s="8" t="s">
        <v>58</v>
      </c>
      <c r="N3524" s="8"/>
    </row>
    <row r="3525" spans="1:14" ht="11.25" customHeight="1">
      <c r="A3525" s="5" t="s">
        <v>10106</v>
      </c>
      <c r="B3525" s="5" t="s">
        <v>10210</v>
      </c>
      <c r="C3525" s="5" t="s">
        <v>10234</v>
      </c>
      <c r="D3525" s="5" t="s">
        <v>10109</v>
      </c>
      <c r="E3525" s="5" t="s">
        <v>59</v>
      </c>
      <c r="F3525" s="5" t="s">
        <v>10110</v>
      </c>
      <c r="G3525" s="5" t="s">
        <v>10111</v>
      </c>
      <c r="H3525" s="5" t="s">
        <v>10212</v>
      </c>
      <c r="I3525" s="5" t="s">
        <v>10235</v>
      </c>
      <c r="J3525" s="5" t="s">
        <v>10236</v>
      </c>
      <c r="K3525" s="7" t="str">
        <f ca="1">IFERROR(__xludf.DUMMYFUNCTION("GOOGLETRANSLATE(H3525,""EN"",""ES"")"),"ACCESORIOS")</f>
        <v>ACCESORIOS</v>
      </c>
      <c r="L3525" s="5" t="str">
        <f ca="1">IFERROR(__xludf.DUMMYFUNCTION("GOOGLETRANSLATE(J3525,""EN"",""ES"")"),"Cargadores de películas [fotografía]")</f>
        <v>Cargadores de películas [fotografía]</v>
      </c>
      <c r="M3525" s="8" t="s">
        <v>58</v>
      </c>
      <c r="N3525" s="8"/>
    </row>
    <row r="3526" spans="1:14" ht="11.25" customHeight="1">
      <c r="A3526" s="5" t="s">
        <v>10106</v>
      </c>
      <c r="B3526" s="5" t="s">
        <v>10210</v>
      </c>
      <c r="C3526" s="5" t="s">
        <v>10237</v>
      </c>
      <c r="D3526" s="5" t="s">
        <v>10109</v>
      </c>
      <c r="E3526" s="5" t="s">
        <v>59</v>
      </c>
      <c r="F3526" s="5" t="s">
        <v>10110</v>
      </c>
      <c r="G3526" s="5" t="s">
        <v>10111</v>
      </c>
      <c r="H3526" s="5" t="s">
        <v>10212</v>
      </c>
      <c r="I3526" s="5" t="s">
        <v>10238</v>
      </c>
      <c r="J3526" s="5" t="s">
        <v>10239</v>
      </c>
      <c r="K3526" s="7" t="str">
        <f ca="1">IFERROR(__xludf.DUMMYFUNCTION("GOOGLETRANSLATE(H3526,""EN"",""ES"")"),"ACCESORIOS")</f>
        <v>ACCESORIOS</v>
      </c>
      <c r="L3526" s="5" t="str">
        <f ca="1">IFERROR(__xludf.DUMMYFUNCTION("GOOGLETRANSLATE(J3526,""EN"",""ES"")"),"Cargadores diapositivos")</f>
        <v>Cargadores diapositivos</v>
      </c>
      <c r="M3526" s="8" t="s">
        <v>58</v>
      </c>
      <c r="N3526" s="8"/>
    </row>
    <row r="3527" spans="1:14" ht="11.25" customHeight="1">
      <c r="A3527" s="5" t="s">
        <v>10106</v>
      </c>
      <c r="B3527" s="5" t="s">
        <v>10210</v>
      </c>
      <c r="C3527" s="5" t="s">
        <v>10240</v>
      </c>
      <c r="D3527" s="5" t="s">
        <v>10109</v>
      </c>
      <c r="E3527" s="5" t="s">
        <v>59</v>
      </c>
      <c r="F3527" s="5" t="s">
        <v>10110</v>
      </c>
      <c r="G3527" s="5" t="s">
        <v>10111</v>
      </c>
      <c r="H3527" s="5" t="s">
        <v>10212</v>
      </c>
      <c r="I3527" s="5" t="s">
        <v>10241</v>
      </c>
      <c r="J3527" s="5" t="s">
        <v>10242</v>
      </c>
      <c r="K3527" s="7" t="str">
        <f ca="1">IFERROR(__xludf.DUMMYFUNCTION("GOOGLETRANSLATE(H3527,""EN"",""ES"")"),"ACCESORIOS")</f>
        <v>ACCESORIOS</v>
      </c>
      <c r="L3527" s="5" t="str">
        <f ca="1">IFERROR(__xludf.DUMMYFUNCTION("GOOGLETRANSLATE(J3527,""EN"",""ES"")"),"Soportes para diapositivos")</f>
        <v>Soportes para diapositivos</v>
      </c>
      <c r="M3527" s="8" t="s">
        <v>58</v>
      </c>
      <c r="N3527" s="8"/>
    </row>
    <row r="3528" spans="1:14" ht="11.25" customHeight="1">
      <c r="A3528" s="5" t="s">
        <v>10106</v>
      </c>
      <c r="B3528" s="5" t="s">
        <v>10210</v>
      </c>
      <c r="C3528" s="5" t="s">
        <v>10243</v>
      </c>
      <c r="D3528" s="5" t="s">
        <v>10109</v>
      </c>
      <c r="E3528" s="5" t="s">
        <v>59</v>
      </c>
      <c r="F3528" s="5" t="s">
        <v>10110</v>
      </c>
      <c r="G3528" s="5" t="s">
        <v>10111</v>
      </c>
      <c r="H3528" s="5" t="s">
        <v>10212</v>
      </c>
      <c r="I3528" s="5" t="s">
        <v>10244</v>
      </c>
      <c r="J3528" s="5" t="s">
        <v>10245</v>
      </c>
      <c r="K3528" s="7" t="str">
        <f ca="1">IFERROR(__xludf.DUMMYFUNCTION("GOOGLETRANSLATE(H3528,""EN"",""ES"")"),"ACCESORIOS")</f>
        <v>ACCESORIOS</v>
      </c>
      <c r="L3528" s="5" t="str">
        <f ca="1">IFERROR(__xludf.DUMMYFUNCTION("GOOGLETRANSLATE(J3528,""EN"",""ES"")"),"Montaje de esquinas para fotografías.")</f>
        <v>Montaje de esquinas para fotografías.</v>
      </c>
      <c r="M3528" s="8" t="s">
        <v>58</v>
      </c>
      <c r="N3528" s="8"/>
    </row>
    <row r="3529" spans="1:14" ht="11.25" customHeight="1">
      <c r="A3529" s="5" t="s">
        <v>10106</v>
      </c>
      <c r="B3529" s="5" t="s">
        <v>10210</v>
      </c>
      <c r="C3529" s="5" t="s">
        <v>10246</v>
      </c>
      <c r="D3529" s="5" t="s">
        <v>10109</v>
      </c>
      <c r="E3529" s="5" t="s">
        <v>59</v>
      </c>
      <c r="F3529" s="5" t="s">
        <v>10110</v>
      </c>
      <c r="G3529" s="5" t="s">
        <v>10111</v>
      </c>
      <c r="H3529" s="5" t="s">
        <v>10212</v>
      </c>
      <c r="I3529" s="5" t="s">
        <v>10247</v>
      </c>
      <c r="J3529" s="5" t="s">
        <v>10248</v>
      </c>
      <c r="K3529" s="7" t="str">
        <f ca="1">IFERROR(__xludf.DUMMYFUNCTION("GOOGLETRANSLATE(H3529,""EN"",""ES"")"),"ACCESORIOS")</f>
        <v>ACCESORIOS</v>
      </c>
      <c r="L3529" s="5" t="str">
        <f ca="1">IFERROR(__xludf.DUMMYFUNCTION("GOOGLETRANSLATE(J3529,""EN"",""ES"")"),"empalmadores de película")</f>
        <v>empalmadores de película</v>
      </c>
      <c r="M3529" s="8" t="s">
        <v>58</v>
      </c>
      <c r="N3529" s="8"/>
    </row>
    <row r="3530" spans="1:14" ht="11.25" customHeight="1">
      <c r="A3530" s="5" t="s">
        <v>10106</v>
      </c>
      <c r="B3530" s="5" t="s">
        <v>10210</v>
      </c>
      <c r="C3530" s="5" t="s">
        <v>10249</v>
      </c>
      <c r="D3530" s="5" t="s">
        <v>10109</v>
      </c>
      <c r="E3530" s="5" t="s">
        <v>59</v>
      </c>
      <c r="F3530" s="5" t="s">
        <v>10110</v>
      </c>
      <c r="G3530" s="5" t="s">
        <v>10111</v>
      </c>
      <c r="H3530" s="5" t="s">
        <v>10212</v>
      </c>
      <c r="I3530" s="5" t="s">
        <v>10250</v>
      </c>
      <c r="J3530" s="5" t="s">
        <v>10251</v>
      </c>
      <c r="K3530" s="7" t="str">
        <f ca="1">IFERROR(__xludf.DUMMYFUNCTION("GOOGLETRANSLATE(H3530,""EN"",""ES"")"),"ACCESORIOS")</f>
        <v>ACCESORIOS</v>
      </c>
      <c r="L3530" s="5" t="str">
        <f ca="1">IFERROR(__xludf.DUMMYFUNCTION("GOOGLETRANSLATE(J3530,""EN"",""ES"")"),"Controles remotos [excepto inalámbricos] para proyectores diapositivos")</f>
        <v>Controles remotos [excepto inalámbricos] para proyectores diapositivos</v>
      </c>
      <c r="M3530" s="8" t="s">
        <v>58</v>
      </c>
      <c r="N3530" s="8"/>
    </row>
    <row r="3531" spans="1:14" ht="11.25" customHeight="1">
      <c r="A3531" s="5" t="s">
        <v>10106</v>
      </c>
      <c r="B3531" s="5" t="s">
        <v>10210</v>
      </c>
      <c r="C3531" s="5" t="s">
        <v>10249</v>
      </c>
      <c r="D3531" s="5" t="s">
        <v>10109</v>
      </c>
      <c r="E3531" s="5" t="s">
        <v>59</v>
      </c>
      <c r="F3531" s="5" t="s">
        <v>10110</v>
      </c>
      <c r="G3531" s="5" t="s">
        <v>10111</v>
      </c>
      <c r="H3531" s="5" t="s">
        <v>10212</v>
      </c>
      <c r="I3531" s="5" t="s">
        <v>152</v>
      </c>
      <c r="J3531" s="5" t="s">
        <v>10252</v>
      </c>
      <c r="K3531" s="7" t="str">
        <f ca="1">IFERROR(__xludf.DUMMYFUNCTION("GOOGLETRANSLATE(H3531,""EN"",""ES"")"),"ACCESORIOS")</f>
        <v>ACCESORIOS</v>
      </c>
      <c r="L3531" s="5" t="str">
        <f ca="1">IFERROR(__xludf.DUMMYFUNCTION("GOOGLETRANSLATE(J3531,""EN"",""ES"")"),"N / A")</f>
        <v>N / A</v>
      </c>
      <c r="M3531" s="8" t="s">
        <v>58</v>
      </c>
      <c r="N3531" s="8"/>
    </row>
    <row r="3532" spans="1:14" ht="11.25" customHeight="1">
      <c r="A3532" s="5" t="s">
        <v>10106</v>
      </c>
      <c r="B3532" s="5" t="s">
        <v>10210</v>
      </c>
      <c r="C3532" s="5" t="s">
        <v>10253</v>
      </c>
      <c r="D3532" s="5" t="s">
        <v>10109</v>
      </c>
      <c r="E3532" s="5" t="s">
        <v>59</v>
      </c>
      <c r="F3532" s="5" t="s">
        <v>10110</v>
      </c>
      <c r="G3532" s="5" t="s">
        <v>10111</v>
      </c>
      <c r="H3532" s="5" t="s">
        <v>10212</v>
      </c>
      <c r="I3532" s="5" t="s">
        <v>10254</v>
      </c>
      <c r="J3532" s="5" t="s">
        <v>10255</v>
      </c>
      <c r="K3532" s="7" t="str">
        <f ca="1">IFERROR(__xludf.DUMMYFUNCTION("GOOGLETRANSLATE(H3532,""EN"",""ES"")"),"ACCESORIOS")</f>
        <v>ACCESORIOS</v>
      </c>
      <c r="L3532" s="5" t="str">
        <f ca="1">IFERROR(__xludf.DUMMYFUNCTION("GOOGLETRANSLATE(J3532,""EN"",""ES"")"),"Disparadores [fotografía]")</f>
        <v>Disparadores [fotografía]</v>
      </c>
      <c r="M3532" s="8" t="s">
        <v>58</v>
      </c>
      <c r="N3532" s="8"/>
    </row>
    <row r="3533" spans="1:14" ht="11.25" customHeight="1">
      <c r="A3533" s="5" t="s">
        <v>10106</v>
      </c>
      <c r="B3533" s="5" t="s">
        <v>10210</v>
      </c>
      <c r="C3533" s="5" t="s">
        <v>10256</v>
      </c>
      <c r="D3533" s="5" t="s">
        <v>10109</v>
      </c>
      <c r="E3533" s="5" t="s">
        <v>59</v>
      </c>
      <c r="F3533" s="5" t="s">
        <v>10110</v>
      </c>
      <c r="G3533" s="5" t="s">
        <v>10111</v>
      </c>
      <c r="H3533" s="5" t="s">
        <v>10212</v>
      </c>
      <c r="I3533" s="5" t="s">
        <v>10257</v>
      </c>
      <c r="J3533" s="5" t="s">
        <v>10258</v>
      </c>
      <c r="K3533" s="7" t="str">
        <f ca="1">IFERROR(__xludf.DUMMYFUNCTION("GOOGLETRANSLATE(H3533,""EN"",""ES"")"),"ACCESORIOS")</f>
        <v>ACCESORIOS</v>
      </c>
      <c r="L3533" s="5" t="str">
        <f ca="1">IFERROR(__xludf.DUMMYFUNCTION("GOOGLETRANSLATE(J3533,""EN"",""ES"")"),"Filtros [fotografía]")</f>
        <v>Filtros [fotografía]</v>
      </c>
      <c r="M3533" s="8" t="s">
        <v>58</v>
      </c>
      <c r="N3533" s="8"/>
    </row>
    <row r="3534" spans="1:14" ht="11.25" customHeight="1">
      <c r="A3534" s="5" t="s">
        <v>10106</v>
      </c>
      <c r="B3534" s="5" t="s">
        <v>10210</v>
      </c>
      <c r="C3534" s="5" t="s">
        <v>10259</v>
      </c>
      <c r="D3534" s="5" t="s">
        <v>10109</v>
      </c>
      <c r="E3534" s="5" t="s">
        <v>59</v>
      </c>
      <c r="F3534" s="5" t="s">
        <v>10110</v>
      </c>
      <c r="G3534" s="5" t="s">
        <v>10111</v>
      </c>
      <c r="H3534" s="5" t="s">
        <v>10212</v>
      </c>
      <c r="I3534" s="5" t="s">
        <v>10260</v>
      </c>
      <c r="J3534" s="5" t="s">
        <v>10261</v>
      </c>
      <c r="K3534" s="7" t="str">
        <f ca="1">IFERROR(__xludf.DUMMYFUNCTION("GOOGLETRANSLATE(H3534,""EN"",""ES"")"),"ACCESORIOS")</f>
        <v>ACCESORIOS</v>
      </c>
      <c r="L3534" s="5" t="str">
        <f ca="1">IFERROR(__xludf.DUMMYFUNCTION("GOOGLETRANSLATE(J3534,""EN"",""ES"")"),"Linternas para fotografía")</f>
        <v>Linternas para fotografía</v>
      </c>
      <c r="M3534" s="8" t="s">
        <v>58</v>
      </c>
      <c r="N3534" s="8"/>
    </row>
    <row r="3535" spans="1:14" ht="11.25" customHeight="1">
      <c r="A3535" s="5" t="s">
        <v>10106</v>
      </c>
      <c r="B3535" s="5" t="s">
        <v>10210</v>
      </c>
      <c r="C3535" s="5" t="s">
        <v>10259</v>
      </c>
      <c r="D3535" s="5" t="s">
        <v>10109</v>
      </c>
      <c r="E3535" s="5" t="s">
        <v>59</v>
      </c>
      <c r="F3535" s="5" t="s">
        <v>10110</v>
      </c>
      <c r="G3535" s="5" t="s">
        <v>10111</v>
      </c>
      <c r="H3535" s="5" t="s">
        <v>10212</v>
      </c>
      <c r="I3535" s="5" t="s">
        <v>10262</v>
      </c>
      <c r="J3535" s="5" t="s">
        <v>10263</v>
      </c>
      <c r="K3535" s="7" t="str">
        <f ca="1">IFERROR(__xludf.DUMMYFUNCTION("GOOGLETRANSLATE(H3535,""EN"",""ES"")"),"ACCESORIOS")</f>
        <v>ACCESORIOS</v>
      </c>
      <c r="L3535" s="5" t="str">
        <f ca="1">IFERROR(__xludf.DUMMYFUNCTION("GOOGLETRANSLATE(J3535,""EN"",""ES"")"),"Aparato de flash [fotografía]")</f>
        <v>Aparato de flash [fotografía]</v>
      </c>
      <c r="M3535" s="8" t="s">
        <v>58</v>
      </c>
      <c r="N3535" s="8"/>
    </row>
    <row r="3536" spans="1:14" ht="11.25" customHeight="1">
      <c r="A3536" s="5" t="s">
        <v>10106</v>
      </c>
      <c r="B3536" s="5" t="s">
        <v>10210</v>
      </c>
      <c r="C3536" s="5" t="s">
        <v>10264</v>
      </c>
      <c r="D3536" s="5" t="s">
        <v>10109</v>
      </c>
      <c r="E3536" s="5" t="s">
        <v>59</v>
      </c>
      <c r="F3536" s="5" t="s">
        <v>10110</v>
      </c>
      <c r="G3536" s="5" t="s">
        <v>10111</v>
      </c>
      <c r="H3536" s="5" t="s">
        <v>10212</v>
      </c>
      <c r="I3536" s="5" t="s">
        <v>10265</v>
      </c>
      <c r="J3536" s="5" t="s">
        <v>10266</v>
      </c>
      <c r="K3536" s="7" t="str">
        <f ca="1">IFERROR(__xludf.DUMMYFUNCTION("GOOGLETRANSLATE(H3536,""EN"",""ES"")"),"ACCESORIOS")</f>
        <v>ACCESORIOS</v>
      </c>
      <c r="L3536" s="5" t="str">
        <f ca="1">IFERROR(__xludf.DUMMYFUNCTION("GOOGLETRANSLATE(J3536,""EN"",""ES"")"),"Fotómetros [fotografía]")</f>
        <v>Fotómetros [fotografía]</v>
      </c>
      <c r="M3536" s="8" t="s">
        <v>58</v>
      </c>
      <c r="N3536" s="8"/>
    </row>
    <row r="3537" spans="1:14" ht="11.25" customHeight="1">
      <c r="A3537" s="5" t="s">
        <v>10106</v>
      </c>
      <c r="B3537" s="5" t="s">
        <v>10210</v>
      </c>
      <c r="C3537" s="5" t="s">
        <v>10267</v>
      </c>
      <c r="D3537" s="5" t="s">
        <v>10109</v>
      </c>
      <c r="E3537" s="5" t="s">
        <v>59</v>
      </c>
      <c r="F3537" s="5" t="s">
        <v>10110</v>
      </c>
      <c r="G3537" s="5" t="s">
        <v>10111</v>
      </c>
      <c r="H3537" s="5" t="s">
        <v>10212</v>
      </c>
      <c r="I3537" s="5" t="s">
        <v>10268</v>
      </c>
      <c r="J3537" s="5" t="s">
        <v>10269</v>
      </c>
      <c r="K3537" s="7" t="str">
        <f ca="1">IFERROR(__xludf.DUMMYFUNCTION("GOOGLETRANSLATE(H3537,""EN"",""ES"")"),"ACCESORIOS")</f>
        <v>ACCESORIOS</v>
      </c>
      <c r="L3537" s="5" t="str">
        <f ca="1">IFERROR(__xludf.DUMMYFUNCTION("GOOGLETRANSLATE(J3537,""EN"",""ES"")"),"Soportes para cámaras fotográficas o cinematográficas.")</f>
        <v>Soportes para cámaras fotográficas o cinematográficas.</v>
      </c>
      <c r="M3537" s="8" t="s">
        <v>58</v>
      </c>
      <c r="N3537" s="8"/>
    </row>
    <row r="3538" spans="1:14" ht="11.25" customHeight="1">
      <c r="A3538" s="5" t="s">
        <v>10106</v>
      </c>
      <c r="B3538" s="5" t="s">
        <v>10210</v>
      </c>
      <c r="C3538" s="5" t="s">
        <v>10270</v>
      </c>
      <c r="D3538" s="5" t="s">
        <v>10109</v>
      </c>
      <c r="E3538" s="5" t="s">
        <v>59</v>
      </c>
      <c r="F3538" s="5" t="s">
        <v>10110</v>
      </c>
      <c r="G3538" s="5" t="s">
        <v>10111</v>
      </c>
      <c r="H3538" s="5" t="s">
        <v>10212</v>
      </c>
      <c r="I3538" s="5" t="s">
        <v>10271</v>
      </c>
      <c r="J3538" s="5" t="s">
        <v>10272</v>
      </c>
      <c r="K3538" s="7" t="str">
        <f ca="1">IFERROR(__xludf.DUMMYFUNCTION("GOOGLETRANSLATE(H3538,""EN"",""ES"")"),"ACCESORIOS")</f>
        <v>ACCESORIOS</v>
      </c>
      <c r="L3538" s="5" t="str">
        <f ca="1">IFERROR(__xludf.DUMMYFUNCTION("GOOGLETRANSLATE(J3538,""EN"",""ES"")"),"Titulares de películas")</f>
        <v>Titulares de películas</v>
      </c>
      <c r="M3538" s="8" t="s">
        <v>58</v>
      </c>
      <c r="N3538" s="8"/>
    </row>
    <row r="3539" spans="1:14" ht="11.25" customHeight="1">
      <c r="A3539" s="5" t="s">
        <v>10106</v>
      </c>
      <c r="B3539" s="5" t="s">
        <v>10210</v>
      </c>
      <c r="C3539" s="5" t="s">
        <v>10273</v>
      </c>
      <c r="D3539" s="5" t="s">
        <v>10109</v>
      </c>
      <c r="E3539" s="5" t="s">
        <v>59</v>
      </c>
      <c r="F3539" s="5" t="s">
        <v>10110</v>
      </c>
      <c r="G3539" s="5" t="s">
        <v>10111</v>
      </c>
      <c r="H3539" s="5" t="s">
        <v>10212</v>
      </c>
      <c r="I3539" s="5" t="s">
        <v>10274</v>
      </c>
      <c r="J3539" s="5" t="s">
        <v>10275</v>
      </c>
      <c r="K3539" s="7" t="str">
        <f ca="1">IFERROR(__xludf.DUMMYFUNCTION("GOOGLETRANSLATE(H3539,""EN"",""ES"")"),"ACCESORIOS")</f>
        <v>ACCESORIOS</v>
      </c>
      <c r="L3539" s="5" t="str">
        <f ca="1">IFERROR(__xludf.DUMMYFUNCTION("GOOGLETRANSLATE(J3539,""EN"",""ES"")"),"Trípodes para cámaras [fotografía]")</f>
        <v>Trípodes para cámaras [fotografía]</v>
      </c>
      <c r="M3539" s="8" t="s">
        <v>58</v>
      </c>
      <c r="N3539" s="8"/>
    </row>
    <row r="3540" spans="1:14" ht="11.25" customHeight="1">
      <c r="A3540" s="5" t="s">
        <v>10106</v>
      </c>
      <c r="B3540" s="5" t="s">
        <v>10210</v>
      </c>
      <c r="C3540" s="5" t="s">
        <v>10276</v>
      </c>
      <c r="D3540" s="5" t="s">
        <v>10109</v>
      </c>
      <c r="E3540" s="5" t="s">
        <v>59</v>
      </c>
      <c r="F3540" s="5" t="s">
        <v>10110</v>
      </c>
      <c r="G3540" s="5" t="s">
        <v>10111</v>
      </c>
      <c r="H3540" s="5" t="s">
        <v>10212</v>
      </c>
      <c r="I3540" s="5" t="s">
        <v>10277</v>
      </c>
      <c r="J3540" s="5" t="s">
        <v>10278</v>
      </c>
      <c r="K3540" s="7" t="str">
        <f ca="1">IFERROR(__xludf.DUMMYFUNCTION("GOOGLETRANSLATE(H3540,""EN"",""ES"")"),"ACCESORIOS")</f>
        <v>ACCESORIOS</v>
      </c>
      <c r="L3540" s="5" t="str">
        <f ca="1">IFERROR(__xludf.DUMMYFUNCTION("GOOGLETRANSLATE(J3540,""EN"",""ES"")"),"Pantallas de proyección")</f>
        <v>Pantallas de proyección</v>
      </c>
      <c r="M3540" s="8" t="s">
        <v>58</v>
      </c>
      <c r="N3540" s="8"/>
    </row>
    <row r="3541" spans="1:14" ht="11.25" customHeight="1">
      <c r="A3541" s="5" t="s">
        <v>10106</v>
      </c>
      <c r="B3541" s="5" t="s">
        <v>10210</v>
      </c>
      <c r="C3541" s="5" t="s">
        <v>10279</v>
      </c>
      <c r="D3541" s="5" t="s">
        <v>10109</v>
      </c>
      <c r="E3541" s="5" t="s">
        <v>59</v>
      </c>
      <c r="F3541" s="5" t="s">
        <v>10110</v>
      </c>
      <c r="G3541" s="5" t="s">
        <v>10111</v>
      </c>
      <c r="H3541" s="5" t="s">
        <v>10212</v>
      </c>
      <c r="I3541" s="5" t="s">
        <v>10280</v>
      </c>
      <c r="J3541" s="5" t="s">
        <v>10281</v>
      </c>
      <c r="K3541" s="7" t="str">
        <f ca="1">IFERROR(__xludf.DUMMYFUNCTION("GOOGLETRANSLATE(H3541,""EN"",""ES"")"),"ACCESORIOS")</f>
        <v>ACCESORIOS</v>
      </c>
      <c r="L3541" s="5" t="str">
        <f ca="1">IFERROR(__xludf.DUMMYFUNCTION("GOOGLETRANSLATE(J3541,""EN"",""ES"")"),"Casetes para microfilmes")</f>
        <v>Casetes para microfilmes</v>
      </c>
      <c r="M3541" s="8" t="s">
        <v>58</v>
      </c>
      <c r="N3541" s="8"/>
    </row>
    <row r="3542" spans="1:14" ht="11.25" customHeight="1">
      <c r="A3542" s="5" t="s">
        <v>10106</v>
      </c>
      <c r="B3542" s="5" t="s">
        <v>10210</v>
      </c>
      <c r="C3542" s="5" t="s">
        <v>10282</v>
      </c>
      <c r="D3542" s="5" t="s">
        <v>10109</v>
      </c>
      <c r="E3542" s="5" t="s">
        <v>59</v>
      </c>
      <c r="F3542" s="5" t="s">
        <v>10110</v>
      </c>
      <c r="G3542" s="5" t="s">
        <v>10111</v>
      </c>
      <c r="H3542" s="5" t="s">
        <v>10212</v>
      </c>
      <c r="I3542" s="5" t="s">
        <v>10283</v>
      </c>
      <c r="J3542" s="5" t="s">
        <v>10284</v>
      </c>
      <c r="K3542" s="7" t="str">
        <f ca="1">IFERROR(__xludf.DUMMYFUNCTION("GOOGLETRANSLATE(H3542,""EN"",""ES"")"),"ACCESORIOS")</f>
        <v>ACCESORIOS</v>
      </c>
      <c r="L3542" s="5" t="str">
        <f ca="1">IFERROR(__xludf.DUMMYFUNCTION("GOOGLETRANSLATE(J3542,""EN"",""ES"")"),"Tablas de exposición [fotografía]")</f>
        <v>Tablas de exposición [fotografía]</v>
      </c>
      <c r="M3542" s="8" t="s">
        <v>58</v>
      </c>
      <c r="N3542" s="8"/>
    </row>
    <row r="3543" spans="1:14" ht="11.25" customHeight="1">
      <c r="A3543" s="5" t="s">
        <v>10106</v>
      </c>
      <c r="B3543" s="5" t="s">
        <v>10210</v>
      </c>
      <c r="C3543" s="5" t="s">
        <v>10285</v>
      </c>
      <c r="D3543" s="5" t="s">
        <v>10109</v>
      </c>
      <c r="E3543" s="5" t="s">
        <v>59</v>
      </c>
      <c r="F3543" s="5" t="s">
        <v>10110</v>
      </c>
      <c r="G3543" s="5" t="s">
        <v>10111</v>
      </c>
      <c r="H3543" s="5" t="s">
        <v>10212</v>
      </c>
      <c r="I3543" s="5" t="s">
        <v>10286</v>
      </c>
      <c r="J3543" s="5" t="s">
        <v>10287</v>
      </c>
      <c r="K3543" s="7" t="str">
        <f ca="1">IFERROR(__xludf.DUMMYFUNCTION("GOOGLETRANSLATE(H3543,""EN"",""ES"")"),"ACCESORIOS")</f>
        <v>ACCESORIOS</v>
      </c>
      <c r="L3543" s="5" t="str">
        <f ca="1">IFERROR(__xludf.DUMMYFUNCTION("GOOGLETRANSLATE(J3543,""EN"",""ES"")"),"Visores [fotografía]")</f>
        <v>Visores [fotografía]</v>
      </c>
      <c r="M3543" s="8" t="s">
        <v>58</v>
      </c>
      <c r="N3543" s="8"/>
    </row>
    <row r="3544" spans="1:14" ht="11.25" customHeight="1">
      <c r="A3544" s="5" t="s">
        <v>10106</v>
      </c>
      <c r="B3544" s="5" t="s">
        <v>10210</v>
      </c>
      <c r="C3544" s="5" t="s">
        <v>10288</v>
      </c>
      <c r="D3544" s="5" t="s">
        <v>10109</v>
      </c>
      <c r="E3544" s="5" t="s">
        <v>59</v>
      </c>
      <c r="F3544" s="5" t="s">
        <v>10110</v>
      </c>
      <c r="G3544" s="5" t="s">
        <v>10111</v>
      </c>
      <c r="H3544" s="5" t="s">
        <v>10212</v>
      </c>
      <c r="I3544" s="5" t="s">
        <v>10289</v>
      </c>
      <c r="J3544" s="5" t="s">
        <v>10290</v>
      </c>
      <c r="K3544" s="7" t="str">
        <f ca="1">IFERROR(__xludf.DUMMYFUNCTION("GOOGLETRANSLATE(H3544,""EN"",""ES"")"),"ACCESORIOS")</f>
        <v>ACCESORIOS</v>
      </c>
      <c r="L3544" s="5" t="str">
        <f ca="1">IFERROR(__xludf.DUMMYFUNCTION("GOOGLETRANSLATE(J3544,""EN"",""ES"")"),"Películas")</f>
        <v>Películas</v>
      </c>
      <c r="M3544" s="8" t="s">
        <v>58</v>
      </c>
      <c r="N3544" s="8"/>
    </row>
    <row r="3545" spans="1:14" ht="11.25" customHeight="1">
      <c r="A3545" s="5" t="s">
        <v>10106</v>
      </c>
      <c r="B3545" s="5" t="s">
        <v>10210</v>
      </c>
      <c r="C3545" s="5" t="s">
        <v>10291</v>
      </c>
      <c r="D3545" s="5" t="s">
        <v>10109</v>
      </c>
      <c r="E3545" s="5" t="s">
        <v>59</v>
      </c>
      <c r="F3545" s="5" t="s">
        <v>10110</v>
      </c>
      <c r="G3545" s="5" t="s">
        <v>10111</v>
      </c>
      <c r="H3545" s="5" t="s">
        <v>10212</v>
      </c>
      <c r="I3545" s="5" t="s">
        <v>10292</v>
      </c>
      <c r="J3545" s="5" t="s">
        <v>10293</v>
      </c>
      <c r="K3545" s="7" t="str">
        <f ca="1">IFERROR(__xludf.DUMMYFUNCTION("GOOGLETRANSLATE(H3545,""EN"",""ES"")"),"ACCESORIOS")</f>
        <v>ACCESORIOS</v>
      </c>
      <c r="L3545" s="5" t="str">
        <f ca="1">IFERROR(__xludf.DUMMYFUNCTION("GOOGLETRANSLATE(J3545,""EN"",""ES"")"),"Rótulas para trípodes [fotografía]")</f>
        <v>Rótulas para trípodes [fotografía]</v>
      </c>
      <c r="M3545" s="8" t="s">
        <v>58</v>
      </c>
      <c r="N3545" s="8"/>
    </row>
    <row r="3546" spans="1:14" ht="11.25" customHeight="1">
      <c r="A3546" s="5" t="s">
        <v>10106</v>
      </c>
      <c r="B3546" s="5" t="s">
        <v>10210</v>
      </c>
      <c r="C3546" s="5" t="s">
        <v>10294</v>
      </c>
      <c r="D3546" s="5" t="s">
        <v>10109</v>
      </c>
      <c r="E3546" s="5" t="s">
        <v>59</v>
      </c>
      <c r="F3546" s="5" t="s">
        <v>10110</v>
      </c>
      <c r="G3546" s="5" t="s">
        <v>10111</v>
      </c>
      <c r="H3546" s="5" t="s">
        <v>10212</v>
      </c>
      <c r="I3546" s="5" t="s">
        <v>10295</v>
      </c>
      <c r="J3546" s="5" t="s">
        <v>10296</v>
      </c>
      <c r="K3546" s="7" t="str">
        <f ca="1">IFERROR(__xludf.DUMMYFUNCTION("GOOGLETRANSLATE(H3546,""EN"",""ES"")"),"ACCESORIOS")</f>
        <v>ACCESORIOS</v>
      </c>
      <c r="L3546" s="5" t="str">
        <f ca="1">IFERROR(__xludf.DUMMYFUNCTION("GOOGLETRANSLATE(J3546,""EN"",""ES"")"),"Empuñaduras de batería para cámaras fotográficas.")</f>
        <v>Empuñaduras de batería para cámaras fotográficas.</v>
      </c>
      <c r="M3546" s="8" t="s">
        <v>58</v>
      </c>
      <c r="N3546" s="8"/>
    </row>
    <row r="3547" spans="1:14" ht="11.25" customHeight="1">
      <c r="A3547" s="5" t="s">
        <v>10106</v>
      </c>
      <c r="B3547" s="5" t="s">
        <v>10297</v>
      </c>
      <c r="C3547" s="5" t="s">
        <v>10298</v>
      </c>
      <c r="D3547" s="5" t="s">
        <v>10109</v>
      </c>
      <c r="E3547" s="5" t="s">
        <v>59</v>
      </c>
      <c r="F3547" s="5" t="s">
        <v>10110</v>
      </c>
      <c r="G3547" s="5" t="s">
        <v>10111</v>
      </c>
      <c r="H3547" s="5" t="s">
        <v>10299</v>
      </c>
      <c r="I3547" s="5" t="s">
        <v>10300</v>
      </c>
      <c r="J3547" s="5" t="s">
        <v>10301</v>
      </c>
      <c r="K3547" s="7" t="str">
        <f ca="1">IFERROR(__xludf.DUMMYFUNCTION("GOOGLETRANSLATE(H3547,""EN"",""ES"")"),"ARTÍCULOS DE ÓPTICA")</f>
        <v>ARTÍCULOS DE ÓPTICA</v>
      </c>
      <c r="L3547" s="5" t="str">
        <f ca="1">IFERROR(__xludf.DUMMYFUNCTION("GOOGLETRANSLATE(J3547,""EN"",""ES"")"),"Gafas antideslumbrantes")</f>
        <v>Gafas antideslumbrantes</v>
      </c>
      <c r="M3547" s="8" t="s">
        <v>58</v>
      </c>
      <c r="N3547" s="8"/>
    </row>
    <row r="3548" spans="1:14" ht="11.25" customHeight="1">
      <c r="A3548" s="5" t="s">
        <v>10106</v>
      </c>
      <c r="B3548" s="5" t="s">
        <v>10297</v>
      </c>
      <c r="C3548" s="5" t="s">
        <v>10302</v>
      </c>
      <c r="D3548" s="5" t="s">
        <v>10109</v>
      </c>
      <c r="E3548" s="5" t="s">
        <v>59</v>
      </c>
      <c r="F3548" s="5" t="s">
        <v>10110</v>
      </c>
      <c r="G3548" s="5" t="s">
        <v>10111</v>
      </c>
      <c r="H3548" s="5" t="s">
        <v>10299</v>
      </c>
      <c r="I3548" s="5" t="s">
        <v>10303</v>
      </c>
      <c r="J3548" s="5" t="s">
        <v>10304</v>
      </c>
      <c r="K3548" s="7" t="str">
        <f ca="1">IFERROR(__xludf.DUMMYFUNCTION("GOOGLETRANSLATE(H3548,""EN"",""ES"")"),"ARTÍCULOS DE ÓPTICA")</f>
        <v>ARTÍCULOS DE ÓPTICA</v>
      </c>
      <c r="L3548" s="5" t="str">
        <f ca="1">IFERROR(__xludf.DUMMYFUNCTION("GOOGLETRANSLATE(J3548,""EN"",""ES"")"),"Puentes para monturas de gafas")</f>
        <v>Puentes para monturas de gafas</v>
      </c>
      <c r="M3548" s="8" t="s">
        <v>58</v>
      </c>
      <c r="N3548" s="8"/>
    </row>
    <row r="3549" spans="1:14" ht="11.25" customHeight="1">
      <c r="A3549" s="5" t="s">
        <v>10106</v>
      </c>
      <c r="B3549" s="5" t="s">
        <v>10297</v>
      </c>
      <c r="C3549" s="5" t="s">
        <v>10305</v>
      </c>
      <c r="D3549" s="5" t="s">
        <v>10109</v>
      </c>
      <c r="E3549" s="5" t="s">
        <v>59</v>
      </c>
      <c r="F3549" s="5" t="s">
        <v>10110</v>
      </c>
      <c r="G3549" s="5" t="s">
        <v>10111</v>
      </c>
      <c r="H3549" s="5" t="s">
        <v>10299</v>
      </c>
      <c r="I3549" s="5" t="s">
        <v>10306</v>
      </c>
      <c r="J3549" s="5" t="s">
        <v>10307</v>
      </c>
      <c r="K3549" s="7" t="str">
        <f ca="1">IFERROR(__xludf.DUMMYFUNCTION("GOOGLETRANSLATE(H3549,""EN"",""ES"")"),"ARTÍCULOS DE ÓPTICA")</f>
        <v>ARTÍCULOS DE ÓPTICA</v>
      </c>
      <c r="L3549" s="5" t="str">
        <f ca="1">IFERROR(__xludf.DUMMYFUNCTION("GOOGLETRANSLATE(J3549,""EN"",""ES"")"),"Patillas de monturas de gafas")</f>
        <v>Patillas de monturas de gafas</v>
      </c>
      <c r="M3549" s="8" t="s">
        <v>58</v>
      </c>
      <c r="N3549" s="8"/>
    </row>
    <row r="3550" spans="1:14" ht="11.25" customHeight="1">
      <c r="A3550" s="5" t="s">
        <v>10106</v>
      </c>
      <c r="B3550" s="5" t="s">
        <v>10297</v>
      </c>
      <c r="C3550" s="5" t="s">
        <v>10308</v>
      </c>
      <c r="D3550" s="5" t="s">
        <v>10109</v>
      </c>
      <c r="E3550" s="5" t="s">
        <v>59</v>
      </c>
      <c r="F3550" s="5" t="s">
        <v>10110</v>
      </c>
      <c r="G3550" s="5" t="s">
        <v>10111</v>
      </c>
      <c r="H3550" s="5" t="s">
        <v>10299</v>
      </c>
      <c r="I3550" s="5" t="s">
        <v>10309</v>
      </c>
      <c r="J3550" s="5" t="s">
        <v>10310</v>
      </c>
      <c r="K3550" s="7" t="str">
        <f ca="1">IFERROR(__xludf.DUMMYFUNCTION("GOOGLETRANSLATE(H3550,""EN"",""ES"")"),"ARTÍCULOS DE ÓPTICA")</f>
        <v>ARTÍCULOS DE ÓPTICA</v>
      </c>
      <c r="L3550" s="5" t="str">
        <f ca="1">IFERROR(__xludf.DUMMYFUNCTION("GOOGLETRANSLATE(J3550,""EN"",""ES"")"),"Bisagras para gafas")</f>
        <v>Bisagras para gafas</v>
      </c>
      <c r="M3550" s="8" t="s">
        <v>58</v>
      </c>
      <c r="N3550" s="8"/>
    </row>
    <row r="3551" spans="1:14" ht="11.25" customHeight="1">
      <c r="A3551" s="5" t="s">
        <v>10106</v>
      </c>
      <c r="B3551" s="5" t="s">
        <v>10297</v>
      </c>
      <c r="C3551" s="5" t="s">
        <v>10311</v>
      </c>
      <c r="D3551" s="5" t="s">
        <v>10109</v>
      </c>
      <c r="E3551" s="5" t="s">
        <v>59</v>
      </c>
      <c r="F3551" s="5" t="s">
        <v>10110</v>
      </c>
      <c r="G3551" s="5" t="s">
        <v>10111</v>
      </c>
      <c r="H3551" s="5" t="s">
        <v>10299</v>
      </c>
      <c r="I3551" s="5" t="s">
        <v>10312</v>
      </c>
      <c r="J3551" s="5" t="s">
        <v>10313</v>
      </c>
      <c r="K3551" s="7" t="str">
        <f ca="1">IFERROR(__xludf.DUMMYFUNCTION("GOOGLETRANSLATE(H3551,""EN"",""ES"")"),"ARTÍCULOS DE ÓPTICA")</f>
        <v>ARTÍCULOS DE ÓPTICA</v>
      </c>
      <c r="L3551" s="5" t="str">
        <f ca="1">IFERROR(__xludf.DUMMYFUNCTION("GOOGLETRANSLATE(J3551,""EN"",""ES"")"),"Prismáticos")</f>
        <v>Prismáticos</v>
      </c>
      <c r="M3551" s="8" t="s">
        <v>58</v>
      </c>
      <c r="N3551" s="8"/>
    </row>
    <row r="3552" spans="1:14" ht="11.25" customHeight="1">
      <c r="A3552" s="5" t="s">
        <v>10106</v>
      </c>
      <c r="B3552" s="5" t="s">
        <v>10297</v>
      </c>
      <c r="C3552" s="5" t="s">
        <v>10311</v>
      </c>
      <c r="D3552" s="5" t="s">
        <v>10109</v>
      </c>
      <c r="E3552" s="5" t="s">
        <v>59</v>
      </c>
      <c r="F3552" s="5" t="s">
        <v>10110</v>
      </c>
      <c r="G3552" s="5" t="s">
        <v>10111</v>
      </c>
      <c r="H3552" s="5" t="s">
        <v>10299</v>
      </c>
      <c r="I3552" s="5" t="s">
        <v>10314</v>
      </c>
      <c r="J3552" s="5" t="s">
        <v>152</v>
      </c>
      <c r="K3552" s="7" t="str">
        <f ca="1">IFERROR(__xludf.DUMMYFUNCTION("GOOGLETRANSLATE(H3552,""EN"",""ES"")"),"ARTÍCULOS DE ÓPTICA")</f>
        <v>ARTÍCULOS DE ÓPTICA</v>
      </c>
      <c r="L3552" s="5" t="str">
        <f ca="1">IFERROR(__xludf.DUMMYFUNCTION("GOOGLETRANSLATE(J3552,""EN"",""ES"")"),"anteojos de campo")</f>
        <v>anteojos de campo</v>
      </c>
      <c r="M3552" s="8" t="s">
        <v>58</v>
      </c>
      <c r="N3552" s="8"/>
    </row>
    <row r="3553" spans="1:14" ht="11.25" customHeight="1">
      <c r="A3553" s="5" t="s">
        <v>10106</v>
      </c>
      <c r="B3553" s="5" t="s">
        <v>10297</v>
      </c>
      <c r="C3553" s="5" t="s">
        <v>10315</v>
      </c>
      <c r="D3553" s="5" t="s">
        <v>10109</v>
      </c>
      <c r="E3553" s="5" t="s">
        <v>59</v>
      </c>
      <c r="F3553" s="5" t="s">
        <v>10110</v>
      </c>
      <c r="G3553" s="5" t="s">
        <v>10111</v>
      </c>
      <c r="H3553" s="5" t="s">
        <v>10299</v>
      </c>
      <c r="I3553" s="5" t="s">
        <v>10316</v>
      </c>
      <c r="J3553" s="5" t="s">
        <v>10317</v>
      </c>
      <c r="K3553" s="7" t="str">
        <f ca="1">IFERROR(__xludf.DUMMYFUNCTION("GOOGLETRANSLATE(H3553,""EN"",""ES"")"),"ARTÍCULOS DE ÓPTICA")</f>
        <v>ARTÍCULOS DE ÓPTICA</v>
      </c>
      <c r="L3553" s="5" t="str">
        <f ca="1">IFERROR(__xludf.DUMMYFUNCTION("GOOGLETRANSLATE(J3553,""EN"",""ES"")"),"Gemelos de teatro")</f>
        <v>Gemelos de teatro</v>
      </c>
      <c r="M3553" s="8" t="s">
        <v>58</v>
      </c>
      <c r="N3553" s="8"/>
    </row>
    <row r="3554" spans="1:14" ht="11.25" customHeight="1">
      <c r="A3554" s="5" t="s">
        <v>10106</v>
      </c>
      <c r="B3554" s="5" t="s">
        <v>10297</v>
      </c>
      <c r="C3554" s="5" t="s">
        <v>10318</v>
      </c>
      <c r="D3554" s="5" t="s">
        <v>10109</v>
      </c>
      <c r="E3554" s="5" t="s">
        <v>59</v>
      </c>
      <c r="F3554" s="5" t="s">
        <v>10110</v>
      </c>
      <c r="G3554" s="5" t="s">
        <v>10111</v>
      </c>
      <c r="H3554" s="5" t="s">
        <v>10299</v>
      </c>
      <c r="I3554" s="5" t="s">
        <v>10319</v>
      </c>
      <c r="J3554" s="5" t="s">
        <v>10320</v>
      </c>
      <c r="K3554" s="7" t="str">
        <f ca="1">IFERROR(__xludf.DUMMYFUNCTION("GOOGLETRANSLATE(H3554,""EN"",""ES"")"),"ARTÍCULOS DE ÓPTICA")</f>
        <v>ARTÍCULOS DE ÓPTICA</v>
      </c>
      <c r="L3554" s="5" t="str">
        <f ca="1">IFERROR(__xludf.DUMMYFUNCTION("GOOGLETRANSLATE(J3554,""EN"",""ES"")"),"Lentes, simples")</f>
        <v>Lentes, simples</v>
      </c>
      <c r="M3554" s="8" t="s">
        <v>58</v>
      </c>
      <c r="N3554" s="8"/>
    </row>
    <row r="3555" spans="1:14" ht="11.25" customHeight="1">
      <c r="A3555" s="5" t="s">
        <v>10106</v>
      </c>
      <c r="B3555" s="5" t="s">
        <v>10297</v>
      </c>
      <c r="C3555" s="5" t="s">
        <v>10321</v>
      </c>
      <c r="D3555" s="5" t="s">
        <v>10109</v>
      </c>
      <c r="E3555" s="5" t="s">
        <v>59</v>
      </c>
      <c r="F3555" s="5" t="s">
        <v>10110</v>
      </c>
      <c r="G3555" s="5" t="s">
        <v>10111</v>
      </c>
      <c r="H3555" s="5" t="s">
        <v>10299</v>
      </c>
      <c r="I3555" s="5" t="s">
        <v>10322</v>
      </c>
      <c r="J3555" s="5" t="s">
        <v>10323</v>
      </c>
      <c r="K3555" s="7" t="str">
        <f ca="1">IFERROR(__xludf.DUMMYFUNCTION("GOOGLETRANSLATE(H3555,""EN"",""ES"")"),"ARTÍCULOS DE ÓPTICA")</f>
        <v>ARTÍCULOS DE ÓPTICA</v>
      </c>
      <c r="L3555" s="5" t="str">
        <f ca="1">IFERROR(__xludf.DUMMYFUNCTION("GOOGLETRANSLATE(J3555,""EN"",""ES"")"),"Telescopios")</f>
        <v>Telescopios</v>
      </c>
      <c r="M3555" s="8" t="s">
        <v>58</v>
      </c>
      <c r="N3555" s="8"/>
    </row>
    <row r="3556" spans="1:14" ht="11.25" customHeight="1">
      <c r="A3556" s="5" t="s">
        <v>10106</v>
      </c>
      <c r="B3556" s="5" t="s">
        <v>10297</v>
      </c>
      <c r="C3556" s="5" t="s">
        <v>10321</v>
      </c>
      <c r="D3556" s="5" t="s">
        <v>10109</v>
      </c>
      <c r="E3556" s="5" t="s">
        <v>59</v>
      </c>
      <c r="F3556" s="5" t="s">
        <v>10110</v>
      </c>
      <c r="G3556" s="5" t="s">
        <v>10111</v>
      </c>
      <c r="H3556" s="5" t="s">
        <v>10299</v>
      </c>
      <c r="I3556" s="5" t="s">
        <v>152</v>
      </c>
      <c r="J3556" s="5" t="s">
        <v>10324</v>
      </c>
      <c r="K3556" s="7" t="str">
        <f ca="1">IFERROR(__xludf.DUMMYFUNCTION("GOOGLETRANSLATE(H3556,""EN"",""ES"")"),"ARTÍCULOS DE ÓPTICA")</f>
        <v>ARTÍCULOS DE ÓPTICA</v>
      </c>
      <c r="L3556" s="5" t="str">
        <f ca="1">IFERROR(__xludf.DUMMYFUNCTION("GOOGLETRANSLATE(J3556,""EN"",""ES"")"),"N / A")</f>
        <v>N / A</v>
      </c>
      <c r="M3556" s="8" t="s">
        <v>58</v>
      </c>
      <c r="N3556" s="8"/>
    </row>
    <row r="3557" spans="1:14" ht="11.25" customHeight="1">
      <c r="A3557" s="5" t="s">
        <v>10106</v>
      </c>
      <c r="B3557" s="5" t="s">
        <v>10297</v>
      </c>
      <c r="C3557" s="5" t="s">
        <v>10325</v>
      </c>
      <c r="D3557" s="5" t="s">
        <v>10109</v>
      </c>
      <c r="E3557" s="5" t="s">
        <v>59</v>
      </c>
      <c r="F3557" s="5" t="s">
        <v>10110</v>
      </c>
      <c r="G3557" s="5" t="s">
        <v>10111</v>
      </c>
      <c r="H3557" s="5" t="s">
        <v>10299</v>
      </c>
      <c r="I3557" s="5" t="s">
        <v>10326</v>
      </c>
      <c r="J3557" s="5" t="s">
        <v>10327</v>
      </c>
      <c r="K3557" s="7" t="str">
        <f ca="1">IFERROR(__xludf.DUMMYFUNCTION("GOOGLETRANSLATE(H3557,""EN"",""ES"")"),"ARTÍCULOS DE ÓPTICA")</f>
        <v>ARTÍCULOS DE ÓPTICA</v>
      </c>
      <c r="L3557" s="5" t="str">
        <f ca="1">IFERROR(__xludf.DUMMYFUNCTION("GOOGLETRANSLATE(J3557,""EN"",""ES"")"),"lupas")</f>
        <v>lupas</v>
      </c>
      <c r="M3557" s="8" t="s">
        <v>58</v>
      </c>
      <c r="N3557" s="8"/>
    </row>
    <row r="3558" spans="1:14" ht="11.25" customHeight="1">
      <c r="A3558" s="5" t="s">
        <v>10106</v>
      </c>
      <c r="B3558" s="5" t="s">
        <v>10297</v>
      </c>
      <c r="C3558" s="5" t="s">
        <v>10328</v>
      </c>
      <c r="D3558" s="5" t="s">
        <v>10109</v>
      </c>
      <c r="E3558" s="5" t="s">
        <v>59</v>
      </c>
      <c r="F3558" s="5" t="s">
        <v>10110</v>
      </c>
      <c r="G3558" s="5" t="s">
        <v>10111</v>
      </c>
      <c r="H3558" s="5" t="s">
        <v>10299</v>
      </c>
      <c r="I3558" s="5" t="s">
        <v>10329</v>
      </c>
      <c r="J3558" s="5" t="s">
        <v>10330</v>
      </c>
      <c r="K3558" s="7" t="str">
        <f ca="1">IFERROR(__xludf.DUMMYFUNCTION("GOOGLETRANSLATE(H3558,""EN"",""ES"")"),"ARTÍCULOS DE ÓPTICA")</f>
        <v>ARTÍCULOS DE ÓPTICA</v>
      </c>
      <c r="L3558" s="5" t="str">
        <f ca="1">IFERROR(__xludf.DUMMYFUNCTION("GOOGLETRANSLATE(J3558,""EN"",""ES"")"),"Gafas")</f>
        <v>Gafas</v>
      </c>
      <c r="M3558" s="8" t="s">
        <v>58</v>
      </c>
      <c r="N3558" s="8"/>
    </row>
    <row r="3559" spans="1:14" ht="11.25" customHeight="1">
      <c r="A3559" s="5" t="s">
        <v>10106</v>
      </c>
      <c r="B3559" s="5" t="s">
        <v>10297</v>
      </c>
      <c r="C3559" s="5" t="s">
        <v>10331</v>
      </c>
      <c r="D3559" s="5" t="s">
        <v>10109</v>
      </c>
      <c r="E3559" s="5" t="s">
        <v>59</v>
      </c>
      <c r="F3559" s="5" t="s">
        <v>10110</v>
      </c>
      <c r="G3559" s="5" t="s">
        <v>10111</v>
      </c>
      <c r="H3559" s="5" t="s">
        <v>10299</v>
      </c>
      <c r="I3559" s="5" t="s">
        <v>10332</v>
      </c>
      <c r="J3559" s="5" t="s">
        <v>10333</v>
      </c>
      <c r="K3559" s="7" t="str">
        <f ca="1">IFERROR(__xludf.DUMMYFUNCTION("GOOGLETRANSLATE(H3559,""EN"",""ES"")"),"ARTÍCULOS DE ÓPTICA")</f>
        <v>ARTÍCULOS DE ÓPTICA</v>
      </c>
      <c r="L3559" s="5" t="str">
        <f ca="1">IFERROR(__xludf.DUMMYFUNCTION("GOOGLETRANSLATE(J3559,""EN"",""ES"")"),"catalejos")</f>
        <v>catalejos</v>
      </c>
      <c r="M3559" s="8" t="s">
        <v>58</v>
      </c>
      <c r="N3559" s="8"/>
    </row>
    <row r="3560" spans="1:14" ht="11.25" customHeight="1">
      <c r="A3560" s="5" t="s">
        <v>10106</v>
      </c>
      <c r="B3560" s="5" t="s">
        <v>10297</v>
      </c>
      <c r="C3560" s="5" t="s">
        <v>10334</v>
      </c>
      <c r="D3560" s="5" t="s">
        <v>10109</v>
      </c>
      <c r="E3560" s="5" t="s">
        <v>59</v>
      </c>
      <c r="F3560" s="5" t="s">
        <v>10110</v>
      </c>
      <c r="G3560" s="5" t="s">
        <v>10111</v>
      </c>
      <c r="H3560" s="5" t="s">
        <v>10299</v>
      </c>
      <c r="I3560" s="5" t="s">
        <v>10335</v>
      </c>
      <c r="J3560" s="5" t="s">
        <v>10336</v>
      </c>
      <c r="K3560" s="7" t="str">
        <f ca="1">IFERROR(__xludf.DUMMYFUNCTION("GOOGLETRANSLATE(H3560,""EN"",""ES"")"),"ARTÍCULOS DE ÓPTICA")</f>
        <v>ARTÍCULOS DE ÓPTICA</v>
      </c>
      <c r="L3560" s="5" t="str">
        <f ca="1">IFERROR(__xludf.DUMMYFUNCTION("GOOGLETRANSLATE(J3560,""EN"",""ES"")"),"Gafas de protección")</f>
        <v>Gafas de protección</v>
      </c>
      <c r="M3560" s="8" t="s">
        <v>58</v>
      </c>
      <c r="N3560" s="8"/>
    </row>
    <row r="3561" spans="1:14" ht="11.25" customHeight="1">
      <c r="A3561" s="5" t="s">
        <v>10106</v>
      </c>
      <c r="B3561" s="5" t="s">
        <v>10297</v>
      </c>
      <c r="C3561" s="5" t="s">
        <v>10337</v>
      </c>
      <c r="D3561" s="5" t="s">
        <v>10109</v>
      </c>
      <c r="E3561" s="5" t="s">
        <v>59</v>
      </c>
      <c r="F3561" s="5" t="s">
        <v>10110</v>
      </c>
      <c r="G3561" s="5" t="s">
        <v>10111</v>
      </c>
      <c r="H3561" s="5" t="s">
        <v>10299</v>
      </c>
      <c r="I3561" s="5" t="s">
        <v>10338</v>
      </c>
      <c r="J3561" s="5" t="s">
        <v>10339</v>
      </c>
      <c r="K3561" s="7" t="str">
        <f ca="1">IFERROR(__xludf.DUMMYFUNCTION("GOOGLETRANSLATE(H3561,""EN"",""ES"")"),"ARTÍCULOS DE ÓPTICA")</f>
        <v>ARTÍCULOS DE ÓPTICA</v>
      </c>
      <c r="L3561" s="5" t="str">
        <f ca="1">IFERROR(__xludf.DUMMYFUNCTION("GOOGLETRANSLATE(J3561,""EN"",""ES"")"),"Miras telescópicas para armas de fuego.")</f>
        <v>Miras telescópicas para armas de fuego.</v>
      </c>
      <c r="M3561" s="8" t="s">
        <v>58</v>
      </c>
      <c r="N3561" s="8"/>
    </row>
    <row r="3562" spans="1:14" ht="11.25" customHeight="1">
      <c r="A3562" s="5" t="s">
        <v>10106</v>
      </c>
      <c r="B3562" s="5" t="s">
        <v>10297</v>
      </c>
      <c r="C3562" s="5" t="s">
        <v>10340</v>
      </c>
      <c r="D3562" s="5" t="s">
        <v>10109</v>
      </c>
      <c r="E3562" s="5" t="s">
        <v>59</v>
      </c>
      <c r="F3562" s="5" t="s">
        <v>10110</v>
      </c>
      <c r="G3562" s="5" t="s">
        <v>10111</v>
      </c>
      <c r="H3562" s="5" t="s">
        <v>10299</v>
      </c>
      <c r="I3562" s="5" t="s">
        <v>10341</v>
      </c>
      <c r="J3562" s="5" t="s">
        <v>10341</v>
      </c>
      <c r="K3562" s="7" t="str">
        <f ca="1">IFERROR(__xludf.DUMMYFUNCTION("GOOGLETRANSLATE(H3562,""EN"",""ES"")"),"ARTÍCULOS DE ÓPTICA")</f>
        <v>ARTÍCULOS DE ÓPTICA</v>
      </c>
      <c r="L3562" s="5" t="str">
        <f ca="1">IFERROR(__xludf.DUMMYFUNCTION("GOOGLETRANSLATE(J3562,""EN"",""ES"")"),"microscopios")</f>
        <v>microscopios</v>
      </c>
      <c r="M3562" s="8" t="s">
        <v>58</v>
      </c>
      <c r="N3562" s="8"/>
    </row>
    <row r="3563" spans="1:14" ht="11.25" customHeight="1">
      <c r="A3563" s="5" t="s">
        <v>10106</v>
      </c>
      <c r="B3563" s="5" t="s">
        <v>10297</v>
      </c>
      <c r="C3563" s="5" t="s">
        <v>10342</v>
      </c>
      <c r="D3563" s="5" t="s">
        <v>10109</v>
      </c>
      <c r="E3563" s="5" t="s">
        <v>59</v>
      </c>
      <c r="F3563" s="5" t="s">
        <v>10110</v>
      </c>
      <c r="G3563" s="5" t="s">
        <v>10111</v>
      </c>
      <c r="H3563" s="5" t="s">
        <v>10299</v>
      </c>
      <c r="I3563" s="5" t="s">
        <v>10343</v>
      </c>
      <c r="J3563" s="5" t="s">
        <v>10344</v>
      </c>
      <c r="K3563" s="7" t="str">
        <f ca="1">IFERROR(__xludf.DUMMYFUNCTION("GOOGLETRANSLATE(H3563,""EN"",""ES"")"),"ARTÍCULOS DE ÓPTICA")</f>
        <v>ARTÍCULOS DE ÓPTICA</v>
      </c>
      <c r="L3563" s="5" t="str">
        <f ca="1">IFERROR(__xludf.DUMMYFUNCTION("GOOGLETRANSLATE(J3563,""EN"",""ES"")"),"Mirillas para puertas")</f>
        <v>Mirillas para puertas</v>
      </c>
      <c r="M3563" s="8" t="s">
        <v>58</v>
      </c>
      <c r="N3563" s="8"/>
    </row>
    <row r="3564" spans="1:14" ht="11.25" customHeight="1">
      <c r="A3564" s="5" t="s">
        <v>10106</v>
      </c>
      <c r="B3564" s="5" t="s">
        <v>10297</v>
      </c>
      <c r="C3564" s="5" t="s">
        <v>10342</v>
      </c>
      <c r="D3564" s="5" t="s">
        <v>10109</v>
      </c>
      <c r="E3564" s="5" t="s">
        <v>59</v>
      </c>
      <c r="F3564" s="5" t="s">
        <v>10110</v>
      </c>
      <c r="G3564" s="5" t="s">
        <v>10111</v>
      </c>
      <c r="H3564" s="5" t="s">
        <v>10299</v>
      </c>
      <c r="I3564" s="5" t="s">
        <v>10345</v>
      </c>
      <c r="J3564" s="5" t="s">
        <v>10346</v>
      </c>
      <c r="K3564" s="7" t="str">
        <f ca="1">IFERROR(__xludf.DUMMYFUNCTION("GOOGLETRANSLATE(H3564,""EN"",""ES"")"),"ARTÍCULOS DE ÓPTICA")</f>
        <v>ARTÍCULOS DE ÓPTICA</v>
      </c>
      <c r="L3564" s="5" t="str">
        <f ca="1">IFERROR(__xludf.DUMMYFUNCTION("GOOGLETRANSLATE(J3564,""EN"",""ES"")"),"agujeros de judas")</f>
        <v>agujeros de judas</v>
      </c>
      <c r="M3564" s="8" t="s">
        <v>58</v>
      </c>
      <c r="N3564" s="8"/>
    </row>
    <row r="3565" spans="1:14" ht="11.25" customHeight="1">
      <c r="A3565" s="5" t="s">
        <v>10106</v>
      </c>
      <c r="B3565" s="5" t="s">
        <v>10297</v>
      </c>
      <c r="C3565" s="5" t="s">
        <v>10342</v>
      </c>
      <c r="D3565" s="5" t="s">
        <v>10109</v>
      </c>
      <c r="E3565" s="5" t="s">
        <v>59</v>
      </c>
      <c r="F3565" s="5" t="s">
        <v>10110</v>
      </c>
      <c r="G3565" s="5" t="s">
        <v>10111</v>
      </c>
      <c r="H3565" s="5" t="s">
        <v>10299</v>
      </c>
      <c r="I3565" s="5" t="s">
        <v>10347</v>
      </c>
      <c r="J3565" s="5" t="s">
        <v>152</v>
      </c>
      <c r="K3565" s="7" t="str">
        <f ca="1">IFERROR(__xludf.DUMMYFUNCTION("GOOGLETRANSLATE(H3565,""EN"",""ES"")"),"ARTÍCULOS DE ÓPTICA")</f>
        <v>ARTÍCULOS DE ÓPTICA</v>
      </c>
      <c r="L3565" s="5" t="str">
        <f ca="1">IFERROR(__xludf.DUMMYFUNCTION("GOOGLETRANSLATE(J3565,""EN"",""ES"")"),"Mirillas para puertas")</f>
        <v>Mirillas para puertas</v>
      </c>
      <c r="M3565" s="8" t="s">
        <v>58</v>
      </c>
      <c r="N3565" s="8"/>
    </row>
    <row r="3566" spans="1:14" ht="11.25" customHeight="1">
      <c r="A3566" s="5" t="s">
        <v>10106</v>
      </c>
      <c r="B3566" s="5" t="s">
        <v>10297</v>
      </c>
      <c r="C3566" s="5" t="s">
        <v>10348</v>
      </c>
      <c r="D3566" s="5" t="s">
        <v>10109</v>
      </c>
      <c r="E3566" s="5" t="s">
        <v>59</v>
      </c>
      <c r="F3566" s="5" t="s">
        <v>10110</v>
      </c>
      <c r="G3566" s="5" t="s">
        <v>10111</v>
      </c>
      <c r="H3566" s="5" t="s">
        <v>10299</v>
      </c>
      <c r="I3566" s="5" t="s">
        <v>10349</v>
      </c>
      <c r="J3566" s="5" t="s">
        <v>10349</v>
      </c>
      <c r="K3566" s="7" t="str">
        <f ca="1">IFERROR(__xludf.DUMMYFUNCTION("GOOGLETRANSLATE(H3566,""EN"",""ES"")"),"ARTÍCULOS DE ÓPTICA")</f>
        <v>ARTÍCULOS DE ÓPTICA</v>
      </c>
      <c r="L3566" s="5" t="str">
        <f ca="1">IFERROR(__xludf.DUMMYFUNCTION("GOOGLETRANSLATE(J3566,""EN"",""ES"")"),"monóculos")</f>
        <v>monóculos</v>
      </c>
      <c r="M3566" s="8" t="s">
        <v>58</v>
      </c>
      <c r="N3566" s="8"/>
    </row>
    <row r="3567" spans="1:14" ht="11.25" customHeight="1">
      <c r="A3567" s="5" t="s">
        <v>10106</v>
      </c>
      <c r="B3567" s="5" t="s">
        <v>10297</v>
      </c>
      <c r="C3567" s="5" t="s">
        <v>10350</v>
      </c>
      <c r="D3567" s="5" t="s">
        <v>10109</v>
      </c>
      <c r="E3567" s="5" t="s">
        <v>59</v>
      </c>
      <c r="F3567" s="5" t="s">
        <v>10110</v>
      </c>
      <c r="G3567" s="5" t="s">
        <v>10111</v>
      </c>
      <c r="H3567" s="5" t="s">
        <v>10299</v>
      </c>
      <c r="I3567" s="5" t="s">
        <v>10351</v>
      </c>
      <c r="J3567" s="5" t="s">
        <v>10352</v>
      </c>
      <c r="K3567" s="7" t="str">
        <f ca="1">IFERROR(__xludf.DUMMYFUNCTION("GOOGLETRANSLATE(H3567,""EN"",""ES"")"),"ARTÍCULOS DE ÓPTICA")</f>
        <v>ARTÍCULOS DE ÓPTICA</v>
      </c>
      <c r="L3567" s="5" t="str">
        <f ca="1">IFERROR(__xludf.DUMMYFUNCTION("GOOGLETRANSLATE(J3567,""EN"",""ES"")"),"combinación de lentes")</f>
        <v>combinación de lentes</v>
      </c>
      <c r="M3567" s="8" t="s">
        <v>58</v>
      </c>
      <c r="N3567" s="8"/>
    </row>
    <row r="3568" spans="1:14" ht="11.25" customHeight="1">
      <c r="A3568" s="5" t="s">
        <v>10106</v>
      </c>
      <c r="B3568" s="5" t="s">
        <v>10297</v>
      </c>
      <c r="C3568" s="5" t="s">
        <v>10353</v>
      </c>
      <c r="D3568" s="5" t="s">
        <v>10109</v>
      </c>
      <c r="E3568" s="5" t="s">
        <v>59</v>
      </c>
      <c r="F3568" s="5" t="s">
        <v>10110</v>
      </c>
      <c r="G3568" s="5" t="s">
        <v>10111</v>
      </c>
      <c r="H3568" s="5" t="s">
        <v>10299</v>
      </c>
      <c r="I3568" s="5" t="s">
        <v>10354</v>
      </c>
      <c r="J3568" s="5" t="s">
        <v>10355</v>
      </c>
      <c r="K3568" s="7" t="str">
        <f ca="1">IFERROR(__xludf.DUMMYFUNCTION("GOOGLETRANSLATE(H3568,""EN"",""ES"")"),"ARTÍCULOS DE ÓPTICA")</f>
        <v>ARTÍCULOS DE ÓPTICA</v>
      </c>
      <c r="L3568" s="5" t="str">
        <f ca="1">IFERROR(__xludf.DUMMYFUNCTION("GOOGLETRANSLATE(J3568,""EN"",""ES"")"),"Periscopios")</f>
        <v>Periscopios</v>
      </c>
      <c r="M3568" s="8" t="s">
        <v>58</v>
      </c>
      <c r="N3568" s="8"/>
    </row>
    <row r="3569" spans="1:14" ht="11.25" customHeight="1">
      <c r="A3569" s="5" t="s">
        <v>10106</v>
      </c>
      <c r="B3569" s="5" t="s">
        <v>10297</v>
      </c>
      <c r="C3569" s="5" t="s">
        <v>10356</v>
      </c>
      <c r="D3569" s="5" t="s">
        <v>10109</v>
      </c>
      <c r="E3569" s="5" t="s">
        <v>59</v>
      </c>
      <c r="F3569" s="5" t="s">
        <v>10110</v>
      </c>
      <c r="G3569" s="5" t="s">
        <v>10111</v>
      </c>
      <c r="H3569" s="5" t="s">
        <v>10299</v>
      </c>
      <c r="I3569" s="5" t="s">
        <v>10357</v>
      </c>
      <c r="J3569" s="5" t="s">
        <v>10357</v>
      </c>
      <c r="K3569" s="7" t="str">
        <f ca="1">IFERROR(__xludf.DUMMYFUNCTION("GOOGLETRANSLATE(H3569,""EN"",""ES"")"),"ARTÍCULOS DE ÓPTICA")</f>
        <v>ARTÍCULOS DE ÓPTICA</v>
      </c>
      <c r="L3569" s="5" t="str">
        <f ca="1">IFERROR(__xludf.DUMMYFUNCTION("GOOGLETRANSLATE(J3569,""EN"",""ES"")"),"quevedos")</f>
        <v>quevedos</v>
      </c>
      <c r="M3569" s="8" t="s">
        <v>58</v>
      </c>
      <c r="N3569" s="8"/>
    </row>
    <row r="3570" spans="1:14" ht="11.25" customHeight="1">
      <c r="A3570" s="5" t="s">
        <v>10106</v>
      </c>
      <c r="B3570" s="5" t="s">
        <v>10297</v>
      </c>
      <c r="C3570" s="5" t="s">
        <v>10356</v>
      </c>
      <c r="D3570" s="5" t="s">
        <v>10109</v>
      </c>
      <c r="E3570" s="5" t="s">
        <v>59</v>
      </c>
      <c r="F3570" s="5" t="s">
        <v>10110</v>
      </c>
      <c r="G3570" s="5" t="s">
        <v>10111</v>
      </c>
      <c r="H3570" s="5" t="s">
        <v>10299</v>
      </c>
      <c r="I3570" s="5" t="s">
        <v>10358</v>
      </c>
      <c r="J3570" s="5" t="s">
        <v>10359</v>
      </c>
      <c r="K3570" s="7" t="str">
        <f ca="1">IFERROR(__xludf.DUMMYFUNCTION("GOOGLETRANSLATE(H3570,""EN"",""ES"")"),"ARTÍCULOS DE ÓPTICA")</f>
        <v>ARTÍCULOS DE ÓPTICA</v>
      </c>
      <c r="L3570" s="5" t="str">
        <f ca="1">IFERROR(__xludf.DUMMYFUNCTION("GOOGLETRANSLATE(J3570,""EN"",""ES"")"),"impertinentes")</f>
        <v>impertinentes</v>
      </c>
      <c r="M3570" s="8" t="s">
        <v>58</v>
      </c>
      <c r="N3570" s="8"/>
    </row>
    <row r="3571" spans="1:14" ht="11.25" customHeight="1">
      <c r="A3571" s="5" t="s">
        <v>10106</v>
      </c>
      <c r="B3571" s="5" t="s">
        <v>10297</v>
      </c>
      <c r="C3571" s="5" t="s">
        <v>10360</v>
      </c>
      <c r="D3571" s="5" t="s">
        <v>10109</v>
      </c>
      <c r="E3571" s="5" t="s">
        <v>59</v>
      </c>
      <c r="F3571" s="5" t="s">
        <v>10110</v>
      </c>
      <c r="G3571" s="5" t="s">
        <v>10111</v>
      </c>
      <c r="H3571" s="5" t="s">
        <v>10299</v>
      </c>
      <c r="I3571" s="5" t="s">
        <v>10361</v>
      </c>
      <c r="J3571" s="5" t="s">
        <v>10362</v>
      </c>
      <c r="K3571" s="7" t="str">
        <f ca="1">IFERROR(__xludf.DUMMYFUNCTION("GOOGLETRANSLATE(H3571,""EN"",""ES"")"),"ARTÍCULOS DE ÓPTICA")</f>
        <v>ARTÍCULOS DE ÓPTICA</v>
      </c>
      <c r="L3571" s="5" t="str">
        <f ca="1">IFERROR(__xludf.DUMMYFUNCTION("GOOGLETRANSLATE(J3571,""EN"",""ES"")"),"Refractores")</f>
        <v>Refractores</v>
      </c>
      <c r="M3571" s="8" t="s">
        <v>58</v>
      </c>
      <c r="N3571" s="8"/>
    </row>
    <row r="3572" spans="1:14" ht="11.25" customHeight="1">
      <c r="A3572" s="5" t="s">
        <v>10106</v>
      </c>
      <c r="B3572" s="5" t="s">
        <v>10297</v>
      </c>
      <c r="C3572" s="5" t="s">
        <v>10363</v>
      </c>
      <c r="D3572" s="5" t="s">
        <v>10109</v>
      </c>
      <c r="E3572" s="5" t="s">
        <v>59</v>
      </c>
      <c r="F3572" s="5" t="s">
        <v>10110</v>
      </c>
      <c r="G3572" s="5" t="s">
        <v>10111</v>
      </c>
      <c r="H3572" s="5" t="s">
        <v>10299</v>
      </c>
      <c r="I3572" s="5" t="s">
        <v>10364</v>
      </c>
      <c r="J3572" s="5" t="s">
        <v>10365</v>
      </c>
      <c r="K3572" s="7" t="str">
        <f ca="1">IFERROR(__xludf.DUMMYFUNCTION("GOOGLETRANSLATE(H3572,""EN"",""ES"")"),"ARTÍCULOS DE ÓPTICA")</f>
        <v>ARTÍCULOS DE ÓPTICA</v>
      </c>
      <c r="L3572" s="5" t="str">
        <f ca="1">IFERROR(__xludf.DUMMYFUNCTION("GOOGLETRANSLATE(J3572,""EN"",""ES"")"),"Estereoscopios")</f>
        <v>Estereoscopios</v>
      </c>
      <c r="M3572" s="8" t="s">
        <v>58</v>
      </c>
      <c r="N3572" s="8"/>
    </row>
    <row r="3573" spans="1:14" ht="11.25" customHeight="1">
      <c r="A3573" s="5" t="s">
        <v>10106</v>
      </c>
      <c r="B3573" s="5" t="s">
        <v>10297</v>
      </c>
      <c r="C3573" s="5" t="s">
        <v>10366</v>
      </c>
      <c r="D3573" s="5" t="s">
        <v>10109</v>
      </c>
      <c r="E3573" s="5" t="s">
        <v>59</v>
      </c>
      <c r="F3573" s="5" t="s">
        <v>10110</v>
      </c>
      <c r="G3573" s="5" t="s">
        <v>10111</v>
      </c>
      <c r="H3573" s="5" t="s">
        <v>10299</v>
      </c>
      <c r="I3573" s="5" t="s">
        <v>10367</v>
      </c>
      <c r="J3573" s="5" t="s">
        <v>10368</v>
      </c>
      <c r="K3573" s="7" t="str">
        <f ca="1">IFERROR(__xludf.DUMMYFUNCTION("GOOGLETRANSLATE(H3573,""EN"",""ES"")"),"ARTÍCULOS DE ÓPTICA")</f>
        <v>ARTÍCULOS DE ÓPTICA</v>
      </c>
      <c r="L3573" s="5" t="str">
        <f ca="1">IFERROR(__xludf.DUMMYFUNCTION("GOOGLETRANSLATE(J3573,""EN"",""ES"")"),"Prismas [óptica]")</f>
        <v>Prismas [óptica]</v>
      </c>
      <c r="M3573" s="8" t="s">
        <v>58</v>
      </c>
      <c r="N3573" s="8"/>
    </row>
    <row r="3574" spans="1:14" ht="11.25" customHeight="1">
      <c r="A3574" s="5" t="s">
        <v>10106</v>
      </c>
      <c r="B3574" s="5" t="s">
        <v>10297</v>
      </c>
      <c r="C3574" s="5" t="s">
        <v>10369</v>
      </c>
      <c r="D3574" s="5" t="s">
        <v>10109</v>
      </c>
      <c r="E3574" s="5" t="s">
        <v>59</v>
      </c>
      <c r="F3574" s="5" t="s">
        <v>10110</v>
      </c>
      <c r="G3574" s="5" t="s">
        <v>10111</v>
      </c>
      <c r="H3574" s="5" t="s">
        <v>10299</v>
      </c>
      <c r="I3574" s="5" t="s">
        <v>10370</v>
      </c>
      <c r="J3574" s="5" t="s">
        <v>10371</v>
      </c>
      <c r="K3574" s="7" t="str">
        <f ca="1">IFERROR(__xludf.DUMMYFUNCTION("GOOGLETRANSLATE(H3574,""EN"",""ES"")"),"ARTÍCULOS DE ÓPTICA")</f>
        <v>ARTÍCULOS DE ÓPTICA</v>
      </c>
      <c r="L3574" s="5" t="str">
        <f ca="1">IFERROR(__xludf.DUMMYFUNCTION("GOOGLETRANSLATE(J3574,""EN"",""ES"")"),"Espejos [ópticas]")</f>
        <v>Espejos [ópticas]</v>
      </c>
      <c r="M3574" s="8" t="s">
        <v>58</v>
      </c>
      <c r="N3574" s="8"/>
    </row>
    <row r="3575" spans="1:14" ht="11.25" customHeight="1">
      <c r="A3575" s="5" t="s">
        <v>10106</v>
      </c>
      <c r="B3575" s="5" t="s">
        <v>10297</v>
      </c>
      <c r="C3575" s="5" t="s">
        <v>10372</v>
      </c>
      <c r="D3575" s="5" t="s">
        <v>10109</v>
      </c>
      <c r="E3575" s="5" t="s">
        <v>59</v>
      </c>
      <c r="F3575" s="5" t="s">
        <v>10110</v>
      </c>
      <c r="G3575" s="5" t="s">
        <v>10111</v>
      </c>
      <c r="H3575" s="5" t="s">
        <v>10299</v>
      </c>
      <c r="I3575" s="5" t="s">
        <v>10373</v>
      </c>
      <c r="J3575" s="5" t="s">
        <v>10374</v>
      </c>
      <c r="K3575" s="7" t="str">
        <f ca="1">IFERROR(__xludf.DUMMYFUNCTION("GOOGLETRANSLATE(H3575,""EN"",""ES"")"),"ARTÍCULOS DE ÓPTICA")</f>
        <v>ARTÍCULOS DE ÓPTICA</v>
      </c>
      <c r="L3575" s="5" t="str">
        <f ca="1">IFERROR(__xludf.DUMMYFUNCTION("GOOGLETRANSLATE(J3575,""EN"",""ES"")"),"Gafas de sol")</f>
        <v>Gafas de sol</v>
      </c>
      <c r="M3575" s="8" t="s">
        <v>58</v>
      </c>
      <c r="N3575" s="8"/>
    </row>
    <row r="3576" spans="1:14" ht="11.25" customHeight="1">
      <c r="A3576" s="5" t="s">
        <v>10106</v>
      </c>
      <c r="B3576" s="5" t="s">
        <v>10297</v>
      </c>
      <c r="C3576" s="5" t="s">
        <v>10375</v>
      </c>
      <c r="D3576" s="5" t="s">
        <v>10109</v>
      </c>
      <c r="E3576" s="5" t="s">
        <v>59</v>
      </c>
      <c r="F3576" s="5" t="s">
        <v>10110</v>
      </c>
      <c r="G3576" s="5" t="s">
        <v>10111</v>
      </c>
      <c r="H3576" s="5" t="s">
        <v>10299</v>
      </c>
      <c r="I3576" s="5" t="s">
        <v>10376</v>
      </c>
      <c r="J3576" s="5" t="s">
        <v>10377</v>
      </c>
      <c r="K3576" s="7" t="str">
        <f ca="1">IFERROR(__xludf.DUMMYFUNCTION("GOOGLETRANSLATE(H3576,""EN"",""ES"")"),"ARTÍCULOS DE ÓPTICA")</f>
        <v>ARTÍCULOS DE ÓPTICA</v>
      </c>
      <c r="L3576" s="5" t="str">
        <f ca="1">IFERROR(__xludf.DUMMYFUNCTION("GOOGLETRANSLATE(J3576,""EN"",""ES"")"),"Monturas de gafas")</f>
        <v>Monturas de gafas</v>
      </c>
      <c r="M3576" s="8" t="s">
        <v>58</v>
      </c>
      <c r="N3576" s="8"/>
    </row>
    <row r="3577" spans="1:14" ht="11.25" customHeight="1">
      <c r="A3577" s="5" t="s">
        <v>10106</v>
      </c>
      <c r="B3577" s="5" t="s">
        <v>10297</v>
      </c>
      <c r="C3577" s="5" t="s">
        <v>10378</v>
      </c>
      <c r="D3577" s="5" t="s">
        <v>10109</v>
      </c>
      <c r="E3577" s="5" t="s">
        <v>59</v>
      </c>
      <c r="F3577" s="5" t="s">
        <v>10110</v>
      </c>
      <c r="G3577" s="5" t="s">
        <v>10111</v>
      </c>
      <c r="H3577" s="5" t="s">
        <v>10299</v>
      </c>
      <c r="I3577" s="5" t="s">
        <v>10379</v>
      </c>
      <c r="J3577" s="5" t="s">
        <v>10380</v>
      </c>
      <c r="K3577" s="7" t="str">
        <f ca="1">IFERROR(__xludf.DUMMYFUNCTION("GOOGLETRANSLATE(H3577,""EN"",""ES"")"),"ARTÍCULOS DE ÓPTICA")</f>
        <v>ARTÍCULOS DE ÓPTICA</v>
      </c>
      <c r="L3577" s="5" t="str">
        <f ca="1">IFERROR(__xludf.DUMMYFUNCTION("GOOGLETRANSLATE(J3577,""EN"",""ES"")"),"Miras de armas")</f>
        <v>Miras de armas</v>
      </c>
      <c r="M3577" s="8" t="s">
        <v>58</v>
      </c>
      <c r="N3577" s="8"/>
    </row>
    <row r="3578" spans="1:14" ht="11.25" customHeight="1">
      <c r="A3578" s="5" t="s">
        <v>10106</v>
      </c>
      <c r="B3578" s="5" t="s">
        <v>10297</v>
      </c>
      <c r="C3578" s="5" t="s">
        <v>10381</v>
      </c>
      <c r="D3578" s="5" t="s">
        <v>10109</v>
      </c>
      <c r="E3578" s="5" t="s">
        <v>59</v>
      </c>
      <c r="F3578" s="5" t="s">
        <v>10110</v>
      </c>
      <c r="G3578" s="5" t="s">
        <v>10111</v>
      </c>
      <c r="H3578" s="5" t="s">
        <v>10299</v>
      </c>
      <c r="I3578" s="5" t="s">
        <v>10382</v>
      </c>
      <c r="J3578" s="5" t="s">
        <v>10383</v>
      </c>
      <c r="K3578" s="7" t="str">
        <f ca="1">IFERROR(__xludf.DUMMYFUNCTION("GOOGLETRANSLATE(H3578,""EN"",""ES"")"),"ARTÍCULOS DE ÓPTICA")</f>
        <v>ARTÍCULOS DE ÓPTICA</v>
      </c>
      <c r="L3578" s="5" t="str">
        <f ca="1">IFERROR(__xludf.DUMMYFUNCTION("GOOGLETRANSLATE(J3578,""EN"",""ES"")"),"Lentes para gafas")</f>
        <v>Lentes para gafas</v>
      </c>
      <c r="M3578" s="8" t="s">
        <v>58</v>
      </c>
      <c r="N3578" s="8"/>
    </row>
    <row r="3579" spans="1:14" ht="11.25" customHeight="1">
      <c r="A3579" s="5" t="s">
        <v>10106</v>
      </c>
      <c r="B3579" s="5" t="s">
        <v>10297</v>
      </c>
      <c r="C3579" s="5" t="s">
        <v>10384</v>
      </c>
      <c r="D3579" s="5" t="s">
        <v>10109</v>
      </c>
      <c r="E3579" s="5" t="s">
        <v>59</v>
      </c>
      <c r="F3579" s="5" t="s">
        <v>10110</v>
      </c>
      <c r="G3579" s="5" t="s">
        <v>10111</v>
      </c>
      <c r="H3579" s="5" t="s">
        <v>10299</v>
      </c>
      <c r="I3579" s="5" t="s">
        <v>10385</v>
      </c>
      <c r="J3579" s="5" t="s">
        <v>10386</v>
      </c>
      <c r="K3579" s="7" t="str">
        <f ca="1">IFERROR(__xludf.DUMMYFUNCTION("GOOGLETRANSLATE(H3579,""EN"",""ES"")"),"ARTÍCULOS DE ÓPTICA")</f>
        <v>ARTÍCULOS DE ÓPTICA</v>
      </c>
      <c r="L3579" s="5" t="str">
        <f ca="1">IFERROR(__xludf.DUMMYFUNCTION("GOOGLETRANSLATE(J3579,""EN"",""ES"")"),"Fijaciones para gafas")</f>
        <v>Fijaciones para gafas</v>
      </c>
      <c r="M3579" s="8" t="s">
        <v>58</v>
      </c>
      <c r="N3579" s="8"/>
    </row>
    <row r="3580" spans="1:14" ht="11.25" customHeight="1">
      <c r="A3580" s="5" t="s">
        <v>10106</v>
      </c>
      <c r="B3580" s="5" t="s">
        <v>10297</v>
      </c>
      <c r="C3580" s="5" t="s">
        <v>10387</v>
      </c>
      <c r="D3580" s="5" t="s">
        <v>10109</v>
      </c>
      <c r="E3580" s="5" t="s">
        <v>59</v>
      </c>
      <c r="F3580" s="5" t="s">
        <v>10110</v>
      </c>
      <c r="G3580" s="5" t="s">
        <v>10111</v>
      </c>
      <c r="H3580" s="5" t="s">
        <v>10299</v>
      </c>
      <c r="I3580" s="5" t="s">
        <v>10388</v>
      </c>
      <c r="J3580" s="5" t="s">
        <v>10389</v>
      </c>
      <c r="K3580" s="7" t="str">
        <f ca="1">IFERROR(__xludf.DUMMYFUNCTION("GOOGLETRANSLATE(H3580,""EN"",""ES"")"),"ARTÍCULOS DE ÓPTICA")</f>
        <v>ARTÍCULOS DE ÓPTICA</v>
      </c>
      <c r="L3580" s="5" t="str">
        <f ca="1">IFERROR(__xludf.DUMMYFUNCTION("GOOGLETRANSLATE(J3580,""EN"",""ES"")"),"Soportes para miras telescópicas.")</f>
        <v>Soportes para miras telescópicas.</v>
      </c>
      <c r="M3580" s="8" t="s">
        <v>58</v>
      </c>
      <c r="N3580" s="8"/>
    </row>
    <row r="3581" spans="1:14" ht="11.25" customHeight="1">
      <c r="A3581" s="5" t="s">
        <v>10106</v>
      </c>
      <c r="B3581" s="5" t="s">
        <v>10297</v>
      </c>
      <c r="C3581" s="5" t="s">
        <v>10390</v>
      </c>
      <c r="D3581" s="5" t="s">
        <v>10109</v>
      </c>
      <c r="E3581" s="5" t="s">
        <v>59</v>
      </c>
      <c r="F3581" s="5" t="s">
        <v>10110</v>
      </c>
      <c r="G3581" s="5" t="s">
        <v>10111</v>
      </c>
      <c r="H3581" s="5" t="s">
        <v>10299</v>
      </c>
      <c r="I3581" s="5" t="s">
        <v>10391</v>
      </c>
      <c r="J3581" s="5" t="s">
        <v>10392</v>
      </c>
      <c r="K3581" s="7" t="str">
        <f ca="1">IFERROR(__xludf.DUMMYFUNCTION("GOOGLETRANSLATE(H3581,""EN"",""ES"")"),"ARTÍCULOS DE ÓPTICA")</f>
        <v>ARTÍCULOS DE ÓPTICA</v>
      </c>
      <c r="L3581" s="5" t="str">
        <f ca="1">IFERROR(__xludf.DUMMYFUNCTION("GOOGLETRANSLATE(J3581,""EN"",""ES"")"),"gafas inteligentes")</f>
        <v>gafas inteligentes</v>
      </c>
      <c r="M3581" s="8" t="s">
        <v>58</v>
      </c>
      <c r="N3581" s="8"/>
    </row>
    <row r="3582" spans="1:14" ht="11.25" customHeight="1">
      <c r="A3582" s="5" t="s">
        <v>10106</v>
      </c>
      <c r="B3582" s="5" t="s">
        <v>10297</v>
      </c>
      <c r="C3582" s="5" t="s">
        <v>10393</v>
      </c>
      <c r="D3582" s="5" t="s">
        <v>10109</v>
      </c>
      <c r="E3582" s="5" t="s">
        <v>59</v>
      </c>
      <c r="F3582" s="5" t="s">
        <v>10110</v>
      </c>
      <c r="G3582" s="5" t="s">
        <v>10111</v>
      </c>
      <c r="H3582" s="5" t="s">
        <v>10299</v>
      </c>
      <c r="I3582" s="5" t="s">
        <v>10394</v>
      </c>
      <c r="J3582" s="5" t="s">
        <v>10395</v>
      </c>
      <c r="K3582" s="7" t="str">
        <f ca="1">IFERROR(__xludf.DUMMYFUNCTION("GOOGLETRANSLATE(H3582,""EN"",""ES"")"),"ARTÍCULOS DE ÓPTICA")</f>
        <v>ARTÍCULOS DE ÓPTICA</v>
      </c>
      <c r="L3582" s="5" t="str">
        <f ca="1">IFERROR(__xludf.DUMMYFUNCTION("GOOGLETRANSLATE(J3582,""EN"",""ES"")"),"lentes de contacto")</f>
        <v>lentes de contacto</v>
      </c>
      <c r="M3582" s="8" t="s">
        <v>58</v>
      </c>
      <c r="N3582" s="8"/>
    </row>
    <row r="3583" spans="1:14" ht="11.25" customHeight="1">
      <c r="A3583" s="5" t="s">
        <v>10106</v>
      </c>
      <c r="B3583" s="5" t="s">
        <v>10297</v>
      </c>
      <c r="C3583" s="5" t="s">
        <v>10396</v>
      </c>
      <c r="D3583" s="5" t="s">
        <v>10109</v>
      </c>
      <c r="E3583" s="5" t="s">
        <v>59</v>
      </c>
      <c r="F3583" s="5" t="s">
        <v>10110</v>
      </c>
      <c r="G3583" s="5" t="s">
        <v>10111</v>
      </c>
      <c r="H3583" s="5" t="s">
        <v>10299</v>
      </c>
      <c r="I3583" s="5" t="s">
        <v>10397</v>
      </c>
      <c r="J3583" s="5" t="s">
        <v>10398</v>
      </c>
      <c r="K3583" s="7" t="str">
        <f ca="1">IFERROR(__xludf.DUMMYFUNCTION("GOOGLETRANSLATE(H3583,""EN"",""ES"")"),"ARTÍCULOS DE ÓPTICA")</f>
        <v>ARTÍCULOS DE ÓPTICA</v>
      </c>
      <c r="L3583" s="5" t="str">
        <f ca="1">IFERROR(__xludf.DUMMYFUNCTION("GOOGLETRANSLATE(J3583,""EN"",""ES"")"),"Lentes de cámara")</f>
        <v>Lentes de cámara</v>
      </c>
      <c r="M3583" s="8" t="s">
        <v>58</v>
      </c>
      <c r="N3583" s="8"/>
    </row>
    <row r="3584" spans="1:14" ht="11.25" customHeight="1">
      <c r="A3584" s="5" t="s">
        <v>10106</v>
      </c>
      <c r="B3584" s="5" t="s">
        <v>10297</v>
      </c>
      <c r="C3584" s="5" t="s">
        <v>10399</v>
      </c>
      <c r="D3584" s="5" t="s">
        <v>10109</v>
      </c>
      <c r="E3584" s="5" t="s">
        <v>59</v>
      </c>
      <c r="F3584" s="5" t="s">
        <v>10110</v>
      </c>
      <c r="G3584" s="5" t="s">
        <v>10111</v>
      </c>
      <c r="H3584" s="5" t="s">
        <v>10299</v>
      </c>
      <c r="I3584" s="5" t="s">
        <v>10400</v>
      </c>
      <c r="J3584" s="5" t="s">
        <v>10401</v>
      </c>
      <c r="K3584" s="7" t="str">
        <f ca="1">IFERROR(__xludf.DUMMYFUNCTION("GOOGLETRANSLATE(H3584,""EN"",""ES"")"),"ARTÍCULOS DE ÓPTICA")</f>
        <v>ARTÍCULOS DE ÓPTICA</v>
      </c>
      <c r="L3584" s="5" t="str">
        <f ca="1">IFERROR(__xludf.DUMMYFUNCTION("GOOGLETRANSLATE(J3584,""EN"",""ES"")"),"Tapas de lentes de cámara")</f>
        <v>Tapas de lentes de cámara</v>
      </c>
      <c r="M3584" s="8" t="s">
        <v>58</v>
      </c>
      <c r="N3584" s="8"/>
    </row>
    <row r="3585" spans="1:14" ht="11.25" customHeight="1">
      <c r="A3585" s="5" t="s">
        <v>10106</v>
      </c>
      <c r="B3585" s="5" t="s">
        <v>10297</v>
      </c>
      <c r="C3585" s="5" t="s">
        <v>10402</v>
      </c>
      <c r="D3585" s="5" t="s">
        <v>10109</v>
      </c>
      <c r="E3585" s="5" t="s">
        <v>59</v>
      </c>
      <c r="F3585" s="5" t="s">
        <v>10110</v>
      </c>
      <c r="G3585" s="5" t="s">
        <v>10111</v>
      </c>
      <c r="H3585" s="5" t="s">
        <v>10299</v>
      </c>
      <c r="I3585" s="5" t="s">
        <v>10403</v>
      </c>
      <c r="J3585" s="5" t="s">
        <v>10404</v>
      </c>
      <c r="K3585" s="7" t="str">
        <f ca="1">IFERROR(__xludf.DUMMYFUNCTION("GOOGLETRANSLATE(H3585,""EN"",""ES"")"),"ARTÍCULOS DE ÓPTICA")</f>
        <v>ARTÍCULOS DE ÓPTICA</v>
      </c>
      <c r="L3585" s="5" t="str">
        <f ca="1">IFERROR(__xludf.DUMMYFUNCTION("GOOGLETRANSLATE(J3585,""EN"",""ES"")"),"Parasoles para lentes de cámara")</f>
        <v>Parasoles para lentes de cámara</v>
      </c>
      <c r="M3585" s="8" t="s">
        <v>58</v>
      </c>
      <c r="N3585" s="8"/>
    </row>
    <row r="3586" spans="1:14" ht="11.25" customHeight="1">
      <c r="A3586" s="5" t="s">
        <v>10106</v>
      </c>
      <c r="B3586" s="5" t="s">
        <v>10297</v>
      </c>
      <c r="C3586" s="5" t="s">
        <v>10405</v>
      </c>
      <c r="D3586" s="5" t="s">
        <v>10109</v>
      </c>
      <c r="E3586" s="5" t="s">
        <v>59</v>
      </c>
      <c r="F3586" s="5" t="s">
        <v>10110</v>
      </c>
      <c r="G3586" s="5" t="s">
        <v>10111</v>
      </c>
      <c r="H3586" s="5" t="s">
        <v>10299</v>
      </c>
      <c r="I3586" s="5" t="s">
        <v>10406</v>
      </c>
      <c r="J3586" s="5" t="s">
        <v>10407</v>
      </c>
      <c r="K3586" s="7" t="str">
        <f ca="1">IFERROR(__xludf.DUMMYFUNCTION("GOOGLETRANSLATE(H3586,""EN"",""ES"")"),"ARTÍCULOS DE ÓPTICA")</f>
        <v>ARTÍCULOS DE ÓPTICA</v>
      </c>
      <c r="L3586" s="5" t="str">
        <f ca="1">IFERROR(__xludf.DUMMYFUNCTION("GOOGLETRANSLATE(J3586,""EN"",""ES"")"),"Lentes para cámaras de teléfonos inteligentes")</f>
        <v>Lentes para cámaras de teléfonos inteligentes</v>
      </c>
      <c r="M3586" s="8" t="s">
        <v>58</v>
      </c>
      <c r="N3586" s="8"/>
    </row>
    <row r="3587" spans="1:14" ht="11.25" customHeight="1">
      <c r="A3587" s="5" t="s">
        <v>10106</v>
      </c>
      <c r="B3587" s="5" t="s">
        <v>10297</v>
      </c>
      <c r="C3587" s="5" t="s">
        <v>10405</v>
      </c>
      <c r="D3587" s="5" t="s">
        <v>10109</v>
      </c>
      <c r="E3587" s="5" t="s">
        <v>59</v>
      </c>
      <c r="F3587" s="5" t="s">
        <v>10110</v>
      </c>
      <c r="G3587" s="5" t="s">
        <v>10111</v>
      </c>
      <c r="H3587" s="5" t="s">
        <v>10299</v>
      </c>
      <c r="I3587" s="5" t="s">
        <v>152</v>
      </c>
      <c r="J3587" s="5" t="s">
        <v>10408</v>
      </c>
      <c r="K3587" s="7" t="str">
        <f ca="1">IFERROR(__xludf.DUMMYFUNCTION("GOOGLETRANSLATE(H3587,""EN"",""ES"")"),"ARTÍCULOS DE ÓPTICA")</f>
        <v>ARTÍCULOS DE ÓPTICA</v>
      </c>
      <c r="L3587" s="5" t="str">
        <f ca="1">IFERROR(__xludf.DUMMYFUNCTION("GOOGLETRANSLATE(J3587,""EN"",""ES"")"),"N / A")</f>
        <v>N / A</v>
      </c>
      <c r="M3587" s="8" t="s">
        <v>58</v>
      </c>
      <c r="N3587" s="8"/>
    </row>
    <row r="3588" spans="1:14" ht="11.25" customHeight="1">
      <c r="A3588" s="5" t="s">
        <v>10106</v>
      </c>
      <c r="B3588" s="5" t="s">
        <v>10297</v>
      </c>
      <c r="C3588" s="5" t="s">
        <v>10409</v>
      </c>
      <c r="D3588" s="5" t="s">
        <v>10109</v>
      </c>
      <c r="E3588" s="5" t="s">
        <v>59</v>
      </c>
      <c r="F3588" s="5" t="s">
        <v>10110</v>
      </c>
      <c r="G3588" s="5" t="s">
        <v>10111</v>
      </c>
      <c r="H3588" s="5" t="s">
        <v>10299</v>
      </c>
      <c r="I3588" s="5" t="s">
        <v>10410</v>
      </c>
      <c r="J3588" s="5" t="s">
        <v>10411</v>
      </c>
      <c r="K3588" s="7" t="str">
        <f ca="1">IFERROR(__xludf.DUMMYFUNCTION("GOOGLETRANSLATE(H3588,""EN"",""ES"")"),"ARTÍCULOS DE ÓPTICA")</f>
        <v>ARTÍCULOS DE ÓPTICA</v>
      </c>
      <c r="L3588" s="5" t="str">
        <f ca="1">IFERROR(__xludf.DUMMYFUNCTION("GOOGLETRANSLATE(J3588,""EN"",""ES"")"),"gafas de esquiar")</f>
        <v>gafas de esquiar</v>
      </c>
      <c r="M3588" s="8" t="s">
        <v>58</v>
      </c>
      <c r="N3588" s="8"/>
    </row>
    <row r="3589" spans="1:14" ht="11.25" customHeight="1">
      <c r="A3589" s="5" t="s">
        <v>10106</v>
      </c>
      <c r="B3589" s="5" t="s">
        <v>10297</v>
      </c>
      <c r="C3589" s="5" t="s">
        <v>10412</v>
      </c>
      <c r="D3589" s="5" t="s">
        <v>10109</v>
      </c>
      <c r="E3589" s="5" t="s">
        <v>59</v>
      </c>
      <c r="F3589" s="5" t="s">
        <v>10110</v>
      </c>
      <c r="G3589" s="5" t="s">
        <v>10111</v>
      </c>
      <c r="H3589" s="5" t="s">
        <v>10299</v>
      </c>
      <c r="I3589" s="5" t="s">
        <v>10413</v>
      </c>
      <c r="J3589" s="5" t="s">
        <v>10414</v>
      </c>
      <c r="K3589" s="7" t="str">
        <f ca="1">IFERROR(__xludf.DUMMYFUNCTION("GOOGLETRANSLATE(H3589,""EN"",""ES"")"),"ARTÍCULOS DE ÓPTICA")</f>
        <v>ARTÍCULOS DE ÓPTICA</v>
      </c>
      <c r="L3589" s="5" t="str">
        <f ca="1">IFERROR(__xludf.DUMMYFUNCTION("GOOGLETRANSLATE(J3589,""EN"",""ES"")"),"gafas de natación")</f>
        <v>gafas de natación</v>
      </c>
      <c r="M3589" s="8" t="s">
        <v>58</v>
      </c>
      <c r="N3589" s="8"/>
    </row>
    <row r="3590" spans="1:14" ht="11.25" customHeight="1">
      <c r="A3590" s="5" t="s">
        <v>10106</v>
      </c>
      <c r="B3590" s="5" t="s">
        <v>10415</v>
      </c>
      <c r="C3590" s="5" t="s">
        <v>10416</v>
      </c>
      <c r="D3590" s="5" t="s">
        <v>10109</v>
      </c>
      <c r="E3590" s="5" t="s">
        <v>59</v>
      </c>
      <c r="F3590" s="5" t="s">
        <v>10110</v>
      </c>
      <c r="G3590" s="5" t="s">
        <v>10111</v>
      </c>
      <c r="H3590" s="5" t="s">
        <v>330</v>
      </c>
      <c r="I3590" s="5" t="s">
        <v>10417</v>
      </c>
      <c r="J3590" s="5" t="s">
        <v>10418</v>
      </c>
      <c r="K3590" s="7" t="str">
        <f ca="1">IFERROR(__xludf.DUMMYFUNCTION("GOOGLETRANSLATE(H3590,""EN"",""ES"")"),"MISCELÁNEAS")</f>
        <v>MISCELÁNEAS</v>
      </c>
      <c r="L3590" s="5" t="str">
        <f ca="1">IFERROR(__xludf.DUMMYFUNCTION("GOOGLETRANSLATE(J3590,""EN"",""ES"")"),"Portaobjetos de microscopio")</f>
        <v>Portaobjetos de microscopio</v>
      </c>
      <c r="M3590" s="8" t="s">
        <v>58</v>
      </c>
      <c r="N3590" s="8"/>
    </row>
    <row r="3591" spans="1:14" ht="11.25" customHeight="1">
      <c r="A3591" s="5" t="s">
        <v>10419</v>
      </c>
      <c r="B3591" s="5" t="s">
        <v>10420</v>
      </c>
      <c r="C3591" s="5" t="s">
        <v>10421</v>
      </c>
      <c r="D3591" s="5" t="s">
        <v>10422</v>
      </c>
      <c r="E3591" s="5" t="s">
        <v>62</v>
      </c>
      <c r="F3591" s="5" t="s">
        <v>10423</v>
      </c>
      <c r="G3591" s="5" t="s">
        <v>10424</v>
      </c>
      <c r="H3591" s="5" t="s">
        <v>10425</v>
      </c>
      <c r="I3591" s="5" t="s">
        <v>10426</v>
      </c>
      <c r="J3591" s="5" t="s">
        <v>10427</v>
      </c>
      <c r="K3591" s="7" t="str">
        <f ca="1">IFERROR(__xludf.DUMMYFUNCTION("GOOGLETRANSLATE(H3591,""EN"",""ES"")"),"INSTRUMENTOS DE TECLADO")</f>
        <v>INSTRUMENTOS DE TECLADO</v>
      </c>
      <c r="L3591" s="5" t="str">
        <f ca="1">IFERROR(__xludf.DUMMYFUNCTION("GOOGLETRANSLATE(J3591,""EN"",""ES"")"),"acordeones")</f>
        <v>acordeones</v>
      </c>
      <c r="M3591" s="8" t="s">
        <v>61</v>
      </c>
      <c r="N3591" s="8"/>
    </row>
    <row r="3592" spans="1:14" ht="11.25" customHeight="1">
      <c r="A3592" s="5" t="s">
        <v>10419</v>
      </c>
      <c r="B3592" s="5" t="s">
        <v>10420</v>
      </c>
      <c r="C3592" s="5" t="s">
        <v>10428</v>
      </c>
      <c r="D3592" s="5" t="s">
        <v>10422</v>
      </c>
      <c r="E3592" s="5" t="s">
        <v>62</v>
      </c>
      <c r="F3592" s="5" t="s">
        <v>10423</v>
      </c>
      <c r="G3592" s="5" t="s">
        <v>10424</v>
      </c>
      <c r="H3592" s="5" t="s">
        <v>10425</v>
      </c>
      <c r="I3592" s="5" t="s">
        <v>10429</v>
      </c>
      <c r="J3592" s="5" t="s">
        <v>10430</v>
      </c>
      <c r="K3592" s="7" t="str">
        <f ca="1">IFERROR(__xludf.DUMMYFUNCTION("GOOGLETRANSLATE(H3592,""EN"",""ES"")"),"INSTRUMENTOS DE TECLADO")</f>
        <v>INSTRUMENTOS DE TECLADO</v>
      </c>
      <c r="L3592" s="5" t="str">
        <f ca="1">IFERROR(__xludf.DUMMYFUNCTION("GOOGLETRANSLATE(J3592,""EN"",""ES"")"),"Instrumentos de teclado")</f>
        <v>Instrumentos de teclado</v>
      </c>
      <c r="M3592" s="8" t="s">
        <v>61</v>
      </c>
      <c r="N3592" s="8"/>
    </row>
    <row r="3593" spans="1:14" ht="11.25" customHeight="1">
      <c r="A3593" s="5" t="s">
        <v>10419</v>
      </c>
      <c r="B3593" s="5" t="s">
        <v>10420</v>
      </c>
      <c r="C3593" s="5" t="s">
        <v>10431</v>
      </c>
      <c r="D3593" s="5" t="s">
        <v>10422</v>
      </c>
      <c r="E3593" s="5" t="s">
        <v>62</v>
      </c>
      <c r="F3593" s="5" t="s">
        <v>10423</v>
      </c>
      <c r="G3593" s="5" t="s">
        <v>10424</v>
      </c>
      <c r="H3593" s="5" t="s">
        <v>10425</v>
      </c>
      <c r="I3593" s="5" t="s">
        <v>10432</v>
      </c>
      <c r="J3593" s="5" t="s">
        <v>10433</v>
      </c>
      <c r="K3593" s="7" t="str">
        <f ca="1">IFERROR(__xludf.DUMMYFUNCTION("GOOGLETRANSLATE(H3593,""EN"",""ES"")"),"INSTRUMENTOS DE TECLADO")</f>
        <v>INSTRUMENTOS DE TECLADO</v>
      </c>
      <c r="L3593" s="5" t="str">
        <f ca="1">IFERROR(__xludf.DUMMYFUNCTION("GOOGLETRANSLATE(J3593,""EN"",""ES"")"),"Teclados para instrumentos musicales.")</f>
        <v>Teclados para instrumentos musicales.</v>
      </c>
      <c r="M3593" s="8" t="s">
        <v>61</v>
      </c>
      <c r="N3593" s="8"/>
    </row>
    <row r="3594" spans="1:14" ht="11.25" customHeight="1">
      <c r="A3594" s="5" t="s">
        <v>10419</v>
      </c>
      <c r="B3594" s="5" t="s">
        <v>10420</v>
      </c>
      <c r="C3594" s="5" t="s">
        <v>10434</v>
      </c>
      <c r="D3594" s="5" t="s">
        <v>10422</v>
      </c>
      <c r="E3594" s="5" t="s">
        <v>62</v>
      </c>
      <c r="F3594" s="5" t="s">
        <v>10423</v>
      </c>
      <c r="G3594" s="5" t="s">
        <v>10424</v>
      </c>
      <c r="H3594" s="5" t="s">
        <v>10425</v>
      </c>
      <c r="I3594" s="5" t="s">
        <v>10435</v>
      </c>
      <c r="J3594" s="5" t="s">
        <v>10435</v>
      </c>
      <c r="K3594" s="7" t="str">
        <f ca="1">IFERROR(__xludf.DUMMYFUNCTION("GOOGLETRANSLATE(H3594,""EN"",""ES"")"),"INSTRUMENTOS DE TECLADO")</f>
        <v>INSTRUMENTOS DE TECLADO</v>
      </c>
      <c r="L3594" s="5" t="str">
        <f ca="1">IFERROR(__xludf.DUMMYFUNCTION("GOOGLETRANSLATE(J3594,""EN"",""ES"")"),"concertinas")</f>
        <v>concertinas</v>
      </c>
      <c r="M3594" s="8" t="s">
        <v>61</v>
      </c>
      <c r="N3594" s="8"/>
    </row>
    <row r="3595" spans="1:14" ht="11.25" customHeight="1">
      <c r="A3595" s="5" t="s">
        <v>10419</v>
      </c>
      <c r="B3595" s="5" t="s">
        <v>10420</v>
      </c>
      <c r="C3595" s="5" t="s">
        <v>10436</v>
      </c>
      <c r="D3595" s="5" t="s">
        <v>10422</v>
      </c>
      <c r="E3595" s="5" t="s">
        <v>62</v>
      </c>
      <c r="F3595" s="5" t="s">
        <v>10423</v>
      </c>
      <c r="G3595" s="5" t="s">
        <v>10424</v>
      </c>
      <c r="H3595" s="5" t="s">
        <v>10425</v>
      </c>
      <c r="I3595" s="5" t="s">
        <v>10437</v>
      </c>
      <c r="J3595" s="5" t="s">
        <v>10437</v>
      </c>
      <c r="K3595" s="7" t="str">
        <f ca="1">IFERROR(__xludf.DUMMYFUNCTION("GOOGLETRANSLATE(H3595,""EN"",""ES"")"),"INSTRUMENTOS DE TECLADO")</f>
        <v>INSTRUMENTOS DE TECLADO</v>
      </c>
      <c r="L3595" s="5" t="str">
        <f ca="1">IFERROR(__xludf.DUMMYFUNCTION("GOOGLETRANSLATE(J3595,""EN"",""ES"")"),"Armonios")</f>
        <v>Armonios</v>
      </c>
      <c r="M3595" s="8" t="s">
        <v>61</v>
      </c>
      <c r="N3595" s="8"/>
    </row>
    <row r="3596" spans="1:14" ht="11.25" customHeight="1">
      <c r="A3596" s="5" t="s">
        <v>10419</v>
      </c>
      <c r="B3596" s="5" t="s">
        <v>10420</v>
      </c>
      <c r="C3596" s="5" t="s">
        <v>10438</v>
      </c>
      <c r="D3596" s="5" t="s">
        <v>10422</v>
      </c>
      <c r="E3596" s="5" t="s">
        <v>62</v>
      </c>
      <c r="F3596" s="5" t="s">
        <v>10423</v>
      </c>
      <c r="G3596" s="5" t="s">
        <v>10424</v>
      </c>
      <c r="H3596" s="5" t="s">
        <v>10425</v>
      </c>
      <c r="I3596" s="5" t="s">
        <v>10439</v>
      </c>
      <c r="J3596" s="5" t="s">
        <v>10440</v>
      </c>
      <c r="K3596" s="7" t="str">
        <f ca="1">IFERROR(__xludf.DUMMYFUNCTION("GOOGLETRANSLATE(H3596,""EN"",""ES"")"),"INSTRUMENTOS DE TECLADO")</f>
        <v>INSTRUMENTOS DE TECLADO</v>
      </c>
      <c r="L3596" s="5" t="str">
        <f ca="1">IFERROR(__xludf.DUMMYFUNCTION("GOOGLETRANSLATE(J3596,""EN"",""ES"")"),"organos")</f>
        <v>organos</v>
      </c>
      <c r="M3596" s="8" t="s">
        <v>61</v>
      </c>
      <c r="N3596" s="8"/>
    </row>
    <row r="3597" spans="1:14" ht="11.25" customHeight="1">
      <c r="A3597" s="5" t="s">
        <v>10419</v>
      </c>
      <c r="B3597" s="5" t="s">
        <v>10420</v>
      </c>
      <c r="C3597" s="5" t="s">
        <v>10441</v>
      </c>
      <c r="D3597" s="5" t="s">
        <v>10422</v>
      </c>
      <c r="E3597" s="5" t="s">
        <v>62</v>
      </c>
      <c r="F3597" s="5" t="s">
        <v>10423</v>
      </c>
      <c r="G3597" s="5" t="s">
        <v>10424</v>
      </c>
      <c r="H3597" s="5" t="s">
        <v>10425</v>
      </c>
      <c r="I3597" s="5" t="s">
        <v>10442</v>
      </c>
      <c r="J3597" s="5" t="s">
        <v>10442</v>
      </c>
      <c r="K3597" s="7" t="str">
        <f ca="1">IFERROR(__xludf.DUMMYFUNCTION("GOOGLETRANSLATE(H3597,""EN"",""ES"")"),"INSTRUMENTOS DE TECLADO")</f>
        <v>INSTRUMENTOS DE TECLADO</v>
      </c>
      <c r="L3597" s="5" t="str">
        <f ca="1">IFERROR(__xludf.DUMMYFUNCTION("GOOGLETRANSLATE(J3597,""EN"",""ES"")"),"pianos")</f>
        <v>pianos</v>
      </c>
      <c r="M3597" s="8" t="s">
        <v>61</v>
      </c>
      <c r="N3597" s="8"/>
    </row>
    <row r="3598" spans="1:14" ht="11.25" customHeight="1">
      <c r="A3598" s="5" t="s">
        <v>10419</v>
      </c>
      <c r="B3598" s="5" t="s">
        <v>10420</v>
      </c>
      <c r="C3598" s="5" t="s">
        <v>10443</v>
      </c>
      <c r="D3598" s="5" t="s">
        <v>10422</v>
      </c>
      <c r="E3598" s="5" t="s">
        <v>62</v>
      </c>
      <c r="F3598" s="5" t="s">
        <v>10423</v>
      </c>
      <c r="G3598" s="5" t="s">
        <v>10424</v>
      </c>
      <c r="H3598" s="5" t="s">
        <v>10425</v>
      </c>
      <c r="I3598" s="5" t="s">
        <v>10444</v>
      </c>
      <c r="J3598" s="5" t="s">
        <v>10445</v>
      </c>
      <c r="K3598" s="7" t="str">
        <f ca="1">IFERROR(__xludf.DUMMYFUNCTION("GOOGLETRANSLATE(H3598,""EN"",""ES"")"),"INSTRUMENTOS DE TECLADO")</f>
        <v>INSTRUMENTOS DE TECLADO</v>
      </c>
      <c r="L3598" s="5" t="str">
        <f ca="1">IFERROR(__xludf.DUMMYFUNCTION("GOOGLETRANSLATE(J3598,""EN"",""ES"")"),"pianos mecanicos")</f>
        <v>pianos mecanicos</v>
      </c>
      <c r="M3598" s="8" t="s">
        <v>61</v>
      </c>
      <c r="N3598" s="8"/>
    </row>
    <row r="3599" spans="1:14" ht="11.25" customHeight="1">
      <c r="A3599" s="5" t="s">
        <v>10419</v>
      </c>
      <c r="B3599" s="5" t="s">
        <v>10420</v>
      </c>
      <c r="C3599" s="5" t="s">
        <v>10446</v>
      </c>
      <c r="D3599" s="5" t="s">
        <v>10422</v>
      </c>
      <c r="E3599" s="5" t="s">
        <v>62</v>
      </c>
      <c r="F3599" s="5" t="s">
        <v>10423</v>
      </c>
      <c r="G3599" s="5" t="s">
        <v>10424</v>
      </c>
      <c r="H3599" s="5" t="s">
        <v>10425</v>
      </c>
      <c r="I3599" s="5" t="s">
        <v>10447</v>
      </c>
      <c r="J3599" s="5" t="s">
        <v>10448</v>
      </c>
      <c r="K3599" s="7" t="str">
        <f ca="1">IFERROR(__xludf.DUMMYFUNCTION("GOOGLETRANSLATE(H3599,""EN"",""ES"")"),"INSTRUMENTOS DE TECLADO")</f>
        <v>INSTRUMENTOS DE TECLADO</v>
      </c>
      <c r="L3599" s="5" t="str">
        <f ca="1">IFERROR(__xludf.DUMMYFUNCTION("GOOGLETRANSLATE(J3599,""EN"",""ES"")"),"paradas de órganos")</f>
        <v>paradas de órganos</v>
      </c>
      <c r="M3599" s="8" t="s">
        <v>61</v>
      </c>
      <c r="N3599" s="8"/>
    </row>
    <row r="3600" spans="1:14" ht="11.25" customHeight="1">
      <c r="A3600" s="5" t="s">
        <v>10419</v>
      </c>
      <c r="B3600" s="5" t="s">
        <v>10420</v>
      </c>
      <c r="C3600" s="5" t="s">
        <v>10449</v>
      </c>
      <c r="D3600" s="5" t="s">
        <v>10422</v>
      </c>
      <c r="E3600" s="5" t="s">
        <v>62</v>
      </c>
      <c r="F3600" s="5" t="s">
        <v>10423</v>
      </c>
      <c r="G3600" s="5" t="s">
        <v>10424</v>
      </c>
      <c r="H3600" s="5" t="s">
        <v>10425</v>
      </c>
      <c r="I3600" s="5" t="s">
        <v>10450</v>
      </c>
      <c r="J3600" s="5" t="s">
        <v>10451</v>
      </c>
      <c r="K3600" s="7" t="str">
        <f ca="1">IFERROR(__xludf.DUMMYFUNCTION("GOOGLETRANSLATE(H3600,""EN"",""ES"")"),"INSTRUMENTOS DE TECLADO")</f>
        <v>INSTRUMENTOS DE TECLADO</v>
      </c>
      <c r="L3600" s="5" t="str">
        <f ca="1">IFERROR(__xludf.DUMMYFUNCTION("GOOGLETRANSLATE(J3600,""EN"",""ES"")"),"Tarjetas de sonido para pianos")</f>
        <v>Tarjetas de sonido para pianos</v>
      </c>
      <c r="M3600" s="8" t="s">
        <v>61</v>
      </c>
      <c r="N3600" s="8"/>
    </row>
    <row r="3601" spans="1:14" ht="11.25" customHeight="1">
      <c r="A3601" s="5" t="s">
        <v>10419</v>
      </c>
      <c r="B3601" s="5" t="s">
        <v>10420</v>
      </c>
      <c r="C3601" s="5" t="s">
        <v>10452</v>
      </c>
      <c r="D3601" s="5" t="s">
        <v>10422</v>
      </c>
      <c r="E3601" s="5" t="s">
        <v>62</v>
      </c>
      <c r="F3601" s="5" t="s">
        <v>10423</v>
      </c>
      <c r="G3601" s="5" t="s">
        <v>10424</v>
      </c>
      <c r="H3601" s="5" t="s">
        <v>10425</v>
      </c>
      <c r="I3601" s="5" t="s">
        <v>10453</v>
      </c>
      <c r="J3601" s="5" t="s">
        <v>10454</v>
      </c>
      <c r="K3601" s="7" t="str">
        <f ca="1">IFERROR(__xludf.DUMMYFUNCTION("GOOGLETRANSLATE(H3601,""EN"",""ES"")"),"INSTRUMENTOS DE TECLADO")</f>
        <v>INSTRUMENTOS DE TECLADO</v>
      </c>
      <c r="L3601" s="5" t="str">
        <f ca="1">IFERROR(__xludf.DUMMYFUNCTION("GOOGLETRANSLATE(J3601,""EN"",""ES"")"),"Teclas para instrumentos musicales.")</f>
        <v>Teclas para instrumentos musicales.</v>
      </c>
      <c r="M3601" s="8" t="s">
        <v>61</v>
      </c>
      <c r="N3601" s="8"/>
    </row>
    <row r="3602" spans="1:14" ht="11.25" customHeight="1">
      <c r="A3602" s="5" t="s">
        <v>10419</v>
      </c>
      <c r="B3602" s="5" t="s">
        <v>10420</v>
      </c>
      <c r="C3602" s="5" t="s">
        <v>10455</v>
      </c>
      <c r="D3602" s="5" t="s">
        <v>10422</v>
      </c>
      <c r="E3602" s="5" t="s">
        <v>62</v>
      </c>
      <c r="F3602" s="5" t="s">
        <v>10423</v>
      </c>
      <c r="G3602" s="5" t="s">
        <v>10424</v>
      </c>
      <c r="H3602" s="5" t="s">
        <v>10425</v>
      </c>
      <c r="I3602" s="5" t="s">
        <v>10456</v>
      </c>
      <c r="J3602" s="5" t="s">
        <v>10457</v>
      </c>
      <c r="K3602" s="7" t="str">
        <f ca="1">IFERROR(__xludf.DUMMYFUNCTION("GOOGLETRANSLATE(H3602,""EN"",""ES"")"),"INSTRUMENTOS DE TECLADO")</f>
        <v>INSTRUMENTOS DE TECLADO</v>
      </c>
      <c r="L3602" s="5" t="str">
        <f ca="1">IFERROR(__xludf.DUMMYFUNCTION("GOOGLETRANSLATE(J3602,""EN"",""ES"")"),"tubos de organo")</f>
        <v>tubos de organo</v>
      </c>
      <c r="M3602" s="8" t="s">
        <v>61</v>
      </c>
      <c r="N3602" s="8"/>
    </row>
    <row r="3603" spans="1:14" ht="11.25" customHeight="1">
      <c r="A3603" s="5" t="s">
        <v>10419</v>
      </c>
      <c r="B3603" s="5" t="s">
        <v>10458</v>
      </c>
      <c r="C3603" s="5" t="s">
        <v>10459</v>
      </c>
      <c r="D3603" s="5" t="s">
        <v>10422</v>
      </c>
      <c r="E3603" s="5" t="s">
        <v>62</v>
      </c>
      <c r="F3603" s="5" t="s">
        <v>10423</v>
      </c>
      <c r="G3603" s="5" t="s">
        <v>10424</v>
      </c>
      <c r="H3603" s="5" t="s">
        <v>10460</v>
      </c>
      <c r="I3603" s="5" t="s">
        <v>10461</v>
      </c>
      <c r="J3603" s="5" t="s">
        <v>10462</v>
      </c>
      <c r="K3603" s="7" t="str">
        <f ca="1">IFERROR(__xludf.DUMMYFUNCTION("GOOGLETRANSLATE(H3603,""EN"",""ES"")"),"INSTRUMENTOS DE VIENTO")</f>
        <v>INSTRUMENTOS DE VIENTO</v>
      </c>
      <c r="L3603" s="5" t="str">
        <f ca="1">IFERROR(__xludf.DUMMYFUNCTION("GOOGLETRANSLATE(J3603,""EN"",""ES"")"),"Cañas para instrumentos musicales")</f>
        <v>Cañas para instrumentos musicales</v>
      </c>
      <c r="M3603" s="8" t="s">
        <v>61</v>
      </c>
      <c r="N3603" s="8"/>
    </row>
    <row r="3604" spans="1:14" ht="11.25" customHeight="1">
      <c r="A3604" s="5" t="s">
        <v>10419</v>
      </c>
      <c r="B3604" s="5" t="s">
        <v>10458</v>
      </c>
      <c r="C3604" s="5" t="s">
        <v>10463</v>
      </c>
      <c r="D3604" s="5" t="s">
        <v>10422</v>
      </c>
      <c r="E3604" s="5" t="s">
        <v>62</v>
      </c>
      <c r="F3604" s="5" t="s">
        <v>10423</v>
      </c>
      <c r="G3604" s="5" t="s">
        <v>10424</v>
      </c>
      <c r="H3604" s="5" t="s">
        <v>10460</v>
      </c>
      <c r="I3604" s="5" t="s">
        <v>10464</v>
      </c>
      <c r="J3604" s="5" t="s">
        <v>10465</v>
      </c>
      <c r="K3604" s="7" t="str">
        <f ca="1">IFERROR(__xludf.DUMMYFUNCTION("GOOGLETRANSLATE(H3604,""EN"",""ES"")"),"INSTRUMENTOS DE VIENTO")</f>
        <v>INSTRUMENTOS DE VIENTO</v>
      </c>
      <c r="L3604" s="5" t="str">
        <f ca="1">IFERROR(__xludf.DUMMYFUNCTION("GOOGLETRANSLATE(J3604,""EN"",""ES"")"),"fagotes")</f>
        <v>fagotes</v>
      </c>
      <c r="M3604" s="8" t="s">
        <v>61</v>
      </c>
      <c r="N3604" s="8"/>
    </row>
    <row r="3605" spans="1:14" ht="11.25" customHeight="1">
      <c r="A3605" s="5" t="s">
        <v>10419</v>
      </c>
      <c r="B3605" s="5" t="s">
        <v>10458</v>
      </c>
      <c r="C3605" s="5" t="s">
        <v>10466</v>
      </c>
      <c r="D3605" s="5" t="s">
        <v>10422</v>
      </c>
      <c r="E3605" s="5" t="s">
        <v>62</v>
      </c>
      <c r="F3605" s="5" t="s">
        <v>10423</v>
      </c>
      <c r="G3605" s="5" t="s">
        <v>10424</v>
      </c>
      <c r="H3605" s="5" t="s">
        <v>10460</v>
      </c>
      <c r="I3605" s="5" t="s">
        <v>10467</v>
      </c>
      <c r="J3605" s="5" t="s">
        <v>10468</v>
      </c>
      <c r="K3605" s="7" t="str">
        <f ca="1">IFERROR(__xludf.DUMMYFUNCTION("GOOGLETRANSLATE(H3605,""EN"",""ES"")"),"INSTRUMENTOS DE VIENTO")</f>
        <v>INSTRUMENTOS DE VIENTO</v>
      </c>
      <c r="L3605" s="5" t="str">
        <f ca="1">IFERROR(__xludf.DUMMYFUNCTION("GOOGLETRANSLATE(J3605,""EN"",""ES"")"),"cornetas")</f>
        <v>cornetas</v>
      </c>
      <c r="M3605" s="8" t="s">
        <v>61</v>
      </c>
      <c r="N3605" s="8"/>
    </row>
    <row r="3606" spans="1:14" ht="11.25" customHeight="1">
      <c r="A3606" s="5" t="s">
        <v>10419</v>
      </c>
      <c r="B3606" s="5" t="s">
        <v>10458</v>
      </c>
      <c r="C3606" s="5" t="s">
        <v>10469</v>
      </c>
      <c r="D3606" s="5" t="s">
        <v>10422</v>
      </c>
      <c r="E3606" s="5" t="s">
        <v>62</v>
      </c>
      <c r="F3606" s="5" t="s">
        <v>10423</v>
      </c>
      <c r="G3606" s="5" t="s">
        <v>10424</v>
      </c>
      <c r="H3606" s="5" t="s">
        <v>10460</v>
      </c>
      <c r="I3606" s="5" t="s">
        <v>10470</v>
      </c>
      <c r="J3606" s="5" t="s">
        <v>10471</v>
      </c>
      <c r="K3606" s="7" t="str">
        <f ca="1">IFERROR(__xludf.DUMMYFUNCTION("GOOGLETRANSLATE(H3606,""EN"",""ES"")"),"INSTRUMENTOS DE VIENTO")</f>
        <v>INSTRUMENTOS DE VIENTO</v>
      </c>
      <c r="L3606" s="5" t="str">
        <f ca="1">IFERROR(__xludf.DUMMYFUNCTION("GOOGLETRANSLATE(J3606,""EN"",""ES"")"),"clarinetes")</f>
        <v>clarinetes</v>
      </c>
      <c r="M3606" s="8" t="s">
        <v>61</v>
      </c>
      <c r="N3606" s="8"/>
    </row>
    <row r="3607" spans="1:14" ht="11.25" customHeight="1">
      <c r="A3607" s="5" t="s">
        <v>10419</v>
      </c>
      <c r="B3607" s="5" t="s">
        <v>10458</v>
      </c>
      <c r="C3607" s="5" t="s">
        <v>10472</v>
      </c>
      <c r="D3607" s="5" t="s">
        <v>10422</v>
      </c>
      <c r="E3607" s="5" t="s">
        <v>62</v>
      </c>
      <c r="F3607" s="5" t="s">
        <v>10423</v>
      </c>
      <c r="G3607" s="5" t="s">
        <v>10424</v>
      </c>
      <c r="H3607" s="5" t="s">
        <v>10460</v>
      </c>
      <c r="I3607" s="5" t="s">
        <v>10473</v>
      </c>
      <c r="J3607" s="5" t="s">
        <v>10474</v>
      </c>
      <c r="K3607" s="7" t="str">
        <f ca="1">IFERROR(__xludf.DUMMYFUNCTION("GOOGLETRANSLATE(H3607,""EN"",""ES"")"),"INSTRUMENTOS DE VIENTO")</f>
        <v>INSTRUMENTOS DE VIENTO</v>
      </c>
      <c r="L3607" s="5" t="str">
        <f ca="1">IFERROR(__xludf.DUMMYFUNCTION("GOOGLETRANSLATE(J3607,""EN"",""ES"")"),"Cuernos [instrumentos musicales]")</f>
        <v>Cuernos [instrumentos musicales]</v>
      </c>
      <c r="M3607" s="8" t="s">
        <v>61</v>
      </c>
      <c r="N3607" s="8"/>
    </row>
    <row r="3608" spans="1:14" ht="11.25" customHeight="1">
      <c r="A3608" s="5" t="s">
        <v>10419</v>
      </c>
      <c r="B3608" s="5" t="s">
        <v>10458</v>
      </c>
      <c r="C3608" s="5" t="s">
        <v>10472</v>
      </c>
      <c r="D3608" s="5" t="s">
        <v>10422</v>
      </c>
      <c r="E3608" s="5" t="s">
        <v>62</v>
      </c>
      <c r="F3608" s="5" t="s">
        <v>10423</v>
      </c>
      <c r="G3608" s="5" t="s">
        <v>10424</v>
      </c>
      <c r="H3608" s="5" t="s">
        <v>10460</v>
      </c>
      <c r="I3608" s="5" t="s">
        <v>152</v>
      </c>
      <c r="J3608" s="5" t="s">
        <v>10475</v>
      </c>
      <c r="K3608" s="7" t="str">
        <f ca="1">IFERROR(__xludf.DUMMYFUNCTION("GOOGLETRANSLATE(H3608,""EN"",""ES"")"),"INSTRUMENTOS DE VIENTO")</f>
        <v>INSTRUMENTOS DE VIENTO</v>
      </c>
      <c r="L3608" s="5" t="str">
        <f ca="1">IFERROR(__xludf.DUMMYFUNCTION("GOOGLETRANSLATE(J3608,""EN"",""ES"")"),"N / A")</f>
        <v>N / A</v>
      </c>
      <c r="M3608" s="8" t="s">
        <v>61</v>
      </c>
      <c r="N3608" s="8"/>
    </row>
    <row r="3609" spans="1:14" ht="11.25" customHeight="1">
      <c r="A3609" s="5" t="s">
        <v>10419</v>
      </c>
      <c r="B3609" s="5" t="s">
        <v>10458</v>
      </c>
      <c r="C3609" s="5" t="s">
        <v>10476</v>
      </c>
      <c r="D3609" s="5" t="s">
        <v>10422</v>
      </c>
      <c r="E3609" s="5" t="s">
        <v>62</v>
      </c>
      <c r="F3609" s="5" t="s">
        <v>10423</v>
      </c>
      <c r="G3609" s="5" t="s">
        <v>10424</v>
      </c>
      <c r="H3609" s="5" t="s">
        <v>10460</v>
      </c>
      <c r="I3609" s="5" t="s">
        <v>10477</v>
      </c>
      <c r="J3609" s="5" t="s">
        <v>10478</v>
      </c>
      <c r="K3609" s="7" t="str">
        <f ca="1">IFERROR(__xludf.DUMMYFUNCTION("GOOGLETRANSLATE(H3609,""EN"",""ES"")"),"INSTRUMENTOS DE VIENTO")</f>
        <v>INSTRUMENTOS DE VIENTO</v>
      </c>
      <c r="L3609" s="5" t="str">
        <f ca="1">IFERROR(__xludf.DUMMYFUNCTION("GOOGLETRANSLATE(J3609,""EN"",""ES"")"),"Cornetas [instrumentos musicales]")</f>
        <v>Cornetas [instrumentos musicales]</v>
      </c>
      <c r="M3609" s="8" t="s">
        <v>61</v>
      </c>
      <c r="N3609" s="8"/>
    </row>
    <row r="3610" spans="1:14" ht="11.25" customHeight="1">
      <c r="A3610" s="5" t="s">
        <v>10419</v>
      </c>
      <c r="B3610" s="5" t="s">
        <v>10458</v>
      </c>
      <c r="C3610" s="5" t="s">
        <v>10479</v>
      </c>
      <c r="D3610" s="5" t="s">
        <v>10422</v>
      </c>
      <c r="E3610" s="5" t="s">
        <v>62</v>
      </c>
      <c r="F3610" s="5" t="s">
        <v>10423</v>
      </c>
      <c r="G3610" s="5" t="s">
        <v>10424</v>
      </c>
      <c r="H3610" s="5" t="s">
        <v>10460</v>
      </c>
      <c r="I3610" s="5" t="s">
        <v>10480</v>
      </c>
      <c r="J3610" s="5" t="s">
        <v>10481</v>
      </c>
      <c r="K3610" s="7" t="str">
        <f ca="1">IFERROR(__xludf.DUMMYFUNCTION("GOOGLETRANSLATE(H3610,""EN"",""ES"")"),"INSTRUMENTOS DE VIENTO")</f>
        <v>INSTRUMENTOS DE VIENTO</v>
      </c>
      <c r="L3610" s="5" t="str">
        <f ca="1">IFERROR(__xludf.DUMMYFUNCTION("GOOGLETRANSLATE(J3610,""EN"",""ES"")"),"cuernos de caza")</f>
        <v>cuernos de caza</v>
      </c>
      <c r="M3610" s="8" t="s">
        <v>61</v>
      </c>
      <c r="N3610" s="8"/>
    </row>
    <row r="3611" spans="1:14" ht="11.25" customHeight="1">
      <c r="A3611" s="5" t="s">
        <v>10419</v>
      </c>
      <c r="B3611" s="5" t="s">
        <v>10458</v>
      </c>
      <c r="C3611" s="5" t="s">
        <v>10482</v>
      </c>
      <c r="D3611" s="5" t="s">
        <v>10422</v>
      </c>
      <c r="E3611" s="5" t="s">
        <v>62</v>
      </c>
      <c r="F3611" s="5" t="s">
        <v>10423</v>
      </c>
      <c r="G3611" s="5" t="s">
        <v>10424</v>
      </c>
      <c r="H3611" s="5" t="s">
        <v>10460</v>
      </c>
      <c r="I3611" s="5" t="s">
        <v>10483</v>
      </c>
      <c r="J3611" s="5" t="s">
        <v>10484</v>
      </c>
      <c r="K3611" s="7" t="str">
        <f ca="1">IFERROR(__xludf.DUMMYFUNCTION("GOOGLETRANSLATE(H3611,""EN"",""ES"")"),"INSTRUMENTOS DE VIENTO")</f>
        <v>INSTRUMENTOS DE VIENTO</v>
      </c>
      <c r="L3611" s="5" t="str">
        <f ca="1">IFERROR(__xludf.DUMMYFUNCTION("GOOGLETRANSLATE(J3611,""EN"",""ES"")"),"Flautas")</f>
        <v>Flautas</v>
      </c>
      <c r="M3611" s="8" t="s">
        <v>61</v>
      </c>
      <c r="N3611" s="8"/>
    </row>
    <row r="3612" spans="1:14" ht="11.25" customHeight="1">
      <c r="A3612" s="5" t="s">
        <v>10419</v>
      </c>
      <c r="B3612" s="5" t="s">
        <v>10458</v>
      </c>
      <c r="C3612" s="5" t="s">
        <v>10485</v>
      </c>
      <c r="D3612" s="5" t="s">
        <v>10422</v>
      </c>
      <c r="E3612" s="5" t="s">
        <v>62</v>
      </c>
      <c r="F3612" s="5" t="s">
        <v>10423</v>
      </c>
      <c r="G3612" s="5" t="s">
        <v>10424</v>
      </c>
      <c r="H3612" s="5" t="s">
        <v>10460</v>
      </c>
      <c r="I3612" s="5" t="s">
        <v>10486</v>
      </c>
      <c r="J3612" s="5" t="s">
        <v>10486</v>
      </c>
      <c r="K3612" s="7" t="str">
        <f ca="1">IFERROR(__xludf.DUMMYFUNCTION("GOOGLETRANSLATE(H3612,""EN"",""ES"")"),"INSTRUMENTOS DE VIENTO")</f>
        <v>INSTRUMENTOS DE VIENTO</v>
      </c>
      <c r="L3612" s="5" t="str">
        <f ca="1">IFERROR(__xludf.DUMMYFUNCTION("GOOGLETRANSLATE(J3612,""EN"",""ES"")"),"armónicas")</f>
        <v>armónicas</v>
      </c>
      <c r="M3612" s="8" t="s">
        <v>61</v>
      </c>
      <c r="N3612" s="8"/>
    </row>
    <row r="3613" spans="1:14" ht="11.25" customHeight="1">
      <c r="A3613" s="5" t="s">
        <v>10419</v>
      </c>
      <c r="B3613" s="5" t="s">
        <v>10458</v>
      </c>
      <c r="C3613" s="5" t="s">
        <v>10485</v>
      </c>
      <c r="D3613" s="5" t="s">
        <v>10422</v>
      </c>
      <c r="E3613" s="5" t="s">
        <v>62</v>
      </c>
      <c r="F3613" s="5" t="s">
        <v>10423</v>
      </c>
      <c r="G3613" s="5" t="s">
        <v>10424</v>
      </c>
      <c r="H3613" s="5" t="s">
        <v>10460</v>
      </c>
      <c r="I3613" s="5" t="s">
        <v>10487</v>
      </c>
      <c r="J3613" s="5" t="s">
        <v>10488</v>
      </c>
      <c r="K3613" s="7" t="str">
        <f ca="1">IFERROR(__xludf.DUMMYFUNCTION("GOOGLETRANSLATE(H3613,""EN"",""ES"")"),"INSTRUMENTOS DE VIENTO")</f>
        <v>INSTRUMENTOS DE VIENTO</v>
      </c>
      <c r="L3613" s="5" t="str">
        <f ca="1">IFERROR(__xludf.DUMMYFUNCTION("GOOGLETRANSLATE(J3613,""EN"",""ES"")"),"órganos bucales")</f>
        <v>órganos bucales</v>
      </c>
      <c r="M3613" s="8" t="s">
        <v>61</v>
      </c>
      <c r="N3613" s="8"/>
    </row>
    <row r="3614" spans="1:14" ht="11.25" customHeight="1">
      <c r="A3614" s="5" t="s">
        <v>10419</v>
      </c>
      <c r="B3614" s="5" t="s">
        <v>10458</v>
      </c>
      <c r="C3614" s="5" t="s">
        <v>10489</v>
      </c>
      <c r="D3614" s="5" t="s">
        <v>10422</v>
      </c>
      <c r="E3614" s="5" t="s">
        <v>62</v>
      </c>
      <c r="F3614" s="5" t="s">
        <v>10423</v>
      </c>
      <c r="G3614" s="5" t="s">
        <v>10424</v>
      </c>
      <c r="H3614" s="5" t="s">
        <v>10460</v>
      </c>
      <c r="I3614" s="5" t="s">
        <v>10490</v>
      </c>
      <c r="J3614" s="5" t="s">
        <v>10491</v>
      </c>
      <c r="K3614" s="7" t="str">
        <f ca="1">IFERROR(__xludf.DUMMYFUNCTION("GOOGLETRANSLATE(H3614,""EN"",""ES"")"),"INSTRUMENTOS DE VIENTO")</f>
        <v>INSTRUMENTOS DE VIENTO</v>
      </c>
      <c r="L3614" s="5" t="str">
        <f ca="1">IFERROR(__xludf.DUMMYFUNCTION("GOOGLETRANSLATE(J3614,""EN"",""ES"")"),"Oboes")</f>
        <v>Oboes</v>
      </c>
      <c r="M3614" s="8" t="s">
        <v>61</v>
      </c>
      <c r="N3614" s="8"/>
    </row>
    <row r="3615" spans="1:14" ht="11.25" customHeight="1">
      <c r="A3615" s="5" t="s">
        <v>10419</v>
      </c>
      <c r="B3615" s="5" t="s">
        <v>10458</v>
      </c>
      <c r="C3615" s="5" t="s">
        <v>10492</v>
      </c>
      <c r="D3615" s="5" t="s">
        <v>10422</v>
      </c>
      <c r="E3615" s="5" t="s">
        <v>62</v>
      </c>
      <c r="F3615" s="5" t="s">
        <v>10423</v>
      </c>
      <c r="G3615" s="5" t="s">
        <v>10424</v>
      </c>
      <c r="H3615" s="5" t="s">
        <v>10460</v>
      </c>
      <c r="I3615" s="5" t="s">
        <v>10493</v>
      </c>
      <c r="J3615" s="5" t="s">
        <v>10494</v>
      </c>
      <c r="K3615" s="7" t="str">
        <f ca="1">IFERROR(__xludf.DUMMYFUNCTION("GOOGLETRANSLATE(H3615,""EN"",""ES"")"),"INSTRUMENTOS DE VIENTO")</f>
        <v>INSTRUMENTOS DE VIENTO</v>
      </c>
      <c r="L3615" s="5" t="str">
        <f ca="1">IFERROR(__xludf.DUMMYFUNCTION("GOOGLETRANSLATE(J3615,""EN"",""ES"")"),"Kazoos")</f>
        <v>Kazoos</v>
      </c>
      <c r="M3615" s="8" t="s">
        <v>61</v>
      </c>
      <c r="N3615" s="8"/>
    </row>
    <row r="3616" spans="1:14" ht="11.25" customHeight="1">
      <c r="A3616" s="5" t="s">
        <v>10419</v>
      </c>
      <c r="B3616" s="5" t="s">
        <v>10458</v>
      </c>
      <c r="C3616" s="5" t="s">
        <v>10495</v>
      </c>
      <c r="D3616" s="5" t="s">
        <v>10422</v>
      </c>
      <c r="E3616" s="5" t="s">
        <v>62</v>
      </c>
      <c r="F3616" s="5" t="s">
        <v>10423</v>
      </c>
      <c r="G3616" s="5" t="s">
        <v>10424</v>
      </c>
      <c r="H3616" s="5" t="s">
        <v>10460</v>
      </c>
      <c r="I3616" s="5" t="s">
        <v>10496</v>
      </c>
      <c r="J3616" s="5" t="s">
        <v>10497</v>
      </c>
      <c r="K3616" s="7" t="str">
        <f ca="1">IFERROR(__xludf.DUMMYFUNCTION("GOOGLETRANSLATE(H3616,""EN"",""ES"")"),"INSTRUMENTOS DE VIENTO")</f>
        <v>INSTRUMENTOS DE VIENTO</v>
      </c>
      <c r="L3616" s="5" t="str">
        <f ca="1">IFERROR(__xludf.DUMMYFUNCTION("GOOGLETRANSLATE(J3616,""EN"",""ES"")"),"Gaita")</f>
        <v>Gaita</v>
      </c>
      <c r="M3616" s="8" t="s">
        <v>61</v>
      </c>
      <c r="N3616" s="8"/>
    </row>
    <row r="3617" spans="1:14" ht="11.25" customHeight="1">
      <c r="A3617" s="5" t="s">
        <v>10419</v>
      </c>
      <c r="B3617" s="5" t="s">
        <v>10458</v>
      </c>
      <c r="C3617" s="5" t="s">
        <v>10498</v>
      </c>
      <c r="D3617" s="5" t="s">
        <v>10422</v>
      </c>
      <c r="E3617" s="5" t="s">
        <v>62</v>
      </c>
      <c r="F3617" s="5" t="s">
        <v>10423</v>
      </c>
      <c r="G3617" s="5" t="s">
        <v>10424</v>
      </c>
      <c r="H3617" s="5" t="s">
        <v>10460</v>
      </c>
      <c r="I3617" s="5" t="s">
        <v>10499</v>
      </c>
      <c r="J3617" s="5" t="s">
        <v>10500</v>
      </c>
      <c r="K3617" s="7" t="str">
        <f ca="1">IFERROR(__xludf.DUMMYFUNCTION("GOOGLETRANSLATE(H3617,""EN"",""ES"")"),"INSTRUMENTOS DE VIENTO")</f>
        <v>INSTRUMENTOS DE VIENTO</v>
      </c>
      <c r="L3617" s="5" t="str">
        <f ca="1">IFERROR(__xludf.DUMMYFUNCTION("GOOGLETRANSLATE(J3617,""EN"",""ES"")"),"Instrumentos de viento")</f>
        <v>Instrumentos de viento</v>
      </c>
      <c r="M3617" s="8" t="s">
        <v>61</v>
      </c>
      <c r="N3617" s="8"/>
    </row>
    <row r="3618" spans="1:14" ht="11.25" customHeight="1">
      <c r="A3618" s="5" t="s">
        <v>10419</v>
      </c>
      <c r="B3618" s="5" t="s">
        <v>10458</v>
      </c>
      <c r="C3618" s="5" t="s">
        <v>10498</v>
      </c>
      <c r="D3618" s="5" t="s">
        <v>10422</v>
      </c>
      <c r="E3618" s="5" t="s">
        <v>62</v>
      </c>
      <c r="F3618" s="5" t="s">
        <v>10423</v>
      </c>
      <c r="G3618" s="5" t="s">
        <v>10424</v>
      </c>
      <c r="H3618" s="5" t="s">
        <v>10460</v>
      </c>
      <c r="I3618" s="5" t="s">
        <v>10501</v>
      </c>
      <c r="J3618" s="5" t="s">
        <v>152</v>
      </c>
      <c r="K3618" s="7" t="str">
        <f ca="1">IFERROR(__xludf.DUMMYFUNCTION("GOOGLETRANSLATE(H3618,""EN"",""ES"")"),"INSTRUMENTOS DE VIENTO")</f>
        <v>INSTRUMENTOS DE VIENTO</v>
      </c>
      <c r="L3618" s="5" t="str">
        <f ca="1">IFERROR(__xludf.DUMMYFUNCTION("GOOGLETRANSLATE(J3618,""EN"",""ES"")"),"Instrumentos musicales de viento")</f>
        <v>Instrumentos musicales de viento</v>
      </c>
      <c r="M3618" s="8" t="s">
        <v>61</v>
      </c>
      <c r="N3618" s="8"/>
    </row>
    <row r="3619" spans="1:14" ht="11.25" customHeight="1">
      <c r="A3619" s="5" t="s">
        <v>10419</v>
      </c>
      <c r="B3619" s="5" t="s">
        <v>10458</v>
      </c>
      <c r="C3619" s="5" t="s">
        <v>10502</v>
      </c>
      <c r="D3619" s="5" t="s">
        <v>10422</v>
      </c>
      <c r="E3619" s="5" t="s">
        <v>62</v>
      </c>
      <c r="F3619" s="5" t="s">
        <v>10423</v>
      </c>
      <c r="G3619" s="5" t="s">
        <v>10424</v>
      </c>
      <c r="H3619" s="5" t="s">
        <v>10460</v>
      </c>
      <c r="I3619" s="5" t="s">
        <v>10503</v>
      </c>
      <c r="J3619" s="5" t="s">
        <v>10503</v>
      </c>
      <c r="K3619" s="7" t="str">
        <f ca="1">IFERROR(__xludf.DUMMYFUNCTION("GOOGLETRANSLATE(H3619,""EN"",""ES"")"),"INSTRUMENTOS DE VIENTO")</f>
        <v>INSTRUMENTOS DE VIENTO</v>
      </c>
      <c r="L3619" s="5" t="str">
        <f ca="1">IFERROR(__xludf.DUMMYFUNCTION("GOOGLETRANSLATE(J3619,""EN"",""ES"")"),"ocarinas")</f>
        <v>ocarinas</v>
      </c>
      <c r="M3619" s="8" t="s">
        <v>61</v>
      </c>
      <c r="N3619" s="8"/>
    </row>
    <row r="3620" spans="1:14" ht="11.25" customHeight="1">
      <c r="A3620" s="5" t="s">
        <v>10419</v>
      </c>
      <c r="B3620" s="5" t="s">
        <v>10458</v>
      </c>
      <c r="C3620" s="5" t="s">
        <v>10504</v>
      </c>
      <c r="D3620" s="5" t="s">
        <v>10422</v>
      </c>
      <c r="E3620" s="5" t="s">
        <v>62</v>
      </c>
      <c r="F3620" s="5" t="s">
        <v>10423</v>
      </c>
      <c r="G3620" s="5" t="s">
        <v>10424</v>
      </c>
      <c r="H3620" s="5" t="s">
        <v>10460</v>
      </c>
      <c r="I3620" s="5" t="s">
        <v>10505</v>
      </c>
      <c r="J3620" s="5" t="s">
        <v>10505</v>
      </c>
      <c r="K3620" s="7" t="str">
        <f ca="1">IFERROR(__xludf.DUMMYFUNCTION("GOOGLETRANSLATE(H3620,""EN"",""ES"")"),"INSTRUMENTOS DE VIENTO")</f>
        <v>INSTRUMENTOS DE VIENTO</v>
      </c>
      <c r="L3620" s="5" t="str">
        <f ca="1">IFERROR(__xludf.DUMMYFUNCTION("GOOGLETRANSLATE(J3620,""EN"",""ES"")"),"piccolos")</f>
        <v>piccolos</v>
      </c>
      <c r="M3620" s="8" t="s">
        <v>61</v>
      </c>
      <c r="N3620" s="8"/>
    </row>
    <row r="3621" spans="1:14" ht="11.25" customHeight="1">
      <c r="A3621" s="5" t="s">
        <v>10419</v>
      </c>
      <c r="B3621" s="5" t="s">
        <v>10458</v>
      </c>
      <c r="C3621" s="5" t="s">
        <v>10506</v>
      </c>
      <c r="D3621" s="5" t="s">
        <v>10422</v>
      </c>
      <c r="E3621" s="5" t="s">
        <v>62</v>
      </c>
      <c r="F3621" s="5" t="s">
        <v>10423</v>
      </c>
      <c r="G3621" s="5" t="s">
        <v>10424</v>
      </c>
      <c r="H3621" s="5" t="s">
        <v>10460</v>
      </c>
      <c r="I3621" s="5" t="s">
        <v>10507</v>
      </c>
      <c r="J3621" s="5" t="s">
        <v>10508</v>
      </c>
      <c r="K3621" s="7" t="str">
        <f ca="1">IFERROR(__xludf.DUMMYFUNCTION("GOOGLETRANSLATE(H3621,""EN"",""ES"")"),"INSTRUMENTOS DE VIENTO")</f>
        <v>INSTRUMENTOS DE VIENTO</v>
      </c>
      <c r="L3621" s="5" t="str">
        <f ca="1">IFERROR(__xludf.DUMMYFUNCTION("GOOGLETRANSLATE(J3621,""EN"",""ES"")"),"Bombardinos")</f>
        <v>Bombardinos</v>
      </c>
      <c r="M3621" s="8" t="s">
        <v>61</v>
      </c>
      <c r="N3621" s="8"/>
    </row>
    <row r="3622" spans="1:14" ht="11.25" customHeight="1">
      <c r="A3622" s="5" t="s">
        <v>10419</v>
      </c>
      <c r="B3622" s="5" t="s">
        <v>10458</v>
      </c>
      <c r="C3622" s="5" t="s">
        <v>10509</v>
      </c>
      <c r="D3622" s="5" t="s">
        <v>10422</v>
      </c>
      <c r="E3622" s="5" t="s">
        <v>62</v>
      </c>
      <c r="F3622" s="5" t="s">
        <v>10423</v>
      </c>
      <c r="G3622" s="5" t="s">
        <v>10424</v>
      </c>
      <c r="H3622" s="5" t="s">
        <v>10460</v>
      </c>
      <c r="I3622" s="5" t="s">
        <v>10510</v>
      </c>
      <c r="J3622" s="5" t="s">
        <v>10510</v>
      </c>
      <c r="K3622" s="7" t="str">
        <f ca="1">IFERROR(__xludf.DUMMYFUNCTION("GOOGLETRANSLATE(H3622,""EN"",""ES"")"),"INSTRUMENTOS DE VIENTO")</f>
        <v>INSTRUMENTOS DE VIENTO</v>
      </c>
      <c r="L3622" s="5" t="str">
        <f ca="1">IFERROR(__xludf.DUMMYFUNCTION("GOOGLETRANSLATE(J3622,""EN"",""ES"")"),"Saxofones")</f>
        <v>Saxofones</v>
      </c>
      <c r="M3622" s="8" t="s">
        <v>61</v>
      </c>
      <c r="N3622" s="8"/>
    </row>
    <row r="3623" spans="1:14" ht="11.25" customHeight="1">
      <c r="A3623" s="5" t="s">
        <v>10419</v>
      </c>
      <c r="B3623" s="5" t="s">
        <v>10458</v>
      </c>
      <c r="C3623" s="5" t="s">
        <v>10511</v>
      </c>
      <c r="D3623" s="5" t="s">
        <v>10422</v>
      </c>
      <c r="E3623" s="5" t="s">
        <v>62</v>
      </c>
      <c r="F3623" s="5" t="s">
        <v>10423</v>
      </c>
      <c r="G3623" s="5" t="s">
        <v>10424</v>
      </c>
      <c r="H3623" s="5" t="s">
        <v>10460</v>
      </c>
      <c r="I3623" s="5" t="s">
        <v>10512</v>
      </c>
      <c r="J3623" s="5" t="s">
        <v>10513</v>
      </c>
      <c r="K3623" s="7" t="str">
        <f ca="1">IFERROR(__xludf.DUMMYFUNCTION("GOOGLETRANSLATE(H3623,""EN"",""ES"")"),"INSTRUMENTOS DE VIENTO")</f>
        <v>INSTRUMENTOS DE VIENTO</v>
      </c>
      <c r="L3623" s="5" t="str">
        <f ca="1">IFERROR(__xludf.DUMMYFUNCTION("GOOGLETRANSLATE(J3623,""EN"",""ES"")"),"Trombones")</f>
        <v>Trombones</v>
      </c>
      <c r="M3623" s="8" t="s">
        <v>61</v>
      </c>
      <c r="N3623" s="8"/>
    </row>
    <row r="3624" spans="1:14" ht="11.25" customHeight="1">
      <c r="A3624" s="5" t="s">
        <v>10419</v>
      </c>
      <c r="B3624" s="5" t="s">
        <v>10458</v>
      </c>
      <c r="C3624" s="5" t="s">
        <v>10514</v>
      </c>
      <c r="D3624" s="5" t="s">
        <v>10422</v>
      </c>
      <c r="E3624" s="5" t="s">
        <v>62</v>
      </c>
      <c r="F3624" s="5" t="s">
        <v>10423</v>
      </c>
      <c r="G3624" s="5" t="s">
        <v>10424</v>
      </c>
      <c r="H3624" s="5" t="s">
        <v>10460</v>
      </c>
      <c r="I3624" s="5" t="s">
        <v>10515</v>
      </c>
      <c r="J3624" s="5" t="s">
        <v>10516</v>
      </c>
      <c r="K3624" s="7" t="str">
        <f ca="1">IFERROR(__xludf.DUMMYFUNCTION("GOOGLETRANSLATE(H3624,""EN"",""ES"")"),"INSTRUMENTOS DE VIENTO")</f>
        <v>INSTRUMENTOS DE VIENTO</v>
      </c>
      <c r="L3624" s="5" t="str">
        <f ca="1">IFERROR(__xludf.DUMMYFUNCTION("GOOGLETRANSLATE(J3624,""EN"",""ES"")"),"Trompetas [instrumentos musicales]")</f>
        <v>Trompetas [instrumentos musicales]</v>
      </c>
      <c r="M3624" s="8" t="s">
        <v>61</v>
      </c>
      <c r="N3624" s="8"/>
    </row>
    <row r="3625" spans="1:14" ht="11.25" customHeight="1">
      <c r="A3625" s="5" t="s">
        <v>10419</v>
      </c>
      <c r="B3625" s="5" t="s">
        <v>10458</v>
      </c>
      <c r="C3625" s="5" t="s">
        <v>10517</v>
      </c>
      <c r="D3625" s="5" t="s">
        <v>10422</v>
      </c>
      <c r="E3625" s="5" t="s">
        <v>62</v>
      </c>
      <c r="F3625" s="5" t="s">
        <v>10423</v>
      </c>
      <c r="G3625" s="5" t="s">
        <v>10424</v>
      </c>
      <c r="H3625" s="5" t="s">
        <v>10460</v>
      </c>
      <c r="I3625" s="5" t="s">
        <v>10518</v>
      </c>
      <c r="J3625" s="5" t="s">
        <v>10519</v>
      </c>
      <c r="K3625" s="7" t="str">
        <f ca="1">IFERROR(__xludf.DUMMYFUNCTION("GOOGLETRANSLATE(H3625,""EN"",""ES"")"),"INSTRUMENTOS DE VIENTO")</f>
        <v>INSTRUMENTOS DE VIENTO</v>
      </c>
      <c r="L3625" s="5" t="str">
        <f ca="1">IFERROR(__xludf.DUMMYFUNCTION("GOOGLETRANSLATE(J3625,""EN"",""ES"")"),"Hulusies [instrumentos musicales]")</f>
        <v>Hulusies [instrumentos musicales]</v>
      </c>
      <c r="M3625" s="8" t="s">
        <v>61</v>
      </c>
      <c r="N3625" s="8"/>
    </row>
    <row r="3626" spans="1:14" ht="11.25" customHeight="1">
      <c r="A3626" s="5" t="s">
        <v>10419</v>
      </c>
      <c r="B3626" s="5" t="s">
        <v>10458</v>
      </c>
      <c r="C3626" s="5" t="s">
        <v>10520</v>
      </c>
      <c r="D3626" s="5" t="s">
        <v>10422</v>
      </c>
      <c r="E3626" s="5" t="s">
        <v>62</v>
      </c>
      <c r="F3626" s="5" t="s">
        <v>10423</v>
      </c>
      <c r="G3626" s="5" t="s">
        <v>10424</v>
      </c>
      <c r="H3626" s="5" t="s">
        <v>10460</v>
      </c>
      <c r="I3626" s="5" t="s">
        <v>10521</v>
      </c>
      <c r="J3626" s="5" t="s">
        <v>10522</v>
      </c>
      <c r="K3626" s="7" t="str">
        <f ca="1">IFERROR(__xludf.DUMMYFUNCTION("GOOGLETRANSLATE(H3626,""EN"",""ES"")"),"INSTRUMENTOS DE VIENTO")</f>
        <v>INSTRUMENTOS DE VIENTO</v>
      </c>
      <c r="L3626" s="5" t="str">
        <f ca="1">IFERROR(__xludf.DUMMYFUNCTION("GOOGLETRANSLATE(J3626,""EN"",""ES"")"),"Xuns [instrumentos musicales]")</f>
        <v>Xuns [instrumentos musicales]</v>
      </c>
      <c r="M3626" s="8" t="s">
        <v>61</v>
      </c>
      <c r="N3626" s="8"/>
    </row>
    <row r="3627" spans="1:14" ht="11.25" customHeight="1">
      <c r="A3627" s="5" t="s">
        <v>10419</v>
      </c>
      <c r="B3627" s="5" t="s">
        <v>10458</v>
      </c>
      <c r="C3627" s="5" t="s">
        <v>10520</v>
      </c>
      <c r="D3627" s="5" t="s">
        <v>10422</v>
      </c>
      <c r="E3627" s="5" t="s">
        <v>62</v>
      </c>
      <c r="F3627" s="5" t="s">
        <v>10423</v>
      </c>
      <c r="G3627" s="5" t="s">
        <v>10424</v>
      </c>
      <c r="H3627" s="5" t="s">
        <v>10460</v>
      </c>
      <c r="I3627" s="5" t="s">
        <v>10523</v>
      </c>
      <c r="J3627" s="5" t="s">
        <v>152</v>
      </c>
      <c r="K3627" s="7" t="str">
        <f ca="1">IFERROR(__xludf.DUMMYFUNCTION("GOOGLETRANSLATE(H3627,""EN"",""ES"")"),"INSTRUMENTOS DE VIENTO")</f>
        <v>INSTRUMENTOS DE VIENTO</v>
      </c>
      <c r="L3627" s="5" t="str">
        <f ca="1">IFERROR(__xludf.DUMMYFUNCTION("GOOGLETRANSLATE(J3627,""EN"",""ES"")"),"Tsuns [instrumentos musicales]")</f>
        <v>Tsuns [instrumentos musicales]</v>
      </c>
      <c r="M3627" s="8" t="s">
        <v>61</v>
      </c>
      <c r="N3627" s="8"/>
    </row>
    <row r="3628" spans="1:14" ht="11.25" customHeight="1">
      <c r="A3628" s="5" t="s">
        <v>10419</v>
      </c>
      <c r="B3628" s="5" t="s">
        <v>10524</v>
      </c>
      <c r="C3628" s="5" t="s">
        <v>10525</v>
      </c>
      <c r="D3628" s="5" t="s">
        <v>10422</v>
      </c>
      <c r="E3628" s="5" t="s">
        <v>62</v>
      </c>
      <c r="F3628" s="5" t="s">
        <v>10423</v>
      </c>
      <c r="G3628" s="5" t="s">
        <v>10424</v>
      </c>
      <c r="H3628" s="5" t="s">
        <v>10526</v>
      </c>
      <c r="I3628" s="5" t="s">
        <v>10527</v>
      </c>
      <c r="J3628" s="5" t="s">
        <v>10528</v>
      </c>
      <c r="K3628" s="7" t="str">
        <f ca="1">IFERROR(__xludf.DUMMYFUNCTION("GOOGLETRANSLATE(H3628,""EN"",""ES"")"),"INSTRUMENTOS DE CUERDA")</f>
        <v>INSTRUMENTOS DE CUERDA</v>
      </c>
      <c r="L3628" s="5" t="str">
        <f ca="1">IFERROR(__xludf.DUMMYFUNCTION("GOOGLETRANSLATE(J3628,""EN"",""ES"")"),"Arcos para instrumentos musicales.")</f>
        <v>Arcos para instrumentos musicales.</v>
      </c>
      <c r="M3628" s="8" t="s">
        <v>61</v>
      </c>
      <c r="N3628" s="8"/>
    </row>
    <row r="3629" spans="1:14" ht="11.25" customHeight="1">
      <c r="A3629" s="5" t="s">
        <v>10419</v>
      </c>
      <c r="B3629" s="5" t="s">
        <v>10524</v>
      </c>
      <c r="C3629" s="5" t="s">
        <v>10529</v>
      </c>
      <c r="D3629" s="5" t="s">
        <v>10422</v>
      </c>
      <c r="E3629" s="5" t="s">
        <v>62</v>
      </c>
      <c r="F3629" s="5" t="s">
        <v>10423</v>
      </c>
      <c r="G3629" s="5" t="s">
        <v>10424</v>
      </c>
      <c r="H3629" s="5" t="s">
        <v>10526</v>
      </c>
      <c r="I3629" s="5" t="s">
        <v>10530</v>
      </c>
      <c r="J3629" s="5" t="s">
        <v>10530</v>
      </c>
      <c r="K3629" s="7" t="str">
        <f ca="1">IFERROR(__xludf.DUMMYFUNCTION("GOOGLETRANSLATE(H3629,""EN"",""ES"")"),"INSTRUMENTOS DE CUERDA")</f>
        <v>INSTRUMENTOS DE CUERDA</v>
      </c>
      <c r="L3629" s="5" t="str">
        <f ca="1">IFERROR(__xludf.DUMMYFUNCTION("GOOGLETRANSLATE(J3629,""EN"",""ES"")"),"banjos")</f>
        <v>banjos</v>
      </c>
      <c r="M3629" s="8" t="s">
        <v>61</v>
      </c>
      <c r="N3629" s="8"/>
    </row>
    <row r="3630" spans="1:14" ht="11.25" customHeight="1">
      <c r="A3630" s="5" t="s">
        <v>10419</v>
      </c>
      <c r="B3630" s="5" t="s">
        <v>10524</v>
      </c>
      <c r="C3630" s="5" t="s">
        <v>10531</v>
      </c>
      <c r="D3630" s="5" t="s">
        <v>10422</v>
      </c>
      <c r="E3630" s="5" t="s">
        <v>62</v>
      </c>
      <c r="F3630" s="5" t="s">
        <v>10423</v>
      </c>
      <c r="G3630" s="5" t="s">
        <v>10424</v>
      </c>
      <c r="H3630" s="5" t="s">
        <v>10526</v>
      </c>
      <c r="I3630" s="5" t="s">
        <v>10532</v>
      </c>
      <c r="J3630" s="5" t="s">
        <v>10533</v>
      </c>
      <c r="K3630" s="7" t="str">
        <f ca="1">IFERROR(__xludf.DUMMYFUNCTION("GOOGLETRANSLATE(H3630,""EN"",""ES"")"),"INSTRUMENTOS DE CUERDA")</f>
        <v>INSTRUMENTOS DE CUERDA</v>
      </c>
      <c r="L3630" s="5" t="str">
        <f ca="1">IFERROR(__xludf.DUMMYFUNCTION("GOOGLETRANSLATE(J3630,""EN"",""ES"")"),"cítaras")</f>
        <v>cítaras</v>
      </c>
      <c r="M3630" s="8" t="s">
        <v>61</v>
      </c>
      <c r="N3630" s="8"/>
    </row>
    <row r="3631" spans="1:14" ht="11.25" customHeight="1">
      <c r="A3631" s="5" t="s">
        <v>10419</v>
      </c>
      <c r="B3631" s="5" t="s">
        <v>10524</v>
      </c>
      <c r="C3631" s="5" t="s">
        <v>10534</v>
      </c>
      <c r="D3631" s="5" t="s">
        <v>10422</v>
      </c>
      <c r="E3631" s="5" t="s">
        <v>62</v>
      </c>
      <c r="F3631" s="5" t="s">
        <v>10423</v>
      </c>
      <c r="G3631" s="5" t="s">
        <v>10424</v>
      </c>
      <c r="H3631" s="5" t="s">
        <v>10526</v>
      </c>
      <c r="I3631" s="5" t="s">
        <v>10535</v>
      </c>
      <c r="J3631" s="5" t="s">
        <v>10536</v>
      </c>
      <c r="K3631" s="7" t="str">
        <f ca="1">IFERROR(__xludf.DUMMYFUNCTION("GOOGLETRANSLATE(H3631,""EN"",""ES"")"),"INSTRUMENTOS DE CUERDA")</f>
        <v>INSTRUMENTOS DE CUERDA</v>
      </c>
      <c r="L3631" s="5" t="str">
        <f ca="1">IFERROR(__xludf.DUMMYFUNCTION("GOOGLETRANSLATE(J3631,""EN"",""ES"")"),"Clavijas para instrumentos de cuerda")</f>
        <v>Clavijas para instrumentos de cuerda</v>
      </c>
      <c r="M3631" s="8" t="s">
        <v>61</v>
      </c>
      <c r="N3631" s="8"/>
    </row>
    <row r="3632" spans="1:14" ht="11.25" customHeight="1">
      <c r="A3632" s="5" t="s">
        <v>10419</v>
      </c>
      <c r="B3632" s="5" t="s">
        <v>10524</v>
      </c>
      <c r="C3632" s="5" t="s">
        <v>10534</v>
      </c>
      <c r="D3632" s="5" t="s">
        <v>10422</v>
      </c>
      <c r="E3632" s="5" t="s">
        <v>62</v>
      </c>
      <c r="F3632" s="5" t="s">
        <v>10423</v>
      </c>
      <c r="G3632" s="5" t="s">
        <v>10424</v>
      </c>
      <c r="H3632" s="5" t="s">
        <v>10526</v>
      </c>
      <c r="I3632" s="5" t="s">
        <v>10537</v>
      </c>
      <c r="J3632" s="5" t="s">
        <v>10538</v>
      </c>
      <c r="K3632" s="7" t="str">
        <f ca="1">IFERROR(__xludf.DUMMYFUNCTION("GOOGLETRANSLATE(H3632,""EN"",""ES"")"),"INSTRUMENTOS DE CUERDA")</f>
        <v>INSTRUMENTOS DE CUERDA</v>
      </c>
      <c r="L3632" s="5" t="str">
        <f ca="1">IFERROR(__xludf.DUMMYFUNCTION("GOOGLETRANSLATE(J3632,""EN"",""ES"")"),"Clavijas para instrumentos de cuerda")</f>
        <v>Clavijas para instrumentos de cuerda</v>
      </c>
      <c r="M3632" s="8" t="s">
        <v>61</v>
      </c>
      <c r="N3632" s="8"/>
    </row>
    <row r="3633" spans="1:14" ht="11.25" customHeight="1">
      <c r="A3633" s="5" t="s">
        <v>10419</v>
      </c>
      <c r="B3633" s="5" t="s">
        <v>10524</v>
      </c>
      <c r="C3633" s="5" t="s">
        <v>10539</v>
      </c>
      <c r="D3633" s="5" t="s">
        <v>10422</v>
      </c>
      <c r="E3633" s="5" t="s">
        <v>62</v>
      </c>
      <c r="F3633" s="5" t="s">
        <v>10423</v>
      </c>
      <c r="G3633" s="5" t="s">
        <v>10424</v>
      </c>
      <c r="H3633" s="5" t="s">
        <v>10526</v>
      </c>
      <c r="I3633" s="5" t="s">
        <v>10540</v>
      </c>
      <c r="J3633" s="5" t="s">
        <v>10541</v>
      </c>
      <c r="K3633" s="7" t="str">
        <f ca="1">IFERROR(__xludf.DUMMYFUNCTION("GOOGLETRANSLATE(H3633,""EN"",""ES"")"),"INSTRUMENTOS DE CUERDA")</f>
        <v>INSTRUMENTOS DE CUERDA</v>
      </c>
      <c r="L3633" s="5" t="str">
        <f ca="1">IFERROR(__xludf.DUMMYFUNCTION("GOOGLETRANSLATE(J3633,""EN"",""ES"")"),"Contrabajo")</f>
        <v>Contrabajo</v>
      </c>
      <c r="M3633" s="8" t="s">
        <v>61</v>
      </c>
      <c r="N3633" s="8"/>
    </row>
    <row r="3634" spans="1:14" ht="11.25" customHeight="1">
      <c r="A3634" s="5" t="s">
        <v>10419</v>
      </c>
      <c r="B3634" s="5" t="s">
        <v>10524</v>
      </c>
      <c r="C3634" s="5" t="s">
        <v>10542</v>
      </c>
      <c r="D3634" s="5" t="s">
        <v>10422</v>
      </c>
      <c r="E3634" s="5" t="s">
        <v>62</v>
      </c>
      <c r="F3634" s="5" t="s">
        <v>10423</v>
      </c>
      <c r="G3634" s="5" t="s">
        <v>10424</v>
      </c>
      <c r="H3634" s="5" t="s">
        <v>10526</v>
      </c>
      <c r="I3634" s="5" t="s">
        <v>10543</v>
      </c>
      <c r="J3634" s="5" t="s">
        <v>10544</v>
      </c>
      <c r="K3634" s="7" t="str">
        <f ca="1">IFERROR(__xludf.DUMMYFUNCTION("GOOGLETRANSLATE(H3634,""EN"",""ES"")"),"INSTRUMENTOS DE CUERDA")</f>
        <v>INSTRUMENTOS DE CUERDA</v>
      </c>
      <c r="L3634" s="5" t="str">
        <f ca="1">IFERROR(__xludf.DUMMYFUNCTION("GOOGLETRANSLATE(J3634,""EN"",""ES"")"),"Instrumentos de cuerda")</f>
        <v>Instrumentos de cuerda</v>
      </c>
      <c r="M3634" s="8" t="s">
        <v>61</v>
      </c>
      <c r="N3634" s="8"/>
    </row>
    <row r="3635" spans="1:14" ht="11.25" customHeight="1">
      <c r="A3635" s="5" t="s">
        <v>10419</v>
      </c>
      <c r="B3635" s="5" t="s">
        <v>10524</v>
      </c>
      <c r="C3635" s="5" t="s">
        <v>10545</v>
      </c>
      <c r="D3635" s="5" t="s">
        <v>10422</v>
      </c>
      <c r="E3635" s="5" t="s">
        <v>62</v>
      </c>
      <c r="F3635" s="5" t="s">
        <v>10423</v>
      </c>
      <c r="G3635" s="5" t="s">
        <v>10424</v>
      </c>
      <c r="H3635" s="5" t="s">
        <v>10526</v>
      </c>
      <c r="I3635" s="5" t="s">
        <v>10546</v>
      </c>
      <c r="J3635" s="5" t="s">
        <v>10547</v>
      </c>
      <c r="K3635" s="7" t="str">
        <f ca="1">IFERROR(__xludf.DUMMYFUNCTION("GOOGLETRANSLATE(H3635,""EN"",""ES"")"),"INSTRUMENTOS DE CUERDA")</f>
        <v>INSTRUMENTOS DE CUERDA</v>
      </c>
      <c r="L3635" s="5" t="str">
        <f ca="1">IFERROR(__xludf.DUMMYFUNCTION("GOOGLETRANSLATE(J3635,""EN"",""ES"")"),"guitarras")</f>
        <v>guitarras</v>
      </c>
      <c r="M3635" s="8" t="s">
        <v>61</v>
      </c>
      <c r="N3635" s="8"/>
    </row>
    <row r="3636" spans="1:14" ht="11.25" customHeight="1">
      <c r="A3636" s="5" t="s">
        <v>10419</v>
      </c>
      <c r="B3636" s="5" t="s">
        <v>10524</v>
      </c>
      <c r="C3636" s="5" t="s">
        <v>10548</v>
      </c>
      <c r="D3636" s="5" t="s">
        <v>10422</v>
      </c>
      <c r="E3636" s="5" t="s">
        <v>62</v>
      </c>
      <c r="F3636" s="5" t="s">
        <v>10423</v>
      </c>
      <c r="G3636" s="5" t="s">
        <v>10424</v>
      </c>
      <c r="H3636" s="5" t="s">
        <v>10526</v>
      </c>
      <c r="I3636" s="5" t="s">
        <v>10549</v>
      </c>
      <c r="J3636" s="5" t="s">
        <v>10550</v>
      </c>
      <c r="K3636" s="7" t="str">
        <f ca="1">IFERROR(__xludf.DUMMYFUNCTION("GOOGLETRANSLATE(H3636,""EN"",""ES"")"),"INSTRUMENTOS DE CUERDA")</f>
        <v>INSTRUMENTOS DE CUERDA</v>
      </c>
      <c r="L3636" s="5" t="str">
        <f ca="1">IFERROR(__xludf.DUMMYFUNCTION("GOOGLETRANSLATE(J3636,""EN"",""ES"")"),"arpas")</f>
        <v>arpas</v>
      </c>
      <c r="M3636" s="8" t="s">
        <v>61</v>
      </c>
      <c r="N3636" s="8"/>
    </row>
    <row r="3637" spans="1:14" ht="11.25" customHeight="1">
      <c r="A3637" s="5" t="s">
        <v>10419</v>
      </c>
      <c r="B3637" s="5" t="s">
        <v>10524</v>
      </c>
      <c r="C3637" s="5" t="s">
        <v>10551</v>
      </c>
      <c r="D3637" s="5" t="s">
        <v>10422</v>
      </c>
      <c r="E3637" s="5" t="s">
        <v>62</v>
      </c>
      <c r="F3637" s="5" t="s">
        <v>10423</v>
      </c>
      <c r="G3637" s="5" t="s">
        <v>10424</v>
      </c>
      <c r="H3637" s="5" t="s">
        <v>10526</v>
      </c>
      <c r="I3637" s="5" t="s">
        <v>10552</v>
      </c>
      <c r="J3637" s="5" t="s">
        <v>10553</v>
      </c>
      <c r="K3637" s="7" t="str">
        <f ca="1">IFERROR(__xludf.DUMMYFUNCTION("GOOGLETRANSLATE(H3637,""EN"",""ES"")"),"INSTRUMENTOS DE CUERDA")</f>
        <v>INSTRUMENTOS DE CUERDA</v>
      </c>
      <c r="L3637" s="5" t="str">
        <f ca="1">IFERROR(__xludf.DUMMYFUNCTION("GOOGLETRANSLATE(J3637,""EN"",""ES"")"),"mandolinas")</f>
        <v>mandolinas</v>
      </c>
      <c r="M3637" s="8" t="s">
        <v>61</v>
      </c>
      <c r="N3637" s="8"/>
    </row>
    <row r="3638" spans="1:14" ht="11.25" customHeight="1">
      <c r="A3638" s="5" t="s">
        <v>10419</v>
      </c>
      <c r="B3638" s="5" t="s">
        <v>10524</v>
      </c>
      <c r="C3638" s="5" t="s">
        <v>10554</v>
      </c>
      <c r="D3638" s="5" t="s">
        <v>10422</v>
      </c>
      <c r="E3638" s="5" t="s">
        <v>62</v>
      </c>
      <c r="F3638" s="5" t="s">
        <v>10423</v>
      </c>
      <c r="G3638" s="5" t="s">
        <v>10424</v>
      </c>
      <c r="H3638" s="5" t="s">
        <v>10526</v>
      </c>
      <c r="I3638" s="5" t="s">
        <v>10555</v>
      </c>
      <c r="J3638" s="5" t="s">
        <v>10556</v>
      </c>
      <c r="K3638" s="7" t="str">
        <f ca="1">IFERROR(__xludf.DUMMYFUNCTION("GOOGLETRANSLATE(H3638,""EN"",""ES"")"),"INSTRUMENTOS DE CUERDA")</f>
        <v>INSTRUMENTOS DE CUERDA</v>
      </c>
      <c r="L3638" s="5" t="str">
        <f ca="1">IFERROR(__xludf.DUMMYFUNCTION("GOOGLETRANSLATE(J3638,""EN"",""ES"")"),"Dulcimeros")</f>
        <v>Dulcimeros</v>
      </c>
      <c r="M3638" s="8" t="s">
        <v>61</v>
      </c>
      <c r="N3638" s="8"/>
    </row>
    <row r="3639" spans="1:14" ht="11.25" customHeight="1">
      <c r="A3639" s="5" t="s">
        <v>10419</v>
      </c>
      <c r="B3639" s="5" t="s">
        <v>10524</v>
      </c>
      <c r="C3639" s="5" t="s">
        <v>10557</v>
      </c>
      <c r="D3639" s="5" t="s">
        <v>10422</v>
      </c>
      <c r="E3639" s="5" t="s">
        <v>62</v>
      </c>
      <c r="F3639" s="5" t="s">
        <v>10423</v>
      </c>
      <c r="G3639" s="5" t="s">
        <v>10424</v>
      </c>
      <c r="H3639" s="5" t="s">
        <v>10526</v>
      </c>
      <c r="I3639" s="5" t="s">
        <v>10558</v>
      </c>
      <c r="J3639" s="5" t="s">
        <v>10559</v>
      </c>
      <c r="K3639" s="7" t="str">
        <f ca="1">IFERROR(__xludf.DUMMYFUNCTION("GOOGLETRANSLATE(H3639,""EN"",""ES"")"),"INSTRUMENTOS DE CUERDA")</f>
        <v>INSTRUMENTOS DE CUERDA</v>
      </c>
      <c r="L3639" s="5" t="str">
        <f ca="1">IFERROR(__xludf.DUMMYFUNCTION("GOOGLETRANSLATE(J3639,""EN"",""ES"")"),"violonchelos")</f>
        <v>violonchelos</v>
      </c>
      <c r="M3639" s="8" t="s">
        <v>61</v>
      </c>
      <c r="N3639" s="8"/>
    </row>
    <row r="3640" spans="1:14" ht="11.25" customHeight="1">
      <c r="A3640" s="5" t="s">
        <v>10419</v>
      </c>
      <c r="B3640" s="5" t="s">
        <v>10524</v>
      </c>
      <c r="C3640" s="5" t="s">
        <v>10560</v>
      </c>
      <c r="D3640" s="5" t="s">
        <v>10422</v>
      </c>
      <c r="E3640" s="5" t="s">
        <v>62</v>
      </c>
      <c r="F3640" s="5" t="s">
        <v>10423</v>
      </c>
      <c r="G3640" s="5" t="s">
        <v>10424</v>
      </c>
      <c r="H3640" s="5" t="s">
        <v>10526</v>
      </c>
      <c r="I3640" s="5" t="s">
        <v>10561</v>
      </c>
      <c r="J3640" s="5" t="s">
        <v>10562</v>
      </c>
      <c r="K3640" s="7" t="str">
        <f ca="1">IFERROR(__xludf.DUMMYFUNCTION("GOOGLETRANSLATE(H3640,""EN"",""ES"")"),"INSTRUMENTOS DE CUERDA")</f>
        <v>INSTRUMENTOS DE CUERDA</v>
      </c>
      <c r="L3640" s="5" t="str">
        <f ca="1">IFERROR(__xludf.DUMMYFUNCTION("GOOGLETRANSLATE(J3640,""EN"",""ES"")"),"violines")</f>
        <v>violines</v>
      </c>
      <c r="M3640" s="8" t="s">
        <v>61</v>
      </c>
      <c r="N3640" s="8"/>
    </row>
    <row r="3641" spans="1:14" ht="11.25" customHeight="1">
      <c r="A3641" s="5" t="s">
        <v>10419</v>
      </c>
      <c r="B3641" s="5" t="s">
        <v>10524</v>
      </c>
      <c r="C3641" s="5" t="s">
        <v>10563</v>
      </c>
      <c r="D3641" s="5" t="s">
        <v>10422</v>
      </c>
      <c r="E3641" s="5" t="s">
        <v>62</v>
      </c>
      <c r="F3641" s="5" t="s">
        <v>10423</v>
      </c>
      <c r="G3641" s="5" t="s">
        <v>10424</v>
      </c>
      <c r="H3641" s="5" t="s">
        <v>10526</v>
      </c>
      <c r="I3641" s="5" t="s">
        <v>10564</v>
      </c>
      <c r="J3641" s="5" t="s">
        <v>10565</v>
      </c>
      <c r="K3641" s="7" t="str">
        <f ca="1">IFERROR(__xludf.DUMMYFUNCTION("GOOGLETRANSLATE(H3641,""EN"",""ES"")"),"INSTRUMENTOS DE CUERDA")</f>
        <v>INSTRUMENTOS DE CUERDA</v>
      </c>
      <c r="L3641" s="5" t="str">
        <f ca="1">IFERROR(__xludf.DUMMYFUNCTION("GOOGLETRANSLATE(J3641,""EN"",""ES"")"),"Mentoneras para violín")</f>
        <v>Mentoneras para violín</v>
      </c>
      <c r="M3641" s="8" t="s">
        <v>61</v>
      </c>
      <c r="N3641" s="8"/>
    </row>
    <row r="3642" spans="1:14" ht="11.25" customHeight="1">
      <c r="A3642" s="5" t="s">
        <v>10419</v>
      </c>
      <c r="B3642" s="5" t="s">
        <v>10524</v>
      </c>
      <c r="C3642" s="5" t="s">
        <v>10566</v>
      </c>
      <c r="D3642" s="5" t="s">
        <v>10422</v>
      </c>
      <c r="E3642" s="5" t="s">
        <v>62</v>
      </c>
      <c r="F3642" s="5" t="s">
        <v>10423</v>
      </c>
      <c r="G3642" s="5" t="s">
        <v>10424</v>
      </c>
      <c r="H3642" s="5" t="s">
        <v>10526</v>
      </c>
      <c r="I3642" s="5" t="s">
        <v>10567</v>
      </c>
      <c r="J3642" s="5" t="s">
        <v>10568</v>
      </c>
      <c r="K3642" s="7" t="str">
        <f ca="1">IFERROR(__xludf.DUMMYFUNCTION("GOOGLETRANSLATE(H3642,""EN"",""ES"")"),"INSTRUMENTOS DE CUERDA")</f>
        <v>INSTRUMENTOS DE CUERDA</v>
      </c>
      <c r="L3642" s="5" t="str">
        <f ca="1">IFERROR(__xludf.DUMMYFUNCTION("GOOGLETRANSLATE(J3642,""EN"",""ES"")"),"Balalaikas")</f>
        <v>Balalaikas</v>
      </c>
      <c r="M3642" s="8" t="s">
        <v>61</v>
      </c>
      <c r="N3642" s="8"/>
    </row>
    <row r="3643" spans="1:14" ht="11.25" customHeight="1">
      <c r="A3643" s="5" t="s">
        <v>10419</v>
      </c>
      <c r="B3643" s="5" t="s">
        <v>10524</v>
      </c>
      <c r="C3643" s="5" t="s">
        <v>10569</v>
      </c>
      <c r="D3643" s="5" t="s">
        <v>10422</v>
      </c>
      <c r="E3643" s="5" t="s">
        <v>62</v>
      </c>
      <c r="F3643" s="5" t="s">
        <v>10423</v>
      </c>
      <c r="G3643" s="5" t="s">
        <v>10424</v>
      </c>
      <c r="H3643" s="5" t="s">
        <v>10526</v>
      </c>
      <c r="I3643" s="5" t="s">
        <v>10570</v>
      </c>
      <c r="J3643" s="5" t="s">
        <v>10571</v>
      </c>
      <c r="K3643" s="7" t="str">
        <f ca="1">IFERROR(__xludf.DUMMYFUNCTION("GOOGLETRANSLATE(H3643,""EN"",""ES"")"),"INSTRUMENTOS DE CUERDA")</f>
        <v>INSTRUMENTOS DE CUERDA</v>
      </c>
      <c r="L3643" s="5" t="str">
        <f ca="1">IFERROR(__xludf.DUMMYFUNCTION("GOOGLETRANSLATE(J3643,""EN"",""ES"")"),"Ukeleles")</f>
        <v>Ukeleles</v>
      </c>
      <c r="M3643" s="8" t="s">
        <v>61</v>
      </c>
      <c r="N3643" s="8"/>
    </row>
    <row r="3644" spans="1:14" ht="11.25" customHeight="1">
      <c r="A3644" s="5" t="s">
        <v>10419</v>
      </c>
      <c r="B3644" s="5" t="s">
        <v>10524</v>
      </c>
      <c r="C3644" s="5" t="s">
        <v>10572</v>
      </c>
      <c r="D3644" s="5" t="s">
        <v>10422</v>
      </c>
      <c r="E3644" s="5" t="s">
        <v>62</v>
      </c>
      <c r="F3644" s="5" t="s">
        <v>10423</v>
      </c>
      <c r="G3644" s="5" t="s">
        <v>10424</v>
      </c>
      <c r="H3644" s="5" t="s">
        <v>10526</v>
      </c>
      <c r="I3644" s="5" t="s">
        <v>10573</v>
      </c>
      <c r="J3644" s="5" t="s">
        <v>10574</v>
      </c>
      <c r="K3644" s="7" t="str">
        <f ca="1">IFERROR(__xludf.DUMMYFUNCTION("GOOGLETRANSLATE(H3644,""EN"",""ES"")"),"INSTRUMENTOS DE CUERDA")</f>
        <v>INSTRUMENTOS DE CUERDA</v>
      </c>
      <c r="L3644" s="5" t="str">
        <f ca="1">IFERROR(__xludf.DUMMYFUNCTION("GOOGLETRANSLATE(J3644,""EN"",""ES"")"),"Erhues [instrumentos musicales]")</f>
        <v>Erhues [instrumentos musicales]</v>
      </c>
      <c r="M3644" s="8" t="s">
        <v>61</v>
      </c>
      <c r="N3644" s="8"/>
    </row>
    <row r="3645" spans="1:14" ht="11.25" customHeight="1">
      <c r="A3645" s="5" t="s">
        <v>10419</v>
      </c>
      <c r="B3645" s="5" t="s">
        <v>10524</v>
      </c>
      <c r="C3645" s="5" t="s">
        <v>10575</v>
      </c>
      <c r="D3645" s="5" t="s">
        <v>10422</v>
      </c>
      <c r="E3645" s="5" t="s">
        <v>62</v>
      </c>
      <c r="F3645" s="5" t="s">
        <v>10423</v>
      </c>
      <c r="G3645" s="5" t="s">
        <v>10424</v>
      </c>
      <c r="H3645" s="5" t="s">
        <v>10526</v>
      </c>
      <c r="I3645" s="5" t="s">
        <v>10576</v>
      </c>
      <c r="J3645" s="5" t="s">
        <v>10577</v>
      </c>
      <c r="K3645" s="7" t="str">
        <f ca="1">IFERROR(__xludf.DUMMYFUNCTION("GOOGLETRANSLATE(H3645,""EN"",""ES"")"),"INSTRUMENTOS DE CUERDA")</f>
        <v>INSTRUMENTOS DE CUERDA</v>
      </c>
      <c r="L3645" s="5" t="str">
        <f ca="1">IFERROR(__xludf.DUMMYFUNCTION("GOOGLETRANSLATE(J3645,""EN"",""ES"")"),"Pipaes [instrumentos musicales]")</f>
        <v>Pipaes [instrumentos musicales]</v>
      </c>
      <c r="M3645" s="8" t="s">
        <v>61</v>
      </c>
      <c r="N3645" s="8"/>
    </row>
    <row r="3646" spans="1:14" ht="11.25" customHeight="1">
      <c r="A3646" s="5" t="s">
        <v>10419</v>
      </c>
      <c r="B3646" s="5" t="s">
        <v>10578</v>
      </c>
      <c r="C3646" s="5" t="s">
        <v>10579</v>
      </c>
      <c r="D3646" s="5" t="s">
        <v>10422</v>
      </c>
      <c r="E3646" s="5" t="s">
        <v>62</v>
      </c>
      <c r="F3646" s="5" t="s">
        <v>10423</v>
      </c>
      <c r="G3646" s="5" t="s">
        <v>10424</v>
      </c>
      <c r="H3646" s="5" t="s">
        <v>10580</v>
      </c>
      <c r="I3646" s="5" t="s">
        <v>10581</v>
      </c>
      <c r="J3646" s="5" t="s">
        <v>10582</v>
      </c>
      <c r="K3646" s="7" t="str">
        <f ca="1">IFERROR(__xludf.DUMMYFUNCTION("GOOGLETRANSLATE(H3646,""EN"",""ES"")"),"INSTRUMENTOS DE PERCUSIÓN")</f>
        <v>INSTRUMENTOS DE PERCUSIÓN</v>
      </c>
      <c r="L3646" s="5" t="str">
        <f ca="1">IFERROR(__xludf.DUMMYFUNCTION("GOOGLETRANSLATE(J3646,""EN"",""ES"")"),"Campanas")</f>
        <v>Campanas</v>
      </c>
      <c r="M3646" s="8" t="s">
        <v>61</v>
      </c>
      <c r="N3646" s="8"/>
    </row>
    <row r="3647" spans="1:14" ht="11.25" customHeight="1">
      <c r="A3647" s="5" t="s">
        <v>10419</v>
      </c>
      <c r="B3647" s="5" t="s">
        <v>10578</v>
      </c>
      <c r="C3647" s="5" t="s">
        <v>10579</v>
      </c>
      <c r="D3647" s="5" t="s">
        <v>10422</v>
      </c>
      <c r="E3647" s="5" t="s">
        <v>62</v>
      </c>
      <c r="F3647" s="5" t="s">
        <v>10423</v>
      </c>
      <c r="G3647" s="5" t="s">
        <v>10424</v>
      </c>
      <c r="H3647" s="5" t="s">
        <v>10580</v>
      </c>
      <c r="I3647" s="5" t="s">
        <v>10582</v>
      </c>
      <c r="J3647" s="5" t="s">
        <v>152</v>
      </c>
      <c r="K3647" s="7" t="str">
        <f ca="1">IFERROR(__xludf.DUMMYFUNCTION("GOOGLETRANSLATE(H3647,""EN"",""ES"")"),"INSTRUMENTOS DE PERCUSIÓN")</f>
        <v>INSTRUMENTOS DE PERCUSIÓN</v>
      </c>
      <c r="L3647" s="5" t="str">
        <f ca="1">IFERROR(__xludf.DUMMYFUNCTION("GOOGLETRANSLATE(J3647,""EN"",""ES"")"),"carillones")</f>
        <v>carillones</v>
      </c>
      <c r="M3647" s="8" t="s">
        <v>61</v>
      </c>
      <c r="N3647" s="8"/>
    </row>
    <row r="3648" spans="1:14" ht="11.25" customHeight="1">
      <c r="A3648" s="5" t="s">
        <v>10419</v>
      </c>
      <c r="B3648" s="5" t="s">
        <v>10578</v>
      </c>
      <c r="C3648" s="5" t="s">
        <v>10583</v>
      </c>
      <c r="D3648" s="5" t="s">
        <v>10422</v>
      </c>
      <c r="E3648" s="5" t="s">
        <v>62</v>
      </c>
      <c r="F3648" s="5" t="s">
        <v>10423</v>
      </c>
      <c r="G3648" s="5" t="s">
        <v>10424</v>
      </c>
      <c r="H3648" s="5" t="s">
        <v>10580</v>
      </c>
      <c r="I3648" s="5" t="s">
        <v>10584</v>
      </c>
      <c r="J3648" s="5" t="s">
        <v>10585</v>
      </c>
      <c r="K3648" s="7" t="str">
        <f ca="1">IFERROR(__xludf.DUMMYFUNCTION("GOOGLETRANSLATE(H3648,""EN"",""ES"")"),"INSTRUMENTOS DE PERCUSIÓN")</f>
        <v>INSTRUMENTOS DE PERCUSIÓN</v>
      </c>
      <c r="L3648" s="5" t="str">
        <f ca="1">IFERROR(__xludf.DUMMYFUNCTION("GOOGLETRANSLATE(J3648,""EN"",""ES"")"),"Castañuelas")</f>
        <v>Castañuelas</v>
      </c>
      <c r="M3648" s="8" t="s">
        <v>61</v>
      </c>
      <c r="N3648" s="8"/>
    </row>
    <row r="3649" spans="1:14" ht="11.25" customHeight="1">
      <c r="A3649" s="5" t="s">
        <v>10419</v>
      </c>
      <c r="B3649" s="5" t="s">
        <v>10578</v>
      </c>
      <c r="C3649" s="5" t="s">
        <v>10586</v>
      </c>
      <c r="D3649" s="5" t="s">
        <v>10422</v>
      </c>
      <c r="E3649" s="5" t="s">
        <v>62</v>
      </c>
      <c r="F3649" s="5" t="s">
        <v>10423</v>
      </c>
      <c r="G3649" s="5" t="s">
        <v>10424</v>
      </c>
      <c r="H3649" s="5" t="s">
        <v>10580</v>
      </c>
      <c r="I3649" s="5" t="s">
        <v>10587</v>
      </c>
      <c r="J3649" s="5" t="s">
        <v>10588</v>
      </c>
      <c r="K3649" s="7" t="str">
        <f ca="1">IFERROR(__xludf.DUMMYFUNCTION("GOOGLETRANSLATE(H3649,""EN"",""ES"")"),"INSTRUMENTOS DE PERCUSIÓN")</f>
        <v>INSTRUMENTOS DE PERCUSIÓN</v>
      </c>
      <c r="L3649" s="5" t="str">
        <f ca="1">IFERROR(__xludf.DUMMYFUNCTION("GOOGLETRANSLATE(J3649,""EN"",""ES"")"),"campanas")</f>
        <v>campanas</v>
      </c>
      <c r="M3649" s="8" t="s">
        <v>61</v>
      </c>
      <c r="N3649" s="8"/>
    </row>
    <row r="3650" spans="1:14" ht="11.25" customHeight="1">
      <c r="A3650" s="5" t="s">
        <v>10419</v>
      </c>
      <c r="B3650" s="5" t="s">
        <v>10578</v>
      </c>
      <c r="C3650" s="5" t="s">
        <v>10589</v>
      </c>
      <c r="D3650" s="5" t="s">
        <v>10422</v>
      </c>
      <c r="E3650" s="5" t="s">
        <v>62</v>
      </c>
      <c r="F3650" s="5" t="s">
        <v>10423</v>
      </c>
      <c r="G3650" s="5" t="s">
        <v>10424</v>
      </c>
      <c r="H3650" s="5" t="s">
        <v>10580</v>
      </c>
      <c r="I3650" s="5" t="s">
        <v>10590</v>
      </c>
      <c r="J3650" s="5" t="s">
        <v>10591</v>
      </c>
      <c r="K3650" s="7" t="str">
        <f ca="1">IFERROR(__xludf.DUMMYFUNCTION("GOOGLETRANSLATE(H3650,""EN"",""ES"")"),"INSTRUMENTOS DE PERCUSIÓN")</f>
        <v>INSTRUMENTOS DE PERCUSIÓN</v>
      </c>
      <c r="L3650" s="5" t="str">
        <f ca="1">IFERROR(__xludf.DUMMYFUNCTION("GOOGLETRANSLATE(J3650,""EN"",""ES"")"),"platillos")</f>
        <v>platillos</v>
      </c>
      <c r="M3650" s="8" t="s">
        <v>61</v>
      </c>
      <c r="N3650" s="8"/>
    </row>
    <row r="3651" spans="1:14" ht="11.25" customHeight="1">
      <c r="A3651" s="5" t="s">
        <v>10419</v>
      </c>
      <c r="B3651" s="5" t="s">
        <v>10578</v>
      </c>
      <c r="C3651" s="5" t="s">
        <v>10592</v>
      </c>
      <c r="D3651" s="5" t="s">
        <v>10422</v>
      </c>
      <c r="E3651" s="5" t="s">
        <v>62</v>
      </c>
      <c r="F3651" s="5" t="s">
        <v>10423</v>
      </c>
      <c r="G3651" s="5" t="s">
        <v>10424</v>
      </c>
      <c r="H3651" s="5" t="s">
        <v>10580</v>
      </c>
      <c r="I3651" s="5" t="s">
        <v>10593</v>
      </c>
      <c r="J3651" s="5" t="s">
        <v>10593</v>
      </c>
      <c r="K3651" s="7" t="str">
        <f ca="1">IFERROR(__xludf.DUMMYFUNCTION("GOOGLETRANSLATE(H3651,""EN"",""ES"")"),"INSTRUMENTOS DE PERCUSIÓN")</f>
        <v>INSTRUMENTOS DE PERCUSIÓN</v>
      </c>
      <c r="L3651" s="5" t="str">
        <f ca="1">IFERROR(__xludf.DUMMYFUNCTION("GOOGLETRANSLATE(J3651,""EN"",""ES"")"),"Gongos")</f>
        <v>Gongos</v>
      </c>
      <c r="M3651" s="8" t="s">
        <v>61</v>
      </c>
      <c r="N3651" s="8"/>
    </row>
    <row r="3652" spans="1:14" ht="11.25" customHeight="1">
      <c r="A3652" s="5" t="s">
        <v>10419</v>
      </c>
      <c r="B3652" s="5" t="s">
        <v>10578</v>
      </c>
      <c r="C3652" s="5" t="s">
        <v>10594</v>
      </c>
      <c r="D3652" s="5" t="s">
        <v>10422</v>
      </c>
      <c r="E3652" s="5" t="s">
        <v>62</v>
      </c>
      <c r="F3652" s="5" t="s">
        <v>10423</v>
      </c>
      <c r="G3652" s="5" t="s">
        <v>10424</v>
      </c>
      <c r="H3652" s="5" t="s">
        <v>10580</v>
      </c>
      <c r="I3652" s="5" t="s">
        <v>10595</v>
      </c>
      <c r="J3652" s="5" t="s">
        <v>10596</v>
      </c>
      <c r="K3652" s="7" t="str">
        <f ca="1">IFERROR(__xludf.DUMMYFUNCTION("GOOGLETRANSLATE(H3652,""EN"",""ES"")"),"INSTRUMENTOS DE PERCUSIÓN")</f>
        <v>INSTRUMENTOS DE PERCUSIÓN</v>
      </c>
      <c r="L3652" s="5" t="str">
        <f ca="1">IFERROR(__xludf.DUMMYFUNCTION("GOOGLETRANSLATE(J3652,""EN"",""ES"")"),"Pequeñas campanas globulares")</f>
        <v>Pequeñas campanas globulares</v>
      </c>
      <c r="M3652" s="8" t="s">
        <v>61</v>
      </c>
      <c r="N3652" s="8"/>
    </row>
    <row r="3653" spans="1:14" ht="11.25" customHeight="1">
      <c r="A3653" s="5" t="s">
        <v>10419</v>
      </c>
      <c r="B3653" s="5" t="s">
        <v>10578</v>
      </c>
      <c r="C3653" s="5" t="s">
        <v>10597</v>
      </c>
      <c r="D3653" s="5" t="s">
        <v>10422</v>
      </c>
      <c r="E3653" s="5" t="s">
        <v>62</v>
      </c>
      <c r="F3653" s="5" t="s">
        <v>10423</v>
      </c>
      <c r="G3653" s="5" t="s">
        <v>10424</v>
      </c>
      <c r="H3653" s="5" t="s">
        <v>10580</v>
      </c>
      <c r="I3653" s="5" t="s">
        <v>10598</v>
      </c>
      <c r="J3653" s="5" t="s">
        <v>10599</v>
      </c>
      <c r="K3653" s="7" t="str">
        <f ca="1">IFERROR(__xludf.DUMMYFUNCTION("GOOGLETRANSLATE(H3653,""EN"",""ES"")"),"INSTRUMENTOS DE PERCUSIÓN")</f>
        <v>INSTRUMENTOS DE PERCUSIÓN</v>
      </c>
      <c r="L3653" s="5" t="str">
        <f ca="1">IFERROR(__xludf.DUMMYFUNCTION("GOOGLETRANSLATE(J3653,""EN"",""ES"")"),"baquetas de bombo")</f>
        <v>baquetas de bombo</v>
      </c>
      <c r="M3653" s="8" t="s">
        <v>61</v>
      </c>
      <c r="N3653" s="8"/>
    </row>
    <row r="3654" spans="1:14" ht="11.25" customHeight="1">
      <c r="A3654" s="5" t="s">
        <v>10419</v>
      </c>
      <c r="B3654" s="5" t="s">
        <v>10578</v>
      </c>
      <c r="C3654" s="5" t="s">
        <v>10600</v>
      </c>
      <c r="D3654" s="5" t="s">
        <v>10422</v>
      </c>
      <c r="E3654" s="5" t="s">
        <v>62</v>
      </c>
      <c r="F3654" s="5" t="s">
        <v>10423</v>
      </c>
      <c r="G3654" s="5" t="s">
        <v>10424</v>
      </c>
      <c r="H3654" s="5" t="s">
        <v>10580</v>
      </c>
      <c r="I3654" s="5" t="s">
        <v>10601</v>
      </c>
      <c r="J3654" s="5" t="s">
        <v>10601</v>
      </c>
      <c r="K3654" s="7" t="str">
        <f ca="1">IFERROR(__xludf.DUMMYFUNCTION("GOOGLETRANSLATE(H3654,""EN"",""ES"")"),"INSTRUMENTOS DE PERCUSIÓN")</f>
        <v>INSTRUMENTOS DE PERCUSIÓN</v>
      </c>
      <c r="L3654" s="5" t="str">
        <f ca="1">IFERROR(__xludf.DUMMYFUNCTION("GOOGLETRANSLATE(J3654,""EN"",""ES"")"),"Marimbas")</f>
        <v>Marimbas</v>
      </c>
      <c r="M3654" s="8" t="s">
        <v>61</v>
      </c>
      <c r="N3654" s="8"/>
    </row>
    <row r="3655" spans="1:14" ht="11.25" customHeight="1">
      <c r="A3655" s="5" t="s">
        <v>10419</v>
      </c>
      <c r="B3655" s="5" t="s">
        <v>10578</v>
      </c>
      <c r="C3655" s="5" t="s">
        <v>10602</v>
      </c>
      <c r="D3655" s="5" t="s">
        <v>10422</v>
      </c>
      <c r="E3655" s="5" t="s">
        <v>62</v>
      </c>
      <c r="F3655" s="5" t="s">
        <v>10423</v>
      </c>
      <c r="G3655" s="5" t="s">
        <v>10424</v>
      </c>
      <c r="H3655" s="5" t="s">
        <v>10580</v>
      </c>
      <c r="I3655" s="5" t="s">
        <v>10603</v>
      </c>
      <c r="J3655" s="5" t="s">
        <v>10604</v>
      </c>
      <c r="K3655" s="7" t="str">
        <f ca="1">IFERROR(__xludf.DUMMYFUNCTION("GOOGLETRANSLATE(H3655,""EN"",""ES"")"),"INSTRUMENTOS DE PERCUSIÓN")</f>
        <v>INSTRUMENTOS DE PERCUSIÓN</v>
      </c>
      <c r="L3655" s="5" t="str">
        <f ca="1">IFERROR(__xludf.DUMMYFUNCTION("GOOGLETRANSLATE(J3655,""EN"",""ES"")"),"Instrumentos de percusión")</f>
        <v>Instrumentos de percusión</v>
      </c>
      <c r="M3655" s="8" t="s">
        <v>61</v>
      </c>
      <c r="N3655" s="8"/>
    </row>
    <row r="3656" spans="1:14" ht="11.25" customHeight="1">
      <c r="A3656" s="5" t="s">
        <v>10419</v>
      </c>
      <c r="B3656" s="5" t="s">
        <v>10578</v>
      </c>
      <c r="C3656" s="5" t="s">
        <v>10602</v>
      </c>
      <c r="D3656" s="5" t="s">
        <v>10422</v>
      </c>
      <c r="E3656" s="5" t="s">
        <v>62</v>
      </c>
      <c r="F3656" s="5" t="s">
        <v>10423</v>
      </c>
      <c r="G3656" s="5" t="s">
        <v>10424</v>
      </c>
      <c r="H3656" s="5" t="s">
        <v>10580</v>
      </c>
      <c r="I3656" s="5" t="s">
        <v>152</v>
      </c>
      <c r="J3656" s="5" t="s">
        <v>10605</v>
      </c>
      <c r="K3656" s="7" t="str">
        <f ca="1">IFERROR(__xludf.DUMMYFUNCTION("GOOGLETRANSLATE(H3656,""EN"",""ES"")"),"INSTRUMENTOS DE PERCUSIÓN")</f>
        <v>INSTRUMENTOS DE PERCUSIÓN</v>
      </c>
      <c r="L3656" s="5" t="str">
        <f ca="1">IFERROR(__xludf.DUMMYFUNCTION("GOOGLETRANSLATE(J3656,""EN"",""ES"")"),"N / A")</f>
        <v>N / A</v>
      </c>
      <c r="M3656" s="8" t="s">
        <v>61</v>
      </c>
      <c r="N3656" s="8"/>
    </row>
    <row r="3657" spans="1:14" ht="11.25" customHeight="1">
      <c r="A3657" s="5" t="s">
        <v>10419</v>
      </c>
      <c r="B3657" s="5" t="s">
        <v>10578</v>
      </c>
      <c r="C3657" s="5" t="s">
        <v>10606</v>
      </c>
      <c r="D3657" s="5" t="s">
        <v>10422</v>
      </c>
      <c r="E3657" s="5" t="s">
        <v>62</v>
      </c>
      <c r="F3657" s="5" t="s">
        <v>10423</v>
      </c>
      <c r="G3657" s="5" t="s">
        <v>10424</v>
      </c>
      <c r="H3657" s="5" t="s">
        <v>10580</v>
      </c>
      <c r="I3657" s="5" t="s">
        <v>10607</v>
      </c>
      <c r="J3657" s="5" t="s">
        <v>10608</v>
      </c>
      <c r="K3657" s="7" t="str">
        <f ca="1">IFERROR(__xludf.DUMMYFUNCTION("GOOGLETRANSLATE(H3657,""EN"",""ES"")"),"INSTRUMENTOS DE PERCUSIÓN")</f>
        <v>INSTRUMENTOS DE PERCUSIÓN</v>
      </c>
      <c r="L3657" s="5" t="str">
        <f ca="1">IFERROR(__xludf.DUMMYFUNCTION("GOOGLETRANSLATE(J3657,""EN"",""ES"")"),"Panderetas")</f>
        <v>Panderetas</v>
      </c>
      <c r="M3657" s="8" t="s">
        <v>61</v>
      </c>
      <c r="N3657" s="8"/>
    </row>
    <row r="3658" spans="1:14" ht="11.25" customHeight="1">
      <c r="A3658" s="5" t="s">
        <v>10419</v>
      </c>
      <c r="B3658" s="5" t="s">
        <v>10578</v>
      </c>
      <c r="C3658" s="5" t="s">
        <v>10609</v>
      </c>
      <c r="D3658" s="5" t="s">
        <v>10422</v>
      </c>
      <c r="E3658" s="5" t="s">
        <v>62</v>
      </c>
      <c r="F3658" s="5" t="s">
        <v>10423</v>
      </c>
      <c r="G3658" s="5" t="s">
        <v>10424</v>
      </c>
      <c r="H3658" s="5" t="s">
        <v>10580</v>
      </c>
      <c r="I3658" s="5" t="s">
        <v>10610</v>
      </c>
      <c r="J3658" s="5" t="s">
        <v>10611</v>
      </c>
      <c r="K3658" s="7" t="str">
        <f ca="1">IFERROR(__xludf.DUMMYFUNCTION("GOOGLETRANSLATE(H3658,""EN"",""ES"")"),"INSTRUMENTOS DE PERCUSIÓN")</f>
        <v>INSTRUMENTOS DE PERCUSIÓN</v>
      </c>
      <c r="L3658" s="5" t="str">
        <f ca="1">IFERROR(__xludf.DUMMYFUNCTION("GOOGLETRANSLATE(J3658,""EN"",""ES"")"),"Baterías [instrumentos musicales]")</f>
        <v>Baterías [instrumentos musicales]</v>
      </c>
      <c r="M3658" s="8" t="s">
        <v>61</v>
      </c>
      <c r="N3658" s="8"/>
    </row>
    <row r="3659" spans="1:14" ht="11.25" customHeight="1">
      <c r="A3659" s="5" t="s">
        <v>10419</v>
      </c>
      <c r="B3659" s="5" t="s">
        <v>10578</v>
      </c>
      <c r="C3659" s="5" t="s">
        <v>10612</v>
      </c>
      <c r="D3659" s="5" t="s">
        <v>10422</v>
      </c>
      <c r="E3659" s="5" t="s">
        <v>62</v>
      </c>
      <c r="F3659" s="5" t="s">
        <v>10423</v>
      </c>
      <c r="G3659" s="5" t="s">
        <v>10424</v>
      </c>
      <c r="H3659" s="5" t="s">
        <v>10580</v>
      </c>
      <c r="I3659" s="5" t="s">
        <v>10613</v>
      </c>
      <c r="J3659" s="5" t="s">
        <v>10614</v>
      </c>
      <c r="K3659" s="7" t="str">
        <f ca="1">IFERROR(__xludf.DUMMYFUNCTION("GOOGLETRANSLATE(H3659,""EN"",""ES"")"),"INSTRUMENTOS DE PERCUSIÓN")</f>
        <v>INSTRUMENTOS DE PERCUSIÓN</v>
      </c>
      <c r="L3659" s="5" t="str">
        <f ca="1">IFERROR(__xludf.DUMMYFUNCTION("GOOGLETRANSLATE(J3659,""EN"",""ES"")"),"timbales")</f>
        <v>timbales</v>
      </c>
      <c r="M3659" s="8" t="s">
        <v>61</v>
      </c>
      <c r="N3659" s="8"/>
    </row>
    <row r="3660" spans="1:14" ht="11.25" customHeight="1">
      <c r="A3660" s="5" t="s">
        <v>10419</v>
      </c>
      <c r="B3660" s="5" t="s">
        <v>10578</v>
      </c>
      <c r="C3660" s="5" t="s">
        <v>10615</v>
      </c>
      <c r="D3660" s="5" t="s">
        <v>10422</v>
      </c>
      <c r="E3660" s="5" t="s">
        <v>62</v>
      </c>
      <c r="F3660" s="5" t="s">
        <v>10423</v>
      </c>
      <c r="G3660" s="5" t="s">
        <v>10424</v>
      </c>
      <c r="H3660" s="5" t="s">
        <v>10580</v>
      </c>
      <c r="I3660" s="5" t="s">
        <v>10616</v>
      </c>
      <c r="J3660" s="5" t="s">
        <v>10617</v>
      </c>
      <c r="K3660" s="7" t="str">
        <f ca="1">IFERROR(__xludf.DUMMYFUNCTION("GOOGLETRANSLATE(H3660,""EN"",""ES"")"),"INSTRUMENTOS DE PERCUSIÓN")</f>
        <v>INSTRUMENTOS DE PERCUSIÓN</v>
      </c>
      <c r="L3660" s="5" t="str">
        <f ca="1">IFERROR(__xludf.DUMMYFUNCTION("GOOGLETRANSLATE(J3660,""EN"",""ES"")"),"Triángulos [instrumentos musicales]")</f>
        <v>Triángulos [instrumentos musicales]</v>
      </c>
      <c r="M3660" s="8" t="s">
        <v>61</v>
      </c>
      <c r="N3660" s="8"/>
    </row>
    <row r="3661" spans="1:14" ht="11.25" customHeight="1">
      <c r="A3661" s="5" t="s">
        <v>10419</v>
      </c>
      <c r="B3661" s="5" t="s">
        <v>10578</v>
      </c>
      <c r="C3661" s="5" t="s">
        <v>10618</v>
      </c>
      <c r="D3661" s="5" t="s">
        <v>10422</v>
      </c>
      <c r="E3661" s="5" t="s">
        <v>62</v>
      </c>
      <c r="F3661" s="5" t="s">
        <v>10423</v>
      </c>
      <c r="G3661" s="5" t="s">
        <v>10424</v>
      </c>
      <c r="H3661" s="5" t="s">
        <v>10580</v>
      </c>
      <c r="I3661" s="5" t="s">
        <v>10619</v>
      </c>
      <c r="J3661" s="5" t="s">
        <v>10619</v>
      </c>
      <c r="K3661" s="7" t="str">
        <f ca="1">IFERROR(__xludf.DUMMYFUNCTION("GOOGLETRANSLATE(H3661,""EN"",""ES"")"),"INSTRUMENTOS DE PERCUSIÓN")</f>
        <v>INSTRUMENTOS DE PERCUSIÓN</v>
      </c>
      <c r="L3661" s="5" t="str">
        <f ca="1">IFERROR(__xludf.DUMMYFUNCTION("GOOGLETRANSLATE(J3661,""EN"",""ES"")"),"Xilófonos")</f>
        <v>Xilófonos</v>
      </c>
      <c r="M3661" s="8" t="s">
        <v>61</v>
      </c>
      <c r="N3661" s="8"/>
    </row>
    <row r="3662" spans="1:14" ht="11.25" customHeight="1">
      <c r="A3662" s="5" t="s">
        <v>10419</v>
      </c>
      <c r="B3662" s="5" t="s">
        <v>10578</v>
      </c>
      <c r="C3662" s="5" t="s">
        <v>10620</v>
      </c>
      <c r="D3662" s="5" t="s">
        <v>10422</v>
      </c>
      <c r="E3662" s="5" t="s">
        <v>62</v>
      </c>
      <c r="F3662" s="5" t="s">
        <v>10423</v>
      </c>
      <c r="G3662" s="5" t="s">
        <v>10424</v>
      </c>
      <c r="H3662" s="5" t="s">
        <v>10580</v>
      </c>
      <c r="I3662" s="5" t="s">
        <v>10621</v>
      </c>
      <c r="J3662" s="5" t="s">
        <v>10622</v>
      </c>
      <c r="K3662" s="7" t="str">
        <f ca="1">IFERROR(__xludf.DUMMYFUNCTION("GOOGLETRANSLATE(H3662,""EN"",""ES"")"),"INSTRUMENTOS DE PERCUSIÓN")</f>
        <v>INSTRUMENTOS DE PERCUSIÓN</v>
      </c>
      <c r="L3662" s="5" t="str">
        <f ca="1">IFERROR(__xludf.DUMMYFUNCTION("GOOGLETRANSLATE(J3662,""EN"",""ES"")"),"Pequeñas campanas")</f>
        <v>Pequeñas campanas</v>
      </c>
      <c r="M3662" s="8" t="s">
        <v>61</v>
      </c>
      <c r="N3662" s="8"/>
    </row>
    <row r="3663" spans="1:14" ht="11.25" customHeight="1">
      <c r="A3663" s="5" t="s">
        <v>10419</v>
      </c>
      <c r="B3663" s="5" t="s">
        <v>10578</v>
      </c>
      <c r="C3663" s="5" t="s">
        <v>10623</v>
      </c>
      <c r="D3663" s="5" t="s">
        <v>10422</v>
      </c>
      <c r="E3663" s="5" t="s">
        <v>62</v>
      </c>
      <c r="F3663" s="5" t="s">
        <v>10423</v>
      </c>
      <c r="G3663" s="5" t="s">
        <v>10424</v>
      </c>
      <c r="H3663" s="5" t="s">
        <v>10580</v>
      </c>
      <c r="I3663" s="5" t="s">
        <v>10624</v>
      </c>
      <c r="J3663" s="5" t="s">
        <v>10625</v>
      </c>
      <c r="K3663" s="7" t="str">
        <f ca="1">IFERROR(__xludf.DUMMYFUNCTION("GOOGLETRANSLATE(H3663,""EN"",""ES"")"),"INSTRUMENTOS DE PERCUSIÓN")</f>
        <v>INSTRUMENTOS DE PERCUSIÓN</v>
      </c>
      <c r="L3663" s="5" t="str">
        <f ca="1">IFERROR(__xludf.DUMMYFUNCTION("GOOGLETRANSLATE(J3663,""EN"",""ES"")"),"Grandes tambores [instrumentos musicales]")</f>
        <v>Grandes tambores [instrumentos musicales]</v>
      </c>
      <c r="M3663" s="8" t="s">
        <v>61</v>
      </c>
      <c r="N3663" s="8"/>
    </row>
    <row r="3664" spans="1:14" ht="11.25" customHeight="1">
      <c r="A3664" s="5" t="s">
        <v>10419</v>
      </c>
      <c r="B3664" s="5" t="s">
        <v>10578</v>
      </c>
      <c r="C3664" s="5" t="s">
        <v>10626</v>
      </c>
      <c r="D3664" s="5" t="s">
        <v>10422</v>
      </c>
      <c r="E3664" s="5" t="s">
        <v>62</v>
      </c>
      <c r="F3664" s="5" t="s">
        <v>10423</v>
      </c>
      <c r="G3664" s="5" t="s">
        <v>10424</v>
      </c>
      <c r="H3664" s="5" t="s">
        <v>10580</v>
      </c>
      <c r="I3664" s="5" t="s">
        <v>10627</v>
      </c>
      <c r="J3664" s="5" t="s">
        <v>10627</v>
      </c>
      <c r="K3664" s="7" t="str">
        <f ca="1">IFERROR(__xludf.DUMMYFUNCTION("GOOGLETRANSLATE(H3664,""EN"",""ES"")"),"INSTRUMENTOS DE PERCUSIÓN")</f>
        <v>INSTRUMENTOS DE PERCUSIÓN</v>
      </c>
      <c r="L3664" s="5" t="str">
        <f ca="1">IFERROR(__xludf.DUMMYFUNCTION("GOOGLETRANSLATE(J3664,""EN"",""ES"")"),"maracas")</f>
        <v>maracas</v>
      </c>
      <c r="M3664" s="8" t="s">
        <v>61</v>
      </c>
      <c r="N3664" s="8"/>
    </row>
    <row r="3665" spans="1:14" ht="11.25" customHeight="1">
      <c r="A3665" s="5" t="s">
        <v>10419</v>
      </c>
      <c r="B3665" s="5" t="s">
        <v>10578</v>
      </c>
      <c r="C3665" s="5" t="s">
        <v>10628</v>
      </c>
      <c r="D3665" s="5" t="s">
        <v>10422</v>
      </c>
      <c r="E3665" s="5" t="s">
        <v>62</v>
      </c>
      <c r="F3665" s="5" t="s">
        <v>10423</v>
      </c>
      <c r="G3665" s="5" t="s">
        <v>10424</v>
      </c>
      <c r="H3665" s="5" t="s">
        <v>10580</v>
      </c>
      <c r="I3665" s="5" t="s">
        <v>10629</v>
      </c>
      <c r="J3665" s="5" t="s">
        <v>10630</v>
      </c>
      <c r="K3665" s="7" t="str">
        <f ca="1">IFERROR(__xludf.DUMMYFUNCTION("GOOGLETRANSLATE(H3665,""EN"",""ES"")"),"INSTRUMENTOS DE PERCUSIÓN")</f>
        <v>INSTRUMENTOS DE PERCUSIÓN</v>
      </c>
      <c r="L3665" s="5" t="str">
        <f ca="1">IFERROR(__xludf.DUMMYFUNCTION("GOOGLETRANSLATE(J3665,""EN"",""ES"")"),"Trinquetes")</f>
        <v>Trinquetes</v>
      </c>
      <c r="M3665" s="8" t="s">
        <v>61</v>
      </c>
      <c r="N3665" s="8"/>
    </row>
    <row r="3666" spans="1:14" ht="11.25" customHeight="1">
      <c r="A3666" s="5" t="s">
        <v>10419</v>
      </c>
      <c r="B3666" s="5" t="s">
        <v>10631</v>
      </c>
      <c r="C3666" s="5" t="s">
        <v>10632</v>
      </c>
      <c r="D3666" s="5" t="s">
        <v>10422</v>
      </c>
      <c r="E3666" s="5" t="s">
        <v>62</v>
      </c>
      <c r="F3666" s="5" t="s">
        <v>10423</v>
      </c>
      <c r="G3666" s="5" t="s">
        <v>10424</v>
      </c>
      <c r="H3666" s="5" t="s">
        <v>10633</v>
      </c>
      <c r="I3666" s="5" t="s">
        <v>10634</v>
      </c>
      <c r="J3666" s="5" t="s">
        <v>10635</v>
      </c>
      <c r="K3666" s="7" t="str">
        <f ca="1">IFERROR(__xludf.DUMMYFUNCTION("GOOGLETRANSLATE(H3666,""EN"",""ES"")"),"INSTRUMENTOS MECANICOS")</f>
        <v>INSTRUMENTOS MECANICOS</v>
      </c>
      <c r="L3666" s="5" t="str">
        <f ca="1">IFERROR(__xludf.DUMMYFUNCTION("GOOGLETRANSLATE(J3666,""EN"",""ES"")"),"cajas de musica")</f>
        <v>cajas de musica</v>
      </c>
      <c r="M3666" s="8" t="s">
        <v>61</v>
      </c>
      <c r="N3666" s="8"/>
    </row>
    <row r="3667" spans="1:14" ht="11.25" customHeight="1">
      <c r="A3667" s="5" t="s">
        <v>10419</v>
      </c>
      <c r="B3667" s="5" t="s">
        <v>10631</v>
      </c>
      <c r="C3667" s="5" t="s">
        <v>10636</v>
      </c>
      <c r="D3667" s="5" t="s">
        <v>10422</v>
      </c>
      <c r="E3667" s="5" t="s">
        <v>62</v>
      </c>
      <c r="F3667" s="5" t="s">
        <v>10423</v>
      </c>
      <c r="G3667" s="5" t="s">
        <v>10424</v>
      </c>
      <c r="H3667" s="5" t="s">
        <v>10633</v>
      </c>
      <c r="I3667" s="5" t="s">
        <v>10637</v>
      </c>
      <c r="J3667" s="5" t="s">
        <v>10638</v>
      </c>
      <c r="K3667" s="7" t="str">
        <f ca="1">IFERROR(__xludf.DUMMYFUNCTION("GOOGLETRANSLATE(H3667,""EN"",""ES"")"),"INSTRUMENTOS MECANICOS")</f>
        <v>INSTRUMENTOS MECANICOS</v>
      </c>
      <c r="L3667" s="5" t="str">
        <f ca="1">IFERROR(__xludf.DUMMYFUNCTION("GOOGLETRANSLATE(J3667,""EN"",""ES"")"),"Calíopes [instrumentos musicales]")</f>
        <v>Calíopes [instrumentos musicales]</v>
      </c>
      <c r="M3667" s="8" t="s">
        <v>61</v>
      </c>
      <c r="N3667" s="8"/>
    </row>
    <row r="3668" spans="1:14" ht="11.25" customHeight="1">
      <c r="A3668" s="5" t="s">
        <v>10419</v>
      </c>
      <c r="B3668" s="5" t="s">
        <v>10631</v>
      </c>
      <c r="C3668" s="5" t="s">
        <v>10639</v>
      </c>
      <c r="D3668" s="5" t="s">
        <v>10422</v>
      </c>
      <c r="E3668" s="5" t="s">
        <v>62</v>
      </c>
      <c r="F3668" s="5" t="s">
        <v>10423</v>
      </c>
      <c r="G3668" s="5" t="s">
        <v>10424</v>
      </c>
      <c r="H3668" s="5" t="s">
        <v>10633</v>
      </c>
      <c r="I3668" s="5" t="s">
        <v>10640</v>
      </c>
      <c r="J3668" s="5" t="s">
        <v>10641</v>
      </c>
      <c r="K3668" s="7" t="str">
        <f ca="1">IFERROR(__xludf.DUMMYFUNCTION("GOOGLETRANSLATE(H3668,""EN"",""ES"")"),"INSTRUMENTOS MECANICOS")</f>
        <v>INSTRUMENTOS MECANICOS</v>
      </c>
      <c r="L3668" s="5" t="str">
        <f ca="1">IFERROR(__xludf.DUMMYFUNCTION("GOOGLETRANSLATE(J3668,""EN"",""ES"")"),"instrumentos musicales mecanicos")</f>
        <v>instrumentos musicales mecanicos</v>
      </c>
      <c r="M3668" s="8" t="s">
        <v>61</v>
      </c>
      <c r="N3668" s="8"/>
    </row>
    <row r="3669" spans="1:14" ht="11.25" customHeight="1">
      <c r="A3669" s="5" t="s">
        <v>10419</v>
      </c>
      <c r="B3669" s="5" t="s">
        <v>10631</v>
      </c>
      <c r="C3669" s="5" t="s">
        <v>10642</v>
      </c>
      <c r="D3669" s="5" t="s">
        <v>10422</v>
      </c>
      <c r="E3669" s="5" t="s">
        <v>62</v>
      </c>
      <c r="F3669" s="5" t="s">
        <v>10423</v>
      </c>
      <c r="G3669" s="5" t="s">
        <v>10424</v>
      </c>
      <c r="H3669" s="5" t="s">
        <v>10633</v>
      </c>
      <c r="I3669" s="5" t="s">
        <v>10643</v>
      </c>
      <c r="J3669" s="5" t="s">
        <v>10644</v>
      </c>
      <c r="K3669" s="7" t="str">
        <f ca="1">IFERROR(__xludf.DUMMYFUNCTION("GOOGLETRANSLATE(H3669,""EN"",""ES"")"),"INSTRUMENTOS MECANICOS")</f>
        <v>INSTRUMENTOS MECANICOS</v>
      </c>
      <c r="L3669" s="5" t="str">
        <f ca="1">IFERROR(__xludf.DUMMYFUNCTION("GOOGLETRANSLATE(J3669,""EN"",""ES"")"),"Pájaros cantores mecánicos")</f>
        <v>Pájaros cantores mecánicos</v>
      </c>
      <c r="M3669" s="8" t="s">
        <v>61</v>
      </c>
      <c r="N3669" s="8"/>
    </row>
    <row r="3670" spans="1:14" ht="11.25" customHeight="1">
      <c r="A3670" s="5" t="s">
        <v>10419</v>
      </c>
      <c r="B3670" s="5" t="s">
        <v>10631</v>
      </c>
      <c r="C3670" s="5" t="s">
        <v>10645</v>
      </c>
      <c r="D3670" s="5" t="s">
        <v>10422</v>
      </c>
      <c r="E3670" s="5" t="s">
        <v>62</v>
      </c>
      <c r="F3670" s="5" t="s">
        <v>10423</v>
      </c>
      <c r="G3670" s="5" t="s">
        <v>10424</v>
      </c>
      <c r="H3670" s="5" t="s">
        <v>10633</v>
      </c>
      <c r="I3670" s="5" t="s">
        <v>10646</v>
      </c>
      <c r="J3670" s="5" t="s">
        <v>10647</v>
      </c>
      <c r="K3670" s="7" t="str">
        <f ca="1">IFERROR(__xludf.DUMMYFUNCTION("GOOGLETRANSLATE(H3670,""EN"",""ES"")"),"INSTRUMENTOS MECANICOS")</f>
        <v>INSTRUMENTOS MECANICOS</v>
      </c>
      <c r="L3670" s="5" t="str">
        <f ca="1">IFERROR(__xludf.DUMMYFUNCTION("GOOGLETRANSLATE(J3670,""EN"",""ES"")"),"organillos")</f>
        <v>organillos</v>
      </c>
      <c r="M3670" s="8" t="s">
        <v>61</v>
      </c>
      <c r="N3670" s="8"/>
    </row>
    <row r="3671" spans="1:14" ht="11.25" customHeight="1">
      <c r="A3671" s="5" t="s">
        <v>10419</v>
      </c>
      <c r="B3671" s="5" t="s">
        <v>10631</v>
      </c>
      <c r="C3671" s="5" t="s">
        <v>10645</v>
      </c>
      <c r="D3671" s="5" t="s">
        <v>10422</v>
      </c>
      <c r="E3671" s="5" t="s">
        <v>62</v>
      </c>
      <c r="F3671" s="5" t="s">
        <v>10423</v>
      </c>
      <c r="G3671" s="5" t="s">
        <v>10424</v>
      </c>
      <c r="H3671" s="5" t="s">
        <v>10633</v>
      </c>
      <c r="I3671" s="5" t="s">
        <v>152</v>
      </c>
      <c r="J3671" s="5" t="s">
        <v>10648</v>
      </c>
      <c r="K3671" s="7" t="str">
        <f ca="1">IFERROR(__xludf.DUMMYFUNCTION("GOOGLETRANSLATE(H3671,""EN"",""ES"")"),"INSTRUMENTOS MECANICOS")</f>
        <v>INSTRUMENTOS MECANICOS</v>
      </c>
      <c r="L3671" s="5" t="str">
        <f ca="1">IFERROR(__xludf.DUMMYFUNCTION("GOOGLETRANSLATE(J3671,""EN"",""ES"")"),"N / A")</f>
        <v>N / A</v>
      </c>
      <c r="M3671" s="8" t="s">
        <v>61</v>
      </c>
      <c r="N3671" s="8"/>
    </row>
    <row r="3672" spans="1:14" ht="11.25" customHeight="1">
      <c r="A3672" s="5" t="s">
        <v>10419</v>
      </c>
      <c r="B3672" s="5" t="s">
        <v>10649</v>
      </c>
      <c r="C3672" s="5" t="s">
        <v>10650</v>
      </c>
      <c r="D3672" s="5" t="s">
        <v>10422</v>
      </c>
      <c r="E3672" s="5" t="s">
        <v>62</v>
      </c>
      <c r="F3672" s="5" t="s">
        <v>10423</v>
      </c>
      <c r="G3672" s="5" t="s">
        <v>10424</v>
      </c>
      <c r="H3672" s="5" t="s">
        <v>330</v>
      </c>
      <c r="I3672" s="5" t="s">
        <v>10651</v>
      </c>
      <c r="J3672" s="5" t="s">
        <v>10652</v>
      </c>
      <c r="K3672" s="7" t="str">
        <f ca="1">IFERROR(__xludf.DUMMYFUNCTION("GOOGLETRANSLATE(H3672,""EN"",""ES"")"),"MISCELÁNEAS")</f>
        <v>MISCELÁNEAS</v>
      </c>
      <c r="L3672" s="5" t="str">
        <f ca="1">IFERROR(__xludf.DUMMYFUNCTION("GOOGLETRANSLATE(J3672,""EN"",""ES"")"),"Bastones de director [música]")</f>
        <v>Bastones de director [música]</v>
      </c>
      <c r="M3672" s="8" t="s">
        <v>61</v>
      </c>
      <c r="N3672" s="8"/>
    </row>
    <row r="3673" spans="1:14" ht="11.25" customHeight="1">
      <c r="A3673" s="5" t="s">
        <v>10419</v>
      </c>
      <c r="B3673" s="5" t="s">
        <v>10649</v>
      </c>
      <c r="C3673" s="5" t="s">
        <v>10653</v>
      </c>
      <c r="D3673" s="5" t="s">
        <v>10422</v>
      </c>
      <c r="E3673" s="5" t="s">
        <v>62</v>
      </c>
      <c r="F3673" s="5" t="s">
        <v>10423</v>
      </c>
      <c r="G3673" s="5" t="s">
        <v>10424</v>
      </c>
      <c r="H3673" s="5" t="s">
        <v>330</v>
      </c>
      <c r="I3673" s="5" t="s">
        <v>10654</v>
      </c>
      <c r="J3673" s="5" t="s">
        <v>10655</v>
      </c>
      <c r="K3673" s="7" t="str">
        <f ca="1">IFERROR(__xludf.DUMMYFUNCTION("GOOGLETRANSLATE(H3673,""EN"",""ES"")"),"MISCELÁNEAS")</f>
        <v>MISCELÁNEAS</v>
      </c>
      <c r="L3673" s="5" t="str">
        <f ca="1">IFERROR(__xludf.DUMMYFUNCTION("GOOGLETRANSLATE(J3673,""EN"",""ES"")"),"diapasones")</f>
        <v>diapasones</v>
      </c>
      <c r="M3673" s="8" t="s">
        <v>61</v>
      </c>
      <c r="N3673" s="8"/>
    </row>
    <row r="3674" spans="1:14" ht="11.25" customHeight="1">
      <c r="A3674" s="5" t="s">
        <v>10419</v>
      </c>
      <c r="B3674" s="5" t="s">
        <v>10649</v>
      </c>
      <c r="C3674" s="5" t="s">
        <v>10656</v>
      </c>
      <c r="D3674" s="5" t="s">
        <v>10422</v>
      </c>
      <c r="E3674" s="5" t="s">
        <v>62</v>
      </c>
      <c r="F3674" s="5" t="s">
        <v>10423</v>
      </c>
      <c r="G3674" s="5" t="s">
        <v>10424</v>
      </c>
      <c r="H3674" s="5" t="s">
        <v>330</v>
      </c>
      <c r="I3674" s="5" t="s">
        <v>10657</v>
      </c>
      <c r="J3674" s="5" t="s">
        <v>10658</v>
      </c>
      <c r="K3674" s="7" t="str">
        <f ca="1">IFERROR(__xludf.DUMMYFUNCTION("GOOGLETRANSLATE(H3674,""EN"",""ES"")"),"MISCELÁNEAS")</f>
        <v>MISCELÁNEAS</v>
      </c>
      <c r="L3674" s="5" t="str">
        <f ca="1">IFERROR(__xludf.DUMMYFUNCTION("GOOGLETRANSLATE(J3674,""EN"",""ES"")"),"Amortiguadores para instrumentos musicales.")</f>
        <v>Amortiguadores para instrumentos musicales.</v>
      </c>
      <c r="M3674" s="8" t="s">
        <v>61</v>
      </c>
      <c r="N3674" s="8"/>
    </row>
    <row r="3675" spans="1:14" ht="11.25" customHeight="1">
      <c r="A3675" s="5" t="s">
        <v>10419</v>
      </c>
      <c r="B3675" s="5" t="s">
        <v>10649</v>
      </c>
      <c r="C3675" s="5" t="s">
        <v>10656</v>
      </c>
      <c r="D3675" s="5" t="s">
        <v>10422</v>
      </c>
      <c r="E3675" s="5" t="s">
        <v>62</v>
      </c>
      <c r="F3675" s="5" t="s">
        <v>10423</v>
      </c>
      <c r="G3675" s="5" t="s">
        <v>10424</v>
      </c>
      <c r="H3675" s="5" t="s">
        <v>330</v>
      </c>
      <c r="I3675" s="5" t="s">
        <v>10659</v>
      </c>
      <c r="J3675" s="5" t="s">
        <v>152</v>
      </c>
      <c r="K3675" s="7" t="str">
        <f ca="1">IFERROR(__xludf.DUMMYFUNCTION("GOOGLETRANSLATE(H3675,""EN"",""ES"")"),"MISCELÁNEAS")</f>
        <v>MISCELÁNEAS</v>
      </c>
      <c r="L3675" s="5" t="str">
        <f ca="1">IFERROR(__xludf.DUMMYFUNCTION("GOOGLETRANSLATE(J3675,""EN"",""ES"")"),"Sordinas para instrumentos musicales")</f>
        <v>Sordinas para instrumentos musicales</v>
      </c>
      <c r="M3675" s="8" t="s">
        <v>61</v>
      </c>
      <c r="N3675" s="8"/>
    </row>
    <row r="3676" spans="1:14" ht="11.25" customHeight="1">
      <c r="A3676" s="5" t="s">
        <v>10419</v>
      </c>
      <c r="B3676" s="5" t="s">
        <v>10649</v>
      </c>
      <c r="C3676" s="5" t="s">
        <v>10660</v>
      </c>
      <c r="D3676" s="5" t="s">
        <v>10422</v>
      </c>
      <c r="E3676" s="5" t="s">
        <v>62</v>
      </c>
      <c r="F3676" s="5" t="s">
        <v>10423</v>
      </c>
      <c r="G3676" s="5" t="s">
        <v>10424</v>
      </c>
      <c r="H3676" s="5" t="s">
        <v>330</v>
      </c>
      <c r="I3676" s="5" t="s">
        <v>10661</v>
      </c>
      <c r="J3676" s="5" t="s">
        <v>10662</v>
      </c>
      <c r="K3676" s="7" t="str">
        <f ca="1">IFERROR(__xludf.DUMMYFUNCTION("GOOGLETRANSLATE(H3676,""EN"",""ES"")"),"MISCELÁNEAS")</f>
        <v>MISCELÁNEAS</v>
      </c>
      <c r="L3676" s="5" t="str">
        <f ca="1">IFERROR(__xludf.DUMMYFUNCTION("GOOGLETRANSLATE(J3676,""EN"",""ES"")"),"Silbatos de afinación")</f>
        <v>Silbatos de afinación</v>
      </c>
      <c r="M3676" s="8" t="s">
        <v>61</v>
      </c>
      <c r="N3676" s="8"/>
    </row>
    <row r="3677" spans="1:14" ht="11.25" customHeight="1">
      <c r="A3677" s="5" t="s">
        <v>10419</v>
      </c>
      <c r="B3677" s="5" t="s">
        <v>10649</v>
      </c>
      <c r="C3677" s="5" t="s">
        <v>10663</v>
      </c>
      <c r="D3677" s="5" t="s">
        <v>10422</v>
      </c>
      <c r="E3677" s="5" t="s">
        <v>62</v>
      </c>
      <c r="F3677" s="5" t="s">
        <v>10423</v>
      </c>
      <c r="G3677" s="5" t="s">
        <v>10424</v>
      </c>
      <c r="H3677" s="5" t="s">
        <v>330</v>
      </c>
      <c r="I3677" s="5" t="s">
        <v>10664</v>
      </c>
      <c r="J3677" s="5" t="s">
        <v>10665</v>
      </c>
      <c r="K3677" s="7" t="str">
        <f ca="1">IFERROR(__xludf.DUMMYFUNCTION("GOOGLETRANSLATE(H3677,""EN"",""ES"")"),"MISCELÁNEAS")</f>
        <v>MISCELÁNEAS</v>
      </c>
      <c r="L3677" s="5" t="str">
        <f ca="1">IFERROR(__xludf.DUMMYFUNCTION("GOOGLETRANSLATE(J3677,""EN"",""ES"")"),"Pedales para instrumentos musicales.")</f>
        <v>Pedales para instrumentos musicales.</v>
      </c>
      <c r="M3677" s="8" t="s">
        <v>61</v>
      </c>
      <c r="N3677" s="8"/>
    </row>
    <row r="3678" spans="1:14" ht="11.25" customHeight="1">
      <c r="A3678" s="5" t="s">
        <v>10419</v>
      </c>
      <c r="B3678" s="5" t="s">
        <v>10649</v>
      </c>
      <c r="C3678" s="5" t="s">
        <v>10666</v>
      </c>
      <c r="D3678" s="5" t="s">
        <v>10422</v>
      </c>
      <c r="E3678" s="5" t="s">
        <v>62</v>
      </c>
      <c r="F3678" s="5" t="s">
        <v>10423</v>
      </c>
      <c r="G3678" s="5" t="s">
        <v>10424</v>
      </c>
      <c r="H3678" s="5" t="s">
        <v>330</v>
      </c>
      <c r="I3678" s="5" t="s">
        <v>10667</v>
      </c>
      <c r="J3678" s="5" t="s">
        <v>10668</v>
      </c>
      <c r="K3678" s="7" t="str">
        <f ca="1">IFERROR(__xludf.DUMMYFUNCTION("GOOGLETRANSLATE(H3678,""EN"",""ES"")"),"MISCELÁNEAS")</f>
        <v>MISCELÁNEAS</v>
      </c>
      <c r="L3678" s="5" t="str">
        <f ca="1">IFERROR(__xludf.DUMMYFUNCTION("GOOGLETRANSLATE(J3678,""EN"",""ES"")"),"arpas judías")</f>
        <v>arpas judías</v>
      </c>
      <c r="M3678" s="8" t="s">
        <v>61</v>
      </c>
      <c r="N3678" s="8"/>
    </row>
    <row r="3679" spans="1:14" ht="11.25" customHeight="1">
      <c r="A3679" s="5" t="s">
        <v>10419</v>
      </c>
      <c r="B3679" s="5" t="s">
        <v>10649</v>
      </c>
      <c r="C3679" s="5" t="s">
        <v>10669</v>
      </c>
      <c r="D3679" s="5" t="s">
        <v>10422</v>
      </c>
      <c r="E3679" s="5" t="s">
        <v>62</v>
      </c>
      <c r="F3679" s="5" t="s">
        <v>10423</v>
      </c>
      <c r="G3679" s="5" t="s">
        <v>10424</v>
      </c>
      <c r="H3679" s="5" t="s">
        <v>330</v>
      </c>
      <c r="I3679" s="5" t="s">
        <v>10670</v>
      </c>
      <c r="J3679" s="5" t="s">
        <v>10671</v>
      </c>
      <c r="K3679" s="7" t="str">
        <f ca="1">IFERROR(__xludf.DUMMYFUNCTION("GOOGLETRANSLATE(H3679,""EN"",""ES"")"),"MISCELÁNEAS")</f>
        <v>MISCELÁNEAS</v>
      </c>
      <c r="L3679" s="5" t="str">
        <f ca="1">IFERROR(__xludf.DUMMYFUNCTION("GOOGLETRANSLATE(J3679,""EN"",""ES"")"),"Soportes para instrumentos musicales.")</f>
        <v>Soportes para instrumentos musicales.</v>
      </c>
      <c r="M3679" s="8" t="s">
        <v>61</v>
      </c>
      <c r="N3679" s="8"/>
    </row>
    <row r="3680" spans="1:14" ht="11.25" customHeight="1">
      <c r="A3680" s="5" t="s">
        <v>10672</v>
      </c>
      <c r="B3680" s="5" t="s">
        <v>10673</v>
      </c>
      <c r="C3680" s="5" t="s">
        <v>10674</v>
      </c>
      <c r="D3680" s="5" t="s">
        <v>10675</v>
      </c>
      <c r="E3680" s="5" t="s">
        <v>64</v>
      </c>
      <c r="F3680" s="5" t="s">
        <v>10676</v>
      </c>
      <c r="G3680" s="5" t="s">
        <v>152</v>
      </c>
      <c r="H3680" s="5" t="s">
        <v>10677</v>
      </c>
      <c r="I3680" s="5" t="s">
        <v>10678</v>
      </c>
      <c r="J3680" s="5" t="s">
        <v>10679</v>
      </c>
      <c r="K3680" s="7" t="str">
        <f ca="1">IFERROR(__xludf.DUMMYFUNCTION("GOOGLETRANSLATE(H3680,""EN"",""ES"")"),"MÁQUINAS DE ESCRIBIR Y MÁQUINAS CALCULADORAS")</f>
        <v>MÁQUINAS DE ESCRIBIR Y MÁQUINAS CALCULADORAS</v>
      </c>
      <c r="L3680" s="5" t="str">
        <f ca="1">IFERROR(__xludf.DUMMYFUNCTION("GOOGLETRANSLATE(J3680,""EN"",""ES"")"),"Máquinas sumadoras")</f>
        <v>Máquinas sumadoras</v>
      </c>
      <c r="M3680" s="8" t="s">
        <v>63</v>
      </c>
      <c r="N3680" s="8"/>
    </row>
    <row r="3681" spans="1:14" ht="11.25" customHeight="1">
      <c r="A3681" s="5" t="s">
        <v>10672</v>
      </c>
      <c r="B3681" s="5" t="s">
        <v>10673</v>
      </c>
      <c r="C3681" s="5" t="s">
        <v>10680</v>
      </c>
      <c r="D3681" s="5" t="s">
        <v>10675</v>
      </c>
      <c r="E3681" s="5" t="s">
        <v>64</v>
      </c>
      <c r="F3681" s="5" t="s">
        <v>10676</v>
      </c>
      <c r="G3681" s="5" t="s">
        <v>152</v>
      </c>
      <c r="H3681" s="5" t="s">
        <v>10677</v>
      </c>
      <c r="I3681" s="5" t="s">
        <v>10681</v>
      </c>
      <c r="J3681" s="5" t="s">
        <v>10682</v>
      </c>
      <c r="K3681" s="7" t="str">
        <f ca="1">IFERROR(__xludf.DUMMYFUNCTION("GOOGLETRANSLATE(H3681,""EN"",""ES"")"),"MÁQUINAS DE ESCRIBIR Y MÁQUINAS CALCULADORAS")</f>
        <v>MÁQUINAS DE ESCRIBIR Y MÁQUINAS CALCULADORAS</v>
      </c>
      <c r="L3681" s="5" t="str">
        <f ca="1">IFERROR(__xludf.DUMMYFUNCTION("GOOGLETRANSLATE(J3681,""EN"",""ES"")"),"cajas registradoras")</f>
        <v>cajas registradoras</v>
      </c>
      <c r="M3681" s="8" t="s">
        <v>63</v>
      </c>
      <c r="N3681" s="8"/>
    </row>
    <row r="3682" spans="1:14" ht="11.25" customHeight="1">
      <c r="A3682" s="5" t="s">
        <v>10672</v>
      </c>
      <c r="B3682" s="5" t="s">
        <v>10673</v>
      </c>
      <c r="C3682" s="5" t="s">
        <v>10683</v>
      </c>
      <c r="D3682" s="5" t="s">
        <v>10675</v>
      </c>
      <c r="E3682" s="5" t="s">
        <v>64</v>
      </c>
      <c r="F3682" s="5" t="s">
        <v>10676</v>
      </c>
      <c r="G3682" s="5" t="s">
        <v>152</v>
      </c>
      <c r="H3682" s="5" t="s">
        <v>10677</v>
      </c>
      <c r="I3682" s="5" t="s">
        <v>10684</v>
      </c>
      <c r="J3682" s="5" t="s">
        <v>10685</v>
      </c>
      <c r="K3682" s="7" t="str">
        <f ca="1">IFERROR(__xludf.DUMMYFUNCTION("GOOGLETRANSLATE(H3682,""EN"",""ES"")"),"MÁQUINAS DE ESCRIBIR Y MÁQUINAS CALCULADORAS")</f>
        <v>MÁQUINAS DE ESCRIBIR Y MÁQUINAS CALCULADORAS</v>
      </c>
      <c r="L3682" s="5" t="str">
        <f ca="1">IFERROR(__xludf.DUMMYFUNCTION("GOOGLETRANSLATE(J3682,""EN"",""ES"")"),"Máquinas calculadoras [excepto ordenadores]")</f>
        <v>Máquinas calculadoras [excepto ordenadores]</v>
      </c>
      <c r="M3682" s="8" t="s">
        <v>63</v>
      </c>
      <c r="N3682" s="8"/>
    </row>
    <row r="3683" spans="1:14" ht="11.25" customHeight="1">
      <c r="A3683" s="5" t="s">
        <v>10672</v>
      </c>
      <c r="B3683" s="5" t="s">
        <v>10673</v>
      </c>
      <c r="C3683" s="5" t="s">
        <v>10686</v>
      </c>
      <c r="D3683" s="5" t="s">
        <v>10675</v>
      </c>
      <c r="E3683" s="5" t="s">
        <v>64</v>
      </c>
      <c r="F3683" s="5" t="s">
        <v>10676</v>
      </c>
      <c r="G3683" s="5" t="s">
        <v>152</v>
      </c>
      <c r="H3683" s="5" t="s">
        <v>10677</v>
      </c>
      <c r="I3683" s="5" t="s">
        <v>10687</v>
      </c>
      <c r="J3683" s="5" t="s">
        <v>10688</v>
      </c>
      <c r="K3683" s="7" t="str">
        <f ca="1">IFERROR(__xludf.DUMMYFUNCTION("GOOGLETRANSLATE(H3683,""EN"",""ES"")"),"MÁQUINAS DE ESCRIBIR Y MÁQUINAS CALCULADORAS")</f>
        <v>MÁQUINAS DE ESCRIBIR Y MÁQUINAS CALCULADORAS</v>
      </c>
      <c r="L3683" s="5" t="str">
        <f ca="1">IFERROR(__xludf.DUMMYFUNCTION("GOOGLETRANSLATE(J3683,""EN"",""ES"")"),"máquinas de escribir")</f>
        <v>máquinas de escribir</v>
      </c>
      <c r="M3683" s="8" t="s">
        <v>63</v>
      </c>
      <c r="N3683" s="8"/>
    </row>
    <row r="3684" spans="1:14" ht="11.25" customHeight="1">
      <c r="A3684" s="5" t="s">
        <v>10672</v>
      </c>
      <c r="B3684" s="5" t="s">
        <v>10673</v>
      </c>
      <c r="C3684" s="5" t="s">
        <v>10689</v>
      </c>
      <c r="D3684" s="5" t="s">
        <v>10675</v>
      </c>
      <c r="E3684" s="5" t="s">
        <v>64</v>
      </c>
      <c r="F3684" s="5" t="s">
        <v>10676</v>
      </c>
      <c r="G3684" s="5" t="s">
        <v>152</v>
      </c>
      <c r="H3684" s="5" t="s">
        <v>10677</v>
      </c>
      <c r="I3684" s="5" t="s">
        <v>10690</v>
      </c>
      <c r="J3684" s="5" t="s">
        <v>10691</v>
      </c>
      <c r="K3684" s="7" t="str">
        <f ca="1">IFERROR(__xludf.DUMMYFUNCTION("GOOGLETRANSLATE(H3684,""EN"",""ES"")"),"MÁQUINAS DE ESCRIBIR Y MÁQUINAS CALCULADORAS")</f>
        <v>MÁQUINAS DE ESCRIBIR Y MÁQUINAS CALCULADORAS</v>
      </c>
      <c r="L3684" s="5" t="str">
        <f ca="1">IFERROR(__xludf.DUMMYFUNCTION("GOOGLETRANSLATE(J3684,""EN"",""ES"")"),"Cintas de máquina de escribir")</f>
        <v>Cintas de máquina de escribir</v>
      </c>
      <c r="M3684" s="8" t="s">
        <v>63</v>
      </c>
      <c r="N3684" s="8"/>
    </row>
    <row r="3685" spans="1:14" ht="11.25" customHeight="1">
      <c r="A3685" s="5" t="s">
        <v>10672</v>
      </c>
      <c r="B3685" s="5" t="s">
        <v>10673</v>
      </c>
      <c r="C3685" s="5" t="s">
        <v>10692</v>
      </c>
      <c r="D3685" s="5" t="s">
        <v>10675</v>
      </c>
      <c r="E3685" s="5" t="s">
        <v>64</v>
      </c>
      <c r="F3685" s="5" t="s">
        <v>10676</v>
      </c>
      <c r="G3685" s="5" t="s">
        <v>152</v>
      </c>
      <c r="H3685" s="5" t="s">
        <v>10677</v>
      </c>
      <c r="I3685" s="5" t="s">
        <v>10693</v>
      </c>
      <c r="J3685" s="5" t="s">
        <v>10694</v>
      </c>
      <c r="K3685" s="7" t="str">
        <f ca="1">IFERROR(__xludf.DUMMYFUNCTION("GOOGLETRANSLATE(H3685,""EN"",""ES"")"),"MÁQUINAS DE ESCRIBIR Y MÁQUINAS CALCULADORAS")</f>
        <v>MÁQUINAS DE ESCRIBIR Y MÁQUINAS CALCULADORAS</v>
      </c>
      <c r="L3685" s="5" t="str">
        <f ca="1">IFERROR(__xludf.DUMMYFUNCTION("GOOGLETRANSLATE(J3685,""EN"",""ES"")"),"Guías de papel para máquinas de escribir.")</f>
        <v>Guías de papel para máquinas de escribir.</v>
      </c>
      <c r="M3685" s="8" t="s">
        <v>63</v>
      </c>
      <c r="N3685" s="8"/>
    </row>
    <row r="3686" spans="1:14" ht="11.25" customHeight="1">
      <c r="A3686" s="5" t="s">
        <v>10672</v>
      </c>
      <c r="B3686" s="5" t="s">
        <v>10673</v>
      </c>
      <c r="C3686" s="5" t="s">
        <v>10695</v>
      </c>
      <c r="D3686" s="5" t="s">
        <v>10675</v>
      </c>
      <c r="E3686" s="5" t="s">
        <v>64</v>
      </c>
      <c r="F3686" s="5" t="s">
        <v>10676</v>
      </c>
      <c r="G3686" s="5" t="s">
        <v>152</v>
      </c>
      <c r="H3686" s="5" t="s">
        <v>10677</v>
      </c>
      <c r="I3686" s="5" t="s">
        <v>10696</v>
      </c>
      <c r="J3686" s="5" t="s">
        <v>10697</v>
      </c>
      <c r="K3686" s="7" t="str">
        <f ca="1">IFERROR(__xludf.DUMMYFUNCTION("GOOGLETRANSLATE(H3686,""EN"",""ES"")"),"MÁQUINAS DE ESCRIBIR Y MÁQUINAS CALCULADORAS")</f>
        <v>MÁQUINAS DE ESCRIBIR Y MÁQUINAS CALCULADORAS</v>
      </c>
      <c r="L3686" s="5" t="str">
        <f ca="1">IFERROR(__xludf.DUMMYFUNCTION("GOOGLETRANSLATE(J3686,""EN"",""ES"")"),"chequeros")</f>
        <v>chequeros</v>
      </c>
      <c r="M3686" s="8" t="s">
        <v>63</v>
      </c>
      <c r="N3686" s="8"/>
    </row>
    <row r="3687" spans="1:14" ht="11.25" customHeight="1">
      <c r="A3687" s="5" t="s">
        <v>10672</v>
      </c>
      <c r="B3687" s="5" t="s">
        <v>10673</v>
      </c>
      <c r="C3687" s="5" t="s">
        <v>10698</v>
      </c>
      <c r="D3687" s="5" t="s">
        <v>10675</v>
      </c>
      <c r="E3687" s="5" t="s">
        <v>64</v>
      </c>
      <c r="F3687" s="5" t="s">
        <v>10676</v>
      </c>
      <c r="G3687" s="5" t="s">
        <v>152</v>
      </c>
      <c r="H3687" s="5" t="s">
        <v>10677</v>
      </c>
      <c r="I3687" s="5" t="s">
        <v>10699</v>
      </c>
      <c r="J3687" s="5" t="s">
        <v>10700</v>
      </c>
      <c r="K3687" s="7" t="str">
        <f ca="1">IFERROR(__xludf.DUMMYFUNCTION("GOOGLETRANSLATE(H3687,""EN"",""ES"")"),"MÁQUINAS DE ESCRIBIR Y MÁQUINAS CALCULADORAS")</f>
        <v>MÁQUINAS DE ESCRIBIR Y MÁQUINAS CALCULADORAS</v>
      </c>
      <c r="L3687" s="5" t="str">
        <f ca="1">IFERROR(__xludf.DUMMYFUNCTION("GOOGLETRANSLATE(J3687,""EN"",""ES"")"),"maquinas contables")</f>
        <v>maquinas contables</v>
      </c>
      <c r="M3687" s="8" t="s">
        <v>63</v>
      </c>
      <c r="N3687" s="8"/>
    </row>
    <row r="3688" spans="1:14" ht="11.25" customHeight="1">
      <c r="A3688" s="5" t="s">
        <v>10672</v>
      </c>
      <c r="B3688" s="5" t="s">
        <v>10673</v>
      </c>
      <c r="C3688" s="5" t="s">
        <v>10701</v>
      </c>
      <c r="D3688" s="5" t="s">
        <v>10675</v>
      </c>
      <c r="E3688" s="5" t="s">
        <v>64</v>
      </c>
      <c r="F3688" s="5" t="s">
        <v>10676</v>
      </c>
      <c r="G3688" s="5" t="s">
        <v>152</v>
      </c>
      <c r="H3688" s="5" t="s">
        <v>10677</v>
      </c>
      <c r="I3688" s="5" t="s">
        <v>10702</v>
      </c>
      <c r="J3688" s="5" t="s">
        <v>10703</v>
      </c>
      <c r="K3688" s="7" t="str">
        <f ca="1">IFERROR(__xludf.DUMMYFUNCTION("GOOGLETRANSLATE(H3688,""EN"",""ES"")"),"MÁQUINAS DE ESCRIBIR Y MÁQUINAS CALCULADORAS")</f>
        <v>MÁQUINAS DE ESCRIBIR Y MÁQUINAS CALCULADORAS</v>
      </c>
      <c r="L3688" s="5" t="str">
        <f ca="1">IFERROR(__xludf.DUMMYFUNCTION("GOOGLETRANSLATE(J3688,""EN"",""ES"")"),"máquinas estenográficas")</f>
        <v>máquinas estenográficas</v>
      </c>
      <c r="M3688" s="8" t="s">
        <v>63</v>
      </c>
      <c r="N3688" s="8"/>
    </row>
    <row r="3689" spans="1:14" ht="11.25" customHeight="1">
      <c r="A3689" s="5" t="s">
        <v>10672</v>
      </c>
      <c r="B3689" s="5" t="s">
        <v>10673</v>
      </c>
      <c r="C3689" s="5" t="s">
        <v>10704</v>
      </c>
      <c r="D3689" s="5" t="s">
        <v>10675</v>
      </c>
      <c r="E3689" s="5" t="s">
        <v>64</v>
      </c>
      <c r="F3689" s="5" t="s">
        <v>10676</v>
      </c>
      <c r="G3689" s="5" t="s">
        <v>152</v>
      </c>
      <c r="H3689" s="5" t="s">
        <v>10677</v>
      </c>
      <c r="I3689" s="5" t="s">
        <v>10705</v>
      </c>
      <c r="J3689" s="5" t="s">
        <v>10706</v>
      </c>
      <c r="K3689" s="7" t="str">
        <f ca="1">IFERROR(__xludf.DUMMYFUNCTION("GOOGLETRANSLATE(H3689,""EN"",""ES"")"),"MÁQUINAS DE ESCRIBIR Y MÁQUINAS CALCULADORAS")</f>
        <v>MÁQUINAS DE ESCRIBIR Y MÁQUINAS CALCULADORAS</v>
      </c>
      <c r="L3689" s="5" t="str">
        <f ca="1">IFERROR(__xludf.DUMMYFUNCTION("GOOGLETRANSLATE(J3689,""EN"",""ES"")"),"Estenotipos [máquinas de oficina]")</f>
        <v>Estenotipos [máquinas de oficina]</v>
      </c>
      <c r="M3689" s="8" t="s">
        <v>63</v>
      </c>
      <c r="N3689" s="8"/>
    </row>
    <row r="3690" spans="1:14" ht="11.25" customHeight="1">
      <c r="A3690" s="5" t="s">
        <v>10672</v>
      </c>
      <c r="B3690" s="5" t="s">
        <v>10673</v>
      </c>
      <c r="C3690" s="5" t="s">
        <v>10707</v>
      </c>
      <c r="D3690" s="5" t="s">
        <v>10675</v>
      </c>
      <c r="E3690" s="5" t="s">
        <v>64</v>
      </c>
      <c r="F3690" s="5" t="s">
        <v>10676</v>
      </c>
      <c r="G3690" s="5" t="s">
        <v>152</v>
      </c>
      <c r="H3690" s="5" t="s">
        <v>10677</v>
      </c>
      <c r="I3690" s="5" t="s">
        <v>10708</v>
      </c>
      <c r="J3690" s="5" t="s">
        <v>10709</v>
      </c>
      <c r="K3690" s="7" t="str">
        <f ca="1">IFERROR(__xludf.DUMMYFUNCTION("GOOGLETRANSLATE(H3690,""EN"",""ES"")"),"MÁQUINAS DE ESCRIBIR Y MÁQUINAS CALCULADORAS")</f>
        <v>MÁQUINAS DE ESCRIBIR Y MÁQUINAS CALCULADORAS</v>
      </c>
      <c r="L3690" s="5" t="str">
        <f ca="1">IFERROR(__xludf.DUMMYFUNCTION("GOOGLETRANSLATE(J3690,""EN"",""ES"")"),"Ábaco")</f>
        <v>Ábaco</v>
      </c>
      <c r="M3690" s="8" t="s">
        <v>63</v>
      </c>
      <c r="N3690" s="8"/>
    </row>
    <row r="3691" spans="1:14" ht="11.25" customHeight="1">
      <c r="A3691" s="5" t="s">
        <v>10672</v>
      </c>
      <c r="B3691" s="5" t="s">
        <v>10673</v>
      </c>
      <c r="C3691" s="5" t="s">
        <v>10710</v>
      </c>
      <c r="D3691" s="5" t="s">
        <v>10675</v>
      </c>
      <c r="E3691" s="5" t="s">
        <v>64</v>
      </c>
      <c r="F3691" s="5" t="s">
        <v>10676</v>
      </c>
      <c r="G3691" s="5" t="s">
        <v>152</v>
      </c>
      <c r="H3691" s="5" t="s">
        <v>10677</v>
      </c>
      <c r="I3691" s="5" t="s">
        <v>10711</v>
      </c>
      <c r="J3691" s="5" t="s">
        <v>10712</v>
      </c>
      <c r="K3691" s="7" t="str">
        <f ca="1">IFERROR(__xludf.DUMMYFUNCTION("GOOGLETRANSLATE(H3691,""EN"",""ES"")"),"MÁQUINAS DE ESCRIBIR Y MÁQUINAS CALCULADORAS")</f>
        <v>MÁQUINAS DE ESCRIBIR Y MÁQUINAS CALCULADORAS</v>
      </c>
      <c r="L3691" s="5" t="str">
        <f ca="1">IFERROR(__xludf.DUMMYFUNCTION("GOOGLETRANSLATE(J3691,""EN"",""ES"")"),"Máquinas para contar votos o votar")</f>
        <v>Máquinas para contar votos o votar</v>
      </c>
      <c r="M3691" s="8" t="s">
        <v>63</v>
      </c>
      <c r="N3691" s="8"/>
    </row>
    <row r="3692" spans="1:14" ht="11.25" customHeight="1">
      <c r="A3692" s="5" t="s">
        <v>10672</v>
      </c>
      <c r="B3692" s="5" t="s">
        <v>10673</v>
      </c>
      <c r="C3692" s="5" t="s">
        <v>10713</v>
      </c>
      <c r="D3692" s="5" t="s">
        <v>10675</v>
      </c>
      <c r="E3692" s="5" t="s">
        <v>64</v>
      </c>
      <c r="F3692" s="5" t="s">
        <v>10676</v>
      </c>
      <c r="G3692" s="5" t="s">
        <v>152</v>
      </c>
      <c r="H3692" s="5" t="s">
        <v>10677</v>
      </c>
      <c r="I3692" s="5" t="s">
        <v>10714</v>
      </c>
      <c r="J3692" s="5" t="s">
        <v>10715</v>
      </c>
      <c r="K3692" s="7" t="str">
        <f ca="1">IFERROR(__xludf.DUMMYFUNCTION("GOOGLETRANSLATE(H3692,""EN"",""ES"")"),"MÁQUINAS DE ESCRIBIR Y MÁQUINAS CALCULADORAS")</f>
        <v>MÁQUINAS DE ESCRIBIR Y MÁQUINAS CALCULADORAS</v>
      </c>
      <c r="L3692" s="5" t="str">
        <f ca="1">IFERROR(__xludf.DUMMYFUNCTION("GOOGLETRANSLATE(J3692,""EN"",""ES"")"),"Platinas de máquina de escribir")</f>
        <v>Platinas de máquina de escribir</v>
      </c>
      <c r="M3692" s="8" t="s">
        <v>63</v>
      </c>
      <c r="N3692" s="8"/>
    </row>
    <row r="3693" spans="1:14" ht="11.25" customHeight="1">
      <c r="A3693" s="5" t="s">
        <v>10672</v>
      </c>
      <c r="B3693" s="5" t="s">
        <v>10673</v>
      </c>
      <c r="C3693" s="5" t="s">
        <v>10716</v>
      </c>
      <c r="D3693" s="5" t="s">
        <v>10675</v>
      </c>
      <c r="E3693" s="5" t="s">
        <v>64</v>
      </c>
      <c r="F3693" s="5" t="s">
        <v>10676</v>
      </c>
      <c r="G3693" s="5" t="s">
        <v>152</v>
      </c>
      <c r="H3693" s="5" t="s">
        <v>10677</v>
      </c>
      <c r="I3693" s="5" t="s">
        <v>10717</v>
      </c>
      <c r="J3693" s="5" t="s">
        <v>10718</v>
      </c>
      <c r="K3693" s="7" t="str">
        <f ca="1">IFERROR(__xludf.DUMMYFUNCTION("GOOGLETRANSLATE(H3693,""EN"",""ES"")"),"MÁQUINAS DE ESCRIBIR Y MÁQUINAS CALCULADORAS")</f>
        <v>MÁQUINAS DE ESCRIBIR Y MÁQUINAS CALCULADORAS</v>
      </c>
      <c r="L3693" s="5" t="str">
        <f ca="1">IFERROR(__xludf.DUMMYFUNCTION("GOOGLETRANSLATE(J3693,""EN"",""ES"")"),"Teclas de máquina de escribir")</f>
        <v>Teclas de máquina de escribir</v>
      </c>
      <c r="M3693" s="8" t="s">
        <v>63</v>
      </c>
      <c r="N3693" s="8"/>
    </row>
    <row r="3694" spans="1:14" ht="11.25" customHeight="1">
      <c r="A3694" s="5" t="s">
        <v>10672</v>
      </c>
      <c r="B3694" s="5" t="s">
        <v>10673</v>
      </c>
      <c r="C3694" s="5" t="s">
        <v>10719</v>
      </c>
      <c r="D3694" s="5" t="s">
        <v>10675</v>
      </c>
      <c r="E3694" s="5" t="s">
        <v>64</v>
      </c>
      <c r="F3694" s="5" t="s">
        <v>10676</v>
      </c>
      <c r="G3694" s="5" t="s">
        <v>152</v>
      </c>
      <c r="H3694" s="5" t="s">
        <v>10677</v>
      </c>
      <c r="I3694" s="5" t="s">
        <v>10720</v>
      </c>
      <c r="J3694" s="5" t="s">
        <v>10721</v>
      </c>
      <c r="K3694" s="7" t="str">
        <f ca="1">IFERROR(__xludf.DUMMYFUNCTION("GOOGLETRANSLATE(H3694,""EN"",""ES"")"),"MÁQUINAS DE ESCRIBIR Y MÁQUINAS CALCULADORAS")</f>
        <v>MÁQUINAS DE ESCRIBIR Y MÁQUINAS CALCULADORAS</v>
      </c>
      <c r="L3694" s="5" t="str">
        <f ca="1">IFERROR(__xludf.DUMMYFUNCTION("GOOGLETRANSLATE(J3694,""EN"",""ES"")"),"Calculadoras [excepto computadoras]")</f>
        <v>Calculadoras [excepto computadoras]</v>
      </c>
      <c r="M3694" s="8" t="s">
        <v>63</v>
      </c>
      <c r="N3694" s="8"/>
    </row>
    <row r="3695" spans="1:14" ht="11.25" customHeight="1">
      <c r="A3695" s="5" t="s">
        <v>10672</v>
      </c>
      <c r="B3695" s="5" t="s">
        <v>10673</v>
      </c>
      <c r="C3695" s="5" t="s">
        <v>10722</v>
      </c>
      <c r="D3695" s="5" t="s">
        <v>10675</v>
      </c>
      <c r="E3695" s="5" t="s">
        <v>64</v>
      </c>
      <c r="F3695" s="5" t="s">
        <v>10676</v>
      </c>
      <c r="G3695" s="5" t="s">
        <v>152</v>
      </c>
      <c r="H3695" s="5" t="s">
        <v>10677</v>
      </c>
      <c r="I3695" s="5" t="s">
        <v>10723</v>
      </c>
      <c r="J3695" s="5" t="s">
        <v>10724</v>
      </c>
      <c r="K3695" s="7" t="str">
        <f ca="1">IFERROR(__xludf.DUMMYFUNCTION("GOOGLETRANSLATE(H3695,""EN"",""ES"")"),"MÁQUINAS DE ESCRIBIR Y MÁQUINAS CALCULADORAS")</f>
        <v>MÁQUINAS DE ESCRIBIR Y MÁQUINAS CALCULADORAS</v>
      </c>
      <c r="L3695" s="5" t="str">
        <f ca="1">IFERROR(__xludf.DUMMYFUNCTION("GOOGLETRANSLATE(J3695,""EN"",""ES"")"),"Consolas de validación y pago con pantallas [excepto ordenadores]")</f>
        <v>Consolas de validación y pago con pantallas [excepto ordenadores]</v>
      </c>
      <c r="M3695" s="8" t="s">
        <v>63</v>
      </c>
      <c r="N3695" s="8"/>
    </row>
    <row r="3696" spans="1:14" ht="11.25" customHeight="1">
      <c r="A3696" s="5" t="s">
        <v>10672</v>
      </c>
      <c r="B3696" s="5" t="s">
        <v>10725</v>
      </c>
      <c r="C3696" s="5" t="s">
        <v>10726</v>
      </c>
      <c r="D3696" s="5" t="s">
        <v>10675</v>
      </c>
      <c r="E3696" s="5" t="s">
        <v>64</v>
      </c>
      <c r="F3696" s="5" t="s">
        <v>10676</v>
      </c>
      <c r="G3696" s="5" t="s">
        <v>152</v>
      </c>
      <c r="H3696" s="5" t="s">
        <v>10727</v>
      </c>
      <c r="I3696" s="5" t="s">
        <v>10728</v>
      </c>
      <c r="J3696" s="5" t="s">
        <v>10729</v>
      </c>
      <c r="K3696" s="7" t="str">
        <f ca="1">IFERROR(__xludf.DUMMYFUNCTION("GOOGLETRANSLATE(H3696,""EN"",""ES"")"),"MÁQUINAS DE IMPRESIÓN")</f>
        <v>MÁQUINAS DE IMPRESIÓN</v>
      </c>
      <c r="L3696" s="5" t="str">
        <f ca="1">IFERROR(__xludf.DUMMYFUNCTION("GOOGLETRANSLATE(J3696,""EN"",""ES"")"),"Direccionadores")</f>
        <v>Direccionadores</v>
      </c>
      <c r="M3696" s="8" t="s">
        <v>63</v>
      </c>
      <c r="N3696" s="8"/>
    </row>
    <row r="3697" spans="1:14" ht="11.25" customHeight="1">
      <c r="A3697" s="5" t="s">
        <v>10672</v>
      </c>
      <c r="B3697" s="5" t="s">
        <v>10725</v>
      </c>
      <c r="C3697" s="5" t="s">
        <v>10730</v>
      </c>
      <c r="D3697" s="5" t="s">
        <v>10675</v>
      </c>
      <c r="E3697" s="5" t="s">
        <v>64</v>
      </c>
      <c r="F3697" s="5" t="s">
        <v>10676</v>
      </c>
      <c r="G3697" s="5" t="s">
        <v>152</v>
      </c>
      <c r="H3697" s="5" t="s">
        <v>10727</v>
      </c>
      <c r="I3697" s="5" t="s">
        <v>10731</v>
      </c>
      <c r="J3697" s="5" t="s">
        <v>10732</v>
      </c>
      <c r="K3697" s="7" t="str">
        <f ca="1">IFERROR(__xludf.DUMMYFUNCTION("GOOGLETRANSLATE(H3697,""EN"",""ES"")"),"MÁQUINAS DE IMPRESIÓN")</f>
        <v>MÁQUINAS DE IMPRESIÓN</v>
      </c>
      <c r="L3697" s="5" t="str">
        <f ca="1">IFERROR(__xludf.DUMMYFUNCTION("GOOGLETRANSLATE(J3697,""EN"",""ES"")"),"Placas de dirección para direccionadores")</f>
        <v>Placas de dirección para direccionadores</v>
      </c>
      <c r="M3697" s="8" t="s">
        <v>63</v>
      </c>
      <c r="N3697" s="8"/>
    </row>
    <row r="3698" spans="1:14" ht="11.25" customHeight="1">
      <c r="A3698" s="5" t="s">
        <v>10672</v>
      </c>
      <c r="B3698" s="5" t="s">
        <v>10725</v>
      </c>
      <c r="C3698" s="5" t="s">
        <v>10733</v>
      </c>
      <c r="D3698" s="5" t="s">
        <v>10675</v>
      </c>
      <c r="E3698" s="5" t="s">
        <v>64</v>
      </c>
      <c r="F3698" s="5" t="s">
        <v>10676</v>
      </c>
      <c r="G3698" s="5" t="s">
        <v>152</v>
      </c>
      <c r="H3698" s="5" t="s">
        <v>10727</v>
      </c>
      <c r="I3698" s="5" t="s">
        <v>10734</v>
      </c>
      <c r="J3698" s="5" t="s">
        <v>10735</v>
      </c>
      <c r="K3698" s="7" t="str">
        <f ca="1">IFERROR(__xludf.DUMMYFUNCTION("GOOGLETRANSLATE(H3698,""EN"",""ES"")"),"MÁQUINAS DE IMPRESIÓN")</f>
        <v>MÁQUINAS DE IMPRESIÓN</v>
      </c>
      <c r="L3698" s="5" t="str">
        <f ca="1">IFERROR(__xludf.DUMMYFUNCTION("GOOGLETRANSLATE(J3698,""EN"",""ES"")"),"Máquinas de franquear")</f>
        <v>Máquinas de franquear</v>
      </c>
      <c r="M3698" s="8" t="s">
        <v>63</v>
      </c>
      <c r="N3698" s="8"/>
    </row>
    <row r="3699" spans="1:14" ht="11.25" customHeight="1">
      <c r="A3699" s="5" t="s">
        <v>10672</v>
      </c>
      <c r="B3699" s="5" t="s">
        <v>10725</v>
      </c>
      <c r="C3699" s="5" t="s">
        <v>10736</v>
      </c>
      <c r="D3699" s="5" t="s">
        <v>10675</v>
      </c>
      <c r="E3699" s="5" t="s">
        <v>64</v>
      </c>
      <c r="F3699" s="5" t="s">
        <v>10676</v>
      </c>
      <c r="G3699" s="5" t="s">
        <v>152</v>
      </c>
      <c r="H3699" s="5" t="s">
        <v>10727</v>
      </c>
      <c r="I3699" s="5" t="s">
        <v>10737</v>
      </c>
      <c r="J3699" s="5" t="s">
        <v>10738</v>
      </c>
      <c r="K3699" s="7" t="str">
        <f ca="1">IFERROR(__xludf.DUMMYFUNCTION("GOOGLETRANSLATE(H3699,""EN"",""ES"")"),"MÁQUINAS DE IMPRESIÓN")</f>
        <v>MÁQUINAS DE IMPRESIÓN</v>
      </c>
      <c r="L3699" s="5" t="str">
        <f ca="1">IFERROR(__xludf.DUMMYFUNCTION("GOOGLETRANSLATE(J3699,""EN"",""ES"")"),"Máquinas y aparatos estereotipados.")</f>
        <v>Máquinas y aparatos estereotipados.</v>
      </c>
      <c r="M3699" s="8" t="s">
        <v>63</v>
      </c>
      <c r="N3699" s="8"/>
    </row>
    <row r="3700" spans="1:14" ht="11.25" customHeight="1">
      <c r="A3700" s="5" t="s">
        <v>10672</v>
      </c>
      <c r="B3700" s="5" t="s">
        <v>10725</v>
      </c>
      <c r="C3700" s="5" t="s">
        <v>10739</v>
      </c>
      <c r="D3700" s="5" t="s">
        <v>10675</v>
      </c>
      <c r="E3700" s="5" t="s">
        <v>64</v>
      </c>
      <c r="F3700" s="5" t="s">
        <v>10676</v>
      </c>
      <c r="G3700" s="5" t="s">
        <v>152</v>
      </c>
      <c r="H3700" s="5" t="s">
        <v>10727</v>
      </c>
      <c r="I3700" s="5" t="s">
        <v>10740</v>
      </c>
      <c r="J3700" s="5" t="s">
        <v>10741</v>
      </c>
      <c r="K3700" s="7" t="str">
        <f ca="1">IFERROR(__xludf.DUMMYFUNCTION("GOOGLETRANSLATE(H3700,""EN"",""ES"")"),"MÁQUINAS DE IMPRESIÓN")</f>
        <v>MÁQUINAS DE IMPRESIÓN</v>
      </c>
      <c r="L3700" s="5" t="str">
        <f ca="1">IFERROR(__xludf.DUMMYFUNCTION("GOOGLETRANSLATE(J3700,""EN"",""ES"")"),"Placas de dirección")</f>
        <v>Placas de dirección</v>
      </c>
      <c r="M3700" s="8" t="s">
        <v>63</v>
      </c>
      <c r="N3700" s="8"/>
    </row>
    <row r="3701" spans="1:14" ht="11.25" customHeight="1">
      <c r="A3701" s="5" t="s">
        <v>10672</v>
      </c>
      <c r="B3701" s="5" t="s">
        <v>10725</v>
      </c>
      <c r="C3701" s="5" t="s">
        <v>10742</v>
      </c>
      <c r="D3701" s="5" t="s">
        <v>10675</v>
      </c>
      <c r="E3701" s="5" t="s">
        <v>64</v>
      </c>
      <c r="F3701" s="5" t="s">
        <v>10676</v>
      </c>
      <c r="G3701" s="5" t="s">
        <v>152</v>
      </c>
      <c r="H3701" s="5" t="s">
        <v>10727</v>
      </c>
      <c r="I3701" s="5" t="s">
        <v>10743</v>
      </c>
      <c r="J3701" s="5" t="s">
        <v>10744</v>
      </c>
      <c r="K3701" s="7" t="str">
        <f ca="1">IFERROR(__xludf.DUMMYFUNCTION("GOOGLETRANSLATE(H3701,""EN"",""ES"")"),"MÁQUINAS DE IMPRESIÓN")</f>
        <v>MÁQUINAS DE IMPRESIÓN</v>
      </c>
      <c r="L3701" s="5" t="str">
        <f ca="1">IFERROR(__xludf.DUMMYFUNCTION("GOOGLETRANSLATE(J3701,""EN"",""ES"")"),"Aparato de composición tipográfica")</f>
        <v>Aparato de composición tipográfica</v>
      </c>
      <c r="M3701" s="8" t="s">
        <v>63</v>
      </c>
      <c r="N3701" s="8"/>
    </row>
    <row r="3702" spans="1:14" ht="11.25" customHeight="1">
      <c r="A3702" s="5" t="s">
        <v>10672</v>
      </c>
      <c r="B3702" s="5" t="s">
        <v>10725</v>
      </c>
      <c r="C3702" s="5" t="s">
        <v>10745</v>
      </c>
      <c r="D3702" s="5" t="s">
        <v>10675</v>
      </c>
      <c r="E3702" s="5" t="s">
        <v>64</v>
      </c>
      <c r="F3702" s="5" t="s">
        <v>10676</v>
      </c>
      <c r="G3702" s="5" t="s">
        <v>152</v>
      </c>
      <c r="H3702" s="5" t="s">
        <v>10727</v>
      </c>
      <c r="I3702" s="5" t="s">
        <v>10746</v>
      </c>
      <c r="J3702" s="5" t="s">
        <v>10747</v>
      </c>
      <c r="K3702" s="7" t="str">
        <f ca="1">IFERROR(__xludf.DUMMYFUNCTION("GOOGLETRANSLATE(H3702,""EN"",""ES"")"),"MÁQUINAS DE IMPRESIÓN")</f>
        <v>MÁQUINAS DE IMPRESIÓN</v>
      </c>
      <c r="L3702" s="5" t="str">
        <f ca="1">IFERROR(__xludf.DUMMYFUNCTION("GOOGLETRANSLATE(J3702,""EN"",""ES"")"),"Duplicadores")</f>
        <v>Duplicadores</v>
      </c>
      <c r="M3702" s="8" t="s">
        <v>63</v>
      </c>
      <c r="N3702" s="8"/>
    </row>
    <row r="3703" spans="1:14" ht="11.25" customHeight="1">
      <c r="A3703" s="5" t="s">
        <v>10672</v>
      </c>
      <c r="B3703" s="5" t="s">
        <v>10725</v>
      </c>
      <c r="C3703" s="5" t="s">
        <v>10748</v>
      </c>
      <c r="D3703" s="5" t="s">
        <v>10675</v>
      </c>
      <c r="E3703" s="5" t="s">
        <v>64</v>
      </c>
      <c r="F3703" s="5" t="s">
        <v>10676</v>
      </c>
      <c r="G3703" s="5" t="s">
        <v>152</v>
      </c>
      <c r="H3703" s="5" t="s">
        <v>10727</v>
      </c>
      <c r="I3703" s="5" t="s">
        <v>10749</v>
      </c>
      <c r="J3703" s="5" t="s">
        <v>10750</v>
      </c>
      <c r="K3703" s="7" t="str">
        <f ca="1">IFERROR(__xludf.DUMMYFUNCTION("GOOGLETRANSLATE(H3703,""EN"",""ES"")"),"MÁQUINAS DE IMPRESIÓN")</f>
        <v>MÁQUINAS DE IMPRESIÓN</v>
      </c>
      <c r="L3703" s="5" t="str">
        <f ca="1">IFERROR(__xludf.DUMMYFUNCTION("GOOGLETRANSLATE(J3703,""EN"",""ES"")"),"Aparatos y máquinas mimeográficas.")</f>
        <v>Aparatos y máquinas mimeográficas.</v>
      </c>
      <c r="M3703" s="8" t="s">
        <v>63</v>
      </c>
      <c r="N3703" s="8"/>
    </row>
    <row r="3704" spans="1:14" ht="11.25" customHeight="1">
      <c r="A3704" s="5" t="s">
        <v>10672</v>
      </c>
      <c r="B3704" s="5" t="s">
        <v>10725</v>
      </c>
      <c r="C3704" s="5" t="s">
        <v>10751</v>
      </c>
      <c r="D3704" s="5" t="s">
        <v>10675</v>
      </c>
      <c r="E3704" s="5" t="s">
        <v>64</v>
      </c>
      <c r="F3704" s="5" t="s">
        <v>10676</v>
      </c>
      <c r="G3704" s="5" t="s">
        <v>152</v>
      </c>
      <c r="H3704" s="5" t="s">
        <v>10727</v>
      </c>
      <c r="I3704" s="5" t="s">
        <v>10752</v>
      </c>
      <c r="J3704" s="5" t="s">
        <v>10753</v>
      </c>
      <c r="K3704" s="7" t="str">
        <f ca="1">IFERROR(__xludf.DUMMYFUNCTION("GOOGLETRANSLATE(H3704,""EN"",""ES"")"),"MÁQUINAS DE IMPRESIÓN")</f>
        <v>MÁQUINAS DE IMPRESIÓN</v>
      </c>
      <c r="L3704" s="5" t="str">
        <f ca="1">IFERROR(__xludf.DUMMYFUNCTION("GOOGLETRANSLATE(J3704,""EN"",""ES"")"),"Aparatos de entintado para maquinaria de impresión.")</f>
        <v>Aparatos de entintado para maquinaria de impresión.</v>
      </c>
      <c r="M3704" s="8" t="s">
        <v>63</v>
      </c>
      <c r="N3704" s="8"/>
    </row>
    <row r="3705" spans="1:14" ht="11.25" customHeight="1">
      <c r="A3705" s="5" t="s">
        <v>10672</v>
      </c>
      <c r="B3705" s="5" t="s">
        <v>10725</v>
      </c>
      <c r="C3705" s="5" t="s">
        <v>10754</v>
      </c>
      <c r="D3705" s="5" t="s">
        <v>10675</v>
      </c>
      <c r="E3705" s="5" t="s">
        <v>64</v>
      </c>
      <c r="F3705" s="5" t="s">
        <v>10676</v>
      </c>
      <c r="G3705" s="5" t="s">
        <v>152</v>
      </c>
      <c r="H3705" s="5" t="s">
        <v>10727</v>
      </c>
      <c r="I3705" s="5" t="s">
        <v>10755</v>
      </c>
      <c r="J3705" s="5" t="s">
        <v>10756</v>
      </c>
      <c r="K3705" s="7" t="str">
        <f ca="1">IFERROR(__xludf.DUMMYFUNCTION("GOOGLETRANSLATE(H3705,""EN"",""ES"")"),"MÁQUINAS DE IMPRESIÓN")</f>
        <v>MÁQUINAS DE IMPRESIÓN</v>
      </c>
      <c r="L3705" s="5" t="str">
        <f ca="1">IFERROR(__xludf.DUMMYFUNCTION("GOOGLETRANSLATE(J3705,""EN"",""ES"")"),"máquinas de impresión offset")</f>
        <v>máquinas de impresión offset</v>
      </c>
      <c r="M3705" s="8" t="s">
        <v>63</v>
      </c>
      <c r="N3705" s="8"/>
    </row>
    <row r="3706" spans="1:14" ht="11.25" customHeight="1">
      <c r="A3706" s="5" t="s">
        <v>10672</v>
      </c>
      <c r="B3706" s="5" t="s">
        <v>10725</v>
      </c>
      <c r="C3706" s="5" t="s">
        <v>10757</v>
      </c>
      <c r="D3706" s="5" t="s">
        <v>10675</v>
      </c>
      <c r="E3706" s="5" t="s">
        <v>64</v>
      </c>
      <c r="F3706" s="5" t="s">
        <v>10676</v>
      </c>
      <c r="G3706" s="5" t="s">
        <v>152</v>
      </c>
      <c r="H3706" s="5" t="s">
        <v>10727</v>
      </c>
      <c r="I3706" s="5" t="s">
        <v>10758</v>
      </c>
      <c r="J3706" s="5" t="s">
        <v>10759</v>
      </c>
      <c r="K3706" s="7" t="str">
        <f ca="1">IFERROR(__xludf.DUMMYFUNCTION("GOOGLETRANSLATE(H3706,""EN"",""ES"")"),"MÁQUINAS DE IMPRESIÓN")</f>
        <v>MÁQUINAS DE IMPRESIÓN</v>
      </c>
      <c r="L3706" s="5" t="str">
        <f ca="1">IFERROR(__xludf.DUMMYFUNCTION("GOOGLETRANSLATE(J3706,""EN"",""ES"")"),"maquinas de imprimir")</f>
        <v>maquinas de imprimir</v>
      </c>
      <c r="M3706" s="8" t="s">
        <v>63</v>
      </c>
      <c r="N3706" s="8"/>
    </row>
    <row r="3707" spans="1:14" ht="11.25" customHeight="1">
      <c r="A3707" s="5" t="s">
        <v>10672</v>
      </c>
      <c r="B3707" s="5" t="s">
        <v>10725</v>
      </c>
      <c r="C3707" s="5" t="s">
        <v>10760</v>
      </c>
      <c r="D3707" s="5" t="s">
        <v>10675</v>
      </c>
      <c r="E3707" s="5" t="s">
        <v>64</v>
      </c>
      <c r="F3707" s="5" t="s">
        <v>10676</v>
      </c>
      <c r="G3707" s="5" t="s">
        <v>152</v>
      </c>
      <c r="H3707" s="5" t="s">
        <v>10727</v>
      </c>
      <c r="I3707" s="5" t="s">
        <v>10761</v>
      </c>
      <c r="J3707" s="5" t="s">
        <v>10762</v>
      </c>
      <c r="K3707" s="7" t="str">
        <f ca="1">IFERROR(__xludf.DUMMYFUNCTION("GOOGLETRANSLATE(H3707,""EN"",""ES"")"),"MÁQUINAS DE IMPRESIÓN")</f>
        <v>MÁQUINAS DE IMPRESIÓN</v>
      </c>
      <c r="L3707" s="5" t="str">
        <f ca="1">IFERROR(__xludf.DUMMYFUNCTION("GOOGLETRANSLATE(J3707,""EN"",""ES"")"),"Máquinas canceladoras")</f>
        <v>Máquinas canceladoras</v>
      </c>
      <c r="M3707" s="8" t="s">
        <v>63</v>
      </c>
      <c r="N3707" s="8"/>
    </row>
    <row r="3708" spans="1:14" ht="11.25" customHeight="1">
      <c r="A3708" s="5" t="s">
        <v>10672</v>
      </c>
      <c r="B3708" s="5" t="s">
        <v>10725</v>
      </c>
      <c r="C3708" s="5" t="s">
        <v>10763</v>
      </c>
      <c r="D3708" s="5" t="s">
        <v>10675</v>
      </c>
      <c r="E3708" s="5" t="s">
        <v>64</v>
      </c>
      <c r="F3708" s="5" t="s">
        <v>10676</v>
      </c>
      <c r="G3708" s="5" t="s">
        <v>152</v>
      </c>
      <c r="H3708" s="5" t="s">
        <v>10727</v>
      </c>
      <c r="I3708" s="5" t="s">
        <v>10764</v>
      </c>
      <c r="J3708" s="5" t="s">
        <v>10765</v>
      </c>
      <c r="K3708" s="7" t="str">
        <f ca="1">IFERROR(__xludf.DUMMYFUNCTION("GOOGLETRANSLATE(H3708,""EN"",""ES"")"),"MÁQUINAS DE IMPRESIÓN")</f>
        <v>MÁQUINAS DE IMPRESIÓN</v>
      </c>
      <c r="L3708" s="5" t="str">
        <f ca="1">IFERROR(__xludf.DUMMYFUNCTION("GOOGLETRANSLATE(J3708,""EN"",""ES"")"),"Máquinas de estampación")</f>
        <v>Máquinas de estampación</v>
      </c>
      <c r="M3708" s="8" t="s">
        <v>63</v>
      </c>
      <c r="N3708" s="8"/>
    </row>
    <row r="3709" spans="1:14" ht="11.25" customHeight="1">
      <c r="A3709" s="5" t="s">
        <v>10672</v>
      </c>
      <c r="B3709" s="5" t="s">
        <v>10725</v>
      </c>
      <c r="C3709" s="5" t="s">
        <v>10766</v>
      </c>
      <c r="D3709" s="5" t="s">
        <v>10675</v>
      </c>
      <c r="E3709" s="5" t="s">
        <v>64</v>
      </c>
      <c r="F3709" s="5" t="s">
        <v>10676</v>
      </c>
      <c r="G3709" s="5" t="s">
        <v>152</v>
      </c>
      <c r="H3709" s="5" t="s">
        <v>10727</v>
      </c>
      <c r="I3709" s="5" t="s">
        <v>10767</v>
      </c>
      <c r="J3709" s="5" t="s">
        <v>10768</v>
      </c>
      <c r="K3709" s="7" t="str">
        <f ca="1">IFERROR(__xludf.DUMMYFUNCTION("GOOGLETRANSLATE(H3709,""EN"",""ES"")"),"MÁQUINAS DE IMPRESIÓN")</f>
        <v>MÁQUINAS DE IMPRESIÓN</v>
      </c>
      <c r="L3709" s="5" t="str">
        <f ca="1">IFERROR(__xludf.DUMMYFUNCTION("GOOGLETRANSLATE(J3709,""EN"",""ES"")"),"maquinas tipograficas")</f>
        <v>maquinas tipograficas</v>
      </c>
      <c r="M3709" s="8" t="s">
        <v>63</v>
      </c>
      <c r="N3709" s="8"/>
    </row>
    <row r="3710" spans="1:14" ht="11.25" customHeight="1">
      <c r="A3710" s="5" t="s">
        <v>10672</v>
      </c>
      <c r="B3710" s="5" t="s">
        <v>10725</v>
      </c>
      <c r="C3710" s="5" t="s">
        <v>10769</v>
      </c>
      <c r="D3710" s="5" t="s">
        <v>10675</v>
      </c>
      <c r="E3710" s="5" t="s">
        <v>64</v>
      </c>
      <c r="F3710" s="5" t="s">
        <v>10676</v>
      </c>
      <c r="G3710" s="5" t="s">
        <v>152</v>
      </c>
      <c r="H3710" s="5" t="s">
        <v>10727</v>
      </c>
      <c r="I3710" s="5" t="s">
        <v>10770</v>
      </c>
      <c r="J3710" s="5" t="s">
        <v>10771</v>
      </c>
      <c r="K3710" s="7" t="str">
        <f ca="1">IFERROR(__xludf.DUMMYFUNCTION("GOOGLETRANSLATE(H3710,""EN"",""ES"")"),"MÁQUINAS DE IMPRESIÓN")</f>
        <v>MÁQUINAS DE IMPRESIÓN</v>
      </c>
      <c r="L3710" s="5" t="str">
        <f ca="1">IFERROR(__xludf.DUMMYFUNCTION("GOOGLETRANSLATE(J3710,""EN"",""ES"")"),"Máquinas de encasillamiento")</f>
        <v>Máquinas de encasillamiento</v>
      </c>
      <c r="M3710" s="8" t="s">
        <v>63</v>
      </c>
      <c r="N3710" s="8"/>
    </row>
    <row r="3711" spans="1:14" ht="11.25" customHeight="1">
      <c r="A3711" s="5" t="s">
        <v>10672</v>
      </c>
      <c r="B3711" s="5" t="s">
        <v>10725</v>
      </c>
      <c r="C3711" s="5" t="s">
        <v>10772</v>
      </c>
      <c r="D3711" s="5" t="s">
        <v>10675</v>
      </c>
      <c r="E3711" s="5" t="s">
        <v>64</v>
      </c>
      <c r="F3711" s="5" t="s">
        <v>10676</v>
      </c>
      <c r="G3711" s="5" t="s">
        <v>152</v>
      </c>
      <c r="H3711" s="5" t="s">
        <v>10727</v>
      </c>
      <c r="I3711" s="5" t="s">
        <v>10773</v>
      </c>
      <c r="J3711" s="5" t="s">
        <v>10774</v>
      </c>
      <c r="K3711" s="7" t="str">
        <f ca="1">IFERROR(__xludf.DUMMYFUNCTION("GOOGLETRANSLATE(H3711,""EN"",""ES"")"),"MÁQUINAS DE IMPRESIÓN")</f>
        <v>MÁQUINAS DE IMPRESIÓN</v>
      </c>
      <c r="L3711" s="5" t="str">
        <f ca="1">IFERROR(__xludf.DUMMYFUNCTION("GOOGLETRANSLATE(J3711,""EN"",""ES"")"),"imprentas")</f>
        <v>imprentas</v>
      </c>
      <c r="M3711" s="8" t="s">
        <v>63</v>
      </c>
      <c r="N3711" s="8"/>
    </row>
    <row r="3712" spans="1:14" ht="11.25" customHeight="1">
      <c r="A3712" s="5" t="s">
        <v>10672</v>
      </c>
      <c r="B3712" s="5" t="s">
        <v>10725</v>
      </c>
      <c r="C3712" s="5" t="s">
        <v>10775</v>
      </c>
      <c r="D3712" s="5" t="s">
        <v>10675</v>
      </c>
      <c r="E3712" s="5" t="s">
        <v>64</v>
      </c>
      <c r="F3712" s="5" t="s">
        <v>10676</v>
      </c>
      <c r="G3712" s="5" t="s">
        <v>152</v>
      </c>
      <c r="H3712" s="5" t="s">
        <v>10727</v>
      </c>
      <c r="I3712" s="5" t="s">
        <v>10776</v>
      </c>
      <c r="J3712" s="5" t="s">
        <v>10777</v>
      </c>
      <c r="K3712" s="7" t="str">
        <f ca="1">IFERROR(__xludf.DUMMYFUNCTION("GOOGLETRANSLATE(H3712,""EN"",""ES"")"),"MÁQUINAS DE IMPRESIÓN")</f>
        <v>MÁQUINAS DE IMPRESIÓN</v>
      </c>
      <c r="L3712" s="5" t="str">
        <f ca="1">IFERROR(__xludf.DUMMYFUNCTION("GOOGLETRANSLATE(J3712,""EN"",""ES"")"),"Rodillos entintadores para máquinas de imprimir.")</f>
        <v>Rodillos entintadores para máquinas de imprimir.</v>
      </c>
      <c r="M3712" s="8" t="s">
        <v>63</v>
      </c>
      <c r="N3712" s="8"/>
    </row>
    <row r="3713" spans="1:14" ht="11.25" customHeight="1">
      <c r="A3713" s="5" t="s">
        <v>10672</v>
      </c>
      <c r="B3713" s="5" t="s">
        <v>10725</v>
      </c>
      <c r="C3713" s="5" t="s">
        <v>10778</v>
      </c>
      <c r="D3713" s="5" t="s">
        <v>10675</v>
      </c>
      <c r="E3713" s="5" t="s">
        <v>64</v>
      </c>
      <c r="F3713" s="5" t="s">
        <v>10676</v>
      </c>
      <c r="G3713" s="5" t="s">
        <v>152</v>
      </c>
      <c r="H3713" s="5" t="s">
        <v>10727</v>
      </c>
      <c r="I3713" s="5" t="s">
        <v>10779</v>
      </c>
      <c r="J3713" s="5" t="s">
        <v>10780</v>
      </c>
      <c r="K3713" s="7" t="str">
        <f ca="1">IFERROR(__xludf.DUMMYFUNCTION("GOOGLETRANSLATE(H3713,""EN"",""ES"")"),"MÁQUINAS DE IMPRESIÓN")</f>
        <v>MÁQUINAS DE IMPRESIÓN</v>
      </c>
      <c r="L3713" s="5" t="str">
        <f ca="1">IFERROR(__xludf.DUMMYFUNCTION("GOOGLETRANSLATE(J3713,""EN"",""ES"")"),"Carcasas antiruido para máquinas de impresión.")</f>
        <v>Carcasas antiruido para máquinas de impresión.</v>
      </c>
      <c r="M3713" s="8" t="s">
        <v>63</v>
      </c>
      <c r="N3713" s="8"/>
    </row>
    <row r="3714" spans="1:14" ht="11.25" customHeight="1">
      <c r="A3714" s="5" t="s">
        <v>10672</v>
      </c>
      <c r="B3714" s="5" t="s">
        <v>10725</v>
      </c>
      <c r="C3714" s="5" t="s">
        <v>10781</v>
      </c>
      <c r="D3714" s="5" t="s">
        <v>10675</v>
      </c>
      <c r="E3714" s="5" t="s">
        <v>64</v>
      </c>
      <c r="F3714" s="5" t="s">
        <v>10676</v>
      </c>
      <c r="G3714" s="5" t="s">
        <v>152</v>
      </c>
      <c r="H3714" s="5" t="s">
        <v>10727</v>
      </c>
      <c r="I3714" s="5" t="s">
        <v>10782</v>
      </c>
      <c r="J3714" s="5" t="s">
        <v>10783</v>
      </c>
      <c r="K3714" s="7" t="str">
        <f ca="1">IFERROR(__xludf.DUMMYFUNCTION("GOOGLETRANSLATE(H3714,""EN"",""ES"")"),"MÁQUINAS DE IMPRESIÓN")</f>
        <v>MÁQUINAS DE IMPRESIÓN</v>
      </c>
      <c r="L3714" s="5" t="str">
        <f ca="1">IFERROR(__xludf.DUMMYFUNCTION("GOOGLETRANSLATE(J3714,""EN"",""ES"")"),"Cartuchos de tóner para máquinas de impresión.")</f>
        <v>Cartuchos de tóner para máquinas de impresión.</v>
      </c>
      <c r="M3714" s="8" t="s">
        <v>63</v>
      </c>
      <c r="N3714" s="8"/>
    </row>
    <row r="3715" spans="1:14" ht="11.25" customHeight="1">
      <c r="A3715" s="5" t="s">
        <v>10672</v>
      </c>
      <c r="B3715" s="5" t="s">
        <v>10784</v>
      </c>
      <c r="C3715" s="5" t="s">
        <v>10785</v>
      </c>
      <c r="D3715" s="5" t="s">
        <v>10675</v>
      </c>
      <c r="E3715" s="5" t="s">
        <v>64</v>
      </c>
      <c r="F3715" s="5" t="s">
        <v>10676</v>
      </c>
      <c r="G3715" s="5" t="s">
        <v>152</v>
      </c>
      <c r="H3715" s="5" t="s">
        <v>10786</v>
      </c>
      <c r="I3715" s="5" t="s">
        <v>10787</v>
      </c>
      <c r="J3715" s="5" t="s">
        <v>10788</v>
      </c>
      <c r="K3715" s="7" t="str">
        <f ca="1">IFERROR(__xludf.DUMMYFUNCTION("GOOGLETRANSLATE(H3715,""EN"",""ES"")"),"TIPO Y CARAS TIPO")</f>
        <v>TIPO Y CARAS TIPO</v>
      </c>
      <c r="L3715" s="5" t="str">
        <f ca="1">IFERROR(__xludf.DUMMYFUNCTION("GOOGLETRANSLATE(J3715,""EN"",""ES"")"),"Tipo de impresión")</f>
        <v>Tipo de impresión</v>
      </c>
      <c r="M3715" s="8" t="s">
        <v>63</v>
      </c>
      <c r="N3715" s="8"/>
    </row>
    <row r="3716" spans="1:14" ht="11.25" customHeight="1">
      <c r="A3716" s="5" t="s">
        <v>10672</v>
      </c>
      <c r="B3716" s="5" t="s">
        <v>10784</v>
      </c>
      <c r="C3716" s="5" t="s">
        <v>10785</v>
      </c>
      <c r="D3716" s="5" t="s">
        <v>10675</v>
      </c>
      <c r="E3716" s="5" t="s">
        <v>64</v>
      </c>
      <c r="F3716" s="5" t="s">
        <v>10676</v>
      </c>
      <c r="G3716" s="5" t="s">
        <v>152</v>
      </c>
      <c r="H3716" s="5" t="s">
        <v>10786</v>
      </c>
      <c r="I3716" s="5" t="s">
        <v>10789</v>
      </c>
      <c r="J3716" s="5" t="s">
        <v>10790</v>
      </c>
      <c r="K3716" s="7" t="str">
        <f ca="1">IFERROR(__xludf.DUMMYFUNCTION("GOOGLETRANSLATE(H3716,""EN"",""ES"")"),"TIPO Y CARAS TIPO")</f>
        <v>TIPO Y CARAS TIPO</v>
      </c>
      <c r="L3716" s="5" t="str">
        <f ca="1">IFERROR(__xludf.DUMMYFUNCTION("GOOGLETRANSLATE(J3716,""EN"",""ES"")"),"Alfabetos [impresión de caracteres]")</f>
        <v>Alfabetos [impresión de caracteres]</v>
      </c>
      <c r="M3716" s="8" t="s">
        <v>63</v>
      </c>
      <c r="N3716" s="8"/>
    </row>
    <row r="3717" spans="1:14" ht="11.25" customHeight="1">
      <c r="A3717" s="5" t="s">
        <v>10672</v>
      </c>
      <c r="B3717" s="5" t="s">
        <v>10784</v>
      </c>
      <c r="C3717" s="5" t="s">
        <v>10791</v>
      </c>
      <c r="D3717" s="5" t="s">
        <v>10675</v>
      </c>
      <c r="E3717" s="5" t="s">
        <v>64</v>
      </c>
      <c r="F3717" s="5" t="s">
        <v>10676</v>
      </c>
      <c r="G3717" s="5" t="s">
        <v>152</v>
      </c>
      <c r="H3717" s="5" t="s">
        <v>10786</v>
      </c>
      <c r="I3717" s="5" t="s">
        <v>10792</v>
      </c>
      <c r="J3717" s="5" t="s">
        <v>10793</v>
      </c>
      <c r="K3717" s="7" t="str">
        <f ca="1">IFERROR(__xludf.DUMMYFUNCTION("GOOGLETRANSLATE(H3717,""EN"",""ES"")"),"TIPO Y CARAS TIPO")</f>
        <v>TIPO Y CARAS TIPO</v>
      </c>
      <c r="L3717" s="5" t="str">
        <f ca="1">IFERROR(__xludf.DUMMYFUNCTION("GOOGLETRANSLATE(J3717,""EN"",""ES"")"),"tipo de máquina de escribir")</f>
        <v>tipo de máquina de escribir</v>
      </c>
      <c r="M3717" s="8" t="s">
        <v>63</v>
      </c>
      <c r="N3717" s="8"/>
    </row>
    <row r="3718" spans="1:14" ht="11.25" customHeight="1">
      <c r="A3718" s="5" t="s">
        <v>10672</v>
      </c>
      <c r="B3718" s="5" t="s">
        <v>10784</v>
      </c>
      <c r="C3718" s="5" t="s">
        <v>10794</v>
      </c>
      <c r="D3718" s="5" t="s">
        <v>10675</v>
      </c>
      <c r="E3718" s="5" t="s">
        <v>64</v>
      </c>
      <c r="F3718" s="5" t="s">
        <v>10676</v>
      </c>
      <c r="G3718" s="5" t="s">
        <v>152</v>
      </c>
      <c r="H3718" s="5" t="s">
        <v>10786</v>
      </c>
      <c r="I3718" s="5" t="s">
        <v>10795</v>
      </c>
      <c r="J3718" s="5" t="s">
        <v>10796</v>
      </c>
      <c r="K3718" s="7" t="str">
        <f ca="1">IFERROR(__xludf.DUMMYFUNCTION("GOOGLETRANSLATE(H3718,""EN"",""ES"")"),"TIPO Y CARAS TIPO")</f>
        <v>TIPO Y CARAS TIPO</v>
      </c>
      <c r="L3718" s="5" t="str">
        <f ca="1">IFERROR(__xludf.DUMMYFUNCTION("GOOGLETRANSLATE(J3718,""EN"",""ES"")"),"Tipo de subtítulos [películas]")</f>
        <v>Tipo de subtítulos [películas]</v>
      </c>
      <c r="M3718" s="8" t="s">
        <v>63</v>
      </c>
      <c r="N3718" s="8"/>
    </row>
    <row r="3719" spans="1:14" ht="11.25" customHeight="1">
      <c r="A3719" s="5" t="s">
        <v>10672</v>
      </c>
      <c r="B3719" s="5" t="s">
        <v>10784</v>
      </c>
      <c r="C3719" s="5" t="s">
        <v>10797</v>
      </c>
      <c r="D3719" s="5" t="s">
        <v>10675</v>
      </c>
      <c r="E3719" s="5" t="s">
        <v>64</v>
      </c>
      <c r="F3719" s="5" t="s">
        <v>10676</v>
      </c>
      <c r="G3719" s="5" t="s">
        <v>152</v>
      </c>
      <c r="H3719" s="5" t="s">
        <v>10786</v>
      </c>
      <c r="I3719" s="5" t="s">
        <v>10798</v>
      </c>
      <c r="J3719" s="5" t="s">
        <v>10799</v>
      </c>
      <c r="K3719" s="7" t="str">
        <f ca="1">IFERROR(__xludf.DUMMYFUNCTION("GOOGLETRANSLATE(H3719,""EN"",""ES"")"),"TIPO Y CARAS TIPO")</f>
        <v>TIPO Y CARAS TIPO</v>
      </c>
      <c r="L3719" s="5" t="str">
        <f ca="1">IFERROR(__xludf.DUMMYFUNCTION("GOOGLETRANSLATE(J3719,""EN"",""ES"")"),"Cifras de matrículas de vehículos.")</f>
        <v>Cifras de matrículas de vehículos.</v>
      </c>
      <c r="M3719" s="8" t="s">
        <v>63</v>
      </c>
      <c r="N3719" s="8"/>
    </row>
    <row r="3720" spans="1:14" ht="11.25" customHeight="1">
      <c r="A3720" s="5" t="s">
        <v>10672</v>
      </c>
      <c r="B3720" s="5" t="s">
        <v>10784</v>
      </c>
      <c r="C3720" s="5" t="s">
        <v>10797</v>
      </c>
      <c r="D3720" s="5" t="s">
        <v>10675</v>
      </c>
      <c r="E3720" s="5" t="s">
        <v>64</v>
      </c>
      <c r="F3720" s="5" t="s">
        <v>10676</v>
      </c>
      <c r="G3720" s="5" t="s">
        <v>152</v>
      </c>
      <c r="H3720" s="5" t="s">
        <v>10786</v>
      </c>
      <c r="I3720" s="5" t="s">
        <v>10800</v>
      </c>
      <c r="J3720" s="5" t="s">
        <v>152</v>
      </c>
      <c r="K3720" s="7" t="str">
        <f ca="1">IFERROR(__xludf.DUMMYFUNCTION("GOOGLETRANSLATE(H3720,""EN"",""ES"")"),"TIPO Y CARAS TIPO")</f>
        <v>TIPO Y CARAS TIPO</v>
      </c>
      <c r="L3720" s="5" t="str">
        <f ca="1">IFERROR(__xludf.DUMMYFUNCTION("GOOGLETRANSLATE(J3720,""EN"",""ES"")"),"Cifras para matrículas de vehículos.")</f>
        <v>Cifras para matrículas de vehículos.</v>
      </c>
      <c r="M3720" s="8" t="s">
        <v>63</v>
      </c>
      <c r="N3720" s="8"/>
    </row>
    <row r="3721" spans="1:14" ht="11.25" customHeight="1">
      <c r="A3721" s="5" t="s">
        <v>10672</v>
      </c>
      <c r="B3721" s="5" t="s">
        <v>10784</v>
      </c>
      <c r="C3721" s="5" t="s">
        <v>10801</v>
      </c>
      <c r="D3721" s="5" t="s">
        <v>10675</v>
      </c>
      <c r="E3721" s="5" t="s">
        <v>64</v>
      </c>
      <c r="F3721" s="5" t="s">
        <v>10676</v>
      </c>
      <c r="G3721" s="5" t="s">
        <v>152</v>
      </c>
      <c r="H3721" s="5" t="s">
        <v>10786</v>
      </c>
      <c r="I3721" s="5" t="s">
        <v>10802</v>
      </c>
      <c r="J3721" s="5" t="s">
        <v>10803</v>
      </c>
      <c r="K3721" s="7" t="str">
        <f ca="1">IFERROR(__xludf.DUMMYFUNCTION("GOOGLETRANSLATE(H3721,""EN"",""ES"")"),"TIPO Y CARAS TIPO")</f>
        <v>TIPO Y CARAS TIPO</v>
      </c>
      <c r="L3721" s="5" t="str">
        <f ca="1">IFERROR(__xludf.DUMMYFUNCTION("GOOGLETRANSLATE(J3721,""EN"",""ES"")"),"Letras luminosas")</f>
        <v>Letras luminosas</v>
      </c>
      <c r="M3721" s="8" t="s">
        <v>63</v>
      </c>
      <c r="N3721" s="8"/>
    </row>
    <row r="3722" spans="1:14" ht="11.25" customHeight="1">
      <c r="A3722" s="5" t="s">
        <v>10672</v>
      </c>
      <c r="B3722" s="5" t="s">
        <v>10784</v>
      </c>
      <c r="C3722" s="5" t="s">
        <v>10804</v>
      </c>
      <c r="D3722" s="5" t="s">
        <v>10675</v>
      </c>
      <c r="E3722" s="5" t="s">
        <v>64</v>
      </c>
      <c r="F3722" s="5" t="s">
        <v>10676</v>
      </c>
      <c r="G3722" s="5" t="s">
        <v>152</v>
      </c>
      <c r="H3722" s="5" t="s">
        <v>10786</v>
      </c>
      <c r="I3722" s="5" t="s">
        <v>10805</v>
      </c>
      <c r="J3722" s="5" t="s">
        <v>10806</v>
      </c>
      <c r="K3722" s="7" t="str">
        <f ca="1">IFERROR(__xludf.DUMMYFUNCTION("GOOGLETRANSLATE(H3722,""EN"",""ES"")"),"TIPO Y CARAS TIPO")</f>
        <v>TIPO Y CARAS TIPO</v>
      </c>
      <c r="L3722" s="5" t="str">
        <f ca="1">IFERROR(__xludf.DUMMYFUNCTION("GOOGLETRANSLATE(J3722,""EN"",""ES"")"),"monogramas")</f>
        <v>monogramas</v>
      </c>
      <c r="M3722" s="8" t="s">
        <v>63</v>
      </c>
      <c r="N3722" s="8"/>
    </row>
    <row r="3723" spans="1:14" ht="11.25" customHeight="1">
      <c r="A3723" s="5" t="s">
        <v>10672</v>
      </c>
      <c r="B3723" s="5" t="s">
        <v>10784</v>
      </c>
      <c r="C3723" s="5" t="s">
        <v>10807</v>
      </c>
      <c r="D3723" s="5" t="s">
        <v>10675</v>
      </c>
      <c r="E3723" s="5" t="s">
        <v>64</v>
      </c>
      <c r="F3723" s="5" t="s">
        <v>10676</v>
      </c>
      <c r="G3723" s="5" t="s">
        <v>152</v>
      </c>
      <c r="H3723" s="5" t="s">
        <v>10786</v>
      </c>
      <c r="I3723" s="5" t="s">
        <v>10808</v>
      </c>
      <c r="J3723" s="5" t="s">
        <v>10809</v>
      </c>
      <c r="K3723" s="7" t="str">
        <f ca="1">IFERROR(__xludf.DUMMYFUNCTION("GOOGLETRANSLATE(H3723,""EN"",""ES"")"),"TIPO Y CARAS TIPO")</f>
        <v>TIPO Y CARAS TIPO</v>
      </c>
      <c r="L3723" s="5" t="str">
        <f ca="1">IFERROR(__xludf.DUMMYFUNCTION("GOOGLETRANSLATE(J3723,""EN"",""ES"")"),"Letras para signos")</f>
        <v>Letras para signos</v>
      </c>
      <c r="M3723" s="8" t="s">
        <v>63</v>
      </c>
      <c r="N3723" s="8"/>
    </row>
    <row r="3724" spans="1:14" ht="11.25" customHeight="1">
      <c r="A3724" s="5" t="s">
        <v>10672</v>
      </c>
      <c r="B3724" s="5" t="s">
        <v>10784</v>
      </c>
      <c r="C3724" s="5" t="s">
        <v>10810</v>
      </c>
      <c r="D3724" s="5" t="s">
        <v>10675</v>
      </c>
      <c r="E3724" s="5" t="s">
        <v>64</v>
      </c>
      <c r="F3724" s="5" t="s">
        <v>10676</v>
      </c>
      <c r="G3724" s="5" t="s">
        <v>152</v>
      </c>
      <c r="H3724" s="5" t="s">
        <v>10786</v>
      </c>
      <c r="I3724" s="5" t="s">
        <v>10811</v>
      </c>
      <c r="J3724" s="5" t="s">
        <v>10812</v>
      </c>
      <c r="K3724" s="7" t="str">
        <f ca="1">IFERROR(__xludf.DUMMYFUNCTION("GOOGLETRANSLATE(H3724,""EN"",""ES"")"),"TIPO Y CARAS TIPO")</f>
        <v>TIPO Y CARAS TIPO</v>
      </c>
      <c r="L3724" s="5" t="str">
        <f ca="1">IFERROR(__xludf.DUMMYFUNCTION("GOOGLETRANSLATE(J3724,""EN"",""ES"")"),"Matrices de impresión")</f>
        <v>Matrices de impresión</v>
      </c>
      <c r="M3724" s="8" t="s">
        <v>63</v>
      </c>
      <c r="N3724" s="8"/>
    </row>
    <row r="3725" spans="1:14" ht="11.25" customHeight="1">
      <c r="A3725" s="5" t="s">
        <v>10672</v>
      </c>
      <c r="B3725" s="5" t="s">
        <v>10784</v>
      </c>
      <c r="C3725" s="5" t="s">
        <v>10813</v>
      </c>
      <c r="D3725" s="5" t="s">
        <v>10675</v>
      </c>
      <c r="E3725" s="5" t="s">
        <v>64</v>
      </c>
      <c r="F3725" s="5" t="s">
        <v>10676</v>
      </c>
      <c r="G3725" s="5" t="s">
        <v>152</v>
      </c>
      <c r="H3725" s="5" t="s">
        <v>10786</v>
      </c>
      <c r="I3725" s="5" t="s">
        <v>10814</v>
      </c>
      <c r="J3725" s="5" t="s">
        <v>10815</v>
      </c>
      <c r="K3725" s="7" t="str">
        <f ca="1">IFERROR(__xludf.DUMMYFUNCTION("GOOGLETRANSLATE(H3725,""EN"",""ES"")"),"TIPO Y CARAS TIPO")</f>
        <v>TIPO Y CARAS TIPO</v>
      </c>
      <c r="L3725" s="5" t="str">
        <f ca="1">IFERROR(__xludf.DUMMYFUNCTION("GOOGLETRANSLATE(J3725,""EN"",""ES"")"),"Letras para placas de matrícula de vehículos.")</f>
        <v>Letras para placas de matrícula de vehículos.</v>
      </c>
      <c r="M3725" s="8" t="s">
        <v>63</v>
      </c>
      <c r="N3725" s="8"/>
    </row>
    <row r="3726" spans="1:14" ht="11.25" customHeight="1">
      <c r="A3726" s="5" t="s">
        <v>10672</v>
      </c>
      <c r="B3726" s="5" t="s">
        <v>10784</v>
      </c>
      <c r="C3726" s="5" t="s">
        <v>10813</v>
      </c>
      <c r="D3726" s="5" t="s">
        <v>10675</v>
      </c>
      <c r="E3726" s="5" t="s">
        <v>64</v>
      </c>
      <c r="F3726" s="5" t="s">
        <v>10676</v>
      </c>
      <c r="G3726" s="5" t="s">
        <v>152</v>
      </c>
      <c r="H3726" s="5" t="s">
        <v>10786</v>
      </c>
      <c r="I3726" s="5" t="s">
        <v>10816</v>
      </c>
      <c r="J3726" s="5" t="s">
        <v>152</v>
      </c>
      <c r="K3726" s="7" t="str">
        <f ca="1">IFERROR(__xludf.DUMMYFUNCTION("GOOGLETRANSLATE(H3726,""EN"",""ES"")"),"TIPO Y CARAS TIPO")</f>
        <v>TIPO Y CARAS TIPO</v>
      </c>
      <c r="L3726" s="5" t="str">
        <f ca="1">IFERROR(__xludf.DUMMYFUNCTION("GOOGLETRANSLATE(J3726,""EN"",""ES"")"),"Letras para matrículas de vehículos")</f>
        <v>Letras para matrículas de vehículos</v>
      </c>
      <c r="M3726" s="8" t="s">
        <v>63</v>
      </c>
      <c r="N3726" s="8"/>
    </row>
    <row r="3727" spans="1:14" ht="11.25" customHeight="1">
      <c r="A3727" s="5" t="s">
        <v>10672</v>
      </c>
      <c r="B3727" s="5" t="s">
        <v>10784</v>
      </c>
      <c r="C3727" s="5" t="s">
        <v>10817</v>
      </c>
      <c r="D3727" s="5" t="s">
        <v>10675</v>
      </c>
      <c r="E3727" s="5" t="s">
        <v>64</v>
      </c>
      <c r="F3727" s="5" t="s">
        <v>10676</v>
      </c>
      <c r="G3727" s="5" t="s">
        <v>152</v>
      </c>
      <c r="H3727" s="5" t="s">
        <v>10786</v>
      </c>
      <c r="I3727" s="5" t="s">
        <v>10818</v>
      </c>
      <c r="J3727" s="5" t="s">
        <v>10819</v>
      </c>
      <c r="K3727" s="7" t="str">
        <f ca="1">IFERROR(__xludf.DUMMYFUNCTION("GOOGLETRANSLATE(H3727,""EN"",""ES"")"),"TIPO Y CARAS TIPO")</f>
        <v>TIPO Y CARAS TIPO</v>
      </c>
      <c r="L3727" s="5" t="str">
        <f ca="1">IFERROR(__xludf.DUMMYFUNCTION("GOOGLETRANSLATE(J3727,""EN"",""ES"")"),"Tipos de letra")</f>
        <v>Tipos de letra</v>
      </c>
      <c r="M3727" s="8" t="s">
        <v>63</v>
      </c>
      <c r="N3727" s="8"/>
    </row>
    <row r="3728" spans="1:14" ht="11.25" customHeight="1">
      <c r="A3728" s="5" t="s">
        <v>10672</v>
      </c>
      <c r="B3728" s="5" t="s">
        <v>10820</v>
      </c>
      <c r="C3728" s="5" t="s">
        <v>10821</v>
      </c>
      <c r="D3728" s="5" t="s">
        <v>10675</v>
      </c>
      <c r="E3728" s="5" t="s">
        <v>64</v>
      </c>
      <c r="F3728" s="5" t="s">
        <v>10676</v>
      </c>
      <c r="G3728" s="5" t="s">
        <v>152</v>
      </c>
      <c r="H3728" s="5" t="s">
        <v>10822</v>
      </c>
      <c r="I3728" s="5" t="s">
        <v>10823</v>
      </c>
      <c r="J3728" s="5" t="s">
        <v>10824</v>
      </c>
      <c r="K3728" s="7" t="str">
        <f ca="1">IFERROR(__xludf.DUMMYFUNCTION("GOOGLETRANSLATE(H3728,""EN"",""ES"")"),"MÁQUINAS DE ENCUADERNACIÓN, GRAPADORAS, GUILLOTINAS Y CORTADORAS PARA IMPRESORAS (PARA ENCUADERNAR)")</f>
        <v>MÁQUINAS DE ENCUADERNACIÓN, GRAPADORAS, GUILLOTINAS Y CORTADORAS PARA IMPRESORAS (PARA ENCUADERNAR)</v>
      </c>
      <c r="L3728" s="5" t="str">
        <f ca="1">IFERROR(__xludf.DUMMYFUNCTION("GOOGLETRANSLATE(J3728,""EN"",""ES"")"),"Máquinas plegadoras [encuadernación]")</f>
        <v>Máquinas plegadoras [encuadernación]</v>
      </c>
      <c r="M3728" s="8" t="s">
        <v>63</v>
      </c>
      <c r="N3728" s="8"/>
    </row>
    <row r="3729" spans="1:14" ht="11.25" customHeight="1">
      <c r="A3729" s="5" t="s">
        <v>10672</v>
      </c>
      <c r="B3729" s="5" t="s">
        <v>10820</v>
      </c>
      <c r="C3729" s="5" t="s">
        <v>10825</v>
      </c>
      <c r="D3729" s="5" t="s">
        <v>10675</v>
      </c>
      <c r="E3729" s="5" t="s">
        <v>64</v>
      </c>
      <c r="F3729" s="5" t="s">
        <v>10676</v>
      </c>
      <c r="G3729" s="5" t="s">
        <v>152</v>
      </c>
      <c r="H3729" s="5" t="s">
        <v>10822</v>
      </c>
      <c r="I3729" s="5" t="s">
        <v>10826</v>
      </c>
      <c r="J3729" s="5" t="s">
        <v>10827</v>
      </c>
      <c r="K3729" s="7" t="str">
        <f ca="1">IFERROR(__xludf.DUMMYFUNCTION("GOOGLETRANSLATE(H3729,""EN"",""ES"")"),"MÁQUINAS DE ENCUADERNACIÓN, GRAPADORAS, GUILLOTINAS Y CORTADORAS PARA IMPRESORAS (PARA ENCUADERNAR)")</f>
        <v>MÁQUINAS DE ENCUADERNACIÓN, GRAPADORAS, GUILLOTINAS Y CORTADORAS PARA IMPRESORAS (PARA ENCUADERNAR)</v>
      </c>
      <c r="L3729" s="5" t="str">
        <f ca="1">IFERROR(__xludf.DUMMYFUNCTION("GOOGLETRANSLATE(J3729,""EN"",""ES"")"),"Grapadoras de imprenta")</f>
        <v>Grapadoras de imprenta</v>
      </c>
      <c r="M3729" s="8" t="s">
        <v>63</v>
      </c>
      <c r="N3729" s="8"/>
    </row>
    <row r="3730" spans="1:14" ht="11.25" customHeight="1">
      <c r="A3730" s="5" t="s">
        <v>10672</v>
      </c>
      <c r="B3730" s="5" t="s">
        <v>10820</v>
      </c>
      <c r="C3730" s="5" t="s">
        <v>10828</v>
      </c>
      <c r="D3730" s="5" t="s">
        <v>10675</v>
      </c>
      <c r="E3730" s="5" t="s">
        <v>64</v>
      </c>
      <c r="F3730" s="5" t="s">
        <v>10676</v>
      </c>
      <c r="G3730" s="5" t="s">
        <v>152</v>
      </c>
      <c r="H3730" s="5" t="s">
        <v>10822</v>
      </c>
      <c r="I3730" s="5" t="s">
        <v>10829</v>
      </c>
      <c r="J3730" s="5" t="s">
        <v>10830</v>
      </c>
      <c r="K3730" s="7" t="str">
        <f ca="1">IFERROR(__xludf.DUMMYFUNCTION("GOOGLETRANSLATE(H3730,""EN"",""ES"")"),"MÁQUINAS DE ENCUADERNACIÓN, GRAPADORAS, GUILLOTINAS Y CORTADORAS PARA IMPRESORAS (PARA ENCUADERNAR)")</f>
        <v>MÁQUINAS DE ENCUADERNACIÓN, GRAPADORAS, GUILLOTINAS Y CORTADORAS PARA IMPRESORAS (PARA ENCUADERNAR)</v>
      </c>
      <c r="L3730" s="5" t="str">
        <f ca="1">IFERROR(__xludf.DUMMYFUNCTION("GOOGLETRANSLATE(J3730,""EN"",""ES"")"),"Máquinas o dispositivos para cortar papel.")</f>
        <v>Máquinas o dispositivos para cortar papel.</v>
      </c>
      <c r="M3730" s="8" t="s">
        <v>63</v>
      </c>
      <c r="N3730" s="8"/>
    </row>
    <row r="3731" spans="1:14" ht="11.25" customHeight="1">
      <c r="A3731" s="5" t="s">
        <v>10672</v>
      </c>
      <c r="B3731" s="5" t="s">
        <v>10820</v>
      </c>
      <c r="C3731" s="5" t="s">
        <v>10831</v>
      </c>
      <c r="D3731" s="5" t="s">
        <v>10675</v>
      </c>
      <c r="E3731" s="5" t="s">
        <v>64</v>
      </c>
      <c r="F3731" s="5" t="s">
        <v>10676</v>
      </c>
      <c r="G3731" s="5" t="s">
        <v>152</v>
      </c>
      <c r="H3731" s="5" t="s">
        <v>10822</v>
      </c>
      <c r="I3731" s="5" t="s">
        <v>10832</v>
      </c>
      <c r="J3731" s="5" t="s">
        <v>10833</v>
      </c>
      <c r="K3731" s="7" t="str">
        <f ca="1">IFERROR(__xludf.DUMMYFUNCTION("GOOGLETRANSLATE(H3731,""EN"",""ES"")"),"MÁQUINAS DE ENCUADERNACIÓN, GRAPADORAS, GUILLOTINAS Y CORTADORAS PARA IMPRESORAS (PARA ENCUADERNAR)")</f>
        <v>MÁQUINAS DE ENCUADERNACIÓN, GRAPADORAS, GUILLOTINAS Y CORTADORAS PARA IMPRESORAS (PARA ENCUADERNAR)</v>
      </c>
      <c r="L3731" s="5" t="str">
        <f ca="1">IFERROR(__xludf.DUMMYFUNCTION("GOOGLETRANSLATE(J3731,""EN"",""ES"")"),"máquinas de encuadernación")</f>
        <v>máquinas de encuadernación</v>
      </c>
      <c r="M3731" s="8" t="s">
        <v>63</v>
      </c>
      <c r="N3731" s="8"/>
    </row>
    <row r="3732" spans="1:14" ht="11.25" customHeight="1">
      <c r="A3732" s="5" t="s">
        <v>10672</v>
      </c>
      <c r="B3732" s="5" t="s">
        <v>10820</v>
      </c>
      <c r="C3732" s="5" t="s">
        <v>10834</v>
      </c>
      <c r="D3732" s="5" t="s">
        <v>10675</v>
      </c>
      <c r="E3732" s="5" t="s">
        <v>64</v>
      </c>
      <c r="F3732" s="5" t="s">
        <v>10676</v>
      </c>
      <c r="G3732" s="5" t="s">
        <v>152</v>
      </c>
      <c r="H3732" s="5" t="s">
        <v>10822</v>
      </c>
      <c r="I3732" s="5" t="s">
        <v>10835</v>
      </c>
      <c r="J3732" s="5" t="s">
        <v>10836</v>
      </c>
      <c r="K3732" s="7" t="str">
        <f ca="1">IFERROR(__xludf.DUMMYFUNCTION("GOOGLETRANSLATE(H3732,""EN"",""ES"")"),"MÁQUINAS DE ENCUADERNACIÓN, GRAPADORAS, GUILLOTINAS Y CORTADORAS PARA IMPRESORAS (PARA ENCUADERNAR)")</f>
        <v>MÁQUINAS DE ENCUADERNACIÓN, GRAPADORAS, GUILLOTINAS Y CORTADORAS PARA IMPRESORAS (PARA ENCUADERNAR)</v>
      </c>
      <c r="L3732" s="5" t="str">
        <f ca="1">IFERROR(__xludf.DUMMYFUNCTION("GOOGLETRANSLATE(J3732,""EN"",""ES"")"),"Aparatos y máquinas para sellar sobres.")</f>
        <v>Aparatos y máquinas para sellar sobres.</v>
      </c>
      <c r="M3732" s="8" t="s">
        <v>63</v>
      </c>
      <c r="N3732" s="8"/>
    </row>
    <row r="3733" spans="1:14" ht="11.25" customHeight="1">
      <c r="A3733" s="5" t="s">
        <v>10672</v>
      </c>
      <c r="B3733" s="5" t="s">
        <v>10820</v>
      </c>
      <c r="C3733" s="5" t="s">
        <v>10837</v>
      </c>
      <c r="D3733" s="5" t="s">
        <v>10675</v>
      </c>
      <c r="E3733" s="5" t="s">
        <v>64</v>
      </c>
      <c r="F3733" s="5" t="s">
        <v>10676</v>
      </c>
      <c r="G3733" s="5" t="s">
        <v>152</v>
      </c>
      <c r="H3733" s="5" t="s">
        <v>10822</v>
      </c>
      <c r="I3733" s="5" t="s">
        <v>10838</v>
      </c>
      <c r="J3733" s="5" t="s">
        <v>10839</v>
      </c>
      <c r="K3733" s="7" t="str">
        <f ca="1">IFERROR(__xludf.DUMMYFUNCTION("GOOGLETRANSLATE(H3733,""EN"",""ES"")"),"MÁQUINAS DE ENCUADERNACIÓN, GRAPADORAS, GUILLOTINAS Y CORTADORAS PARA IMPRESORAS (PARA ENCUADERNAR)")</f>
        <v>MÁQUINAS DE ENCUADERNACIÓN, GRAPADORAS, GUILLOTINAS Y CORTADORAS PARA IMPRESORAS (PARA ENCUADERNAR)</v>
      </c>
      <c r="L3733" s="5" t="str">
        <f ca="1">IFERROR(__xludf.DUMMYFUNCTION("GOOGLETRANSLATE(J3733,""EN"",""ES"")"),"Cortadoras de papel [máquinas]")</f>
        <v>Cortadoras de papel [máquinas]</v>
      </c>
      <c r="M3733" s="8" t="s">
        <v>63</v>
      </c>
      <c r="N3733" s="8"/>
    </row>
    <row r="3734" spans="1:14" ht="11.25" customHeight="1">
      <c r="A3734" s="5" t="s">
        <v>10672</v>
      </c>
      <c r="B3734" s="5" t="s">
        <v>10820</v>
      </c>
      <c r="C3734" s="5" t="s">
        <v>10837</v>
      </c>
      <c r="D3734" s="5" t="s">
        <v>10675</v>
      </c>
      <c r="E3734" s="5" t="s">
        <v>64</v>
      </c>
      <c r="F3734" s="5" t="s">
        <v>10676</v>
      </c>
      <c r="G3734" s="5" t="s">
        <v>152</v>
      </c>
      <c r="H3734" s="5" t="s">
        <v>10822</v>
      </c>
      <c r="I3734" s="5" t="s">
        <v>10840</v>
      </c>
      <c r="J3734" s="5" t="s">
        <v>152</v>
      </c>
      <c r="K3734" s="7" t="str">
        <f ca="1">IFERROR(__xludf.DUMMYFUNCTION("GOOGLETRANSLATE(H3734,""EN"",""ES"")"),"MÁQUINAS DE ENCUADERNACIÓN, GRAPADORAS, GUILLOTINAS Y CORTADORAS PARA IMPRESORAS (PARA ENCUADERNAR)")</f>
        <v>MÁQUINAS DE ENCUADERNACIÓN, GRAPADORAS, GUILLOTINAS Y CORTADORAS PARA IMPRESORAS (PARA ENCUADERNAR)</v>
      </c>
      <c r="L3734" s="5" t="str">
        <f ca="1">IFERROR(__xludf.DUMMYFUNCTION("GOOGLETRANSLATE(J3734,""EN"",""ES"")"),"Guillotinas [encuadernación]")</f>
        <v>Guillotinas [encuadernación]</v>
      </c>
      <c r="M3734" s="8" t="s">
        <v>63</v>
      </c>
      <c r="N3734" s="8"/>
    </row>
    <row r="3735" spans="1:14" ht="11.25" customHeight="1">
      <c r="A3735" s="5" t="s">
        <v>10672</v>
      </c>
      <c r="B3735" s="5" t="s">
        <v>10820</v>
      </c>
      <c r="C3735" s="5" t="s">
        <v>10837</v>
      </c>
      <c r="D3735" s="5" t="s">
        <v>10675</v>
      </c>
      <c r="E3735" s="5" t="s">
        <v>64</v>
      </c>
      <c r="F3735" s="5" t="s">
        <v>10676</v>
      </c>
      <c r="G3735" s="5" t="s">
        <v>152</v>
      </c>
      <c r="H3735" s="5" t="s">
        <v>10822</v>
      </c>
      <c r="I3735" s="5" t="s">
        <v>10841</v>
      </c>
      <c r="J3735" s="5" t="s">
        <v>152</v>
      </c>
      <c r="K3735" s="7" t="str">
        <f ca="1">IFERROR(__xludf.DUMMYFUNCTION("GOOGLETRANSLATE(H3735,""EN"",""ES"")"),"MÁQUINAS DE ENCUADERNACIÓN, GRAPADORAS, GUILLOTINAS Y CORTADORAS PARA IMPRESORAS (PARA ENCUADERNAR)")</f>
        <v>MÁQUINAS DE ENCUADERNACIÓN, GRAPADORAS, GUILLOTINAS Y CORTADORAS PARA IMPRESORAS (PARA ENCUADERNAR)</v>
      </c>
      <c r="L3735" s="5" t="str">
        <f ca="1">IFERROR(__xludf.DUMMYFUNCTION("GOOGLETRANSLATE(J3735,""EN"",""ES"")"),"Recortadoras [encuadernación]")</f>
        <v>Recortadoras [encuadernación]</v>
      </c>
      <c r="M3735" s="8" t="s">
        <v>63</v>
      </c>
      <c r="N3735" s="8"/>
    </row>
    <row r="3736" spans="1:14" ht="11.25" customHeight="1">
      <c r="A3736" s="5" t="s">
        <v>10672</v>
      </c>
      <c r="B3736" s="5" t="s">
        <v>10820</v>
      </c>
      <c r="C3736" s="5" t="s">
        <v>10842</v>
      </c>
      <c r="D3736" s="5" t="s">
        <v>10675</v>
      </c>
      <c r="E3736" s="5" t="s">
        <v>64</v>
      </c>
      <c r="F3736" s="5" t="s">
        <v>10676</v>
      </c>
      <c r="G3736" s="5" t="s">
        <v>152</v>
      </c>
      <c r="H3736" s="5" t="s">
        <v>10822</v>
      </c>
      <c r="I3736" s="5" t="s">
        <v>10843</v>
      </c>
      <c r="J3736" s="5" t="s">
        <v>10844</v>
      </c>
      <c r="K3736" s="7" t="str">
        <f ca="1">IFERROR(__xludf.DUMMYFUNCTION("GOOGLETRANSLATE(H3736,""EN"",""ES"")"),"MÁQUINAS DE ENCUADERNACIÓN, GRAPADORAS, GUILLOTINAS Y CORTADORAS PARA IMPRESORAS (PARA ENCUADERNAR)")</f>
        <v>MÁQUINAS DE ENCUADERNACIÓN, GRAPADORAS, GUILLOTINAS Y CORTADORAS PARA IMPRESORAS (PARA ENCUADERNAR)</v>
      </c>
      <c r="L3736" s="5" t="str">
        <f ca="1">IFERROR(__xludf.DUMMYFUNCTION("GOOGLETRANSLATE(J3736,""EN"",""ES"")"),"Graduadoras [encuadernación]")</f>
        <v>Graduadoras [encuadernación]</v>
      </c>
      <c r="M3736" s="8" t="s">
        <v>63</v>
      </c>
      <c r="N3736" s="8"/>
    </row>
    <row r="3737" spans="1:14" ht="11.25" customHeight="1">
      <c r="A3737" s="5" t="s">
        <v>10672</v>
      </c>
      <c r="B3737" s="5" t="s">
        <v>10820</v>
      </c>
      <c r="C3737" s="5" t="s">
        <v>10845</v>
      </c>
      <c r="D3737" s="5" t="s">
        <v>10675</v>
      </c>
      <c r="E3737" s="5" t="s">
        <v>64</v>
      </c>
      <c r="F3737" s="5" t="s">
        <v>10676</v>
      </c>
      <c r="G3737" s="5" t="s">
        <v>152</v>
      </c>
      <c r="H3737" s="5" t="s">
        <v>10822</v>
      </c>
      <c r="I3737" s="5" t="s">
        <v>10846</v>
      </c>
      <c r="J3737" s="5" t="s">
        <v>10847</v>
      </c>
      <c r="K3737" s="7" t="str">
        <f ca="1">IFERROR(__xludf.DUMMYFUNCTION("GOOGLETRANSLATE(H3737,""EN"",""ES"")"),"MÁQUINAS DE ENCUADERNACIÓN, GRAPADORAS, GUILLOTINAS Y CORTADORAS PARA IMPRESORAS (PARA ENCUADERNAR)")</f>
        <v>MÁQUINAS DE ENCUADERNACIÓN, GRAPADORAS, GUILLOTINAS Y CORTADORAS PARA IMPRESORAS (PARA ENCUADERNAR)</v>
      </c>
      <c r="L3737" s="5" t="str">
        <f ca="1">IFERROR(__xludf.DUMMYFUNCTION("GOOGLETRANSLATE(J3737,""EN"",""ES"")"),"Aparatos y máquinas para abrir sobres.")</f>
        <v>Aparatos y máquinas para abrir sobres.</v>
      </c>
      <c r="M3737" s="8" t="s">
        <v>63</v>
      </c>
      <c r="N3737" s="8"/>
    </row>
    <row r="3738" spans="1:14" ht="11.25" customHeight="1">
      <c r="A3738" s="5" t="s">
        <v>10672</v>
      </c>
      <c r="B3738" s="5" t="s">
        <v>10848</v>
      </c>
      <c r="C3738" s="5" t="s">
        <v>10849</v>
      </c>
      <c r="D3738" s="5" t="s">
        <v>10675</v>
      </c>
      <c r="E3738" s="5" t="s">
        <v>64</v>
      </c>
      <c r="F3738" s="5" t="s">
        <v>10676</v>
      </c>
      <c r="G3738" s="5" t="s">
        <v>152</v>
      </c>
      <c r="H3738" s="5" t="s">
        <v>330</v>
      </c>
      <c r="I3738" s="5" t="s">
        <v>10850</v>
      </c>
      <c r="J3738" s="5" t="s">
        <v>10851</v>
      </c>
      <c r="K3738" s="7" t="str">
        <f ca="1">IFERROR(__xludf.DUMMYFUNCTION("GOOGLETRANSLATE(H3738,""EN"",""ES"")"),"MISCELÁNEAS")</f>
        <v>MISCELÁNEAS</v>
      </c>
      <c r="L3738" s="5" t="str">
        <f ca="1">IFERROR(__xludf.DUMMYFUNCTION("GOOGLETRANSLATE(J3738,""EN"",""ES"")"),"Casos [tipografía]")</f>
        <v>Casos [tipografía]</v>
      </c>
      <c r="M3738" s="8" t="s">
        <v>63</v>
      </c>
      <c r="N3738" s="8"/>
    </row>
    <row r="3739" spans="1:14" ht="11.25" customHeight="1">
      <c r="A3739" s="5" t="s">
        <v>10672</v>
      </c>
      <c r="B3739" s="5" t="s">
        <v>10848</v>
      </c>
      <c r="C3739" s="5" t="s">
        <v>10852</v>
      </c>
      <c r="D3739" s="5" t="s">
        <v>10675</v>
      </c>
      <c r="E3739" s="5" t="s">
        <v>64</v>
      </c>
      <c r="F3739" s="5" t="s">
        <v>10676</v>
      </c>
      <c r="G3739" s="5" t="s">
        <v>152</v>
      </c>
      <c r="H3739" s="5" t="s">
        <v>330</v>
      </c>
      <c r="I3739" s="5" t="s">
        <v>10853</v>
      </c>
      <c r="J3739" s="5" t="s">
        <v>10854</v>
      </c>
      <c r="K3739" s="7" t="str">
        <f ca="1">IFERROR(__xludf.DUMMYFUNCTION("GOOGLETRANSLATE(H3739,""EN"",""ES"")"),"MISCELÁNEAS")</f>
        <v>MISCELÁNEAS</v>
      </c>
      <c r="L3739" s="5" t="str">
        <f ca="1">IFERROR(__xludf.DUMMYFUNCTION("GOOGLETRANSLATE(J3739,""EN"",""ES"")"),"Componer cuadros [tipografía]")</f>
        <v>Componer cuadros [tipografía]</v>
      </c>
      <c r="M3739" s="8" t="s">
        <v>63</v>
      </c>
      <c r="N3739" s="8"/>
    </row>
    <row r="3740" spans="1:14" ht="11.25" customHeight="1">
      <c r="A3740" s="5" t="s">
        <v>10672</v>
      </c>
      <c r="B3740" s="5" t="s">
        <v>10848</v>
      </c>
      <c r="C3740" s="5" t="s">
        <v>10855</v>
      </c>
      <c r="D3740" s="5" t="s">
        <v>10675</v>
      </c>
      <c r="E3740" s="5" t="s">
        <v>64</v>
      </c>
      <c r="F3740" s="5" t="s">
        <v>10676</v>
      </c>
      <c r="G3740" s="5" t="s">
        <v>152</v>
      </c>
      <c r="H3740" s="5" t="s">
        <v>330</v>
      </c>
      <c r="I3740" s="5" t="s">
        <v>10856</v>
      </c>
      <c r="J3740" s="5" t="s">
        <v>10857</v>
      </c>
      <c r="K3740" s="7" t="str">
        <f ca="1">IFERROR(__xludf.DUMMYFUNCTION("GOOGLETRANSLATE(H3740,""EN"",""ES"")"),"MISCELÁNEAS")</f>
        <v>MISCELÁNEAS</v>
      </c>
      <c r="L3740" s="5" t="str">
        <f ca="1">IFERROR(__xludf.DUMMYFUNCTION("GOOGLETRANSLATE(J3740,""EN"",""ES"")"),"Destructores de documentos")</f>
        <v>Destructores de documentos</v>
      </c>
      <c r="M3740" s="8" t="s">
        <v>63</v>
      </c>
      <c r="N3740" s="8"/>
    </row>
    <row r="3741" spans="1:14" ht="11.25" customHeight="1">
      <c r="A3741" s="5" t="s">
        <v>10672</v>
      </c>
      <c r="B3741" s="5" t="s">
        <v>10848</v>
      </c>
      <c r="C3741" s="5" t="s">
        <v>10858</v>
      </c>
      <c r="D3741" s="5" t="s">
        <v>10675</v>
      </c>
      <c r="E3741" s="5" t="s">
        <v>64</v>
      </c>
      <c r="F3741" s="5" t="s">
        <v>10676</v>
      </c>
      <c r="G3741" s="5" t="s">
        <v>152</v>
      </c>
      <c r="H3741" s="5" t="s">
        <v>330</v>
      </c>
      <c r="I3741" s="5" t="s">
        <v>10859</v>
      </c>
      <c r="J3741" s="5" t="s">
        <v>10860</v>
      </c>
      <c r="K3741" s="7" t="str">
        <f ca="1">IFERROR(__xludf.DUMMYFUNCTION("GOOGLETRANSLATE(H3741,""EN"",""ES"")"),"MISCELÁNEAS")</f>
        <v>MISCELÁNEAS</v>
      </c>
      <c r="L3741" s="5" t="str">
        <f ca="1">IFERROR(__xludf.DUMMYFUNCTION("GOOGLETRANSLATE(J3741,""EN"",""ES"")"),"Etiquetadoras [máquinas]")</f>
        <v>Etiquetadoras [máquinas]</v>
      </c>
      <c r="M3741" s="8" t="s">
        <v>63</v>
      </c>
      <c r="N3741" s="8"/>
    </row>
    <row r="3742" spans="1:14" ht="11.25" customHeight="1">
      <c r="A3742" s="5" t="s">
        <v>10672</v>
      </c>
      <c r="B3742" s="5" t="s">
        <v>10848</v>
      </c>
      <c r="C3742" s="5" t="s">
        <v>10861</v>
      </c>
      <c r="D3742" s="5" t="s">
        <v>10675</v>
      </c>
      <c r="E3742" s="5" t="s">
        <v>64</v>
      </c>
      <c r="F3742" s="5" t="s">
        <v>10676</v>
      </c>
      <c r="G3742" s="5" t="s">
        <v>152</v>
      </c>
      <c r="H3742" s="5" t="s">
        <v>330</v>
      </c>
      <c r="I3742" s="5" t="s">
        <v>10862</v>
      </c>
      <c r="J3742" s="5" t="s">
        <v>10863</v>
      </c>
      <c r="K3742" s="7" t="str">
        <f ca="1">IFERROR(__xludf.DUMMYFUNCTION("GOOGLETRANSLATE(H3742,""EN"",""ES"")"),"MISCELÁNEAS")</f>
        <v>MISCELÁNEAS</v>
      </c>
      <c r="L3742" s="5" t="str">
        <f ca="1">IFERROR(__xludf.DUMMYFUNCTION("GOOGLETRANSLATE(J3742,""EN"",""ES"")"),"Componer tablas para imprimir.")</f>
        <v>Componer tablas para imprimir.</v>
      </c>
      <c r="M3742" s="8" t="s">
        <v>63</v>
      </c>
      <c r="N3742" s="8"/>
    </row>
    <row r="3743" spans="1:14" ht="11.25" customHeight="1">
      <c r="A3743" s="5" t="s">
        <v>10672</v>
      </c>
      <c r="B3743" s="5" t="s">
        <v>10848</v>
      </c>
      <c r="C3743" s="5" t="s">
        <v>10864</v>
      </c>
      <c r="D3743" s="5" t="s">
        <v>10675</v>
      </c>
      <c r="E3743" s="5" t="s">
        <v>64</v>
      </c>
      <c r="F3743" s="5" t="s">
        <v>10676</v>
      </c>
      <c r="G3743" s="5" t="s">
        <v>152</v>
      </c>
      <c r="H3743" s="5" t="s">
        <v>330</v>
      </c>
      <c r="I3743" s="5" t="s">
        <v>10865</v>
      </c>
      <c r="J3743" s="5" t="s">
        <v>10866</v>
      </c>
      <c r="K3743" s="7" t="str">
        <f ca="1">IFERROR(__xludf.DUMMYFUNCTION("GOOGLETRANSLATE(H3743,""EN"",""ES"")"),"MISCELÁNEAS")</f>
        <v>MISCELÁNEAS</v>
      </c>
      <c r="L3743" s="5" t="str">
        <f ca="1">IFERROR(__xludf.DUMMYFUNCTION("GOOGLETRANSLATE(J3743,""EN"",""ES"")"),"Clasificadores de papel")</f>
        <v>Clasificadores de papel</v>
      </c>
      <c r="M3743" s="8" t="s">
        <v>63</v>
      </c>
      <c r="N3743" s="8"/>
    </row>
    <row r="3744" spans="1:14" ht="11.25" customHeight="1">
      <c r="A3744" s="5" t="s">
        <v>10672</v>
      </c>
      <c r="B3744" s="5" t="s">
        <v>10848</v>
      </c>
      <c r="C3744" s="5" t="s">
        <v>10867</v>
      </c>
      <c r="D3744" s="5" t="s">
        <v>10675</v>
      </c>
      <c r="E3744" s="5" t="s">
        <v>64</v>
      </c>
      <c r="F3744" s="5" t="s">
        <v>10676</v>
      </c>
      <c r="G3744" s="5" t="s">
        <v>152</v>
      </c>
      <c r="H3744" s="5" t="s">
        <v>330</v>
      </c>
      <c r="I3744" s="5" t="s">
        <v>10868</v>
      </c>
      <c r="J3744" s="5" t="s">
        <v>10869</v>
      </c>
      <c r="K3744" s="7" t="str">
        <f ca="1">IFERROR(__xludf.DUMMYFUNCTION("GOOGLETRANSLATE(H3744,""EN"",""ES"")"),"MISCELÁNEAS")</f>
        <v>MISCELÁNEAS</v>
      </c>
      <c r="L3744" s="5" t="str">
        <f ca="1">IFERROR(__xludf.DUMMYFUNCTION("GOOGLETRANSLATE(J3744,""EN"",""ES"")"),"Soportes de mesa para calculadoras de bolsillo")</f>
        <v>Soportes de mesa para calculadoras de bolsillo</v>
      </c>
      <c r="M3744" s="8" t="s">
        <v>63</v>
      </c>
      <c r="N3744" s="8"/>
    </row>
    <row r="3745" spans="1:14" ht="11.25" customHeight="1">
      <c r="A3745" s="5" t="s">
        <v>10870</v>
      </c>
      <c r="B3745" s="5" t="s">
        <v>10871</v>
      </c>
      <c r="C3745" s="5" t="s">
        <v>10872</v>
      </c>
      <c r="D3745" s="5" t="s">
        <v>10873</v>
      </c>
      <c r="E3745" s="5" t="s">
        <v>66</v>
      </c>
      <c r="F3745" s="5" t="s">
        <v>10874</v>
      </c>
      <c r="G3745" s="5" t="s">
        <v>152</v>
      </c>
      <c r="H3745" s="5" t="s">
        <v>10875</v>
      </c>
      <c r="I3745" s="5" t="s">
        <v>10876</v>
      </c>
      <c r="J3745" s="5" t="s">
        <v>10877</v>
      </c>
      <c r="K3745" s="7" t="str">
        <f ca="1">IFERROR(__xludf.DUMMYFUNCTION("GOOGLETRANSLATE(H3745,""EN"",""ES"")"),"PAPEL PARA ESCRIBIR, TARJETAS PARA CORRESPONDENCIA Y ANUNCIOS")</f>
        <v>PAPEL PARA ESCRIBIR, TARJETAS PARA CORRESPONDENCIA Y ANUNCIOS</v>
      </c>
      <c r="L3745" s="5" t="str">
        <f ca="1">IFERROR(__xludf.DUMMYFUNCTION("GOOGLETRANSLATE(J3745,""EN"",""ES"")"),"Envoltorios de envío para material impreso")</f>
        <v>Envoltorios de envío para material impreso</v>
      </c>
      <c r="M3745" s="8" t="s">
        <v>65</v>
      </c>
      <c r="N3745" s="8"/>
    </row>
    <row r="3746" spans="1:14" ht="11.25" customHeight="1">
      <c r="A3746" s="5" t="s">
        <v>10870</v>
      </c>
      <c r="B3746" s="5" t="s">
        <v>10871</v>
      </c>
      <c r="C3746" s="5" t="s">
        <v>10878</v>
      </c>
      <c r="D3746" s="5" t="s">
        <v>10873</v>
      </c>
      <c r="E3746" s="5" t="s">
        <v>66</v>
      </c>
      <c r="F3746" s="5" t="s">
        <v>10874</v>
      </c>
      <c r="G3746" s="5" t="s">
        <v>152</v>
      </c>
      <c r="H3746" s="5" t="s">
        <v>10875</v>
      </c>
      <c r="I3746" s="5" t="s">
        <v>10879</v>
      </c>
      <c r="J3746" s="5" t="s">
        <v>10880</v>
      </c>
      <c r="K3746" s="7" t="str">
        <f ca="1">IFERROR(__xludf.DUMMYFUNCTION("GOOGLETRANSLATE(H3746,""EN"",""ES"")"),"PAPEL PARA ESCRIBIR, TARJETAS PARA CORRESPONDENCIA Y ANUNCIOS")</f>
        <v>PAPEL PARA ESCRIBIR, TARJETAS PARA CORRESPONDENCIA Y ANUNCIOS</v>
      </c>
      <c r="L3746" s="5" t="str">
        <f ca="1">IFERROR(__xludf.DUMMYFUNCTION("GOOGLETRANSLATE(J3746,""EN"",""ES"")"),"Tarjetas de letras")</f>
        <v>Tarjetas de letras</v>
      </c>
      <c r="M3746" s="8" t="s">
        <v>65</v>
      </c>
      <c r="N3746" s="8"/>
    </row>
    <row r="3747" spans="1:14" ht="11.25" customHeight="1">
      <c r="A3747" s="5" t="s">
        <v>10870</v>
      </c>
      <c r="B3747" s="5" t="s">
        <v>10871</v>
      </c>
      <c r="C3747" s="5" t="s">
        <v>10881</v>
      </c>
      <c r="D3747" s="5" t="s">
        <v>10873</v>
      </c>
      <c r="E3747" s="5" t="s">
        <v>66</v>
      </c>
      <c r="F3747" s="5" t="s">
        <v>10874</v>
      </c>
      <c r="G3747" s="5" t="s">
        <v>152</v>
      </c>
      <c r="H3747" s="5" t="s">
        <v>10875</v>
      </c>
      <c r="I3747" s="5" t="s">
        <v>10882</v>
      </c>
      <c r="J3747" s="5" t="s">
        <v>10883</v>
      </c>
      <c r="K3747" s="7" t="str">
        <f ca="1">IFERROR(__xludf.DUMMYFUNCTION("GOOGLETRANSLATE(H3747,""EN"",""ES"")"),"PAPEL PARA ESCRIBIR, TARJETAS PARA CORRESPONDENCIA Y ANUNCIOS")</f>
        <v>PAPEL PARA ESCRIBIR, TARJETAS PARA CORRESPONDENCIA Y ANUNCIOS</v>
      </c>
      <c r="L3747" s="5" t="str">
        <f ca="1">IFERROR(__xludf.DUMMYFUNCTION("GOOGLETRANSLATE(J3747,""EN"",""ES"")"),"Papel de dibujo")</f>
        <v>Papel de dibujo</v>
      </c>
      <c r="M3747" s="8" t="s">
        <v>65</v>
      </c>
      <c r="N3747" s="8"/>
    </row>
    <row r="3748" spans="1:14" ht="11.25" customHeight="1">
      <c r="A3748" s="5" t="s">
        <v>10870</v>
      </c>
      <c r="B3748" s="5" t="s">
        <v>10871</v>
      </c>
      <c r="C3748" s="5" t="s">
        <v>10884</v>
      </c>
      <c r="D3748" s="5" t="s">
        <v>10873</v>
      </c>
      <c r="E3748" s="5" t="s">
        <v>66</v>
      </c>
      <c r="F3748" s="5" t="s">
        <v>10874</v>
      </c>
      <c r="G3748" s="5" t="s">
        <v>152</v>
      </c>
      <c r="H3748" s="5" t="s">
        <v>10875</v>
      </c>
      <c r="I3748" s="5" t="s">
        <v>10885</v>
      </c>
      <c r="J3748" s="5" t="s">
        <v>10886</v>
      </c>
      <c r="K3748" s="7" t="str">
        <f ca="1">IFERROR(__xludf.DUMMYFUNCTION("GOOGLETRANSLATE(H3748,""EN"",""ES"")"),"PAPEL PARA ESCRIBIR, TARJETAS PARA CORRESPONDENCIA Y ANUNCIOS")</f>
        <v>PAPEL PARA ESCRIBIR, TARJETAS PARA CORRESPONDENCIA Y ANUNCIOS</v>
      </c>
      <c r="L3748" s="5" t="str">
        <f ca="1">IFERROR(__xludf.DUMMYFUNCTION("GOOGLETRANSLATE(J3748,""EN"",""ES"")"),"Sobres [papelería]")</f>
        <v>Sobres [papelería]</v>
      </c>
      <c r="M3748" s="8" t="s">
        <v>65</v>
      </c>
      <c r="N3748" s="8"/>
    </row>
    <row r="3749" spans="1:14" ht="11.25" customHeight="1">
      <c r="A3749" s="5" t="s">
        <v>10870</v>
      </c>
      <c r="B3749" s="5" t="s">
        <v>10871</v>
      </c>
      <c r="C3749" s="5" t="s">
        <v>10884</v>
      </c>
      <c r="D3749" s="5" t="s">
        <v>10873</v>
      </c>
      <c r="E3749" s="5" t="s">
        <v>66</v>
      </c>
      <c r="F3749" s="5" t="s">
        <v>10874</v>
      </c>
      <c r="G3749" s="5" t="s">
        <v>152</v>
      </c>
      <c r="H3749" s="5" t="s">
        <v>10875</v>
      </c>
      <c r="I3749" s="5" t="s">
        <v>152</v>
      </c>
      <c r="J3749" s="5" t="s">
        <v>10887</v>
      </c>
      <c r="K3749" s="7" t="str">
        <f ca="1">IFERROR(__xludf.DUMMYFUNCTION("GOOGLETRANSLATE(H3749,""EN"",""ES"")"),"PAPEL PARA ESCRIBIR, TARJETAS PARA CORRESPONDENCIA Y ANUNCIOS")</f>
        <v>PAPEL PARA ESCRIBIR, TARJETAS PARA CORRESPONDENCIA Y ANUNCIOS</v>
      </c>
      <c r="L3749" s="5" t="str">
        <f ca="1">IFERROR(__xludf.DUMMYFUNCTION("GOOGLETRANSLATE(J3749,""EN"",""ES"")"),"N / A")</f>
        <v>N / A</v>
      </c>
      <c r="M3749" s="8" t="s">
        <v>65</v>
      </c>
      <c r="N3749" s="8"/>
    </row>
    <row r="3750" spans="1:14" ht="11.25" customHeight="1">
      <c r="A3750" s="5" t="s">
        <v>10870</v>
      </c>
      <c r="B3750" s="5" t="s">
        <v>10871</v>
      </c>
      <c r="C3750" s="5" t="s">
        <v>10888</v>
      </c>
      <c r="D3750" s="5" t="s">
        <v>10873</v>
      </c>
      <c r="E3750" s="5" t="s">
        <v>66</v>
      </c>
      <c r="F3750" s="5" t="s">
        <v>10874</v>
      </c>
      <c r="G3750" s="5" t="s">
        <v>152</v>
      </c>
      <c r="H3750" s="5" t="s">
        <v>10875</v>
      </c>
      <c r="I3750" s="5" t="s">
        <v>10889</v>
      </c>
      <c r="J3750" s="5" t="s">
        <v>10890</v>
      </c>
      <c r="K3750" s="7" t="str">
        <f ca="1">IFERROR(__xludf.DUMMYFUNCTION("GOOGLETRANSLATE(H3750,""EN"",""ES"")"),"PAPEL PARA ESCRIBIR, TARJETAS PARA CORRESPONDENCIA Y ANUNCIOS")</f>
        <v>PAPEL PARA ESCRIBIR, TARJETAS PARA CORRESPONDENCIA Y ANUNCIOS</v>
      </c>
      <c r="L3750" s="5" t="str">
        <f ca="1">IFERROR(__xludf.DUMMYFUNCTION("GOOGLETRANSLATE(J3750,""EN"",""ES"")"),"papel de seguridad")</f>
        <v>papel de seguridad</v>
      </c>
      <c r="M3750" s="8" t="s">
        <v>65</v>
      </c>
      <c r="N3750" s="8"/>
    </row>
    <row r="3751" spans="1:14" ht="11.25" customHeight="1">
      <c r="A3751" s="5" t="s">
        <v>10870</v>
      </c>
      <c r="B3751" s="5" t="s">
        <v>10871</v>
      </c>
      <c r="C3751" s="5" t="s">
        <v>10891</v>
      </c>
      <c r="D3751" s="5" t="s">
        <v>10873</v>
      </c>
      <c r="E3751" s="5" t="s">
        <v>66</v>
      </c>
      <c r="F3751" s="5" t="s">
        <v>10874</v>
      </c>
      <c r="G3751" s="5" t="s">
        <v>152</v>
      </c>
      <c r="H3751" s="5" t="s">
        <v>10875</v>
      </c>
      <c r="I3751" s="5" t="s">
        <v>10892</v>
      </c>
      <c r="J3751" s="5" t="s">
        <v>10893</v>
      </c>
      <c r="K3751" s="7" t="str">
        <f ca="1">IFERROR(__xludf.DUMMYFUNCTION("GOOGLETRANSLATE(H3751,""EN"",""ES"")"),"PAPEL PARA ESCRIBIR, TARJETAS PARA CORRESPONDENCIA Y ANUNCIOS")</f>
        <v>PAPEL PARA ESCRIBIR, TARJETAS PARA CORRESPONDENCIA Y ANUNCIOS</v>
      </c>
      <c r="L3751" s="5" t="str">
        <f ca="1">IFERROR(__xludf.DUMMYFUNCTION("GOOGLETRANSLATE(J3751,""EN"",""ES"")"),"Papel prensa")</f>
        <v>Papel prensa</v>
      </c>
      <c r="M3751" s="8" t="s">
        <v>65</v>
      </c>
      <c r="N3751" s="8"/>
    </row>
    <row r="3752" spans="1:14" ht="11.25" customHeight="1">
      <c r="A3752" s="5" t="s">
        <v>10870</v>
      </c>
      <c r="B3752" s="5" t="s">
        <v>10871</v>
      </c>
      <c r="C3752" s="5" t="s">
        <v>10894</v>
      </c>
      <c r="D3752" s="5" t="s">
        <v>10873</v>
      </c>
      <c r="E3752" s="5" t="s">
        <v>66</v>
      </c>
      <c r="F3752" s="5" t="s">
        <v>10874</v>
      </c>
      <c r="G3752" s="5" t="s">
        <v>152</v>
      </c>
      <c r="H3752" s="5" t="s">
        <v>10875</v>
      </c>
      <c r="I3752" s="5" t="s">
        <v>10895</v>
      </c>
      <c r="J3752" s="5" t="s">
        <v>10896</v>
      </c>
      <c r="K3752" s="7" t="str">
        <f ca="1">IFERROR(__xludf.DUMMYFUNCTION("GOOGLETRANSLATE(H3752,""EN"",""ES"")"),"PAPEL PARA ESCRIBIR, TARJETAS PARA CORRESPONDENCIA Y ANUNCIOS")</f>
        <v>PAPEL PARA ESCRIBIR, TARJETAS PARA CORRESPONDENCIA Y ANUNCIOS</v>
      </c>
      <c r="L3752" s="5" t="str">
        <f ca="1">IFERROR(__xludf.DUMMYFUNCTION("GOOGLETRANSLATE(J3752,""EN"",""ES"")"),"papel fotográfico")</f>
        <v>papel fotográfico</v>
      </c>
      <c r="M3752" s="8" t="s">
        <v>65</v>
      </c>
      <c r="N3752" s="8"/>
    </row>
    <row r="3753" spans="1:14" ht="11.25" customHeight="1">
      <c r="A3753" s="5" t="s">
        <v>10870</v>
      </c>
      <c r="B3753" s="5" t="s">
        <v>10871</v>
      </c>
      <c r="C3753" s="5" t="s">
        <v>10897</v>
      </c>
      <c r="D3753" s="5" t="s">
        <v>10873</v>
      </c>
      <c r="E3753" s="5" t="s">
        <v>66</v>
      </c>
      <c r="F3753" s="5" t="s">
        <v>10874</v>
      </c>
      <c r="G3753" s="5" t="s">
        <v>152</v>
      </c>
      <c r="H3753" s="5" t="s">
        <v>10875</v>
      </c>
      <c r="I3753" s="5" t="s">
        <v>10898</v>
      </c>
      <c r="J3753" s="5" t="s">
        <v>10899</v>
      </c>
      <c r="K3753" s="7" t="str">
        <f ca="1">IFERROR(__xludf.DUMMYFUNCTION("GOOGLETRANSLATE(H3753,""EN"",""ES"")"),"PAPEL PARA ESCRIBIR, TARJETAS PARA CORRESPONDENCIA Y ANUNCIOS")</f>
        <v>PAPEL PARA ESCRIBIR, TARJETAS PARA CORRESPONDENCIA Y ANUNCIOS</v>
      </c>
      <c r="L3753" s="5" t="str">
        <f ca="1">IFERROR(__xludf.DUMMYFUNCTION("GOOGLETRANSLATE(J3753,""EN"",""ES"")"),"Papel para planos arquitectónicos.")</f>
        <v>Papel para planos arquitectónicos.</v>
      </c>
      <c r="M3753" s="8" t="s">
        <v>65</v>
      </c>
      <c r="N3753" s="8"/>
    </row>
    <row r="3754" spans="1:14" ht="11.25" customHeight="1">
      <c r="A3754" s="5" t="s">
        <v>10870</v>
      </c>
      <c r="B3754" s="5" t="s">
        <v>10871</v>
      </c>
      <c r="C3754" s="5" t="s">
        <v>10900</v>
      </c>
      <c r="D3754" s="5" t="s">
        <v>10873</v>
      </c>
      <c r="E3754" s="5" t="s">
        <v>66</v>
      </c>
      <c r="F3754" s="5" t="s">
        <v>10874</v>
      </c>
      <c r="G3754" s="5" t="s">
        <v>152</v>
      </c>
      <c r="H3754" s="5" t="s">
        <v>10875</v>
      </c>
      <c r="I3754" s="5" t="s">
        <v>10901</v>
      </c>
      <c r="J3754" s="5" t="s">
        <v>10902</v>
      </c>
      <c r="K3754" s="7" t="str">
        <f ca="1">IFERROR(__xludf.DUMMYFUNCTION("GOOGLETRANSLATE(H3754,""EN"",""ES"")"),"PAPEL PARA ESCRIBIR, TARJETAS PARA CORRESPONDENCIA Y ANUNCIOS")</f>
        <v>PAPEL PARA ESCRIBIR, TARJETAS PARA CORRESPONDENCIA Y ANUNCIOS</v>
      </c>
      <c r="L3754" s="5" t="str">
        <f ca="1">IFERROR(__xludf.DUMMYFUNCTION("GOOGLETRANSLATE(J3754,""EN"",""ES"")"),"Tarjetas de luto")</f>
        <v>Tarjetas de luto</v>
      </c>
      <c r="M3754" s="8" t="s">
        <v>65</v>
      </c>
      <c r="N3754" s="8"/>
    </row>
    <row r="3755" spans="1:14" ht="11.25" customHeight="1">
      <c r="A3755" s="5" t="s">
        <v>10870</v>
      </c>
      <c r="B3755" s="5" t="s">
        <v>10871</v>
      </c>
      <c r="C3755" s="5" t="s">
        <v>10903</v>
      </c>
      <c r="D3755" s="5" t="s">
        <v>10873</v>
      </c>
      <c r="E3755" s="5" t="s">
        <v>66</v>
      </c>
      <c r="F3755" s="5" t="s">
        <v>10874</v>
      </c>
      <c r="G3755" s="5" t="s">
        <v>152</v>
      </c>
      <c r="H3755" s="5" t="s">
        <v>10875</v>
      </c>
      <c r="I3755" s="5" t="s">
        <v>10904</v>
      </c>
      <c r="J3755" s="5" t="s">
        <v>10905</v>
      </c>
      <c r="K3755" s="7" t="str">
        <f ca="1">IFERROR(__xludf.DUMMYFUNCTION("GOOGLETRANSLATE(H3755,""EN"",""ES"")"),"PAPEL PARA ESCRIBIR, TARJETAS PARA CORRESPONDENCIA Y ANUNCIOS")</f>
        <v>PAPEL PARA ESCRIBIR, TARJETAS PARA CORRESPONDENCIA Y ANUNCIOS</v>
      </c>
      <c r="L3755" s="5" t="str">
        <f ca="1">IFERROR(__xludf.DUMMYFUNCTION("GOOGLETRANSLATE(J3755,""EN"",""ES"")"),"Tarjetas de saludos")</f>
        <v>Tarjetas de saludos</v>
      </c>
      <c r="M3755" s="8" t="s">
        <v>65</v>
      </c>
      <c r="N3755" s="8"/>
    </row>
    <row r="3756" spans="1:14" ht="11.25" customHeight="1">
      <c r="A3756" s="5" t="s">
        <v>10870</v>
      </c>
      <c r="B3756" s="5" t="s">
        <v>10871</v>
      </c>
      <c r="C3756" s="5" t="s">
        <v>10906</v>
      </c>
      <c r="D3756" s="5" t="s">
        <v>10873</v>
      </c>
      <c r="E3756" s="5" t="s">
        <v>66</v>
      </c>
      <c r="F3756" s="5" t="s">
        <v>10874</v>
      </c>
      <c r="G3756" s="5" t="s">
        <v>152</v>
      </c>
      <c r="H3756" s="5" t="s">
        <v>10875</v>
      </c>
      <c r="I3756" s="5" t="s">
        <v>10907</v>
      </c>
      <c r="J3756" s="5" t="s">
        <v>10908</v>
      </c>
      <c r="K3756" s="7" t="str">
        <f ca="1">IFERROR(__xludf.DUMMYFUNCTION("GOOGLETRANSLATE(H3756,""EN"",""ES"")"),"PAPEL PARA ESCRIBIR, TARJETAS PARA CORRESPONDENCIA Y ANUNCIOS")</f>
        <v>PAPEL PARA ESCRIBIR, TARJETAS PARA CORRESPONDENCIA Y ANUNCIOS</v>
      </c>
      <c r="L3756" s="5" t="str">
        <f ca="1">IFERROR(__xludf.DUMMYFUNCTION("GOOGLETRANSLATE(J3756,""EN"",""ES"")"),"Postales con imágenes")</f>
        <v>Postales con imágenes</v>
      </c>
      <c r="M3756" s="8" t="s">
        <v>65</v>
      </c>
      <c r="N3756" s="8"/>
    </row>
    <row r="3757" spans="1:14" ht="11.25" customHeight="1">
      <c r="A3757" s="5" t="s">
        <v>10870</v>
      </c>
      <c r="B3757" s="5" t="s">
        <v>10871</v>
      </c>
      <c r="C3757" s="5" t="s">
        <v>10909</v>
      </c>
      <c r="D3757" s="5" t="s">
        <v>10873</v>
      </c>
      <c r="E3757" s="5" t="s">
        <v>66</v>
      </c>
      <c r="F3757" s="5" t="s">
        <v>10874</v>
      </c>
      <c r="G3757" s="5" t="s">
        <v>152</v>
      </c>
      <c r="H3757" s="5" t="s">
        <v>10875</v>
      </c>
      <c r="I3757" s="5" t="s">
        <v>10910</v>
      </c>
      <c r="J3757" s="5" t="s">
        <v>10911</v>
      </c>
      <c r="K3757" s="7" t="str">
        <f ca="1">IFERROR(__xludf.DUMMYFUNCTION("GOOGLETRANSLATE(H3757,""EN"",""ES"")"),"PAPEL PARA ESCRIBIR, TARJETAS PARA CORRESPONDENCIA Y ANUNCIOS")</f>
        <v>PAPEL PARA ESCRIBIR, TARJETAS PARA CORRESPONDENCIA Y ANUNCIOS</v>
      </c>
      <c r="L3757" s="5" t="str">
        <f ca="1">IFERROR(__xludf.DUMMYFUNCTION("GOOGLETRANSLATE(J3757,""EN"",""ES"")"),"Postales ilustradas")</f>
        <v>Postales ilustradas</v>
      </c>
      <c r="M3757" s="8" t="s">
        <v>65</v>
      </c>
      <c r="N3757" s="8"/>
    </row>
    <row r="3758" spans="1:14" ht="11.25" customHeight="1">
      <c r="A3758" s="5" t="s">
        <v>10870</v>
      </c>
      <c r="B3758" s="5" t="s">
        <v>10871</v>
      </c>
      <c r="C3758" s="5" t="s">
        <v>10912</v>
      </c>
      <c r="D3758" s="5" t="s">
        <v>10873</v>
      </c>
      <c r="E3758" s="5" t="s">
        <v>66</v>
      </c>
      <c r="F3758" s="5" t="s">
        <v>10874</v>
      </c>
      <c r="G3758" s="5" t="s">
        <v>152</v>
      </c>
      <c r="H3758" s="5" t="s">
        <v>10875</v>
      </c>
      <c r="I3758" s="5" t="s">
        <v>10913</v>
      </c>
      <c r="J3758" s="5" t="s">
        <v>10914</v>
      </c>
      <c r="K3758" s="7" t="str">
        <f ca="1">IFERROR(__xludf.DUMMYFUNCTION("GOOGLETRANSLATE(H3758,""EN"",""ES"")"),"PAPEL PARA ESCRIBIR, TARJETAS PARA CORRESPONDENCIA Y ANUNCIOS")</f>
        <v>PAPEL PARA ESCRIBIR, TARJETAS PARA CORRESPONDENCIA Y ANUNCIOS</v>
      </c>
      <c r="L3758" s="5" t="str">
        <f ca="1">IFERROR(__xludf.DUMMYFUNCTION("GOOGLETRANSLATE(J3758,""EN"",""ES"")"),"Tarjetas de anuncio")</f>
        <v>Tarjetas de anuncio</v>
      </c>
      <c r="M3758" s="8" t="s">
        <v>65</v>
      </c>
      <c r="N3758" s="8"/>
    </row>
    <row r="3759" spans="1:14" ht="11.25" customHeight="1">
      <c r="A3759" s="5" t="s">
        <v>10870</v>
      </c>
      <c r="B3759" s="5" t="s">
        <v>10871</v>
      </c>
      <c r="C3759" s="5" t="s">
        <v>10915</v>
      </c>
      <c r="D3759" s="5" t="s">
        <v>10873</v>
      </c>
      <c r="E3759" s="5" t="s">
        <v>66</v>
      </c>
      <c r="F3759" s="5" t="s">
        <v>10874</v>
      </c>
      <c r="G3759" s="5" t="s">
        <v>152</v>
      </c>
      <c r="H3759" s="5" t="s">
        <v>10875</v>
      </c>
      <c r="I3759" s="5" t="s">
        <v>10916</v>
      </c>
      <c r="J3759" s="5" t="s">
        <v>10917</v>
      </c>
      <c r="K3759" s="7" t="str">
        <f ca="1">IFERROR(__xludf.DUMMYFUNCTION("GOOGLETRANSLATE(H3759,""EN"",""ES"")"),"PAPEL PARA ESCRIBIR, TARJETAS PARA CORRESPONDENCIA Y ANUNCIOS")</f>
        <v>PAPEL PARA ESCRIBIR, TARJETAS PARA CORRESPONDENCIA Y ANUNCIOS</v>
      </c>
      <c r="L3759" s="5" t="str">
        <f ca="1">IFERROR(__xludf.DUMMYFUNCTION("GOOGLETRANSLATE(J3759,""EN"",""ES"")"),"Aerogramas")</f>
        <v>Aerogramas</v>
      </c>
      <c r="M3759" s="8" t="s">
        <v>65</v>
      </c>
      <c r="N3759" s="8"/>
    </row>
    <row r="3760" spans="1:14" ht="11.25" customHeight="1">
      <c r="A3760" s="5" t="s">
        <v>10870</v>
      </c>
      <c r="B3760" s="5" t="s">
        <v>10871</v>
      </c>
      <c r="C3760" s="5" t="s">
        <v>10918</v>
      </c>
      <c r="D3760" s="5" t="s">
        <v>10873</v>
      </c>
      <c r="E3760" s="5" t="s">
        <v>66</v>
      </c>
      <c r="F3760" s="5" t="s">
        <v>10874</v>
      </c>
      <c r="G3760" s="5" t="s">
        <v>152</v>
      </c>
      <c r="H3760" s="5" t="s">
        <v>10875</v>
      </c>
      <c r="I3760" s="5" t="s">
        <v>10919</v>
      </c>
      <c r="J3760" s="5" t="s">
        <v>10920</v>
      </c>
      <c r="K3760" s="7" t="str">
        <f ca="1">IFERROR(__xludf.DUMMYFUNCTION("GOOGLETRANSLATE(H3760,""EN"",""ES"")"),"PAPEL PARA ESCRIBIR, TARJETAS PARA CORRESPONDENCIA Y ANUNCIOS")</f>
        <v>PAPEL PARA ESCRIBIR, TARJETAS PARA CORRESPONDENCIA Y ANUNCIOS</v>
      </c>
      <c r="L3760" s="5" t="str">
        <f ca="1">IFERROR(__xludf.DUMMYFUNCTION("GOOGLETRANSLATE(J3760,""EN"",""ES"")"),"Postales")</f>
        <v>Postales</v>
      </c>
      <c r="M3760" s="8" t="s">
        <v>65</v>
      </c>
      <c r="N3760" s="8"/>
    </row>
    <row r="3761" spans="1:14" ht="11.25" customHeight="1">
      <c r="A3761" s="5" t="s">
        <v>10870</v>
      </c>
      <c r="B3761" s="5" t="s">
        <v>10871</v>
      </c>
      <c r="C3761" s="5" t="s">
        <v>10921</v>
      </c>
      <c r="D3761" s="5" t="s">
        <v>10873</v>
      </c>
      <c r="E3761" s="5" t="s">
        <v>66</v>
      </c>
      <c r="F3761" s="5" t="s">
        <v>10874</v>
      </c>
      <c r="G3761" s="5" t="s">
        <v>152</v>
      </c>
      <c r="H3761" s="5" t="s">
        <v>10875</v>
      </c>
      <c r="I3761" s="5" t="s">
        <v>10922</v>
      </c>
      <c r="J3761" s="5" t="s">
        <v>10923</v>
      </c>
      <c r="K3761" s="7" t="str">
        <f ca="1">IFERROR(__xludf.DUMMYFUNCTION("GOOGLETRANSLATE(H3761,""EN"",""ES"")"),"PAPEL PARA ESCRIBIR, TARJETAS PARA CORRESPONDENCIA Y ANUNCIOS")</f>
        <v>PAPEL PARA ESCRIBIR, TARJETAS PARA CORRESPONDENCIA Y ANUNCIOS</v>
      </c>
      <c r="L3761" s="5" t="str">
        <f ca="1">IFERROR(__xludf.DUMMYFUNCTION("GOOGLETRANSLATE(J3761,""EN"",""ES"")"),"Papel de escribir")</f>
        <v>Papel de escribir</v>
      </c>
      <c r="M3761" s="8" t="s">
        <v>65</v>
      </c>
      <c r="N3761" s="8"/>
    </row>
    <row r="3762" spans="1:14" ht="11.25" customHeight="1">
      <c r="A3762" s="5" t="s">
        <v>10870</v>
      </c>
      <c r="B3762" s="5" t="s">
        <v>10871</v>
      </c>
      <c r="C3762" s="5" t="s">
        <v>10924</v>
      </c>
      <c r="D3762" s="5" t="s">
        <v>10873</v>
      </c>
      <c r="E3762" s="5" t="s">
        <v>66</v>
      </c>
      <c r="F3762" s="5" t="s">
        <v>10874</v>
      </c>
      <c r="G3762" s="5" t="s">
        <v>152</v>
      </c>
      <c r="H3762" s="5" t="s">
        <v>10875</v>
      </c>
      <c r="I3762" s="5" t="s">
        <v>10925</v>
      </c>
      <c r="J3762" s="5" t="s">
        <v>10926</v>
      </c>
      <c r="K3762" s="7" t="str">
        <f ca="1">IFERROR(__xludf.DUMMYFUNCTION("GOOGLETRANSLATE(H3762,""EN"",""ES"")"),"PAPEL PARA ESCRIBIR, TARJETAS PARA CORRESPONDENCIA Y ANUNCIOS")</f>
        <v>PAPEL PARA ESCRIBIR, TARJETAS PARA CORRESPONDENCIA Y ANUNCIOS</v>
      </c>
      <c r="L3762" s="5" t="str">
        <f ca="1">IFERROR(__xludf.DUMMYFUNCTION("GOOGLETRANSLATE(J3762,""EN"",""ES"")"),"papel de imprenta")</f>
        <v>papel de imprenta</v>
      </c>
      <c r="M3762" s="8" t="s">
        <v>65</v>
      </c>
      <c r="N3762" s="8"/>
    </row>
    <row r="3763" spans="1:14" ht="11.25" customHeight="1">
      <c r="A3763" s="5" t="s">
        <v>10870</v>
      </c>
      <c r="B3763" s="5" t="s">
        <v>10871</v>
      </c>
      <c r="C3763" s="5" t="s">
        <v>10927</v>
      </c>
      <c r="D3763" s="5" t="s">
        <v>10873</v>
      </c>
      <c r="E3763" s="5" t="s">
        <v>66</v>
      </c>
      <c r="F3763" s="5" t="s">
        <v>10874</v>
      </c>
      <c r="G3763" s="5" t="s">
        <v>152</v>
      </c>
      <c r="H3763" s="5" t="s">
        <v>10875</v>
      </c>
      <c r="I3763" s="5" t="s">
        <v>10928</v>
      </c>
      <c r="J3763" s="5" t="s">
        <v>10929</v>
      </c>
      <c r="K3763" s="7" t="str">
        <f ca="1">IFERROR(__xludf.DUMMYFUNCTION("GOOGLETRANSLATE(H3763,""EN"",""ES"")"),"PAPEL PARA ESCRIBIR, TARJETAS PARA CORRESPONDENCIA Y ANUNCIOS")</f>
        <v>PAPEL PARA ESCRIBIR, TARJETAS PARA CORRESPONDENCIA Y ANUNCIOS</v>
      </c>
      <c r="L3763" s="5" t="str">
        <f ca="1">IFERROR(__xludf.DUMMYFUNCTION("GOOGLETRANSLATE(J3763,""EN"",""ES"")"),"Papel de calco")</f>
        <v>Papel de calco</v>
      </c>
      <c r="M3763" s="8" t="s">
        <v>65</v>
      </c>
      <c r="N3763" s="8"/>
    </row>
    <row r="3764" spans="1:14" ht="11.25" customHeight="1">
      <c r="A3764" s="5" t="s">
        <v>10870</v>
      </c>
      <c r="B3764" s="5" t="s">
        <v>10871</v>
      </c>
      <c r="C3764" s="5" t="s">
        <v>10930</v>
      </c>
      <c r="D3764" s="5" t="s">
        <v>10873</v>
      </c>
      <c r="E3764" s="5" t="s">
        <v>66</v>
      </c>
      <c r="F3764" s="5" t="s">
        <v>10874</v>
      </c>
      <c r="G3764" s="5" t="s">
        <v>152</v>
      </c>
      <c r="H3764" s="5" t="s">
        <v>10875</v>
      </c>
      <c r="I3764" s="5" t="s">
        <v>10931</v>
      </c>
      <c r="J3764" s="5" t="s">
        <v>10932</v>
      </c>
      <c r="K3764" s="7" t="str">
        <f ca="1">IFERROR(__xludf.DUMMYFUNCTION("GOOGLETRANSLATE(H3764,""EN"",""ES"")"),"PAPEL PARA ESCRIBIR, TARJETAS PARA CORRESPONDENCIA Y ANUNCIOS")</f>
        <v>PAPEL PARA ESCRIBIR, TARJETAS PARA CORRESPONDENCIA Y ANUNCIOS</v>
      </c>
      <c r="L3764" s="5" t="str">
        <f ca="1">IFERROR(__xludf.DUMMYFUNCTION("GOOGLETRANSLATE(J3764,""EN"",""ES"")"),"Papel carbón")</f>
        <v>Papel carbón</v>
      </c>
      <c r="M3764" s="8" t="s">
        <v>65</v>
      </c>
      <c r="N3764" s="8"/>
    </row>
    <row r="3765" spans="1:14" ht="11.25" customHeight="1">
      <c r="A3765" s="5" t="s">
        <v>10870</v>
      </c>
      <c r="B3765" s="5" t="s">
        <v>10871</v>
      </c>
      <c r="C3765" s="5" t="s">
        <v>10933</v>
      </c>
      <c r="D3765" s="5" t="s">
        <v>10873</v>
      </c>
      <c r="E3765" s="5" t="s">
        <v>66</v>
      </c>
      <c r="F3765" s="5" t="s">
        <v>10874</v>
      </c>
      <c r="G3765" s="5" t="s">
        <v>152</v>
      </c>
      <c r="H3765" s="5" t="s">
        <v>10875</v>
      </c>
      <c r="I3765" s="5" t="s">
        <v>10934</v>
      </c>
      <c r="J3765" s="5" t="s">
        <v>10935</v>
      </c>
      <c r="K3765" s="7" t="str">
        <f ca="1">IFERROR(__xludf.DUMMYFUNCTION("GOOGLETRANSLATE(H3765,""EN"",""ES"")"),"PAPEL PARA ESCRIBIR, TARJETAS PARA CORRESPONDENCIA Y ANUNCIOS")</f>
        <v>PAPEL PARA ESCRIBIR, TARJETAS PARA CORRESPONDENCIA Y ANUNCIOS</v>
      </c>
      <c r="L3765" s="5" t="str">
        <f ca="1">IFERROR(__xludf.DUMMYFUNCTION("GOOGLETRANSLATE(J3765,""EN"",""ES"")"),"papel origami")</f>
        <v>papel origami</v>
      </c>
      <c r="M3765" s="8" t="s">
        <v>65</v>
      </c>
      <c r="N3765" s="8"/>
    </row>
    <row r="3766" spans="1:14" ht="11.25" customHeight="1">
      <c r="A3766" s="5" t="s">
        <v>10870</v>
      </c>
      <c r="B3766" s="5" t="s">
        <v>10871</v>
      </c>
      <c r="C3766" s="5" t="s">
        <v>10936</v>
      </c>
      <c r="D3766" s="5" t="s">
        <v>10873</v>
      </c>
      <c r="E3766" s="5" t="s">
        <v>66</v>
      </c>
      <c r="F3766" s="5" t="s">
        <v>10874</v>
      </c>
      <c r="G3766" s="5" t="s">
        <v>152</v>
      </c>
      <c r="H3766" s="5" t="s">
        <v>10875</v>
      </c>
      <c r="I3766" s="5" t="s">
        <v>10937</v>
      </c>
      <c r="J3766" s="5" t="s">
        <v>10938</v>
      </c>
      <c r="K3766" s="7" t="str">
        <f ca="1">IFERROR(__xludf.DUMMYFUNCTION("GOOGLETRANSLATE(H3766,""EN"",""ES"")"),"PAPEL PARA ESCRIBIR, TARJETAS PARA CORRESPONDENCIA Y ANUNCIOS")</f>
        <v>PAPEL PARA ESCRIBIR, TARJETAS PARA CORRESPONDENCIA Y ANUNCIOS</v>
      </c>
      <c r="L3766" s="5" t="str">
        <f ca="1">IFERROR(__xludf.DUMMYFUNCTION("GOOGLETRANSLATE(J3766,""EN"",""ES"")"),"notas adhesivas")</f>
        <v>notas adhesivas</v>
      </c>
      <c r="M3766" s="8" t="s">
        <v>65</v>
      </c>
      <c r="N3766" s="8"/>
    </row>
    <row r="3767" spans="1:14" ht="11.25" customHeight="1">
      <c r="A3767" s="5" t="s">
        <v>10870</v>
      </c>
      <c r="B3767" s="5" t="s">
        <v>10939</v>
      </c>
      <c r="C3767" s="5" t="s">
        <v>10940</v>
      </c>
      <c r="D3767" s="5" t="s">
        <v>10873</v>
      </c>
      <c r="E3767" s="5" t="s">
        <v>66</v>
      </c>
      <c r="F3767" s="5" t="s">
        <v>10874</v>
      </c>
      <c r="G3767" s="5" t="s">
        <v>152</v>
      </c>
      <c r="H3767" s="5" t="s">
        <v>10941</v>
      </c>
      <c r="I3767" s="5" t="s">
        <v>10942</v>
      </c>
      <c r="J3767" s="5" t="s">
        <v>10943</v>
      </c>
      <c r="K3767" s="7" t="str">
        <f ca="1">IFERROR(__xludf.DUMMYFUNCTION("GOOGLETRANSLATE(H3767,""EN"",""ES"")"),"EQUIPO DE OFICINA")</f>
        <v>EQUIPO DE OFICINA</v>
      </c>
      <c r="L3767" s="5" t="str">
        <f ca="1">IFERROR(__xludf.DUMMYFUNCTION("GOOGLETRANSLATE(J3767,""EN"",""ES"")"),"Quitagrapas")</f>
        <v>Quitagrapas</v>
      </c>
      <c r="M3767" s="8" t="s">
        <v>65</v>
      </c>
      <c r="N3767" s="8"/>
    </row>
    <row r="3768" spans="1:14" ht="11.25" customHeight="1">
      <c r="A3768" s="5" t="s">
        <v>10870</v>
      </c>
      <c r="B3768" s="5" t="s">
        <v>10939</v>
      </c>
      <c r="C3768" s="5" t="s">
        <v>10944</v>
      </c>
      <c r="D3768" s="5" t="s">
        <v>10873</v>
      </c>
      <c r="E3768" s="5" t="s">
        <v>66</v>
      </c>
      <c r="F3768" s="5" t="s">
        <v>10874</v>
      </c>
      <c r="G3768" s="5" t="s">
        <v>152</v>
      </c>
      <c r="H3768" s="5" t="s">
        <v>10941</v>
      </c>
      <c r="I3768" s="5" t="s">
        <v>10945</v>
      </c>
      <c r="J3768" s="5" t="s">
        <v>10946</v>
      </c>
      <c r="K3768" s="7" t="str">
        <f ca="1">IFERROR(__xludf.DUMMYFUNCTION("GOOGLETRANSLATE(H3768,""EN"",""ES"")"),"EQUIPO DE OFICINA")</f>
        <v>EQUIPO DE OFICINA</v>
      </c>
      <c r="L3768" s="5" t="str">
        <f ca="1">IFERROR(__xludf.DUMMYFUNCTION("GOOGLETRANSLATE(J3768,""EN"",""ES"")"),"Sujetadores de letras")</f>
        <v>Sujetadores de letras</v>
      </c>
      <c r="M3768" s="8" t="s">
        <v>65</v>
      </c>
      <c r="N3768" s="8"/>
    </row>
    <row r="3769" spans="1:14" ht="11.25" customHeight="1">
      <c r="A3769" s="5" t="s">
        <v>10870</v>
      </c>
      <c r="B3769" s="5" t="s">
        <v>10939</v>
      </c>
      <c r="C3769" s="5" t="s">
        <v>10947</v>
      </c>
      <c r="D3769" s="5" t="s">
        <v>10873</v>
      </c>
      <c r="E3769" s="5" t="s">
        <v>66</v>
      </c>
      <c r="F3769" s="5" t="s">
        <v>10874</v>
      </c>
      <c r="G3769" s="5" t="s">
        <v>152</v>
      </c>
      <c r="H3769" s="5" t="s">
        <v>10941</v>
      </c>
      <c r="I3769" s="5" t="s">
        <v>10948</v>
      </c>
      <c r="J3769" s="5" t="s">
        <v>10949</v>
      </c>
      <c r="K3769" s="7" t="str">
        <f ca="1">IFERROR(__xludf.DUMMYFUNCTION("GOOGLETRANSLATE(H3769,""EN"",""ES"")"),"EQUIPO DE OFICINA")</f>
        <v>EQUIPO DE OFICINA</v>
      </c>
      <c r="L3769" s="5" t="str">
        <f ca="1">IFERROR(__xludf.DUMMYFUNCTION("GOOGLETRANSLATE(J3769,""EN"",""ES"")"),"sujetadores de papel")</f>
        <v>sujetadores de papel</v>
      </c>
      <c r="M3769" s="8" t="s">
        <v>65</v>
      </c>
      <c r="N3769" s="8"/>
    </row>
    <row r="3770" spans="1:14" ht="11.25" customHeight="1">
      <c r="A3770" s="5" t="s">
        <v>10870</v>
      </c>
      <c r="B3770" s="5" t="s">
        <v>10939</v>
      </c>
      <c r="C3770" s="5" t="s">
        <v>10950</v>
      </c>
      <c r="D3770" s="5" t="s">
        <v>10873</v>
      </c>
      <c r="E3770" s="5" t="s">
        <v>66</v>
      </c>
      <c r="F3770" s="5" t="s">
        <v>10874</v>
      </c>
      <c r="G3770" s="5" t="s">
        <v>152</v>
      </c>
      <c r="H3770" s="5" t="s">
        <v>10941</v>
      </c>
      <c r="I3770" s="5" t="s">
        <v>10951</v>
      </c>
      <c r="J3770" s="5" t="s">
        <v>10952</v>
      </c>
      <c r="K3770" s="7" t="str">
        <f ca="1">IFERROR(__xludf.DUMMYFUNCTION("GOOGLETRANSLATE(H3770,""EN"",""ES"")"),"EQUIPO DE OFICINA")</f>
        <v>EQUIPO DE OFICINA</v>
      </c>
      <c r="L3770" s="5" t="str">
        <f ca="1">IFERROR(__xludf.DUMMYFUNCTION("GOOGLETRANSLATE(J3770,""EN"",""ES"")"),"Soportes para taquigrafías")</f>
        <v>Soportes para taquigrafías</v>
      </c>
      <c r="M3770" s="8" t="s">
        <v>65</v>
      </c>
      <c r="N3770" s="8"/>
    </row>
    <row r="3771" spans="1:14" ht="11.25" customHeight="1">
      <c r="A3771" s="5" t="s">
        <v>10870</v>
      </c>
      <c r="B3771" s="5" t="s">
        <v>10939</v>
      </c>
      <c r="C3771" s="5" t="s">
        <v>10950</v>
      </c>
      <c r="D3771" s="5" t="s">
        <v>10873</v>
      </c>
      <c r="E3771" s="5" t="s">
        <v>66</v>
      </c>
      <c r="F3771" s="5" t="s">
        <v>10874</v>
      </c>
      <c r="G3771" s="5" t="s">
        <v>152</v>
      </c>
      <c r="H3771" s="5" t="s">
        <v>10941</v>
      </c>
      <c r="I3771" s="5" t="s">
        <v>10953</v>
      </c>
      <c r="J3771" s="5" t="s">
        <v>152</v>
      </c>
      <c r="K3771" s="7" t="str">
        <f ca="1">IFERROR(__xludf.DUMMYFUNCTION("GOOGLETRANSLATE(H3771,""EN"",""ES"")"),"EQUIPO DE OFICINA")</f>
        <v>EQUIPO DE OFICINA</v>
      </c>
      <c r="L3771" s="5" t="str">
        <f ca="1">IFERROR(__xludf.DUMMYFUNCTION("GOOGLETRANSLATE(J3771,""EN"",""ES"")"),"Soportes para tabletas de taquigrafía")</f>
        <v>Soportes para tabletas de taquigrafía</v>
      </c>
      <c r="M3771" s="8" t="s">
        <v>65</v>
      </c>
      <c r="N3771" s="8"/>
    </row>
    <row r="3772" spans="1:14" ht="11.25" customHeight="1">
      <c r="A3772" s="5" t="s">
        <v>10870</v>
      </c>
      <c r="B3772" s="5" t="s">
        <v>10939</v>
      </c>
      <c r="C3772" s="5" t="s">
        <v>10954</v>
      </c>
      <c r="D3772" s="5" t="s">
        <v>10873</v>
      </c>
      <c r="E3772" s="5" t="s">
        <v>66</v>
      </c>
      <c r="F3772" s="5" t="s">
        <v>10874</v>
      </c>
      <c r="G3772" s="5" t="s">
        <v>152</v>
      </c>
      <c r="H3772" s="5" t="s">
        <v>10941</v>
      </c>
      <c r="I3772" s="5" t="s">
        <v>10955</v>
      </c>
      <c r="J3772" s="5" t="s">
        <v>10956</v>
      </c>
      <c r="K3772" s="7" t="str">
        <f ca="1">IFERROR(__xludf.DUMMYFUNCTION("GOOGLETRANSLATE(H3772,""EN"",""ES"")"),"EQUIPO DE OFICINA")</f>
        <v>EQUIPO DE OFICINA</v>
      </c>
      <c r="L3772" s="5" t="str">
        <f ca="1">IFERROR(__xludf.DUMMYFUNCTION("GOOGLETRANSLATE(J3772,""EN"",""ES"")"),"Cajas")</f>
        <v>Cajas</v>
      </c>
      <c r="M3772" s="8" t="s">
        <v>65</v>
      </c>
      <c r="N3772" s="8"/>
    </row>
    <row r="3773" spans="1:14" ht="11.25" customHeight="1">
      <c r="A3773" s="5" t="s">
        <v>10870</v>
      </c>
      <c r="B3773" s="5" t="s">
        <v>10939</v>
      </c>
      <c r="C3773" s="5" t="s">
        <v>10957</v>
      </c>
      <c r="D3773" s="5" t="s">
        <v>10873</v>
      </c>
      <c r="E3773" s="5" t="s">
        <v>66</v>
      </c>
      <c r="F3773" s="5" t="s">
        <v>10874</v>
      </c>
      <c r="G3773" s="5" t="s">
        <v>152</v>
      </c>
      <c r="H3773" s="5" t="s">
        <v>10941</v>
      </c>
      <c r="I3773" s="5" t="s">
        <v>10958</v>
      </c>
      <c r="J3773" s="5" t="s">
        <v>10959</v>
      </c>
      <c r="K3773" s="7" t="str">
        <f ca="1">IFERROR(__xludf.DUMMYFUNCTION("GOOGLETRANSLATE(H3773,""EN"",""ES"")"),"EQUIPO DE OFICINA")</f>
        <v>EQUIPO DE OFICINA</v>
      </c>
      <c r="L3773" s="5" t="str">
        <f ca="1">IFERROR(__xludf.DUMMYFUNCTION("GOOGLETRANSLATE(J3773,""EN"",""ES"")"),"Cajas de archivo [equipo de oficina]")</f>
        <v>Cajas de archivo [equipo de oficina]</v>
      </c>
      <c r="M3773" s="8" t="s">
        <v>65</v>
      </c>
      <c r="N3773" s="8"/>
    </row>
    <row r="3774" spans="1:14" ht="11.25" customHeight="1">
      <c r="A3774" s="5" t="s">
        <v>10870</v>
      </c>
      <c r="B3774" s="5" t="s">
        <v>10939</v>
      </c>
      <c r="C3774" s="5" t="s">
        <v>10960</v>
      </c>
      <c r="D3774" s="5" t="s">
        <v>10873</v>
      </c>
      <c r="E3774" s="5" t="s">
        <v>66</v>
      </c>
      <c r="F3774" s="5" t="s">
        <v>10874</v>
      </c>
      <c r="G3774" s="5" t="s">
        <v>152</v>
      </c>
      <c r="H3774" s="5" t="s">
        <v>10941</v>
      </c>
      <c r="I3774" s="5" t="s">
        <v>10961</v>
      </c>
      <c r="J3774" s="5" t="s">
        <v>10962</v>
      </c>
      <c r="K3774" s="7" t="str">
        <f ca="1">IFERROR(__xludf.DUMMYFUNCTION("GOOGLETRANSLATE(H3774,""EN"",""ES"")"),"EQUIPO DE OFICINA")</f>
        <v>EQUIPO DE OFICINA</v>
      </c>
      <c r="L3774" s="5" t="str">
        <f ca="1">IFERROR(__xludf.DUMMYFUNCTION("GOOGLETRANSLATE(J3774,""EN"",""ES"")"),"grapadoras de oficina")</f>
        <v>grapadoras de oficina</v>
      </c>
      <c r="M3774" s="8" t="s">
        <v>65</v>
      </c>
      <c r="N3774" s="8"/>
    </row>
    <row r="3775" spans="1:14" ht="11.25" customHeight="1">
      <c r="A3775" s="5" t="s">
        <v>10870</v>
      </c>
      <c r="B3775" s="5" t="s">
        <v>10939</v>
      </c>
      <c r="C3775" s="5" t="s">
        <v>10960</v>
      </c>
      <c r="D3775" s="5" t="s">
        <v>10873</v>
      </c>
      <c r="E3775" s="5" t="s">
        <v>66</v>
      </c>
      <c r="F3775" s="5" t="s">
        <v>10874</v>
      </c>
      <c r="G3775" s="5" t="s">
        <v>152</v>
      </c>
      <c r="H3775" s="5" t="s">
        <v>10941</v>
      </c>
      <c r="I3775" s="5" t="s">
        <v>152</v>
      </c>
      <c r="J3775" s="5" t="s">
        <v>10963</v>
      </c>
      <c r="K3775" s="7" t="str">
        <f ca="1">IFERROR(__xludf.DUMMYFUNCTION("GOOGLETRANSLATE(H3775,""EN"",""ES"")"),"EQUIPO DE OFICINA")</f>
        <v>EQUIPO DE OFICINA</v>
      </c>
      <c r="L3775" s="5" t="str">
        <f ca="1">IFERROR(__xludf.DUMMYFUNCTION("GOOGLETRANSLATE(J3775,""EN"",""ES"")"),"N / A")</f>
        <v>N / A</v>
      </c>
      <c r="M3775" s="8" t="s">
        <v>65</v>
      </c>
      <c r="N3775" s="8"/>
    </row>
    <row r="3776" spans="1:14" ht="11.25" customHeight="1">
      <c r="A3776" s="5" t="s">
        <v>10870</v>
      </c>
      <c r="B3776" s="5" t="s">
        <v>10939</v>
      </c>
      <c r="C3776" s="5" t="s">
        <v>10964</v>
      </c>
      <c r="D3776" s="5" t="s">
        <v>10873</v>
      </c>
      <c r="E3776" s="5" t="s">
        <v>66</v>
      </c>
      <c r="F3776" s="5" t="s">
        <v>10874</v>
      </c>
      <c r="G3776" s="5" t="s">
        <v>152</v>
      </c>
      <c r="H3776" s="5" t="s">
        <v>10941</v>
      </c>
      <c r="I3776" s="5" t="s">
        <v>10965</v>
      </c>
      <c r="J3776" s="5" t="s">
        <v>10966</v>
      </c>
      <c r="K3776" s="7" t="str">
        <f ca="1">IFERROR(__xludf.DUMMYFUNCTION("GOOGLETRANSLATE(H3776,""EN"",""ES"")"),"EQUIPO DE OFICINA")</f>
        <v>EQUIPO DE OFICINA</v>
      </c>
      <c r="L3776" s="5" t="str">
        <f ca="1">IFERROR(__xludf.DUMMYFUNCTION("GOOGLETRANSLATE(J3776,""EN"",""ES"")"),"Sellos de oficina")</f>
        <v>Sellos de oficina</v>
      </c>
      <c r="M3776" s="8" t="s">
        <v>65</v>
      </c>
      <c r="N3776" s="8"/>
    </row>
    <row r="3777" spans="1:14" ht="11.25" customHeight="1">
      <c r="A3777" s="5" t="s">
        <v>10870</v>
      </c>
      <c r="B3777" s="5" t="s">
        <v>10939</v>
      </c>
      <c r="C3777" s="5" t="s">
        <v>10964</v>
      </c>
      <c r="D3777" s="5" t="s">
        <v>10873</v>
      </c>
      <c r="E3777" s="5" t="s">
        <v>66</v>
      </c>
      <c r="F3777" s="5" t="s">
        <v>10874</v>
      </c>
      <c r="G3777" s="5" t="s">
        <v>152</v>
      </c>
      <c r="H3777" s="5" t="s">
        <v>10941</v>
      </c>
      <c r="I3777" s="5" t="s">
        <v>152</v>
      </c>
      <c r="J3777" s="5" t="s">
        <v>10967</v>
      </c>
      <c r="K3777" s="7" t="str">
        <f ca="1">IFERROR(__xludf.DUMMYFUNCTION("GOOGLETRANSLATE(H3777,""EN"",""ES"")"),"EQUIPO DE OFICINA")</f>
        <v>EQUIPO DE OFICINA</v>
      </c>
      <c r="L3777" s="5" t="str">
        <f ca="1">IFERROR(__xludf.DUMMYFUNCTION("GOOGLETRANSLATE(J3777,""EN"",""ES"")"),"N / A")</f>
        <v>N / A</v>
      </c>
      <c r="M3777" s="8" t="s">
        <v>65</v>
      </c>
      <c r="N3777" s="8"/>
    </row>
    <row r="3778" spans="1:14" ht="11.25" customHeight="1">
      <c r="A3778" s="5" t="s">
        <v>10870</v>
      </c>
      <c r="B3778" s="5" t="s">
        <v>10939</v>
      </c>
      <c r="C3778" s="5" t="s">
        <v>10968</v>
      </c>
      <c r="D3778" s="5" t="s">
        <v>10873</v>
      </c>
      <c r="E3778" s="5" t="s">
        <v>66</v>
      </c>
      <c r="F3778" s="5" t="s">
        <v>10874</v>
      </c>
      <c r="G3778" s="5" t="s">
        <v>152</v>
      </c>
      <c r="H3778" s="5" t="s">
        <v>10941</v>
      </c>
      <c r="I3778" s="5" t="s">
        <v>10969</v>
      </c>
      <c r="J3778" s="5" t="s">
        <v>10970</v>
      </c>
      <c r="K3778" s="7" t="str">
        <f ca="1">IFERROR(__xludf.DUMMYFUNCTION("GOOGLETRANSLATE(H3778,""EN"",""ES"")"),"EQUIPO DE OFICINA")</f>
        <v>EQUIPO DE OFICINA</v>
      </c>
      <c r="L3778" s="5" t="str">
        <f ca="1">IFERROR(__xludf.DUMMYFUNCTION("GOOGLETRANSLATE(J3778,""EN"",""ES"")"),"Cajas de cambio [dinero]")</f>
        <v>Cajas de cambio [dinero]</v>
      </c>
      <c r="M3778" s="8" t="s">
        <v>65</v>
      </c>
      <c r="N3778" s="8"/>
    </row>
    <row r="3779" spans="1:14" ht="11.25" customHeight="1">
      <c r="A3779" s="5" t="s">
        <v>10870</v>
      </c>
      <c r="B3779" s="5" t="s">
        <v>10939</v>
      </c>
      <c r="C3779" s="5" t="s">
        <v>10971</v>
      </c>
      <c r="D3779" s="5" t="s">
        <v>10873</v>
      </c>
      <c r="E3779" s="5" t="s">
        <v>66</v>
      </c>
      <c r="F3779" s="5" t="s">
        <v>10874</v>
      </c>
      <c r="G3779" s="5" t="s">
        <v>152</v>
      </c>
      <c r="H3779" s="5" t="s">
        <v>10941</v>
      </c>
      <c r="I3779" s="5" t="s">
        <v>10972</v>
      </c>
      <c r="J3779" s="5" t="s">
        <v>10973</v>
      </c>
      <c r="K3779" s="7" t="str">
        <f ca="1">IFERROR(__xludf.DUMMYFUNCTION("GOOGLETRANSLATE(H3779,""EN"",""ES"")"),"EQUIPO DE OFICINA")</f>
        <v>EQUIPO DE OFICINA</v>
      </c>
      <c r="L3779" s="5" t="str">
        <f ca="1">IFERROR(__xludf.DUMMYFUNCTION("GOOGLETRANSLATE(J3779,""EN"",""ES"")"),"Pestañas de guía de índice de tarjetas")</f>
        <v>Pestañas de guía de índice de tarjetas</v>
      </c>
      <c r="M3779" s="8" t="s">
        <v>65</v>
      </c>
      <c r="N3779" s="8"/>
    </row>
    <row r="3780" spans="1:14" ht="11.25" customHeight="1">
      <c r="A3780" s="5" t="s">
        <v>10870</v>
      </c>
      <c r="B3780" s="5" t="s">
        <v>10939</v>
      </c>
      <c r="C3780" s="5" t="s">
        <v>10974</v>
      </c>
      <c r="D3780" s="5" t="s">
        <v>10873</v>
      </c>
      <c r="E3780" s="5" t="s">
        <v>66</v>
      </c>
      <c r="F3780" s="5" t="s">
        <v>10874</v>
      </c>
      <c r="G3780" s="5" t="s">
        <v>152</v>
      </c>
      <c r="H3780" s="5" t="s">
        <v>10941</v>
      </c>
      <c r="I3780" s="5" t="s">
        <v>10975</v>
      </c>
      <c r="J3780" s="5" t="s">
        <v>10976</v>
      </c>
      <c r="K3780" s="7" t="str">
        <f ca="1">IFERROR(__xludf.DUMMYFUNCTION("GOOGLETRANSLATE(H3780,""EN"",""ES"")"),"EQUIPO DE OFICINA")</f>
        <v>EQUIPO DE OFICINA</v>
      </c>
      <c r="L3780" s="5" t="str">
        <f ca="1">IFERROR(__xludf.DUMMYFUNCTION("GOOGLETRANSLATE(J3780,""EN"",""ES"")"),"Clasificadores de cambio [dinero]")</f>
        <v>Clasificadores de cambio [dinero]</v>
      </c>
      <c r="M3780" s="8" t="s">
        <v>65</v>
      </c>
      <c r="N3780" s="8"/>
    </row>
    <row r="3781" spans="1:14" ht="11.25" customHeight="1">
      <c r="A3781" s="5" t="s">
        <v>10870</v>
      </c>
      <c r="B3781" s="5" t="s">
        <v>10939</v>
      </c>
      <c r="C3781" s="5" t="s">
        <v>10974</v>
      </c>
      <c r="D3781" s="5" t="s">
        <v>10873</v>
      </c>
      <c r="E3781" s="5" t="s">
        <v>66</v>
      </c>
      <c r="F3781" s="5" t="s">
        <v>10874</v>
      </c>
      <c r="G3781" s="5" t="s">
        <v>152</v>
      </c>
      <c r="H3781" s="5" t="s">
        <v>10941</v>
      </c>
      <c r="I3781" s="5" t="s">
        <v>152</v>
      </c>
      <c r="J3781" s="5" t="s">
        <v>10977</v>
      </c>
      <c r="K3781" s="7" t="str">
        <f ca="1">IFERROR(__xludf.DUMMYFUNCTION("GOOGLETRANSLATE(H3781,""EN"",""ES"")"),"EQUIPO DE OFICINA")</f>
        <v>EQUIPO DE OFICINA</v>
      </c>
      <c r="L3781" s="5" t="str">
        <f ca="1">IFERROR(__xludf.DUMMYFUNCTION("GOOGLETRANSLATE(J3781,""EN"",""ES"")"),"N / A")</f>
        <v>N / A</v>
      </c>
      <c r="M3781" s="8" t="s">
        <v>65</v>
      </c>
      <c r="N3781" s="8"/>
    </row>
    <row r="3782" spans="1:14" ht="11.25" customHeight="1">
      <c r="A3782" s="5" t="s">
        <v>10870</v>
      </c>
      <c r="B3782" s="5" t="s">
        <v>10939</v>
      </c>
      <c r="C3782" s="5" t="s">
        <v>10978</v>
      </c>
      <c r="D3782" s="5" t="s">
        <v>10873</v>
      </c>
      <c r="E3782" s="5" t="s">
        <v>66</v>
      </c>
      <c r="F3782" s="5" t="s">
        <v>10874</v>
      </c>
      <c r="G3782" s="5" t="s">
        <v>152</v>
      </c>
      <c r="H3782" s="5" t="s">
        <v>10941</v>
      </c>
      <c r="I3782" s="5" t="s">
        <v>10979</v>
      </c>
      <c r="J3782" s="5" t="s">
        <v>10980</v>
      </c>
      <c r="K3782" s="7" t="str">
        <f ca="1">IFERROR(__xludf.DUMMYFUNCTION("GOOGLETRANSLATE(H3782,""EN"",""ES"")"),"EQUIPO DE OFICINA")</f>
        <v>EQUIPO DE OFICINA</v>
      </c>
      <c r="L3782" s="5" t="str">
        <f ca="1">IFERROR(__xludf.DUMMYFUNCTION("GOOGLETRANSLATE(J3782,""EN"",""ES"")"),"Dispositivos de datación y numeración para uso en oficina.")</f>
        <v>Dispositivos de datación y numeración para uso en oficina.</v>
      </c>
      <c r="M3782" s="8" t="s">
        <v>65</v>
      </c>
      <c r="N3782" s="8"/>
    </row>
    <row r="3783" spans="1:14" ht="11.25" customHeight="1">
      <c r="A3783" s="5" t="s">
        <v>10870</v>
      </c>
      <c r="B3783" s="5" t="s">
        <v>10939</v>
      </c>
      <c r="C3783" s="5" t="s">
        <v>10981</v>
      </c>
      <c r="D3783" s="5" t="s">
        <v>10873</v>
      </c>
      <c r="E3783" s="5" t="s">
        <v>66</v>
      </c>
      <c r="F3783" s="5" t="s">
        <v>10874</v>
      </c>
      <c r="G3783" s="5" t="s">
        <v>152</v>
      </c>
      <c r="H3783" s="5" t="s">
        <v>10941</v>
      </c>
      <c r="I3783" s="5" t="s">
        <v>10982</v>
      </c>
      <c r="J3783" s="5" t="s">
        <v>10983</v>
      </c>
      <c r="K3783" s="7" t="str">
        <f ca="1">IFERROR(__xludf.DUMMYFUNCTION("GOOGLETRANSLATE(H3783,""EN"",""ES"")"),"EQUIPO DE OFICINA")</f>
        <v>EQUIPO DE OFICINA</v>
      </c>
      <c r="L3783" s="5" t="str">
        <f ca="1">IFERROR(__xludf.DUMMYFUNCTION("GOOGLETRANSLATE(J3783,""EN"",""ES"")"),"Bandejas de correspondencia")</f>
        <v>Bandejas de correspondencia</v>
      </c>
      <c r="M3783" s="8" t="s">
        <v>65</v>
      </c>
      <c r="N3783" s="8"/>
    </row>
    <row r="3784" spans="1:14" ht="11.25" customHeight="1">
      <c r="A3784" s="5" t="s">
        <v>10870</v>
      </c>
      <c r="B3784" s="5" t="s">
        <v>10939</v>
      </c>
      <c r="C3784" s="5" t="s">
        <v>10984</v>
      </c>
      <c r="D3784" s="5" t="s">
        <v>10873</v>
      </c>
      <c r="E3784" s="5" t="s">
        <v>66</v>
      </c>
      <c r="F3784" s="5" t="s">
        <v>10874</v>
      </c>
      <c r="G3784" s="5" t="s">
        <v>152</v>
      </c>
      <c r="H3784" s="5" t="s">
        <v>10941</v>
      </c>
      <c r="I3784" s="5" t="s">
        <v>10985</v>
      </c>
      <c r="J3784" s="5" t="s">
        <v>10986</v>
      </c>
      <c r="K3784" s="7" t="str">
        <f ca="1">IFERROR(__xludf.DUMMYFUNCTION("GOOGLETRANSLATE(H3784,""EN"",""ES"")"),"EQUIPO DE OFICINA")</f>
        <v>EQUIPO DE OFICINA</v>
      </c>
      <c r="L3784" s="5" t="str">
        <f ca="1">IFERROR(__xludf.DUMMYFUNCTION("GOOGLETRANSLATE(J3784,""EN"",""ES"")"),"cuchillos de papel")</f>
        <v>cuchillos de papel</v>
      </c>
      <c r="M3784" s="8" t="s">
        <v>65</v>
      </c>
      <c r="N3784" s="8"/>
    </row>
    <row r="3785" spans="1:14" ht="11.25" customHeight="1">
      <c r="A3785" s="5" t="s">
        <v>10870</v>
      </c>
      <c r="B3785" s="5" t="s">
        <v>10939</v>
      </c>
      <c r="C3785" s="5" t="s">
        <v>10987</v>
      </c>
      <c r="D3785" s="5" t="s">
        <v>10873</v>
      </c>
      <c r="E3785" s="5" t="s">
        <v>66</v>
      </c>
      <c r="F3785" s="5" t="s">
        <v>10874</v>
      </c>
      <c r="G3785" s="5" t="s">
        <v>152</v>
      </c>
      <c r="H3785" s="5" t="s">
        <v>10941</v>
      </c>
      <c r="I3785" s="5" t="s">
        <v>10988</v>
      </c>
      <c r="J3785" s="5" t="s">
        <v>10989</v>
      </c>
      <c r="K3785" s="7" t="str">
        <f ca="1">IFERROR(__xludf.DUMMYFUNCTION("GOOGLETRANSLATE(H3785,""EN"",""ES"")"),"EQUIPO DE OFICINA")</f>
        <v>EQUIPO DE OFICINA</v>
      </c>
      <c r="L3785" s="5" t="str">
        <f ca="1">IFERROR(__xludf.DUMMYFUNCTION("GOOGLETRANSLATE(J3785,""EN"",""ES"")"),"Aparatos eléctricos para borrar [equipos de oficina]")</f>
        <v>Aparatos eléctricos para borrar [equipos de oficina]</v>
      </c>
      <c r="M3785" s="8" t="s">
        <v>65</v>
      </c>
      <c r="N3785" s="8"/>
    </row>
    <row r="3786" spans="1:14" ht="11.25" customHeight="1">
      <c r="A3786" s="5" t="s">
        <v>10870</v>
      </c>
      <c r="B3786" s="5" t="s">
        <v>10939</v>
      </c>
      <c r="C3786" s="5" t="s">
        <v>10990</v>
      </c>
      <c r="D3786" s="5" t="s">
        <v>10873</v>
      </c>
      <c r="E3786" s="5" t="s">
        <v>66</v>
      </c>
      <c r="F3786" s="5" t="s">
        <v>10874</v>
      </c>
      <c r="G3786" s="5" t="s">
        <v>152</v>
      </c>
      <c r="H3786" s="5" t="s">
        <v>10941</v>
      </c>
      <c r="I3786" s="5" t="s">
        <v>10991</v>
      </c>
      <c r="J3786" s="5" t="s">
        <v>10992</v>
      </c>
      <c r="K3786" s="7" t="str">
        <f ca="1">IFERROR(__xludf.DUMMYFUNCTION("GOOGLETRANSLATE(H3786,""EN"",""ES"")"),"EQUIPO DE OFICINA")</f>
        <v>EQUIPO DE OFICINA</v>
      </c>
      <c r="L3786" s="5" t="str">
        <f ca="1">IFERROR(__xludf.DUMMYFUNCTION("GOOGLETRANSLATE(J3786,""EN"",""ES"")"),"Archivadores de tarjetas [móviles]")</f>
        <v>Archivadores de tarjetas [móviles]</v>
      </c>
      <c r="M3786" s="8" t="s">
        <v>65</v>
      </c>
      <c r="N3786" s="8"/>
    </row>
    <row r="3787" spans="1:14" ht="11.25" customHeight="1">
      <c r="A3787" s="5" t="s">
        <v>10870</v>
      </c>
      <c r="B3787" s="5" t="s">
        <v>10939</v>
      </c>
      <c r="C3787" s="5" t="s">
        <v>10993</v>
      </c>
      <c r="D3787" s="5" t="s">
        <v>10873</v>
      </c>
      <c r="E3787" s="5" t="s">
        <v>66</v>
      </c>
      <c r="F3787" s="5" t="s">
        <v>10874</v>
      </c>
      <c r="G3787" s="5" t="s">
        <v>152</v>
      </c>
      <c r="H3787" s="5" t="s">
        <v>10941</v>
      </c>
      <c r="I3787" s="5" t="s">
        <v>10994</v>
      </c>
      <c r="J3787" s="5" t="s">
        <v>10995</v>
      </c>
      <c r="K3787" s="7" t="str">
        <f ca="1">IFERROR(__xludf.DUMMYFUNCTION("GOOGLETRANSLATE(H3787,""EN"",""ES"")"),"EQUIPO DE OFICINA")</f>
        <v>EQUIPO DE OFICINA</v>
      </c>
      <c r="L3787" s="5" t="str">
        <f ca="1">IFERROR(__xludf.DUMMYFUNCTION("GOOGLETRANSLATE(J3787,""EN"",""ES"")"),"Amortiguadores [equipos de oficina]")</f>
        <v>Amortiguadores [equipos de oficina]</v>
      </c>
      <c r="M3787" s="8" t="s">
        <v>65</v>
      </c>
      <c r="N3787" s="8"/>
    </row>
    <row r="3788" spans="1:14" ht="11.25" customHeight="1">
      <c r="A3788" s="5" t="s">
        <v>10870</v>
      </c>
      <c r="B3788" s="5" t="s">
        <v>10939</v>
      </c>
      <c r="C3788" s="5" t="s">
        <v>10996</v>
      </c>
      <c r="D3788" s="5" t="s">
        <v>10873</v>
      </c>
      <c r="E3788" s="5" t="s">
        <v>66</v>
      </c>
      <c r="F3788" s="5" t="s">
        <v>10874</v>
      </c>
      <c r="G3788" s="5" t="s">
        <v>152</v>
      </c>
      <c r="H3788" s="5" t="s">
        <v>10941</v>
      </c>
      <c r="I3788" s="5" t="s">
        <v>10997</v>
      </c>
      <c r="J3788" s="5" t="s">
        <v>10998</v>
      </c>
      <c r="K3788" s="7" t="str">
        <f ca="1">IFERROR(__xludf.DUMMYFUNCTION("GOOGLETRANSLATE(H3788,""EN"",""ES"")"),"EQUIPO DE OFICINA")</f>
        <v>EQUIPO DE OFICINA</v>
      </c>
      <c r="L3788" s="5" t="str">
        <f ca="1">IFERROR(__xludf.DUMMYFUNCTION("GOOGLETRANSLATE(J3788,""EN"",""ES"")"),"Sellos de numeración")</f>
        <v>Sellos de numeración</v>
      </c>
      <c r="M3788" s="8" t="s">
        <v>65</v>
      </c>
      <c r="N3788" s="8"/>
    </row>
    <row r="3789" spans="1:14" ht="11.25" customHeight="1">
      <c r="A3789" s="5" t="s">
        <v>10870</v>
      </c>
      <c r="B3789" s="5" t="s">
        <v>10939</v>
      </c>
      <c r="C3789" s="5" t="s">
        <v>10999</v>
      </c>
      <c r="D3789" s="5" t="s">
        <v>10873</v>
      </c>
      <c r="E3789" s="5" t="s">
        <v>66</v>
      </c>
      <c r="F3789" s="5" t="s">
        <v>10874</v>
      </c>
      <c r="G3789" s="5" t="s">
        <v>152</v>
      </c>
      <c r="H3789" s="5" t="s">
        <v>10941</v>
      </c>
      <c r="I3789" s="5" t="s">
        <v>11000</v>
      </c>
      <c r="J3789" s="5" t="s">
        <v>11001</v>
      </c>
      <c r="K3789" s="7" t="str">
        <f ca="1">IFERROR(__xludf.DUMMYFUNCTION("GOOGLETRANSLATE(H3789,""EN"",""ES"")"),"EQUIPO DE OFICINA")</f>
        <v>EQUIPO DE OFICINA</v>
      </c>
      <c r="L3789" s="5" t="str">
        <f ca="1">IFERROR(__xludf.DUMMYFUNCTION("GOOGLETRANSLATE(J3789,""EN"",""ES"")"),"Placas de monedas")</f>
        <v>Placas de monedas</v>
      </c>
      <c r="M3789" s="8" t="s">
        <v>65</v>
      </c>
      <c r="N3789" s="8"/>
    </row>
    <row r="3790" spans="1:14" ht="11.25" customHeight="1">
      <c r="A3790" s="5" t="s">
        <v>10870</v>
      </c>
      <c r="B3790" s="5" t="s">
        <v>10939</v>
      </c>
      <c r="C3790" s="5" t="s">
        <v>11002</v>
      </c>
      <c r="D3790" s="5" t="s">
        <v>10873</v>
      </c>
      <c r="E3790" s="5" t="s">
        <v>66</v>
      </c>
      <c r="F3790" s="5" t="s">
        <v>10874</v>
      </c>
      <c r="G3790" s="5" t="s">
        <v>152</v>
      </c>
      <c r="H3790" s="5" t="s">
        <v>10941</v>
      </c>
      <c r="I3790" s="5" t="s">
        <v>11003</v>
      </c>
      <c r="J3790" s="5" t="s">
        <v>11004</v>
      </c>
      <c r="K3790" s="7" t="str">
        <f ca="1">IFERROR(__xludf.DUMMYFUNCTION("GOOGLETRANSLATE(H3790,""EN"",""ES"")"),"EQUIPO DE OFICINA")</f>
        <v>EQUIPO DE OFICINA</v>
      </c>
      <c r="L3790" s="5" t="str">
        <f ca="1">IFERROR(__xludf.DUMMYFUNCTION("GOOGLETRANSLATE(J3790,""EN"",""ES"")"),"Perforadoras de papel [para uso de oficina]")</f>
        <v>Perforadoras de papel [para uso de oficina]</v>
      </c>
      <c r="M3790" s="8" t="s">
        <v>65</v>
      </c>
      <c r="N3790" s="8"/>
    </row>
    <row r="3791" spans="1:14" ht="11.25" customHeight="1">
      <c r="A3791" s="5" t="s">
        <v>10870</v>
      </c>
      <c r="B3791" s="5" t="s">
        <v>10939</v>
      </c>
      <c r="C3791" s="5" t="s">
        <v>11005</v>
      </c>
      <c r="D3791" s="5" t="s">
        <v>10873</v>
      </c>
      <c r="E3791" s="5" t="s">
        <v>66</v>
      </c>
      <c r="F3791" s="5" t="s">
        <v>10874</v>
      </c>
      <c r="G3791" s="5" t="s">
        <v>152</v>
      </c>
      <c r="H3791" s="5" t="s">
        <v>10941</v>
      </c>
      <c r="I3791" s="5" t="s">
        <v>11006</v>
      </c>
      <c r="J3791" s="5" t="s">
        <v>11007</v>
      </c>
      <c r="K3791" s="7" t="str">
        <f ca="1">IFERROR(__xludf.DUMMYFUNCTION("GOOGLETRANSLATE(H3791,""EN"",""ES"")"),"EQUIPO DE OFICINA")</f>
        <v>EQUIPO DE OFICINA</v>
      </c>
      <c r="L3791" s="5" t="str">
        <f ca="1">IFERROR(__xludf.DUMMYFUNCTION("GOOGLETRANSLATE(J3791,""EN"",""ES"")"),"Golpes de oficina")</f>
        <v>Golpes de oficina</v>
      </c>
      <c r="M3791" s="8" t="s">
        <v>65</v>
      </c>
      <c r="N3791" s="8"/>
    </row>
    <row r="3792" spans="1:14" ht="11.25" customHeight="1">
      <c r="A3792" s="5" t="s">
        <v>10870</v>
      </c>
      <c r="B3792" s="5" t="s">
        <v>10939</v>
      </c>
      <c r="C3792" s="5" t="s">
        <v>11005</v>
      </c>
      <c r="D3792" s="5" t="s">
        <v>10873</v>
      </c>
      <c r="E3792" s="5" t="s">
        <v>66</v>
      </c>
      <c r="F3792" s="5" t="s">
        <v>10874</v>
      </c>
      <c r="G3792" s="5" t="s">
        <v>152</v>
      </c>
      <c r="H3792" s="5" t="s">
        <v>10941</v>
      </c>
      <c r="I3792" s="5" t="s">
        <v>152</v>
      </c>
      <c r="J3792" s="5" t="s">
        <v>11008</v>
      </c>
      <c r="K3792" s="7" t="str">
        <f ca="1">IFERROR(__xludf.DUMMYFUNCTION("GOOGLETRANSLATE(H3792,""EN"",""ES"")"),"EQUIPO DE OFICINA")</f>
        <v>EQUIPO DE OFICINA</v>
      </c>
      <c r="L3792" s="5" t="str">
        <f ca="1">IFERROR(__xludf.DUMMYFUNCTION("GOOGLETRANSLATE(J3792,""EN"",""ES"")"),"N / A")</f>
        <v>N / A</v>
      </c>
      <c r="M3792" s="8" t="s">
        <v>65</v>
      </c>
      <c r="N3792" s="8"/>
    </row>
    <row r="3793" spans="1:14" ht="11.25" customHeight="1">
      <c r="A3793" s="5" t="s">
        <v>10870</v>
      </c>
      <c r="B3793" s="5" t="s">
        <v>10939</v>
      </c>
      <c r="C3793" s="5" t="s">
        <v>11009</v>
      </c>
      <c r="D3793" s="5" t="s">
        <v>10873</v>
      </c>
      <c r="E3793" s="5" t="s">
        <v>66</v>
      </c>
      <c r="F3793" s="5" t="s">
        <v>10874</v>
      </c>
      <c r="G3793" s="5" t="s">
        <v>152</v>
      </c>
      <c r="H3793" s="5" t="s">
        <v>10941</v>
      </c>
      <c r="I3793" s="5" t="s">
        <v>11010</v>
      </c>
      <c r="J3793" s="5" t="s">
        <v>11011</v>
      </c>
      <c r="K3793" s="7" t="str">
        <f ca="1">IFERROR(__xludf.DUMMYFUNCTION("GOOGLETRANSLATE(H3793,""EN"",""ES"")"),"EQUIPO DE OFICINA")</f>
        <v>EQUIPO DE OFICINA</v>
      </c>
      <c r="L3793" s="5" t="str">
        <f ca="1">IFERROR(__xludf.DUMMYFUNCTION("GOOGLETRANSLATE(J3793,""EN"",""ES"")"),"Abrazaderas de resorte para sujetar papeles.")</f>
        <v>Abrazaderas de resorte para sujetar papeles.</v>
      </c>
      <c r="M3793" s="8" t="s">
        <v>65</v>
      </c>
      <c r="N3793" s="8"/>
    </row>
    <row r="3794" spans="1:14" ht="11.25" customHeight="1">
      <c r="A3794" s="5" t="s">
        <v>10870</v>
      </c>
      <c r="B3794" s="5" t="s">
        <v>10939</v>
      </c>
      <c r="C3794" s="5" t="s">
        <v>11012</v>
      </c>
      <c r="D3794" s="5" t="s">
        <v>10873</v>
      </c>
      <c r="E3794" s="5" t="s">
        <v>66</v>
      </c>
      <c r="F3794" s="5" t="s">
        <v>10874</v>
      </c>
      <c r="G3794" s="5" t="s">
        <v>152</v>
      </c>
      <c r="H3794" s="5" t="s">
        <v>10941</v>
      </c>
      <c r="I3794" s="5" t="s">
        <v>11013</v>
      </c>
      <c r="J3794" s="5" t="s">
        <v>11014</v>
      </c>
      <c r="K3794" s="7" t="str">
        <f ca="1">IFERROR(__xludf.DUMMYFUNCTION("GOOGLETRANSLATE(H3794,""EN"",""ES"")"),"EQUIPO DE OFICINA")</f>
        <v>EQUIPO DE OFICINA</v>
      </c>
      <c r="L3794" s="5" t="str">
        <f ca="1">IFERROR(__xludf.DUMMYFUNCTION("GOOGLETRANSLATE(J3794,""EN"",""ES"")"),"Archivos de husillo")</f>
        <v>Archivos de husillo</v>
      </c>
      <c r="M3794" s="8" t="s">
        <v>65</v>
      </c>
      <c r="N3794" s="8"/>
    </row>
    <row r="3795" spans="1:14" ht="11.25" customHeight="1">
      <c r="A3795" s="5" t="s">
        <v>10870</v>
      </c>
      <c r="B3795" s="5" t="s">
        <v>10939</v>
      </c>
      <c r="C3795" s="5" t="s">
        <v>11015</v>
      </c>
      <c r="D3795" s="5" t="s">
        <v>10873</v>
      </c>
      <c r="E3795" s="5" t="s">
        <v>66</v>
      </c>
      <c r="F3795" s="5" t="s">
        <v>10874</v>
      </c>
      <c r="G3795" s="5" t="s">
        <v>152</v>
      </c>
      <c r="H3795" s="5" t="s">
        <v>10941</v>
      </c>
      <c r="I3795" s="5" t="s">
        <v>11016</v>
      </c>
      <c r="J3795" s="5" t="s">
        <v>11017</v>
      </c>
      <c r="K3795" s="7" t="str">
        <f ca="1">IFERROR(__xludf.DUMMYFUNCTION("GOOGLETRANSLATE(H3795,""EN"",""ES"")"),"EQUIPO DE OFICINA")</f>
        <v>EQUIPO DE OFICINA</v>
      </c>
      <c r="L3795" s="5" t="str">
        <f ca="1">IFERROR(__xludf.DUMMYFUNCTION("GOOGLETRANSLATE(J3795,""EN"",""ES"")"),"Placas de fichas")</f>
        <v>Placas de fichas</v>
      </c>
      <c r="M3795" s="8" t="s">
        <v>65</v>
      </c>
      <c r="N3795" s="8"/>
    </row>
    <row r="3796" spans="1:14" ht="11.25" customHeight="1">
      <c r="A3796" s="5" t="s">
        <v>10870</v>
      </c>
      <c r="B3796" s="5" t="s">
        <v>10939</v>
      </c>
      <c r="C3796" s="5" t="s">
        <v>11018</v>
      </c>
      <c r="D3796" s="5" t="s">
        <v>10873</v>
      </c>
      <c r="E3796" s="5" t="s">
        <v>66</v>
      </c>
      <c r="F3796" s="5" t="s">
        <v>10874</v>
      </c>
      <c r="G3796" s="5" t="s">
        <v>152</v>
      </c>
      <c r="H3796" s="5" t="s">
        <v>10941</v>
      </c>
      <c r="I3796" s="5" t="s">
        <v>11019</v>
      </c>
      <c r="J3796" s="5" t="s">
        <v>11020</v>
      </c>
      <c r="K3796" s="7" t="str">
        <f ca="1">IFERROR(__xludf.DUMMYFUNCTION("GOOGLETRANSLATE(H3796,""EN"",""ES"")"),"EQUIPO DE OFICINA")</f>
        <v>EQUIPO DE OFICINA</v>
      </c>
      <c r="L3796" s="5" t="str">
        <f ca="1">IFERROR(__xludf.DUMMYFUNCTION("GOOGLETRANSLATE(J3796,""EN"",""ES"")"),"Pisapapeles")</f>
        <v>Pisapapeles</v>
      </c>
      <c r="M3796" s="8" t="s">
        <v>65</v>
      </c>
      <c r="N3796" s="8"/>
    </row>
    <row r="3797" spans="1:14" ht="11.25" customHeight="1">
      <c r="A3797" s="5" t="s">
        <v>10870</v>
      </c>
      <c r="B3797" s="5" t="s">
        <v>10939</v>
      </c>
      <c r="C3797" s="5" t="s">
        <v>11021</v>
      </c>
      <c r="D3797" s="5" t="s">
        <v>10873</v>
      </c>
      <c r="E3797" s="5" t="s">
        <v>66</v>
      </c>
      <c r="F3797" s="5" t="s">
        <v>10874</v>
      </c>
      <c r="G3797" s="5" t="s">
        <v>152</v>
      </c>
      <c r="H3797" s="5" t="s">
        <v>10941</v>
      </c>
      <c r="I3797" s="5" t="s">
        <v>11022</v>
      </c>
      <c r="J3797" s="5" t="s">
        <v>11023</v>
      </c>
      <c r="K3797" s="7" t="str">
        <f ca="1">IFERROR(__xludf.DUMMYFUNCTION("GOOGLETRANSLATE(H3797,""EN"",""ES"")"),"EQUIPO DE OFICINA")</f>
        <v>EQUIPO DE OFICINA</v>
      </c>
      <c r="L3797" s="5" t="str">
        <f ca="1">IFERROR(__xludf.DUMMYFUNCTION("GOOGLETRANSLATE(J3797,""EN"",""ES"")"),"Plantillas [papelería]")</f>
        <v>Plantillas [papelería]</v>
      </c>
      <c r="M3797" s="8" t="s">
        <v>65</v>
      </c>
      <c r="N3797" s="8"/>
    </row>
    <row r="3798" spans="1:14" ht="11.25" customHeight="1">
      <c r="A3798" s="5" t="s">
        <v>10870</v>
      </c>
      <c r="B3798" s="5" t="s">
        <v>10939</v>
      </c>
      <c r="C3798" s="5" t="s">
        <v>11024</v>
      </c>
      <c r="D3798" s="5" t="s">
        <v>10873</v>
      </c>
      <c r="E3798" s="5" t="s">
        <v>66</v>
      </c>
      <c r="F3798" s="5" t="s">
        <v>10874</v>
      </c>
      <c r="G3798" s="5" t="s">
        <v>152</v>
      </c>
      <c r="H3798" s="5" t="s">
        <v>10941</v>
      </c>
      <c r="I3798" s="5" t="s">
        <v>11025</v>
      </c>
      <c r="J3798" s="5" t="s">
        <v>11026</v>
      </c>
      <c r="K3798" s="7" t="str">
        <f ca="1">IFERROR(__xludf.DUMMYFUNCTION("GOOGLETRANSLATE(H3798,""EN"",""ES"")"),"EQUIPO DE OFICINA")</f>
        <v>EQUIPO DE OFICINA</v>
      </c>
      <c r="L3798" s="5" t="str">
        <f ca="1">IFERROR(__xludf.DUMMYFUNCTION("GOOGLETRANSLATE(J3798,""EN"",""ES"")"),"Huchas para contar el cambio.")</f>
        <v>Huchas para contar el cambio.</v>
      </c>
      <c r="M3798" s="8" t="s">
        <v>65</v>
      </c>
      <c r="N3798" s="8"/>
    </row>
    <row r="3799" spans="1:14" ht="11.25" customHeight="1">
      <c r="A3799" s="5" t="s">
        <v>10870</v>
      </c>
      <c r="B3799" s="5" t="s">
        <v>10939</v>
      </c>
      <c r="C3799" s="5" t="s">
        <v>11027</v>
      </c>
      <c r="D3799" s="5" t="s">
        <v>10873</v>
      </c>
      <c r="E3799" s="5" t="s">
        <v>66</v>
      </c>
      <c r="F3799" s="5" t="s">
        <v>10874</v>
      </c>
      <c r="G3799" s="5" t="s">
        <v>152</v>
      </c>
      <c r="H3799" s="5" t="s">
        <v>10941</v>
      </c>
      <c r="I3799" s="5" t="s">
        <v>11028</v>
      </c>
      <c r="J3799" s="5" t="s">
        <v>11029</v>
      </c>
      <c r="K3799" s="7" t="str">
        <f ca="1">IFERROR(__xludf.DUMMYFUNCTION("GOOGLETRANSLATE(H3799,""EN"",""ES"")"),"EQUIPO DE OFICINA")</f>
        <v>EQUIPO DE OFICINA</v>
      </c>
      <c r="L3799" s="5" t="str">
        <f ca="1">IFERROR(__xludf.DUMMYFUNCTION("GOOGLETRANSLATE(J3799,""EN"",""ES"")"),"Dispensadores de cinta adhesiva")</f>
        <v>Dispensadores de cinta adhesiva</v>
      </c>
      <c r="M3799" s="8" t="s">
        <v>65</v>
      </c>
      <c r="N3799" s="8"/>
    </row>
    <row r="3800" spans="1:14" ht="11.25" customHeight="1">
      <c r="A3800" s="5" t="s">
        <v>10870</v>
      </c>
      <c r="B3800" s="5" t="s">
        <v>10939</v>
      </c>
      <c r="C3800" s="5" t="s">
        <v>11030</v>
      </c>
      <c r="D3800" s="5" t="s">
        <v>10873</v>
      </c>
      <c r="E3800" s="5" t="s">
        <v>66</v>
      </c>
      <c r="F3800" s="5" t="s">
        <v>10874</v>
      </c>
      <c r="G3800" s="5" t="s">
        <v>152</v>
      </c>
      <c r="H3800" s="5" t="s">
        <v>10941</v>
      </c>
      <c r="I3800" s="5" t="s">
        <v>11031</v>
      </c>
      <c r="J3800" s="5" t="s">
        <v>11032</v>
      </c>
      <c r="K3800" s="7" t="str">
        <f ca="1">IFERROR(__xludf.DUMMYFUNCTION("GOOGLETRANSLATE(H3800,""EN"",""ES"")"),"EQUIPO DE OFICINA")</f>
        <v>EQUIPO DE OFICINA</v>
      </c>
      <c r="L3800" s="5" t="str">
        <f ca="1">IFERROR(__xludf.DUMMYFUNCTION("GOOGLETRANSLATE(J3800,""EN"",""ES"")"),"Carpetas para archivos colgantes.")</f>
        <v>Carpetas para archivos colgantes.</v>
      </c>
      <c r="M3800" s="8" t="s">
        <v>65</v>
      </c>
      <c r="N3800" s="8"/>
    </row>
    <row r="3801" spans="1:14" ht="11.25" customHeight="1">
      <c r="A3801" s="5" t="s">
        <v>10870</v>
      </c>
      <c r="B3801" s="5" t="s">
        <v>10939</v>
      </c>
      <c r="C3801" s="5" t="s">
        <v>11033</v>
      </c>
      <c r="D3801" s="5" t="s">
        <v>10873</v>
      </c>
      <c r="E3801" s="5" t="s">
        <v>66</v>
      </c>
      <c r="F3801" s="5" t="s">
        <v>10874</v>
      </c>
      <c r="G3801" s="5" t="s">
        <v>152</v>
      </c>
      <c r="H3801" s="5" t="s">
        <v>10941</v>
      </c>
      <c r="I3801" s="5" t="s">
        <v>11034</v>
      </c>
      <c r="J3801" s="5" t="s">
        <v>11035</v>
      </c>
      <c r="K3801" s="7" t="str">
        <f ca="1">IFERROR(__xludf.DUMMYFUNCTION("GOOGLETRANSLATE(H3801,""EN"",""ES"")"),"EQUIPO DE OFICINA")</f>
        <v>EQUIPO DE OFICINA</v>
      </c>
      <c r="L3801" s="5" t="str">
        <f ca="1">IFERROR(__xludf.DUMMYFUNCTION("GOOGLETRANSLATE(J3801,""EN"",""ES"")"),"Bandas elásticas para uso en oficina.")</f>
        <v>Bandas elásticas para uso en oficina.</v>
      </c>
      <c r="M3801" s="8" t="s">
        <v>65</v>
      </c>
      <c r="N3801" s="8"/>
    </row>
    <row r="3802" spans="1:14" ht="11.25" customHeight="1">
      <c r="A3802" s="5" t="s">
        <v>10870</v>
      </c>
      <c r="B3802" s="5" t="s">
        <v>10939</v>
      </c>
      <c r="C3802" s="5" t="s">
        <v>11036</v>
      </c>
      <c r="D3802" s="5" t="s">
        <v>10873</v>
      </c>
      <c r="E3802" s="5" t="s">
        <v>66</v>
      </c>
      <c r="F3802" s="5" t="s">
        <v>10874</v>
      </c>
      <c r="G3802" s="5" t="s">
        <v>152</v>
      </c>
      <c r="H3802" s="5" t="s">
        <v>10941</v>
      </c>
      <c r="I3802" s="5" t="s">
        <v>11037</v>
      </c>
      <c r="J3802" s="5" t="s">
        <v>11038</v>
      </c>
      <c r="K3802" s="7" t="str">
        <f ca="1">IFERROR(__xludf.DUMMYFUNCTION("GOOGLETRANSLATE(H3802,""EN"",""ES"")"),"EQUIPO DE OFICINA")</f>
        <v>EQUIPO DE OFICINA</v>
      </c>
      <c r="L3802" s="5" t="str">
        <f ca="1">IFERROR(__xludf.DUMMYFUNCTION("GOOGLETRANSLATE(J3802,""EN"",""ES"")"),"clips de papel")</f>
        <v>clips de papel</v>
      </c>
      <c r="M3802" s="8" t="s">
        <v>65</v>
      </c>
      <c r="N3802" s="8"/>
    </row>
    <row r="3803" spans="1:14" ht="11.25" customHeight="1">
      <c r="A3803" s="5" t="s">
        <v>10870</v>
      </c>
      <c r="B3803" s="5" t="s">
        <v>10939</v>
      </c>
      <c r="C3803" s="5" t="s">
        <v>11039</v>
      </c>
      <c r="D3803" s="5" t="s">
        <v>10873</v>
      </c>
      <c r="E3803" s="5" t="s">
        <v>66</v>
      </c>
      <c r="F3803" s="5" t="s">
        <v>10874</v>
      </c>
      <c r="G3803" s="5" t="s">
        <v>152</v>
      </c>
      <c r="H3803" s="5" t="s">
        <v>10941</v>
      </c>
      <c r="I3803" s="5" t="s">
        <v>11040</v>
      </c>
      <c r="J3803" s="5" t="s">
        <v>11041</v>
      </c>
      <c r="K3803" s="7" t="str">
        <f ca="1">IFERROR(__xludf.DUMMYFUNCTION("GOOGLETRANSLATE(H3803,""EN"",""ES"")"),"EQUIPO DE OFICINA")</f>
        <v>EQUIPO DE OFICINA</v>
      </c>
      <c r="L3803" s="5" t="str">
        <f ca="1">IFERROR(__xludf.DUMMYFUNCTION("GOOGLETRANSLATE(J3803,""EN"",""ES"")"),"Clips para billetes")</f>
        <v>Clips para billetes</v>
      </c>
      <c r="M3803" s="8" t="s">
        <v>65</v>
      </c>
      <c r="N3803" s="8"/>
    </row>
    <row r="3804" spans="1:14" ht="11.25" customHeight="1">
      <c r="A3804" s="5" t="s">
        <v>10870</v>
      </c>
      <c r="B3804" s="5" t="s">
        <v>10939</v>
      </c>
      <c r="C3804" s="5" t="s">
        <v>11039</v>
      </c>
      <c r="D3804" s="5" t="s">
        <v>10873</v>
      </c>
      <c r="E3804" s="5" t="s">
        <v>66</v>
      </c>
      <c r="F3804" s="5" t="s">
        <v>10874</v>
      </c>
      <c r="G3804" s="5" t="s">
        <v>152</v>
      </c>
      <c r="H3804" s="5" t="s">
        <v>10941</v>
      </c>
      <c r="I3804" s="5" t="s">
        <v>11042</v>
      </c>
      <c r="J3804" s="5" t="s">
        <v>152</v>
      </c>
      <c r="K3804" s="7" t="str">
        <f ca="1">IFERROR(__xludf.DUMMYFUNCTION("GOOGLETRANSLATE(H3804,""EN"",""ES"")"),"EQUIPO DE OFICINA")</f>
        <v>EQUIPO DE OFICINA</v>
      </c>
      <c r="L3804" s="5" t="str">
        <f ca="1">IFERROR(__xludf.DUMMYFUNCTION("GOOGLETRANSLATE(J3804,""EN"",""ES"")"),"Clips para billetes")</f>
        <v>Clips para billetes</v>
      </c>
      <c r="M3804" s="8" t="s">
        <v>65</v>
      </c>
      <c r="N3804" s="8"/>
    </row>
    <row r="3805" spans="1:14" ht="11.25" customHeight="1">
      <c r="A3805" s="5" t="s">
        <v>10870</v>
      </c>
      <c r="B3805" s="5" t="s">
        <v>10939</v>
      </c>
      <c r="C3805" s="5" t="s">
        <v>11043</v>
      </c>
      <c r="D3805" s="5" t="s">
        <v>10873</v>
      </c>
      <c r="E3805" s="5" t="s">
        <v>66</v>
      </c>
      <c r="F3805" s="5" t="s">
        <v>10874</v>
      </c>
      <c r="G3805" s="5" t="s">
        <v>152</v>
      </c>
      <c r="H3805" s="5" t="s">
        <v>10941</v>
      </c>
      <c r="I3805" s="5" t="s">
        <v>11044</v>
      </c>
      <c r="J3805" s="5" t="s">
        <v>11045</v>
      </c>
      <c r="K3805" s="7" t="str">
        <f ca="1">IFERROR(__xludf.DUMMYFUNCTION("GOOGLETRANSLATE(H3805,""EN"",""ES"")"),"EQUIPO DE OFICINA")</f>
        <v>EQUIPO DE OFICINA</v>
      </c>
      <c r="L3805" s="5" t="str">
        <f ca="1">IFERROR(__xludf.DUMMYFUNCTION("GOOGLETRANSLATE(J3805,""EN"",""ES"")"),"Clips de dibujo")</f>
        <v>Clips de dibujo</v>
      </c>
      <c r="M3805" s="8" t="s">
        <v>65</v>
      </c>
      <c r="N3805" s="8"/>
    </row>
    <row r="3806" spans="1:14" ht="11.25" customHeight="1">
      <c r="A3806" s="5" t="s">
        <v>10870</v>
      </c>
      <c r="B3806" s="5" t="s">
        <v>10939</v>
      </c>
      <c r="C3806" s="5" t="s">
        <v>11046</v>
      </c>
      <c r="D3806" s="5" t="s">
        <v>10873</v>
      </c>
      <c r="E3806" s="5" t="s">
        <v>66</v>
      </c>
      <c r="F3806" s="5" t="s">
        <v>10874</v>
      </c>
      <c r="G3806" s="5" t="s">
        <v>152</v>
      </c>
      <c r="H3806" s="5" t="s">
        <v>10941</v>
      </c>
      <c r="I3806" s="5" t="s">
        <v>11047</v>
      </c>
      <c r="J3806" s="5" t="s">
        <v>11048</v>
      </c>
      <c r="K3806" s="7" t="str">
        <f ca="1">IFERROR(__xludf.DUMMYFUNCTION("GOOGLETRANSLATE(H3806,""EN"",""ES"")"),"EQUIPO DE OFICINA")</f>
        <v>EQUIPO DE OFICINA</v>
      </c>
      <c r="L3806" s="5" t="str">
        <f ca="1">IFERROR(__xludf.DUMMYFUNCTION("GOOGLETRANSLATE(J3806,""EN"",""ES"")"),"Aparato para fabricar rollos de monedas.")</f>
        <v>Aparato para fabricar rollos de monedas.</v>
      </c>
      <c r="M3806" s="8" t="s">
        <v>65</v>
      </c>
      <c r="N3806" s="8"/>
    </row>
    <row r="3807" spans="1:14" ht="11.25" customHeight="1">
      <c r="A3807" s="5" t="s">
        <v>10870</v>
      </c>
      <c r="B3807" s="5" t="s">
        <v>10939</v>
      </c>
      <c r="C3807" s="5" t="s">
        <v>11049</v>
      </c>
      <c r="D3807" s="5" t="s">
        <v>10873</v>
      </c>
      <c r="E3807" s="5" t="s">
        <v>66</v>
      </c>
      <c r="F3807" s="5" t="s">
        <v>10874</v>
      </c>
      <c r="G3807" s="5" t="s">
        <v>152</v>
      </c>
      <c r="H3807" s="5" t="s">
        <v>10941</v>
      </c>
      <c r="I3807" s="5" t="s">
        <v>11050</v>
      </c>
      <c r="J3807" s="5" t="s">
        <v>11051</v>
      </c>
      <c r="K3807" s="7" t="str">
        <f ca="1">IFERROR(__xludf.DUMMYFUNCTION("GOOGLETRANSLATE(H3807,""EN"",""ES"")"),"EQUIPO DE OFICINA")</f>
        <v>EQUIPO DE OFICINA</v>
      </c>
      <c r="L3807" s="5" t="str">
        <f ca="1">IFERROR(__xludf.DUMMYFUNCTION("GOOGLETRANSLATE(J3807,""EN"",""ES"")"),"palas de dinero")</f>
        <v>palas de dinero</v>
      </c>
      <c r="M3807" s="8" t="s">
        <v>65</v>
      </c>
      <c r="N3807" s="8"/>
    </row>
    <row r="3808" spans="1:14" ht="11.25" customHeight="1">
      <c r="A3808" s="5" t="s">
        <v>10870</v>
      </c>
      <c r="B3808" s="5" t="s">
        <v>10939</v>
      </c>
      <c r="C3808" s="5" t="s">
        <v>11052</v>
      </c>
      <c r="D3808" s="5" t="s">
        <v>10873</v>
      </c>
      <c r="E3808" s="5" t="s">
        <v>66</v>
      </c>
      <c r="F3808" s="5" t="s">
        <v>10874</v>
      </c>
      <c r="G3808" s="5" t="s">
        <v>152</v>
      </c>
      <c r="H3808" s="5" t="s">
        <v>10941</v>
      </c>
      <c r="I3808" s="5" t="s">
        <v>11053</v>
      </c>
      <c r="J3808" s="5" t="s">
        <v>11054</v>
      </c>
      <c r="K3808" s="7" t="str">
        <f ca="1">IFERROR(__xludf.DUMMYFUNCTION("GOOGLETRANSLATE(H3808,""EN"",""ES"")"),"EQUIPO DE OFICINA")</f>
        <v>EQUIPO DE OFICINA</v>
      </c>
      <c r="L3808" s="5" t="str">
        <f ca="1">IFERROR(__xludf.DUMMYFUNCTION("GOOGLETRANSLATE(J3808,""EN"",""ES"")"),"Porta notas")</f>
        <v>Porta notas</v>
      </c>
      <c r="M3808" s="8" t="s">
        <v>65</v>
      </c>
      <c r="N3808" s="8"/>
    </row>
    <row r="3809" spans="1:14" ht="11.25" customHeight="1">
      <c r="A3809" s="5" t="s">
        <v>10870</v>
      </c>
      <c r="B3809" s="5" t="s">
        <v>10939</v>
      </c>
      <c r="C3809" s="5" t="s">
        <v>11055</v>
      </c>
      <c r="D3809" s="5" t="s">
        <v>10873</v>
      </c>
      <c r="E3809" s="5" t="s">
        <v>66</v>
      </c>
      <c r="F3809" s="5" t="s">
        <v>10874</v>
      </c>
      <c r="G3809" s="5" t="s">
        <v>152</v>
      </c>
      <c r="H3809" s="5" t="s">
        <v>10941</v>
      </c>
      <c r="I3809" s="5" t="s">
        <v>11056</v>
      </c>
      <c r="J3809" s="5" t="s">
        <v>11057</v>
      </c>
      <c r="K3809" s="7" t="str">
        <f ca="1">IFERROR(__xludf.DUMMYFUNCTION("GOOGLETRANSLATE(H3809,""EN"",""ES"")"),"EQUIPO DE OFICINA")</f>
        <v>EQUIPO DE OFICINA</v>
      </c>
      <c r="L3809" s="5" t="str">
        <f ca="1">IFERROR(__xludf.DUMMYFUNCTION("GOOGLETRANSLATE(J3809,""EN"",""ES"")"),"Cancelación de sellos [herramientas] para matasellos")</f>
        <v>Cancelación de sellos [herramientas] para matasellos</v>
      </c>
      <c r="M3809" s="8" t="s">
        <v>65</v>
      </c>
      <c r="N3809" s="8"/>
    </row>
    <row r="3810" spans="1:14" ht="11.25" customHeight="1">
      <c r="A3810" s="5" t="s">
        <v>10870</v>
      </c>
      <c r="B3810" s="5" t="s">
        <v>10939</v>
      </c>
      <c r="C3810" s="5" t="s">
        <v>11058</v>
      </c>
      <c r="D3810" s="5" t="s">
        <v>10873</v>
      </c>
      <c r="E3810" s="5" t="s">
        <v>66</v>
      </c>
      <c r="F3810" s="5" t="s">
        <v>10874</v>
      </c>
      <c r="G3810" s="5" t="s">
        <v>152</v>
      </c>
      <c r="H3810" s="5" t="s">
        <v>10941</v>
      </c>
      <c r="I3810" s="5" t="s">
        <v>11059</v>
      </c>
      <c r="J3810" s="5" t="s">
        <v>11060</v>
      </c>
      <c r="K3810" s="7" t="str">
        <f ca="1">IFERROR(__xludf.DUMMYFUNCTION("GOOGLETRANSLATE(H3810,""EN"",""ES"")"),"EQUIPO DE OFICINA")</f>
        <v>EQUIPO DE OFICINA</v>
      </c>
      <c r="L3810" s="5" t="str">
        <f ca="1">IFERROR(__xludf.DUMMYFUNCTION("GOOGLETRANSLATE(J3810,""EN"",""ES"")"),"Sellos de goma")</f>
        <v>Sellos de goma</v>
      </c>
      <c r="M3810" s="8" t="s">
        <v>65</v>
      </c>
      <c r="N3810" s="8"/>
    </row>
    <row r="3811" spans="1:14" ht="11.25" customHeight="1">
      <c r="A3811" s="5" t="s">
        <v>10870</v>
      </c>
      <c r="B3811" s="5" t="s">
        <v>10939</v>
      </c>
      <c r="C3811" s="5" t="s">
        <v>11061</v>
      </c>
      <c r="D3811" s="5" t="s">
        <v>10873</v>
      </c>
      <c r="E3811" s="5" t="s">
        <v>66</v>
      </c>
      <c r="F3811" s="5" t="s">
        <v>10874</v>
      </c>
      <c r="G3811" s="5" t="s">
        <v>152</v>
      </c>
      <c r="H3811" s="5" t="s">
        <v>10941</v>
      </c>
      <c r="I3811" s="5" t="s">
        <v>11062</v>
      </c>
      <c r="J3811" s="5" t="s">
        <v>11063</v>
      </c>
      <c r="K3811" s="7" t="str">
        <f ca="1">IFERROR(__xludf.DUMMYFUNCTION("GOOGLETRANSLATE(H3811,""EN"",""ES"")"),"EQUIPO DE OFICINA")</f>
        <v>EQUIPO DE OFICINA</v>
      </c>
      <c r="L3811" s="5" t="str">
        <f ca="1">IFERROR(__xludf.DUMMYFUNCTION("GOOGLETRANSLATE(J3811,""EN"",""ES"")"),"Sellos perforadores")</f>
        <v>Sellos perforadores</v>
      </c>
      <c r="M3811" s="8" t="s">
        <v>65</v>
      </c>
      <c r="N3811" s="8"/>
    </row>
    <row r="3812" spans="1:14" ht="11.25" customHeight="1">
      <c r="A3812" s="5" t="s">
        <v>10870</v>
      </c>
      <c r="B3812" s="5" t="s">
        <v>10939</v>
      </c>
      <c r="C3812" s="5" t="s">
        <v>11064</v>
      </c>
      <c r="D3812" s="5" t="s">
        <v>10873</v>
      </c>
      <c r="E3812" s="5" t="s">
        <v>66</v>
      </c>
      <c r="F3812" s="5" t="s">
        <v>10874</v>
      </c>
      <c r="G3812" s="5" t="s">
        <v>152</v>
      </c>
      <c r="H3812" s="5" t="s">
        <v>10941</v>
      </c>
      <c r="I3812" s="5" t="s">
        <v>11065</v>
      </c>
      <c r="J3812" s="5" t="s">
        <v>11066</v>
      </c>
      <c r="K3812" s="7" t="str">
        <f ca="1">IFERROR(__xludf.DUMMYFUNCTION("GOOGLETRANSLATE(H3812,""EN"",""ES"")"),"EQUIPO DE OFICINA")</f>
        <v>EQUIPO DE OFICINA</v>
      </c>
      <c r="L3812" s="5" t="str">
        <f ca="1">IFERROR(__xludf.DUMMYFUNCTION("GOOGLETRANSLATE(J3812,""EN"",""ES"")"),"Titulares de borradores")</f>
        <v>Titulares de borradores</v>
      </c>
      <c r="M3812" s="8" t="s">
        <v>65</v>
      </c>
      <c r="N3812" s="8"/>
    </row>
    <row r="3813" spans="1:14" ht="11.25" customHeight="1">
      <c r="A3813" s="5" t="s">
        <v>10870</v>
      </c>
      <c r="B3813" s="5" t="s">
        <v>10939</v>
      </c>
      <c r="C3813" s="5" t="s">
        <v>11067</v>
      </c>
      <c r="D3813" s="5" t="s">
        <v>10873</v>
      </c>
      <c r="E3813" s="5" t="s">
        <v>66</v>
      </c>
      <c r="F3813" s="5" t="s">
        <v>10874</v>
      </c>
      <c r="G3813" s="5" t="s">
        <v>152</v>
      </c>
      <c r="H3813" s="5" t="s">
        <v>10941</v>
      </c>
      <c r="I3813" s="5" t="s">
        <v>11068</v>
      </c>
      <c r="J3813" s="5" t="s">
        <v>11069</v>
      </c>
      <c r="K3813" s="7" t="str">
        <f ca="1">IFERROR(__xludf.DUMMYFUNCTION("GOOGLETRANSLATE(H3813,""EN"",""ES"")"),"EQUIPO DE OFICINA")</f>
        <v>EQUIPO DE OFICINA</v>
      </c>
      <c r="L3813" s="5" t="str">
        <f ca="1">IFERROR(__xludf.DUMMYFUNCTION("GOOGLETRANSLATE(J3813,""EN"",""ES"")"),"Dispensadores de líquido corrector")</f>
        <v>Dispensadores de líquido corrector</v>
      </c>
      <c r="M3813" s="8" t="s">
        <v>65</v>
      </c>
      <c r="N3813" s="8"/>
    </row>
    <row r="3814" spans="1:14" ht="11.25" customHeight="1">
      <c r="A3814" s="5" t="s">
        <v>10870</v>
      </c>
      <c r="B3814" s="5" t="s">
        <v>10939</v>
      </c>
      <c r="C3814" s="5" t="s">
        <v>11070</v>
      </c>
      <c r="D3814" s="5" t="s">
        <v>10873</v>
      </c>
      <c r="E3814" s="5" t="s">
        <v>66</v>
      </c>
      <c r="F3814" s="5" t="s">
        <v>10874</v>
      </c>
      <c r="G3814" s="5" t="s">
        <v>152</v>
      </c>
      <c r="H3814" s="5" t="s">
        <v>10941</v>
      </c>
      <c r="I3814" s="5" t="s">
        <v>11071</v>
      </c>
      <c r="J3814" s="5" t="s">
        <v>11072</v>
      </c>
      <c r="K3814" s="7" t="str">
        <f ca="1">IFERROR(__xludf.DUMMYFUNCTION("GOOGLETRANSLATE(H3814,""EN"",""ES"")"),"EQUIPO DE OFICINA")</f>
        <v>EQUIPO DE OFICINA</v>
      </c>
      <c r="L3814" s="5" t="str">
        <f ca="1">IFERROR(__xludf.DUMMYFUNCTION("GOOGLETRANSLATE(J3814,""EN"",""ES"")"),"Aparato para alisar billetes de banco.")</f>
        <v>Aparato para alisar billetes de banco.</v>
      </c>
      <c r="M3814" s="8" t="s">
        <v>65</v>
      </c>
      <c r="N3814" s="8"/>
    </row>
    <row r="3815" spans="1:14" ht="11.25" customHeight="1">
      <c r="A3815" s="5" t="s">
        <v>10870</v>
      </c>
      <c r="B3815" s="5" t="s">
        <v>10939</v>
      </c>
      <c r="C3815" s="5" t="s">
        <v>11073</v>
      </c>
      <c r="D3815" s="5" t="s">
        <v>10873</v>
      </c>
      <c r="E3815" s="5" t="s">
        <v>66</v>
      </c>
      <c r="F3815" s="5" t="s">
        <v>10874</v>
      </c>
      <c r="G3815" s="5" t="s">
        <v>152</v>
      </c>
      <c r="H3815" s="5" t="s">
        <v>10941</v>
      </c>
      <c r="I3815" s="5" t="s">
        <v>11074</v>
      </c>
      <c r="J3815" s="5" t="s">
        <v>11075</v>
      </c>
      <c r="K3815" s="7" t="str">
        <f ca="1">IFERROR(__xludf.DUMMYFUNCTION("GOOGLETRANSLATE(H3815,""EN"",""ES"")"),"EQUIPO DE OFICINA")</f>
        <v>EQUIPO DE OFICINA</v>
      </c>
      <c r="L3815" s="5" t="str">
        <f ca="1">IFERROR(__xludf.DUMMYFUNCTION("GOOGLETRANSLATE(J3815,""EN"",""ES"")"),"Aparato para contar billetes de banco.")</f>
        <v>Aparato para contar billetes de banco.</v>
      </c>
      <c r="M3815" s="8" t="s">
        <v>65</v>
      </c>
      <c r="N3815" s="8"/>
    </row>
    <row r="3816" spans="1:14" ht="11.25" customHeight="1">
      <c r="A3816" s="5" t="s">
        <v>10870</v>
      </c>
      <c r="B3816" s="5" t="s">
        <v>10939</v>
      </c>
      <c r="C3816" s="5" t="s">
        <v>11076</v>
      </c>
      <c r="D3816" s="5" t="s">
        <v>10873</v>
      </c>
      <c r="E3816" s="5" t="s">
        <v>66</v>
      </c>
      <c r="F3816" s="5" t="s">
        <v>10874</v>
      </c>
      <c r="G3816" s="5" t="s">
        <v>152</v>
      </c>
      <c r="H3816" s="5" t="s">
        <v>10941</v>
      </c>
      <c r="I3816" s="5" t="s">
        <v>11077</v>
      </c>
      <c r="J3816" s="5" t="s">
        <v>11078</v>
      </c>
      <c r="K3816" s="7" t="str">
        <f ca="1">IFERROR(__xludf.DUMMYFUNCTION("GOOGLETRANSLATE(H3816,""EN"",""ES"")"),"EQUIPO DE OFICINA")</f>
        <v>EQUIPO DE OFICINA</v>
      </c>
      <c r="L3816" s="5" t="str">
        <f ca="1">IFERROR(__xludf.DUMMYFUNCTION("GOOGLETRANSLATE(J3816,""EN"",""ES"")"),"Cajas para clips")</f>
        <v>Cajas para clips</v>
      </c>
      <c r="M3816" s="8" t="s">
        <v>65</v>
      </c>
      <c r="N3816" s="8"/>
    </row>
    <row r="3817" spans="1:14" ht="11.25" customHeight="1">
      <c r="A3817" s="5" t="s">
        <v>10870</v>
      </c>
      <c r="B3817" s="5" t="s">
        <v>10939</v>
      </c>
      <c r="C3817" s="5" t="s">
        <v>11079</v>
      </c>
      <c r="D3817" s="5" t="s">
        <v>10873</v>
      </c>
      <c r="E3817" s="5" t="s">
        <v>66</v>
      </c>
      <c r="F3817" s="5" t="s">
        <v>10874</v>
      </c>
      <c r="G3817" s="5" t="s">
        <v>152</v>
      </c>
      <c r="H3817" s="5" t="s">
        <v>10941</v>
      </c>
      <c r="I3817" s="5" t="s">
        <v>11080</v>
      </c>
      <c r="J3817" s="5" t="s">
        <v>11081</v>
      </c>
      <c r="K3817" s="7" t="str">
        <f ca="1">IFERROR(__xludf.DUMMYFUNCTION("GOOGLETRANSLATE(H3817,""EN"",""ES"")"),"EQUIPO DE OFICINA")</f>
        <v>EQUIPO DE OFICINA</v>
      </c>
      <c r="L3817" s="5" t="str">
        <f ca="1">IFERROR(__xludf.DUMMYFUNCTION("GOOGLETRANSLATE(J3817,""EN"",""ES"")"),"Soportes para clips")</f>
        <v>Soportes para clips</v>
      </c>
      <c r="M3817" s="8" t="s">
        <v>65</v>
      </c>
      <c r="N3817" s="8"/>
    </row>
    <row r="3818" spans="1:14" ht="11.25" customHeight="1">
      <c r="A3818" s="5" t="s">
        <v>10870</v>
      </c>
      <c r="B3818" s="5" t="s">
        <v>10939</v>
      </c>
      <c r="C3818" s="5" t="s">
        <v>11082</v>
      </c>
      <c r="D3818" s="5" t="s">
        <v>10873</v>
      </c>
      <c r="E3818" s="5" t="s">
        <v>66</v>
      </c>
      <c r="F3818" s="5" t="s">
        <v>10874</v>
      </c>
      <c r="G3818" s="5" t="s">
        <v>152</v>
      </c>
      <c r="H3818" s="5" t="s">
        <v>10941</v>
      </c>
      <c r="I3818" s="5" t="s">
        <v>11083</v>
      </c>
      <c r="J3818" s="5" t="s">
        <v>11084</v>
      </c>
      <c r="K3818" s="7" t="str">
        <f ca="1">IFERROR(__xludf.DUMMYFUNCTION("GOOGLETRANSLATE(H3818,""EN"",""ES"")"),"EQUIPO DE OFICINA")</f>
        <v>EQUIPO DE OFICINA</v>
      </c>
      <c r="L3818" s="5" t="str">
        <f ca="1">IFERROR(__xludf.DUMMYFUNCTION("GOOGLETRANSLATE(J3818,""EN"",""ES"")"),"Buscadores de números de teléfono")</f>
        <v>Buscadores de números de teléfono</v>
      </c>
      <c r="M3818" s="8" t="s">
        <v>65</v>
      </c>
      <c r="N3818" s="8"/>
    </row>
    <row r="3819" spans="1:14" ht="11.25" customHeight="1">
      <c r="A3819" s="5" t="s">
        <v>10870</v>
      </c>
      <c r="B3819" s="5" t="s">
        <v>10939</v>
      </c>
      <c r="C3819" s="5" t="s">
        <v>11085</v>
      </c>
      <c r="D3819" s="5" t="s">
        <v>10873</v>
      </c>
      <c r="E3819" s="5" t="s">
        <v>66</v>
      </c>
      <c r="F3819" s="5" t="s">
        <v>10874</v>
      </c>
      <c r="G3819" s="5" t="s">
        <v>152</v>
      </c>
      <c r="H3819" s="5" t="s">
        <v>10941</v>
      </c>
      <c r="I3819" s="5" t="s">
        <v>11086</v>
      </c>
      <c r="J3819" s="5" t="s">
        <v>11087</v>
      </c>
      <c r="K3819" s="7" t="str">
        <f ca="1">IFERROR(__xludf.DUMMYFUNCTION("GOOGLETRANSLATE(H3819,""EN"",""ES"")"),"EQUIPO DE OFICINA")</f>
        <v>EQUIPO DE OFICINA</v>
      </c>
      <c r="L3819" s="5" t="str">
        <f ca="1">IFERROR(__xludf.DUMMYFUNCTION("GOOGLETRANSLATE(J3819,""EN"",""ES"")"),"Bandejas de archivo [equipo de oficina]")</f>
        <v>Bandejas de archivo [equipo de oficina]</v>
      </c>
      <c r="M3819" s="8" t="s">
        <v>65</v>
      </c>
      <c r="N3819" s="8"/>
    </row>
    <row r="3820" spans="1:14" ht="11.25" customHeight="1">
      <c r="A3820" s="5" t="s">
        <v>10870</v>
      </c>
      <c r="B3820" s="5" t="s">
        <v>10939</v>
      </c>
      <c r="C3820" s="5" t="s">
        <v>11088</v>
      </c>
      <c r="D3820" s="5" t="s">
        <v>10873</v>
      </c>
      <c r="E3820" s="5" t="s">
        <v>66</v>
      </c>
      <c r="F3820" s="5" t="s">
        <v>10874</v>
      </c>
      <c r="G3820" s="5" t="s">
        <v>152</v>
      </c>
      <c r="H3820" s="5" t="s">
        <v>10941</v>
      </c>
      <c r="I3820" s="5" t="s">
        <v>11089</v>
      </c>
      <c r="J3820" s="5" t="s">
        <v>11090</v>
      </c>
      <c r="K3820" s="7" t="str">
        <f ca="1">IFERROR(__xludf.DUMMYFUNCTION("GOOGLETRANSLATE(H3820,""EN"",""ES"")"),"EQUIPO DE OFICINA")</f>
        <v>EQUIPO DE OFICINA</v>
      </c>
      <c r="L3820" s="5" t="str">
        <f ca="1">IFERROR(__xludf.DUMMYFUNCTION("GOOGLETRANSLATE(J3820,""EN"",""ES"")"),"Soportes para sellos [sellos]")</f>
        <v>Soportes para sellos [sellos]</v>
      </c>
      <c r="M3820" s="8" t="s">
        <v>65</v>
      </c>
      <c r="N3820" s="8"/>
    </row>
    <row r="3821" spans="1:14" ht="11.25" customHeight="1">
      <c r="A3821" s="5" t="s">
        <v>10870</v>
      </c>
      <c r="B3821" s="5" t="s">
        <v>10939</v>
      </c>
      <c r="C3821" s="5" t="s">
        <v>11091</v>
      </c>
      <c r="D3821" s="5" t="s">
        <v>10873</v>
      </c>
      <c r="E3821" s="5" t="s">
        <v>66</v>
      </c>
      <c r="F3821" s="5" t="s">
        <v>10874</v>
      </c>
      <c r="G3821" s="5" t="s">
        <v>152</v>
      </c>
      <c r="H3821" s="5" t="s">
        <v>10941</v>
      </c>
      <c r="I3821" s="5" t="s">
        <v>11092</v>
      </c>
      <c r="J3821" s="5" t="s">
        <v>11093</v>
      </c>
      <c r="K3821" s="7" t="str">
        <f ca="1">IFERROR(__xludf.DUMMYFUNCTION("GOOGLETRANSLATE(H3821,""EN"",""ES"")"),"EQUIPO DE OFICINA")</f>
        <v>EQUIPO DE OFICINA</v>
      </c>
      <c r="L3821" s="5" t="str">
        <f ca="1">IFERROR(__xludf.DUMMYFUNCTION("GOOGLETRANSLATE(J3821,""EN"",""ES"")"),"Aparatos de rotulación accionados manualmente [equipos de oficina]")</f>
        <v>Aparatos de rotulación accionados manualmente [equipos de oficina]</v>
      </c>
      <c r="M3821" s="8" t="s">
        <v>65</v>
      </c>
      <c r="N3821" s="8"/>
    </row>
    <row r="3822" spans="1:14" ht="11.25" customHeight="1">
      <c r="A3822" s="5" t="s">
        <v>10870</v>
      </c>
      <c r="B3822" s="5" t="s">
        <v>10939</v>
      </c>
      <c r="C3822" s="5" t="s">
        <v>11094</v>
      </c>
      <c r="D3822" s="5" t="s">
        <v>10873</v>
      </c>
      <c r="E3822" s="5" t="s">
        <v>66</v>
      </c>
      <c r="F3822" s="5" t="s">
        <v>10874</v>
      </c>
      <c r="G3822" s="5" t="s">
        <v>152</v>
      </c>
      <c r="H3822" s="5" t="s">
        <v>10941</v>
      </c>
      <c r="I3822" s="5" t="s">
        <v>11095</v>
      </c>
      <c r="J3822" s="5" t="s">
        <v>11096</v>
      </c>
      <c r="K3822" s="7" t="str">
        <f ca="1">IFERROR(__xludf.DUMMYFUNCTION("GOOGLETRANSLATE(H3822,""EN"",""ES"")"),"EQUIPO DE OFICINA")</f>
        <v>EQUIPO DE OFICINA</v>
      </c>
      <c r="L3822" s="5" t="str">
        <f ca="1">IFERROR(__xludf.DUMMYFUNCTION("GOOGLETRANSLATE(J3822,""EN"",""ES"")"),"Bandejas para alfileres [equipo de oficina]")</f>
        <v>Bandejas para alfileres [equipo de oficina]</v>
      </c>
      <c r="M3822" s="8" t="s">
        <v>65</v>
      </c>
      <c r="N3822" s="8"/>
    </row>
    <row r="3823" spans="1:14" ht="11.25" customHeight="1">
      <c r="A3823" s="5" t="s">
        <v>10870</v>
      </c>
      <c r="B3823" s="5" t="s">
        <v>10939</v>
      </c>
      <c r="C3823" s="5" t="s">
        <v>11097</v>
      </c>
      <c r="D3823" s="5" t="s">
        <v>10873</v>
      </c>
      <c r="E3823" s="5" t="s">
        <v>66</v>
      </c>
      <c r="F3823" s="5" t="s">
        <v>10874</v>
      </c>
      <c r="G3823" s="5" t="s">
        <v>152</v>
      </c>
      <c r="H3823" s="5" t="s">
        <v>10941</v>
      </c>
      <c r="I3823" s="5" t="s">
        <v>11098</v>
      </c>
      <c r="J3823" s="5" t="s">
        <v>11099</v>
      </c>
      <c r="K3823" s="7" t="str">
        <f ca="1">IFERROR(__xludf.DUMMYFUNCTION("GOOGLETRANSLATE(H3823,""EN"",""ES"")"),"EQUIPO DE OFICINA")</f>
        <v>EQUIPO DE OFICINA</v>
      </c>
      <c r="L3823" s="5" t="str">
        <f ca="1">IFERROR(__xludf.DUMMYFUNCTION("GOOGLETRANSLATE(J3823,""EN"",""ES"")"),"Dispensadores de cintas correctoras")</f>
        <v>Dispensadores de cintas correctoras</v>
      </c>
      <c r="M3823" s="8" t="s">
        <v>65</v>
      </c>
      <c r="N3823" s="8"/>
    </row>
    <row r="3824" spans="1:14" ht="11.25" customHeight="1">
      <c r="A3824" s="5" t="s">
        <v>10870</v>
      </c>
      <c r="B3824" s="5" t="s">
        <v>10939</v>
      </c>
      <c r="C3824" s="5" t="s">
        <v>11100</v>
      </c>
      <c r="D3824" s="5" t="s">
        <v>10873</v>
      </c>
      <c r="E3824" s="5" t="s">
        <v>66</v>
      </c>
      <c r="F3824" s="5" t="s">
        <v>10874</v>
      </c>
      <c r="G3824" s="5" t="s">
        <v>152</v>
      </c>
      <c r="H3824" s="5" t="s">
        <v>10941</v>
      </c>
      <c r="I3824" s="5" t="s">
        <v>11101</v>
      </c>
      <c r="J3824" s="5" t="s">
        <v>11102</v>
      </c>
      <c r="K3824" s="7" t="str">
        <f ca="1">IFERROR(__xludf.DUMMYFUNCTION("GOOGLETRANSLATE(H3824,""EN"",""ES"")"),"EQUIPO DE OFICINA")</f>
        <v>EQUIPO DE OFICINA</v>
      </c>
      <c r="L3824" s="5" t="str">
        <f ca="1">IFERROR(__xludf.DUMMYFUNCTION("GOOGLETRANSLATE(J3824,""EN"",""ES"")"),"Soportes para tarjetas de visita [equipo de oficina]")</f>
        <v>Soportes para tarjetas de visita [equipo de oficina]</v>
      </c>
      <c r="M3824" s="8" t="s">
        <v>65</v>
      </c>
      <c r="N3824" s="8"/>
    </row>
    <row r="3825" spans="1:14" ht="11.25" customHeight="1">
      <c r="A3825" s="5" t="s">
        <v>10870</v>
      </c>
      <c r="B3825" s="5" t="s">
        <v>10939</v>
      </c>
      <c r="C3825" s="5" t="s">
        <v>11103</v>
      </c>
      <c r="D3825" s="5" t="s">
        <v>10873</v>
      </c>
      <c r="E3825" s="5" t="s">
        <v>66</v>
      </c>
      <c r="F3825" s="5" t="s">
        <v>10874</v>
      </c>
      <c r="G3825" s="5" t="s">
        <v>152</v>
      </c>
      <c r="H3825" s="5" t="s">
        <v>10941</v>
      </c>
      <c r="I3825" s="5" t="s">
        <v>11104</v>
      </c>
      <c r="J3825" s="5" t="s">
        <v>11105</v>
      </c>
      <c r="K3825" s="7" t="str">
        <f ca="1">IFERROR(__xludf.DUMMYFUNCTION("GOOGLETRANSLATE(H3825,""EN"",""ES"")"),"EQUIPO DE OFICINA")</f>
        <v>EQUIPO DE OFICINA</v>
      </c>
      <c r="L3825" s="5" t="str">
        <f ca="1">IFERROR(__xludf.DUMMYFUNCTION("GOOGLETRANSLATE(J3825,""EN"",""ES"")"),"chinchetas")</f>
        <v>chinchetas</v>
      </c>
      <c r="M3825" s="8" t="s">
        <v>65</v>
      </c>
      <c r="N3825" s="8"/>
    </row>
    <row r="3826" spans="1:14" ht="11.25" customHeight="1">
      <c r="A3826" s="5" t="s">
        <v>10870</v>
      </c>
      <c r="B3826" s="5" t="s">
        <v>10939</v>
      </c>
      <c r="C3826" s="5" t="s">
        <v>11103</v>
      </c>
      <c r="D3826" s="5" t="s">
        <v>10873</v>
      </c>
      <c r="E3826" s="5" t="s">
        <v>66</v>
      </c>
      <c r="F3826" s="5" t="s">
        <v>10874</v>
      </c>
      <c r="G3826" s="5" t="s">
        <v>152</v>
      </c>
      <c r="H3826" s="5" t="s">
        <v>10941</v>
      </c>
      <c r="I3826" s="5" t="s">
        <v>11106</v>
      </c>
      <c r="J3826" s="5" t="s">
        <v>152</v>
      </c>
      <c r="K3826" s="7" t="str">
        <f ca="1">IFERROR(__xludf.DUMMYFUNCTION("GOOGLETRANSLATE(H3826,""EN"",""ES"")"),"EQUIPO DE OFICINA")</f>
        <v>EQUIPO DE OFICINA</v>
      </c>
      <c r="L3826" s="5" t="str">
        <f ca="1">IFERROR(__xludf.DUMMYFUNCTION("GOOGLETRANSLATE(J3826,""EN"",""ES"")"),"Chinchetas")</f>
        <v>Chinchetas</v>
      </c>
      <c r="M3826" s="8" t="s">
        <v>65</v>
      </c>
      <c r="N3826" s="8"/>
    </row>
    <row r="3827" spans="1:14" ht="11.25" customHeight="1">
      <c r="A3827" s="5" t="s">
        <v>10870</v>
      </c>
      <c r="B3827" s="5" t="s">
        <v>10939</v>
      </c>
      <c r="C3827" s="5" t="s">
        <v>11107</v>
      </c>
      <c r="D3827" s="5" t="s">
        <v>10873</v>
      </c>
      <c r="E3827" s="5" t="s">
        <v>66</v>
      </c>
      <c r="F3827" s="5" t="s">
        <v>10874</v>
      </c>
      <c r="G3827" s="5" t="s">
        <v>152</v>
      </c>
      <c r="H3827" s="5" t="s">
        <v>10941</v>
      </c>
      <c r="I3827" s="5" t="s">
        <v>11108</v>
      </c>
      <c r="J3827" s="5" t="s">
        <v>11109</v>
      </c>
      <c r="K3827" s="7" t="str">
        <f ca="1">IFERROR(__xludf.DUMMYFUNCTION("GOOGLETRANSLATE(H3827,""EN"",""ES"")"),"EQUIPO DE OFICINA")</f>
        <v>EQUIPO DE OFICINA</v>
      </c>
      <c r="L3827" s="5" t="str">
        <f ca="1">IFERROR(__xludf.DUMMYFUNCTION("GOOGLETRANSLATE(J3827,""EN"",""ES"")"),"Dispensadores de cintas correctoras")</f>
        <v>Dispensadores de cintas correctoras</v>
      </c>
      <c r="M3827" s="8" t="s">
        <v>65</v>
      </c>
      <c r="N3827" s="8"/>
    </row>
    <row r="3828" spans="1:14" ht="11.25" customHeight="1">
      <c r="A3828" s="5" t="s">
        <v>10870</v>
      </c>
      <c r="B3828" s="5" t="s">
        <v>10939</v>
      </c>
      <c r="C3828" s="5" t="s">
        <v>11110</v>
      </c>
      <c r="D3828" s="5" t="s">
        <v>10873</v>
      </c>
      <c r="E3828" s="5" t="s">
        <v>66</v>
      </c>
      <c r="F3828" s="5" t="s">
        <v>10874</v>
      </c>
      <c r="G3828" s="5" t="s">
        <v>152</v>
      </c>
      <c r="H3828" s="5" t="s">
        <v>10941</v>
      </c>
      <c r="I3828" s="5" t="s">
        <v>11111</v>
      </c>
      <c r="J3828" s="5" t="s">
        <v>11112</v>
      </c>
      <c r="K3828" s="7" t="str">
        <f ca="1">IFERROR(__xludf.DUMMYFUNCTION("GOOGLETRANSLATE(H3828,""EN"",""ES"")"),"EQUIPO DE OFICINA")</f>
        <v>EQUIPO DE OFICINA</v>
      </c>
      <c r="L3828" s="5" t="str">
        <f ca="1">IFERROR(__xludf.DUMMYFUNCTION("GOOGLETRANSLATE(J3828,""EN"",""ES"")"),"Abrecartas")</f>
        <v>Abrecartas</v>
      </c>
      <c r="M3828" s="8" t="s">
        <v>65</v>
      </c>
      <c r="N3828" s="8"/>
    </row>
    <row r="3829" spans="1:14" ht="11.25" customHeight="1">
      <c r="A3829" s="5" t="s">
        <v>10870</v>
      </c>
      <c r="B3829" s="5" t="s">
        <v>10939</v>
      </c>
      <c r="C3829" s="5" t="s">
        <v>11113</v>
      </c>
      <c r="D3829" s="5" t="s">
        <v>10873</v>
      </c>
      <c r="E3829" s="5" t="s">
        <v>66</v>
      </c>
      <c r="F3829" s="5" t="s">
        <v>10874</v>
      </c>
      <c r="G3829" s="5" t="s">
        <v>152</v>
      </c>
      <c r="H3829" s="5" t="s">
        <v>10941</v>
      </c>
      <c r="I3829" s="5" t="s">
        <v>11114</v>
      </c>
      <c r="J3829" s="5" t="s">
        <v>11115</v>
      </c>
      <c r="K3829" s="7" t="str">
        <f ca="1">IFERROR(__xludf.DUMMYFUNCTION("GOOGLETRANSLATE(H3829,""EN"",""ES"")"),"EQUIPO DE OFICINA")</f>
        <v>EQUIPO DE OFICINA</v>
      </c>
      <c r="L3829" s="5" t="str">
        <f ca="1">IFERROR(__xludf.DUMMYFUNCTION("GOOGLETRANSLATE(J3829,""EN"",""ES"")"),"grapas para papel")</f>
        <v>grapas para papel</v>
      </c>
      <c r="M3829" s="8" t="s">
        <v>65</v>
      </c>
      <c r="N3829" s="8"/>
    </row>
    <row r="3830" spans="1:14" ht="11.25" customHeight="1">
      <c r="A3830" s="5" t="s">
        <v>10870</v>
      </c>
      <c r="B3830" s="5" t="s">
        <v>10939</v>
      </c>
      <c r="C3830" s="5" t="s">
        <v>11116</v>
      </c>
      <c r="D3830" s="5" t="s">
        <v>10873</v>
      </c>
      <c r="E3830" s="5" t="s">
        <v>66</v>
      </c>
      <c r="F3830" s="5" t="s">
        <v>10874</v>
      </c>
      <c r="G3830" s="5" t="s">
        <v>152</v>
      </c>
      <c r="H3830" s="5" t="s">
        <v>10941</v>
      </c>
      <c r="I3830" s="5" t="s">
        <v>11117</v>
      </c>
      <c r="J3830" s="5" t="s">
        <v>11118</v>
      </c>
      <c r="K3830" s="7" t="str">
        <f ca="1">IFERROR(__xludf.DUMMYFUNCTION("GOOGLETRANSLATE(H3830,""EN"",""ES"")"),"EQUIPO DE OFICINA")</f>
        <v>EQUIPO DE OFICINA</v>
      </c>
      <c r="L3830" s="5" t="str">
        <f ca="1">IFERROR(__xludf.DUMMYFUNCTION("GOOGLETRANSLATE(J3830,""EN"",""ES"")"),"Sujetadores de latón para papel [alfileres plegables]")</f>
        <v>Sujetadores de latón para papel [alfileres plegables]</v>
      </c>
      <c r="M3830" s="8" t="s">
        <v>65</v>
      </c>
      <c r="N3830" s="8"/>
    </row>
    <row r="3831" spans="1:14" ht="11.25" customHeight="1">
      <c r="A3831" s="5" t="s">
        <v>10870</v>
      </c>
      <c r="B3831" s="5" t="s">
        <v>10939</v>
      </c>
      <c r="C3831" s="5" t="s">
        <v>11119</v>
      </c>
      <c r="D3831" s="5" t="s">
        <v>10873</v>
      </c>
      <c r="E3831" s="5" t="s">
        <v>66</v>
      </c>
      <c r="F3831" s="5" t="s">
        <v>10874</v>
      </c>
      <c r="G3831" s="5" t="s">
        <v>152</v>
      </c>
      <c r="H3831" s="5" t="s">
        <v>10941</v>
      </c>
      <c r="I3831" s="5" t="s">
        <v>11120</v>
      </c>
      <c r="J3831" s="5" t="s">
        <v>11121</v>
      </c>
      <c r="K3831" s="7" t="str">
        <f ca="1">IFERROR(__xludf.DUMMYFUNCTION("GOOGLETRANSLATE(H3831,""EN"",""ES"")"),"EQUIPO DE OFICINA")</f>
        <v>EQUIPO DE OFICINA</v>
      </c>
      <c r="L3831" s="5" t="str">
        <f ca="1">IFERROR(__xludf.DUMMYFUNCTION("GOOGLETRANSLATE(J3831,""EN"",""ES"")"),"Clips para carpetas")</f>
        <v>Clips para carpetas</v>
      </c>
      <c r="M3831" s="8" t="s">
        <v>65</v>
      </c>
      <c r="N3831" s="8"/>
    </row>
    <row r="3832" spans="1:14" ht="11.25" customHeight="1">
      <c r="A3832" s="5" t="s">
        <v>10870</v>
      </c>
      <c r="B3832" s="5" t="s">
        <v>10939</v>
      </c>
      <c r="C3832" s="5" t="s">
        <v>11119</v>
      </c>
      <c r="D3832" s="5" t="s">
        <v>10873</v>
      </c>
      <c r="E3832" s="5" t="s">
        <v>66</v>
      </c>
      <c r="F3832" s="5" t="s">
        <v>10874</v>
      </c>
      <c r="G3832" s="5" t="s">
        <v>152</v>
      </c>
      <c r="H3832" s="5" t="s">
        <v>10941</v>
      </c>
      <c r="I3832" s="5" t="s">
        <v>152</v>
      </c>
      <c r="J3832" s="5" t="s">
        <v>11122</v>
      </c>
      <c r="K3832" s="7" t="str">
        <f ca="1">IFERROR(__xludf.DUMMYFUNCTION("GOOGLETRANSLATE(H3832,""EN"",""ES"")"),"EQUIPO DE OFICINA")</f>
        <v>EQUIPO DE OFICINA</v>
      </c>
      <c r="L3832" s="5" t="str">
        <f ca="1">IFERROR(__xludf.DUMMYFUNCTION("GOOGLETRANSLATE(J3832,""EN"",""ES"")"),"N / A")</f>
        <v>N / A</v>
      </c>
      <c r="M3832" s="8" t="s">
        <v>65</v>
      </c>
      <c r="N3832" s="8"/>
    </row>
    <row r="3833" spans="1:14" ht="11.25" customHeight="1">
      <c r="A3833" s="5" t="s">
        <v>10870</v>
      </c>
      <c r="B3833" s="5" t="s">
        <v>11123</v>
      </c>
      <c r="C3833" s="5" t="s">
        <v>11124</v>
      </c>
      <c r="D3833" s="5" t="s">
        <v>10873</v>
      </c>
      <c r="E3833" s="5" t="s">
        <v>66</v>
      </c>
      <c r="F3833" s="5" t="s">
        <v>10874</v>
      </c>
      <c r="G3833" s="5" t="s">
        <v>152</v>
      </c>
      <c r="H3833" s="5" t="s">
        <v>11125</v>
      </c>
      <c r="I3833" s="5" t="s">
        <v>11126</v>
      </c>
      <c r="J3833" s="5" t="s">
        <v>11127</v>
      </c>
      <c r="K3833" s="7" t="str">
        <f ca="1">IFERROR(__xludf.DUMMYFUNCTION("GOOGLETRANSLATE(H3833,""EN"",""ES"")"),"CALENDARIOS")</f>
        <v>CALENDARIOS</v>
      </c>
      <c r="L3833" s="5" t="str">
        <f ca="1">IFERROR(__xludf.DUMMYFUNCTION("GOOGLETRANSLATE(J3833,""EN"",""ES"")"),"Calendarios [también como material publicitario]")</f>
        <v>Calendarios [también como material publicitario]</v>
      </c>
      <c r="M3833" s="8" t="s">
        <v>65</v>
      </c>
      <c r="N3833" s="8"/>
    </row>
    <row r="3834" spans="1:14" ht="11.25" customHeight="1">
      <c r="A3834" s="5" t="s">
        <v>10870</v>
      </c>
      <c r="B3834" s="5" t="s">
        <v>11123</v>
      </c>
      <c r="C3834" s="5" t="s">
        <v>11128</v>
      </c>
      <c r="D3834" s="5" t="s">
        <v>10873</v>
      </c>
      <c r="E3834" s="5" t="s">
        <v>66</v>
      </c>
      <c r="F3834" s="5" t="s">
        <v>10874</v>
      </c>
      <c r="G3834" s="5" t="s">
        <v>152</v>
      </c>
      <c r="H3834" s="5" t="s">
        <v>11125</v>
      </c>
      <c r="I3834" s="5" t="s">
        <v>11129</v>
      </c>
      <c r="J3834" s="5" t="s">
        <v>11130</v>
      </c>
      <c r="K3834" s="7" t="str">
        <f ca="1">IFERROR(__xludf.DUMMYFUNCTION("GOOGLETRANSLATE(H3834,""EN"",""ES"")"),"CALENDARIOS")</f>
        <v>CALENDARIOS</v>
      </c>
      <c r="L3834" s="5" t="str">
        <f ca="1">IFERROR(__xludf.DUMMYFUNCTION("GOOGLETRANSLATE(J3834,""EN"",""ES"")"),"Calendarios arrancables")</f>
        <v>Calendarios arrancables</v>
      </c>
      <c r="M3834" s="8" t="s">
        <v>65</v>
      </c>
      <c r="N3834" s="8"/>
    </row>
    <row r="3835" spans="1:14" ht="11.25" customHeight="1">
      <c r="A3835" s="5" t="s">
        <v>10870</v>
      </c>
      <c r="B3835" s="5" t="s">
        <v>11123</v>
      </c>
      <c r="C3835" s="5" t="s">
        <v>11131</v>
      </c>
      <c r="D3835" s="5" t="s">
        <v>10873</v>
      </c>
      <c r="E3835" s="5" t="s">
        <v>66</v>
      </c>
      <c r="F3835" s="5" t="s">
        <v>10874</v>
      </c>
      <c r="G3835" s="5" t="s">
        <v>152</v>
      </c>
      <c r="H3835" s="5" t="s">
        <v>11125</v>
      </c>
      <c r="I3835" s="5" t="s">
        <v>11132</v>
      </c>
      <c r="J3835" s="5" t="s">
        <v>11133</v>
      </c>
      <c r="K3835" s="7" t="str">
        <f ca="1">IFERROR(__xludf.DUMMYFUNCTION("GOOGLETRANSLATE(H3835,""EN"",""ES"")"),"CALENDARIOS")</f>
        <v>CALENDARIOS</v>
      </c>
      <c r="L3835" s="5" t="str">
        <f ca="1">IFERROR(__xludf.DUMMYFUNCTION("GOOGLETRANSLATE(J3835,""EN"",""ES"")"),"Páginas para agendas de escritorio de hojas sueltas")</f>
        <v>Páginas para agendas de escritorio de hojas sueltas</v>
      </c>
      <c r="M3835" s="8" t="s">
        <v>65</v>
      </c>
      <c r="N3835" s="8"/>
    </row>
    <row r="3836" spans="1:14" ht="11.25" customHeight="1">
      <c r="A3836" s="5" t="s">
        <v>10870</v>
      </c>
      <c r="B3836" s="5" t="s">
        <v>11123</v>
      </c>
      <c r="C3836" s="5" t="s">
        <v>11134</v>
      </c>
      <c r="D3836" s="5" t="s">
        <v>10873</v>
      </c>
      <c r="E3836" s="5" t="s">
        <v>66</v>
      </c>
      <c r="F3836" s="5" t="s">
        <v>10874</v>
      </c>
      <c r="G3836" s="5" t="s">
        <v>152</v>
      </c>
      <c r="H3836" s="5" t="s">
        <v>11125</v>
      </c>
      <c r="I3836" s="5" t="s">
        <v>11135</v>
      </c>
      <c r="J3836" s="5" t="s">
        <v>11136</v>
      </c>
      <c r="K3836" s="7" t="str">
        <f ca="1">IFERROR(__xludf.DUMMYFUNCTION("GOOGLETRANSLATE(H3836,""EN"",""ES"")"),"CALENDARIOS")</f>
        <v>CALENDARIOS</v>
      </c>
      <c r="L3836" s="5" t="str">
        <f ca="1">IFERROR(__xludf.DUMMYFUNCTION("GOOGLETRANSLATE(J3836,""EN"",""ES"")"),"Bases para agendas de escritorio de hojas sueltas")</f>
        <v>Bases para agendas de escritorio de hojas sueltas</v>
      </c>
      <c r="M3836" s="8" t="s">
        <v>65</v>
      </c>
      <c r="N3836" s="8"/>
    </row>
    <row r="3837" spans="1:14" ht="11.25" customHeight="1">
      <c r="A3837" s="5" t="s">
        <v>10870</v>
      </c>
      <c r="B3837" s="5" t="s">
        <v>11123</v>
      </c>
      <c r="C3837" s="5" t="s">
        <v>11134</v>
      </c>
      <c r="D3837" s="5" t="s">
        <v>10873</v>
      </c>
      <c r="E3837" s="5" t="s">
        <v>66</v>
      </c>
      <c r="F3837" s="5" t="s">
        <v>10874</v>
      </c>
      <c r="G3837" s="5" t="s">
        <v>152</v>
      </c>
      <c r="H3837" s="5" t="s">
        <v>11125</v>
      </c>
      <c r="I3837" s="5" t="s">
        <v>11137</v>
      </c>
      <c r="J3837" s="5" t="s">
        <v>152</v>
      </c>
      <c r="K3837" s="7" t="str">
        <f ca="1">IFERROR(__xludf.DUMMYFUNCTION("GOOGLETRANSLATE(H3837,""EN"",""ES"")"),"CALENDARIOS")</f>
        <v>CALENDARIOS</v>
      </c>
      <c r="L3837" s="5" t="str">
        <f ca="1">IFERROR(__xludf.DUMMYFUNCTION("GOOGLETRANSLATE(J3837,""EN"",""ES"")"),"Soportes para calendarios arrancables")</f>
        <v>Soportes para calendarios arrancables</v>
      </c>
      <c r="M3837" s="8" t="s">
        <v>65</v>
      </c>
      <c r="N3837" s="8"/>
    </row>
    <row r="3838" spans="1:14" ht="11.25" customHeight="1">
      <c r="A3838" s="5" t="s">
        <v>10870</v>
      </c>
      <c r="B3838" s="5" t="s">
        <v>11123</v>
      </c>
      <c r="C3838" s="5" t="s">
        <v>11138</v>
      </c>
      <c r="D3838" s="5" t="s">
        <v>10873</v>
      </c>
      <c r="E3838" s="5" t="s">
        <v>66</v>
      </c>
      <c r="F3838" s="5" t="s">
        <v>10874</v>
      </c>
      <c r="G3838" s="5" t="s">
        <v>152</v>
      </c>
      <c r="H3838" s="5" t="s">
        <v>11125</v>
      </c>
      <c r="I3838" s="5" t="s">
        <v>11139</v>
      </c>
      <c r="J3838" s="5" t="s">
        <v>11140</v>
      </c>
      <c r="K3838" s="7" t="str">
        <f ca="1">IFERROR(__xludf.DUMMYFUNCTION("GOOGLETRANSLATE(H3838,""EN"",""ES"")"),"CALENDARIOS")</f>
        <v>CALENDARIOS</v>
      </c>
      <c r="L3838" s="5" t="str">
        <f ca="1">IFERROR(__xludf.DUMMYFUNCTION("GOOGLETRANSLATE(J3838,""EN"",""ES"")"),"calendarios de adviento")</f>
        <v>calendarios de adviento</v>
      </c>
      <c r="M3838" s="8" t="s">
        <v>65</v>
      </c>
      <c r="N3838" s="8"/>
    </row>
    <row r="3839" spans="1:14" ht="11.25" customHeight="1">
      <c r="A3839" s="5" t="s">
        <v>10870</v>
      </c>
      <c r="B3839" s="5" t="s">
        <v>11123</v>
      </c>
      <c r="C3839" s="5" t="s">
        <v>11141</v>
      </c>
      <c r="D3839" s="5" t="s">
        <v>10873</v>
      </c>
      <c r="E3839" s="5" t="s">
        <v>66</v>
      </c>
      <c r="F3839" s="5" t="s">
        <v>10874</v>
      </c>
      <c r="G3839" s="5" t="s">
        <v>152</v>
      </c>
      <c r="H3839" s="5" t="s">
        <v>11125</v>
      </c>
      <c r="I3839" s="5" t="s">
        <v>11142</v>
      </c>
      <c r="J3839" s="5" t="s">
        <v>11143</v>
      </c>
      <c r="K3839" s="7" t="str">
        <f ca="1">IFERROR(__xludf.DUMMYFUNCTION("GOOGLETRANSLATE(H3839,""EN"",""ES"")"),"CALENDARIOS")</f>
        <v>CALENDARIOS</v>
      </c>
      <c r="L3839" s="5" t="str">
        <f ca="1">IFERROR(__xludf.DUMMYFUNCTION("GOOGLETRANSLATE(J3839,""EN"",""ES"")"),"Gráficos murales para la planificación de vacaciones")</f>
        <v>Gráficos murales para la planificación de vacaciones</v>
      </c>
      <c r="M3839" s="8" t="s">
        <v>65</v>
      </c>
      <c r="N3839" s="8"/>
    </row>
    <row r="3840" spans="1:14" ht="11.25" customHeight="1">
      <c r="A3840" s="5" t="s">
        <v>10870</v>
      </c>
      <c r="B3840" s="5" t="s">
        <v>11144</v>
      </c>
      <c r="C3840" s="5" t="s">
        <v>11145</v>
      </c>
      <c r="D3840" s="5" t="s">
        <v>10873</v>
      </c>
      <c r="E3840" s="5" t="s">
        <v>66</v>
      </c>
      <c r="F3840" s="5" t="s">
        <v>10874</v>
      </c>
      <c r="G3840" s="5" t="s">
        <v>152</v>
      </c>
      <c r="H3840" s="5" t="s">
        <v>11146</v>
      </c>
      <c r="I3840" s="5" t="s">
        <v>11147</v>
      </c>
      <c r="J3840" s="5" t="s">
        <v>11148</v>
      </c>
      <c r="K3840" s="7" t="str">
        <f ca="1">IFERROR(__xludf.DUMMYFUNCTION("GOOGLETRANSLATE(H3840,""EN"",""ES"")"),"LIBROS Y OTROS OBJETOS DE ASPECTO EXTERIOR SIMILAR")</f>
        <v>LIBROS Y OTROS OBJETOS DE ASPECTO EXTERIOR SIMILAR</v>
      </c>
      <c r="L3840" s="5" t="str">
        <f ca="1">IFERROR(__xludf.DUMMYFUNCTION("GOOGLETRANSLATE(J3840,""EN"",""ES"")"),"Chaquetas para papeles")</f>
        <v>Chaquetas para papeles</v>
      </c>
      <c r="M3840" s="8" t="s">
        <v>65</v>
      </c>
      <c r="N3840" s="8"/>
    </row>
    <row r="3841" spans="1:14" ht="11.25" customHeight="1">
      <c r="A3841" s="5" t="s">
        <v>10870</v>
      </c>
      <c r="B3841" s="5" t="s">
        <v>11144</v>
      </c>
      <c r="C3841" s="5" t="s">
        <v>11145</v>
      </c>
      <c r="D3841" s="5" t="s">
        <v>10873</v>
      </c>
      <c r="E3841" s="5" t="s">
        <v>66</v>
      </c>
      <c r="F3841" s="5" t="s">
        <v>10874</v>
      </c>
      <c r="G3841" s="5" t="s">
        <v>152</v>
      </c>
      <c r="H3841" s="5" t="s">
        <v>11146</v>
      </c>
      <c r="I3841" s="5" t="s">
        <v>11149</v>
      </c>
      <c r="J3841" s="5" t="s">
        <v>152</v>
      </c>
      <c r="K3841" s="7" t="str">
        <f ca="1">IFERROR(__xludf.DUMMYFUNCTION("GOOGLETRANSLATE(H3841,""EN"",""ES"")"),"LIBROS Y OTROS OBJETOS DE ASPECTO EXTERIOR SIMILAR")</f>
        <v>LIBROS Y OTROS OBJETOS DE ASPECTO EXTERIOR SIMILAR</v>
      </c>
      <c r="L3841" s="5" t="str">
        <f ca="1">IFERROR(__xludf.DUMMYFUNCTION("GOOGLETRANSLATE(J3841,""EN"",""ES"")"),"Portafolios [papelería]")</f>
        <v>Portafolios [papelería]</v>
      </c>
      <c r="M3841" s="8" t="s">
        <v>65</v>
      </c>
      <c r="N3841" s="8"/>
    </row>
    <row r="3842" spans="1:14" ht="11.25" customHeight="1">
      <c r="A3842" s="5" t="s">
        <v>10870</v>
      </c>
      <c r="B3842" s="5" t="s">
        <v>11144</v>
      </c>
      <c r="C3842" s="5" t="s">
        <v>11150</v>
      </c>
      <c r="D3842" s="5" t="s">
        <v>10873</v>
      </c>
      <c r="E3842" s="5" t="s">
        <v>66</v>
      </c>
      <c r="F3842" s="5" t="s">
        <v>10874</v>
      </c>
      <c r="G3842" s="5" t="s">
        <v>152</v>
      </c>
      <c r="H3842" s="5" t="s">
        <v>11146</v>
      </c>
      <c r="I3842" s="5" t="s">
        <v>11151</v>
      </c>
      <c r="J3842" s="5" t="s">
        <v>11152</v>
      </c>
      <c r="K3842" s="7" t="str">
        <f ca="1">IFERROR(__xludf.DUMMYFUNCTION("GOOGLETRANSLATE(H3842,""EN"",""ES"")"),"LIBROS Y OTROS OBJETOS DE ASPECTO EXTERIOR SIMILAR")</f>
        <v>LIBROS Y OTROS OBJETOS DE ASPECTO EXTERIOR SIMILAR</v>
      </c>
      <c r="L3842" s="5" t="str">
        <f ca="1">IFERROR(__xludf.DUMMYFUNCTION("GOOGLETRANSLATE(J3842,""EN"",""ES"")"),"Archivos de oficina")</f>
        <v>Archivos de oficina</v>
      </c>
      <c r="M3842" s="8" t="s">
        <v>65</v>
      </c>
      <c r="N3842" s="8"/>
    </row>
    <row r="3843" spans="1:14" ht="11.25" customHeight="1">
      <c r="A3843" s="5" t="s">
        <v>10870</v>
      </c>
      <c r="B3843" s="5" t="s">
        <v>11144</v>
      </c>
      <c r="C3843" s="5" t="s">
        <v>11153</v>
      </c>
      <c r="D3843" s="5" t="s">
        <v>10873</v>
      </c>
      <c r="E3843" s="5" t="s">
        <v>66</v>
      </c>
      <c r="F3843" s="5" t="s">
        <v>10874</v>
      </c>
      <c r="G3843" s="5" t="s">
        <v>152</v>
      </c>
      <c r="H3843" s="5" t="s">
        <v>11146</v>
      </c>
      <c r="I3843" s="5" t="s">
        <v>11154</v>
      </c>
      <c r="J3843" s="5" t="s">
        <v>11155</v>
      </c>
      <c r="K3843" s="7" t="str">
        <f ca="1">IFERROR(__xludf.DUMMYFUNCTION("GOOGLETRANSLATE(H3843,""EN"",""ES"")"),"LIBROS Y OTROS OBJETOS DE ASPECTO EXTERIOR SIMILAR")</f>
        <v>LIBROS Y OTROS OBJETOS DE ASPECTO EXTERIOR SIMILAR</v>
      </c>
      <c r="L3843" s="5" t="str">
        <f ca="1">IFERROR(__xludf.DUMMYFUNCTION("GOOGLETRANSLATE(J3843,""EN"",""ES"")"),"Diarios")</f>
        <v>Diarios</v>
      </c>
      <c r="M3843" s="8" t="s">
        <v>65</v>
      </c>
      <c r="N3843" s="8"/>
    </row>
    <row r="3844" spans="1:14" ht="11.25" customHeight="1">
      <c r="A3844" s="5" t="s">
        <v>10870</v>
      </c>
      <c r="B3844" s="5" t="s">
        <v>11144</v>
      </c>
      <c r="C3844" s="5" t="s">
        <v>11156</v>
      </c>
      <c r="D3844" s="5" t="s">
        <v>10873</v>
      </c>
      <c r="E3844" s="5" t="s">
        <v>66</v>
      </c>
      <c r="F3844" s="5" t="s">
        <v>10874</v>
      </c>
      <c r="G3844" s="5" t="s">
        <v>152</v>
      </c>
      <c r="H3844" s="5" t="s">
        <v>11146</v>
      </c>
      <c r="I3844" s="5" t="s">
        <v>11157</v>
      </c>
      <c r="J3844" s="5" t="s">
        <v>11158</v>
      </c>
      <c r="K3844" s="7" t="str">
        <f ca="1">IFERROR(__xludf.DUMMYFUNCTION("GOOGLETRANSLATE(H3844,""EN"",""ES"")"),"LIBROS Y OTROS OBJETOS DE ASPECTO EXTERIOR SIMILAR")</f>
        <v>LIBROS Y OTROS OBJETOS DE ASPECTO EXTERIOR SIMILAR</v>
      </c>
      <c r="L3844" s="5" t="str">
        <f ca="1">IFERROR(__xludf.DUMMYFUNCTION("GOOGLETRANSLATE(J3844,""EN"",""ES"")"),"Libros de recortes")</f>
        <v>Libros de recortes</v>
      </c>
      <c r="M3844" s="8" t="s">
        <v>65</v>
      </c>
      <c r="N3844" s="8"/>
    </row>
    <row r="3845" spans="1:14" ht="11.25" customHeight="1">
      <c r="A3845" s="5" t="s">
        <v>10870</v>
      </c>
      <c r="B3845" s="5" t="s">
        <v>11144</v>
      </c>
      <c r="C3845" s="5" t="s">
        <v>11159</v>
      </c>
      <c r="D3845" s="5" t="s">
        <v>10873</v>
      </c>
      <c r="E3845" s="5" t="s">
        <v>66</v>
      </c>
      <c r="F3845" s="5" t="s">
        <v>10874</v>
      </c>
      <c r="G3845" s="5" t="s">
        <v>152</v>
      </c>
      <c r="H3845" s="5" t="s">
        <v>11146</v>
      </c>
      <c r="I3845" s="5" t="s">
        <v>11160</v>
      </c>
      <c r="J3845" s="5" t="s">
        <v>11161</v>
      </c>
      <c r="K3845" s="7" t="str">
        <f ca="1">IFERROR(__xludf.DUMMYFUNCTION("GOOGLETRANSLATE(H3845,""EN"",""ES"")"),"LIBROS Y OTROS OBJETOS DE ASPECTO EXTERIOR SIMILAR")</f>
        <v>LIBROS Y OTROS OBJETOS DE ASPECTO EXTERIOR SIMILAR</v>
      </c>
      <c r="L3845" s="5" t="str">
        <f ca="1">IFERROR(__xludf.DUMMYFUNCTION("GOOGLETRANSLATE(J3845,""EN"",""ES"")"),"Álbumes de todo tipo [sellos, fotografías, postales]")</f>
        <v>Álbumes de todo tipo [sellos, fotografías, postales]</v>
      </c>
      <c r="M3845" s="8" t="s">
        <v>65</v>
      </c>
      <c r="N3845" s="8"/>
    </row>
    <row r="3846" spans="1:14" ht="11.25" customHeight="1">
      <c r="A3846" s="5" t="s">
        <v>10870</v>
      </c>
      <c r="B3846" s="5" t="s">
        <v>11144</v>
      </c>
      <c r="C3846" s="5" t="s">
        <v>11162</v>
      </c>
      <c r="D3846" s="5" t="s">
        <v>10873</v>
      </c>
      <c r="E3846" s="5" t="s">
        <v>66</v>
      </c>
      <c r="F3846" s="5" t="s">
        <v>10874</v>
      </c>
      <c r="G3846" s="5" t="s">
        <v>152</v>
      </c>
      <c r="H3846" s="5" t="s">
        <v>11146</v>
      </c>
      <c r="I3846" s="5" t="s">
        <v>11163</v>
      </c>
      <c r="J3846" s="5" t="s">
        <v>11164</v>
      </c>
      <c r="K3846" s="7" t="str">
        <f ca="1">IFERROR(__xludf.DUMMYFUNCTION("GOOGLETRANSLATE(H3846,""EN"",""ES"")"),"LIBROS Y OTROS OBJETOS DE ASPECTO EXTERIOR SIMILAR")</f>
        <v>LIBROS Y OTROS OBJETOS DE ASPECTO EXTERIOR SIMILAR</v>
      </c>
      <c r="L3846" s="5" t="str">
        <f ca="1">IFERROR(__xludf.DUMMYFUNCTION("GOOGLETRANSLATE(J3846,""EN"",""ES"")"),"Almanaques")</f>
        <v>Almanaques</v>
      </c>
      <c r="M3846" s="8" t="s">
        <v>65</v>
      </c>
      <c r="N3846" s="8"/>
    </row>
    <row r="3847" spans="1:14" ht="11.25" customHeight="1">
      <c r="A3847" s="5" t="s">
        <v>10870</v>
      </c>
      <c r="B3847" s="5" t="s">
        <v>11144</v>
      </c>
      <c r="C3847" s="5" t="s">
        <v>11165</v>
      </c>
      <c r="D3847" s="5" t="s">
        <v>10873</v>
      </c>
      <c r="E3847" s="5" t="s">
        <v>66</v>
      </c>
      <c r="F3847" s="5" t="s">
        <v>10874</v>
      </c>
      <c r="G3847" s="5" t="s">
        <v>152</v>
      </c>
      <c r="H3847" s="5" t="s">
        <v>11146</v>
      </c>
      <c r="I3847" s="5" t="s">
        <v>11166</v>
      </c>
      <c r="J3847" s="5" t="s">
        <v>11167</v>
      </c>
      <c r="K3847" s="7" t="str">
        <f ca="1">IFERROR(__xludf.DUMMYFUNCTION("GOOGLETRANSLATE(H3847,""EN"",""ES"")"),"LIBROS Y OTROS OBJETOS DE ASPECTO EXTERIOR SIMILAR")</f>
        <v>LIBROS Y OTROS OBJETOS DE ASPECTO EXTERIOR SIMILAR</v>
      </c>
      <c r="L3847" s="5" t="str">
        <f ca="1">IFERROR(__xludf.DUMMYFUNCTION("GOOGLETRANSLATE(J3847,""EN"",""ES"")"),"Anillos de encuadernación")</f>
        <v>Anillos de encuadernación</v>
      </c>
      <c r="M3847" s="8" t="s">
        <v>65</v>
      </c>
      <c r="N3847" s="8"/>
    </row>
    <row r="3848" spans="1:14" ht="11.25" customHeight="1">
      <c r="A3848" s="5" t="s">
        <v>10870</v>
      </c>
      <c r="B3848" s="5" t="s">
        <v>11144</v>
      </c>
      <c r="C3848" s="5" t="s">
        <v>11168</v>
      </c>
      <c r="D3848" s="5" t="s">
        <v>10873</v>
      </c>
      <c r="E3848" s="5" t="s">
        <v>66</v>
      </c>
      <c r="F3848" s="5" t="s">
        <v>10874</v>
      </c>
      <c r="G3848" s="5" t="s">
        <v>152</v>
      </c>
      <c r="H3848" s="5" t="s">
        <v>11146</v>
      </c>
      <c r="I3848" s="5" t="s">
        <v>11169</v>
      </c>
      <c r="J3848" s="5" t="s">
        <v>11170</v>
      </c>
      <c r="K3848" s="7" t="str">
        <f ca="1">IFERROR(__xludf.DUMMYFUNCTION("GOOGLETRANSLATE(H3848,""EN"",""ES"")"),"LIBROS Y OTROS OBJETOS DE ASPECTO EXTERIOR SIMILAR")</f>
        <v>LIBROS Y OTROS OBJETOS DE ASPECTO EXTERIOR SIMILAR</v>
      </c>
      <c r="L3848" s="5" t="str">
        <f ca="1">IFERROR(__xludf.DUMMYFUNCTION("GOOGLETRANSLATE(J3848,""EN"",""ES"")"),"Marcadores para puente")</f>
        <v>Marcadores para puente</v>
      </c>
      <c r="M3848" s="8" t="s">
        <v>65</v>
      </c>
      <c r="N3848" s="8"/>
    </row>
    <row r="3849" spans="1:14" ht="11.25" customHeight="1">
      <c r="A3849" s="5" t="s">
        <v>10870</v>
      </c>
      <c r="B3849" s="5" t="s">
        <v>11144</v>
      </c>
      <c r="C3849" s="5" t="s">
        <v>11171</v>
      </c>
      <c r="D3849" s="5" t="s">
        <v>10873</v>
      </c>
      <c r="E3849" s="5" t="s">
        <v>66</v>
      </c>
      <c r="F3849" s="5" t="s">
        <v>10874</v>
      </c>
      <c r="G3849" s="5" t="s">
        <v>152</v>
      </c>
      <c r="H3849" s="5" t="s">
        <v>11146</v>
      </c>
      <c r="I3849" s="5" t="s">
        <v>11172</v>
      </c>
      <c r="J3849" s="5" t="s">
        <v>11173</v>
      </c>
      <c r="K3849" s="7" t="str">
        <f ca="1">IFERROR(__xludf.DUMMYFUNCTION("GOOGLETRANSLATE(H3849,""EN"",""ES"")"),"LIBROS Y OTROS OBJETOS DE ASPECTO EXTERIOR SIMILAR")</f>
        <v>LIBROS Y OTROS OBJETOS DE ASPECTO EXTERIOR SIMILAR</v>
      </c>
      <c r="L3849" s="5" t="str">
        <f ca="1">IFERROR(__xludf.DUMMYFUNCTION("GOOGLETRANSLATE(J3849,""EN"",""ES"")"),"Blocs de notas")</f>
        <v>Blocs de notas</v>
      </c>
      <c r="M3849" s="8" t="s">
        <v>65</v>
      </c>
      <c r="N3849" s="8"/>
    </row>
    <row r="3850" spans="1:14" ht="11.25" customHeight="1">
      <c r="A3850" s="5" t="s">
        <v>10870</v>
      </c>
      <c r="B3850" s="5" t="s">
        <v>11144</v>
      </c>
      <c r="C3850" s="5" t="s">
        <v>11174</v>
      </c>
      <c r="D3850" s="5" t="s">
        <v>10873</v>
      </c>
      <c r="E3850" s="5" t="s">
        <v>66</v>
      </c>
      <c r="F3850" s="5" t="s">
        <v>10874</v>
      </c>
      <c r="G3850" s="5" t="s">
        <v>152</v>
      </c>
      <c r="H3850" s="5" t="s">
        <v>11146</v>
      </c>
      <c r="I3850" s="5" t="s">
        <v>11175</v>
      </c>
      <c r="J3850" s="5" t="s">
        <v>11176</v>
      </c>
      <c r="K3850" s="7" t="str">
        <f ca="1">IFERROR(__xludf.DUMMYFUNCTION("GOOGLETRANSLATE(H3850,""EN"",""ES"")"),"LIBROS Y OTROS OBJETOS DE ASPECTO EXTERIOR SIMILAR")</f>
        <v>LIBROS Y OTROS OBJETOS DE ASPECTO EXTERIOR SIMILAR</v>
      </c>
      <c r="L3850" s="5" t="str">
        <f ca="1">IFERROR(__xludf.DUMMYFUNCTION("GOOGLETRANSLATE(J3850,""EN"",""ES"")"),"Cuadernos [libros]")</f>
        <v>Cuadernos [libros]</v>
      </c>
      <c r="M3850" s="8" t="s">
        <v>65</v>
      </c>
      <c r="N3850" s="8"/>
    </row>
    <row r="3851" spans="1:14" ht="11.25" customHeight="1">
      <c r="A3851" s="5" t="s">
        <v>10870</v>
      </c>
      <c r="B3851" s="5" t="s">
        <v>11144</v>
      </c>
      <c r="C3851" s="5" t="s">
        <v>11174</v>
      </c>
      <c r="D3851" s="5" t="s">
        <v>10873</v>
      </c>
      <c r="E3851" s="5" t="s">
        <v>66</v>
      </c>
      <c r="F3851" s="5" t="s">
        <v>10874</v>
      </c>
      <c r="G3851" s="5" t="s">
        <v>152</v>
      </c>
      <c r="H3851" s="5" t="s">
        <v>11146</v>
      </c>
      <c r="I3851" s="5" t="s">
        <v>152</v>
      </c>
      <c r="J3851" s="5" t="s">
        <v>11177</v>
      </c>
      <c r="K3851" s="7" t="str">
        <f ca="1">IFERROR(__xludf.DUMMYFUNCTION("GOOGLETRANSLATE(H3851,""EN"",""ES"")"),"LIBROS Y OTROS OBJETOS DE ASPECTO EXTERIOR SIMILAR")</f>
        <v>LIBROS Y OTROS OBJETOS DE ASPECTO EXTERIOR SIMILAR</v>
      </c>
      <c r="L3851" s="5" t="str">
        <f ca="1">IFERROR(__xludf.DUMMYFUNCTION("GOOGLETRANSLATE(J3851,""EN"",""ES"")"),"N / A")</f>
        <v>N / A</v>
      </c>
      <c r="M3851" s="8" t="s">
        <v>65</v>
      </c>
      <c r="N3851" s="8"/>
    </row>
    <row r="3852" spans="1:14" ht="11.25" customHeight="1">
      <c r="A3852" s="5" t="s">
        <v>10870</v>
      </c>
      <c r="B3852" s="5" t="s">
        <v>11144</v>
      </c>
      <c r="C3852" s="5" t="s">
        <v>11178</v>
      </c>
      <c r="D3852" s="5" t="s">
        <v>10873</v>
      </c>
      <c r="E3852" s="5" t="s">
        <v>66</v>
      </c>
      <c r="F3852" s="5" t="s">
        <v>10874</v>
      </c>
      <c r="G3852" s="5" t="s">
        <v>152</v>
      </c>
      <c r="H3852" s="5" t="s">
        <v>11146</v>
      </c>
      <c r="I3852" s="5" t="s">
        <v>11179</v>
      </c>
      <c r="J3852" s="5" t="s">
        <v>11180</v>
      </c>
      <c r="K3852" s="7" t="str">
        <f ca="1">IFERROR(__xludf.DUMMYFUNCTION("GOOGLETRANSLATE(H3852,""EN"",""ES"")"),"LIBROS Y OTROS OBJETOS DE ASPECTO EXTERIOR SIMILAR")</f>
        <v>LIBROS Y OTROS OBJETOS DE ASPECTO EXTERIOR SIMILAR</v>
      </c>
      <c r="L3852" s="5" t="str">
        <f ca="1">IFERROR(__xludf.DUMMYFUNCTION("GOOGLETRANSLATE(J3852,""EN"",""ES"")"),"Clasificadores de sellos postales")</f>
        <v>Clasificadores de sellos postales</v>
      </c>
      <c r="M3852" s="8" t="s">
        <v>65</v>
      </c>
      <c r="N3852" s="8"/>
    </row>
    <row r="3853" spans="1:14" ht="11.25" customHeight="1">
      <c r="A3853" s="5" t="s">
        <v>10870</v>
      </c>
      <c r="B3853" s="5" t="s">
        <v>11144</v>
      </c>
      <c r="C3853" s="5" t="s">
        <v>11181</v>
      </c>
      <c r="D3853" s="5" t="s">
        <v>10873</v>
      </c>
      <c r="E3853" s="5" t="s">
        <v>66</v>
      </c>
      <c r="F3853" s="5" t="s">
        <v>10874</v>
      </c>
      <c r="G3853" s="5" t="s">
        <v>152</v>
      </c>
      <c r="H3853" s="5" t="s">
        <v>11146</v>
      </c>
      <c r="I3853" s="5" t="s">
        <v>11182</v>
      </c>
      <c r="J3853" s="5" t="s">
        <v>11183</v>
      </c>
      <c r="K3853" s="7" t="str">
        <f ca="1">IFERROR(__xludf.DUMMYFUNCTION("GOOGLETRANSLATE(H3853,""EN"",""ES"")"),"LIBROS Y OTROS OBJETOS DE ASPECTO EXTERIOR SIMILAR")</f>
        <v>LIBROS Y OTROS OBJETOS DE ASPECTO EXTERIOR SIMILAR</v>
      </c>
      <c r="L3853" s="5" t="str">
        <f ca="1">IFERROR(__xludf.DUMMYFUNCTION("GOOGLETRANSLATE(J3853,""EN"",""ES"")"),"portadas de libros")</f>
        <v>portadas de libros</v>
      </c>
      <c r="M3853" s="8" t="s">
        <v>65</v>
      </c>
      <c r="N3853" s="8"/>
    </row>
    <row r="3854" spans="1:14" ht="11.25" customHeight="1">
      <c r="A3854" s="5" t="s">
        <v>10870</v>
      </c>
      <c r="B3854" s="5" t="s">
        <v>11144</v>
      </c>
      <c r="C3854" s="5" t="s">
        <v>11184</v>
      </c>
      <c r="D3854" s="5" t="s">
        <v>10873</v>
      </c>
      <c r="E3854" s="5" t="s">
        <v>66</v>
      </c>
      <c r="F3854" s="5" t="s">
        <v>10874</v>
      </c>
      <c r="G3854" s="5" t="s">
        <v>152</v>
      </c>
      <c r="H3854" s="5" t="s">
        <v>11146</v>
      </c>
      <c r="I3854" s="5" t="s">
        <v>11185</v>
      </c>
      <c r="J3854" s="5" t="s">
        <v>11186</v>
      </c>
      <c r="K3854" s="7" t="str">
        <f ca="1">IFERROR(__xludf.DUMMYFUNCTION("GOOGLETRANSLATE(H3854,""EN"",""ES"")"),"LIBROS Y OTROS OBJETOS DE ASPECTO EXTERIOR SIMILAR")</f>
        <v>LIBROS Y OTROS OBJETOS DE ASPECTO EXTERIOR SIMILAR</v>
      </c>
      <c r="L3854" s="5" t="str">
        <f ca="1">IFERROR(__xludf.DUMMYFUNCTION("GOOGLETRANSLATE(J3854,""EN"",""ES"")"),"Álbumes de fotografías")</f>
        <v>Álbumes de fotografías</v>
      </c>
      <c r="M3854" s="8" t="s">
        <v>65</v>
      </c>
      <c r="N3854" s="8"/>
    </row>
    <row r="3855" spans="1:14" ht="11.25" customHeight="1">
      <c r="A3855" s="5" t="s">
        <v>10870</v>
      </c>
      <c r="B3855" s="5" t="s">
        <v>11144</v>
      </c>
      <c r="C3855" s="5" t="s">
        <v>11184</v>
      </c>
      <c r="D3855" s="5" t="s">
        <v>10873</v>
      </c>
      <c r="E3855" s="5" t="s">
        <v>66</v>
      </c>
      <c r="F3855" s="5" t="s">
        <v>10874</v>
      </c>
      <c r="G3855" s="5" t="s">
        <v>152</v>
      </c>
      <c r="H3855" s="5" t="s">
        <v>11146</v>
      </c>
      <c r="I3855" s="5" t="s">
        <v>11187</v>
      </c>
      <c r="J3855" s="5" t="s">
        <v>11188</v>
      </c>
      <c r="K3855" s="7" t="str">
        <f ca="1">IFERROR(__xludf.DUMMYFUNCTION("GOOGLETRANSLATE(H3855,""EN"",""ES"")"),"LIBROS Y OTROS OBJETOS DE ASPECTO EXTERIOR SIMILAR")</f>
        <v>LIBROS Y OTROS OBJETOS DE ASPECTO EXTERIOR SIMILAR</v>
      </c>
      <c r="L3855" s="5" t="str">
        <f ca="1">IFERROR(__xludf.DUMMYFUNCTION("GOOGLETRANSLATE(J3855,""EN"",""ES"")"),"Álbumes de instantáneas")</f>
        <v>Álbumes de instantáneas</v>
      </c>
      <c r="M3855" s="8" t="s">
        <v>65</v>
      </c>
      <c r="N3855" s="8"/>
    </row>
    <row r="3856" spans="1:14" ht="11.25" customHeight="1">
      <c r="A3856" s="5" t="s">
        <v>10870</v>
      </c>
      <c r="B3856" s="5" t="s">
        <v>11144</v>
      </c>
      <c r="C3856" s="5" t="s">
        <v>11189</v>
      </c>
      <c r="D3856" s="5" t="s">
        <v>10873</v>
      </c>
      <c r="E3856" s="5" t="s">
        <v>66</v>
      </c>
      <c r="F3856" s="5" t="s">
        <v>10874</v>
      </c>
      <c r="G3856" s="5" t="s">
        <v>152</v>
      </c>
      <c r="H3856" s="5" t="s">
        <v>11146</v>
      </c>
      <c r="I3856" s="5" t="s">
        <v>11190</v>
      </c>
      <c r="J3856" s="5" t="s">
        <v>11191</v>
      </c>
      <c r="K3856" s="7" t="str">
        <f ca="1">IFERROR(__xludf.DUMMYFUNCTION("GOOGLETRANSLATE(H3856,""EN"",""ES"")"),"LIBROS Y OTROS OBJETOS DE ASPECTO EXTERIOR SIMILAR")</f>
        <v>LIBROS Y OTROS OBJETOS DE ASPECTO EXTERIOR SIMILAR</v>
      </c>
      <c r="L3856" s="5" t="str">
        <f ca="1">IFERROR(__xludf.DUMMYFUNCTION("GOOGLETRANSLATE(J3856,""EN"",""ES"")"),"Libros")</f>
        <v>Libros</v>
      </c>
      <c r="M3856" s="8" t="s">
        <v>65</v>
      </c>
      <c r="N3856" s="8"/>
    </row>
    <row r="3857" spans="1:14" ht="11.25" customHeight="1">
      <c r="A3857" s="5" t="s">
        <v>10870</v>
      </c>
      <c r="B3857" s="5" t="s">
        <v>11144</v>
      </c>
      <c r="C3857" s="5" t="s">
        <v>11192</v>
      </c>
      <c r="D3857" s="5" t="s">
        <v>10873</v>
      </c>
      <c r="E3857" s="5" t="s">
        <v>66</v>
      </c>
      <c r="F3857" s="5" t="s">
        <v>10874</v>
      </c>
      <c r="G3857" s="5" t="s">
        <v>152</v>
      </c>
      <c r="H3857" s="5" t="s">
        <v>11146</v>
      </c>
      <c r="I3857" s="5" t="s">
        <v>11193</v>
      </c>
      <c r="J3857" s="5" t="s">
        <v>11194</v>
      </c>
      <c r="K3857" s="7" t="str">
        <f ca="1">IFERROR(__xludf.DUMMYFUNCTION("GOOGLETRANSLATE(H3857,""EN"",""ES"")"),"LIBROS Y OTROS OBJETOS DE ASPECTO EXTERIOR SIMILAR")</f>
        <v>LIBROS Y OTROS OBJETOS DE ASPECTO EXTERIOR SIMILAR</v>
      </c>
      <c r="L3857" s="5" t="str">
        <f ca="1">IFERROR(__xludf.DUMMYFUNCTION("GOOGLETRANSLATE(J3857,""EN"",""ES"")"),"Folletos")</f>
        <v>Folletos</v>
      </c>
      <c r="M3857" s="8" t="s">
        <v>65</v>
      </c>
      <c r="N3857" s="8"/>
    </row>
    <row r="3858" spans="1:14" ht="11.25" customHeight="1">
      <c r="A3858" s="5" t="s">
        <v>10870</v>
      </c>
      <c r="B3858" s="5" t="s">
        <v>11144</v>
      </c>
      <c r="C3858" s="5" t="s">
        <v>11195</v>
      </c>
      <c r="D3858" s="5" t="s">
        <v>10873</v>
      </c>
      <c r="E3858" s="5" t="s">
        <v>66</v>
      </c>
      <c r="F3858" s="5" t="s">
        <v>10874</v>
      </c>
      <c r="G3858" s="5" t="s">
        <v>152</v>
      </c>
      <c r="H3858" s="5" t="s">
        <v>11146</v>
      </c>
      <c r="I3858" s="5" t="s">
        <v>11196</v>
      </c>
      <c r="J3858" s="5" t="s">
        <v>11197</v>
      </c>
      <c r="K3858" s="7" t="str">
        <f ca="1">IFERROR(__xludf.DUMMYFUNCTION("GOOGLETRANSLATE(H3858,""EN"",""ES"")"),"LIBROS Y OTROS OBJETOS DE ASPECTO EXTERIOR SIMILAR")</f>
        <v>LIBROS Y OTROS OBJETOS DE ASPECTO EXTERIOR SIMILAR</v>
      </c>
      <c r="L3858" s="5" t="str">
        <f ca="1">IFERROR(__xludf.DUMMYFUNCTION("GOOGLETRANSLATE(J3858,""EN"",""ES"")"),"Libros mayores de oficina")</f>
        <v>Libros mayores de oficina</v>
      </c>
      <c r="M3858" s="8" t="s">
        <v>65</v>
      </c>
      <c r="N3858" s="8"/>
    </row>
    <row r="3859" spans="1:14" ht="11.25" customHeight="1">
      <c r="A3859" s="5" t="s">
        <v>10870</v>
      </c>
      <c r="B3859" s="5" t="s">
        <v>11144</v>
      </c>
      <c r="C3859" s="5" t="s">
        <v>11198</v>
      </c>
      <c r="D3859" s="5" t="s">
        <v>10873</v>
      </c>
      <c r="E3859" s="5" t="s">
        <v>66</v>
      </c>
      <c r="F3859" s="5" t="s">
        <v>10874</v>
      </c>
      <c r="G3859" s="5" t="s">
        <v>152</v>
      </c>
      <c r="H3859" s="5" t="s">
        <v>11146</v>
      </c>
      <c r="I3859" s="5" t="s">
        <v>11199</v>
      </c>
      <c r="J3859" s="5" t="s">
        <v>11200</v>
      </c>
      <c r="K3859" s="7" t="str">
        <f ca="1">IFERROR(__xludf.DUMMYFUNCTION("GOOGLETRANSLATE(H3859,""EN"",""ES"")"),"LIBROS Y OTROS OBJETOS DE ASPECTO EXTERIOR SIMILAR")</f>
        <v>LIBROS Y OTROS OBJETOS DE ASPECTO EXTERIOR SIMILAR</v>
      </c>
      <c r="L3859" s="5" t="str">
        <f ca="1">IFERROR(__xludf.DUMMYFUNCTION("GOOGLETRANSLATE(J3859,""EN"",""ES"")"),"Encuadernaciones [libro]")</f>
        <v>Encuadernaciones [libro]</v>
      </c>
      <c r="M3859" s="8" t="s">
        <v>65</v>
      </c>
      <c r="N3859" s="8"/>
    </row>
    <row r="3860" spans="1:14" ht="11.25" customHeight="1">
      <c r="A3860" s="5" t="s">
        <v>10870</v>
      </c>
      <c r="B3860" s="5" t="s">
        <v>11144</v>
      </c>
      <c r="C3860" s="5" t="s">
        <v>11201</v>
      </c>
      <c r="D3860" s="5" t="s">
        <v>10873</v>
      </c>
      <c r="E3860" s="5" t="s">
        <v>66</v>
      </c>
      <c r="F3860" s="5" t="s">
        <v>10874</v>
      </c>
      <c r="G3860" s="5" t="s">
        <v>152</v>
      </c>
      <c r="H3860" s="5" t="s">
        <v>11146</v>
      </c>
      <c r="I3860" s="5" t="s">
        <v>11202</v>
      </c>
      <c r="J3860" s="5" t="s">
        <v>11203</v>
      </c>
      <c r="K3860" s="7" t="str">
        <f ca="1">IFERROR(__xludf.DUMMYFUNCTION("GOOGLETRANSLATE(H3860,""EN"",""ES"")"),"LIBROS Y OTROS OBJETOS DE ASPECTO EXTERIOR SIMILAR")</f>
        <v>LIBROS Y OTROS OBJETOS DE ASPECTO EXTERIOR SIMILAR</v>
      </c>
      <c r="L3860" s="5" t="str">
        <f ca="1">IFERROR(__xludf.DUMMYFUNCTION("GOOGLETRANSLATE(J3860,""EN"",""ES"")"),"Revistas")</f>
        <v>Revistas</v>
      </c>
      <c r="M3860" s="8" t="s">
        <v>65</v>
      </c>
      <c r="N3860" s="8"/>
    </row>
    <row r="3861" spans="1:14" ht="11.25" customHeight="1">
      <c r="A3861" s="5" t="s">
        <v>10870</v>
      </c>
      <c r="B3861" s="5" t="s">
        <v>11144</v>
      </c>
      <c r="C3861" s="5" t="s">
        <v>11204</v>
      </c>
      <c r="D3861" s="5" t="s">
        <v>10873</v>
      </c>
      <c r="E3861" s="5" t="s">
        <v>66</v>
      </c>
      <c r="F3861" s="5" t="s">
        <v>10874</v>
      </c>
      <c r="G3861" s="5" t="s">
        <v>152</v>
      </c>
      <c r="H3861" s="5" t="s">
        <v>11146</v>
      </c>
      <c r="I3861" s="5" t="s">
        <v>11205</v>
      </c>
      <c r="J3861" s="5" t="s">
        <v>11205</v>
      </c>
      <c r="K3861" s="7" t="str">
        <f ca="1">IFERROR(__xludf.DUMMYFUNCTION("GOOGLETRANSLATE(H3861,""EN"",""ES"")"),"LIBROS Y OTROS OBJETOS DE ASPECTO EXTERIOR SIMILAR")</f>
        <v>LIBROS Y OTROS OBJETOS DE ASPECTO EXTERIOR SIMILAR</v>
      </c>
      <c r="L3861" s="5" t="str">
        <f ca="1">IFERROR(__xludf.DUMMYFUNCTION("GOOGLETRANSLATE(J3861,""EN"",""ES"")"),"Catálogos")</f>
        <v>Catálogos</v>
      </c>
      <c r="M3861" s="8" t="s">
        <v>65</v>
      </c>
      <c r="N3861" s="8"/>
    </row>
    <row r="3862" spans="1:14" ht="11.25" customHeight="1">
      <c r="A3862" s="5" t="s">
        <v>10870</v>
      </c>
      <c r="B3862" s="5" t="s">
        <v>11144</v>
      </c>
      <c r="C3862" s="5" t="s">
        <v>11204</v>
      </c>
      <c r="D3862" s="5" t="s">
        <v>10873</v>
      </c>
      <c r="E3862" s="5" t="s">
        <v>66</v>
      </c>
      <c r="F3862" s="5" t="s">
        <v>10874</v>
      </c>
      <c r="G3862" s="5" t="s">
        <v>152</v>
      </c>
      <c r="H3862" s="5" t="s">
        <v>11146</v>
      </c>
      <c r="I3862" s="5" t="s">
        <v>11206</v>
      </c>
      <c r="J3862" s="5" t="s">
        <v>152</v>
      </c>
      <c r="K3862" s="7" t="str">
        <f ca="1">IFERROR(__xludf.DUMMYFUNCTION("GOOGLETRANSLATE(H3862,""EN"",""ES"")"),"LIBROS Y OTROS OBJETOS DE ASPECTO EXTERIOR SIMILAR")</f>
        <v>LIBROS Y OTROS OBJETOS DE ASPECTO EXTERIOR SIMILAR</v>
      </c>
      <c r="L3862" s="5" t="str">
        <f ca="1">IFERROR(__xludf.DUMMYFUNCTION("GOOGLETRANSLATE(J3862,""EN"",""ES"")"),"Catálogos")</f>
        <v>Catálogos</v>
      </c>
      <c r="M3862" s="8" t="s">
        <v>65</v>
      </c>
      <c r="N3862" s="8"/>
    </row>
    <row r="3863" spans="1:14" ht="11.25" customHeight="1">
      <c r="A3863" s="5" t="s">
        <v>10870</v>
      </c>
      <c r="B3863" s="5" t="s">
        <v>11144</v>
      </c>
      <c r="C3863" s="5" t="s">
        <v>11207</v>
      </c>
      <c r="D3863" s="5" t="s">
        <v>10873</v>
      </c>
      <c r="E3863" s="5" t="s">
        <v>66</v>
      </c>
      <c r="F3863" s="5" t="s">
        <v>10874</v>
      </c>
      <c r="G3863" s="5" t="s">
        <v>152</v>
      </c>
      <c r="H3863" s="5" t="s">
        <v>11146</v>
      </c>
      <c r="I3863" s="5" t="s">
        <v>11208</v>
      </c>
      <c r="J3863" s="5" t="s">
        <v>11209</v>
      </c>
      <c r="K3863" s="7" t="str">
        <f ca="1">IFERROR(__xludf.DUMMYFUNCTION("GOOGLETRANSLATE(H3863,""EN"",""ES"")"),"LIBROS Y OTROS OBJETOS DE ASPECTO EXTERIOR SIMILAR")</f>
        <v>LIBROS Y OTROS OBJETOS DE ASPECTO EXTERIOR SIMILAR</v>
      </c>
      <c r="L3863" s="5" t="str">
        <f ca="1">IFERROR(__xludf.DUMMYFUNCTION("GOOGLETRANSLATE(J3863,""EN"",""ES"")"),"Álbumes de sellos")</f>
        <v>Álbumes de sellos</v>
      </c>
      <c r="M3863" s="8" t="s">
        <v>65</v>
      </c>
      <c r="N3863" s="8"/>
    </row>
    <row r="3864" spans="1:14" ht="11.25" customHeight="1">
      <c r="A3864" s="5" t="s">
        <v>10870</v>
      </c>
      <c r="B3864" s="5" t="s">
        <v>11144</v>
      </c>
      <c r="C3864" s="5" t="s">
        <v>11210</v>
      </c>
      <c r="D3864" s="5" t="s">
        <v>10873</v>
      </c>
      <c r="E3864" s="5" t="s">
        <v>66</v>
      </c>
      <c r="F3864" s="5" t="s">
        <v>10874</v>
      </c>
      <c r="G3864" s="5" t="s">
        <v>152</v>
      </c>
      <c r="H3864" s="5" t="s">
        <v>11146</v>
      </c>
      <c r="I3864" s="5" t="s">
        <v>11211</v>
      </c>
      <c r="J3864" s="5" t="s">
        <v>11212</v>
      </c>
      <c r="K3864" s="7" t="str">
        <f ca="1">IFERROR(__xludf.DUMMYFUNCTION("GOOGLETRANSLATE(H3864,""EN"",""ES"")"),"LIBROS Y OTROS OBJETOS DE ASPECTO EXTERIOR SIMILAR")</f>
        <v>LIBROS Y OTROS OBJETOS DE ASPECTO EXTERIOR SIMILAR</v>
      </c>
      <c r="L3864" s="5" t="str">
        <f ca="1">IFERROR(__xludf.DUMMYFUNCTION("GOOGLETRANSLATE(J3864,""EN"",""ES"")"),"Álbumes de postales")</f>
        <v>Álbumes de postales</v>
      </c>
      <c r="M3864" s="8" t="s">
        <v>65</v>
      </c>
      <c r="N3864" s="8"/>
    </row>
    <row r="3865" spans="1:14" ht="11.25" customHeight="1">
      <c r="A3865" s="5" t="s">
        <v>10870</v>
      </c>
      <c r="B3865" s="5" t="s">
        <v>11144</v>
      </c>
      <c r="C3865" s="5" t="s">
        <v>11213</v>
      </c>
      <c r="D3865" s="5" t="s">
        <v>10873</v>
      </c>
      <c r="E3865" s="5" t="s">
        <v>66</v>
      </c>
      <c r="F3865" s="5" t="s">
        <v>10874</v>
      </c>
      <c r="G3865" s="5" t="s">
        <v>152</v>
      </c>
      <c r="H3865" s="5" t="s">
        <v>11146</v>
      </c>
      <c r="I3865" s="5" t="s">
        <v>11214</v>
      </c>
      <c r="J3865" s="5" t="s">
        <v>11215</v>
      </c>
      <c r="K3865" s="7" t="str">
        <f ca="1">IFERROR(__xludf.DUMMYFUNCTION("GOOGLETRANSLATE(H3865,""EN"",""ES"")"),"LIBROS Y OTROS OBJETOS DE ASPECTO EXTERIOR SIMILAR")</f>
        <v>LIBROS Y OTROS OBJETOS DE ASPECTO EXTERIOR SIMILAR</v>
      </c>
      <c r="L3865" s="5" t="str">
        <f ca="1">IFERROR(__xludf.DUMMYFUNCTION("GOOGLETRANSLATE(J3865,""EN"",""ES"")"),"sobrecubiertas de libros")</f>
        <v>sobrecubiertas de libros</v>
      </c>
      <c r="M3865" s="8" t="s">
        <v>65</v>
      </c>
      <c r="N3865" s="8"/>
    </row>
    <row r="3866" spans="1:14" ht="11.25" customHeight="1">
      <c r="A3866" s="5" t="s">
        <v>10870</v>
      </c>
      <c r="B3866" s="5" t="s">
        <v>11144</v>
      </c>
      <c r="C3866" s="5" t="s">
        <v>11213</v>
      </c>
      <c r="D3866" s="5" t="s">
        <v>10873</v>
      </c>
      <c r="E3866" s="5" t="s">
        <v>66</v>
      </c>
      <c r="F3866" s="5" t="s">
        <v>10874</v>
      </c>
      <c r="G3866" s="5" t="s">
        <v>152</v>
      </c>
      <c r="H3866" s="5" t="s">
        <v>11146</v>
      </c>
      <c r="I3866" s="5" t="s">
        <v>152</v>
      </c>
      <c r="J3866" s="5" t="s">
        <v>11216</v>
      </c>
      <c r="K3866" s="7" t="str">
        <f ca="1">IFERROR(__xludf.DUMMYFUNCTION("GOOGLETRANSLATE(H3866,""EN"",""ES"")"),"LIBROS Y OTROS OBJETOS DE ASPECTO EXTERIOR SIMILAR")</f>
        <v>LIBROS Y OTROS OBJETOS DE ASPECTO EXTERIOR SIMILAR</v>
      </c>
      <c r="L3866" s="5" t="str">
        <f ca="1">IFERROR(__xludf.DUMMYFUNCTION("GOOGLETRANSLATE(J3866,""EN"",""ES"")"),"N / A")</f>
        <v>N / A</v>
      </c>
      <c r="M3866" s="8" t="s">
        <v>65</v>
      </c>
      <c r="N3866" s="8"/>
    </row>
    <row r="3867" spans="1:14" ht="11.25" customHeight="1">
      <c r="A3867" s="5" t="s">
        <v>10870</v>
      </c>
      <c r="B3867" s="5" t="s">
        <v>11144</v>
      </c>
      <c r="C3867" s="5" t="s">
        <v>11217</v>
      </c>
      <c r="D3867" s="5" t="s">
        <v>10873</v>
      </c>
      <c r="E3867" s="5" t="s">
        <v>66</v>
      </c>
      <c r="F3867" s="5" t="s">
        <v>10874</v>
      </c>
      <c r="G3867" s="5" t="s">
        <v>152</v>
      </c>
      <c r="H3867" s="5" t="s">
        <v>11146</v>
      </c>
      <c r="I3867" s="5" t="s">
        <v>11218</v>
      </c>
      <c r="J3867" s="5" t="s">
        <v>11219</v>
      </c>
      <c r="K3867" s="7" t="str">
        <f ca="1">IFERROR(__xludf.DUMMYFUNCTION("GOOGLETRANSLATE(H3867,""EN"",""ES"")"),"LIBROS Y OTROS OBJETOS DE ASPECTO EXTERIOR SIMILAR")</f>
        <v>LIBROS Y OTROS OBJETOS DE ASPECTO EXTERIOR SIMILAR</v>
      </c>
      <c r="L3867" s="5" t="str">
        <f ca="1">IFERROR(__xludf.DUMMYFUNCTION("GOOGLETRANSLATE(J3867,""EN"",""ES"")"),"libros de contabilidad")</f>
        <v>libros de contabilidad</v>
      </c>
      <c r="M3867" s="8" t="s">
        <v>65</v>
      </c>
      <c r="N3867" s="8"/>
    </row>
    <row r="3868" spans="1:14" ht="11.25" customHeight="1">
      <c r="A3868" s="5" t="s">
        <v>10870</v>
      </c>
      <c r="B3868" s="5" t="s">
        <v>11144</v>
      </c>
      <c r="C3868" s="5" t="s">
        <v>11220</v>
      </c>
      <c r="D3868" s="5" t="s">
        <v>10873</v>
      </c>
      <c r="E3868" s="5" t="s">
        <v>66</v>
      </c>
      <c r="F3868" s="5" t="s">
        <v>10874</v>
      </c>
      <c r="G3868" s="5" t="s">
        <v>152</v>
      </c>
      <c r="H3868" s="5" t="s">
        <v>11146</v>
      </c>
      <c r="I3868" s="5" t="s">
        <v>11221</v>
      </c>
      <c r="J3868" s="5" t="s">
        <v>11222</v>
      </c>
      <c r="K3868" s="7" t="str">
        <f ca="1">IFERROR(__xludf.DUMMYFUNCTION("GOOGLETRANSLATE(H3868,""EN"",""ES"")"),"LIBROS Y OTROS OBJETOS DE ASPECTO EXTERIOR SIMILAR")</f>
        <v>LIBROS Y OTROS OBJETOS DE ASPECTO EXTERIOR SIMILAR</v>
      </c>
      <c r="L3868" s="5" t="str">
        <f ca="1">IFERROR(__xludf.DUMMYFUNCTION("GOOGLETRANSLATE(J3868,""EN"",""ES"")"),"Libros de música")</f>
        <v>Libros de música</v>
      </c>
      <c r="M3868" s="8" t="s">
        <v>65</v>
      </c>
      <c r="N3868" s="8"/>
    </row>
    <row r="3869" spans="1:14" ht="11.25" customHeight="1">
      <c r="A3869" s="5" t="s">
        <v>10870</v>
      </c>
      <c r="B3869" s="5" t="s">
        <v>11144</v>
      </c>
      <c r="C3869" s="5" t="s">
        <v>11223</v>
      </c>
      <c r="D3869" s="5" t="s">
        <v>10873</v>
      </c>
      <c r="E3869" s="5" t="s">
        <v>66</v>
      </c>
      <c r="F3869" s="5" t="s">
        <v>10874</v>
      </c>
      <c r="G3869" s="5" t="s">
        <v>152</v>
      </c>
      <c r="H3869" s="5" t="s">
        <v>11146</v>
      </c>
      <c r="I3869" s="5" t="s">
        <v>11224</v>
      </c>
      <c r="J3869" s="5" t="s">
        <v>11225</v>
      </c>
      <c r="K3869" s="7" t="str">
        <f ca="1">IFERROR(__xludf.DUMMYFUNCTION("GOOGLETRANSLATE(H3869,""EN"",""ES"")"),"LIBROS Y OTROS OBJETOS DE ASPECTO EXTERIOR SIMILAR")</f>
        <v>LIBROS Y OTROS OBJETOS DE ASPECTO EXTERIOR SIMILAR</v>
      </c>
      <c r="L3869" s="5" t="str">
        <f ca="1">IFERROR(__xludf.DUMMYFUNCTION("GOOGLETRANSLATE(J3869,""EN"",""ES"")"),"Carpetas de documentos")</f>
        <v>Carpetas de documentos</v>
      </c>
      <c r="M3869" s="8" t="s">
        <v>65</v>
      </c>
      <c r="N3869" s="8"/>
    </row>
    <row r="3870" spans="1:14" ht="11.25" customHeight="1">
      <c r="A3870" s="5" t="s">
        <v>10870</v>
      </c>
      <c r="B3870" s="5" t="s">
        <v>11144</v>
      </c>
      <c r="C3870" s="5" t="s">
        <v>11223</v>
      </c>
      <c r="D3870" s="5" t="s">
        <v>10873</v>
      </c>
      <c r="E3870" s="5" t="s">
        <v>66</v>
      </c>
      <c r="F3870" s="5" t="s">
        <v>10874</v>
      </c>
      <c r="G3870" s="5" t="s">
        <v>152</v>
      </c>
      <c r="H3870" s="5" t="s">
        <v>11146</v>
      </c>
      <c r="I3870" s="5" t="s">
        <v>152</v>
      </c>
      <c r="J3870" s="5" t="s">
        <v>11226</v>
      </c>
      <c r="K3870" s="7" t="str">
        <f ca="1">IFERROR(__xludf.DUMMYFUNCTION("GOOGLETRANSLATE(H3870,""EN"",""ES"")"),"LIBROS Y OTROS OBJETOS DE ASPECTO EXTERIOR SIMILAR")</f>
        <v>LIBROS Y OTROS OBJETOS DE ASPECTO EXTERIOR SIMILAR</v>
      </c>
      <c r="L3870" s="5" t="str">
        <f ca="1">IFERROR(__xludf.DUMMYFUNCTION("GOOGLETRANSLATE(J3870,""EN"",""ES"")"),"N / A")</f>
        <v>N / A</v>
      </c>
      <c r="M3870" s="8" t="s">
        <v>65</v>
      </c>
      <c r="N3870" s="8"/>
    </row>
    <row r="3871" spans="1:14" ht="11.25" customHeight="1">
      <c r="A3871" s="5" t="s">
        <v>10870</v>
      </c>
      <c r="B3871" s="5" t="s">
        <v>11144</v>
      </c>
      <c r="C3871" s="5" t="s">
        <v>11227</v>
      </c>
      <c r="D3871" s="5" t="s">
        <v>10873</v>
      </c>
      <c r="E3871" s="5" t="s">
        <v>66</v>
      </c>
      <c r="F3871" s="5" t="s">
        <v>10874</v>
      </c>
      <c r="G3871" s="5" t="s">
        <v>152</v>
      </c>
      <c r="H3871" s="5" t="s">
        <v>11146</v>
      </c>
      <c r="I3871" s="5" t="s">
        <v>11228</v>
      </c>
      <c r="J3871" s="5" t="s">
        <v>11229</v>
      </c>
      <c r="K3871" s="7" t="str">
        <f ca="1">IFERROR(__xludf.DUMMYFUNCTION("GOOGLETRANSLATE(H3871,""EN"",""ES"")"),"LIBROS Y OTROS OBJETOS DE ASPECTO EXTERIOR SIMILAR")</f>
        <v>LIBROS Y OTROS OBJETOS DE ASPECTO EXTERIOR SIMILAR</v>
      </c>
      <c r="L3871" s="5" t="str">
        <f ca="1">IFERROR(__xludf.DUMMYFUNCTION("GOOGLETRANSLATE(J3871,""EN"",""ES"")"),"Libretas de direcciones")</f>
        <v>Libretas de direcciones</v>
      </c>
      <c r="M3871" s="8" t="s">
        <v>65</v>
      </c>
      <c r="N3871" s="8"/>
    </row>
    <row r="3872" spans="1:14" ht="11.25" customHeight="1">
      <c r="A3872" s="5" t="s">
        <v>10870</v>
      </c>
      <c r="B3872" s="5" t="s">
        <v>11144</v>
      </c>
      <c r="C3872" s="5" t="s">
        <v>11230</v>
      </c>
      <c r="D3872" s="5" t="s">
        <v>10873</v>
      </c>
      <c r="E3872" s="5" t="s">
        <v>66</v>
      </c>
      <c r="F3872" s="5" t="s">
        <v>10874</v>
      </c>
      <c r="G3872" s="5" t="s">
        <v>152</v>
      </c>
      <c r="H3872" s="5" t="s">
        <v>11146</v>
      </c>
      <c r="I3872" s="5" t="s">
        <v>11231</v>
      </c>
      <c r="J3872" s="5" t="s">
        <v>11232</v>
      </c>
      <c r="K3872" s="7" t="str">
        <f ca="1">IFERROR(__xludf.DUMMYFUNCTION("GOOGLETRANSLATE(H3872,""EN"",""ES"")"),"LIBROS Y OTROS OBJETOS DE ASPECTO EXTERIOR SIMILAR")</f>
        <v>LIBROS Y OTROS OBJETOS DE ASPECTO EXTERIOR SIMILAR</v>
      </c>
      <c r="L3872" s="5" t="str">
        <f ca="1">IFERROR(__xludf.DUMMYFUNCTION("GOOGLETRANSLATE(J3872,""EN"",""ES"")"),"Almohadillas taquigráficas")</f>
        <v>Almohadillas taquigráficas</v>
      </c>
      <c r="M3872" s="8" t="s">
        <v>65</v>
      </c>
      <c r="N3872" s="8"/>
    </row>
    <row r="3873" spans="1:14" ht="11.25" customHeight="1">
      <c r="A3873" s="5" t="s">
        <v>10870</v>
      </c>
      <c r="B3873" s="5" t="s">
        <v>11144</v>
      </c>
      <c r="C3873" s="5" t="s">
        <v>11233</v>
      </c>
      <c r="D3873" s="5" t="s">
        <v>10873</v>
      </c>
      <c r="E3873" s="5" t="s">
        <v>66</v>
      </c>
      <c r="F3873" s="5" t="s">
        <v>10874</v>
      </c>
      <c r="G3873" s="5" t="s">
        <v>152</v>
      </c>
      <c r="H3873" s="5" t="s">
        <v>11146</v>
      </c>
      <c r="I3873" s="5" t="s">
        <v>11234</v>
      </c>
      <c r="J3873" s="5" t="s">
        <v>11235</v>
      </c>
      <c r="K3873" s="7" t="str">
        <f ca="1">IFERROR(__xludf.DUMMYFUNCTION("GOOGLETRANSLATE(H3873,""EN"",""ES"")"),"LIBROS Y OTROS OBJETOS DE ASPECTO EXTERIOR SIMILAR")</f>
        <v>LIBROS Y OTROS OBJETOS DE ASPECTO EXTERIOR SIMILAR</v>
      </c>
      <c r="L3873" s="5" t="str">
        <f ca="1">IFERROR(__xludf.DUMMYFUNCTION("GOOGLETRANSLATE(J3873,""EN"",""ES"")"),"Contenedores de archivo para discos compactos")</f>
        <v>Contenedores de archivo para discos compactos</v>
      </c>
      <c r="M3873" s="8" t="s">
        <v>65</v>
      </c>
      <c r="N3873" s="8"/>
    </row>
    <row r="3874" spans="1:14" ht="11.25" customHeight="1">
      <c r="A3874" s="5" t="s">
        <v>10870</v>
      </c>
      <c r="B3874" s="5" t="s">
        <v>11144</v>
      </c>
      <c r="C3874" s="5" t="s">
        <v>11236</v>
      </c>
      <c r="D3874" s="5" t="s">
        <v>10873</v>
      </c>
      <c r="E3874" s="5" t="s">
        <v>66</v>
      </c>
      <c r="F3874" s="5" t="s">
        <v>10874</v>
      </c>
      <c r="G3874" s="5" t="s">
        <v>152</v>
      </c>
      <c r="H3874" s="5" t="s">
        <v>11146</v>
      </c>
      <c r="I3874" s="5" t="s">
        <v>11237</v>
      </c>
      <c r="J3874" s="5" t="s">
        <v>11238</v>
      </c>
      <c r="K3874" s="7" t="str">
        <f ca="1">IFERROR(__xludf.DUMMYFUNCTION("GOOGLETRANSLATE(H3874,""EN"",""ES"")"),"LIBROS Y OTROS OBJETOS DE ASPECTO EXTERIOR SIMILAR")</f>
        <v>LIBROS Y OTROS OBJETOS DE ASPECTO EXTERIOR SIMILAR</v>
      </c>
      <c r="L3874" s="5" t="str">
        <f ca="1">IFERROR(__xludf.DUMMYFUNCTION("GOOGLETRANSLATE(J3874,""EN"",""ES"")"),"Contenedores de archivo para disquetes")</f>
        <v>Contenedores de archivo para disquetes</v>
      </c>
      <c r="M3874" s="8" t="s">
        <v>65</v>
      </c>
      <c r="N3874" s="8"/>
    </row>
    <row r="3875" spans="1:14" ht="11.25" customHeight="1">
      <c r="A3875" s="5" t="s">
        <v>10870</v>
      </c>
      <c r="B3875" s="5" t="s">
        <v>11144</v>
      </c>
      <c r="C3875" s="5" t="s">
        <v>11239</v>
      </c>
      <c r="D3875" s="5" t="s">
        <v>10873</v>
      </c>
      <c r="E3875" s="5" t="s">
        <v>66</v>
      </c>
      <c r="F3875" s="5" t="s">
        <v>10874</v>
      </c>
      <c r="G3875" s="5" t="s">
        <v>152</v>
      </c>
      <c r="H3875" s="5" t="s">
        <v>11146</v>
      </c>
      <c r="I3875" s="5" t="s">
        <v>11240</v>
      </c>
      <c r="J3875" s="5" t="s">
        <v>11241</v>
      </c>
      <c r="K3875" s="7" t="str">
        <f ca="1">IFERROR(__xludf.DUMMYFUNCTION("GOOGLETRANSLATE(H3875,""EN"",""ES"")"),"LIBROS Y OTROS OBJETOS DE ASPECTO EXTERIOR SIMILAR")</f>
        <v>LIBROS Y OTROS OBJETOS DE ASPECTO EXTERIOR SIMILAR</v>
      </c>
      <c r="L3875" s="5" t="str">
        <f ca="1">IFERROR(__xludf.DUMMYFUNCTION("GOOGLETRANSLATE(J3875,""EN"",""ES"")"),"Archivadores de contenedores para tarjetas de visita.")</f>
        <v>Archivadores de contenedores para tarjetas de visita.</v>
      </c>
      <c r="M3875" s="8" t="s">
        <v>65</v>
      </c>
      <c r="N3875" s="8"/>
    </row>
    <row r="3876" spans="1:14" ht="11.25" customHeight="1">
      <c r="A3876" s="5" t="s">
        <v>10870</v>
      </c>
      <c r="B3876" s="5" t="s">
        <v>11144</v>
      </c>
      <c r="C3876" s="5" t="s">
        <v>11242</v>
      </c>
      <c r="D3876" s="5" t="s">
        <v>10873</v>
      </c>
      <c r="E3876" s="5" t="s">
        <v>66</v>
      </c>
      <c r="F3876" s="5" t="s">
        <v>10874</v>
      </c>
      <c r="G3876" s="5" t="s">
        <v>152</v>
      </c>
      <c r="H3876" s="5" t="s">
        <v>11146</v>
      </c>
      <c r="I3876" s="5" t="s">
        <v>11243</v>
      </c>
      <c r="J3876" s="5" t="s">
        <v>11244</v>
      </c>
      <c r="K3876" s="7" t="str">
        <f ca="1">IFERROR(__xludf.DUMMYFUNCTION("GOOGLETRANSLATE(H3876,""EN"",""ES"")"),"LIBROS Y OTROS OBJETOS DE ASPECTO EXTERIOR SIMILAR")</f>
        <v>LIBROS Y OTROS OBJETOS DE ASPECTO EXTERIOR SIMILAR</v>
      </c>
      <c r="L3876" s="5" t="str">
        <f ca="1">IFERROR(__xludf.DUMMYFUNCTION("GOOGLETRANSLATE(J3876,""EN"",""ES"")"),"Hojas impresas de álbumes.")</f>
        <v>Hojas impresas de álbumes.</v>
      </c>
      <c r="M3876" s="8" t="s">
        <v>65</v>
      </c>
      <c r="N3876" s="8"/>
    </row>
    <row r="3877" spans="1:14" ht="11.25" customHeight="1">
      <c r="A3877" s="5" t="s">
        <v>10870</v>
      </c>
      <c r="B3877" s="5" t="s">
        <v>11144</v>
      </c>
      <c r="C3877" s="5" t="s">
        <v>11245</v>
      </c>
      <c r="D3877" s="5" t="s">
        <v>10873</v>
      </c>
      <c r="E3877" s="5" t="s">
        <v>66</v>
      </c>
      <c r="F3877" s="5" t="s">
        <v>10874</v>
      </c>
      <c r="G3877" s="5" t="s">
        <v>152</v>
      </c>
      <c r="H3877" s="5" t="s">
        <v>11146</v>
      </c>
      <c r="I3877" s="5" t="s">
        <v>11246</v>
      </c>
      <c r="J3877" s="5" t="s">
        <v>11247</v>
      </c>
      <c r="K3877" s="7" t="str">
        <f ca="1">IFERROR(__xludf.DUMMYFUNCTION("GOOGLETRANSLATE(H3877,""EN"",""ES"")"),"LIBROS Y OTROS OBJETOS DE ASPECTO EXTERIOR SIMILAR")</f>
        <v>LIBROS Y OTROS OBJETOS DE ASPECTO EXTERIOR SIMILAR</v>
      </c>
      <c r="L3877" s="5" t="str">
        <f ca="1">IFERROR(__xludf.DUMMYFUNCTION("GOOGLETRANSLATE(J3877,""EN"",""ES"")"),"Hojas de álbum provistas de bolsillos.")</f>
        <v>Hojas de álbum provistas de bolsillos.</v>
      </c>
      <c r="M3877" s="8" t="s">
        <v>65</v>
      </c>
      <c r="N3877" s="8"/>
    </row>
    <row r="3878" spans="1:14" ht="11.25" customHeight="1">
      <c r="A3878" s="5" t="s">
        <v>10870</v>
      </c>
      <c r="B3878" s="5" t="s">
        <v>11144</v>
      </c>
      <c r="C3878" s="5" t="s">
        <v>11248</v>
      </c>
      <c r="D3878" s="5" t="s">
        <v>10873</v>
      </c>
      <c r="E3878" s="5" t="s">
        <v>66</v>
      </c>
      <c r="F3878" s="5" t="s">
        <v>10874</v>
      </c>
      <c r="G3878" s="5" t="s">
        <v>152</v>
      </c>
      <c r="H3878" s="5" t="s">
        <v>11146</v>
      </c>
      <c r="I3878" s="5" t="s">
        <v>11249</v>
      </c>
      <c r="J3878" s="5" t="s">
        <v>11250</v>
      </c>
      <c r="K3878" s="7" t="str">
        <f ca="1">IFERROR(__xludf.DUMMYFUNCTION("GOOGLETRANSLATE(H3878,""EN"",""ES"")"),"LIBROS Y OTROS OBJETOS DE ASPECTO EXTERIOR SIMILAR")</f>
        <v>LIBROS Y OTROS OBJETOS DE ASPECTO EXTERIOR SIMILAR</v>
      </c>
      <c r="L3878" s="5" t="str">
        <f ca="1">IFERROR(__xludf.DUMMYFUNCTION("GOOGLETRANSLATE(J3878,""EN"",""ES"")"),"Páginas de archivo de monedas para coleccionistas.")</f>
        <v>Páginas de archivo de monedas para coleccionistas.</v>
      </c>
      <c r="M3878" s="8" t="s">
        <v>65</v>
      </c>
      <c r="N3878" s="8"/>
    </row>
    <row r="3879" spans="1:14" ht="11.25" customHeight="1">
      <c r="A3879" s="5" t="s">
        <v>10870</v>
      </c>
      <c r="B3879" s="5" t="s">
        <v>11251</v>
      </c>
      <c r="C3879" s="5" t="s">
        <v>152</v>
      </c>
      <c r="D3879" s="5" t="s">
        <v>10873</v>
      </c>
      <c r="E3879" s="5" t="s">
        <v>66</v>
      </c>
      <c r="F3879" s="5" t="s">
        <v>10874</v>
      </c>
      <c r="G3879" s="5" t="s">
        <v>152</v>
      </c>
      <c r="H3879" s="5" t="s">
        <v>1599</v>
      </c>
      <c r="I3879" s="5" t="s">
        <v>152</v>
      </c>
      <c r="J3879" s="5" t="s">
        <v>152</v>
      </c>
      <c r="K3879" s="7" t="str">
        <f ca="1">IFERROR(__xludf.DUMMYFUNCTION("GOOGLETRANSLATE(H3879,""EN"",""ES"")"),"[vacante]")</f>
        <v>[vacante]</v>
      </c>
      <c r="L3879" s="5" t="str">
        <f ca="1">IFERROR(__xludf.DUMMYFUNCTION("GOOGLETRANSLATE(J3879,""EN"",""ES"")"),"N / A")</f>
        <v>N / A</v>
      </c>
      <c r="M3879" s="8" t="s">
        <v>65</v>
      </c>
      <c r="N3879" s="8"/>
    </row>
    <row r="3880" spans="1:14" ht="11.25" customHeight="1">
      <c r="A3880" s="5" t="s">
        <v>10870</v>
      </c>
      <c r="B3880" s="5" t="s">
        <v>11252</v>
      </c>
      <c r="C3880" s="5" t="s">
        <v>11253</v>
      </c>
      <c r="D3880" s="5" t="s">
        <v>10873</v>
      </c>
      <c r="E3880" s="5" t="s">
        <v>66</v>
      </c>
      <c r="F3880" s="5" t="s">
        <v>10874</v>
      </c>
      <c r="G3880" s="5" t="s">
        <v>152</v>
      </c>
      <c r="H3880" s="5" t="s">
        <v>11254</v>
      </c>
      <c r="I3880" s="5" t="s">
        <v>11255</v>
      </c>
      <c r="J3880" s="5" t="s">
        <v>11256</v>
      </c>
      <c r="K3880" s="7" t="str">
        <f ca="1">IFERROR(__xludf.DUMMYFUNCTION("GOOGLETRANSLATE(H3880,""EN"",""ES"")"),"MATERIALES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0" s="5" t="str">
        <f ca="1">IFERROR(__xludf.DUMMYFUNCTION("GOOGLETRANSLATE(J3880,""EN"",""ES"")"),"Tapetes secantes de escritorio")</f>
        <v>Tapetes secantes de escritorio</v>
      </c>
      <c r="M3880" s="8" t="s">
        <v>65</v>
      </c>
      <c r="N3880" s="8"/>
    </row>
    <row r="3881" spans="1:14" ht="11.25" customHeight="1">
      <c r="A3881" s="5" t="s">
        <v>10870</v>
      </c>
      <c r="B3881" s="5" t="s">
        <v>11252</v>
      </c>
      <c r="C3881" s="5" t="s">
        <v>11257</v>
      </c>
      <c r="D3881" s="5" t="s">
        <v>10873</v>
      </c>
      <c r="E3881" s="5" t="s">
        <v>66</v>
      </c>
      <c r="F3881" s="5" t="s">
        <v>10874</v>
      </c>
      <c r="G3881" s="5" t="s">
        <v>152</v>
      </c>
      <c r="H3881" s="5" t="s">
        <v>11254</v>
      </c>
      <c r="I3881" s="5" t="s">
        <v>11258</v>
      </c>
      <c r="J3881" s="5" t="s">
        <v>11259</v>
      </c>
      <c r="K3881" s="7" t="str">
        <f ca="1">IFERROR(__xludf.DUMMYFUNCTION("GOOGLETRANSLATE(H3881,""EN"",""ES"")"),"MATERIALES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1" s="5" t="str">
        <f ca="1">IFERROR(__xludf.DUMMYFUNCTION("GOOGLETRANSLATE(J3881,""EN"",""ES"")"),"Sacapuntas para tizas")</f>
        <v>Sacapuntas para tizas</v>
      </c>
      <c r="M3881" s="8" t="s">
        <v>65</v>
      </c>
      <c r="N3881" s="8"/>
    </row>
    <row r="3882" spans="1:14" ht="11.25" customHeight="1">
      <c r="A3882" s="5" t="s">
        <v>10870</v>
      </c>
      <c r="B3882" s="5" t="s">
        <v>11252</v>
      </c>
      <c r="C3882" s="5" t="s">
        <v>11260</v>
      </c>
      <c r="D3882" s="5" t="s">
        <v>10873</v>
      </c>
      <c r="E3882" s="5" t="s">
        <v>66</v>
      </c>
      <c r="F3882" s="5" t="s">
        <v>10874</v>
      </c>
      <c r="G3882" s="5" t="s">
        <v>152</v>
      </c>
      <c r="H3882" s="5" t="s">
        <v>11254</v>
      </c>
      <c r="I3882" s="5" t="s">
        <v>11261</v>
      </c>
      <c r="J3882" s="5" t="s">
        <v>11262</v>
      </c>
      <c r="K3882" s="7" t="str">
        <f ca="1">IFERROR(__xludf.DUMMYFUNCTION("GOOGLETRANSLATE(H3882,""EN"",""ES"")"),"MATERIALES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2" s="5" t="str">
        <f ca="1">IFERROR(__xludf.DUMMYFUNCTION("GOOGLETRANSLATE(J3882,""EN"",""ES"")"),"tinteros")</f>
        <v>tinteros</v>
      </c>
      <c r="M3882" s="8" t="s">
        <v>65</v>
      </c>
      <c r="N3882" s="8"/>
    </row>
    <row r="3883" spans="1:14" ht="11.25" customHeight="1">
      <c r="A3883" s="5" t="s">
        <v>10870</v>
      </c>
      <c r="B3883" s="5" t="s">
        <v>11252</v>
      </c>
      <c r="C3883" s="5" t="s">
        <v>11263</v>
      </c>
      <c r="D3883" s="5" t="s">
        <v>10873</v>
      </c>
      <c r="E3883" s="5" t="s">
        <v>66</v>
      </c>
      <c r="F3883" s="5" t="s">
        <v>10874</v>
      </c>
      <c r="G3883" s="5" t="s">
        <v>152</v>
      </c>
      <c r="H3883" s="5" t="s">
        <v>11254</v>
      </c>
      <c r="I3883" s="5" t="s">
        <v>11264</v>
      </c>
      <c r="J3883" s="5" t="s">
        <v>11265</v>
      </c>
      <c r="K3883" s="7" t="str">
        <f ca="1">IFERROR(__xludf.DUMMYFUNCTION("GOOGLETRANSLATE(H3883,""EN"",""ES"")"),"MATERIALES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3" s="5" t="str">
        <f ca="1">IFERROR(__xludf.DUMMYFUNCTION("GOOGLETRANSLATE(J3883,""EN"",""ES"")"),"tinteros")</f>
        <v>tinteros</v>
      </c>
      <c r="M3883" s="8" t="s">
        <v>65</v>
      </c>
      <c r="N3883" s="8"/>
    </row>
    <row r="3884" spans="1:14" ht="11.25" customHeight="1">
      <c r="A3884" s="5" t="s">
        <v>10870</v>
      </c>
      <c r="B3884" s="5" t="s">
        <v>11252</v>
      </c>
      <c r="C3884" s="5" t="s">
        <v>11266</v>
      </c>
      <c r="D3884" s="5" t="s">
        <v>10873</v>
      </c>
      <c r="E3884" s="5" t="s">
        <v>66</v>
      </c>
      <c r="F3884" s="5" t="s">
        <v>10874</v>
      </c>
      <c r="G3884" s="5" t="s">
        <v>152</v>
      </c>
      <c r="H3884" s="5" t="s">
        <v>11254</v>
      </c>
      <c r="I3884" s="5" t="s">
        <v>11267</v>
      </c>
      <c r="J3884" s="5" t="s">
        <v>11268</v>
      </c>
      <c r="K3884" s="7" t="str">
        <f ca="1">IFERROR(__xludf.DUMMYFUNCTION("GOOGLETRANSLATE(H3884,""EN"",""ES"")"),"MATERIALES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4" s="5" t="str">
        <f ca="1">IFERROR(__xludf.DUMMYFUNCTION("GOOGLETRANSLATE(J3884,""EN"",""ES"")"),"tapetes de escritorio")</f>
        <v>tapetes de escritorio</v>
      </c>
      <c r="M3884" s="8" t="s">
        <v>65</v>
      </c>
      <c r="N3884" s="8"/>
    </row>
    <row r="3885" spans="1:14" ht="11.25" customHeight="1">
      <c r="A3885" s="5" t="s">
        <v>10870</v>
      </c>
      <c r="B3885" s="5" t="s">
        <v>11252</v>
      </c>
      <c r="C3885" s="5" t="s">
        <v>11269</v>
      </c>
      <c r="D3885" s="5" t="s">
        <v>10873</v>
      </c>
      <c r="E3885" s="5" t="s">
        <v>66</v>
      </c>
      <c r="F3885" s="5" t="s">
        <v>10874</v>
      </c>
      <c r="G3885" s="5" t="s">
        <v>152</v>
      </c>
      <c r="H3885" s="5" t="s">
        <v>11254</v>
      </c>
      <c r="I3885" s="5" t="s">
        <v>11270</v>
      </c>
      <c r="J3885" s="5" t="s">
        <v>11271</v>
      </c>
      <c r="K3885" s="7" t="str">
        <f ca="1">IFERROR(__xludf.DUMMYFUNCTION("GOOGLETRANSLATE(H3885,""EN"",""ES"")"),"MATERIALES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5" s="5" t="str">
        <f ca="1">IFERROR(__xludf.DUMMYFUNCTION("GOOGLETRANSLATE(J3885,""EN"",""ES"")"),"Pizarras para escribir")</f>
        <v>Pizarras para escribir</v>
      </c>
      <c r="M3885" s="8" t="s">
        <v>65</v>
      </c>
      <c r="N3885" s="8"/>
    </row>
    <row r="3886" spans="1:14" ht="11.25" customHeight="1">
      <c r="A3886" s="5" t="s">
        <v>10870</v>
      </c>
      <c r="B3886" s="5" t="s">
        <v>11252</v>
      </c>
      <c r="C3886" s="5" t="s">
        <v>11272</v>
      </c>
      <c r="D3886" s="5" t="s">
        <v>10873</v>
      </c>
      <c r="E3886" s="5" t="s">
        <v>66</v>
      </c>
      <c r="F3886" s="5" t="s">
        <v>10874</v>
      </c>
      <c r="G3886" s="5" t="s">
        <v>152</v>
      </c>
      <c r="H3886" s="5" t="s">
        <v>11254</v>
      </c>
      <c r="I3886" s="5" t="s">
        <v>11273</v>
      </c>
      <c r="J3886" s="5" t="s">
        <v>11274</v>
      </c>
      <c r="K3886" s="7" t="str">
        <f ca="1">IFERROR(__xludf.DUMMYFUNCTION("GOOGLETRANSLATE(H3886,""EN"",""ES"")"),"MATERIALES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6" s="5" t="str">
        <f ca="1">IFERROR(__xludf.DUMMYFUNCTION("GOOGLETRANSLATE(J3886,""EN"",""ES"")"),"Puntas de pluma estilográfica")</f>
        <v>Puntas de pluma estilográfica</v>
      </c>
      <c r="M3886" s="8" t="s">
        <v>65</v>
      </c>
      <c r="N3886" s="8"/>
    </row>
    <row r="3887" spans="1:14" ht="11.25" customHeight="1">
      <c r="A3887" s="5" t="s">
        <v>10870</v>
      </c>
      <c r="B3887" s="5" t="s">
        <v>11252</v>
      </c>
      <c r="C3887" s="5" t="s">
        <v>11275</v>
      </c>
      <c r="D3887" s="5" t="s">
        <v>10873</v>
      </c>
      <c r="E3887" s="5" t="s">
        <v>66</v>
      </c>
      <c r="F3887" s="5" t="s">
        <v>10874</v>
      </c>
      <c r="G3887" s="5" t="s">
        <v>152</v>
      </c>
      <c r="H3887" s="5" t="s">
        <v>11254</v>
      </c>
      <c r="I3887" s="5" t="s">
        <v>11276</v>
      </c>
      <c r="J3887" s="5" t="s">
        <v>11277</v>
      </c>
      <c r="K3887" s="7" t="str">
        <f ca="1">IFERROR(__xludf.DUMMYFUNCTION("GOOGLETRANSLATE(H3887,""EN"",""ES"")"),"MATERIALES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7" s="5" t="str">
        <f ca="1">IFERROR(__xludf.DUMMYFUNCTION("GOOGLETRANSLATE(J3887,""EN"",""ES"")"),"Cajas de pintura para pintores.")</f>
        <v>Cajas de pintura para pintores.</v>
      </c>
      <c r="M3887" s="8" t="s">
        <v>65</v>
      </c>
      <c r="N3887" s="8"/>
    </row>
    <row r="3888" spans="1:14" ht="11.25" customHeight="1">
      <c r="A3888" s="5" t="s">
        <v>10870</v>
      </c>
      <c r="B3888" s="5" t="s">
        <v>11252</v>
      </c>
      <c r="C3888" s="5" t="s">
        <v>11278</v>
      </c>
      <c r="D3888" s="5" t="s">
        <v>10873</v>
      </c>
      <c r="E3888" s="5" t="s">
        <v>66</v>
      </c>
      <c r="F3888" s="5" t="s">
        <v>10874</v>
      </c>
      <c r="G3888" s="5" t="s">
        <v>152</v>
      </c>
      <c r="H3888" s="5" t="s">
        <v>11254</v>
      </c>
      <c r="I3888" s="5" t="s">
        <v>11279</v>
      </c>
      <c r="J3888" s="5" t="s">
        <v>11279</v>
      </c>
      <c r="K3888" s="7" t="str">
        <f ca="1">IFERROR(__xludf.DUMMYFUNCTION("GOOGLETRANSLATE(H3888,""EN"",""ES"")"),"MATERIALES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8" s="5" t="str">
        <f ca="1">IFERROR(__xludf.DUMMYFUNCTION("GOOGLETRANSLATE(J3888,""EN"",""ES"")"),"buriles")</f>
        <v>buriles</v>
      </c>
      <c r="M3888" s="8" t="s">
        <v>65</v>
      </c>
      <c r="N3888" s="8"/>
    </row>
    <row r="3889" spans="1:14" ht="11.25" customHeight="1">
      <c r="A3889" s="5" t="s">
        <v>10870</v>
      </c>
      <c r="B3889" s="5" t="s">
        <v>11252</v>
      </c>
      <c r="C3889" s="5" t="s">
        <v>11280</v>
      </c>
      <c r="D3889" s="5" t="s">
        <v>10873</v>
      </c>
      <c r="E3889" s="5" t="s">
        <v>66</v>
      </c>
      <c r="F3889" s="5" t="s">
        <v>10874</v>
      </c>
      <c r="G3889" s="5" t="s">
        <v>152</v>
      </c>
      <c r="H3889" s="5" t="s">
        <v>11254</v>
      </c>
      <c r="I3889" s="5" t="s">
        <v>11281</v>
      </c>
      <c r="J3889" s="5" t="s">
        <v>11282</v>
      </c>
      <c r="K3889" s="7" t="str">
        <f ca="1">IFERROR(__xludf.DUMMYFUNCTION("GOOGLETRANSLATE(H3889,""EN"",""ES"")"),"MATERIALES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89" s="5" t="str">
        <f ca="1">IFERROR(__xludf.DUMMYFUNCTION("GOOGLETRANSLATE(J3889,""EN"",""ES"")"),"Cartuchos para tinta de dibujo.")</f>
        <v>Cartuchos para tinta de dibujo.</v>
      </c>
      <c r="M3889" s="8" t="s">
        <v>65</v>
      </c>
      <c r="N3889" s="8"/>
    </row>
    <row r="3890" spans="1:14" ht="11.25" customHeight="1">
      <c r="A3890" s="5" t="s">
        <v>10870</v>
      </c>
      <c r="B3890" s="5" t="s">
        <v>11252</v>
      </c>
      <c r="C3890" s="5" t="s">
        <v>11283</v>
      </c>
      <c r="D3890" s="5" t="s">
        <v>10873</v>
      </c>
      <c r="E3890" s="5" t="s">
        <v>66</v>
      </c>
      <c r="F3890" s="5" t="s">
        <v>10874</v>
      </c>
      <c r="G3890" s="5" t="s">
        <v>152</v>
      </c>
      <c r="H3890" s="5" t="s">
        <v>11254</v>
      </c>
      <c r="I3890" s="5" t="s">
        <v>11284</v>
      </c>
      <c r="J3890" s="5" t="s">
        <v>11285</v>
      </c>
      <c r="K3890" s="7" t="str">
        <f ca="1">IFERROR(__xludf.DUMMYFUNCTION("GOOGLETRANSLATE(H3890,""EN"",""ES"")"),"MATERIALES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0" s="5" t="str">
        <f ca="1">IFERROR(__xludf.DUMMYFUNCTION("GOOGLETRANSLATE(J3890,""EN"",""ES"")"),"Camillas de lona para pintores.")</f>
        <v>Camillas de lona para pintores.</v>
      </c>
      <c r="M3890" s="8" t="s">
        <v>65</v>
      </c>
      <c r="N3890" s="8"/>
    </row>
    <row r="3891" spans="1:14" ht="11.25" customHeight="1">
      <c r="A3891" s="5" t="s">
        <v>10870</v>
      </c>
      <c r="B3891" s="5" t="s">
        <v>11252</v>
      </c>
      <c r="C3891" s="5" t="s">
        <v>11286</v>
      </c>
      <c r="D3891" s="5" t="s">
        <v>10873</v>
      </c>
      <c r="E3891" s="5" t="s">
        <v>66</v>
      </c>
      <c r="F3891" s="5" t="s">
        <v>10874</v>
      </c>
      <c r="G3891" s="5" t="s">
        <v>152</v>
      </c>
      <c r="H3891" s="5" t="s">
        <v>11254</v>
      </c>
      <c r="I3891" s="5" t="s">
        <v>11287</v>
      </c>
      <c r="J3891" s="5" t="s">
        <v>11288</v>
      </c>
      <c r="K3891" s="7" t="str">
        <f ca="1">IFERROR(__xludf.DUMMYFUNCTION("GOOGLETRANSLATE(H3891,""EN"",""ES"")"),"MATERIALES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1" s="5" t="str">
        <f ca="1">IFERROR(__xludf.DUMMYFUNCTION("GOOGLETRANSLATE(J3891,""EN"",""ES"")"),"caballetes de pintores")</f>
        <v>caballetes de pintores</v>
      </c>
      <c r="M3891" s="8" t="s">
        <v>65</v>
      </c>
      <c r="N3891" s="8"/>
    </row>
    <row r="3892" spans="1:14" ht="11.25" customHeight="1">
      <c r="A3892" s="5" t="s">
        <v>10870</v>
      </c>
      <c r="B3892" s="5" t="s">
        <v>11252</v>
      </c>
      <c r="C3892" s="5" t="s">
        <v>11289</v>
      </c>
      <c r="D3892" s="5" t="s">
        <v>10873</v>
      </c>
      <c r="E3892" s="5" t="s">
        <v>66</v>
      </c>
      <c r="F3892" s="5" t="s">
        <v>10874</v>
      </c>
      <c r="G3892" s="5" t="s">
        <v>152</v>
      </c>
      <c r="H3892" s="5" t="s">
        <v>11254</v>
      </c>
      <c r="I3892" s="5" t="s">
        <v>11290</v>
      </c>
      <c r="J3892" s="5" t="s">
        <v>11291</v>
      </c>
      <c r="K3892" s="7" t="str">
        <f ca="1">IFERROR(__xludf.DUMMYFUNCTION("GOOGLETRANSLATE(H3892,""EN"",""ES"")"),"MATERIALES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2" s="5" t="str">
        <f ca="1">IFERROR(__xludf.DUMMYFUNCTION("GOOGLETRANSLATE(J3892,""EN"",""ES"")"),"Compases de dibujo")</f>
        <v>Compases de dibujo</v>
      </c>
      <c r="M3892" s="8" t="s">
        <v>65</v>
      </c>
      <c r="N3892" s="8"/>
    </row>
    <row r="3893" spans="1:14" ht="11.25" customHeight="1">
      <c r="A3893" s="5" t="s">
        <v>10870</v>
      </c>
      <c r="B3893" s="5" t="s">
        <v>11252</v>
      </c>
      <c r="C3893" s="5" t="s">
        <v>11292</v>
      </c>
      <c r="D3893" s="5" t="s">
        <v>10873</v>
      </c>
      <c r="E3893" s="5" t="s">
        <v>66</v>
      </c>
      <c r="F3893" s="5" t="s">
        <v>10874</v>
      </c>
      <c r="G3893" s="5" t="s">
        <v>152</v>
      </c>
      <c r="H3893" s="5" t="s">
        <v>11254</v>
      </c>
      <c r="I3893" s="5" t="s">
        <v>11293</v>
      </c>
      <c r="J3893" s="5" t="s">
        <v>11294</v>
      </c>
      <c r="K3893" s="7" t="str">
        <f ca="1">IFERROR(__xludf.DUMMYFUNCTION("GOOGLETRANSLATE(H3893,""EN"",""ES"")"),"MATERIALES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3" s="5" t="str">
        <f ca="1">IFERROR(__xludf.DUMMYFUNCTION("GOOGLETRANSLATE(J3893,""EN"",""ES"")"),"Divisores")</f>
        <v>Divisores</v>
      </c>
      <c r="M3893" s="8" t="s">
        <v>65</v>
      </c>
      <c r="N3893" s="8"/>
    </row>
    <row r="3894" spans="1:14" ht="11.25" customHeight="1">
      <c r="A3894" s="5" t="s">
        <v>10870</v>
      </c>
      <c r="B3894" s="5" t="s">
        <v>11252</v>
      </c>
      <c r="C3894" s="5" t="s">
        <v>11295</v>
      </c>
      <c r="D3894" s="5" t="s">
        <v>10873</v>
      </c>
      <c r="E3894" s="5" t="s">
        <v>66</v>
      </c>
      <c r="F3894" s="5" t="s">
        <v>10874</v>
      </c>
      <c r="G3894" s="5" t="s">
        <v>152</v>
      </c>
      <c r="H3894" s="5" t="s">
        <v>11254</v>
      </c>
      <c r="I3894" s="5" t="s">
        <v>11296</v>
      </c>
      <c r="J3894" s="5" t="s">
        <v>11297</v>
      </c>
      <c r="K3894" s="7" t="str">
        <f ca="1">IFERROR(__xludf.DUMMYFUNCTION("GOOGLETRANSLATE(H3894,""EN"",""ES"")"),"MATERIALES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4" s="5" t="str">
        <f ca="1">IFERROR(__xludf.DUMMYFUNCTION("GOOGLETRANSLATE(J3894,""EN"",""ES"")"),"Trazadores de curvas")</f>
        <v>Trazadores de curvas</v>
      </c>
      <c r="M3894" s="8" t="s">
        <v>65</v>
      </c>
      <c r="N3894" s="8"/>
    </row>
    <row r="3895" spans="1:14" ht="11.25" customHeight="1">
      <c r="A3895" s="5" t="s">
        <v>10870</v>
      </c>
      <c r="B3895" s="5" t="s">
        <v>11252</v>
      </c>
      <c r="C3895" s="5" t="s">
        <v>11295</v>
      </c>
      <c r="D3895" s="5" t="s">
        <v>10873</v>
      </c>
      <c r="E3895" s="5" t="s">
        <v>66</v>
      </c>
      <c r="F3895" s="5" t="s">
        <v>10874</v>
      </c>
      <c r="G3895" s="5" t="s">
        <v>152</v>
      </c>
      <c r="H3895" s="5" t="s">
        <v>11254</v>
      </c>
      <c r="I3895" s="5" t="s">
        <v>152</v>
      </c>
      <c r="J3895" s="5" t="s">
        <v>11298</v>
      </c>
      <c r="K3895" s="7" t="str">
        <f ca="1">IFERROR(__xludf.DUMMYFUNCTION("GOOGLETRANSLATE(H3895,""EN"",""ES"")"),"MATERIALES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5" s="5" t="str">
        <f ca="1">IFERROR(__xludf.DUMMYFUNCTION("GOOGLETRANSLATE(J3895,""EN"",""ES"")"),"N / A")</f>
        <v>N / A</v>
      </c>
      <c r="M3895" s="8" t="s">
        <v>65</v>
      </c>
      <c r="N3895" s="8"/>
    </row>
    <row r="3896" spans="1:14" ht="11.25" customHeight="1">
      <c r="A3896" s="5" t="s">
        <v>10870</v>
      </c>
      <c r="B3896" s="5" t="s">
        <v>11252</v>
      </c>
      <c r="C3896" s="5" t="s">
        <v>11299</v>
      </c>
      <c r="D3896" s="5" t="s">
        <v>10873</v>
      </c>
      <c r="E3896" s="5" t="s">
        <v>66</v>
      </c>
      <c r="F3896" s="5" t="s">
        <v>10874</v>
      </c>
      <c r="G3896" s="5" t="s">
        <v>152</v>
      </c>
      <c r="H3896" s="5" t="s">
        <v>11254</v>
      </c>
      <c r="I3896" s="5" t="s">
        <v>11300</v>
      </c>
      <c r="J3896" s="5" t="s">
        <v>11301</v>
      </c>
      <c r="K3896" s="7" t="str">
        <f ca="1">IFERROR(__xludf.DUMMYFUNCTION("GOOGLETRANSLATE(H3896,""EN"",""ES"")"),"MATERIALES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6" s="5" t="str">
        <f ca="1">IFERROR(__xludf.DUMMYFUNCTION("GOOGLETRANSLATE(J3896,""EN"",""ES"")"),"tizas de línea")</f>
        <v>tizas de línea</v>
      </c>
      <c r="M3896" s="8" t="s">
        <v>65</v>
      </c>
      <c r="N3896" s="8"/>
    </row>
    <row r="3897" spans="1:14" ht="11.25" customHeight="1">
      <c r="A3897" s="5" t="s">
        <v>10870</v>
      </c>
      <c r="B3897" s="5" t="s">
        <v>11252</v>
      </c>
      <c r="C3897" s="5" t="s">
        <v>11299</v>
      </c>
      <c r="D3897" s="5" t="s">
        <v>10873</v>
      </c>
      <c r="E3897" s="5" t="s">
        <v>66</v>
      </c>
      <c r="F3897" s="5" t="s">
        <v>10874</v>
      </c>
      <c r="G3897" s="5" t="s">
        <v>152</v>
      </c>
      <c r="H3897" s="5" t="s">
        <v>11254</v>
      </c>
      <c r="I3897" s="5" t="s">
        <v>152</v>
      </c>
      <c r="J3897" s="5" t="s">
        <v>11302</v>
      </c>
      <c r="K3897" s="7" t="str">
        <f ca="1">IFERROR(__xludf.DUMMYFUNCTION("GOOGLETRANSLATE(H3897,""EN"",""ES"")"),"MATERIALES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7" s="5" t="str">
        <f ca="1">IFERROR(__xludf.DUMMYFUNCTION("GOOGLETRANSLATE(J3897,""EN"",""ES"")"),"N / A")</f>
        <v>N / A</v>
      </c>
      <c r="M3897" s="8" t="s">
        <v>65</v>
      </c>
      <c r="N3897" s="8"/>
    </row>
    <row r="3898" spans="1:14" ht="11.25" customHeight="1">
      <c r="A3898" s="5" t="s">
        <v>10870</v>
      </c>
      <c r="B3898" s="5" t="s">
        <v>11252</v>
      </c>
      <c r="C3898" s="5" t="s">
        <v>11303</v>
      </c>
      <c r="D3898" s="5" t="s">
        <v>10873</v>
      </c>
      <c r="E3898" s="5" t="s">
        <v>66</v>
      </c>
      <c r="F3898" s="5" t="s">
        <v>10874</v>
      </c>
      <c r="G3898" s="5" t="s">
        <v>152</v>
      </c>
      <c r="H3898" s="5" t="s">
        <v>11254</v>
      </c>
      <c r="I3898" s="5" t="s">
        <v>11304</v>
      </c>
      <c r="J3898" s="5" t="s">
        <v>11305</v>
      </c>
      <c r="K3898" s="7" t="str">
        <f ca="1">IFERROR(__xludf.DUMMYFUNCTION("GOOGLETRANSLATE(H3898,""EN"",""ES"")"),"MATERIALES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8" s="5" t="str">
        <f ca="1">IFERROR(__xludf.DUMMYFUNCTION("GOOGLETRANSLATE(J3898,""EN"",""ES"")"),"Lápices")</f>
        <v>Lápices</v>
      </c>
      <c r="M3898" s="8" t="s">
        <v>65</v>
      </c>
      <c r="N3898" s="8"/>
    </row>
    <row r="3899" spans="1:14" ht="11.25" customHeight="1">
      <c r="A3899" s="5" t="s">
        <v>10870</v>
      </c>
      <c r="B3899" s="5" t="s">
        <v>11252</v>
      </c>
      <c r="C3899" s="5" t="s">
        <v>11306</v>
      </c>
      <c r="D3899" s="5" t="s">
        <v>10873</v>
      </c>
      <c r="E3899" s="5" t="s">
        <v>66</v>
      </c>
      <c r="F3899" s="5" t="s">
        <v>10874</v>
      </c>
      <c r="G3899" s="5" t="s">
        <v>152</v>
      </c>
      <c r="H3899" s="5" t="s">
        <v>11254</v>
      </c>
      <c r="I3899" s="5" t="s">
        <v>11305</v>
      </c>
      <c r="J3899" s="5" t="s">
        <v>11307</v>
      </c>
      <c r="K3899" s="7" t="str">
        <f ca="1">IFERROR(__xludf.DUMMYFUNCTION("GOOGLETRANSLATE(H3899,""EN"",""ES"")"),"MATERIALES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899" s="5" t="str">
        <f ca="1">IFERROR(__xludf.DUMMYFUNCTION("GOOGLETRANSLATE(J3899,""EN"",""ES"")"),"Lápices de color")</f>
        <v>Lápices de color</v>
      </c>
      <c r="M3899" s="8" t="s">
        <v>65</v>
      </c>
      <c r="N3899" s="8"/>
    </row>
    <row r="3900" spans="1:14" ht="11.25" customHeight="1">
      <c r="A3900" s="5" t="s">
        <v>10870</v>
      </c>
      <c r="B3900" s="5" t="s">
        <v>11252</v>
      </c>
      <c r="C3900" s="5" t="s">
        <v>11308</v>
      </c>
      <c r="D3900" s="5" t="s">
        <v>10873</v>
      </c>
      <c r="E3900" s="5" t="s">
        <v>66</v>
      </c>
      <c r="F3900" s="5" t="s">
        <v>10874</v>
      </c>
      <c r="G3900" s="5" t="s">
        <v>152</v>
      </c>
      <c r="H3900" s="5" t="s">
        <v>11254</v>
      </c>
      <c r="I3900" s="5" t="s">
        <v>11309</v>
      </c>
      <c r="J3900" s="5" t="s">
        <v>11310</v>
      </c>
      <c r="K3900" s="7" t="str">
        <f ca="1">IFERROR(__xludf.DUMMYFUNCTION("GOOGLETRANSLATE(H3900,""EN"",""ES"")"),"MATERIALES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0" s="5" t="str">
        <f ca="1">IFERROR(__xludf.DUMMYFUNCTION("GOOGLETRANSLATE(J3900,""EN"",""ES"")"),"Aparato de dibujo")</f>
        <v>Aparato de dibujo</v>
      </c>
      <c r="M3900" s="8" t="s">
        <v>65</v>
      </c>
      <c r="N3900" s="8"/>
    </row>
    <row r="3901" spans="1:14" ht="11.25" customHeight="1">
      <c r="A3901" s="5" t="s">
        <v>10870</v>
      </c>
      <c r="B3901" s="5" t="s">
        <v>11252</v>
      </c>
      <c r="C3901" s="5" t="s">
        <v>11311</v>
      </c>
      <c r="D3901" s="5" t="s">
        <v>10873</v>
      </c>
      <c r="E3901" s="5" t="s">
        <v>66</v>
      </c>
      <c r="F3901" s="5" t="s">
        <v>10874</v>
      </c>
      <c r="G3901" s="5" t="s">
        <v>152</v>
      </c>
      <c r="H3901" s="5" t="s">
        <v>11254</v>
      </c>
      <c r="I3901" s="5" t="s">
        <v>11312</v>
      </c>
      <c r="J3901" s="5" t="s">
        <v>11313</v>
      </c>
      <c r="K3901" s="7" t="str">
        <f ca="1">IFERROR(__xludf.DUMMYFUNCTION("GOOGLETRANSLATE(H3901,""EN"",""ES"")"),"MATERIALES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1" s="5" t="str">
        <f ca="1">IFERROR(__xludf.DUMMYFUNCTION("GOOGLETRANSLATE(J3901,""EN"",""ES"")"),"borradores de pizarra")</f>
        <v>borradores de pizarra</v>
      </c>
      <c r="M3901" s="8" t="s">
        <v>65</v>
      </c>
      <c r="N3901" s="8"/>
    </row>
    <row r="3902" spans="1:14" ht="11.25" customHeight="1">
      <c r="A3902" s="5" t="s">
        <v>10870</v>
      </c>
      <c r="B3902" s="5" t="s">
        <v>11252</v>
      </c>
      <c r="C3902" s="5" t="s">
        <v>11314</v>
      </c>
      <c r="D3902" s="5" t="s">
        <v>10873</v>
      </c>
      <c r="E3902" s="5" t="s">
        <v>66</v>
      </c>
      <c r="F3902" s="5" t="s">
        <v>10874</v>
      </c>
      <c r="G3902" s="5" t="s">
        <v>152</v>
      </c>
      <c r="H3902" s="5" t="s">
        <v>11254</v>
      </c>
      <c r="I3902" s="5" t="s">
        <v>11315</v>
      </c>
      <c r="J3902" s="5" t="s">
        <v>11316</v>
      </c>
      <c r="K3902" s="7" t="str">
        <f ca="1">IFERROR(__xludf.DUMMYFUNCTION("GOOGLETRANSLATE(H3902,""EN"",""ES"")"),"MATERIALES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2" s="5" t="str">
        <f ca="1">IFERROR(__xludf.DUMMYFUNCTION("GOOGLETRANSLATE(J3902,""EN"",""ES"")"),"Elipsógrafos")</f>
        <v>Elipsógrafos</v>
      </c>
      <c r="M3902" s="8" t="s">
        <v>65</v>
      </c>
      <c r="N3902" s="8"/>
    </row>
    <row r="3903" spans="1:14" ht="11.25" customHeight="1">
      <c r="A3903" s="5" t="s">
        <v>10870</v>
      </c>
      <c r="B3903" s="5" t="s">
        <v>11252</v>
      </c>
      <c r="C3903" s="5" t="s">
        <v>11317</v>
      </c>
      <c r="D3903" s="5" t="s">
        <v>10873</v>
      </c>
      <c r="E3903" s="5" t="s">
        <v>66</v>
      </c>
      <c r="F3903" s="5" t="s">
        <v>10874</v>
      </c>
      <c r="G3903" s="5" t="s">
        <v>152</v>
      </c>
      <c r="H3903" s="5" t="s">
        <v>11254</v>
      </c>
      <c r="I3903" s="5" t="s">
        <v>11318</v>
      </c>
      <c r="J3903" s="5" t="s">
        <v>11319</v>
      </c>
      <c r="K3903" s="7" t="str">
        <f ca="1">IFERROR(__xludf.DUMMYFUNCTION("GOOGLETRANSLATE(H3903,""EN"",""ES"")"),"MATERIALES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3" s="5" t="str">
        <f ca="1">IFERROR(__xludf.DUMMYFUNCTION("GOOGLETRANSLATE(J3903,""EN"",""ES"")"),"Escuadras para fabricantes de herramientas")</f>
        <v>Escuadras para fabricantes de herramientas</v>
      </c>
      <c r="M3903" s="8" t="s">
        <v>65</v>
      </c>
      <c r="N3903" s="8"/>
    </row>
    <row r="3904" spans="1:14" ht="11.25" customHeight="1">
      <c r="A3904" s="5" t="s">
        <v>10870</v>
      </c>
      <c r="B3904" s="5" t="s">
        <v>11252</v>
      </c>
      <c r="C3904" s="5" t="s">
        <v>11320</v>
      </c>
      <c r="D3904" s="5" t="s">
        <v>10873</v>
      </c>
      <c r="E3904" s="5" t="s">
        <v>66</v>
      </c>
      <c r="F3904" s="5" t="s">
        <v>10874</v>
      </c>
      <c r="G3904" s="5" t="s">
        <v>152</v>
      </c>
      <c r="H3904" s="5" t="s">
        <v>11254</v>
      </c>
      <c r="I3904" s="5" t="s">
        <v>11321</v>
      </c>
      <c r="J3904" s="5" t="s">
        <v>11322</v>
      </c>
      <c r="K3904" s="7" t="str">
        <f ca="1">IFERROR(__xludf.DUMMYFUNCTION("GOOGLETRANSLATE(H3904,""EN"",""ES"")"),"MATERIALES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4" s="5" t="str">
        <f ca="1">IFERROR(__xludf.DUMMYFUNCTION("GOOGLETRANSLATE(J3904,""EN"",""ES"")"),"Transportadores biselados")</f>
        <v>Transportadores biselados</v>
      </c>
      <c r="M3904" s="8" t="s">
        <v>65</v>
      </c>
      <c r="N3904" s="8"/>
    </row>
    <row r="3905" spans="1:14" ht="11.25" customHeight="1">
      <c r="A3905" s="5" t="s">
        <v>10870</v>
      </c>
      <c r="B3905" s="5" t="s">
        <v>11252</v>
      </c>
      <c r="C3905" s="5" t="s">
        <v>11323</v>
      </c>
      <c r="D3905" s="5" t="s">
        <v>10873</v>
      </c>
      <c r="E3905" s="5" t="s">
        <v>66</v>
      </c>
      <c r="F3905" s="5" t="s">
        <v>10874</v>
      </c>
      <c r="G3905" s="5" t="s">
        <v>152</v>
      </c>
      <c r="H3905" s="5" t="s">
        <v>11254</v>
      </c>
      <c r="I3905" s="5" t="s">
        <v>11324</v>
      </c>
      <c r="J3905" s="5" t="s">
        <v>11325</v>
      </c>
      <c r="K3905" s="7" t="str">
        <f ca="1">IFERROR(__xludf.DUMMYFUNCTION("GOOGLETRANSLATE(H3905,""EN"",""ES"")"),"MATERIALES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5" s="5" t="str">
        <f ca="1">IFERROR(__xludf.DUMMYFUNCTION("GOOGLETRANSLATE(J3905,""EN"",""ES"")"),"Platillos de acuarela para artistas.")</f>
        <v>Platillos de acuarela para artistas.</v>
      </c>
      <c r="M3905" s="8" t="s">
        <v>65</v>
      </c>
      <c r="N3905" s="8"/>
    </row>
    <row r="3906" spans="1:14" ht="11.25" customHeight="1">
      <c r="A3906" s="5" t="s">
        <v>10870</v>
      </c>
      <c r="B3906" s="5" t="s">
        <v>11252</v>
      </c>
      <c r="C3906" s="5" t="s">
        <v>11326</v>
      </c>
      <c r="D3906" s="5" t="s">
        <v>10873</v>
      </c>
      <c r="E3906" s="5" t="s">
        <v>66</v>
      </c>
      <c r="F3906" s="5" t="s">
        <v>10874</v>
      </c>
      <c r="G3906" s="5" t="s">
        <v>152</v>
      </c>
      <c r="H3906" s="5" t="s">
        <v>11254</v>
      </c>
      <c r="I3906" s="5" t="s">
        <v>11327</v>
      </c>
      <c r="J3906" s="5" t="s">
        <v>11328</v>
      </c>
      <c r="K3906" s="7" t="str">
        <f ca="1">IFERROR(__xludf.DUMMYFUNCTION("GOOGLETRANSLATE(H3906,""EN"",""ES"")"),"MATERIALES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6" s="5" t="str">
        <f ca="1">IFERROR(__xludf.DUMMYFUNCTION("GOOGLETRANSLATE(J3906,""EN"",""ES"")"),"Instrumentos de dibujo")</f>
        <v>Instrumentos de dibujo</v>
      </c>
      <c r="M3906" s="8" t="s">
        <v>65</v>
      </c>
      <c r="N3906" s="8"/>
    </row>
    <row r="3907" spans="1:14" ht="11.25" customHeight="1">
      <c r="A3907" s="5" t="s">
        <v>10870</v>
      </c>
      <c r="B3907" s="5" t="s">
        <v>11252</v>
      </c>
      <c r="C3907" s="5" t="s">
        <v>11329</v>
      </c>
      <c r="D3907" s="5" t="s">
        <v>10873</v>
      </c>
      <c r="E3907" s="5" t="s">
        <v>66</v>
      </c>
      <c r="F3907" s="5" t="s">
        <v>10874</v>
      </c>
      <c r="G3907" s="5" t="s">
        <v>152</v>
      </c>
      <c r="H3907" s="5" t="s">
        <v>11254</v>
      </c>
      <c r="I3907" s="5" t="s">
        <v>11330</v>
      </c>
      <c r="J3907" s="5" t="s">
        <v>11331</v>
      </c>
      <c r="K3907" s="7" t="str">
        <f ca="1">IFERROR(__xludf.DUMMYFUNCTION("GOOGLETRANSLATE(H3907,""EN"",""ES"")"),"MATERIALES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7" s="5" t="str">
        <f ca="1">IFERROR(__xludf.DUMMYFUNCTION("GOOGLETRANSLATE(J3907,""EN"",""ES"")"),"paletas de pintores")</f>
        <v>paletas de pintores</v>
      </c>
      <c r="M3907" s="8" t="s">
        <v>65</v>
      </c>
      <c r="N3907" s="8"/>
    </row>
    <row r="3908" spans="1:14" ht="11.25" customHeight="1">
      <c r="A3908" s="5" t="s">
        <v>10870</v>
      </c>
      <c r="B3908" s="5" t="s">
        <v>11252</v>
      </c>
      <c r="C3908" s="5" t="s">
        <v>11332</v>
      </c>
      <c r="D3908" s="5" t="s">
        <v>10873</v>
      </c>
      <c r="E3908" s="5" t="s">
        <v>66</v>
      </c>
      <c r="F3908" s="5" t="s">
        <v>10874</v>
      </c>
      <c r="G3908" s="5" t="s">
        <v>152</v>
      </c>
      <c r="H3908" s="5" t="s">
        <v>11254</v>
      </c>
      <c r="I3908" s="5" t="s">
        <v>11333</v>
      </c>
      <c r="J3908" s="5" t="s">
        <v>11334</v>
      </c>
      <c r="K3908" s="7" t="str">
        <f ca="1">IFERROR(__xludf.DUMMYFUNCTION("GOOGLETRANSLATE(H3908,""EN"",""ES"")"),"MATERIALES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8" s="5" t="str">
        <f ca="1">IFERROR(__xludf.DUMMYFUNCTION("GOOGLETRANSLATE(J3908,""EN"",""ES"")"),"Pantógrafos para dibujar.")</f>
        <v>Pantógrafos para dibujar.</v>
      </c>
      <c r="M3908" s="8" t="s">
        <v>65</v>
      </c>
      <c r="N3908" s="8"/>
    </row>
    <row r="3909" spans="1:14" ht="11.25" customHeight="1">
      <c r="A3909" s="5" t="s">
        <v>10870</v>
      </c>
      <c r="B3909" s="5" t="s">
        <v>11252</v>
      </c>
      <c r="C3909" s="5" t="s">
        <v>11335</v>
      </c>
      <c r="D3909" s="5" t="s">
        <v>10873</v>
      </c>
      <c r="E3909" s="5" t="s">
        <v>66</v>
      </c>
      <c r="F3909" s="5" t="s">
        <v>10874</v>
      </c>
      <c r="G3909" s="5" t="s">
        <v>152</v>
      </c>
      <c r="H3909" s="5" t="s">
        <v>11254</v>
      </c>
      <c r="I3909" s="5" t="s">
        <v>11336</v>
      </c>
      <c r="J3909" s="5" t="s">
        <v>11337</v>
      </c>
      <c r="K3909" s="7" t="str">
        <f ca="1">IFERROR(__xludf.DUMMYFUNCTION("GOOGLETRANSLATE(H3909,""EN"",""ES"")"),"MATERIALES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09" s="5" t="str">
        <f ca="1">IFERROR(__xludf.DUMMYFUNCTION("GOOGLETRANSLATE(J3909,""EN"",""ES"")"),"Bolígrafos")</f>
        <v>Bolígrafos</v>
      </c>
      <c r="M3909" s="8" t="s">
        <v>65</v>
      </c>
      <c r="N3909" s="8"/>
    </row>
    <row r="3910" spans="1:14" ht="11.25" customHeight="1">
      <c r="A3910" s="5" t="s">
        <v>10870</v>
      </c>
      <c r="B3910" s="5" t="s">
        <v>11252</v>
      </c>
      <c r="C3910" s="5" t="s">
        <v>11338</v>
      </c>
      <c r="D3910" s="5" t="s">
        <v>10873</v>
      </c>
      <c r="E3910" s="5" t="s">
        <v>66</v>
      </c>
      <c r="F3910" s="5" t="s">
        <v>10874</v>
      </c>
      <c r="G3910" s="5" t="s">
        <v>152</v>
      </c>
      <c r="H3910" s="5" t="s">
        <v>11254</v>
      </c>
      <c r="I3910" s="5" t="s">
        <v>11339</v>
      </c>
      <c r="J3910" s="5" t="s">
        <v>11340</v>
      </c>
      <c r="K3910" s="7" t="str">
        <f ca="1">IFERROR(__xludf.DUMMYFUNCTION("GOOGLETRANSLATE(H3910,""EN"",""ES"")"),"MATERIALES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0" s="5" t="str">
        <f ca="1">IFERROR(__xludf.DUMMYFUNCTION("GOOGLETRANSLATE(J3910,""EN"",""ES"")"),"Cajas de lápices")</f>
        <v>Cajas de lápices</v>
      </c>
      <c r="M3910" s="8" t="s">
        <v>65</v>
      </c>
      <c r="N3910" s="8"/>
    </row>
    <row r="3911" spans="1:14" ht="11.25" customHeight="1">
      <c r="A3911" s="5" t="s">
        <v>10870</v>
      </c>
      <c r="B3911" s="5" t="s">
        <v>11252</v>
      </c>
      <c r="C3911" s="5" t="s">
        <v>11338</v>
      </c>
      <c r="D3911" s="5" t="s">
        <v>10873</v>
      </c>
      <c r="E3911" s="5" t="s">
        <v>66</v>
      </c>
      <c r="F3911" s="5" t="s">
        <v>10874</v>
      </c>
      <c r="G3911" s="5" t="s">
        <v>152</v>
      </c>
      <c r="H3911" s="5" t="s">
        <v>11254</v>
      </c>
      <c r="I3911" s="5" t="s">
        <v>11341</v>
      </c>
      <c r="J3911" s="5" t="s">
        <v>152</v>
      </c>
      <c r="K3911" s="7" t="str">
        <f ca="1">IFERROR(__xludf.DUMMYFUNCTION("GOOGLETRANSLATE(H3911,""EN"",""ES"")"),"MATERIALES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1" s="5" t="str">
        <f ca="1">IFERROR(__xludf.DUMMYFUNCTION("GOOGLETRANSLATE(J3911,""EN"",""ES"")"),"Bandejas para bolígrafos")</f>
        <v>Bandejas para bolígrafos</v>
      </c>
      <c r="M3911" s="8" t="s">
        <v>65</v>
      </c>
      <c r="N3911" s="8"/>
    </row>
    <row r="3912" spans="1:14" ht="11.25" customHeight="1">
      <c r="A3912" s="5" t="s">
        <v>10870</v>
      </c>
      <c r="B3912" s="5" t="s">
        <v>11252</v>
      </c>
      <c r="C3912" s="5" t="s">
        <v>11342</v>
      </c>
      <c r="D3912" s="5" t="s">
        <v>10873</v>
      </c>
      <c r="E3912" s="5" t="s">
        <v>66</v>
      </c>
      <c r="F3912" s="5" t="s">
        <v>10874</v>
      </c>
      <c r="G3912" s="5" t="s">
        <v>152</v>
      </c>
      <c r="H3912" s="5" t="s">
        <v>11254</v>
      </c>
      <c r="I3912" s="5" t="s">
        <v>11343</v>
      </c>
      <c r="J3912" s="5" t="s">
        <v>11344</v>
      </c>
      <c r="K3912" s="7" t="str">
        <f ca="1">IFERROR(__xludf.DUMMYFUNCTION("GOOGLETRANSLATE(H3912,""EN"",""ES"")"),"MATERIALES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2" s="5" t="str">
        <f ca="1">IFERROR(__xludf.DUMMYFUNCTION("GOOGLETRANSLATE(J3912,""EN"",""ES"")"),"Plantillas [patrones]")</f>
        <v>Plantillas [patrones]</v>
      </c>
      <c r="M3912" s="8" t="s">
        <v>65</v>
      </c>
      <c r="N3912" s="8"/>
    </row>
    <row r="3913" spans="1:14" ht="11.25" customHeight="1">
      <c r="A3913" s="5" t="s">
        <v>10870</v>
      </c>
      <c r="B3913" s="5" t="s">
        <v>11252</v>
      </c>
      <c r="C3913" s="5" t="s">
        <v>11345</v>
      </c>
      <c r="D3913" s="5" t="s">
        <v>10873</v>
      </c>
      <c r="E3913" s="5" t="s">
        <v>66</v>
      </c>
      <c r="F3913" s="5" t="s">
        <v>10874</v>
      </c>
      <c r="G3913" s="5" t="s">
        <v>152</v>
      </c>
      <c r="H3913" s="5" t="s">
        <v>11254</v>
      </c>
      <c r="I3913" s="5" t="s">
        <v>11346</v>
      </c>
      <c r="J3913" s="5" t="s">
        <v>11347</v>
      </c>
      <c r="K3913" s="7" t="str">
        <f ca="1">IFERROR(__xludf.DUMMYFUNCTION("GOOGLETRANSLATE(H3913,""EN"",""ES"")"),"MATERIALES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3" s="5" t="str">
        <f ca="1">IFERROR(__xludf.DUMMYFUNCTION("GOOGLETRANSLATE(J3913,""EN"",""ES"")"),"Portalápices")</f>
        <v>Portalápices</v>
      </c>
      <c r="M3913" s="8" t="s">
        <v>65</v>
      </c>
      <c r="N3913" s="8"/>
    </row>
    <row r="3914" spans="1:14" ht="11.25" customHeight="1">
      <c r="A3914" s="5" t="s">
        <v>10870</v>
      </c>
      <c r="B3914" s="5" t="s">
        <v>11252</v>
      </c>
      <c r="C3914" s="5" t="s">
        <v>11348</v>
      </c>
      <c r="D3914" s="5" t="s">
        <v>10873</v>
      </c>
      <c r="E3914" s="5" t="s">
        <v>66</v>
      </c>
      <c r="F3914" s="5" t="s">
        <v>10874</v>
      </c>
      <c r="G3914" s="5" t="s">
        <v>152</v>
      </c>
      <c r="H3914" s="5" t="s">
        <v>11254</v>
      </c>
      <c r="I3914" s="5" t="s">
        <v>11349</v>
      </c>
      <c r="J3914" s="5" t="s">
        <v>11350</v>
      </c>
      <c r="K3914" s="7" t="str">
        <f ca="1">IFERROR(__xludf.DUMMYFUNCTION("GOOGLETRANSLATE(H3914,""EN"",""ES"")"),"MATERIALES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4" s="5" t="str">
        <f ca="1">IFERROR(__xludf.DUMMYFUNCTION("GOOGLETRANSLATE(J3914,""EN"",""ES"")"),"Plumas estilográficas")</f>
        <v>Plumas estilográficas</v>
      </c>
      <c r="M3914" s="8" t="s">
        <v>65</v>
      </c>
      <c r="N3914" s="8"/>
    </row>
    <row r="3915" spans="1:14" ht="11.25" customHeight="1">
      <c r="A3915" s="5" t="s">
        <v>10870</v>
      </c>
      <c r="B3915" s="5" t="s">
        <v>11252</v>
      </c>
      <c r="C3915" s="5" t="s">
        <v>11351</v>
      </c>
      <c r="D3915" s="5" t="s">
        <v>10873</v>
      </c>
      <c r="E3915" s="5" t="s">
        <v>66</v>
      </c>
      <c r="F3915" s="5" t="s">
        <v>10874</v>
      </c>
      <c r="G3915" s="5" t="s">
        <v>152</v>
      </c>
      <c r="H3915" s="5" t="s">
        <v>11254</v>
      </c>
      <c r="I3915" s="5" t="s">
        <v>11352</v>
      </c>
      <c r="J3915" s="5" t="s">
        <v>11353</v>
      </c>
      <c r="K3915" s="7" t="str">
        <f ca="1">IFERROR(__xludf.DUMMYFUNCTION("GOOGLETRANSLATE(H3915,""EN"",""ES"")"),"MATERIALES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5" s="5" t="str">
        <f ca="1">IFERROR(__xludf.DUMMYFUNCTION("GOOGLETRANSLATE(J3915,""EN"",""ES"")"),"Recambios para bolígrafos")</f>
        <v>Recambios para bolígrafos</v>
      </c>
      <c r="M3915" s="8" t="s">
        <v>65</v>
      </c>
      <c r="N3915" s="8"/>
    </row>
    <row r="3916" spans="1:14" ht="11.25" customHeight="1">
      <c r="A3916" s="5" t="s">
        <v>10870</v>
      </c>
      <c r="B3916" s="5" t="s">
        <v>11252</v>
      </c>
      <c r="C3916" s="5" t="s">
        <v>11354</v>
      </c>
      <c r="D3916" s="5" t="s">
        <v>10873</v>
      </c>
      <c r="E3916" s="5" t="s">
        <v>66</v>
      </c>
      <c r="F3916" s="5" t="s">
        <v>10874</v>
      </c>
      <c r="G3916" s="5" t="s">
        <v>152</v>
      </c>
      <c r="H3916" s="5" t="s">
        <v>11254</v>
      </c>
      <c r="I3916" s="5" t="s">
        <v>11355</v>
      </c>
      <c r="J3916" s="5" t="s">
        <v>11356</v>
      </c>
      <c r="K3916" s="7" t="str">
        <f ca="1">IFERROR(__xludf.DUMMYFUNCTION("GOOGLETRANSLATE(H3916,""EN"",""ES"")"),"MATERIALES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6" s="5" t="str">
        <f ca="1">IFERROR(__xludf.DUMMYFUNCTION("GOOGLETRANSLATE(J3916,""EN"",""ES"")"),"gobernantes de oficina")</f>
        <v>gobernantes de oficina</v>
      </c>
      <c r="M3916" s="8" t="s">
        <v>65</v>
      </c>
      <c r="N3916" s="8"/>
    </row>
    <row r="3917" spans="1:14" ht="11.25" customHeight="1">
      <c r="A3917" s="5" t="s">
        <v>10870</v>
      </c>
      <c r="B3917" s="5" t="s">
        <v>11252</v>
      </c>
      <c r="C3917" s="5" t="s">
        <v>11357</v>
      </c>
      <c r="D3917" s="5" t="s">
        <v>10873</v>
      </c>
      <c r="E3917" s="5" t="s">
        <v>66</v>
      </c>
      <c r="F3917" s="5" t="s">
        <v>10874</v>
      </c>
      <c r="G3917" s="5" t="s">
        <v>152</v>
      </c>
      <c r="H3917" s="5" t="s">
        <v>11254</v>
      </c>
      <c r="I3917" s="5" t="s">
        <v>11358</v>
      </c>
      <c r="J3917" s="5" t="s">
        <v>11358</v>
      </c>
      <c r="K3917" s="7" t="str">
        <f ca="1">IFERROR(__xludf.DUMMYFUNCTION("GOOGLETRANSLATE(H3917,""EN"",""ES"")"),"MATERIALES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7" s="5" t="str">
        <f ca="1">IFERROR(__xludf.DUMMYFUNCTION("GOOGLETRANSLATE(J3917,""EN"",""ES"")"),"Estilos")</f>
        <v>Estilos</v>
      </c>
      <c r="M3917" s="8" t="s">
        <v>65</v>
      </c>
      <c r="N3917" s="8"/>
    </row>
    <row r="3918" spans="1:14" ht="11.25" customHeight="1">
      <c r="A3918" s="5" t="s">
        <v>10870</v>
      </c>
      <c r="B3918" s="5" t="s">
        <v>11252</v>
      </c>
      <c r="C3918" s="5" t="s">
        <v>11359</v>
      </c>
      <c r="D3918" s="5" t="s">
        <v>10873</v>
      </c>
      <c r="E3918" s="5" t="s">
        <v>66</v>
      </c>
      <c r="F3918" s="5" t="s">
        <v>10874</v>
      </c>
      <c r="G3918" s="5" t="s">
        <v>152</v>
      </c>
      <c r="H3918" s="5" t="s">
        <v>11254</v>
      </c>
      <c r="I3918" s="5" t="s">
        <v>11360</v>
      </c>
      <c r="J3918" s="5" t="s">
        <v>11361</v>
      </c>
      <c r="K3918" s="7" t="str">
        <f ca="1">IFERROR(__xludf.DUMMYFUNCTION("GOOGLETRANSLATE(H3918,""EN"",""ES"")"),"MATERIALES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8" s="5" t="str">
        <f ca="1">IFERROR(__xludf.DUMMYFUNCTION("GOOGLETRANSLATE(J3918,""EN"",""ES"")"),"estilógrafos")</f>
        <v>estilógrafos</v>
      </c>
      <c r="M3918" s="8" t="s">
        <v>65</v>
      </c>
      <c r="N3918" s="8"/>
    </row>
    <row r="3919" spans="1:14" ht="11.25" customHeight="1">
      <c r="A3919" s="5" t="s">
        <v>10870</v>
      </c>
      <c r="B3919" s="5" t="s">
        <v>11252</v>
      </c>
      <c r="C3919" s="5" t="s">
        <v>11362</v>
      </c>
      <c r="D3919" s="5" t="s">
        <v>10873</v>
      </c>
      <c r="E3919" s="5" t="s">
        <v>66</v>
      </c>
      <c r="F3919" s="5" t="s">
        <v>10874</v>
      </c>
      <c r="G3919" s="5" t="s">
        <v>152</v>
      </c>
      <c r="H3919" s="5" t="s">
        <v>11254</v>
      </c>
      <c r="I3919" s="5" t="s">
        <v>11363</v>
      </c>
      <c r="J3919" s="5" t="s">
        <v>11364</v>
      </c>
      <c r="K3919" s="7" t="str">
        <f ca="1">IFERROR(__xludf.DUMMYFUNCTION("GOOGLETRANSLATE(H3919,""EN"",""ES"")"),"MATERIALES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19" s="5" t="str">
        <f ca="1">IFERROR(__xludf.DUMMYFUNCTION("GOOGLETRANSLATE(J3919,""EN"",""ES"")"),"Pizarras escolares")</f>
        <v>Pizarras escolares</v>
      </c>
      <c r="M3919" s="8" t="s">
        <v>65</v>
      </c>
      <c r="N3919" s="8"/>
    </row>
    <row r="3920" spans="1:14" ht="11.25" customHeight="1">
      <c r="A3920" s="5" t="s">
        <v>10870</v>
      </c>
      <c r="B3920" s="5" t="s">
        <v>11252</v>
      </c>
      <c r="C3920" s="5" t="s">
        <v>11365</v>
      </c>
      <c r="D3920" s="5" t="s">
        <v>10873</v>
      </c>
      <c r="E3920" s="5" t="s">
        <v>66</v>
      </c>
      <c r="F3920" s="5" t="s">
        <v>10874</v>
      </c>
      <c r="G3920" s="5" t="s">
        <v>152</v>
      </c>
      <c r="H3920" s="5" t="s">
        <v>11254</v>
      </c>
      <c r="I3920" s="5" t="s">
        <v>11366</v>
      </c>
      <c r="J3920" s="5" t="s">
        <v>11367</v>
      </c>
      <c r="K3920" s="7" t="str">
        <f ca="1">IFERROR(__xludf.DUMMYFUNCTION("GOOGLETRANSLATE(H3920,""EN"",""ES"")"),"MATERIALES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0" s="5" t="str">
        <f ca="1">IFERROR(__xludf.DUMMYFUNCTION("GOOGLETRANSLATE(J3920,""EN"",""ES"")"),"Dibujar cuadrados")</f>
        <v>Dibujar cuadrados</v>
      </c>
      <c r="M3920" s="8" t="s">
        <v>65</v>
      </c>
      <c r="N3920" s="8"/>
    </row>
    <row r="3921" spans="1:14" ht="11.25" customHeight="1">
      <c r="A3921" s="5" t="s">
        <v>10870</v>
      </c>
      <c r="B3921" s="5" t="s">
        <v>11252</v>
      </c>
      <c r="C3921" s="5" t="s">
        <v>11368</v>
      </c>
      <c r="D3921" s="5" t="s">
        <v>10873</v>
      </c>
      <c r="E3921" s="5" t="s">
        <v>66</v>
      </c>
      <c r="F3921" s="5" t="s">
        <v>10874</v>
      </c>
      <c r="G3921" s="5" t="s">
        <v>152</v>
      </c>
      <c r="H3921" s="5" t="s">
        <v>11254</v>
      </c>
      <c r="I3921" s="5" t="s">
        <v>11369</v>
      </c>
      <c r="J3921" s="5" t="s">
        <v>11370</v>
      </c>
      <c r="K3921" s="7" t="str">
        <f ca="1">IFERROR(__xludf.DUMMYFUNCTION("GOOGLETRANSLATE(H3921,""EN"",""ES"")"),"MATERIALES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1" s="5" t="str">
        <f ca="1">IFERROR(__xludf.DUMMYFUNCTION("GOOGLETRANSLATE(J3921,""EN"",""ES"")"),"Cortar cuadrados")</f>
        <v>Cortar cuadrados</v>
      </c>
      <c r="M3921" s="8" t="s">
        <v>65</v>
      </c>
      <c r="N3921" s="8"/>
    </row>
    <row r="3922" spans="1:14" ht="11.25" customHeight="1">
      <c r="A3922" s="5" t="s">
        <v>10870</v>
      </c>
      <c r="B3922" s="5" t="s">
        <v>11252</v>
      </c>
      <c r="C3922" s="5" t="s">
        <v>11371</v>
      </c>
      <c r="D3922" s="5" t="s">
        <v>10873</v>
      </c>
      <c r="E3922" s="5" t="s">
        <v>66</v>
      </c>
      <c r="F3922" s="5" t="s">
        <v>10874</v>
      </c>
      <c r="G3922" s="5" t="s">
        <v>152</v>
      </c>
      <c r="H3922" s="5" t="s">
        <v>11254</v>
      </c>
      <c r="I3922" s="5" t="s">
        <v>11372</v>
      </c>
      <c r="J3922" s="5" t="s">
        <v>11373</v>
      </c>
      <c r="K3922" s="7" t="str">
        <f ca="1">IFERROR(__xludf.DUMMYFUNCTION("GOOGLETRANSLATE(H3922,""EN"",""ES"")"),"MATERIALES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2" s="5" t="str">
        <f ca="1">IFERROR(__xludf.DUMMYFUNCTION("GOOGLETRANSLATE(J3922,""EN"",""ES"")"),"cuadrados biselados")</f>
        <v>cuadrados biselados</v>
      </c>
      <c r="M3922" s="8" t="s">
        <v>65</v>
      </c>
      <c r="N3922" s="8"/>
    </row>
    <row r="3923" spans="1:14" ht="11.25" customHeight="1">
      <c r="A3923" s="5" t="s">
        <v>10870</v>
      </c>
      <c r="B3923" s="5" t="s">
        <v>11252</v>
      </c>
      <c r="C3923" s="5" t="s">
        <v>11374</v>
      </c>
      <c r="D3923" s="5" t="s">
        <v>10873</v>
      </c>
      <c r="E3923" s="5" t="s">
        <v>66</v>
      </c>
      <c r="F3923" s="5" t="s">
        <v>10874</v>
      </c>
      <c r="G3923" s="5" t="s">
        <v>152</v>
      </c>
      <c r="H3923" s="5" t="s">
        <v>11254</v>
      </c>
      <c r="I3923" s="5" t="s">
        <v>11375</v>
      </c>
      <c r="J3923" s="5" t="s">
        <v>11376</v>
      </c>
      <c r="K3923" s="7" t="str">
        <f ca="1">IFERROR(__xludf.DUMMYFUNCTION("GOOGLETRANSLATE(H3923,""EN"",""ES"")"),"MATERIALES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3" s="5" t="str">
        <f ca="1">IFERROR(__xludf.DUMMYFUNCTION("GOOGLETRANSLATE(J3923,""EN"",""ES"")"),"Escudos de borrador")</f>
        <v>Escudos de borrador</v>
      </c>
      <c r="M3923" s="8" t="s">
        <v>65</v>
      </c>
      <c r="N3923" s="8"/>
    </row>
    <row r="3924" spans="1:14" ht="11.25" customHeight="1">
      <c r="A3924" s="5" t="s">
        <v>10870</v>
      </c>
      <c r="B3924" s="5" t="s">
        <v>11252</v>
      </c>
      <c r="C3924" s="5" t="s">
        <v>11377</v>
      </c>
      <c r="D3924" s="5" t="s">
        <v>10873</v>
      </c>
      <c r="E3924" s="5" t="s">
        <v>66</v>
      </c>
      <c r="F3924" s="5" t="s">
        <v>10874</v>
      </c>
      <c r="G3924" s="5" t="s">
        <v>152</v>
      </c>
      <c r="H3924" s="5" t="s">
        <v>11254</v>
      </c>
      <c r="I3924" s="5" t="s">
        <v>11378</v>
      </c>
      <c r="J3924" s="5" t="s">
        <v>11379</v>
      </c>
      <c r="K3924" s="7" t="str">
        <f ca="1">IFERROR(__xludf.DUMMYFUNCTION("GOOGLETRANSLATE(H3924,""EN"",""ES"")"),"MATERIALES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4" s="5" t="str">
        <f ca="1">IFERROR(__xludf.DUMMYFUNCTION("GOOGLETRANSLATE(J3924,""EN"",""ES"")"),"Borrando gomas")</f>
        <v>Borrando gomas</v>
      </c>
      <c r="M3924" s="8" t="s">
        <v>65</v>
      </c>
      <c r="N3924" s="8"/>
    </row>
    <row r="3925" spans="1:14" ht="11.25" customHeight="1">
      <c r="A3925" s="5" t="s">
        <v>10870</v>
      </c>
      <c r="B3925" s="5" t="s">
        <v>11252</v>
      </c>
      <c r="C3925" s="5" t="s">
        <v>11380</v>
      </c>
      <c r="D3925" s="5" t="s">
        <v>10873</v>
      </c>
      <c r="E3925" s="5" t="s">
        <v>66</v>
      </c>
      <c r="F3925" s="5" t="s">
        <v>10874</v>
      </c>
      <c r="G3925" s="5" t="s">
        <v>152</v>
      </c>
      <c r="H3925" s="5" t="s">
        <v>11254</v>
      </c>
      <c r="I3925" s="5" t="s">
        <v>11381</v>
      </c>
      <c r="J3925" s="5" t="s">
        <v>11382</v>
      </c>
      <c r="K3925" s="7" t="str">
        <f ca="1">IFERROR(__xludf.DUMMYFUNCTION("GOOGLETRANSLATE(H3925,""EN"",""ES"")"),"MATERIALES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5" s="5" t="str">
        <f ca="1">IFERROR(__xludf.DUMMYFUNCTION("GOOGLETRANSLATE(J3925,""EN"",""ES"")"),"curvas francesas")</f>
        <v>curvas francesas</v>
      </c>
      <c r="M3925" s="8" t="s">
        <v>65</v>
      </c>
      <c r="N3925" s="8"/>
    </row>
    <row r="3926" spans="1:14" ht="11.25" customHeight="1">
      <c r="A3926" s="5" t="s">
        <v>10870</v>
      </c>
      <c r="B3926" s="5" t="s">
        <v>11252</v>
      </c>
      <c r="C3926" s="5" t="s">
        <v>11380</v>
      </c>
      <c r="D3926" s="5" t="s">
        <v>10873</v>
      </c>
      <c r="E3926" s="5" t="s">
        <v>66</v>
      </c>
      <c r="F3926" s="5" t="s">
        <v>10874</v>
      </c>
      <c r="G3926" s="5" t="s">
        <v>152</v>
      </c>
      <c r="H3926" s="5" t="s">
        <v>11254</v>
      </c>
      <c r="I3926" s="5" t="s">
        <v>152</v>
      </c>
      <c r="J3926" s="5" t="s">
        <v>11383</v>
      </c>
      <c r="K3926" s="7" t="str">
        <f ca="1">IFERROR(__xludf.DUMMYFUNCTION("GOOGLETRANSLATE(H3926,""EN"",""ES"")"),"MATERIALES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6" s="5" t="str">
        <f ca="1">IFERROR(__xludf.DUMMYFUNCTION("GOOGLETRANSLATE(J3926,""EN"",""ES"")"),"N / A")</f>
        <v>N / A</v>
      </c>
      <c r="M3926" s="8" t="s">
        <v>65</v>
      </c>
      <c r="N3926" s="8"/>
    </row>
    <row r="3927" spans="1:14" ht="11.25" customHeight="1">
      <c r="A3927" s="5" t="s">
        <v>10870</v>
      </c>
      <c r="B3927" s="5" t="s">
        <v>11252</v>
      </c>
      <c r="C3927" s="5" t="s">
        <v>11384</v>
      </c>
      <c r="D3927" s="5" t="s">
        <v>10873</v>
      </c>
      <c r="E3927" s="5" t="s">
        <v>66</v>
      </c>
      <c r="F3927" s="5" t="s">
        <v>10874</v>
      </c>
      <c r="G3927" s="5" t="s">
        <v>152</v>
      </c>
      <c r="H3927" s="5" t="s">
        <v>11254</v>
      </c>
      <c r="I3927" s="5" t="s">
        <v>11385</v>
      </c>
      <c r="J3927" s="5" t="s">
        <v>11386</v>
      </c>
      <c r="K3927" s="7" t="str">
        <f ca="1">IFERROR(__xludf.DUMMYFUNCTION("GOOGLETRANSLATE(H3927,""EN"",""ES"")"),"MATERIALES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7" s="5" t="str">
        <f ca="1">IFERROR(__xludf.DUMMYFUNCTION("GOOGLETRANSLATE(J3927,""EN"",""ES"")"),"Tableros de dibujo [excepto mesas]")</f>
        <v>Tableros de dibujo [excepto mesas]</v>
      </c>
      <c r="M3927" s="8" t="s">
        <v>65</v>
      </c>
      <c r="N3927" s="8"/>
    </row>
    <row r="3928" spans="1:14" ht="11.25" customHeight="1">
      <c r="A3928" s="5" t="s">
        <v>10870</v>
      </c>
      <c r="B3928" s="5" t="s">
        <v>11252</v>
      </c>
      <c r="C3928" s="5" t="s">
        <v>11387</v>
      </c>
      <c r="D3928" s="5" t="s">
        <v>10873</v>
      </c>
      <c r="E3928" s="5" t="s">
        <v>66</v>
      </c>
      <c r="F3928" s="5" t="s">
        <v>10874</v>
      </c>
      <c r="G3928" s="5" t="s">
        <v>152</v>
      </c>
      <c r="H3928" s="5" t="s">
        <v>11254</v>
      </c>
      <c r="I3928" s="5" t="s">
        <v>11388</v>
      </c>
      <c r="J3928" s="5" t="s">
        <v>11389</v>
      </c>
      <c r="K3928" s="7" t="str">
        <f ca="1">IFERROR(__xludf.DUMMYFUNCTION("GOOGLETRANSLATE(H3928,""EN"",""ES"")"),"MATERIALES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8" s="5" t="str">
        <f ca="1">IFERROR(__xludf.DUMMYFUNCTION("GOOGLETRANSLATE(J3928,""EN"",""ES"")"),"Titulares de tiza")</f>
        <v>Titulares de tiza</v>
      </c>
      <c r="M3928" s="8" t="s">
        <v>65</v>
      </c>
      <c r="N3928" s="8"/>
    </row>
    <row r="3929" spans="1:14" ht="11.25" customHeight="1">
      <c r="A3929" s="5" t="s">
        <v>10870</v>
      </c>
      <c r="B3929" s="5" t="s">
        <v>11252</v>
      </c>
      <c r="C3929" s="5" t="s">
        <v>11390</v>
      </c>
      <c r="D3929" s="5" t="s">
        <v>10873</v>
      </c>
      <c r="E3929" s="5" t="s">
        <v>66</v>
      </c>
      <c r="F3929" s="5" t="s">
        <v>10874</v>
      </c>
      <c r="G3929" s="5" t="s">
        <v>152</v>
      </c>
      <c r="H3929" s="5" t="s">
        <v>11254</v>
      </c>
      <c r="I3929" s="5" t="s">
        <v>11391</v>
      </c>
      <c r="J3929" s="5" t="s">
        <v>11392</v>
      </c>
      <c r="K3929" s="7" t="str">
        <f ca="1">IFERROR(__xludf.DUMMYFUNCTION("GOOGLETRANSLATE(H3929,""EN"",""ES"")"),"MATERIALES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29" s="5" t="str">
        <f ca="1">IFERROR(__xludf.DUMMYFUNCTION("GOOGLETRANSLATE(J3929,""EN"",""ES"")"),"Portalápices")</f>
        <v>Portalápices</v>
      </c>
      <c r="M3929" s="8" t="s">
        <v>65</v>
      </c>
      <c r="N3929" s="8"/>
    </row>
    <row r="3930" spans="1:14" ht="11.25" customHeight="1">
      <c r="A3930" s="5" t="s">
        <v>10870</v>
      </c>
      <c r="B3930" s="5" t="s">
        <v>11252</v>
      </c>
      <c r="C3930" s="5" t="s">
        <v>11393</v>
      </c>
      <c r="D3930" s="5" t="s">
        <v>10873</v>
      </c>
      <c r="E3930" s="5" t="s">
        <v>66</v>
      </c>
      <c r="F3930" s="5" t="s">
        <v>10874</v>
      </c>
      <c r="G3930" s="5" t="s">
        <v>152</v>
      </c>
      <c r="H3930" s="5" t="s">
        <v>11254</v>
      </c>
      <c r="I3930" s="5" t="s">
        <v>11394</v>
      </c>
      <c r="J3930" s="5" t="s">
        <v>11395</v>
      </c>
      <c r="K3930" s="7" t="str">
        <f ca="1">IFERROR(__xludf.DUMMYFUNCTION("GOOGLETRANSLATE(H3930,""EN"",""ES"")"),"MATERIALES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0" s="5" t="str">
        <f ca="1">IFERROR(__xludf.DUMMYFUNCTION("GOOGLETRANSLATE(J3930,""EN"",""ES"")"),"portaminas")</f>
        <v>portaminas</v>
      </c>
      <c r="M3930" s="8" t="s">
        <v>65</v>
      </c>
      <c r="N3930" s="8"/>
    </row>
    <row r="3931" spans="1:14" ht="11.25" customHeight="1">
      <c r="A3931" s="5" t="s">
        <v>10870</v>
      </c>
      <c r="B3931" s="5" t="s">
        <v>11252</v>
      </c>
      <c r="C3931" s="5" t="s">
        <v>11393</v>
      </c>
      <c r="D3931" s="5" t="s">
        <v>10873</v>
      </c>
      <c r="E3931" s="5" t="s">
        <v>66</v>
      </c>
      <c r="F3931" s="5" t="s">
        <v>10874</v>
      </c>
      <c r="G3931" s="5" t="s">
        <v>152</v>
      </c>
      <c r="H3931" s="5" t="s">
        <v>11254</v>
      </c>
      <c r="I3931" s="5" t="s">
        <v>152</v>
      </c>
      <c r="J3931" s="5" t="s">
        <v>11396</v>
      </c>
      <c r="K3931" s="7" t="str">
        <f ca="1">IFERROR(__xludf.DUMMYFUNCTION("GOOGLETRANSLATE(H3931,""EN"",""ES"")"),"MATERIALES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1" s="5" t="str">
        <f ca="1">IFERROR(__xludf.DUMMYFUNCTION("GOOGLETRANSLATE(J3931,""EN"",""ES"")"),"N / A")</f>
        <v>N / A</v>
      </c>
      <c r="M3931" s="8" t="s">
        <v>65</v>
      </c>
      <c r="N3931" s="8"/>
    </row>
    <row r="3932" spans="1:14" ht="11.25" customHeight="1">
      <c r="A3932" s="5" t="s">
        <v>10870</v>
      </c>
      <c r="B3932" s="5" t="s">
        <v>11252</v>
      </c>
      <c r="C3932" s="5" t="s">
        <v>11397</v>
      </c>
      <c r="D3932" s="5" t="s">
        <v>10873</v>
      </c>
      <c r="E3932" s="5" t="s">
        <v>66</v>
      </c>
      <c r="F3932" s="5" t="s">
        <v>10874</v>
      </c>
      <c r="G3932" s="5" t="s">
        <v>152</v>
      </c>
      <c r="H3932" s="5" t="s">
        <v>11254</v>
      </c>
      <c r="I3932" s="5" t="s">
        <v>11398</v>
      </c>
      <c r="J3932" s="5" t="s">
        <v>11399</v>
      </c>
      <c r="K3932" s="7" t="str">
        <f ca="1">IFERROR(__xludf.DUMMYFUNCTION("GOOGLETRANSLATE(H3932,""EN"",""ES"")"),"MATERIALES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2" s="5" t="str">
        <f ca="1">IFERROR(__xludf.DUMMYFUNCTION("GOOGLETRANSLATE(J3932,""EN"",""ES"")"),"Transportadores [también náuticos]")</f>
        <v>Transportadores [también náuticos]</v>
      </c>
      <c r="M3932" s="8" t="s">
        <v>65</v>
      </c>
      <c r="N3932" s="8"/>
    </row>
    <row r="3933" spans="1:14" ht="11.25" customHeight="1">
      <c r="A3933" s="5" t="s">
        <v>10870</v>
      </c>
      <c r="B3933" s="5" t="s">
        <v>11252</v>
      </c>
      <c r="C3933" s="5" t="s">
        <v>11400</v>
      </c>
      <c r="D3933" s="5" t="s">
        <v>10873</v>
      </c>
      <c r="E3933" s="5" t="s">
        <v>66</v>
      </c>
      <c r="F3933" s="5" t="s">
        <v>10874</v>
      </c>
      <c r="G3933" s="5" t="s">
        <v>152</v>
      </c>
      <c r="H3933" s="5" t="s">
        <v>11254</v>
      </c>
      <c r="I3933" s="5" t="s">
        <v>11401</v>
      </c>
      <c r="J3933" s="5" t="s">
        <v>11402</v>
      </c>
      <c r="K3933" s="7" t="str">
        <f ca="1">IFERROR(__xludf.DUMMYFUNCTION("GOOGLETRANSLATE(H3933,""EN"",""ES"")"),"MATERIALES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3" s="5" t="str">
        <f ca="1">IFERROR(__xludf.DUMMYFUNCTION("GOOGLETRANSLATE(J3933,""EN"",""ES"")"),"Reglas de dibujo")</f>
        <v>Reglas de dibujo</v>
      </c>
      <c r="M3933" s="8" t="s">
        <v>65</v>
      </c>
      <c r="N3933" s="8"/>
    </row>
    <row r="3934" spans="1:14" ht="11.25" customHeight="1">
      <c r="A3934" s="5" t="s">
        <v>10870</v>
      </c>
      <c r="B3934" s="5" t="s">
        <v>11252</v>
      </c>
      <c r="C3934" s="5" t="s">
        <v>11403</v>
      </c>
      <c r="D3934" s="5" t="s">
        <v>10873</v>
      </c>
      <c r="E3934" s="5" t="s">
        <v>66</v>
      </c>
      <c r="F3934" s="5" t="s">
        <v>10874</v>
      </c>
      <c r="G3934" s="5" t="s">
        <v>152</v>
      </c>
      <c r="H3934" s="5" t="s">
        <v>11254</v>
      </c>
      <c r="I3934" s="5" t="s">
        <v>11404</v>
      </c>
      <c r="J3934" s="5" t="s">
        <v>11405</v>
      </c>
      <c r="K3934" s="7" t="str">
        <f ca="1">IFERROR(__xludf.DUMMYFUNCTION("GOOGLETRANSLATE(H3934,""EN"",""ES"")"),"MATERIALES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4" s="5" t="str">
        <f ca="1">IFERROR(__xludf.DUMMYFUNCTION("GOOGLETRANSLATE(J3934,""EN"",""ES"")"),"Lápiz de grabado eléctrico")</f>
        <v>Lápiz de grabado eléctrico</v>
      </c>
      <c r="M3934" s="8" t="s">
        <v>65</v>
      </c>
      <c r="N3934" s="8"/>
    </row>
    <row r="3935" spans="1:14" ht="11.25" customHeight="1">
      <c r="A3935" s="5" t="s">
        <v>10870</v>
      </c>
      <c r="B3935" s="5" t="s">
        <v>11252</v>
      </c>
      <c r="C3935" s="5" t="s">
        <v>11406</v>
      </c>
      <c r="D3935" s="5" t="s">
        <v>10873</v>
      </c>
      <c r="E3935" s="5" t="s">
        <v>66</v>
      </c>
      <c r="F3935" s="5" t="s">
        <v>10874</v>
      </c>
      <c r="G3935" s="5" t="s">
        <v>152</v>
      </c>
      <c r="H3935" s="5" t="s">
        <v>11254</v>
      </c>
      <c r="I3935" s="5" t="s">
        <v>11407</v>
      </c>
      <c r="J3935" s="5" t="s">
        <v>11408</v>
      </c>
      <c r="K3935" s="7" t="str">
        <f ca="1">IFERROR(__xludf.DUMMYFUNCTION("GOOGLETRANSLATE(H3935,""EN"",""ES"")"),"MATERIALES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5" s="5" t="str">
        <f ca="1">IFERROR(__xludf.DUMMYFUNCTION("GOOGLETRANSLATE(J3935,""EN"",""ES"")"),"bolígrafos")</f>
        <v>bolígrafos</v>
      </c>
      <c r="M3935" s="8" t="s">
        <v>65</v>
      </c>
      <c r="N3935" s="8"/>
    </row>
    <row r="3936" spans="1:14" ht="11.25" customHeight="1">
      <c r="A3936" s="5" t="s">
        <v>10870</v>
      </c>
      <c r="B3936" s="5" t="s">
        <v>11252</v>
      </c>
      <c r="C3936" s="5" t="s">
        <v>11409</v>
      </c>
      <c r="D3936" s="5" t="s">
        <v>10873</v>
      </c>
      <c r="E3936" s="5" t="s">
        <v>66</v>
      </c>
      <c r="F3936" s="5" t="s">
        <v>10874</v>
      </c>
      <c r="G3936" s="5" t="s">
        <v>152</v>
      </c>
      <c r="H3936" s="5" t="s">
        <v>11254</v>
      </c>
      <c r="I3936" s="5" t="s">
        <v>11410</v>
      </c>
      <c r="J3936" s="5" t="s">
        <v>11411</v>
      </c>
      <c r="K3936" s="7" t="str">
        <f ca="1">IFERROR(__xludf.DUMMYFUNCTION("GOOGLETRANSLATE(H3936,""EN"",""ES"")"),"MATERIALES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6" s="5" t="str">
        <f ca="1">IFERROR(__xludf.DUMMYFUNCTION("GOOGLETRANSLATE(J3936,""EN"",""ES"")"),"Soportes para bolígrafos")</f>
        <v>Soportes para bolígrafos</v>
      </c>
      <c r="M3936" s="8" t="s">
        <v>65</v>
      </c>
      <c r="N3936" s="8"/>
    </row>
    <row r="3937" spans="1:14" ht="11.25" customHeight="1">
      <c r="A3937" s="5" t="s">
        <v>10870</v>
      </c>
      <c r="B3937" s="5" t="s">
        <v>11252</v>
      </c>
      <c r="C3937" s="5" t="s">
        <v>11412</v>
      </c>
      <c r="D3937" s="5" t="s">
        <v>10873</v>
      </c>
      <c r="E3937" s="5" t="s">
        <v>66</v>
      </c>
      <c r="F3937" s="5" t="s">
        <v>10874</v>
      </c>
      <c r="G3937" s="5" t="s">
        <v>152</v>
      </c>
      <c r="H3937" s="5" t="s">
        <v>11254</v>
      </c>
      <c r="I3937" s="5" t="s">
        <v>11413</v>
      </c>
      <c r="J3937" s="5" t="s">
        <v>11414</v>
      </c>
      <c r="K3937" s="7" t="str">
        <f ca="1">IFERROR(__xludf.DUMMYFUNCTION("GOOGLETRANSLATE(H3937,""EN"",""ES"")"),"MATERIALES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7" s="5" t="str">
        <f ca="1">IFERROR(__xludf.DUMMYFUNCTION("GOOGLETRANSLATE(J3937,""EN"",""ES"")"),"Sacapuntas")</f>
        <v>Sacapuntas</v>
      </c>
      <c r="M3937" s="8" t="s">
        <v>65</v>
      </c>
      <c r="N3937" s="8"/>
    </row>
    <row r="3938" spans="1:14" ht="11.25" customHeight="1">
      <c r="A3938" s="5" t="s">
        <v>10870</v>
      </c>
      <c r="B3938" s="5" t="s">
        <v>11252</v>
      </c>
      <c r="C3938" s="5" t="s">
        <v>11415</v>
      </c>
      <c r="D3938" s="5" t="s">
        <v>10873</v>
      </c>
      <c r="E3938" s="5" t="s">
        <v>66</v>
      </c>
      <c r="F3938" s="5" t="s">
        <v>10874</v>
      </c>
      <c r="G3938" s="5" t="s">
        <v>152</v>
      </c>
      <c r="H3938" s="5" t="s">
        <v>11254</v>
      </c>
      <c r="I3938" s="5" t="s">
        <v>11416</v>
      </c>
      <c r="J3938" s="5" t="s">
        <v>11417</v>
      </c>
      <c r="K3938" s="7" t="str">
        <f ca="1">IFERROR(__xludf.DUMMYFUNCTION("GOOGLETRANSLATE(H3938,""EN"",""ES"")"),"MATERIALES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8" s="5" t="str">
        <f ca="1">IFERROR(__xludf.DUMMYFUNCTION("GOOGLETRANSLATE(J3938,""EN"",""ES"")"),"secantes de mano")</f>
        <v>secantes de mano</v>
      </c>
      <c r="M3938" s="8" t="s">
        <v>65</v>
      </c>
      <c r="N3938" s="8"/>
    </row>
    <row r="3939" spans="1:14" ht="11.25" customHeight="1">
      <c r="A3939" s="5" t="s">
        <v>10870</v>
      </c>
      <c r="B3939" s="5" t="s">
        <v>11252</v>
      </c>
      <c r="C3939" s="5" t="s">
        <v>11418</v>
      </c>
      <c r="D3939" s="5" t="s">
        <v>10873</v>
      </c>
      <c r="E3939" s="5" t="s">
        <v>66</v>
      </c>
      <c r="F3939" s="5" t="s">
        <v>10874</v>
      </c>
      <c r="G3939" s="5" t="s">
        <v>152</v>
      </c>
      <c r="H3939" s="5" t="s">
        <v>11254</v>
      </c>
      <c r="I3939" s="5" t="s">
        <v>11419</v>
      </c>
      <c r="J3939" s="5" t="s">
        <v>11420</v>
      </c>
      <c r="K3939" s="7" t="str">
        <f ca="1">IFERROR(__xludf.DUMMYFUNCTION("GOOGLETRANSLATE(H3939,""EN"",""ES"")"),"MATERIALES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39" s="5" t="str">
        <f ca="1">IFERROR(__xludf.DUMMYFUNCTION("GOOGLETRANSLATE(J3939,""EN"",""ES"")"),"Sacapuntas [lápices]")</f>
        <v>Sacapuntas [lápices]</v>
      </c>
      <c r="M3939" s="8" t="s">
        <v>65</v>
      </c>
      <c r="N3939" s="8"/>
    </row>
    <row r="3940" spans="1:14" ht="11.25" customHeight="1">
      <c r="A3940" s="5" t="s">
        <v>10870</v>
      </c>
      <c r="B3940" s="5" t="s">
        <v>11252</v>
      </c>
      <c r="C3940" s="5" t="s">
        <v>11421</v>
      </c>
      <c r="D3940" s="5" t="s">
        <v>10873</v>
      </c>
      <c r="E3940" s="5" t="s">
        <v>66</v>
      </c>
      <c r="F3940" s="5" t="s">
        <v>10874</v>
      </c>
      <c r="G3940" s="5" t="s">
        <v>152</v>
      </c>
      <c r="H3940" s="5" t="s">
        <v>11254</v>
      </c>
      <c r="I3940" s="5" t="s">
        <v>11422</v>
      </c>
      <c r="J3940" s="5" t="s">
        <v>11423</v>
      </c>
      <c r="K3940" s="7" t="str">
        <f ca="1">IFERROR(__xludf.DUMMYFUNCTION("GOOGLETRANSLATE(H3940,""EN"",""ES"")"),"MATERIALES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0" s="5" t="str">
        <f ca="1">IFERROR(__xludf.DUMMYFUNCTION("GOOGLETRANSLATE(J3940,""EN"",""ES"")"),"Cabezales de máquinas de dibujo")</f>
        <v>Cabezales de máquinas de dibujo</v>
      </c>
      <c r="M3940" s="8" t="s">
        <v>65</v>
      </c>
      <c r="N3940" s="8"/>
    </row>
    <row r="3941" spans="1:14" ht="11.25" customHeight="1">
      <c r="A3941" s="5" t="s">
        <v>10870</v>
      </c>
      <c r="B3941" s="5" t="s">
        <v>11252</v>
      </c>
      <c r="C3941" s="5" t="s">
        <v>11424</v>
      </c>
      <c r="D3941" s="5" t="s">
        <v>10873</v>
      </c>
      <c r="E3941" s="5" t="s">
        <v>66</v>
      </c>
      <c r="F3941" s="5" t="s">
        <v>10874</v>
      </c>
      <c r="G3941" s="5" t="s">
        <v>152</v>
      </c>
      <c r="H3941" s="5" t="s">
        <v>11254</v>
      </c>
      <c r="I3941" s="5" t="s">
        <v>11425</v>
      </c>
      <c r="J3941" s="5" t="s">
        <v>11426</v>
      </c>
      <c r="K3941" s="7" t="str">
        <f ca="1">IFERROR(__xludf.DUMMYFUNCTION("GOOGLETRANSLATE(H3941,""EN"",""ES"")"),"MATERIALES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1" s="5" t="str">
        <f ca="1">IFERROR(__xludf.DUMMYFUNCTION("GOOGLETRANSLATE(J3941,""EN"",""ES"")"),"Termocauterios para pirograbado")</f>
        <v>Termocauterios para pirograbado</v>
      </c>
      <c r="M3941" s="8" t="s">
        <v>65</v>
      </c>
      <c r="N3941" s="8"/>
    </row>
    <row r="3942" spans="1:14" ht="11.25" customHeight="1">
      <c r="A3942" s="5" t="s">
        <v>10870</v>
      </c>
      <c r="B3942" s="5" t="s">
        <v>11252</v>
      </c>
      <c r="C3942" s="5" t="s">
        <v>11427</v>
      </c>
      <c r="D3942" s="5" t="s">
        <v>10873</v>
      </c>
      <c r="E3942" s="5" t="s">
        <v>66</v>
      </c>
      <c r="F3942" s="5" t="s">
        <v>10874</v>
      </c>
      <c r="G3942" s="5" t="s">
        <v>152</v>
      </c>
      <c r="H3942" s="5" t="s">
        <v>11254</v>
      </c>
      <c r="I3942" s="5" t="s">
        <v>11428</v>
      </c>
      <c r="J3942" s="5" t="s">
        <v>11429</v>
      </c>
      <c r="K3942" s="7" t="str">
        <f ca="1">IFERROR(__xludf.DUMMYFUNCTION("GOOGLETRANSLATE(H3942,""EN"",""ES"")"),"MATERIALES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2" s="5" t="str">
        <f ca="1">IFERROR(__xludf.DUMMYFUNCTION("GOOGLETRANSLATE(J3942,""EN"",""ES"")"),"Plumas de dibujo")</f>
        <v>Plumas de dibujo</v>
      </c>
      <c r="M3942" s="8" t="s">
        <v>65</v>
      </c>
      <c r="N3942" s="8"/>
    </row>
    <row r="3943" spans="1:14" ht="11.25" customHeight="1">
      <c r="A3943" s="5" t="s">
        <v>10870</v>
      </c>
      <c r="B3943" s="5" t="s">
        <v>11252</v>
      </c>
      <c r="C3943" s="5" t="s">
        <v>11427</v>
      </c>
      <c r="D3943" s="5" t="s">
        <v>10873</v>
      </c>
      <c r="E3943" s="5" t="s">
        <v>66</v>
      </c>
      <c r="F3943" s="5" t="s">
        <v>10874</v>
      </c>
      <c r="G3943" s="5" t="s">
        <v>152</v>
      </c>
      <c r="H3943" s="5" t="s">
        <v>11254</v>
      </c>
      <c r="I3943" s="5" t="s">
        <v>11430</v>
      </c>
      <c r="J3943" s="5" t="s">
        <v>152</v>
      </c>
      <c r="K3943" s="7" t="str">
        <f ca="1">IFERROR(__xludf.DUMMYFUNCTION("GOOGLETRANSLATE(H3943,""EN"",""ES"")"),"MATERIALES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3" s="5" t="str">
        <f ca="1">IFERROR(__xludf.DUMMYFUNCTION("GOOGLETRANSLATE(J3943,""EN"",""ES"")"),"Plumas gobernantes")</f>
        <v>Plumas gobernantes</v>
      </c>
      <c r="M3943" s="8" t="s">
        <v>65</v>
      </c>
      <c r="N3943" s="8"/>
    </row>
    <row r="3944" spans="1:14" ht="11.25" customHeight="1">
      <c r="A3944" s="5" t="s">
        <v>10870</v>
      </c>
      <c r="B3944" s="5" t="s">
        <v>11252</v>
      </c>
      <c r="C3944" s="5" t="s">
        <v>11431</v>
      </c>
      <c r="D3944" s="5" t="s">
        <v>10873</v>
      </c>
      <c r="E3944" s="5" t="s">
        <v>66</v>
      </c>
      <c r="F3944" s="5" t="s">
        <v>10874</v>
      </c>
      <c r="G3944" s="5" t="s">
        <v>152</v>
      </c>
      <c r="H3944" s="5" t="s">
        <v>11254</v>
      </c>
      <c r="I3944" s="5" t="s">
        <v>11432</v>
      </c>
      <c r="J3944" s="5" t="s">
        <v>11433</v>
      </c>
      <c r="K3944" s="7" t="str">
        <f ca="1">IFERROR(__xludf.DUMMYFUNCTION("GOOGLETRANSLATE(H3944,""EN"",""ES"")"),"MATERIALES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4" s="5" t="str">
        <f ca="1">IFERROR(__xludf.DUMMYFUNCTION("GOOGLETRANSLATE(J3944,""EN"",""ES"")"),"Kits de pintura para acuarelistas.")</f>
        <v>Kits de pintura para acuarelistas.</v>
      </c>
      <c r="M3944" s="8" t="s">
        <v>65</v>
      </c>
      <c r="N3944" s="8"/>
    </row>
    <row r="3945" spans="1:14" ht="11.25" customHeight="1">
      <c r="A3945" s="5" t="s">
        <v>10870</v>
      </c>
      <c r="B3945" s="5" t="s">
        <v>11252</v>
      </c>
      <c r="C3945" s="5" t="s">
        <v>11434</v>
      </c>
      <c r="D3945" s="5" t="s">
        <v>10873</v>
      </c>
      <c r="E3945" s="5" t="s">
        <v>66</v>
      </c>
      <c r="F3945" s="5" t="s">
        <v>10874</v>
      </c>
      <c r="G3945" s="5" t="s">
        <v>152</v>
      </c>
      <c r="H3945" s="5" t="s">
        <v>11254</v>
      </c>
      <c r="I3945" s="5" t="s">
        <v>11435</v>
      </c>
      <c r="J3945" s="5" t="s">
        <v>11436</v>
      </c>
      <c r="K3945" s="7" t="str">
        <f ca="1">IFERROR(__xludf.DUMMYFUNCTION("GOOGLETRANSLATE(H3945,""EN"",""ES"")"),"MATERIALES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5" s="5" t="str">
        <f ca="1">IFERROR(__xludf.DUMMYFUNCTION("GOOGLETRANSLATE(J3945,""EN"",""ES"")"),"Marcadores")</f>
        <v>Marcadores</v>
      </c>
      <c r="M3945" s="8" t="s">
        <v>65</v>
      </c>
      <c r="N3945" s="8"/>
    </row>
    <row r="3946" spans="1:14" ht="11.25" customHeight="1">
      <c r="A3946" s="5" t="s">
        <v>10870</v>
      </c>
      <c r="B3946" s="5" t="s">
        <v>11252</v>
      </c>
      <c r="C3946" s="5" t="s">
        <v>11434</v>
      </c>
      <c r="D3946" s="5" t="s">
        <v>10873</v>
      </c>
      <c r="E3946" s="5" t="s">
        <v>66</v>
      </c>
      <c r="F3946" s="5" t="s">
        <v>10874</v>
      </c>
      <c r="G3946" s="5" t="s">
        <v>152</v>
      </c>
      <c r="H3946" s="5" t="s">
        <v>11254</v>
      </c>
      <c r="I3946" s="5" t="s">
        <v>11437</v>
      </c>
      <c r="J3946" s="5" t="s">
        <v>152</v>
      </c>
      <c r="K3946" s="7" t="str">
        <f ca="1">IFERROR(__xludf.DUMMYFUNCTION("GOOGLETRANSLATE(H3946,""EN"",""ES"")"),"MATERIALES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6" s="5" t="str">
        <f ca="1">IFERROR(__xludf.DUMMYFUNCTION("GOOGLETRANSLATE(J3946,""EN"",""ES"")"),"Resaltadores")</f>
        <v>Resaltadores</v>
      </c>
      <c r="M3946" s="8" t="s">
        <v>65</v>
      </c>
      <c r="N3946" s="8"/>
    </row>
    <row r="3947" spans="1:14" ht="11.25" customHeight="1">
      <c r="A3947" s="5" t="s">
        <v>10870</v>
      </c>
      <c r="B3947" s="5" t="s">
        <v>11252</v>
      </c>
      <c r="C3947" s="5" t="s">
        <v>11438</v>
      </c>
      <c r="D3947" s="5" t="s">
        <v>10873</v>
      </c>
      <c r="E3947" s="5" t="s">
        <v>66</v>
      </c>
      <c r="F3947" s="5" t="s">
        <v>10874</v>
      </c>
      <c r="G3947" s="5" t="s">
        <v>152</v>
      </c>
      <c r="H3947" s="5" t="s">
        <v>11254</v>
      </c>
      <c r="I3947" s="5" t="s">
        <v>11439</v>
      </c>
      <c r="J3947" s="5" t="s">
        <v>11440</v>
      </c>
      <c r="K3947" s="7" t="str">
        <f ca="1">IFERROR(__xludf.DUMMYFUNCTION("GOOGLETRANSLATE(H3947,""EN"",""ES"")"),"MATERIALES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7" s="5" t="str">
        <f ca="1">IFERROR(__xludf.DUMMYFUNCTION("GOOGLETRANSLATE(J3947,""EN"",""ES"")"),"bolígrafos de impresión 3D")</f>
        <v>bolígrafos de impresión 3D</v>
      </c>
      <c r="M3947" s="8" t="s">
        <v>65</v>
      </c>
      <c r="N3947" s="8"/>
    </row>
    <row r="3948" spans="1:14" ht="11.25" customHeight="1">
      <c r="A3948" s="5" t="s">
        <v>10870</v>
      </c>
      <c r="B3948" s="5" t="s">
        <v>11252</v>
      </c>
      <c r="C3948" s="5" t="s">
        <v>11441</v>
      </c>
      <c r="D3948" s="5" t="s">
        <v>10873</v>
      </c>
      <c r="E3948" s="5" t="s">
        <v>66</v>
      </c>
      <c r="F3948" s="5" t="s">
        <v>10874</v>
      </c>
      <c r="G3948" s="5" t="s">
        <v>152</v>
      </c>
      <c r="H3948" s="5" t="s">
        <v>11254</v>
      </c>
      <c r="I3948" s="5" t="s">
        <v>11442</v>
      </c>
      <c r="J3948" s="5" t="s">
        <v>11443</v>
      </c>
      <c r="K3948" s="7" t="str">
        <f ca="1">IFERROR(__xludf.DUMMYFUNCTION("GOOGLETRANSLATE(H3948,""EN"",""ES"")"),"MATERIALES E INSTRUMENTOS PARA ESCRIBIR A MANO, PARA DIBUJAR, PARA PINTAR, PARA ESCULTURA, PARA GRABADO Y PARA OTRAS TÉCNICAS ARTÍSTICAS")</f>
        <v>MATERIALES E INSTRUMENTOS PARA ESCRIBIR A MANO, PARA DIBUJAR, PARA PINTAR, PARA ESCULTURA, PARA GRABADO Y PARA OTRAS TÉCNICAS ARTÍSTICAS</v>
      </c>
      <c r="L3948" s="5" t="str">
        <f ca="1">IFERROR(__xludf.DUMMYFUNCTION("GOOGLETRANSLATE(J3948,""EN"",""ES"")"),"Máquinas de firmar")</f>
        <v>Máquinas de firmar</v>
      </c>
      <c r="M3948" s="8" t="s">
        <v>65</v>
      </c>
      <c r="N3948" s="8"/>
    </row>
    <row r="3949" spans="1:14" ht="11.25" customHeight="1">
      <c r="A3949" s="5" t="s">
        <v>10870</v>
      </c>
      <c r="B3949" s="5" t="s">
        <v>11444</v>
      </c>
      <c r="C3949" s="5" t="s">
        <v>11445</v>
      </c>
      <c r="D3949" s="5" t="s">
        <v>10873</v>
      </c>
      <c r="E3949" s="5" t="s">
        <v>66</v>
      </c>
      <c r="F3949" s="5" t="s">
        <v>10874</v>
      </c>
      <c r="G3949" s="5" t="s">
        <v>152</v>
      </c>
      <c r="H3949" s="5" t="s">
        <v>11446</v>
      </c>
      <c r="I3949" s="5" t="s">
        <v>11447</v>
      </c>
      <c r="J3949" s="5" t="s">
        <v>11448</v>
      </c>
      <c r="K3949" s="7" t="str">
        <f ca="1">IFERROR(__xludf.DUMMYFUNCTION("GOOGLETRANSLATE(H3949,""EN"",""ES"")"),"MATERIALES Y APARATOS DIDÁCTICOS")</f>
        <v>MATERIALES Y APARATOS DIDÁCTICOS</v>
      </c>
      <c r="L3949" s="5" t="str">
        <f ca="1">IFERROR(__xludf.DUMMYFUNCTION("GOOGLETRANSLATE(J3949,""EN"",""ES"")"),"Aparatos de enseñanza [excepto medios audiovisuales]")</f>
        <v>Aparatos de enseñanza [excepto medios audiovisuales]</v>
      </c>
      <c r="M3949" s="8" t="s">
        <v>65</v>
      </c>
      <c r="N3949" s="8"/>
    </row>
    <row r="3950" spans="1:14" ht="11.25" customHeight="1">
      <c r="A3950" s="5" t="s">
        <v>10870</v>
      </c>
      <c r="B3950" s="5" t="s">
        <v>11444</v>
      </c>
      <c r="C3950" s="5" t="s">
        <v>11449</v>
      </c>
      <c r="D3950" s="5" t="s">
        <v>10873</v>
      </c>
      <c r="E3950" s="5" t="s">
        <v>66</v>
      </c>
      <c r="F3950" s="5" t="s">
        <v>10874</v>
      </c>
      <c r="G3950" s="5" t="s">
        <v>152</v>
      </c>
      <c r="H3950" s="5" t="s">
        <v>11446</v>
      </c>
      <c r="I3950" s="5" t="s">
        <v>11450</v>
      </c>
      <c r="J3950" s="5" t="s">
        <v>11451</v>
      </c>
      <c r="K3950" s="7" t="str">
        <f ca="1">IFERROR(__xludf.DUMMYFUNCTION("GOOGLETRANSLATE(H3950,""EN"",""ES"")"),"MATERIALES Y APARATOS DIDÁCTICOS")</f>
        <v>MATERIALES Y APARATOS DIDÁCTICOS</v>
      </c>
      <c r="L3950" s="5" t="str">
        <f ca="1">IFERROR(__xludf.DUMMYFUNCTION("GOOGLETRANSLATE(J3950,""EN"",""ES"")"),"mapas geograficos")</f>
        <v>mapas geograficos</v>
      </c>
      <c r="M3950" s="8" t="s">
        <v>65</v>
      </c>
      <c r="N3950" s="8"/>
    </row>
    <row r="3951" spans="1:14" ht="11.25" customHeight="1">
      <c r="A3951" s="5" t="s">
        <v>10870</v>
      </c>
      <c r="B3951" s="5" t="s">
        <v>11444</v>
      </c>
      <c r="C3951" s="5" t="s">
        <v>11452</v>
      </c>
      <c r="D3951" s="5" t="s">
        <v>10873</v>
      </c>
      <c r="E3951" s="5" t="s">
        <v>66</v>
      </c>
      <c r="F3951" s="5" t="s">
        <v>10874</v>
      </c>
      <c r="G3951" s="5" t="s">
        <v>152</v>
      </c>
      <c r="H3951" s="5" t="s">
        <v>11446</v>
      </c>
      <c r="I3951" s="5" t="s">
        <v>11453</v>
      </c>
      <c r="J3951" s="5" t="s">
        <v>11454</v>
      </c>
      <c r="K3951" s="7" t="str">
        <f ca="1">IFERROR(__xludf.DUMMYFUNCTION("GOOGLETRANSLATE(H3951,""EN"",""ES"")"),"MATERIALES Y APARATOS DIDÁCTICOS")</f>
        <v>MATERIALES Y APARATOS DIDÁCTICOS</v>
      </c>
      <c r="L3951" s="5" t="str">
        <f ca="1">IFERROR(__xludf.DUMMYFUNCTION("GOOGLETRANSLATE(J3951,""EN"",""ES"")"),"mapas de carreteras")</f>
        <v>mapas de carreteras</v>
      </c>
      <c r="M3951" s="8" t="s">
        <v>65</v>
      </c>
      <c r="N3951" s="8"/>
    </row>
    <row r="3952" spans="1:14" ht="11.25" customHeight="1">
      <c r="A3952" s="5" t="s">
        <v>10870</v>
      </c>
      <c r="B3952" s="5" t="s">
        <v>11444</v>
      </c>
      <c r="C3952" s="5" t="s">
        <v>11455</v>
      </c>
      <c r="D3952" s="5" t="s">
        <v>10873</v>
      </c>
      <c r="E3952" s="5" t="s">
        <v>66</v>
      </c>
      <c r="F3952" s="5" t="s">
        <v>10874</v>
      </c>
      <c r="G3952" s="5" t="s">
        <v>152</v>
      </c>
      <c r="H3952" s="5" t="s">
        <v>11446</v>
      </c>
      <c r="I3952" s="5" t="s">
        <v>11456</v>
      </c>
      <c r="J3952" s="5" t="s">
        <v>11457</v>
      </c>
      <c r="K3952" s="7" t="str">
        <f ca="1">IFERROR(__xludf.DUMMYFUNCTION("GOOGLETRANSLATE(H3952,""EN"",""ES"")"),"MATERIALES Y APARATOS DIDÁCTICOS")</f>
        <v>MATERIALES Y APARATOS DIDÁCTICOS</v>
      </c>
      <c r="L3952" s="5" t="str">
        <f ca="1">IFERROR(__xludf.DUMMYFUNCTION("GOOGLETRANSLATE(J3952,""EN"",""ES"")"),"Materiales didácticos")</f>
        <v>Materiales didácticos</v>
      </c>
      <c r="M3952" s="8" t="s">
        <v>65</v>
      </c>
      <c r="N3952" s="8"/>
    </row>
    <row r="3953" spans="1:14" ht="11.25" customHeight="1">
      <c r="A3953" s="5" t="s">
        <v>10870</v>
      </c>
      <c r="B3953" s="5" t="s">
        <v>11444</v>
      </c>
      <c r="C3953" s="5" t="s">
        <v>11458</v>
      </c>
      <c r="D3953" s="5" t="s">
        <v>10873</v>
      </c>
      <c r="E3953" s="5" t="s">
        <v>66</v>
      </c>
      <c r="F3953" s="5" t="s">
        <v>10874</v>
      </c>
      <c r="G3953" s="5" t="s">
        <v>152</v>
      </c>
      <c r="H3953" s="5" t="s">
        <v>11446</v>
      </c>
      <c r="I3953" s="5" t="s">
        <v>11459</v>
      </c>
      <c r="J3953" s="5" t="s">
        <v>11460</v>
      </c>
      <c r="K3953" s="7" t="str">
        <f ca="1">IFERROR(__xludf.DUMMYFUNCTION("GOOGLETRANSLATE(H3953,""EN"",""ES"")"),"MATERIALES Y APARATOS DIDÁCTICOS")</f>
        <v>MATERIALES Y APARATOS DIDÁCTICOS</v>
      </c>
      <c r="L3953" s="5" t="str">
        <f ca="1">IFERROR(__xludf.DUMMYFUNCTION("GOOGLETRANSLATE(J3953,""EN"",""ES"")"),"Globos terrestres")</f>
        <v>Globos terrestres</v>
      </c>
      <c r="M3953" s="8" t="s">
        <v>65</v>
      </c>
      <c r="N3953" s="8"/>
    </row>
    <row r="3954" spans="1:14" ht="11.25" customHeight="1">
      <c r="A3954" s="5" t="s">
        <v>10870</v>
      </c>
      <c r="B3954" s="5" t="s">
        <v>11444</v>
      </c>
      <c r="C3954" s="5" t="s">
        <v>11461</v>
      </c>
      <c r="D3954" s="5" t="s">
        <v>10873</v>
      </c>
      <c r="E3954" s="5" t="s">
        <v>66</v>
      </c>
      <c r="F3954" s="5" t="s">
        <v>10874</v>
      </c>
      <c r="G3954" s="5" t="s">
        <v>152</v>
      </c>
      <c r="H3954" s="5" t="s">
        <v>11446</v>
      </c>
      <c r="I3954" s="5" t="s">
        <v>11462</v>
      </c>
      <c r="J3954" s="5" t="s">
        <v>11463</v>
      </c>
      <c r="K3954" s="7" t="str">
        <f ca="1">IFERROR(__xludf.DUMMYFUNCTION("GOOGLETRANSLATE(H3954,""EN"",""ES"")"),"MATERIALES Y APARATOS DIDÁCTICOS")</f>
        <v>MATERIALES Y APARATOS DIDÁCTICOS</v>
      </c>
      <c r="L3954" s="5" t="str">
        <f ca="1">IFERROR(__xludf.DUMMYFUNCTION("GOOGLETRANSLATE(J3954,""EN"",""ES"")"),"Mapas del mundo en dos hemisferios.")</f>
        <v>Mapas del mundo en dos hemisferios.</v>
      </c>
      <c r="M3954" s="8" t="s">
        <v>65</v>
      </c>
      <c r="N3954" s="8"/>
    </row>
    <row r="3955" spans="1:14" ht="11.25" customHeight="1">
      <c r="A3955" s="5" t="s">
        <v>10870</v>
      </c>
      <c r="B3955" s="5" t="s">
        <v>11444</v>
      </c>
      <c r="C3955" s="5" t="s">
        <v>11464</v>
      </c>
      <c r="D3955" s="5" t="s">
        <v>10873</v>
      </c>
      <c r="E3955" s="5" t="s">
        <v>66</v>
      </c>
      <c r="F3955" s="5" t="s">
        <v>10874</v>
      </c>
      <c r="G3955" s="5" t="s">
        <v>152</v>
      </c>
      <c r="H3955" s="5" t="s">
        <v>11446</v>
      </c>
      <c r="I3955" s="5" t="s">
        <v>11465</v>
      </c>
      <c r="J3955" s="5" t="s">
        <v>11466</v>
      </c>
      <c r="K3955" s="7" t="str">
        <f ca="1">IFERROR(__xludf.DUMMYFUNCTION("GOOGLETRANSLATE(H3955,""EN"",""ES"")"),"MATERIALES Y APARATOS DIDÁCTICOS")</f>
        <v>MATERIALES Y APARATOS DIDÁCTICOS</v>
      </c>
      <c r="L3955" s="5" t="str">
        <f ca="1">IFERROR(__xludf.DUMMYFUNCTION("GOOGLETRANSLATE(J3955,""EN"",""ES"")"),"Planetarios")</f>
        <v>Planetarios</v>
      </c>
      <c r="M3955" s="8" t="s">
        <v>65</v>
      </c>
      <c r="N3955" s="8"/>
    </row>
    <row r="3956" spans="1:14" ht="11.25" customHeight="1">
      <c r="A3956" s="5" t="s">
        <v>10870</v>
      </c>
      <c r="B3956" s="5" t="s">
        <v>11444</v>
      </c>
      <c r="C3956" s="5" t="s">
        <v>11467</v>
      </c>
      <c r="D3956" s="5" t="s">
        <v>10873</v>
      </c>
      <c r="E3956" s="5" t="s">
        <v>66</v>
      </c>
      <c r="F3956" s="5" t="s">
        <v>10874</v>
      </c>
      <c r="G3956" s="5" t="s">
        <v>152</v>
      </c>
      <c r="H3956" s="5" t="s">
        <v>11446</v>
      </c>
      <c r="I3956" s="5" t="s">
        <v>11468</v>
      </c>
      <c r="J3956" s="5" t="s">
        <v>11469</v>
      </c>
      <c r="K3956" s="7" t="str">
        <f ca="1">IFERROR(__xludf.DUMMYFUNCTION("GOOGLETRANSLATE(H3956,""EN"",""ES"")"),"MATERIALES Y APARATOS DIDÁCTICOS")</f>
        <v>MATERIALES Y APARATOS DIDÁCTICOS</v>
      </c>
      <c r="L3956" s="5" t="str">
        <f ca="1">IFERROR(__xludf.DUMMYFUNCTION("GOOGLETRANSLATE(J3956,""EN"",""ES"")"),"Mapas astronómicos")</f>
        <v>Mapas astronómicos</v>
      </c>
      <c r="M3956" s="8" t="s">
        <v>65</v>
      </c>
      <c r="N3956" s="8"/>
    </row>
    <row r="3957" spans="1:14" ht="11.25" customHeight="1">
      <c r="A3957" s="5" t="s">
        <v>10870</v>
      </c>
      <c r="B3957" s="5" t="s">
        <v>11444</v>
      </c>
      <c r="C3957" s="5" t="s">
        <v>11470</v>
      </c>
      <c r="D3957" s="5" t="s">
        <v>10873</v>
      </c>
      <c r="E3957" s="5" t="s">
        <v>66</v>
      </c>
      <c r="F3957" s="5" t="s">
        <v>10874</v>
      </c>
      <c r="G3957" s="5" t="s">
        <v>152</v>
      </c>
      <c r="H3957" s="5" t="s">
        <v>11446</v>
      </c>
      <c r="I3957" s="5" t="s">
        <v>11471</v>
      </c>
      <c r="J3957" s="5" t="s">
        <v>11472</v>
      </c>
      <c r="K3957" s="7" t="str">
        <f ca="1">IFERROR(__xludf.DUMMYFUNCTION("GOOGLETRANSLATE(H3957,""EN"",""ES"")"),"MATERIALES Y APARATOS DIDÁCTICOS")</f>
        <v>MATERIALES Y APARATOS DIDÁCTICOS</v>
      </c>
      <c r="L3957" s="5" t="str">
        <f ca="1">IFERROR(__xludf.DUMMYFUNCTION("GOOGLETRANSLATE(J3957,""EN"",""ES"")"),"Globos astronómicos")</f>
        <v>Globos astronómicos</v>
      </c>
      <c r="M3957" s="8" t="s">
        <v>65</v>
      </c>
      <c r="N3957" s="8"/>
    </row>
    <row r="3958" spans="1:14" ht="11.25" customHeight="1">
      <c r="A3958" s="5" t="s">
        <v>10870</v>
      </c>
      <c r="B3958" s="5" t="s">
        <v>11444</v>
      </c>
      <c r="C3958" s="5" t="s">
        <v>11473</v>
      </c>
      <c r="D3958" s="5" t="s">
        <v>10873</v>
      </c>
      <c r="E3958" s="5" t="s">
        <v>66</v>
      </c>
      <c r="F3958" s="5" t="s">
        <v>10874</v>
      </c>
      <c r="G3958" s="5" t="s">
        <v>152</v>
      </c>
      <c r="H3958" s="5" t="s">
        <v>11446</v>
      </c>
      <c r="I3958" s="5" t="s">
        <v>11474</v>
      </c>
      <c r="J3958" s="5" t="s">
        <v>11475</v>
      </c>
      <c r="K3958" s="7" t="str">
        <f ca="1">IFERROR(__xludf.DUMMYFUNCTION("GOOGLETRANSLATE(H3958,""EN"",""ES"")"),"MATERIALES Y APARATOS DIDÁCTICOS")</f>
        <v>MATERIALES Y APARATOS DIDÁCTICOS</v>
      </c>
      <c r="L3958" s="5" t="str">
        <f ca="1">IFERROR(__xludf.DUMMYFUNCTION("GOOGLETRANSLATE(J3958,""EN"",""ES"")"),"Planisferios para la navegación.")</f>
        <v>Planisferios para la navegación.</v>
      </c>
      <c r="M3958" s="8" t="s">
        <v>65</v>
      </c>
      <c r="N3958" s="8"/>
    </row>
    <row r="3959" spans="1:14" ht="11.25" customHeight="1">
      <c r="A3959" s="5" t="s">
        <v>10870</v>
      </c>
      <c r="B3959" s="5" t="s">
        <v>11444</v>
      </c>
      <c r="C3959" s="5" t="s">
        <v>11476</v>
      </c>
      <c r="D3959" s="5" t="s">
        <v>10873</v>
      </c>
      <c r="E3959" s="5" t="s">
        <v>66</v>
      </c>
      <c r="F3959" s="5" t="s">
        <v>10874</v>
      </c>
      <c r="G3959" s="5" t="s">
        <v>152</v>
      </c>
      <c r="H3959" s="5" t="s">
        <v>11446</v>
      </c>
      <c r="I3959" s="5" t="s">
        <v>11477</v>
      </c>
      <c r="J3959" s="5" t="s">
        <v>11478</v>
      </c>
      <c r="K3959" s="7" t="str">
        <f ca="1">IFERROR(__xludf.DUMMYFUNCTION("GOOGLETRANSLATE(H3959,""EN"",""ES"")"),"MATERIALES Y APARATOS DIDÁCTICOS")</f>
        <v>MATERIALES Y APARATOS DIDÁCTICOS</v>
      </c>
      <c r="L3959" s="5" t="str">
        <f ca="1">IFERROR(__xludf.DUMMYFUNCTION("GOOGLETRANSLATE(J3959,""EN"",""ES"")"),"planos de la ciudad")</f>
        <v>planos de la ciudad</v>
      </c>
      <c r="M3959" s="8" t="s">
        <v>65</v>
      </c>
      <c r="N3959" s="8"/>
    </row>
    <row r="3960" spans="1:14" ht="11.25" customHeight="1">
      <c r="A3960" s="5" t="s">
        <v>10870</v>
      </c>
      <c r="B3960" s="5" t="s">
        <v>11444</v>
      </c>
      <c r="C3960" s="5" t="s">
        <v>11479</v>
      </c>
      <c r="D3960" s="5" t="s">
        <v>10873</v>
      </c>
      <c r="E3960" s="5" t="s">
        <v>66</v>
      </c>
      <c r="F3960" s="5" t="s">
        <v>10874</v>
      </c>
      <c r="G3960" s="5" t="s">
        <v>152</v>
      </c>
      <c r="H3960" s="5" t="s">
        <v>11446</v>
      </c>
      <c r="I3960" s="5" t="s">
        <v>11480</v>
      </c>
      <c r="J3960" s="5" t="s">
        <v>11481</v>
      </c>
      <c r="K3960" s="7" t="str">
        <f ca="1">IFERROR(__xludf.DUMMYFUNCTION("GOOGLETRANSLATE(H3960,""EN"",""ES"")"),"MATERIALES Y APARATOS DIDÁCTICOS")</f>
        <v>MATERIALES Y APARATOS DIDÁCTICOS</v>
      </c>
      <c r="L3960" s="5" t="str">
        <f ca="1">IFERROR(__xludf.DUMMYFUNCTION("GOOGLETRANSLATE(J3960,""EN"",""ES"")"),"Mesas panorámicas [turismo]")</f>
        <v>Mesas panorámicas [turismo]</v>
      </c>
      <c r="M3960" s="8" t="s">
        <v>65</v>
      </c>
      <c r="N3960" s="8"/>
    </row>
    <row r="3961" spans="1:14" ht="11.25" customHeight="1">
      <c r="A3961" s="5" t="s">
        <v>10870</v>
      </c>
      <c r="B3961" s="5" t="s">
        <v>11444</v>
      </c>
      <c r="C3961" s="5" t="s">
        <v>11482</v>
      </c>
      <c r="D3961" s="5" t="s">
        <v>10873</v>
      </c>
      <c r="E3961" s="5" t="s">
        <v>66</v>
      </c>
      <c r="F3961" s="5" t="s">
        <v>10874</v>
      </c>
      <c r="G3961" s="5" t="s">
        <v>152</v>
      </c>
      <c r="H3961" s="5" t="s">
        <v>11446</v>
      </c>
      <c r="I3961" s="5" t="s">
        <v>11483</v>
      </c>
      <c r="J3961" s="5" t="s">
        <v>11484</v>
      </c>
      <c r="K3961" s="7" t="str">
        <f ca="1">IFERROR(__xludf.DUMMYFUNCTION("GOOGLETRANSLATE(H3961,""EN"",""ES"")"),"MATERIALES Y APARATOS DIDÁCTICOS")</f>
        <v>MATERIALES Y APARATOS DIDÁCTICOS</v>
      </c>
      <c r="L3961" s="5" t="str">
        <f ca="1">IFERROR(__xludf.DUMMYFUNCTION("GOOGLETRANSLATE(J3961,""EN"",""ES"")"),"Consejos")</f>
        <v>Consejos</v>
      </c>
      <c r="M3961" s="8" t="s">
        <v>65</v>
      </c>
      <c r="N3961" s="8"/>
    </row>
    <row r="3962" spans="1:14" ht="11.25" customHeight="1">
      <c r="A3962" s="5" t="s">
        <v>10870</v>
      </c>
      <c r="B3962" s="5" t="s">
        <v>11444</v>
      </c>
      <c r="C3962" s="5" t="s">
        <v>11485</v>
      </c>
      <c r="D3962" s="5" t="s">
        <v>10873</v>
      </c>
      <c r="E3962" s="5" t="s">
        <v>66</v>
      </c>
      <c r="F3962" s="5" t="s">
        <v>10874</v>
      </c>
      <c r="G3962" s="5" t="s">
        <v>152</v>
      </c>
      <c r="H3962" s="5" t="s">
        <v>11446</v>
      </c>
      <c r="I3962" s="5" t="s">
        <v>11486</v>
      </c>
      <c r="J3962" s="5" t="s">
        <v>11487</v>
      </c>
      <c r="K3962" s="7" t="str">
        <f ca="1">IFERROR(__xludf.DUMMYFUNCTION("GOOGLETRANSLATE(H3962,""EN"",""ES"")"),"MATERIALES Y APARATOS DIDÁCTICOS")</f>
        <v>MATERIALES Y APARATOS DIDÁCTICOS</v>
      </c>
      <c r="L3962" s="5" t="str">
        <f ca="1">IFERROR(__xludf.DUMMYFUNCTION("GOOGLETRANSLATE(J3962,""EN"",""ES"")"),"Atlas")</f>
        <v>Atlas</v>
      </c>
      <c r="M3962" s="8" t="s">
        <v>65</v>
      </c>
      <c r="N3962" s="8"/>
    </row>
    <row r="3963" spans="1:14" ht="11.25" customHeight="1">
      <c r="A3963" s="5" t="s">
        <v>10870</v>
      </c>
      <c r="B3963" s="5" t="s">
        <v>11444</v>
      </c>
      <c r="C3963" s="5" t="s">
        <v>11488</v>
      </c>
      <c r="D3963" s="5" t="s">
        <v>10873</v>
      </c>
      <c r="E3963" s="5" t="s">
        <v>66</v>
      </c>
      <c r="F3963" s="5" t="s">
        <v>10874</v>
      </c>
      <c r="G3963" s="5" t="s">
        <v>152</v>
      </c>
      <c r="H3963" s="5" t="s">
        <v>11446</v>
      </c>
      <c r="I3963" s="5" t="s">
        <v>11489</v>
      </c>
      <c r="J3963" s="5" t="s">
        <v>11490</v>
      </c>
      <c r="K3963" s="7" t="str">
        <f ca="1">IFERROR(__xludf.DUMMYFUNCTION("GOOGLETRANSLATE(H3963,""EN"",""ES"")"),"MATERIALES Y APARATOS DIDÁCTICOS")</f>
        <v>MATERIALES Y APARATOS DIDÁCTICOS</v>
      </c>
      <c r="L3963" s="5" t="str">
        <f ca="1">IFERROR(__xludf.DUMMYFUNCTION("GOOGLETRANSLATE(J3963,""EN"",""ES"")"),"Simuladores de vuelo para entrenamiento")</f>
        <v>Simuladores de vuelo para entrenamiento</v>
      </c>
      <c r="M3963" s="8" t="s">
        <v>65</v>
      </c>
      <c r="N3963" s="8"/>
    </row>
    <row r="3964" spans="1:14" ht="11.25" customHeight="1">
      <c r="A3964" s="5" t="s">
        <v>10870</v>
      </c>
      <c r="B3964" s="5" t="s">
        <v>11444</v>
      </c>
      <c r="C3964" s="5" t="s">
        <v>11491</v>
      </c>
      <c r="D3964" s="5" t="s">
        <v>10873</v>
      </c>
      <c r="E3964" s="5" t="s">
        <v>66</v>
      </c>
      <c r="F3964" s="5" t="s">
        <v>10874</v>
      </c>
      <c r="G3964" s="5" t="s">
        <v>152</v>
      </c>
      <c r="H3964" s="5" t="s">
        <v>11446</v>
      </c>
      <c r="I3964" s="5" t="s">
        <v>11492</v>
      </c>
      <c r="J3964" s="5" t="s">
        <v>11493</v>
      </c>
      <c r="K3964" s="7" t="str">
        <f ca="1">IFERROR(__xludf.DUMMYFUNCTION("GOOGLETRANSLATE(H3964,""EN"",""ES"")"),"MATERIALES Y APARATOS DIDÁCTICOS")</f>
        <v>MATERIALES Y APARATOS DIDÁCTICOS</v>
      </c>
      <c r="L3964" s="5" t="str">
        <f ca="1">IFERROR(__xludf.DUMMYFUNCTION("GOOGLETRANSLATE(J3964,""EN"",""ES"")"),"Simuladores médicos para formación.")</f>
        <v>Simuladores médicos para formación.</v>
      </c>
      <c r="M3964" s="8" t="s">
        <v>65</v>
      </c>
      <c r="N3964" s="8"/>
    </row>
    <row r="3965" spans="1:14" ht="11.25" customHeight="1">
      <c r="A3965" s="5" t="s">
        <v>10870</v>
      </c>
      <c r="B3965" s="5" t="s">
        <v>11444</v>
      </c>
      <c r="C3965" s="5" t="s">
        <v>11494</v>
      </c>
      <c r="D3965" s="5" t="s">
        <v>10873</v>
      </c>
      <c r="E3965" s="5" t="s">
        <v>66</v>
      </c>
      <c r="F3965" s="5" t="s">
        <v>10874</v>
      </c>
      <c r="G3965" s="5" t="s">
        <v>152</v>
      </c>
      <c r="H3965" s="5" t="s">
        <v>11446</v>
      </c>
      <c r="I3965" s="5" t="s">
        <v>11495</v>
      </c>
      <c r="J3965" s="5" t="s">
        <v>11496</v>
      </c>
      <c r="K3965" s="7" t="str">
        <f ca="1">IFERROR(__xludf.DUMMYFUNCTION("GOOGLETRANSLATE(H3965,""EN"",""ES"")"),"MATERIALES Y APARATOS DIDÁCTICOS")</f>
        <v>MATERIALES Y APARATOS DIDÁCTICOS</v>
      </c>
      <c r="L3965" s="5" t="str">
        <f ca="1">IFERROR(__xludf.DUMMYFUNCTION("GOOGLETRANSLATE(J3965,""EN"",""ES"")"),"Portamapas [material didáctico]")</f>
        <v>Portamapas [material didáctico]</v>
      </c>
      <c r="M3965" s="8" t="s">
        <v>65</v>
      </c>
      <c r="N3965" s="8"/>
    </row>
    <row r="3966" spans="1:14" ht="11.25" customHeight="1">
      <c r="A3966" s="5" t="s">
        <v>10870</v>
      </c>
      <c r="B3966" s="5" t="s">
        <v>11444</v>
      </c>
      <c r="C3966" s="5" t="s">
        <v>11497</v>
      </c>
      <c r="D3966" s="5" t="s">
        <v>10873</v>
      </c>
      <c r="E3966" s="5" t="s">
        <v>66</v>
      </c>
      <c r="F3966" s="5" t="s">
        <v>10874</v>
      </c>
      <c r="G3966" s="5" t="s">
        <v>152</v>
      </c>
      <c r="H3966" s="5" t="s">
        <v>11446</v>
      </c>
      <c r="I3966" s="5" t="s">
        <v>11498</v>
      </c>
      <c r="J3966" s="5" t="s">
        <v>11499</v>
      </c>
      <c r="K3966" s="7" t="str">
        <f ca="1">IFERROR(__xludf.DUMMYFUNCTION("GOOGLETRANSLATE(H3966,""EN"",""ES"")"),"MATERIALES Y APARATOS DIDÁCTICOS")</f>
        <v>MATERIALES Y APARATOS DIDÁCTICOS</v>
      </c>
      <c r="L3966" s="5" t="str">
        <f ca="1">IFERROR(__xludf.DUMMYFUNCTION("GOOGLETRANSLATE(J3966,""EN"",""ES"")"),"Punteros laser")</f>
        <v>Punteros laser</v>
      </c>
      <c r="M3966" s="8" t="s">
        <v>65</v>
      </c>
      <c r="N3966" s="8"/>
    </row>
    <row r="3967" spans="1:14" ht="11.25" customHeight="1">
      <c r="A3967" s="5" t="s">
        <v>10870</v>
      </c>
      <c r="B3967" s="5" t="s">
        <v>11444</v>
      </c>
      <c r="C3967" s="5" t="s">
        <v>11500</v>
      </c>
      <c r="D3967" s="5" t="s">
        <v>10873</v>
      </c>
      <c r="E3967" s="5" t="s">
        <v>66</v>
      </c>
      <c r="F3967" s="5" t="s">
        <v>10874</v>
      </c>
      <c r="G3967" s="5" t="s">
        <v>152</v>
      </c>
      <c r="H3967" s="5" t="s">
        <v>11446</v>
      </c>
      <c r="I3967" s="5" t="s">
        <v>11501</v>
      </c>
      <c r="J3967" s="5" t="s">
        <v>11502</v>
      </c>
      <c r="K3967" s="7" t="str">
        <f ca="1">IFERROR(__xludf.DUMMYFUNCTION("GOOGLETRANSLATE(H3967,""EN"",""ES"")"),"MATERIALES Y APARATOS DIDÁCTICOS")</f>
        <v>MATERIALES Y APARATOS DIDÁCTICOS</v>
      </c>
      <c r="L3967" s="5" t="str">
        <f ca="1">IFERROR(__xludf.DUMMYFUNCTION("GOOGLETRANSLATE(J3967,""EN"",""ES"")"),"Simuladores de conducción para formación")</f>
        <v>Simuladores de conducción para formación</v>
      </c>
      <c r="M3967" s="8" t="s">
        <v>65</v>
      </c>
      <c r="N3967" s="8"/>
    </row>
    <row r="3968" spans="1:14" ht="11.25" customHeight="1">
      <c r="A3968" s="5" t="s">
        <v>10870</v>
      </c>
      <c r="B3968" s="5" t="s">
        <v>11503</v>
      </c>
      <c r="C3968" s="5" t="s">
        <v>11504</v>
      </c>
      <c r="D3968" s="5" t="s">
        <v>10873</v>
      </c>
      <c r="E3968" s="5" t="s">
        <v>66</v>
      </c>
      <c r="F3968" s="5" t="s">
        <v>10874</v>
      </c>
      <c r="G3968" s="5" t="s">
        <v>152</v>
      </c>
      <c r="H3968" s="5" t="s">
        <v>11505</v>
      </c>
      <c r="I3968" s="5" t="s">
        <v>11506</v>
      </c>
      <c r="J3968" s="5" t="s">
        <v>11507</v>
      </c>
      <c r="K3968" s="7" t="str">
        <f ca="1">IFERROR(__xludf.DUMMYFUNCTION("GOOGLETRANSLATE(H3968,""EN"",""ES"")"),"OTROS MATERIALES IMPRESOS")</f>
        <v>OTROS MATERIALES IMPRESOS</v>
      </c>
      <c r="L3968" s="5" t="str">
        <f ca="1">IFERROR(__xludf.DUMMYFUNCTION("GOOGLETRANSLATE(J3968,""EN"",""ES"")"),"Tarjetas para registrar ausencias")</f>
        <v>Tarjetas para registrar ausencias</v>
      </c>
      <c r="M3968" s="8" t="s">
        <v>65</v>
      </c>
      <c r="N3968" s="8"/>
    </row>
    <row r="3969" spans="1:14" ht="11.25" customHeight="1">
      <c r="A3969" s="5" t="s">
        <v>10870</v>
      </c>
      <c r="B3969" s="5" t="s">
        <v>11503</v>
      </c>
      <c r="C3969" s="5" t="s">
        <v>11508</v>
      </c>
      <c r="D3969" s="5" t="s">
        <v>10873</v>
      </c>
      <c r="E3969" s="5" t="s">
        <v>66</v>
      </c>
      <c r="F3969" s="5" t="s">
        <v>10874</v>
      </c>
      <c r="G3969" s="5" t="s">
        <v>152</v>
      </c>
      <c r="H3969" s="5" t="s">
        <v>11505</v>
      </c>
      <c r="I3969" s="5" t="s">
        <v>11509</v>
      </c>
      <c r="J3969" s="5" t="s">
        <v>11510</v>
      </c>
      <c r="K3969" s="7" t="str">
        <f ca="1">IFERROR(__xludf.DUMMYFUNCTION("GOOGLETRANSLATE(H3969,""EN"",""ES"")"),"OTROS MATERIALES IMPRESOS")</f>
        <v>OTROS MATERIALES IMPRESOS</v>
      </c>
      <c r="L3969" s="5" t="str">
        <f ca="1">IFERROR(__xludf.DUMMYFUNCTION("GOOGLETRANSLATE(J3969,""EN"",""ES"")"),"Boletos de admisión")</f>
        <v>Boletos de admisión</v>
      </c>
      <c r="M3969" s="8" t="s">
        <v>65</v>
      </c>
      <c r="N3969" s="8"/>
    </row>
    <row r="3970" spans="1:14" ht="11.25" customHeight="1">
      <c r="A3970" s="5" t="s">
        <v>10870</v>
      </c>
      <c r="B3970" s="5" t="s">
        <v>11503</v>
      </c>
      <c r="C3970" s="5" t="s">
        <v>11511</v>
      </c>
      <c r="D3970" s="5" t="s">
        <v>10873</v>
      </c>
      <c r="E3970" s="5" t="s">
        <v>66</v>
      </c>
      <c r="F3970" s="5" t="s">
        <v>10874</v>
      </c>
      <c r="G3970" s="5" t="s">
        <v>152</v>
      </c>
      <c r="H3970" s="5" t="s">
        <v>11505</v>
      </c>
      <c r="I3970" s="5" t="s">
        <v>11512</v>
      </c>
      <c r="J3970" s="5" t="s">
        <v>11513</v>
      </c>
      <c r="K3970" s="7" t="str">
        <f ca="1">IFERROR(__xludf.DUMMYFUNCTION("GOOGLETRANSLATE(H3970,""EN"",""ES"")"),"OTROS MATERIALES IMPRESOS")</f>
        <v>OTROS MATERIALES IMPRESOS</v>
      </c>
      <c r="L3970" s="5" t="str">
        <f ca="1">IFERROR(__xludf.DUMMYFUNCTION("GOOGLETRANSLATE(J3970,""EN"",""ES"")"),"Diseños de bordado [patrones]")</f>
        <v>Diseños de bordado [patrones]</v>
      </c>
      <c r="M3970" s="8" t="s">
        <v>65</v>
      </c>
      <c r="N3970" s="8"/>
    </row>
    <row r="3971" spans="1:14" ht="11.25" customHeight="1">
      <c r="A3971" s="5" t="s">
        <v>10870</v>
      </c>
      <c r="B3971" s="5" t="s">
        <v>11503</v>
      </c>
      <c r="C3971" s="5" t="s">
        <v>11514</v>
      </c>
      <c r="D3971" s="5" t="s">
        <v>10873</v>
      </c>
      <c r="E3971" s="5" t="s">
        <v>66</v>
      </c>
      <c r="F3971" s="5" t="s">
        <v>10874</v>
      </c>
      <c r="G3971" s="5" t="s">
        <v>152</v>
      </c>
      <c r="H3971" s="5" t="s">
        <v>11505</v>
      </c>
      <c r="I3971" s="5" t="s">
        <v>11515</v>
      </c>
      <c r="J3971" s="5" t="s">
        <v>11516</v>
      </c>
      <c r="K3971" s="7" t="str">
        <f ca="1">IFERROR(__xludf.DUMMYFUNCTION("GOOGLETRANSLATE(H3971,""EN"",""ES"")"),"OTROS MATERIALES IMPRESOS")</f>
        <v>OTROS MATERIALES IMPRESOS</v>
      </c>
      <c r="L3971" s="5" t="str">
        <f ca="1">IFERROR(__xludf.DUMMYFUNCTION("GOOGLETRANSLATE(J3971,""EN"",""ES"")"),"Sellos para cartas")</f>
        <v>Sellos para cartas</v>
      </c>
      <c r="M3971" s="8" t="s">
        <v>65</v>
      </c>
      <c r="N3971" s="8"/>
    </row>
    <row r="3972" spans="1:14" ht="11.25" customHeight="1">
      <c r="A3972" s="5" t="s">
        <v>10870</v>
      </c>
      <c r="B3972" s="5" t="s">
        <v>11503</v>
      </c>
      <c r="C3972" s="5" t="s">
        <v>11517</v>
      </c>
      <c r="D3972" s="5" t="s">
        <v>10873</v>
      </c>
      <c r="E3972" s="5" t="s">
        <v>66</v>
      </c>
      <c r="F3972" s="5" t="s">
        <v>10874</v>
      </c>
      <c r="G3972" s="5" t="s">
        <v>152</v>
      </c>
      <c r="H3972" s="5" t="s">
        <v>11505</v>
      </c>
      <c r="I3972" s="5" t="s">
        <v>11518</v>
      </c>
      <c r="J3972" s="5" t="s">
        <v>11519</v>
      </c>
      <c r="K3972" s="7" t="str">
        <f ca="1">IFERROR(__xludf.DUMMYFUNCTION("GOOGLETRANSLATE(H3972,""EN"",""ES"")"),"OTROS MATERIALES IMPRESOS")</f>
        <v>OTROS MATERIALES IMPRESOS</v>
      </c>
      <c r="L3972" s="5" t="str">
        <f ca="1">IFERROR(__xludf.DUMMYFUNCTION("GOOGLETRANSLATE(J3972,""EN"",""ES"")"),"tablas de calculo")</f>
        <v>tablas de calculo</v>
      </c>
      <c r="M3972" s="8" t="s">
        <v>65</v>
      </c>
      <c r="N3972" s="8"/>
    </row>
    <row r="3973" spans="1:14" ht="11.25" customHeight="1">
      <c r="A3973" s="5" t="s">
        <v>10870</v>
      </c>
      <c r="B3973" s="5" t="s">
        <v>11503</v>
      </c>
      <c r="C3973" s="5" t="s">
        <v>11520</v>
      </c>
      <c r="D3973" s="5" t="s">
        <v>10873</v>
      </c>
      <c r="E3973" s="5" t="s">
        <v>66</v>
      </c>
      <c r="F3973" s="5" t="s">
        <v>10874</v>
      </c>
      <c r="G3973" s="5" t="s">
        <v>152</v>
      </c>
      <c r="H3973" s="5" t="s">
        <v>11505</v>
      </c>
      <c r="I3973" s="5" t="s">
        <v>11521</v>
      </c>
      <c r="J3973" s="5" t="s">
        <v>11522</v>
      </c>
      <c r="K3973" s="7" t="str">
        <f ca="1">IFERROR(__xludf.DUMMYFUNCTION("GOOGLETRANSLATE(H3973,""EN"",""ES"")"),"OTROS MATERIALES IMPRESOS")</f>
        <v>OTROS MATERIALES IMPRESOS</v>
      </c>
      <c r="L3973" s="5" t="str">
        <f ca="1">IFERROR(__xludf.DUMMYFUNCTION("GOOGLETRANSLATE(J3973,""EN"",""ES"")"),"Tarjetas de identificación")</f>
        <v>Tarjetas de identificación</v>
      </c>
      <c r="M3973" s="8" t="s">
        <v>65</v>
      </c>
      <c r="N3973" s="8"/>
    </row>
    <row r="3974" spans="1:14" ht="11.25" customHeight="1">
      <c r="A3974" s="5" t="s">
        <v>10870</v>
      </c>
      <c r="B3974" s="5" t="s">
        <v>11503</v>
      </c>
      <c r="C3974" s="5" t="s">
        <v>11523</v>
      </c>
      <c r="D3974" s="5" t="s">
        <v>10873</v>
      </c>
      <c r="E3974" s="5" t="s">
        <v>66</v>
      </c>
      <c r="F3974" s="5" t="s">
        <v>10874</v>
      </c>
      <c r="G3974" s="5" t="s">
        <v>152</v>
      </c>
      <c r="H3974" s="5" t="s">
        <v>11505</v>
      </c>
      <c r="I3974" s="5" t="s">
        <v>11524</v>
      </c>
      <c r="J3974" s="5" t="s">
        <v>11525</v>
      </c>
      <c r="K3974" s="7" t="str">
        <f ca="1">IFERROR(__xludf.DUMMYFUNCTION("GOOGLETRANSLATE(H3974,""EN"",""ES"")"),"OTROS MATERIALES IMPRESOS")</f>
        <v>OTROS MATERIALES IMPRESOS</v>
      </c>
      <c r="L3974" s="5" t="str">
        <f ca="1">IFERROR(__xludf.DUMMYFUNCTION("GOOGLETRANSLATE(J3974,""EN"",""ES"")"),"Tarjetas de crédito")</f>
        <v>Tarjetas de crédito</v>
      </c>
      <c r="M3974" s="8" t="s">
        <v>65</v>
      </c>
      <c r="N3974" s="8"/>
    </row>
    <row r="3975" spans="1:14" ht="11.25" customHeight="1">
      <c r="A3975" s="5" t="s">
        <v>10870</v>
      </c>
      <c r="B3975" s="5" t="s">
        <v>11503</v>
      </c>
      <c r="C3975" s="5" t="s">
        <v>11526</v>
      </c>
      <c r="D3975" s="5" t="s">
        <v>10873</v>
      </c>
      <c r="E3975" s="5" t="s">
        <v>66</v>
      </c>
      <c r="F3975" s="5" t="s">
        <v>10874</v>
      </c>
      <c r="G3975" s="5" t="s">
        <v>152</v>
      </c>
      <c r="H3975" s="5" t="s">
        <v>11505</v>
      </c>
      <c r="I3975" s="5" t="s">
        <v>11527</v>
      </c>
      <c r="J3975" s="5" t="s">
        <v>11528</v>
      </c>
      <c r="K3975" s="7" t="str">
        <f ca="1">IFERROR(__xludf.DUMMYFUNCTION("GOOGLETRANSLATE(H3975,""EN"",""ES"")"),"OTROS MATERIALES IMPRESOS")</f>
        <v>OTROS MATERIALES IMPRESOS</v>
      </c>
      <c r="L3975" s="5" t="str">
        <f ca="1">IFERROR(__xludf.DUMMYFUNCTION("GOOGLETRANSLATE(J3975,""EN"",""ES"")"),"tarjetas de visita")</f>
        <v>tarjetas de visita</v>
      </c>
      <c r="M3975" s="8" t="s">
        <v>65</v>
      </c>
      <c r="N3975" s="8"/>
    </row>
    <row r="3976" spans="1:14" ht="11.25" customHeight="1">
      <c r="A3976" s="5" t="s">
        <v>10870</v>
      </c>
      <c r="B3976" s="5" t="s">
        <v>11503</v>
      </c>
      <c r="C3976" s="5" t="s">
        <v>11529</v>
      </c>
      <c r="D3976" s="5" t="s">
        <v>10873</v>
      </c>
      <c r="E3976" s="5" t="s">
        <v>66</v>
      </c>
      <c r="F3976" s="5" t="s">
        <v>10874</v>
      </c>
      <c r="G3976" s="5" t="s">
        <v>152</v>
      </c>
      <c r="H3976" s="5" t="s">
        <v>11505</v>
      </c>
      <c r="I3976" s="5" t="s">
        <v>11530</v>
      </c>
      <c r="J3976" s="5" t="s">
        <v>11531</v>
      </c>
      <c r="K3976" s="7" t="str">
        <f ca="1">IFERROR(__xludf.DUMMYFUNCTION("GOOGLETRANSLATE(H3976,""EN"",""ES"")"),"OTROS MATERIALES IMPRESOS")</f>
        <v>OTROS MATERIALES IMPRESOS</v>
      </c>
      <c r="L3976" s="5" t="str">
        <f ca="1">IFERROR(__xludf.DUMMYFUNCTION("GOOGLETRANSLATE(J3976,""EN"",""ES"")"),"Tarjetas para indexadores")</f>
        <v>Tarjetas para indexadores</v>
      </c>
      <c r="M3976" s="8" t="s">
        <v>65</v>
      </c>
      <c r="N3976" s="8"/>
    </row>
    <row r="3977" spans="1:14" ht="11.25" customHeight="1">
      <c r="A3977" s="5" t="s">
        <v>10870</v>
      </c>
      <c r="B3977" s="5" t="s">
        <v>11503</v>
      </c>
      <c r="C3977" s="5" t="s">
        <v>11532</v>
      </c>
      <c r="D3977" s="5" t="s">
        <v>10873</v>
      </c>
      <c r="E3977" s="5" t="s">
        <v>66</v>
      </c>
      <c r="F3977" s="5" t="s">
        <v>10874</v>
      </c>
      <c r="G3977" s="5" t="s">
        <v>152</v>
      </c>
      <c r="H3977" s="5" t="s">
        <v>11505</v>
      </c>
      <c r="I3977" s="5" t="s">
        <v>11533</v>
      </c>
      <c r="J3977" s="5" t="s">
        <v>11534</v>
      </c>
      <c r="K3977" s="7" t="str">
        <f ca="1">IFERROR(__xludf.DUMMYFUNCTION("GOOGLETRANSLATE(H3977,""EN"",""ES"")"),"OTROS MATERIALES IMPRESOS")</f>
        <v>OTROS MATERIALES IMPRESOS</v>
      </c>
      <c r="L3977" s="5" t="str">
        <f ca="1">IFERROR(__xludf.DUMMYFUNCTION("GOOGLETRANSLATE(J3977,""EN"",""ES"")"),"Hojas de contabilidad")</f>
        <v>Hojas de contabilidad</v>
      </c>
      <c r="M3977" s="8" t="s">
        <v>65</v>
      </c>
      <c r="N3977" s="8"/>
    </row>
    <row r="3978" spans="1:14" ht="11.25" customHeight="1">
      <c r="A3978" s="5" t="s">
        <v>10870</v>
      </c>
      <c r="B3978" s="5" t="s">
        <v>11503</v>
      </c>
      <c r="C3978" s="5" t="s">
        <v>11535</v>
      </c>
      <c r="D3978" s="5" t="s">
        <v>10873</v>
      </c>
      <c r="E3978" s="5" t="s">
        <v>66</v>
      </c>
      <c r="F3978" s="5" t="s">
        <v>10874</v>
      </c>
      <c r="G3978" s="5" t="s">
        <v>152</v>
      </c>
      <c r="H3978" s="5" t="s">
        <v>11505</v>
      </c>
      <c r="I3978" s="5" t="s">
        <v>11536</v>
      </c>
      <c r="J3978" s="5" t="s">
        <v>11537</v>
      </c>
      <c r="K3978" s="7" t="str">
        <f ca="1">IFERROR(__xludf.DUMMYFUNCTION("GOOGLETRANSLATE(H3978,""EN"",""ES"")"),"OTROS MATERIALES IMPRESOS")</f>
        <v>OTROS MATERIALES IMPRESOS</v>
      </c>
      <c r="L3978" s="5" t="str">
        <f ca="1">IFERROR(__xludf.DUMMYFUNCTION("GOOGLETRANSLATE(J3978,""EN"",""ES"")"),"Transferencias para matrículas de vehículos")</f>
        <v>Transferencias para matrículas de vehículos</v>
      </c>
      <c r="M3978" s="8" t="s">
        <v>65</v>
      </c>
      <c r="N3978" s="8"/>
    </row>
    <row r="3979" spans="1:14" ht="11.25" customHeight="1">
      <c r="A3979" s="5" t="s">
        <v>10870</v>
      </c>
      <c r="B3979" s="5" t="s">
        <v>11503</v>
      </c>
      <c r="C3979" s="5" t="s">
        <v>11535</v>
      </c>
      <c r="D3979" s="5" t="s">
        <v>10873</v>
      </c>
      <c r="E3979" s="5" t="s">
        <v>66</v>
      </c>
      <c r="F3979" s="5" t="s">
        <v>10874</v>
      </c>
      <c r="G3979" s="5" t="s">
        <v>152</v>
      </c>
      <c r="H3979" s="5" t="s">
        <v>11505</v>
      </c>
      <c r="I3979" s="5" t="s">
        <v>11538</v>
      </c>
      <c r="J3979" s="5" t="s">
        <v>152</v>
      </c>
      <c r="K3979" s="7" t="str">
        <f ca="1">IFERROR(__xludf.DUMMYFUNCTION("GOOGLETRANSLATE(H3979,""EN"",""ES"")"),"OTROS MATERIALES IMPRESOS")</f>
        <v>OTROS MATERIALES IMPRESOS</v>
      </c>
      <c r="L3979" s="5" t="str">
        <f ca="1">IFERROR(__xludf.DUMMYFUNCTION("GOOGLETRANSLATE(J3979,""EN"",""ES"")"),"Transferencias para matrículas de vehículos")</f>
        <v>Transferencias para matrículas de vehículos</v>
      </c>
      <c r="M3979" s="8" t="s">
        <v>65</v>
      </c>
      <c r="N3979" s="8"/>
    </row>
    <row r="3980" spans="1:14" ht="11.25" customHeight="1">
      <c r="A3980" s="5" t="s">
        <v>10870</v>
      </c>
      <c r="B3980" s="5" t="s">
        <v>11503</v>
      </c>
      <c r="C3980" s="5" t="s">
        <v>11539</v>
      </c>
      <c r="D3980" s="5" t="s">
        <v>10873</v>
      </c>
      <c r="E3980" s="5" t="s">
        <v>66</v>
      </c>
      <c r="F3980" s="5" t="s">
        <v>10874</v>
      </c>
      <c r="G3980" s="5" t="s">
        <v>152</v>
      </c>
      <c r="H3980" s="5" t="s">
        <v>11505</v>
      </c>
      <c r="I3980" s="5" t="s">
        <v>11540</v>
      </c>
      <c r="J3980" s="5" t="s">
        <v>11541</v>
      </c>
      <c r="K3980" s="7" t="str">
        <f ca="1">IFERROR(__xludf.DUMMYFUNCTION("GOOGLETRANSLATE(H3980,""EN"",""ES"")"),"OTROS MATERIALES IMPRESOS")</f>
        <v>OTROS MATERIALES IMPRESOS</v>
      </c>
      <c r="L3980" s="5" t="str">
        <f ca="1">IFERROR(__xludf.DUMMYFUNCTION("GOOGLETRANSLATE(J3980,""EN"",""ES"")"),"Transferencias")</f>
        <v>Transferencias</v>
      </c>
      <c r="M3980" s="8" t="s">
        <v>65</v>
      </c>
      <c r="N3980" s="8"/>
    </row>
    <row r="3981" spans="1:14" ht="11.25" customHeight="1">
      <c r="A3981" s="5" t="s">
        <v>10870</v>
      </c>
      <c r="B3981" s="5" t="s">
        <v>11503</v>
      </c>
      <c r="C3981" s="5" t="s">
        <v>11542</v>
      </c>
      <c r="D3981" s="5" t="s">
        <v>10873</v>
      </c>
      <c r="E3981" s="5" t="s">
        <v>66</v>
      </c>
      <c r="F3981" s="5" t="s">
        <v>10874</v>
      </c>
      <c r="G3981" s="5" t="s">
        <v>152</v>
      </c>
      <c r="H3981" s="5" t="s">
        <v>11505</v>
      </c>
      <c r="I3981" s="5" t="s">
        <v>11543</v>
      </c>
      <c r="J3981" s="5" t="s">
        <v>11544</v>
      </c>
      <c r="K3981" s="7" t="str">
        <f ca="1">IFERROR(__xludf.DUMMYFUNCTION("GOOGLETRANSLATE(H3981,""EN"",""ES"")"),"OTROS MATERIALES IMPRESOS")</f>
        <v>OTROS MATERIALES IMPRESOS</v>
      </c>
      <c r="L3981" s="5" t="str">
        <f ca="1">IFERROR(__xludf.DUMMYFUNCTION("GOOGLETRANSLATE(J3981,""EN"",""ES"")"),"Discos de aparcamiento")</f>
        <v>Discos de aparcamiento</v>
      </c>
      <c r="M3981" s="8" t="s">
        <v>65</v>
      </c>
      <c r="N3981" s="8"/>
    </row>
    <row r="3982" spans="1:14" ht="11.25" customHeight="1">
      <c r="A3982" s="5" t="s">
        <v>10870</v>
      </c>
      <c r="B3982" s="5" t="s">
        <v>11503</v>
      </c>
      <c r="C3982" s="5" t="s">
        <v>11545</v>
      </c>
      <c r="D3982" s="5" t="s">
        <v>10873</v>
      </c>
      <c r="E3982" s="5" t="s">
        <v>66</v>
      </c>
      <c r="F3982" s="5" t="s">
        <v>10874</v>
      </c>
      <c r="G3982" s="5" t="s">
        <v>152</v>
      </c>
      <c r="H3982" s="5" t="s">
        <v>11505</v>
      </c>
      <c r="I3982" s="5" t="s">
        <v>11546</v>
      </c>
      <c r="J3982" s="5" t="s">
        <v>11547</v>
      </c>
      <c r="K3982" s="7" t="str">
        <f ca="1">IFERROR(__xludf.DUMMYFUNCTION("GOOGLETRANSLATE(H3982,""EN"",""ES"")"),"OTROS MATERIALES IMPRESOS")</f>
        <v>OTROS MATERIALES IMPRESOS</v>
      </c>
      <c r="L3982" s="5" t="str">
        <f ca="1">IFERROR(__xludf.DUMMYFUNCTION("GOOGLETRANSLATE(J3982,""EN"",""ES"")"),"Tablas para indicar distancias.")</f>
        <v>Tablas para indicar distancias.</v>
      </c>
      <c r="M3982" s="8" t="s">
        <v>65</v>
      </c>
      <c r="N3982" s="8"/>
    </row>
    <row r="3983" spans="1:14" ht="11.25" customHeight="1">
      <c r="A3983" s="5" t="s">
        <v>10870</v>
      </c>
      <c r="B3983" s="5" t="s">
        <v>11503</v>
      </c>
      <c r="C3983" s="5" t="s">
        <v>11545</v>
      </c>
      <c r="D3983" s="5" t="s">
        <v>10873</v>
      </c>
      <c r="E3983" s="5" t="s">
        <v>66</v>
      </c>
      <c r="F3983" s="5" t="s">
        <v>10874</v>
      </c>
      <c r="G3983" s="5" t="s">
        <v>152</v>
      </c>
      <c r="H3983" s="5" t="s">
        <v>11505</v>
      </c>
      <c r="I3983" s="5" t="s">
        <v>11548</v>
      </c>
      <c r="J3983" s="5" t="s">
        <v>152</v>
      </c>
      <c r="K3983" s="7" t="str">
        <f ca="1">IFERROR(__xludf.DUMMYFUNCTION("GOOGLETRANSLATE(H3983,""EN"",""ES"")"),"OTROS MATERIALES IMPRESOS")</f>
        <v>OTROS MATERIALES IMPRESOS</v>
      </c>
      <c r="L3983" s="5" t="str">
        <f ca="1">IFERROR(__xludf.DUMMYFUNCTION("GOOGLETRANSLATE(J3983,""EN"",""ES"")"),"Tablas que indican distancias")</f>
        <v>Tablas que indican distancias</v>
      </c>
      <c r="M3983" s="8" t="s">
        <v>65</v>
      </c>
      <c r="N3983" s="8"/>
    </row>
    <row r="3984" spans="1:14" ht="11.25" customHeight="1">
      <c r="A3984" s="5" t="s">
        <v>10870</v>
      </c>
      <c r="B3984" s="5" t="s">
        <v>11503</v>
      </c>
      <c r="C3984" s="5" t="s">
        <v>11549</v>
      </c>
      <c r="D3984" s="5" t="s">
        <v>10873</v>
      </c>
      <c r="E3984" s="5" t="s">
        <v>66</v>
      </c>
      <c r="F3984" s="5" t="s">
        <v>10874</v>
      </c>
      <c r="G3984" s="5" t="s">
        <v>152</v>
      </c>
      <c r="H3984" s="5" t="s">
        <v>11505</v>
      </c>
      <c r="I3984" s="5" t="s">
        <v>11550</v>
      </c>
      <c r="J3984" s="5" t="s">
        <v>11551</v>
      </c>
      <c r="K3984" s="7" t="str">
        <f ca="1">IFERROR(__xludf.DUMMYFUNCTION("GOOGLETRANSLATE(H3984,""EN"",""ES"")"),"OTROS MATERIALES IMPRESOS")</f>
        <v>OTROS MATERIALES IMPRESOS</v>
      </c>
      <c r="L3984" s="5" t="str">
        <f ca="1">IFERROR(__xludf.DUMMYFUNCTION("GOOGLETRANSLATE(J3984,""EN"",""ES"")"),"Inserciones publicitarias")</f>
        <v>Inserciones publicitarias</v>
      </c>
      <c r="M3984" s="8" t="s">
        <v>65</v>
      </c>
      <c r="N3984" s="8"/>
    </row>
    <row r="3985" spans="1:14" ht="11.25" customHeight="1">
      <c r="A3985" s="5" t="s">
        <v>10870</v>
      </c>
      <c r="B3985" s="5" t="s">
        <v>11503</v>
      </c>
      <c r="C3985" s="5" t="s">
        <v>11549</v>
      </c>
      <c r="D3985" s="5" t="s">
        <v>10873</v>
      </c>
      <c r="E3985" s="5" t="s">
        <v>66</v>
      </c>
      <c r="F3985" s="5" t="s">
        <v>10874</v>
      </c>
      <c r="G3985" s="5" t="s">
        <v>152</v>
      </c>
      <c r="H3985" s="5" t="s">
        <v>11505</v>
      </c>
      <c r="I3985" s="5" t="s">
        <v>11552</v>
      </c>
      <c r="J3985" s="5" t="s">
        <v>152</v>
      </c>
      <c r="K3985" s="7" t="str">
        <f ca="1">IFERROR(__xludf.DUMMYFUNCTION("GOOGLETRANSLATE(H3985,""EN"",""ES"")"),"OTROS MATERIALES IMPRESOS")</f>
        <v>OTROS MATERIALES IMPRESOS</v>
      </c>
      <c r="L3985" s="5" t="str">
        <f ca="1">IFERROR(__xludf.DUMMYFUNCTION("GOOGLETRANSLATE(J3985,""EN"",""ES"")"),"Inserciones publicitarias")</f>
        <v>Inserciones publicitarias</v>
      </c>
      <c r="M3985" s="8" t="s">
        <v>65</v>
      </c>
      <c r="N3985" s="8"/>
    </row>
    <row r="3986" spans="1:14" ht="11.25" customHeight="1">
      <c r="A3986" s="5" t="s">
        <v>10870</v>
      </c>
      <c r="B3986" s="5" t="s">
        <v>11503</v>
      </c>
      <c r="C3986" s="5" t="s">
        <v>11553</v>
      </c>
      <c r="D3986" s="5" t="s">
        <v>10873</v>
      </c>
      <c r="E3986" s="5" t="s">
        <v>66</v>
      </c>
      <c r="F3986" s="5" t="s">
        <v>10874</v>
      </c>
      <c r="G3986" s="5" t="s">
        <v>152</v>
      </c>
      <c r="H3986" s="5" t="s">
        <v>11505</v>
      </c>
      <c r="I3986" s="5" t="s">
        <v>11554</v>
      </c>
      <c r="J3986" s="5" t="s">
        <v>11555</v>
      </c>
      <c r="K3986" s="7" t="str">
        <f ca="1">IFERROR(__xludf.DUMMYFUNCTION("GOOGLETRANSLATE(H3986,""EN"",""ES"")"),"OTROS MATERIALES IMPRESOS")</f>
        <v>OTROS MATERIALES IMPRESOS</v>
      </c>
      <c r="L3986" s="5" t="str">
        <f ca="1">IFERROR(__xludf.DUMMYFUNCTION("GOOGLETRANSLATE(J3986,""EN"",""ES"")"),"Etiquetas")</f>
        <v>Etiquetas</v>
      </c>
      <c r="M3986" s="8" t="s">
        <v>65</v>
      </c>
      <c r="N3986" s="8"/>
    </row>
    <row r="3987" spans="1:14" ht="11.25" customHeight="1">
      <c r="A3987" s="5" t="s">
        <v>10870</v>
      </c>
      <c r="B3987" s="5" t="s">
        <v>11503</v>
      </c>
      <c r="C3987" s="5" t="s">
        <v>11553</v>
      </c>
      <c r="D3987" s="5" t="s">
        <v>10873</v>
      </c>
      <c r="E3987" s="5" t="s">
        <v>66</v>
      </c>
      <c r="F3987" s="5" t="s">
        <v>10874</v>
      </c>
      <c r="G3987" s="5" t="s">
        <v>152</v>
      </c>
      <c r="H3987" s="5" t="s">
        <v>11505</v>
      </c>
      <c r="I3987" s="5" t="s">
        <v>11556</v>
      </c>
      <c r="J3987" s="5" t="s">
        <v>152</v>
      </c>
      <c r="K3987" s="7" t="str">
        <f ca="1">IFERROR(__xludf.DUMMYFUNCTION("GOOGLETRANSLATE(H3987,""EN"",""ES"")"),"OTROS MATERIALES IMPRESOS")</f>
        <v>OTROS MATERIALES IMPRESOS</v>
      </c>
      <c r="L3987" s="5" t="str">
        <f ca="1">IFERROR(__xludf.DUMMYFUNCTION("GOOGLETRANSLATE(J3987,""EN"",""ES"")"),"Etiquetas")</f>
        <v>Etiquetas</v>
      </c>
      <c r="M3987" s="8" t="s">
        <v>65</v>
      </c>
      <c r="N3987" s="8"/>
    </row>
    <row r="3988" spans="1:14" ht="11.25" customHeight="1">
      <c r="A3988" s="5" t="s">
        <v>10870</v>
      </c>
      <c r="B3988" s="5" t="s">
        <v>11503</v>
      </c>
      <c r="C3988" s="5" t="s">
        <v>11557</v>
      </c>
      <c r="D3988" s="5" t="s">
        <v>10873</v>
      </c>
      <c r="E3988" s="5" t="s">
        <v>66</v>
      </c>
      <c r="F3988" s="5" t="s">
        <v>10874</v>
      </c>
      <c r="G3988" s="5" t="s">
        <v>152</v>
      </c>
      <c r="H3988" s="5" t="s">
        <v>11505</v>
      </c>
      <c r="I3988" s="5" t="s">
        <v>11558</v>
      </c>
      <c r="J3988" s="5" t="s">
        <v>11559</v>
      </c>
      <c r="K3988" s="7" t="str">
        <f ca="1">IFERROR(__xludf.DUMMYFUNCTION("GOOGLETRANSLATE(H3988,""EN"",""ES"")"),"OTROS MATERIALES IMPRESOS")</f>
        <v>OTROS MATERIALES IMPRESOS</v>
      </c>
      <c r="L3988" s="5" t="str">
        <f ca="1">IFERROR(__xludf.DUMMYFUNCTION("GOOGLETRANSLATE(J3988,""EN"",""ES"")"),"Hojas impresas de libros de contabilidad.")</f>
        <v>Hojas impresas de libros de contabilidad.</v>
      </c>
      <c r="M3988" s="8" t="s">
        <v>65</v>
      </c>
      <c r="N3988" s="8"/>
    </row>
    <row r="3989" spans="1:14" ht="11.25" customHeight="1">
      <c r="A3989" s="5" t="s">
        <v>10870</v>
      </c>
      <c r="B3989" s="5" t="s">
        <v>11503</v>
      </c>
      <c r="C3989" s="5" t="s">
        <v>11560</v>
      </c>
      <c r="D3989" s="5" t="s">
        <v>10873</v>
      </c>
      <c r="E3989" s="5" t="s">
        <v>66</v>
      </c>
      <c r="F3989" s="5" t="s">
        <v>10874</v>
      </c>
      <c r="G3989" s="5" t="s">
        <v>152</v>
      </c>
      <c r="H3989" s="5" t="s">
        <v>11505</v>
      </c>
      <c r="I3989" s="5" t="s">
        <v>11561</v>
      </c>
      <c r="J3989" s="5" t="s">
        <v>11562</v>
      </c>
      <c r="K3989" s="7" t="str">
        <f ca="1">IFERROR(__xludf.DUMMYFUNCTION("GOOGLETRANSLATE(H3989,""EN"",""ES"")"),"OTROS MATERIALES IMPRESOS")</f>
        <v>OTROS MATERIALES IMPRESOS</v>
      </c>
      <c r="L3989" s="5" t="str">
        <f ca="1">IFERROR(__xludf.DUMMYFUNCTION("GOOGLETRANSLATE(J3989,""EN"",""ES"")"),"Graficos")</f>
        <v>Graficos</v>
      </c>
      <c r="M3989" s="8" t="s">
        <v>65</v>
      </c>
      <c r="N3989" s="8"/>
    </row>
    <row r="3990" spans="1:14" ht="11.25" customHeight="1">
      <c r="A3990" s="5" t="s">
        <v>10870</v>
      </c>
      <c r="B3990" s="5" t="s">
        <v>11503</v>
      </c>
      <c r="C3990" s="5" t="s">
        <v>11563</v>
      </c>
      <c r="D3990" s="5" t="s">
        <v>10873</v>
      </c>
      <c r="E3990" s="5" t="s">
        <v>66</v>
      </c>
      <c r="F3990" s="5" t="s">
        <v>10874</v>
      </c>
      <c r="G3990" s="5" t="s">
        <v>152</v>
      </c>
      <c r="H3990" s="5" t="s">
        <v>11505</v>
      </c>
      <c r="I3990" s="5" t="s">
        <v>11564</v>
      </c>
      <c r="J3990" s="5" t="s">
        <v>11565</v>
      </c>
      <c r="K3990" s="7" t="str">
        <f ca="1">IFERROR(__xludf.DUMMYFUNCTION("GOOGLETRANSLATE(H3990,""EN"",""ES"")"),"OTROS MATERIALES IMPRESOS")</f>
        <v>OTROS MATERIALES IMPRESOS</v>
      </c>
      <c r="L3990" s="5" t="str">
        <f ca="1">IFERROR(__xludf.DUMMYFUNCTION("GOOGLETRANSLATE(J3990,""EN"",""ES"")"),"Grabados")</f>
        <v>Grabados</v>
      </c>
      <c r="M3990" s="8" t="s">
        <v>65</v>
      </c>
      <c r="N3990" s="8"/>
    </row>
    <row r="3991" spans="1:14" ht="11.25" customHeight="1">
      <c r="A3991" s="5" t="s">
        <v>10870</v>
      </c>
      <c r="B3991" s="5" t="s">
        <v>11503</v>
      </c>
      <c r="C3991" s="5" t="s">
        <v>11566</v>
      </c>
      <c r="D3991" s="5" t="s">
        <v>10873</v>
      </c>
      <c r="E3991" s="5" t="s">
        <v>66</v>
      </c>
      <c r="F3991" s="5" t="s">
        <v>10874</v>
      </c>
      <c r="G3991" s="5" t="s">
        <v>152</v>
      </c>
      <c r="H3991" s="5" t="s">
        <v>11505</v>
      </c>
      <c r="I3991" s="5" t="s">
        <v>11567</v>
      </c>
      <c r="J3991" s="5" t="s">
        <v>11568</v>
      </c>
      <c r="K3991" s="7" t="str">
        <f ca="1">IFERROR(__xludf.DUMMYFUNCTION("GOOGLETRANSLATE(H3991,""EN"",""ES"")"),"OTROS MATERIALES IMPRESOS")</f>
        <v>OTROS MATERIALES IMPRESOS</v>
      </c>
      <c r="L3991" s="5" t="str">
        <f ca="1">IFERROR(__xludf.DUMMYFUNCTION("GOOGLETRANSLATE(J3991,""EN"",""ES"")"),"Horarios")</f>
        <v>Horarios</v>
      </c>
      <c r="M3991" s="8" t="s">
        <v>65</v>
      </c>
      <c r="N3991" s="8"/>
    </row>
    <row r="3992" spans="1:14" ht="11.25" customHeight="1">
      <c r="A3992" s="5" t="s">
        <v>10870</v>
      </c>
      <c r="B3992" s="5" t="s">
        <v>11503</v>
      </c>
      <c r="C3992" s="5" t="s">
        <v>11569</v>
      </c>
      <c r="D3992" s="5" t="s">
        <v>10873</v>
      </c>
      <c r="E3992" s="5" t="s">
        <v>66</v>
      </c>
      <c r="F3992" s="5" t="s">
        <v>10874</v>
      </c>
      <c r="G3992" s="5" t="s">
        <v>152</v>
      </c>
      <c r="H3992" s="5" t="s">
        <v>11505</v>
      </c>
      <c r="I3992" s="5" t="s">
        <v>11570</v>
      </c>
      <c r="J3992" s="5" t="s">
        <v>11571</v>
      </c>
      <c r="K3992" s="7" t="str">
        <f ca="1">IFERROR(__xludf.DUMMYFUNCTION("GOOGLETRANSLATE(H3992,""EN"",""ES"")"),"OTROS MATERIALES IMPRESOS")</f>
        <v>OTROS MATERIALES IMPRESOS</v>
      </c>
      <c r="L3992" s="5" t="str">
        <f ca="1">IFERROR(__xludf.DUMMYFUNCTION("GOOGLETRANSLATE(J3992,""EN"",""ES"")"),"Imágenes de prueba para instrumentos de oculista")</f>
        <v>Imágenes de prueba para instrumentos de oculista</v>
      </c>
      <c r="M3992" s="8" t="s">
        <v>65</v>
      </c>
      <c r="N3992" s="8"/>
    </row>
    <row r="3993" spans="1:14" ht="11.25" customHeight="1">
      <c r="A3993" s="5" t="s">
        <v>10870</v>
      </c>
      <c r="B3993" s="5" t="s">
        <v>11503</v>
      </c>
      <c r="C3993" s="5" t="s">
        <v>11572</v>
      </c>
      <c r="D3993" s="5" t="s">
        <v>10873</v>
      </c>
      <c r="E3993" s="5" t="s">
        <v>66</v>
      </c>
      <c r="F3993" s="5" t="s">
        <v>10874</v>
      </c>
      <c r="G3993" s="5" t="s">
        <v>152</v>
      </c>
      <c r="H3993" s="5" t="s">
        <v>11505</v>
      </c>
      <c r="I3993" s="5" t="s">
        <v>11573</v>
      </c>
      <c r="J3993" s="5" t="s">
        <v>11574</v>
      </c>
      <c r="K3993" s="7" t="str">
        <f ca="1">IFERROR(__xludf.DUMMYFUNCTION("GOOGLETRANSLATE(H3993,""EN"",""ES"")"),"OTROS MATERIALES IMPRESOS")</f>
        <v>OTROS MATERIALES IMPRESOS</v>
      </c>
      <c r="L3993" s="5" t="str">
        <f ca="1">IFERROR(__xludf.DUMMYFUNCTION("GOOGLETRANSLATE(J3993,""EN"",""ES"")"),"Material impreso, incluido el material publicitario.")</f>
        <v>Material impreso, incluido el material publicitario.</v>
      </c>
      <c r="M3993" s="8" t="s">
        <v>65</v>
      </c>
      <c r="N3993" s="8"/>
    </row>
    <row r="3994" spans="1:14" ht="11.25" customHeight="1">
      <c r="A3994" s="5" t="s">
        <v>10870</v>
      </c>
      <c r="B3994" s="5" t="s">
        <v>11503</v>
      </c>
      <c r="C3994" s="5" t="s">
        <v>11575</v>
      </c>
      <c r="D3994" s="5" t="s">
        <v>10873</v>
      </c>
      <c r="E3994" s="5" t="s">
        <v>66</v>
      </c>
      <c r="F3994" s="5" t="s">
        <v>10874</v>
      </c>
      <c r="G3994" s="5" t="s">
        <v>152</v>
      </c>
      <c r="H3994" s="5" t="s">
        <v>11505</v>
      </c>
      <c r="I3994" s="5" t="s">
        <v>11576</v>
      </c>
      <c r="J3994" s="5" t="s">
        <v>11577</v>
      </c>
      <c r="K3994" s="7" t="str">
        <f ca="1">IFERROR(__xludf.DUMMYFUNCTION("GOOGLETRANSLATE(H3994,""EN"",""ES"")"),"OTROS MATERIALES IMPRESOS")</f>
        <v>OTROS MATERIALES IMPRESOS</v>
      </c>
      <c r="L3994" s="5" t="str">
        <f ca="1">IFERROR(__xludf.DUMMYFUNCTION("GOOGLETRANSLATE(J3994,""EN"",""ES"")"),"Periódicos")</f>
        <v>Periódicos</v>
      </c>
      <c r="M3994" s="8" t="s">
        <v>65</v>
      </c>
      <c r="N3994" s="8"/>
    </row>
    <row r="3995" spans="1:14" ht="11.25" customHeight="1">
      <c r="A3995" s="5" t="s">
        <v>10870</v>
      </c>
      <c r="B3995" s="5" t="s">
        <v>11503</v>
      </c>
      <c r="C3995" s="5" t="s">
        <v>11578</v>
      </c>
      <c r="D3995" s="5" t="s">
        <v>10873</v>
      </c>
      <c r="E3995" s="5" t="s">
        <v>66</v>
      </c>
      <c r="F3995" s="5" t="s">
        <v>10874</v>
      </c>
      <c r="G3995" s="5" t="s">
        <v>152</v>
      </c>
      <c r="H3995" s="5" t="s">
        <v>11505</v>
      </c>
      <c r="I3995" s="5" t="s">
        <v>11579</v>
      </c>
      <c r="J3995" s="5" t="s">
        <v>11580</v>
      </c>
      <c r="K3995" s="7" t="str">
        <f ca="1">IFERROR(__xludf.DUMMYFUNCTION("GOOGLETRANSLATE(H3995,""EN"",""ES"")"),"OTROS MATERIALES IMPRESOS")</f>
        <v>OTROS MATERIALES IMPRESOS</v>
      </c>
      <c r="L3995" s="5" t="str">
        <f ca="1">IFERROR(__xludf.DUMMYFUNCTION("GOOGLETRANSLATE(J3995,""EN"",""ES"")"),"papel musical")</f>
        <v>papel musical</v>
      </c>
      <c r="M3995" s="8" t="s">
        <v>65</v>
      </c>
      <c r="N3995" s="8"/>
    </row>
    <row r="3996" spans="1:14" ht="11.25" customHeight="1">
      <c r="A3996" s="5" t="s">
        <v>10870</v>
      </c>
      <c r="B3996" s="5" t="s">
        <v>11503</v>
      </c>
      <c r="C3996" s="5" t="s">
        <v>11581</v>
      </c>
      <c r="D3996" s="5" t="s">
        <v>10873</v>
      </c>
      <c r="E3996" s="5" t="s">
        <v>66</v>
      </c>
      <c r="F3996" s="5" t="s">
        <v>10874</v>
      </c>
      <c r="G3996" s="5" t="s">
        <v>152</v>
      </c>
      <c r="H3996" s="5" t="s">
        <v>11505</v>
      </c>
      <c r="I3996" s="5" t="s">
        <v>11582</v>
      </c>
      <c r="J3996" s="5" t="s">
        <v>11583</v>
      </c>
      <c r="K3996" s="7" t="str">
        <f ca="1">IFERROR(__xludf.DUMMYFUNCTION("GOOGLETRANSLATE(H3996,""EN"",""ES"")"),"OTROS MATERIALES IMPRESOS")</f>
        <v>OTROS MATERIALES IMPRESOS</v>
      </c>
      <c r="L3996" s="5" t="str">
        <f ca="1">IFERROR(__xludf.DUMMYFUNCTION("GOOGLETRANSLATE(J3996,""EN"",""ES"")"),"Planos topográficos")</f>
        <v>Planos topográficos</v>
      </c>
      <c r="M3996" s="8" t="s">
        <v>65</v>
      </c>
      <c r="N3996" s="8"/>
    </row>
    <row r="3997" spans="1:14" ht="11.25" customHeight="1">
      <c r="A3997" s="5" t="s">
        <v>10870</v>
      </c>
      <c r="B3997" s="5" t="s">
        <v>11503</v>
      </c>
      <c r="C3997" s="5" t="s">
        <v>11584</v>
      </c>
      <c r="D3997" s="5" t="s">
        <v>10873</v>
      </c>
      <c r="E3997" s="5" t="s">
        <v>66</v>
      </c>
      <c r="F3997" s="5" t="s">
        <v>10874</v>
      </c>
      <c r="G3997" s="5" t="s">
        <v>152</v>
      </c>
      <c r="H3997" s="5" t="s">
        <v>11505</v>
      </c>
      <c r="I3997" s="5" t="s">
        <v>11585</v>
      </c>
      <c r="J3997" s="5" t="s">
        <v>11586</v>
      </c>
      <c r="K3997" s="7" t="str">
        <f ca="1">IFERROR(__xludf.DUMMYFUNCTION("GOOGLETRANSLATE(H3997,""EN"",""ES"")"),"OTROS MATERIALES IMPRESOS")</f>
        <v>OTROS MATERIALES IMPRESOS</v>
      </c>
      <c r="L3997" s="5" t="str">
        <f ca="1">IFERROR(__xludf.DUMMYFUNCTION("GOOGLETRANSLATE(J3997,""EN"",""ES"")"),"carteles publicitarios")</f>
        <v>carteles publicitarios</v>
      </c>
      <c r="M3997" s="8" t="s">
        <v>65</v>
      </c>
      <c r="N3997" s="8"/>
    </row>
    <row r="3998" spans="1:14" ht="11.25" customHeight="1">
      <c r="A3998" s="5" t="s">
        <v>10870</v>
      </c>
      <c r="B3998" s="5" t="s">
        <v>11503</v>
      </c>
      <c r="C3998" s="5" t="s">
        <v>11587</v>
      </c>
      <c r="D3998" s="5" t="s">
        <v>10873</v>
      </c>
      <c r="E3998" s="5" t="s">
        <v>66</v>
      </c>
      <c r="F3998" s="5" t="s">
        <v>10874</v>
      </c>
      <c r="G3998" s="5" t="s">
        <v>152</v>
      </c>
      <c r="H3998" s="5" t="s">
        <v>11505</v>
      </c>
      <c r="I3998" s="5" t="s">
        <v>11588</v>
      </c>
      <c r="J3998" s="5" t="s">
        <v>11589</v>
      </c>
      <c r="K3998" s="7" t="str">
        <f ca="1">IFERROR(__xludf.DUMMYFUNCTION("GOOGLETRANSLATE(H3998,""EN"",""ES"")"),"OTROS MATERIALES IMPRESOS")</f>
        <v>OTROS MATERIALES IMPRESOS</v>
      </c>
      <c r="L3998" s="5" t="str">
        <f ca="1">IFERROR(__xludf.DUMMYFUNCTION("GOOGLETRANSLATE(J3998,""EN"",""ES"")"),"carteles publicitarios")</f>
        <v>carteles publicitarios</v>
      </c>
      <c r="M3998" s="8" t="s">
        <v>65</v>
      </c>
      <c r="N3998" s="8"/>
    </row>
    <row r="3999" spans="1:14" ht="11.25" customHeight="1">
      <c r="A3999" s="5" t="s">
        <v>10870</v>
      </c>
      <c r="B3999" s="5" t="s">
        <v>11503</v>
      </c>
      <c r="C3999" s="5" t="s">
        <v>11590</v>
      </c>
      <c r="D3999" s="5" t="s">
        <v>10873</v>
      </c>
      <c r="E3999" s="5" t="s">
        <v>66</v>
      </c>
      <c r="F3999" s="5" t="s">
        <v>10874</v>
      </c>
      <c r="G3999" s="5" t="s">
        <v>152</v>
      </c>
      <c r="H3999" s="5" t="s">
        <v>11505</v>
      </c>
      <c r="I3999" s="5" t="s">
        <v>11591</v>
      </c>
      <c r="J3999" s="5" t="s">
        <v>11592</v>
      </c>
      <c r="K3999" s="7" t="str">
        <f ca="1">IFERROR(__xludf.DUMMYFUNCTION("GOOGLETRANSLATE(H3999,""EN"",""ES"")"),"OTROS MATERIALES IMPRESOS")</f>
        <v>OTROS MATERIALES IMPRESOS</v>
      </c>
      <c r="L3999" s="5" t="str">
        <f ca="1">IFERROR(__xludf.DUMMYFUNCTION("GOOGLETRANSLATE(J3999,""EN"",""ES"")"),"cheques bancarios")</f>
        <v>cheques bancarios</v>
      </c>
      <c r="M3999" s="8" t="s">
        <v>65</v>
      </c>
      <c r="N3999" s="8"/>
    </row>
    <row r="4000" spans="1:14" ht="11.25" customHeight="1">
      <c r="A4000" s="5" t="s">
        <v>10870</v>
      </c>
      <c r="B4000" s="5" t="s">
        <v>11503</v>
      </c>
      <c r="C4000" s="5" t="s">
        <v>11593</v>
      </c>
      <c r="D4000" s="5" t="s">
        <v>10873</v>
      </c>
      <c r="E4000" s="5" t="s">
        <v>66</v>
      </c>
      <c r="F4000" s="5" t="s">
        <v>10874</v>
      </c>
      <c r="G4000" s="5" t="s">
        <v>152</v>
      </c>
      <c r="H4000" s="5" t="s">
        <v>11505</v>
      </c>
      <c r="I4000" s="5" t="s">
        <v>11594</v>
      </c>
      <c r="J4000" s="5" t="s">
        <v>11595</v>
      </c>
      <c r="K4000" s="7" t="str">
        <f ca="1">IFERROR(__xludf.DUMMYFUNCTION("GOOGLETRANSLATE(H4000,""EN"",""ES"")"),"OTROS MATERIALES IMPRESOS")</f>
        <v>OTROS MATERIALES IMPRESOS</v>
      </c>
      <c r="L4000" s="5" t="str">
        <f ca="1">IFERROR(__xludf.DUMMYFUNCTION("GOOGLETRANSLATE(J4000,""EN"",""ES"")"),"Plantillas para cortar")</f>
        <v>Plantillas para cortar</v>
      </c>
      <c r="M4000" s="8" t="s">
        <v>65</v>
      </c>
      <c r="N4000" s="8"/>
    </row>
    <row r="4001" spans="1:14" ht="11.25" customHeight="1">
      <c r="A4001" s="5" t="s">
        <v>10870</v>
      </c>
      <c r="B4001" s="5" t="s">
        <v>11503</v>
      </c>
      <c r="C4001" s="5" t="s">
        <v>11596</v>
      </c>
      <c r="D4001" s="5" t="s">
        <v>10873</v>
      </c>
      <c r="E4001" s="5" t="s">
        <v>66</v>
      </c>
      <c r="F4001" s="5" t="s">
        <v>10874</v>
      </c>
      <c r="G4001" s="5" t="s">
        <v>152</v>
      </c>
      <c r="H4001" s="5" t="s">
        <v>11505</v>
      </c>
      <c r="I4001" s="5" t="s">
        <v>11597</v>
      </c>
      <c r="J4001" s="5" t="s">
        <v>11598</v>
      </c>
      <c r="K4001" s="7" t="str">
        <f ca="1">IFERROR(__xludf.DUMMYFUNCTION("GOOGLETRANSLATE(H4001,""EN"",""ES"")"),"OTROS MATERIALES IMPRESOS")</f>
        <v>OTROS MATERIALES IMPRESOS</v>
      </c>
      <c r="L4001" s="5" t="str">
        <f ca="1">IFERROR(__xludf.DUMMYFUNCTION("GOOGLETRANSLATE(J4001,""EN"",""ES"")"),"Horarios ferroviarios")</f>
        <v>Horarios ferroviarios</v>
      </c>
      <c r="M4001" s="8" t="s">
        <v>65</v>
      </c>
      <c r="N4001" s="8"/>
    </row>
    <row r="4002" spans="1:14" ht="11.25" customHeight="1">
      <c r="A4002" s="5" t="s">
        <v>10870</v>
      </c>
      <c r="B4002" s="5" t="s">
        <v>11503</v>
      </c>
      <c r="C4002" s="5" t="s">
        <v>11599</v>
      </c>
      <c r="D4002" s="5" t="s">
        <v>10873</v>
      </c>
      <c r="E4002" s="5" t="s">
        <v>66</v>
      </c>
      <c r="F4002" s="5" t="s">
        <v>10874</v>
      </c>
      <c r="G4002" s="5" t="s">
        <v>152</v>
      </c>
      <c r="H4002" s="5" t="s">
        <v>11505</v>
      </c>
      <c r="I4002" s="5" t="s">
        <v>11600</v>
      </c>
      <c r="J4002" s="5" t="s">
        <v>11601</v>
      </c>
      <c r="K4002" s="7" t="str">
        <f ca="1">IFERROR(__xludf.DUMMYFUNCTION("GOOGLETRANSLATE(H4002,""EN"",""ES"")"),"OTROS MATERIALES IMPRESOS")</f>
        <v>OTROS MATERIALES IMPRESOS</v>
      </c>
      <c r="L4002" s="5" t="str">
        <f ca="1">IFERROR(__xludf.DUMMYFUNCTION("GOOGLETRANSLATE(J4002,""EN"",""ES"")"),"Indicadores del ciclo menstrual.")</f>
        <v>Indicadores del ciclo menstrual.</v>
      </c>
      <c r="M4002" s="8" t="s">
        <v>65</v>
      </c>
      <c r="N4002" s="8"/>
    </row>
    <row r="4003" spans="1:14" ht="11.25" customHeight="1">
      <c r="A4003" s="5" t="s">
        <v>10870</v>
      </c>
      <c r="B4003" s="5" t="s">
        <v>11503</v>
      </c>
      <c r="C4003" s="5" t="s">
        <v>11602</v>
      </c>
      <c r="D4003" s="5" t="s">
        <v>10873</v>
      </c>
      <c r="E4003" s="5" t="s">
        <v>66</v>
      </c>
      <c r="F4003" s="5" t="s">
        <v>10874</v>
      </c>
      <c r="G4003" s="5" t="s">
        <v>152</v>
      </c>
      <c r="H4003" s="5" t="s">
        <v>11505</v>
      </c>
      <c r="I4003" s="5" t="s">
        <v>11603</v>
      </c>
      <c r="J4003" s="5" t="s">
        <v>11604</v>
      </c>
      <c r="K4003" s="7" t="str">
        <f ca="1">IFERROR(__xludf.DUMMYFUNCTION("GOOGLETRANSLATE(H4003,""EN"",""ES"")"),"OTROS MATERIALES IMPRESOS")</f>
        <v>OTROS MATERIALES IMPRESOS</v>
      </c>
      <c r="L4003" s="5" t="str">
        <f ca="1">IFERROR(__xludf.DUMMYFUNCTION("GOOGLETRANSLATE(J4003,""EN"",""ES"")"),"Talonarios de recetas médicas")</f>
        <v>Talonarios de recetas médicas</v>
      </c>
      <c r="M4003" s="8" t="s">
        <v>65</v>
      </c>
      <c r="N4003" s="8"/>
    </row>
    <row r="4004" spans="1:14" ht="11.25" customHeight="1">
      <c r="A4004" s="5" t="s">
        <v>10870</v>
      </c>
      <c r="B4004" s="5" t="s">
        <v>11503</v>
      </c>
      <c r="C4004" s="5" t="s">
        <v>11605</v>
      </c>
      <c r="D4004" s="5" t="s">
        <v>10873</v>
      </c>
      <c r="E4004" s="5" t="s">
        <v>66</v>
      </c>
      <c r="F4004" s="5" t="s">
        <v>10874</v>
      </c>
      <c r="G4004" s="5" t="s">
        <v>152</v>
      </c>
      <c r="H4004" s="5" t="s">
        <v>11505</v>
      </c>
      <c r="I4004" s="5" t="s">
        <v>11606</v>
      </c>
      <c r="J4004" s="5" t="s">
        <v>11607</v>
      </c>
      <c r="K4004" s="7" t="str">
        <f ca="1">IFERROR(__xludf.DUMMYFUNCTION("GOOGLETRANSLATE(H4004,""EN"",""ES"")"),"OTROS MATERIALES IMPRESOS")</f>
        <v>OTROS MATERIALES IMPRESOS</v>
      </c>
      <c r="L4004" s="5" t="str">
        <f ca="1">IFERROR(__xludf.DUMMYFUNCTION("GOOGLETRANSLATE(J4004,""EN"",""ES"")"),"Patrones para confección")</f>
        <v>Patrones para confección</v>
      </c>
      <c r="M4004" s="8" t="s">
        <v>65</v>
      </c>
      <c r="N4004" s="8"/>
    </row>
    <row r="4005" spans="1:14" ht="11.25" customHeight="1">
      <c r="A4005" s="5" t="s">
        <v>10870</v>
      </c>
      <c r="B4005" s="5" t="s">
        <v>11503</v>
      </c>
      <c r="C4005" s="5" t="s">
        <v>11608</v>
      </c>
      <c r="D4005" s="5" t="s">
        <v>10873</v>
      </c>
      <c r="E4005" s="5" t="s">
        <v>66</v>
      </c>
      <c r="F4005" s="5" t="s">
        <v>10874</v>
      </c>
      <c r="G4005" s="5" t="s">
        <v>152</v>
      </c>
      <c r="H4005" s="5" t="s">
        <v>11505</v>
      </c>
      <c r="I4005" s="5" t="s">
        <v>11609</v>
      </c>
      <c r="J4005" s="5" t="s">
        <v>11610</v>
      </c>
      <c r="K4005" s="7" t="str">
        <f ca="1">IFERROR(__xludf.DUMMYFUNCTION("GOOGLETRANSLATE(H4005,""EN"",""ES"")"),"OTROS MATERIALES IMPRESOS")</f>
        <v>OTROS MATERIALES IMPRESOS</v>
      </c>
      <c r="L4005" s="5" t="str">
        <f ca="1">IFERROR(__xludf.DUMMYFUNCTION("GOOGLETRANSLATE(J4005,""EN"",""ES"")"),"planos de arquitectos")</f>
        <v>planos de arquitectos</v>
      </c>
      <c r="M4005" s="8" t="s">
        <v>65</v>
      </c>
      <c r="N4005" s="8"/>
    </row>
    <row r="4006" spans="1:14" ht="11.25" customHeight="1">
      <c r="A4006" s="5" t="s">
        <v>10870</v>
      </c>
      <c r="B4006" s="5" t="s">
        <v>11503</v>
      </c>
      <c r="C4006" s="5" t="s">
        <v>11611</v>
      </c>
      <c r="D4006" s="5" t="s">
        <v>10873</v>
      </c>
      <c r="E4006" s="5" t="s">
        <v>66</v>
      </c>
      <c r="F4006" s="5" t="s">
        <v>10874</v>
      </c>
      <c r="G4006" s="5" t="s">
        <v>152</v>
      </c>
      <c r="H4006" s="5" t="s">
        <v>11505</v>
      </c>
      <c r="I4006" s="5" t="s">
        <v>11612</v>
      </c>
      <c r="J4006" s="5" t="s">
        <v>11613</v>
      </c>
      <c r="K4006" s="7" t="str">
        <f ca="1">IFERROR(__xludf.DUMMYFUNCTION("GOOGLETRANSLATE(H4006,""EN"",""ES"")"),"OTROS MATERIALES IMPRESOS")</f>
        <v>OTROS MATERIALES IMPRESOS</v>
      </c>
      <c r="L4006" s="5" t="str">
        <f ca="1">IFERROR(__xludf.DUMMYFUNCTION("GOOGLETRANSLATE(J4006,""EN"",""ES"")"),"Hojas de álbum de sellos")</f>
        <v>Hojas de álbum de sellos</v>
      </c>
      <c r="M4006" s="8" t="s">
        <v>65</v>
      </c>
      <c r="N4006" s="8"/>
    </row>
    <row r="4007" spans="1:14" ht="11.25" customHeight="1">
      <c r="A4007" s="5" t="s">
        <v>10870</v>
      </c>
      <c r="B4007" s="5" t="s">
        <v>11503</v>
      </c>
      <c r="C4007" s="5" t="s">
        <v>11614</v>
      </c>
      <c r="D4007" s="5" t="s">
        <v>10873</v>
      </c>
      <c r="E4007" s="5" t="s">
        <v>66</v>
      </c>
      <c r="F4007" s="5" t="s">
        <v>10874</v>
      </c>
      <c r="G4007" s="5" t="s">
        <v>152</v>
      </c>
      <c r="H4007" s="5" t="s">
        <v>11505</v>
      </c>
      <c r="I4007" s="5" t="s">
        <v>11615</v>
      </c>
      <c r="J4007" s="5" t="s">
        <v>11616</v>
      </c>
      <c r="K4007" s="7" t="str">
        <f ca="1">IFERROR(__xludf.DUMMYFUNCTION("GOOGLETRANSLATE(H4007,""EN"",""ES"")"),"OTROS MATERIALES IMPRESOS")</f>
        <v>OTROS MATERIALES IMPRESOS</v>
      </c>
      <c r="L4007" s="5" t="str">
        <f ca="1">IFERROR(__xludf.DUMMYFUNCTION("GOOGLETRANSLATE(J4007,""EN"",""ES"")"),"Formularios [impresos]")</f>
        <v>Formularios [impresos]</v>
      </c>
      <c r="M4007" s="8" t="s">
        <v>65</v>
      </c>
      <c r="N4007" s="8"/>
    </row>
    <row r="4008" spans="1:14" ht="11.25" customHeight="1">
      <c r="A4008" s="5" t="s">
        <v>10870</v>
      </c>
      <c r="B4008" s="5" t="s">
        <v>11503</v>
      </c>
      <c r="C4008" s="5" t="s">
        <v>11617</v>
      </c>
      <c r="D4008" s="5" t="s">
        <v>10873</v>
      </c>
      <c r="E4008" s="5" t="s">
        <v>66</v>
      </c>
      <c r="F4008" s="5" t="s">
        <v>10874</v>
      </c>
      <c r="G4008" s="5" t="s">
        <v>152</v>
      </c>
      <c r="H4008" s="5" t="s">
        <v>11505</v>
      </c>
      <c r="I4008" s="5" t="s">
        <v>11618</v>
      </c>
      <c r="J4008" s="5" t="s">
        <v>11618</v>
      </c>
      <c r="K4008" s="7" t="str">
        <f ca="1">IFERROR(__xludf.DUMMYFUNCTION("GOOGLETRANSLATE(H4008,""EN"",""ES"")"),"OTROS MATERIALES IMPRESOS")</f>
        <v>OTROS MATERIALES IMPRESOS</v>
      </c>
      <c r="L4008" s="5" t="str">
        <f ca="1">IFERROR(__xludf.DUMMYFUNCTION("GOOGLETRANSLATE(J4008,""EN"",""ES"")"),"Folleto")</f>
        <v>Folleto</v>
      </c>
      <c r="M4008" s="8" t="s">
        <v>65</v>
      </c>
      <c r="N4008" s="8"/>
    </row>
    <row r="4009" spans="1:14" ht="11.25" customHeight="1">
      <c r="A4009" s="5" t="s">
        <v>10870</v>
      </c>
      <c r="B4009" s="5" t="s">
        <v>11503</v>
      </c>
      <c r="C4009" s="5" t="s">
        <v>11619</v>
      </c>
      <c r="D4009" s="5" t="s">
        <v>10873</v>
      </c>
      <c r="E4009" s="5" t="s">
        <v>66</v>
      </c>
      <c r="F4009" s="5" t="s">
        <v>10874</v>
      </c>
      <c r="G4009" s="5" t="s">
        <v>152</v>
      </c>
      <c r="H4009" s="5" t="s">
        <v>11505</v>
      </c>
      <c r="I4009" s="5" t="s">
        <v>11620</v>
      </c>
      <c r="J4009" s="5" t="s">
        <v>11621</v>
      </c>
      <c r="K4009" s="7" t="str">
        <f ca="1">IFERROR(__xludf.DUMMYFUNCTION("GOOGLETRANSLATE(H4009,""EN"",""ES"")"),"OTROS MATERIALES IMPRESOS")</f>
        <v>OTROS MATERIALES IMPRESOS</v>
      </c>
      <c r="L4009" s="5" t="str">
        <f ca="1">IFERROR(__xludf.DUMMYFUNCTION("GOOGLETRANSLATE(J4009,""EN"",""ES"")"),"Pegatinas")</f>
        <v>Pegatinas</v>
      </c>
      <c r="M4009" s="8" t="s">
        <v>65</v>
      </c>
      <c r="N4009" s="8"/>
    </row>
    <row r="4010" spans="1:14" ht="11.25" customHeight="1">
      <c r="A4010" s="5" t="s">
        <v>10870</v>
      </c>
      <c r="B4010" s="5" t="s">
        <v>11503</v>
      </c>
      <c r="C4010" s="5" t="s">
        <v>11622</v>
      </c>
      <c r="D4010" s="5" t="s">
        <v>10873</v>
      </c>
      <c r="E4010" s="5" t="s">
        <v>66</v>
      </c>
      <c r="F4010" s="5" t="s">
        <v>10874</v>
      </c>
      <c r="G4010" s="5" t="s">
        <v>152</v>
      </c>
      <c r="H4010" s="5" t="s">
        <v>11505</v>
      </c>
      <c r="I4010" s="5" t="s">
        <v>11623</v>
      </c>
      <c r="J4010" s="5" t="s">
        <v>11624</v>
      </c>
      <c r="K4010" s="7" t="str">
        <f ca="1">IFERROR(__xludf.DUMMYFUNCTION("GOOGLETRANSLATE(H4010,""EN"",""ES"")"),"OTROS MATERIALES IMPRESOS")</f>
        <v>OTROS MATERIALES IMPRESOS</v>
      </c>
      <c r="L4010" s="5" t="str">
        <f ca="1">IFERROR(__xludf.DUMMYFUNCTION("GOOGLETRANSLATE(J4010,""EN"",""ES"")"),"Tarjetas inteligentes")</f>
        <v>Tarjetas inteligentes</v>
      </c>
      <c r="M4010" s="8" t="s">
        <v>65</v>
      </c>
      <c r="N4010" s="8"/>
    </row>
    <row r="4011" spans="1:14" ht="11.25" customHeight="1">
      <c r="A4011" s="5" t="s">
        <v>10870</v>
      </c>
      <c r="B4011" s="5" t="s">
        <v>11503</v>
      </c>
      <c r="C4011" s="5" t="s">
        <v>11625</v>
      </c>
      <c r="D4011" s="5" t="s">
        <v>10873</v>
      </c>
      <c r="E4011" s="5" t="s">
        <v>66</v>
      </c>
      <c r="F4011" s="5" t="s">
        <v>10874</v>
      </c>
      <c r="G4011" s="5" t="s">
        <v>152</v>
      </c>
      <c r="H4011" s="5" t="s">
        <v>11505</v>
      </c>
      <c r="I4011" s="5" t="s">
        <v>11626</v>
      </c>
      <c r="J4011" s="5" t="s">
        <v>11627</v>
      </c>
      <c r="K4011" s="7" t="str">
        <f ca="1">IFERROR(__xludf.DUMMYFUNCTION("GOOGLETRANSLATE(H4011,""EN"",""ES"")"),"OTROS MATERIALES IMPRESOS")</f>
        <v>OTROS MATERIALES IMPRESOS</v>
      </c>
      <c r="L4011" s="5" t="str">
        <f ca="1">IFERROR(__xludf.DUMMYFUNCTION("GOOGLETRANSLATE(J4011,""EN"",""ES"")"),"Tarjetas con chip")</f>
        <v>Tarjetas con chip</v>
      </c>
      <c r="M4011" s="8" t="s">
        <v>65</v>
      </c>
      <c r="N4011" s="8"/>
    </row>
    <row r="4012" spans="1:14" ht="11.25" customHeight="1">
      <c r="A4012" s="5" t="s">
        <v>10870</v>
      </c>
      <c r="B4012" s="5" t="s">
        <v>11503</v>
      </c>
      <c r="C4012" s="5" t="s">
        <v>11628</v>
      </c>
      <c r="D4012" s="5" t="s">
        <v>10873</v>
      </c>
      <c r="E4012" s="5" t="s">
        <v>66</v>
      </c>
      <c r="F4012" s="5" t="s">
        <v>10874</v>
      </c>
      <c r="G4012" s="5" t="s">
        <v>152</v>
      </c>
      <c r="H4012" s="5" t="s">
        <v>11505</v>
      </c>
      <c r="I4012" s="5" t="s">
        <v>11629</v>
      </c>
      <c r="J4012" s="5" t="s">
        <v>11630</v>
      </c>
      <c r="K4012" s="7" t="str">
        <f ca="1">IFERROR(__xludf.DUMMYFUNCTION("GOOGLETRANSLATE(H4012,""EN"",""ES"")"),"OTROS MATERIALES IMPRESOS")</f>
        <v>OTROS MATERIALES IMPRESOS</v>
      </c>
      <c r="L4012" s="5" t="str">
        <f ca="1">IFERROR(__xludf.DUMMYFUNCTION("GOOGLETRANSLATE(J4012,""EN"",""ES"")"),"Tarjetas magnéticas")</f>
        <v>Tarjetas magnéticas</v>
      </c>
      <c r="M4012" s="8" t="s">
        <v>65</v>
      </c>
      <c r="N4012" s="8"/>
    </row>
    <row r="4013" spans="1:14" ht="11.25" customHeight="1">
      <c r="A4013" s="5" t="s">
        <v>10870</v>
      </c>
      <c r="B4013" s="5" t="s">
        <v>11503</v>
      </c>
      <c r="C4013" s="5" t="s">
        <v>11631</v>
      </c>
      <c r="D4013" s="5" t="s">
        <v>10873</v>
      </c>
      <c r="E4013" s="5" t="s">
        <v>66</v>
      </c>
      <c r="F4013" s="5" t="s">
        <v>10874</v>
      </c>
      <c r="G4013" s="5" t="s">
        <v>152</v>
      </c>
      <c r="H4013" s="5" t="s">
        <v>11505</v>
      </c>
      <c r="I4013" s="5" t="s">
        <v>11632</v>
      </c>
      <c r="J4013" s="5" t="s">
        <v>11633</v>
      </c>
      <c r="K4013" s="7" t="str">
        <f ca="1">IFERROR(__xludf.DUMMYFUNCTION("GOOGLETRANSLATE(H4013,""EN"",""ES"")"),"OTROS MATERIALES IMPRESOS")</f>
        <v>OTROS MATERIALES IMPRESOS</v>
      </c>
      <c r="L4013" s="5" t="str">
        <f ca="1">IFERROR(__xludf.DUMMYFUNCTION("GOOGLETRANSLATE(J4013,""EN"",""ES"")"),"Formularios de lotería [impresos]")</f>
        <v>Formularios de lotería [impresos]</v>
      </c>
      <c r="M4013" s="8" t="s">
        <v>65</v>
      </c>
      <c r="N4013" s="8"/>
    </row>
    <row r="4014" spans="1:14" ht="11.25" customHeight="1">
      <c r="A4014" s="5" t="s">
        <v>10870</v>
      </c>
      <c r="B4014" s="5" t="s">
        <v>11634</v>
      </c>
      <c r="C4014" s="5" t="s">
        <v>11635</v>
      </c>
      <c r="D4014" s="5" t="s">
        <v>10873</v>
      </c>
      <c r="E4014" s="5" t="s">
        <v>66</v>
      </c>
      <c r="F4014" s="5" t="s">
        <v>10874</v>
      </c>
      <c r="G4014" s="5" t="s">
        <v>152</v>
      </c>
      <c r="H4014" s="5" t="s">
        <v>330</v>
      </c>
      <c r="I4014" s="5" t="s">
        <v>11636</v>
      </c>
      <c r="J4014" s="5" t="s">
        <v>11637</v>
      </c>
      <c r="K4014" s="7" t="str">
        <f ca="1">IFERROR(__xludf.DUMMYFUNCTION("GOOGLETRANSLATE(H4014,""EN"",""ES"")"),"MISCELÁNEAS")</f>
        <v>MISCELÁNEAS</v>
      </c>
      <c r="L4014" s="5" t="str">
        <f ca="1">IFERROR(__xludf.DUMMYFUNCTION("GOOGLETRANSLATE(J4014,""EN"",""ES"")"),"Sujetadores de etiquetas")</f>
        <v>Sujetadores de etiquetas</v>
      </c>
      <c r="M4014" s="8" t="s">
        <v>65</v>
      </c>
      <c r="N4014" s="8"/>
    </row>
    <row r="4015" spans="1:14" ht="11.25" customHeight="1">
      <c r="A4015" s="5" t="s">
        <v>10870</v>
      </c>
      <c r="B4015" s="5" t="s">
        <v>11634</v>
      </c>
      <c r="C4015" s="5" t="s">
        <v>11638</v>
      </c>
      <c r="D4015" s="5" t="s">
        <v>10873</v>
      </c>
      <c r="E4015" s="5" t="s">
        <v>66</v>
      </c>
      <c r="F4015" s="5" t="s">
        <v>10874</v>
      </c>
      <c r="G4015" s="5" t="s">
        <v>152</v>
      </c>
      <c r="H4015" s="5" t="s">
        <v>330</v>
      </c>
      <c r="I4015" s="5" t="s">
        <v>11639</v>
      </c>
      <c r="J4015" s="5" t="s">
        <v>11640</v>
      </c>
      <c r="K4015" s="7" t="str">
        <f ca="1">IFERROR(__xludf.DUMMYFUNCTION("GOOGLETRANSLATE(H4015,""EN"",""ES"")"),"MISCELÁNEAS")</f>
        <v>MISCELÁNEAS</v>
      </c>
      <c r="L4015" s="5" t="str">
        <f ca="1">IFERROR(__xludf.DUMMYFUNCTION("GOOGLETRANSLATE(J4015,""EN"",""ES"")"),"Carpetas para negativos de película [hojas sueltas]")</f>
        <v>Carpetas para negativos de película [hojas sueltas]</v>
      </c>
      <c r="M4015" s="8" t="s">
        <v>65</v>
      </c>
      <c r="N4015" s="8"/>
    </row>
    <row r="4016" spans="1:14" ht="11.25" customHeight="1">
      <c r="A4016" s="5" t="s">
        <v>10870</v>
      </c>
      <c r="B4016" s="5" t="s">
        <v>11634</v>
      </c>
      <c r="C4016" s="5" t="s">
        <v>11641</v>
      </c>
      <c r="D4016" s="5" t="s">
        <v>10873</v>
      </c>
      <c r="E4016" s="5" t="s">
        <v>66</v>
      </c>
      <c r="F4016" s="5" t="s">
        <v>10874</v>
      </c>
      <c r="G4016" s="5" t="s">
        <v>152</v>
      </c>
      <c r="H4016" s="5" t="s">
        <v>330</v>
      </c>
      <c r="I4016" s="5" t="s">
        <v>11642</v>
      </c>
      <c r="J4016" s="5" t="s">
        <v>11643</v>
      </c>
      <c r="K4016" s="7" t="str">
        <f ca="1">IFERROR(__xludf.DUMMYFUNCTION("GOOGLETRANSLATE(H4016,""EN"",""ES"")"),"MISCELÁNEAS")</f>
        <v>MISCELÁNEAS</v>
      </c>
      <c r="L4016" s="5" t="str">
        <f ca="1">IFERROR(__xludf.DUMMYFUNCTION("GOOGLETRANSLATE(J4016,""EN"",""ES"")"),"Tiras de encuadernación [encuadernación]")</f>
        <v>Tiras de encuadernación [encuadernación]</v>
      </c>
      <c r="M4016" s="8" t="s">
        <v>65</v>
      </c>
      <c r="N4016" s="8"/>
    </row>
    <row r="4017" spans="1:14" ht="11.25" customHeight="1">
      <c r="A4017" s="5" t="s">
        <v>10870</v>
      </c>
      <c r="B4017" s="5" t="s">
        <v>11634</v>
      </c>
      <c r="C4017" s="5" t="s">
        <v>11641</v>
      </c>
      <c r="D4017" s="5" t="s">
        <v>10873</v>
      </c>
      <c r="E4017" s="5" t="s">
        <v>66</v>
      </c>
      <c r="F4017" s="5" t="s">
        <v>10874</v>
      </c>
      <c r="G4017" s="5" t="s">
        <v>152</v>
      </c>
      <c r="H4017" s="5" t="s">
        <v>330</v>
      </c>
      <c r="I4017" s="5" t="s">
        <v>152</v>
      </c>
      <c r="J4017" s="5" t="s">
        <v>11644</v>
      </c>
      <c r="K4017" s="7" t="str">
        <f ca="1">IFERROR(__xludf.DUMMYFUNCTION("GOOGLETRANSLATE(H4017,""EN"",""ES"")"),"MISCELÁNEAS")</f>
        <v>MISCELÁNEAS</v>
      </c>
      <c r="L4017" s="5" t="str">
        <f ca="1">IFERROR(__xludf.DUMMYFUNCTION("GOOGLETRANSLATE(J4017,""EN"",""ES"")"),"N / A")</f>
        <v>N / A</v>
      </c>
      <c r="M4017" s="8" t="s">
        <v>65</v>
      </c>
      <c r="N4017" s="8"/>
    </row>
    <row r="4018" spans="1:14" ht="11.25" customHeight="1">
      <c r="A4018" s="5" t="s">
        <v>10870</v>
      </c>
      <c r="B4018" s="5" t="s">
        <v>11634</v>
      </c>
      <c r="C4018" s="5" t="s">
        <v>11645</v>
      </c>
      <c r="D4018" s="5" t="s">
        <v>10873</v>
      </c>
      <c r="E4018" s="5" t="s">
        <v>66</v>
      </c>
      <c r="F4018" s="5" t="s">
        <v>10874</v>
      </c>
      <c r="G4018" s="5" t="s">
        <v>152</v>
      </c>
      <c r="H4018" s="5" t="s">
        <v>330</v>
      </c>
      <c r="I4018" s="5" t="s">
        <v>11646</v>
      </c>
      <c r="J4018" s="5" t="s">
        <v>11647</v>
      </c>
      <c r="K4018" s="7" t="str">
        <f ca="1">IFERROR(__xludf.DUMMYFUNCTION("GOOGLETRANSLATE(H4018,""EN"",""ES"")"),"MISCELÁNEAS")</f>
        <v>MISCELÁNEAS</v>
      </c>
      <c r="L4018" s="5" t="str">
        <f ca="1">IFERROR(__xludf.DUMMYFUNCTION("GOOGLETRANSLATE(J4018,""EN"",""ES"")"),"Pasadores de página")</f>
        <v>Pasadores de página</v>
      </c>
      <c r="M4018" s="8" t="s">
        <v>65</v>
      </c>
      <c r="N4018" s="8"/>
    </row>
    <row r="4019" spans="1:14" ht="11.25" customHeight="1">
      <c r="A4019" s="5" t="s">
        <v>10870</v>
      </c>
      <c r="B4019" s="5" t="s">
        <v>11634</v>
      </c>
      <c r="C4019" s="5" t="s">
        <v>11648</v>
      </c>
      <c r="D4019" s="5" t="s">
        <v>10873</v>
      </c>
      <c r="E4019" s="5" t="s">
        <v>66</v>
      </c>
      <c r="F4019" s="5" t="s">
        <v>10874</v>
      </c>
      <c r="G4019" s="5" t="s">
        <v>152</v>
      </c>
      <c r="H4019" s="5" t="s">
        <v>330</v>
      </c>
      <c r="I4019" s="5" t="s">
        <v>11649</v>
      </c>
      <c r="J4019" s="5" t="s">
        <v>11650</v>
      </c>
      <c r="K4019" s="7" t="str">
        <f ca="1">IFERROR(__xludf.DUMMYFUNCTION("GOOGLETRANSLATE(H4019,""EN"",""ES"")"),"MISCELÁNEAS")</f>
        <v>MISCELÁNEAS</v>
      </c>
      <c r="L4019" s="5" t="str">
        <f ca="1">IFERROR(__xludf.DUMMYFUNCTION("GOOGLETRANSLATE(J4019,""EN"",""ES"")"),"Calcular discos")</f>
        <v>Calcular discos</v>
      </c>
      <c r="M4019" s="8" t="s">
        <v>65</v>
      </c>
      <c r="N4019" s="8"/>
    </row>
    <row r="4020" spans="1:14" ht="11.25" customHeight="1">
      <c r="A4020" s="5" t="s">
        <v>10870</v>
      </c>
      <c r="B4020" s="5" t="s">
        <v>11634</v>
      </c>
      <c r="C4020" s="5" t="s">
        <v>11651</v>
      </c>
      <c r="D4020" s="5" t="s">
        <v>10873</v>
      </c>
      <c r="E4020" s="5" t="s">
        <v>66</v>
      </c>
      <c r="F4020" s="5" t="s">
        <v>10874</v>
      </c>
      <c r="G4020" s="5" t="s">
        <v>152</v>
      </c>
      <c r="H4020" s="5" t="s">
        <v>330</v>
      </c>
      <c r="I4020" s="5" t="s">
        <v>11652</v>
      </c>
      <c r="J4020" s="5" t="s">
        <v>11653</v>
      </c>
      <c r="K4020" s="7" t="str">
        <f ca="1">IFERROR(__xludf.DUMMYFUNCTION("GOOGLETRANSLATE(H4020,""EN"",""ES"")"),"MISCELÁNEAS")</f>
        <v>MISCELÁNEAS</v>
      </c>
      <c r="L4020" s="5" t="str">
        <f ca="1">IFERROR(__xludf.DUMMYFUNCTION("GOOGLETRANSLATE(J4020,""EN"",""ES"")"),"Marcadores de libros")</f>
        <v>Marcadores de libros</v>
      </c>
      <c r="M4020" s="8" t="s">
        <v>65</v>
      </c>
      <c r="N4020" s="8"/>
    </row>
    <row r="4021" spans="1:14" ht="11.25" customHeight="1">
      <c r="A4021" s="5" t="s">
        <v>10870</v>
      </c>
      <c r="B4021" s="5" t="s">
        <v>11634</v>
      </c>
      <c r="C4021" s="5" t="s">
        <v>11651</v>
      </c>
      <c r="D4021" s="5" t="s">
        <v>10873</v>
      </c>
      <c r="E4021" s="5" t="s">
        <v>66</v>
      </c>
      <c r="F4021" s="5" t="s">
        <v>10874</v>
      </c>
      <c r="G4021" s="5" t="s">
        <v>152</v>
      </c>
      <c r="H4021" s="5" t="s">
        <v>330</v>
      </c>
      <c r="I4021" s="5" t="s">
        <v>152</v>
      </c>
      <c r="J4021" s="5" t="s">
        <v>11654</v>
      </c>
      <c r="K4021" s="7" t="str">
        <f ca="1">IFERROR(__xludf.DUMMYFUNCTION("GOOGLETRANSLATE(H4021,""EN"",""ES"")"),"MISCELÁNEAS")</f>
        <v>MISCELÁNEAS</v>
      </c>
      <c r="L4021" s="5" t="str">
        <f ca="1">IFERROR(__xludf.DUMMYFUNCTION("GOOGLETRANSLATE(J4021,""EN"",""ES"")"),"N / A")</f>
        <v>N / A</v>
      </c>
      <c r="M4021" s="8" t="s">
        <v>65</v>
      </c>
      <c r="N4021" s="8"/>
    </row>
    <row r="4022" spans="1:14" ht="11.25" customHeight="1">
      <c r="A4022" s="5" t="s">
        <v>10870</v>
      </c>
      <c r="B4022" s="5" t="s">
        <v>11634</v>
      </c>
      <c r="C4022" s="5" t="s">
        <v>11655</v>
      </c>
      <c r="D4022" s="5" t="s">
        <v>10873</v>
      </c>
      <c r="E4022" s="5" t="s">
        <v>66</v>
      </c>
      <c r="F4022" s="5" t="s">
        <v>10874</v>
      </c>
      <c r="G4022" s="5" t="s">
        <v>152</v>
      </c>
      <c r="H4022" s="5" t="s">
        <v>330</v>
      </c>
      <c r="I4022" s="5" t="s">
        <v>11656</v>
      </c>
      <c r="J4022" s="5" t="s">
        <v>11657</v>
      </c>
      <c r="K4022" s="7" t="str">
        <f ca="1">IFERROR(__xludf.DUMMYFUNCTION("GOOGLETRANSLATE(H4022,""EN"",""ES"")"),"MISCELÁNEAS")</f>
        <v>MISCELÁNEAS</v>
      </c>
      <c r="L4022" s="5" t="str">
        <f ca="1">IFERROR(__xludf.DUMMYFUNCTION("GOOGLETRANSLATE(J4022,""EN"",""ES"")"),"Porta periódicos [para leer]")</f>
        <v>Porta periódicos [para leer]</v>
      </c>
      <c r="M4022" s="8" t="s">
        <v>65</v>
      </c>
      <c r="N4022" s="8"/>
    </row>
    <row r="4023" spans="1:14" ht="11.25" customHeight="1">
      <c r="A4023" s="5" t="s">
        <v>10870</v>
      </c>
      <c r="B4023" s="5" t="s">
        <v>11634</v>
      </c>
      <c r="C4023" s="5" t="s">
        <v>11658</v>
      </c>
      <c r="D4023" s="5" t="s">
        <v>10873</v>
      </c>
      <c r="E4023" s="5" t="s">
        <v>66</v>
      </c>
      <c r="F4023" s="5" t="s">
        <v>10874</v>
      </c>
      <c r="G4023" s="5" t="s">
        <v>152</v>
      </c>
      <c r="H4023" s="5" t="s">
        <v>330</v>
      </c>
      <c r="I4023" s="5" t="s">
        <v>11659</v>
      </c>
      <c r="J4023" s="5" t="s">
        <v>11660</v>
      </c>
      <c r="K4023" s="7" t="str">
        <f ca="1">IFERROR(__xludf.DUMMYFUNCTION("GOOGLETRANSLATE(H4023,""EN"",""ES"")"),"MISCELÁNEAS")</f>
        <v>MISCELÁNEAS</v>
      </c>
      <c r="L4023" s="5" t="str">
        <f ca="1">IFERROR(__xludf.DUMMYFUNCTION("GOOGLETRANSLATE(J4023,""EN"",""ES"")"),"reglas de cálculo")</f>
        <v>reglas de cálculo</v>
      </c>
      <c r="M4023" s="8" t="s">
        <v>65</v>
      </c>
      <c r="N4023" s="8"/>
    </row>
    <row r="4024" spans="1:14" ht="11.25" customHeight="1">
      <c r="A4024" s="5" t="s">
        <v>10870</v>
      </c>
      <c r="B4024" s="5" t="s">
        <v>11634</v>
      </c>
      <c r="C4024" s="5" t="s">
        <v>11661</v>
      </c>
      <c r="D4024" s="5" t="s">
        <v>10873</v>
      </c>
      <c r="E4024" s="5" t="s">
        <v>66</v>
      </c>
      <c r="F4024" s="5" t="s">
        <v>10874</v>
      </c>
      <c r="G4024" s="5" t="s">
        <v>152</v>
      </c>
      <c r="H4024" s="5" t="s">
        <v>330</v>
      </c>
      <c r="I4024" s="5" t="s">
        <v>11662</v>
      </c>
      <c r="J4024" s="5" t="s">
        <v>11663</v>
      </c>
      <c r="K4024" s="7" t="str">
        <f ca="1">IFERROR(__xludf.DUMMYFUNCTION("GOOGLETRANSLATE(H4024,""EN"",""ES"")"),"MISCELÁNEAS")</f>
        <v>MISCELÁNEAS</v>
      </c>
      <c r="L4024" s="5" t="str">
        <f ca="1">IFERROR(__xludf.DUMMYFUNCTION("GOOGLETRANSLATE(J4024,""EN"",""ES"")"),"Carpetas para negativos e impresiones fotográficas.")</f>
        <v>Carpetas para negativos e impresiones fotográficas.</v>
      </c>
      <c r="M4024" s="8" t="s">
        <v>65</v>
      </c>
      <c r="N4024" s="8"/>
    </row>
    <row r="4025" spans="1:14" ht="11.25" customHeight="1">
      <c r="A4025" s="5" t="s">
        <v>10870</v>
      </c>
      <c r="B4025" s="5" t="s">
        <v>11634</v>
      </c>
      <c r="C4025" s="5" t="s">
        <v>11664</v>
      </c>
      <c r="D4025" s="5" t="s">
        <v>10873</v>
      </c>
      <c r="E4025" s="5" t="s">
        <v>66</v>
      </c>
      <c r="F4025" s="5" t="s">
        <v>10874</v>
      </c>
      <c r="G4025" s="5" t="s">
        <v>152</v>
      </c>
      <c r="H4025" s="5" t="s">
        <v>330</v>
      </c>
      <c r="I4025" s="5" t="s">
        <v>11665</v>
      </c>
      <c r="J4025" s="5" t="s">
        <v>11666</v>
      </c>
      <c r="K4025" s="7" t="str">
        <f ca="1">IFERROR(__xludf.DUMMYFUNCTION("GOOGLETRANSLATE(H4025,""EN"",""ES"")"),"MISCELÁNEAS")</f>
        <v>MISCELÁNEAS</v>
      </c>
      <c r="L4025" s="5" t="str">
        <f ca="1">IFERROR(__xludf.DUMMYFUNCTION("GOOGLETRANSLATE(J4025,""EN"",""ES"")"),"tableros de notas")</f>
        <v>tableros de notas</v>
      </c>
      <c r="M4025" s="8" t="s">
        <v>65</v>
      </c>
      <c r="N4025" s="8"/>
    </row>
    <row r="4026" spans="1:14" ht="11.25" customHeight="1">
      <c r="A4026" s="5" t="s">
        <v>10870</v>
      </c>
      <c r="B4026" s="5" t="s">
        <v>11634</v>
      </c>
      <c r="C4026" s="5" t="s">
        <v>11667</v>
      </c>
      <c r="D4026" s="5" t="s">
        <v>10873</v>
      </c>
      <c r="E4026" s="5" t="s">
        <v>66</v>
      </c>
      <c r="F4026" s="5" t="s">
        <v>10874</v>
      </c>
      <c r="G4026" s="5" t="s">
        <v>152</v>
      </c>
      <c r="H4026" s="5" t="s">
        <v>330</v>
      </c>
      <c r="I4026" s="5" t="s">
        <v>11668</v>
      </c>
      <c r="J4026" s="5" t="s">
        <v>11669</v>
      </c>
      <c r="K4026" s="7" t="str">
        <f ca="1">IFERROR(__xludf.DUMMYFUNCTION("GOOGLETRANSLATE(H4026,""EN"",""ES"")"),"MISCELÁNEAS")</f>
        <v>MISCELÁNEAS</v>
      </c>
      <c r="L4026" s="5" t="str">
        <f ca="1">IFERROR(__xludf.DUMMYFUNCTION("GOOGLETRANSLATE(J4026,""EN"",""ES"")"),"Pizarras magnéticas")</f>
        <v>Pizarras magnéticas</v>
      </c>
      <c r="M4026" s="8" t="s">
        <v>65</v>
      </c>
      <c r="N4026" s="8"/>
    </row>
    <row r="4027" spans="1:14" ht="11.25" customHeight="1">
      <c r="A4027" s="5" t="s">
        <v>11670</v>
      </c>
      <c r="B4027" s="5" t="s">
        <v>11671</v>
      </c>
      <c r="C4027" s="5" t="s">
        <v>11672</v>
      </c>
      <c r="D4027" s="5" t="s">
        <v>11673</v>
      </c>
      <c r="E4027" s="5" t="s">
        <v>69</v>
      </c>
      <c r="F4027" s="5" t="s">
        <v>11674</v>
      </c>
      <c r="G4027" s="5" t="s">
        <v>152</v>
      </c>
      <c r="H4027" s="5" t="s">
        <v>11675</v>
      </c>
      <c r="I4027" s="5" t="s">
        <v>11676</v>
      </c>
      <c r="J4027" s="5" t="s">
        <v>11677</v>
      </c>
      <c r="K4027" s="7" t="str">
        <f ca="1">IFERROR(__xludf.DUMMYFUNCTION("GOOGLETRANSLATE(H4027,""EN"",""ES"")"),"MÁQUINAS EXPENDEDORAS AUTOMÁTICAS")</f>
        <v>MÁQUINAS EXPENDEDORAS AUTOMÁTICAS</v>
      </c>
      <c r="L4027" s="5" t="str">
        <f ca="1">IFERROR(__xludf.DUMMYFUNCTION("GOOGLETRANSLATE(J4027,""EN"",""ES"")"),"Máquinas expendedoras automáticas de dulces.")</f>
        <v>Máquinas expendedoras automáticas de dulces.</v>
      </c>
      <c r="M4027" s="8" t="s">
        <v>63</v>
      </c>
      <c r="N4027" s="8"/>
    </row>
    <row r="4028" spans="1:14" ht="11.25" customHeight="1">
      <c r="A4028" s="5" t="s">
        <v>11670</v>
      </c>
      <c r="B4028" s="5" t="s">
        <v>11671</v>
      </c>
      <c r="C4028" s="5" t="s">
        <v>11678</v>
      </c>
      <c r="D4028" s="5" t="s">
        <v>11673</v>
      </c>
      <c r="E4028" s="5" t="s">
        <v>69</v>
      </c>
      <c r="F4028" s="5" t="s">
        <v>11674</v>
      </c>
      <c r="G4028" s="5" t="s">
        <v>152</v>
      </c>
      <c r="H4028" s="5" t="s">
        <v>11675</v>
      </c>
      <c r="I4028" s="5" t="s">
        <v>11679</v>
      </c>
      <c r="J4028" s="5" t="s">
        <v>11680</v>
      </c>
      <c r="K4028" s="7" t="str">
        <f ca="1">IFERROR(__xludf.DUMMYFUNCTION("GOOGLETRANSLATE(H4028,""EN"",""ES"")"),"MÁQUINAS EXPENDEDORAS AUTOMÁTICAS")</f>
        <v>MÁQUINAS EXPENDEDORAS AUTOMÁTICAS</v>
      </c>
      <c r="L4028" s="5" t="str">
        <f ca="1">IFERROR(__xludf.DUMMYFUNCTION("GOOGLETRANSLATE(J4028,""EN"",""ES"")"),"maquinas para cambiar dinero")</f>
        <v>maquinas para cambiar dinero</v>
      </c>
      <c r="M4028" s="8" t="s">
        <v>63</v>
      </c>
      <c r="N4028" s="8"/>
    </row>
    <row r="4029" spans="1:14" ht="11.25" customHeight="1">
      <c r="A4029" s="5" t="s">
        <v>11670</v>
      </c>
      <c r="B4029" s="5" t="s">
        <v>11671</v>
      </c>
      <c r="C4029" s="5" t="s">
        <v>11681</v>
      </c>
      <c r="D4029" s="5" t="s">
        <v>11673</v>
      </c>
      <c r="E4029" s="5" t="s">
        <v>69</v>
      </c>
      <c r="F4029" s="5" t="s">
        <v>11674</v>
      </c>
      <c r="G4029" s="5" t="s">
        <v>152</v>
      </c>
      <c r="H4029" s="5" t="s">
        <v>11675</v>
      </c>
      <c r="I4029" s="5" t="s">
        <v>11682</v>
      </c>
      <c r="J4029" s="5" t="s">
        <v>11683</v>
      </c>
      <c r="K4029" s="7" t="str">
        <f ca="1">IFERROR(__xludf.DUMMYFUNCTION("GOOGLETRANSLATE(H4029,""EN"",""ES"")"),"MÁQUINAS EXPENDEDORAS AUTOMÁTICAS")</f>
        <v>MÁQUINAS EXPENDEDORAS AUTOMÁTICAS</v>
      </c>
      <c r="L4029" s="5" t="str">
        <f ca="1">IFERROR(__xludf.DUMMYFUNCTION("GOOGLETRANSLATE(J4029,""EN"",""ES"")"),"Máquinas expendedoras automáticas de cigarrillos.")</f>
        <v>Máquinas expendedoras automáticas de cigarrillos.</v>
      </c>
      <c r="M4029" s="8" t="s">
        <v>63</v>
      </c>
      <c r="N4029" s="8"/>
    </row>
    <row r="4030" spans="1:14" ht="11.25" customHeight="1">
      <c r="A4030" s="5" t="s">
        <v>11670</v>
      </c>
      <c r="B4030" s="5" t="s">
        <v>11671</v>
      </c>
      <c r="C4030" s="5" t="s">
        <v>11684</v>
      </c>
      <c r="D4030" s="5" t="s">
        <v>11673</v>
      </c>
      <c r="E4030" s="5" t="s">
        <v>69</v>
      </c>
      <c r="F4030" s="5" t="s">
        <v>11674</v>
      </c>
      <c r="G4030" s="5" t="s">
        <v>152</v>
      </c>
      <c r="H4030" s="5" t="s">
        <v>11675</v>
      </c>
      <c r="I4030" s="5" t="s">
        <v>11685</v>
      </c>
      <c r="J4030" s="5" t="s">
        <v>11686</v>
      </c>
      <c r="K4030" s="7" t="str">
        <f ca="1">IFERROR(__xludf.DUMMYFUNCTION("GOOGLETRANSLATE(H4030,""EN"",""ES"")"),"MÁQUINAS EXPENDEDORAS AUTOMÁTICAS")</f>
        <v>MÁQUINAS EXPENDEDORAS AUTOMÁTICAS</v>
      </c>
      <c r="L4030" s="5" t="str">
        <f ca="1">IFERROR(__xludf.DUMMYFUNCTION("GOOGLETRANSLATE(J4030,""EN"",""ES"")"),"Máquinas expendedoras automáticas que funcionan con monedas")</f>
        <v>Máquinas expendedoras automáticas que funcionan con monedas</v>
      </c>
      <c r="M4030" s="8" t="s">
        <v>63</v>
      </c>
      <c r="N4030" s="8"/>
    </row>
    <row r="4031" spans="1:14" ht="11.25" customHeight="1">
      <c r="A4031" s="5" t="s">
        <v>11670</v>
      </c>
      <c r="B4031" s="5" t="s">
        <v>11671</v>
      </c>
      <c r="C4031" s="5" t="s">
        <v>11687</v>
      </c>
      <c r="D4031" s="5" t="s">
        <v>11673</v>
      </c>
      <c r="E4031" s="5" t="s">
        <v>69</v>
      </c>
      <c r="F4031" s="5" t="s">
        <v>11674</v>
      </c>
      <c r="G4031" s="5" t="s">
        <v>152</v>
      </c>
      <c r="H4031" s="5" t="s">
        <v>11675</v>
      </c>
      <c r="I4031" s="5" t="s">
        <v>11688</v>
      </c>
      <c r="J4031" s="5" t="s">
        <v>11689</v>
      </c>
      <c r="K4031" s="7" t="str">
        <f ca="1">IFERROR(__xludf.DUMMYFUNCTION("GOOGLETRANSLATE(H4031,""EN"",""ES"")"),"MÁQUINAS EXPENDEDORAS AUTOMÁTICAS")</f>
        <v>MÁQUINAS EXPENDEDORAS AUTOMÁTICAS</v>
      </c>
      <c r="L4031" s="5" t="str">
        <f ca="1">IFERROR(__xludf.DUMMYFUNCTION("GOOGLETRANSLATE(J4031,""EN"",""ES"")"),"Máquinas expendedoras de billetes de transporte")</f>
        <v>Máquinas expendedoras de billetes de transporte</v>
      </c>
      <c r="M4031" s="8" t="s">
        <v>63</v>
      </c>
      <c r="N4031" s="8"/>
    </row>
    <row r="4032" spans="1:14" ht="11.25" customHeight="1">
      <c r="A4032" s="5" t="s">
        <v>11670</v>
      </c>
      <c r="B4032" s="5" t="s">
        <v>11671</v>
      </c>
      <c r="C4032" s="5" t="s">
        <v>11690</v>
      </c>
      <c r="D4032" s="5" t="s">
        <v>11673</v>
      </c>
      <c r="E4032" s="5" t="s">
        <v>69</v>
      </c>
      <c r="F4032" s="5" t="s">
        <v>11674</v>
      </c>
      <c r="G4032" s="5" t="s">
        <v>152</v>
      </c>
      <c r="H4032" s="5" t="s">
        <v>11675</v>
      </c>
      <c r="I4032" s="5" t="s">
        <v>11691</v>
      </c>
      <c r="J4032" s="5" t="s">
        <v>11692</v>
      </c>
      <c r="K4032" s="7" t="str">
        <f ca="1">IFERROR(__xludf.DUMMYFUNCTION("GOOGLETRANSLATE(H4032,""EN"",""ES"")"),"MÁQUINAS EXPENDEDORAS AUTOMÁTICAS")</f>
        <v>MÁQUINAS EXPENDEDORAS AUTOMÁTICAS</v>
      </c>
      <c r="L4032" s="5" t="str">
        <f ca="1">IFERROR(__xludf.DUMMYFUNCTION("GOOGLETRANSLATE(J4032,""EN"",""ES"")"),"Máquinas expendedoras automáticas de bebidas.")</f>
        <v>Máquinas expendedoras automáticas de bebidas.</v>
      </c>
      <c r="M4032" s="8" t="s">
        <v>63</v>
      </c>
      <c r="N4032" s="8"/>
    </row>
    <row r="4033" spans="1:14" ht="11.25" customHeight="1">
      <c r="A4033" s="5" t="s">
        <v>11670</v>
      </c>
      <c r="B4033" s="5" t="s">
        <v>11671</v>
      </c>
      <c r="C4033" s="5" t="s">
        <v>11693</v>
      </c>
      <c r="D4033" s="5" t="s">
        <v>11673</v>
      </c>
      <c r="E4033" s="5" t="s">
        <v>69</v>
      </c>
      <c r="F4033" s="5" t="s">
        <v>11674</v>
      </c>
      <c r="G4033" s="5" t="s">
        <v>152</v>
      </c>
      <c r="H4033" s="5" t="s">
        <v>11675</v>
      </c>
      <c r="I4033" s="5" t="s">
        <v>11694</v>
      </c>
      <c r="J4033" s="5" t="s">
        <v>11695</v>
      </c>
      <c r="K4033" s="7" t="str">
        <f ca="1">IFERROR(__xludf.DUMMYFUNCTION("GOOGLETRANSLATE(H4033,""EN"",""ES"")"),"MÁQUINAS EXPENDEDORAS AUTOMÁTICAS")</f>
        <v>MÁQUINAS EXPENDEDORAS AUTOMÁTICAS</v>
      </c>
      <c r="L4033" s="5" t="str">
        <f ca="1">IFERROR(__xludf.DUMMYFUNCTION("GOOGLETRANSLATE(J4033,""EN"",""ES"")"),"Máquinas expendedoras automáticas de cucuruchos de helado")</f>
        <v>Máquinas expendedoras automáticas de cucuruchos de helado</v>
      </c>
      <c r="M4033" s="8" t="s">
        <v>63</v>
      </c>
      <c r="N4033" s="8"/>
    </row>
    <row r="4034" spans="1:14" ht="11.25" customHeight="1">
      <c r="A4034" s="5" t="s">
        <v>11670</v>
      </c>
      <c r="B4034" s="5" t="s">
        <v>11671</v>
      </c>
      <c r="C4034" s="5" t="s">
        <v>11696</v>
      </c>
      <c r="D4034" s="5" t="s">
        <v>11673</v>
      </c>
      <c r="E4034" s="5" t="s">
        <v>69</v>
      </c>
      <c r="F4034" s="5" t="s">
        <v>11674</v>
      </c>
      <c r="G4034" s="5" t="s">
        <v>152</v>
      </c>
      <c r="H4034" s="5" t="s">
        <v>11675</v>
      </c>
      <c r="I4034" s="5" t="s">
        <v>11697</v>
      </c>
      <c r="J4034" s="5" t="s">
        <v>11698</v>
      </c>
      <c r="K4034" s="7" t="str">
        <f ca="1">IFERROR(__xludf.DUMMYFUNCTION("GOOGLETRANSLATE(H4034,""EN"",""ES"")"),"MÁQUINAS EXPENDEDORAS AUTOMÁTICAS")</f>
        <v>MÁQUINAS EXPENDEDORAS AUTOMÁTICAS</v>
      </c>
      <c r="L4034" s="5" t="str">
        <f ca="1">IFERROR(__xludf.DUMMYFUNCTION("GOOGLETRANSLATE(J4034,""EN"",""ES"")"),"Dispensadores de agua")</f>
        <v>Dispensadores de agua</v>
      </c>
      <c r="M4034" s="8" t="s">
        <v>63</v>
      </c>
      <c r="N4034" s="8"/>
    </row>
    <row r="4035" spans="1:14" ht="11.25" customHeight="1">
      <c r="A4035" s="5" t="s">
        <v>11670</v>
      </c>
      <c r="B4035" s="5" t="s">
        <v>11671</v>
      </c>
      <c r="C4035" s="5" t="s">
        <v>11699</v>
      </c>
      <c r="D4035" s="5" t="s">
        <v>11673</v>
      </c>
      <c r="E4035" s="5" t="s">
        <v>69</v>
      </c>
      <c r="F4035" s="5" t="s">
        <v>11674</v>
      </c>
      <c r="G4035" s="5" t="s">
        <v>152</v>
      </c>
      <c r="H4035" s="5" t="s">
        <v>11675</v>
      </c>
      <c r="I4035" s="5" t="s">
        <v>11700</v>
      </c>
      <c r="J4035" s="5" t="s">
        <v>11701</v>
      </c>
      <c r="K4035" s="7" t="str">
        <f ca="1">IFERROR(__xludf.DUMMYFUNCTION("GOOGLETRANSLATE(H4035,""EN"",""ES"")"),"MÁQUINAS EXPENDEDORAS AUTOMÁTICAS")</f>
        <v>MÁQUINAS EXPENDEDORAS AUTOMÁTICAS</v>
      </c>
      <c r="L4035" s="5" t="str">
        <f ca="1">IFERROR(__xludf.DUMMYFUNCTION("GOOGLETRANSLATE(J4035,""EN"",""ES"")"),"Paneles de control para aparatos expendedores.")</f>
        <v>Paneles de control para aparatos expendedores.</v>
      </c>
      <c r="M4035" s="8" t="s">
        <v>63</v>
      </c>
      <c r="N4035" s="8"/>
    </row>
    <row r="4036" spans="1:14" ht="11.25" customHeight="1">
      <c r="A4036" s="5" t="s">
        <v>11670</v>
      </c>
      <c r="B4036" s="5" t="s">
        <v>11671</v>
      </c>
      <c r="C4036" s="5" t="s">
        <v>11702</v>
      </c>
      <c r="D4036" s="5" t="s">
        <v>11673</v>
      </c>
      <c r="E4036" s="5" t="s">
        <v>69</v>
      </c>
      <c r="F4036" s="5" t="s">
        <v>11674</v>
      </c>
      <c r="G4036" s="5" t="s">
        <v>152</v>
      </c>
      <c r="H4036" s="5" t="s">
        <v>11675</v>
      </c>
      <c r="I4036" s="5" t="s">
        <v>11703</v>
      </c>
      <c r="J4036" s="5" t="s">
        <v>11704</v>
      </c>
      <c r="K4036" s="7" t="str">
        <f ca="1">IFERROR(__xludf.DUMMYFUNCTION("GOOGLETRANSLATE(H4036,""EN"",""ES"")"),"MÁQUINAS EXPENDEDORAS AUTOMÁTICAS")</f>
        <v>MÁQUINAS EXPENDEDORAS AUTOMÁTICAS</v>
      </c>
      <c r="L4036" s="5" t="str">
        <f ca="1">IFERROR(__xludf.DUMMYFUNCTION("GOOGLETRANSLATE(J4036,""EN"",""ES"")"),"Cajeros automáticos [terminales de banca en línea]")</f>
        <v>Cajeros automáticos [terminales de banca en línea]</v>
      </c>
      <c r="M4036" s="8" t="s">
        <v>63</v>
      </c>
      <c r="N4036" s="8"/>
    </row>
    <row r="4037" spans="1:14" ht="11.25" customHeight="1">
      <c r="A4037" s="5" t="s">
        <v>11670</v>
      </c>
      <c r="B4037" s="5" t="s">
        <v>11671</v>
      </c>
      <c r="C4037" s="5" t="s">
        <v>11705</v>
      </c>
      <c r="D4037" s="5" t="s">
        <v>11673</v>
      </c>
      <c r="E4037" s="5" t="s">
        <v>69</v>
      </c>
      <c r="F4037" s="5" t="s">
        <v>11674</v>
      </c>
      <c r="G4037" s="5" t="s">
        <v>152</v>
      </c>
      <c r="H4037" s="5" t="s">
        <v>11675</v>
      </c>
      <c r="I4037" s="5" t="s">
        <v>11706</v>
      </c>
      <c r="J4037" s="5" t="s">
        <v>11707</v>
      </c>
      <c r="K4037" s="7" t="str">
        <f ca="1">IFERROR(__xludf.DUMMYFUNCTION("GOOGLETRANSLATE(H4037,""EN"",""ES"")"),"MÁQUINAS EXPENDEDORAS AUTOMÁTICAS")</f>
        <v>MÁQUINAS EXPENDEDORAS AUTOMÁTICAS</v>
      </c>
      <c r="L4037" s="5" t="str">
        <f ca="1">IFERROR(__xludf.DUMMYFUNCTION("GOOGLETRANSLATE(J4037,""EN"",""ES"")"),"Máquinas para recoger botellas o latas.")</f>
        <v>Máquinas para recoger botellas o latas.</v>
      </c>
      <c r="M4037" s="8" t="s">
        <v>63</v>
      </c>
      <c r="N4037" s="8"/>
    </row>
    <row r="4038" spans="1:14" ht="11.25" customHeight="1">
      <c r="A4038" s="5" t="s">
        <v>11670</v>
      </c>
      <c r="B4038" s="5" t="s">
        <v>11671</v>
      </c>
      <c r="C4038" s="5" t="s">
        <v>11708</v>
      </c>
      <c r="D4038" s="5" t="s">
        <v>11673</v>
      </c>
      <c r="E4038" s="5" t="s">
        <v>69</v>
      </c>
      <c r="F4038" s="5" t="s">
        <v>11674</v>
      </c>
      <c r="G4038" s="5" t="s">
        <v>152</v>
      </c>
      <c r="H4038" s="5" t="s">
        <v>11675</v>
      </c>
      <c r="I4038" s="5" t="s">
        <v>11709</v>
      </c>
      <c r="J4038" s="5" t="s">
        <v>11710</v>
      </c>
      <c r="K4038" s="7" t="str">
        <f ca="1">IFERROR(__xludf.DUMMYFUNCTION("GOOGLETRANSLATE(H4038,""EN"",""ES"")"),"MÁQUINAS EXPENDEDORAS AUTOMÁTICAS")</f>
        <v>MÁQUINAS EXPENDEDORAS AUTOMÁTICAS</v>
      </c>
      <c r="L4038" s="5" t="str">
        <f ca="1">IFERROR(__xludf.DUMMYFUNCTION("GOOGLETRANSLATE(J4038,""EN"",""ES"")"),"Dispositivos de gestión de colas")</f>
        <v>Dispositivos de gestión de colas</v>
      </c>
      <c r="M4038" s="8" t="s">
        <v>63</v>
      </c>
      <c r="N4038" s="8"/>
    </row>
    <row r="4039" spans="1:14" ht="11.25" customHeight="1">
      <c r="A4039" s="5" t="s">
        <v>11670</v>
      </c>
      <c r="B4039" s="5" t="s">
        <v>11671</v>
      </c>
      <c r="C4039" s="5" t="s">
        <v>11711</v>
      </c>
      <c r="D4039" s="5" t="s">
        <v>11673</v>
      </c>
      <c r="E4039" s="5" t="s">
        <v>69</v>
      </c>
      <c r="F4039" s="5" t="s">
        <v>11674</v>
      </c>
      <c r="G4039" s="5" t="s">
        <v>152</v>
      </c>
      <c r="H4039" s="5" t="s">
        <v>11675</v>
      </c>
      <c r="I4039" s="5" t="s">
        <v>11712</v>
      </c>
      <c r="J4039" s="5" t="s">
        <v>11713</v>
      </c>
      <c r="K4039" s="7" t="str">
        <f ca="1">IFERROR(__xludf.DUMMYFUNCTION("GOOGLETRANSLATE(H4039,""EN"",""ES"")"),"MÁQUINAS EXPENDEDORAS AUTOMÁTICAS")</f>
        <v>MÁQUINAS EXPENDEDORAS AUTOMÁTICAS</v>
      </c>
      <c r="L4039" s="5" t="str">
        <f ca="1">IFERROR(__xludf.DUMMYFUNCTION("GOOGLETRANSLATE(J4039,""EN"",""ES"")"),"Terminales de pago de autoservicio")</f>
        <v>Terminales de pago de autoservicio</v>
      </c>
      <c r="M4039" s="8" t="s">
        <v>63</v>
      </c>
      <c r="N4039" s="8"/>
    </row>
    <row r="4040" spans="1:14" ht="11.25" customHeight="1">
      <c r="A4040" s="5" t="s">
        <v>11670</v>
      </c>
      <c r="B4040" s="5" t="s">
        <v>11671</v>
      </c>
      <c r="C4040" s="5" t="s">
        <v>11714</v>
      </c>
      <c r="D4040" s="5" t="s">
        <v>11673</v>
      </c>
      <c r="E4040" s="5" t="s">
        <v>69</v>
      </c>
      <c r="F4040" s="5" t="s">
        <v>11674</v>
      </c>
      <c r="G4040" s="5" t="s">
        <v>152</v>
      </c>
      <c r="H4040" s="5" t="s">
        <v>11675</v>
      </c>
      <c r="I4040" s="5" t="s">
        <v>11715</v>
      </c>
      <c r="J4040" s="5" t="s">
        <v>11716</v>
      </c>
      <c r="K4040" s="7" t="str">
        <f ca="1">IFERROR(__xludf.DUMMYFUNCTION("GOOGLETRANSLATE(H4040,""EN"",""ES"")"),"MÁQUINAS EXPENDEDORAS AUTOMÁTICAS")</f>
        <v>MÁQUINAS EXPENDEDORAS AUTOMÁTICAS</v>
      </c>
      <c r="L4040" s="5" t="str">
        <f ca="1">IFERROR(__xludf.DUMMYFUNCTION("GOOGLETRANSLATE(J4040,""EN"",""ES"")"),"Máquinas de alquiler en autoservicio para powerbanks portátiles")</f>
        <v>Máquinas de alquiler en autoservicio para powerbanks portátiles</v>
      </c>
      <c r="M4040" s="8" t="s">
        <v>63</v>
      </c>
      <c r="N4040" s="8"/>
    </row>
    <row r="4041" spans="1:14" ht="11.25" customHeight="1">
      <c r="A4041" s="5" t="s">
        <v>11670</v>
      </c>
      <c r="B4041" s="5" t="s">
        <v>11717</v>
      </c>
      <c r="C4041" s="5" t="s">
        <v>11718</v>
      </c>
      <c r="D4041" s="5" t="s">
        <v>11673</v>
      </c>
      <c r="E4041" s="5" t="s">
        <v>69</v>
      </c>
      <c r="F4041" s="5" t="s">
        <v>11674</v>
      </c>
      <c r="G4041" s="5" t="s">
        <v>152</v>
      </c>
      <c r="H4041" s="5" t="s">
        <v>11719</v>
      </c>
      <c r="I4041" s="5" t="s">
        <v>11720</v>
      </c>
      <c r="J4041" s="5" t="s">
        <v>11721</v>
      </c>
      <c r="K4041" s="7" t="str">
        <f ca="1">IFERROR(__xludf.DUMMYFUNCTION("GOOGLETRANSLATE(H4041,""EN"",""ES"")"),"EQUIPO DE EXPOSICIÓN Y VENTAS")</f>
        <v>EQUIPO DE EXPOSICIÓN Y VENTAS</v>
      </c>
      <c r="L4041" s="5" t="str">
        <f ca="1">IFERROR(__xludf.DUMMYFUNCTION("GOOGLETRANSLATE(J4041,""EN"",""ES"")"),"Expositores para bobinas de hilo.")</f>
        <v>Expositores para bobinas de hilo.</v>
      </c>
      <c r="M4041" s="8" t="s">
        <v>68</v>
      </c>
      <c r="N4041" s="8"/>
    </row>
    <row r="4042" spans="1:14" ht="11.25" customHeight="1">
      <c r="A4042" s="5" t="s">
        <v>11670</v>
      </c>
      <c r="B4042" s="5" t="s">
        <v>11717</v>
      </c>
      <c r="C4042" s="5" t="s">
        <v>11722</v>
      </c>
      <c r="D4042" s="5" t="s">
        <v>11673</v>
      </c>
      <c r="E4042" s="5" t="s">
        <v>69</v>
      </c>
      <c r="F4042" s="5" t="s">
        <v>11674</v>
      </c>
      <c r="G4042" s="5" t="s">
        <v>152</v>
      </c>
      <c r="H4042" s="5" t="s">
        <v>11719</v>
      </c>
      <c r="I4042" s="5" t="s">
        <v>11723</v>
      </c>
      <c r="J4042" s="5" t="s">
        <v>11724</v>
      </c>
      <c r="K4042" s="7" t="str">
        <f ca="1">IFERROR(__xludf.DUMMYFUNCTION("GOOGLETRANSLATE(H4042,""EN"",""ES"")"),"EQUIPO DE EXPOSICIÓN Y VENTAS")</f>
        <v>EQUIPO DE EXPOSICIÓN Y VENTAS</v>
      </c>
      <c r="L4042" s="5" t="str">
        <f ca="1">IFERROR(__xludf.DUMMYFUNCTION("GOOGLETRANSLATE(J4042,""EN"",""ES"")"),"Bustos de modistas para exhibir o montar")</f>
        <v>Bustos de modistas para exhibir o montar</v>
      </c>
      <c r="M4042" s="8" t="s">
        <v>68</v>
      </c>
      <c r="N4042" s="8"/>
    </row>
    <row r="4043" spans="1:14" ht="11.25" customHeight="1">
      <c r="A4043" s="5" t="s">
        <v>11670</v>
      </c>
      <c r="B4043" s="5" t="s">
        <v>11717</v>
      </c>
      <c r="C4043" s="5" t="s">
        <v>11725</v>
      </c>
      <c r="D4043" s="5" t="s">
        <v>11673</v>
      </c>
      <c r="E4043" s="5" t="s">
        <v>69</v>
      </c>
      <c r="F4043" s="5" t="s">
        <v>11674</v>
      </c>
      <c r="G4043" s="5" t="s">
        <v>152</v>
      </c>
      <c r="H4043" s="5" t="s">
        <v>11719</v>
      </c>
      <c r="I4043" s="5" t="s">
        <v>11726</v>
      </c>
      <c r="J4043" s="5" t="s">
        <v>11727</v>
      </c>
      <c r="K4043" s="7" t="str">
        <f ca="1">IFERROR(__xludf.DUMMYFUNCTION("GOOGLETRANSLATE(H4043,""EN"",""ES"")"),"EQUIPO DE EXPOSICIÓN Y VENTAS")</f>
        <v>EQUIPO DE EXPOSICIÓN Y VENTAS</v>
      </c>
      <c r="L4043" s="5" t="str">
        <f ca="1">IFERROR(__xludf.DUMMYFUNCTION("GOOGLETRANSLATE(J4043,""EN"",""ES"")"),"estantes de exhibición")</f>
        <v>estantes de exhibición</v>
      </c>
      <c r="M4043" s="8" t="s">
        <v>68</v>
      </c>
      <c r="N4043" s="8"/>
    </row>
    <row r="4044" spans="1:14" ht="11.25" customHeight="1">
      <c r="A4044" s="5" t="s">
        <v>11670</v>
      </c>
      <c r="B4044" s="5" t="s">
        <v>11717</v>
      </c>
      <c r="C4044" s="5" t="s">
        <v>11725</v>
      </c>
      <c r="D4044" s="5" t="s">
        <v>11673</v>
      </c>
      <c r="E4044" s="5" t="s">
        <v>69</v>
      </c>
      <c r="F4044" s="5" t="s">
        <v>11674</v>
      </c>
      <c r="G4044" s="5" t="s">
        <v>152</v>
      </c>
      <c r="H4044" s="5" t="s">
        <v>11719</v>
      </c>
      <c r="I4044" s="5" t="s">
        <v>11728</v>
      </c>
      <c r="J4044" s="5" t="s">
        <v>152</v>
      </c>
      <c r="K4044" s="7" t="str">
        <f ca="1">IFERROR(__xludf.DUMMYFUNCTION("GOOGLETRANSLATE(H4044,""EN"",""ES"")"),"EQUIPO DE EXPOSICIÓN Y VENTAS")</f>
        <v>EQUIPO DE EXPOSICIÓN Y VENTAS</v>
      </c>
      <c r="L4044" s="5" t="str">
        <f ca="1">IFERROR(__xludf.DUMMYFUNCTION("GOOGLETRANSLATE(J4044,""EN"",""ES"")"),"expositores")</f>
        <v>expositores</v>
      </c>
      <c r="M4044" s="8" t="s">
        <v>68</v>
      </c>
      <c r="N4044" s="8"/>
    </row>
    <row r="4045" spans="1:14" ht="11.25" customHeight="1">
      <c r="A4045" s="5" t="s">
        <v>11670</v>
      </c>
      <c r="B4045" s="5" t="s">
        <v>11717</v>
      </c>
      <c r="C4045" s="5" t="s">
        <v>11729</v>
      </c>
      <c r="D4045" s="5" t="s">
        <v>11673</v>
      </c>
      <c r="E4045" s="5" t="s">
        <v>69</v>
      </c>
      <c r="F4045" s="5" t="s">
        <v>11674</v>
      </c>
      <c r="G4045" s="5" t="s">
        <v>152</v>
      </c>
      <c r="H4045" s="5" t="s">
        <v>11719</v>
      </c>
      <c r="I4045" s="5" t="s">
        <v>11730</v>
      </c>
      <c r="J4045" s="5" t="s">
        <v>11731</v>
      </c>
      <c r="K4045" s="7" t="str">
        <f ca="1">IFERROR(__xludf.DUMMYFUNCTION("GOOGLETRANSLATE(H4045,""EN"",""ES"")"),"EQUIPO DE EXPOSICIÓN Y VENTAS")</f>
        <v>EQUIPO DE EXPOSICIÓN Y VENTAS</v>
      </c>
      <c r="L4045" s="5" t="str">
        <f ca="1">IFERROR(__xludf.DUMMYFUNCTION("GOOGLETRANSLATE(J4045,""EN"",""ES"")"),"Rodillos para dispensar tela [en tiendas]")</f>
        <v>Rodillos para dispensar tela [en tiendas]</v>
      </c>
      <c r="M4045" s="8" t="s">
        <v>68</v>
      </c>
      <c r="N4045" s="8"/>
    </row>
    <row r="4046" spans="1:14" ht="11.25" customHeight="1">
      <c r="A4046" s="5" t="s">
        <v>11670</v>
      </c>
      <c r="B4046" s="5" t="s">
        <v>11717</v>
      </c>
      <c r="C4046" s="5" t="s">
        <v>11732</v>
      </c>
      <c r="D4046" s="5" t="s">
        <v>11673</v>
      </c>
      <c r="E4046" s="5" t="s">
        <v>69</v>
      </c>
      <c r="F4046" s="5" t="s">
        <v>11674</v>
      </c>
      <c r="G4046" s="5" t="s">
        <v>152</v>
      </c>
      <c r="H4046" s="5" t="s">
        <v>11719</v>
      </c>
      <c r="I4046" s="5" t="s">
        <v>11733</v>
      </c>
      <c r="J4046" s="5" t="s">
        <v>11734</v>
      </c>
      <c r="K4046" s="7" t="str">
        <f ca="1">IFERROR(__xludf.DUMMYFUNCTION("GOOGLETRANSLATE(H4046,""EN"",""ES"")"),"EQUIPO DE EXPOSICIÓN Y VENTAS")</f>
        <v>EQUIPO DE EXPOSICIÓN Y VENTAS</v>
      </c>
      <c r="L4046" s="5" t="str">
        <f ca="1">IFERROR(__xludf.DUMMYFUNCTION("GOOGLETRANSLATE(J4046,""EN"",""ES"")"),"Surtidores de gasolina [estaciones de servicio]")</f>
        <v>Surtidores de gasolina [estaciones de servicio]</v>
      </c>
      <c r="M4046" s="8" t="s">
        <v>68</v>
      </c>
      <c r="N4046" s="8"/>
    </row>
    <row r="4047" spans="1:14" ht="11.25" customHeight="1">
      <c r="A4047" s="5" t="s">
        <v>11670</v>
      </c>
      <c r="B4047" s="5" t="s">
        <v>11717</v>
      </c>
      <c r="C4047" s="5" t="s">
        <v>11735</v>
      </c>
      <c r="D4047" s="5" t="s">
        <v>11673</v>
      </c>
      <c r="E4047" s="5" t="s">
        <v>69</v>
      </c>
      <c r="F4047" s="5" t="s">
        <v>11674</v>
      </c>
      <c r="G4047" s="5" t="s">
        <v>152</v>
      </c>
      <c r="H4047" s="5" t="s">
        <v>11719</v>
      </c>
      <c r="I4047" s="5" t="s">
        <v>11736</v>
      </c>
      <c r="J4047" s="5" t="s">
        <v>11737</v>
      </c>
      <c r="K4047" s="7" t="str">
        <f ca="1">IFERROR(__xludf.DUMMYFUNCTION("GOOGLETRANSLATE(H4047,""EN"",""ES"")"),"EQUIPO DE EXPOSICIÓN Y VENTAS")</f>
        <v>EQUIPO DE EXPOSICIÓN Y VENTAS</v>
      </c>
      <c r="L4047" s="5" t="str">
        <f ca="1">IFERROR(__xludf.DUMMYFUNCTION("GOOGLETRANSLATE(J4047,""EN"",""ES"")"),"Puestos de exhibición [al aire libre]")</f>
        <v>Puestos de exhibición [al aire libre]</v>
      </c>
      <c r="M4047" s="8" t="s">
        <v>68</v>
      </c>
      <c r="N4047" s="8"/>
    </row>
    <row r="4048" spans="1:14" ht="11.25" customHeight="1">
      <c r="A4048" s="5" t="s">
        <v>11670</v>
      </c>
      <c r="B4048" s="5" t="s">
        <v>11717</v>
      </c>
      <c r="C4048" s="5" t="s">
        <v>11738</v>
      </c>
      <c r="D4048" s="5" t="s">
        <v>11673</v>
      </c>
      <c r="E4048" s="5" t="s">
        <v>69</v>
      </c>
      <c r="F4048" s="5" t="s">
        <v>11674</v>
      </c>
      <c r="G4048" s="5" t="s">
        <v>152</v>
      </c>
      <c r="H4048" s="5" t="s">
        <v>11719</v>
      </c>
      <c r="I4048" s="5" t="s">
        <v>11739</v>
      </c>
      <c r="J4048" s="5" t="s">
        <v>11740</v>
      </c>
      <c r="K4048" s="7" t="str">
        <f ca="1">IFERROR(__xludf.DUMMYFUNCTION("GOOGLETRANSLATE(H4048,""EN"",""ES"")"),"EQUIPO DE EXPOSICIÓN Y VENTAS")</f>
        <v>EQUIPO DE EXPOSICIÓN Y VENTAS</v>
      </c>
      <c r="L4048" s="5" t="str">
        <f ca="1">IFERROR(__xludf.DUMMYFUNCTION("GOOGLETRANSLATE(J4048,""EN"",""ES"")"),"Expositores para útiles de escritura.")</f>
        <v>Expositores para útiles de escritura.</v>
      </c>
      <c r="M4048" s="8" t="s">
        <v>68</v>
      </c>
      <c r="N4048" s="8"/>
    </row>
    <row r="4049" spans="1:14" ht="11.25" customHeight="1">
      <c r="A4049" s="5" t="s">
        <v>11670</v>
      </c>
      <c r="B4049" s="5" t="s">
        <v>11717</v>
      </c>
      <c r="C4049" s="5" t="s">
        <v>11741</v>
      </c>
      <c r="D4049" s="5" t="s">
        <v>11673</v>
      </c>
      <c r="E4049" s="5" t="s">
        <v>69</v>
      </c>
      <c r="F4049" s="5" t="s">
        <v>11674</v>
      </c>
      <c r="G4049" s="5" t="s">
        <v>152</v>
      </c>
      <c r="H4049" s="5" t="s">
        <v>11719</v>
      </c>
      <c r="I4049" s="5" t="s">
        <v>11742</v>
      </c>
      <c r="J4049" s="5" t="s">
        <v>11743</v>
      </c>
      <c r="K4049" s="7" t="str">
        <f ca="1">IFERROR(__xludf.DUMMYFUNCTION("GOOGLETRANSLATE(H4049,""EN"",""ES"")"),"EQUIPO DE EXPOSICIÓN Y VENTAS")</f>
        <v>EQUIPO DE EXPOSICIÓN Y VENTAS</v>
      </c>
      <c r="L4049" s="5" t="str">
        <f ca="1">IFERROR(__xludf.DUMMYFUNCTION("GOOGLETRANSLATE(J4049,""EN"",""ES"")"),"Maniquíes de sastre")</f>
        <v>Maniquíes de sastre</v>
      </c>
      <c r="M4049" s="8" t="s">
        <v>68</v>
      </c>
      <c r="N4049" s="8"/>
    </row>
    <row r="4050" spans="1:14" ht="11.25" customHeight="1">
      <c r="A4050" s="5" t="s">
        <v>11670</v>
      </c>
      <c r="B4050" s="5" t="s">
        <v>11717</v>
      </c>
      <c r="C4050" s="5" t="s">
        <v>11741</v>
      </c>
      <c r="D4050" s="5" t="s">
        <v>11673</v>
      </c>
      <c r="E4050" s="5" t="s">
        <v>69</v>
      </c>
      <c r="F4050" s="5" t="s">
        <v>11674</v>
      </c>
      <c r="G4050" s="5" t="s">
        <v>152</v>
      </c>
      <c r="H4050" s="5" t="s">
        <v>11719</v>
      </c>
      <c r="I4050" s="5" t="s">
        <v>11743</v>
      </c>
      <c r="J4050" s="5" t="s">
        <v>152</v>
      </c>
      <c r="K4050" s="7" t="str">
        <f ca="1">IFERROR(__xludf.DUMMYFUNCTION("GOOGLETRANSLATE(H4050,""EN"",""ES"")"),"EQUIPO DE EXPOSICIÓN Y VENTAS")</f>
        <v>EQUIPO DE EXPOSICIÓN Y VENTAS</v>
      </c>
      <c r="L4050" s="5" t="str">
        <f ca="1">IFERROR(__xludf.DUMMYFUNCTION("GOOGLETRANSLATE(J4050,""EN"",""ES"")"),"Maniquíes")</f>
        <v>Maniquíes</v>
      </c>
      <c r="M4050" s="8" t="s">
        <v>68</v>
      </c>
      <c r="N4050" s="8"/>
    </row>
    <row r="4051" spans="1:14" ht="11.25" customHeight="1">
      <c r="A4051" s="5" t="s">
        <v>11670</v>
      </c>
      <c r="B4051" s="5" t="s">
        <v>11717</v>
      </c>
      <c r="C4051" s="5" t="s">
        <v>11744</v>
      </c>
      <c r="D4051" s="5" t="s">
        <v>11673</v>
      </c>
      <c r="E4051" s="5" t="s">
        <v>69</v>
      </c>
      <c r="F4051" s="5" t="s">
        <v>11674</v>
      </c>
      <c r="G4051" s="5" t="s">
        <v>152</v>
      </c>
      <c r="H4051" s="5" t="s">
        <v>11719</v>
      </c>
      <c r="I4051" s="5" t="s">
        <v>11745</v>
      </c>
      <c r="J4051" s="5" t="s">
        <v>11746</v>
      </c>
      <c r="K4051" s="7" t="str">
        <f ca="1">IFERROR(__xludf.DUMMYFUNCTION("GOOGLETRANSLATE(H4051,""EN"",""ES"")"),"EQUIPO DE EXPOSICIÓN Y VENTAS")</f>
        <v>EQUIPO DE EXPOSICIÓN Y VENTAS</v>
      </c>
      <c r="L4051" s="5" t="str">
        <f ca="1">IFERROR(__xludf.DUMMYFUNCTION("GOOGLETRANSLATE(J4051,""EN"",""ES"")"),"Tarjetas o tablas de colores para tintes para el cabello.")</f>
        <v>Tarjetas o tablas de colores para tintes para el cabello.</v>
      </c>
      <c r="M4051" s="8" t="s">
        <v>68</v>
      </c>
      <c r="N4051" s="8"/>
    </row>
    <row r="4052" spans="1:14" ht="11.25" customHeight="1">
      <c r="A4052" s="5" t="s">
        <v>11670</v>
      </c>
      <c r="B4052" s="5" t="s">
        <v>11717</v>
      </c>
      <c r="C4052" s="5" t="s">
        <v>11747</v>
      </c>
      <c r="D4052" s="5" t="s">
        <v>11673</v>
      </c>
      <c r="E4052" s="5" t="s">
        <v>69</v>
      </c>
      <c r="F4052" s="5" t="s">
        <v>11674</v>
      </c>
      <c r="G4052" s="5" t="s">
        <v>152</v>
      </c>
      <c r="H4052" s="5" t="s">
        <v>11719</v>
      </c>
      <c r="I4052" s="5" t="s">
        <v>11748</v>
      </c>
      <c r="J4052" s="5" t="s">
        <v>11749</v>
      </c>
      <c r="K4052" s="7" t="str">
        <f ca="1">IFERROR(__xludf.DUMMYFUNCTION("GOOGLETRANSLATE(H4052,""EN"",""ES"")"),"EQUIPO DE EXPOSICIÓN Y VENTAS")</f>
        <v>EQUIPO DE EXPOSICIÓN Y VENTAS</v>
      </c>
      <c r="L4052" s="5" t="str">
        <f ca="1">IFERROR(__xludf.DUMMYFUNCTION("GOOGLETRANSLATE(J4052,""EN"",""ES"")"),"Significa sombrerería")</f>
        <v>Significa sombrerería</v>
      </c>
      <c r="M4052" s="8" t="s">
        <v>68</v>
      </c>
      <c r="N4052" s="8"/>
    </row>
    <row r="4053" spans="1:14" ht="11.25" customHeight="1">
      <c r="A4053" s="5" t="s">
        <v>11670</v>
      </c>
      <c r="B4053" s="5" t="s">
        <v>11717</v>
      </c>
      <c r="C4053" s="5" t="s">
        <v>11750</v>
      </c>
      <c r="D4053" s="5" t="s">
        <v>11673</v>
      </c>
      <c r="E4053" s="5" t="s">
        <v>69</v>
      </c>
      <c r="F4053" s="5" t="s">
        <v>11674</v>
      </c>
      <c r="G4053" s="5" t="s">
        <v>152</v>
      </c>
      <c r="H4053" s="5" t="s">
        <v>11719</v>
      </c>
      <c r="I4053" s="5" t="s">
        <v>11751</v>
      </c>
      <c r="J4053" s="5" t="s">
        <v>11752</v>
      </c>
      <c r="K4053" s="7" t="str">
        <f ca="1">IFERROR(__xludf.DUMMYFUNCTION("GOOGLETRANSLATE(H4053,""EN"",""ES"")"),"EQUIPO DE EXPOSICIÓN Y VENTAS")</f>
        <v>EQUIPO DE EXPOSICIÓN Y VENTAS</v>
      </c>
      <c r="L4053" s="5" t="str">
        <f ca="1">IFERROR(__xludf.DUMMYFUNCTION("GOOGLETRANSLATE(J4053,""EN"",""ES"")"),"expositores de revistas")</f>
        <v>expositores de revistas</v>
      </c>
      <c r="M4053" s="8" t="s">
        <v>68</v>
      </c>
      <c r="N4053" s="8"/>
    </row>
    <row r="4054" spans="1:14" ht="11.25" customHeight="1">
      <c r="A4054" s="5" t="s">
        <v>11670</v>
      </c>
      <c r="B4054" s="5" t="s">
        <v>11717</v>
      </c>
      <c r="C4054" s="5" t="s">
        <v>11753</v>
      </c>
      <c r="D4054" s="5" t="s">
        <v>11673</v>
      </c>
      <c r="E4054" s="5" t="s">
        <v>69</v>
      </c>
      <c r="F4054" s="5" t="s">
        <v>11674</v>
      </c>
      <c r="G4054" s="5" t="s">
        <v>152</v>
      </c>
      <c r="H4054" s="5" t="s">
        <v>11719</v>
      </c>
      <c r="I4054" s="5" t="s">
        <v>11754</v>
      </c>
      <c r="J4054" s="5" t="s">
        <v>11755</v>
      </c>
      <c r="K4054" s="7" t="str">
        <f ca="1">IFERROR(__xludf.DUMMYFUNCTION("GOOGLETRANSLATE(H4054,""EN"",""ES"")"),"EQUIPO DE EXPOSICIÓN Y VENTAS")</f>
        <v>EQUIPO DE EXPOSICIÓN Y VENTAS</v>
      </c>
      <c r="L4054" s="5" t="str">
        <f ca="1">IFERROR(__xludf.DUMMYFUNCTION("GOOGLETRANSLATE(J4054,""EN"",""ES"")"),"Unidades de visualización")</f>
        <v>Unidades de visualización</v>
      </c>
      <c r="M4054" s="8" t="s">
        <v>68</v>
      </c>
      <c r="N4054" s="8"/>
    </row>
    <row r="4055" spans="1:14" ht="11.25" customHeight="1">
      <c r="A4055" s="5" t="s">
        <v>11670</v>
      </c>
      <c r="B4055" s="5" t="s">
        <v>11717</v>
      </c>
      <c r="C4055" s="5" t="s">
        <v>11756</v>
      </c>
      <c r="D4055" s="5" t="s">
        <v>11673</v>
      </c>
      <c r="E4055" s="5" t="s">
        <v>69</v>
      </c>
      <c r="F4055" s="5" t="s">
        <v>11674</v>
      </c>
      <c r="G4055" s="5" t="s">
        <v>152</v>
      </c>
      <c r="H4055" s="5" t="s">
        <v>11719</v>
      </c>
      <c r="I4055" s="5" t="s">
        <v>11757</v>
      </c>
      <c r="J4055" s="5" t="s">
        <v>11758</v>
      </c>
      <c r="K4055" s="7" t="str">
        <f ca="1">IFERROR(__xludf.DUMMYFUNCTION("GOOGLETRANSLATE(H4055,""EN"",""ES"")"),"EQUIPO DE EXPOSICIÓN Y VENTAS")</f>
        <v>EQUIPO DE EXPOSICIÓN Y VENTAS</v>
      </c>
      <c r="L4055" s="5" t="str">
        <f ca="1">IFERROR(__xludf.DUMMYFUNCTION("GOOGLETRANSLATE(J4055,""EN"",""ES"")"),"Soportes para exponer botellas.")</f>
        <v>Soportes para exponer botellas.</v>
      </c>
      <c r="M4055" s="8" t="s">
        <v>68</v>
      </c>
      <c r="N4055" s="8"/>
    </row>
    <row r="4056" spans="1:14" ht="11.25" customHeight="1">
      <c r="A4056" s="5" t="s">
        <v>11670</v>
      </c>
      <c r="B4056" s="5" t="s">
        <v>11717</v>
      </c>
      <c r="C4056" s="5" t="s">
        <v>11759</v>
      </c>
      <c r="D4056" s="5" t="s">
        <v>11673</v>
      </c>
      <c r="E4056" s="5" t="s">
        <v>69</v>
      </c>
      <c r="F4056" s="5" t="s">
        <v>11674</v>
      </c>
      <c r="G4056" s="5" t="s">
        <v>152</v>
      </c>
      <c r="H4056" s="5" t="s">
        <v>11719</v>
      </c>
      <c r="I4056" s="5" t="s">
        <v>11760</v>
      </c>
      <c r="J4056" s="5" t="s">
        <v>11761</v>
      </c>
      <c r="K4056" s="7" t="str">
        <f ca="1">IFERROR(__xludf.DUMMYFUNCTION("GOOGLETRANSLATE(H4056,""EN"",""ES"")"),"EQUIPO DE EXPOSICIÓN Y VENTAS")</f>
        <v>EQUIPO DE EXPOSICIÓN Y VENTAS</v>
      </c>
      <c r="L4056" s="5" t="str">
        <f ca="1">IFERROR(__xludf.DUMMYFUNCTION("GOOGLETRANSLATE(J4056,""EN"",""ES"")"),"Puestos de venta")</f>
        <v>Puestos de venta</v>
      </c>
      <c r="M4056" s="8" t="s">
        <v>68</v>
      </c>
      <c r="N4056" s="8"/>
    </row>
    <row r="4057" spans="1:14" ht="11.25" customHeight="1">
      <c r="A4057" s="5" t="s">
        <v>11670</v>
      </c>
      <c r="B4057" s="5" t="s">
        <v>11717</v>
      </c>
      <c r="C4057" s="5" t="s">
        <v>11762</v>
      </c>
      <c r="D4057" s="5" t="s">
        <v>11673</v>
      </c>
      <c r="E4057" s="5" t="s">
        <v>69</v>
      </c>
      <c r="F4057" s="5" t="s">
        <v>11674</v>
      </c>
      <c r="G4057" s="5" t="s">
        <v>152</v>
      </c>
      <c r="H4057" s="5" t="s">
        <v>11719</v>
      </c>
      <c r="I4057" s="5" t="s">
        <v>11763</v>
      </c>
      <c r="J4057" s="5" t="s">
        <v>11764</v>
      </c>
      <c r="K4057" s="7" t="str">
        <f ca="1">IFERROR(__xludf.DUMMYFUNCTION("GOOGLETRANSLATE(H4057,""EN"",""ES"")"),"EQUIPO DE EXPOSICIÓN Y VENTAS")</f>
        <v>EQUIPO DE EXPOSICIÓN Y VENTAS</v>
      </c>
      <c r="L4057" s="5" t="str">
        <f ca="1">IFERROR(__xludf.DUMMYFUNCTION("GOOGLETRANSLATE(J4057,""EN"",""ES"")"),"Soportes para ropa confeccionada.")</f>
        <v>Soportes para ropa confeccionada.</v>
      </c>
      <c r="M4057" s="8" t="s">
        <v>68</v>
      </c>
      <c r="N4057" s="8"/>
    </row>
    <row r="4058" spans="1:14" ht="11.25" customHeight="1">
      <c r="A4058" s="5" t="s">
        <v>11670</v>
      </c>
      <c r="B4058" s="5" t="s">
        <v>11717</v>
      </c>
      <c r="C4058" s="5" t="s">
        <v>11765</v>
      </c>
      <c r="D4058" s="5" t="s">
        <v>11673</v>
      </c>
      <c r="E4058" s="5" t="s">
        <v>69</v>
      </c>
      <c r="F4058" s="5" t="s">
        <v>11674</v>
      </c>
      <c r="G4058" s="5" t="s">
        <v>152</v>
      </c>
      <c r="H4058" s="5" t="s">
        <v>11719</v>
      </c>
      <c r="I4058" s="5" t="s">
        <v>11766</v>
      </c>
      <c r="J4058" s="5" t="s">
        <v>11767</v>
      </c>
      <c r="K4058" s="7" t="str">
        <f ca="1">IFERROR(__xludf.DUMMYFUNCTION("GOOGLETRANSLATE(H4058,""EN"",""ES"")"),"EQUIPO DE EXPOSICIÓN Y VENTAS")</f>
        <v>EQUIPO DE EXPOSICIÓN Y VENTAS</v>
      </c>
      <c r="L4058" s="5" t="str">
        <f ca="1">IFERROR(__xludf.DUMMYFUNCTION("GOOGLETRANSLATE(J4058,""EN"",""ES"")"),"Tablas de tonos de maquillaje.")</f>
        <v>Tablas de tonos de maquillaje.</v>
      </c>
      <c r="M4058" s="8" t="s">
        <v>68</v>
      </c>
      <c r="N4058" s="8"/>
    </row>
    <row r="4059" spans="1:14" ht="11.25" customHeight="1">
      <c r="A4059" s="5" t="s">
        <v>11670</v>
      </c>
      <c r="B4059" s="5" t="s">
        <v>11717</v>
      </c>
      <c r="C4059" s="5" t="s">
        <v>11768</v>
      </c>
      <c r="D4059" s="5" t="s">
        <v>11673</v>
      </c>
      <c r="E4059" s="5" t="s">
        <v>69</v>
      </c>
      <c r="F4059" s="5" t="s">
        <v>11674</v>
      </c>
      <c r="G4059" s="5" t="s">
        <v>152</v>
      </c>
      <c r="H4059" s="5" t="s">
        <v>11719</v>
      </c>
      <c r="I4059" s="5" t="s">
        <v>11769</v>
      </c>
      <c r="J4059" s="5" t="s">
        <v>11770</v>
      </c>
      <c r="K4059" s="7" t="str">
        <f ca="1">IFERROR(__xludf.DUMMYFUNCTION("GOOGLETRANSLATE(H4059,""EN"",""ES"")"),"EQUIPO DE EXPOSICIÓN Y VENTAS")</f>
        <v>EQUIPO DE EXPOSICIÓN Y VENTAS</v>
      </c>
      <c r="L4059" s="5" t="str">
        <f ca="1">IFERROR(__xludf.DUMMYFUNCTION("GOOGLETRANSLATE(J4059,""EN"",""ES"")"),"Bombas de combustible [estaciones de servicio]")</f>
        <v>Bombas de combustible [estaciones de servicio]</v>
      </c>
      <c r="M4059" s="8" t="s">
        <v>68</v>
      </c>
      <c r="N4059" s="8"/>
    </row>
    <row r="4060" spans="1:14" ht="11.25" customHeight="1">
      <c r="A4060" s="5" t="s">
        <v>11670</v>
      </c>
      <c r="B4060" s="5" t="s">
        <v>11717</v>
      </c>
      <c r="C4060" s="5" t="s">
        <v>11771</v>
      </c>
      <c r="D4060" s="5" t="s">
        <v>11673</v>
      </c>
      <c r="E4060" s="5" t="s">
        <v>69</v>
      </c>
      <c r="F4060" s="5" t="s">
        <v>11674</v>
      </c>
      <c r="G4060" s="5" t="s">
        <v>152</v>
      </c>
      <c r="H4060" s="5" t="s">
        <v>11719</v>
      </c>
      <c r="I4060" s="5" t="s">
        <v>11772</v>
      </c>
      <c r="J4060" s="5" t="s">
        <v>11773</v>
      </c>
      <c r="K4060" s="7" t="str">
        <f ca="1">IFERROR(__xludf.DUMMYFUNCTION("GOOGLETRANSLATE(H4060,""EN"",""ES"")"),"EQUIPO DE EXPOSICIÓN Y VENTAS")</f>
        <v>EQUIPO DE EXPOSICIÓN Y VENTAS</v>
      </c>
      <c r="L4060" s="5" t="str">
        <f ca="1">IFERROR(__xludf.DUMMYFUNCTION("GOOGLETRANSLATE(J4060,""EN"",""ES"")"),"Dispensadores de hilo")</f>
        <v>Dispensadores de hilo</v>
      </c>
      <c r="M4060" s="8" t="s">
        <v>68</v>
      </c>
      <c r="N4060" s="8"/>
    </row>
    <row r="4061" spans="1:14" ht="11.25" customHeight="1">
      <c r="A4061" s="5" t="s">
        <v>11670</v>
      </c>
      <c r="B4061" s="5" t="s">
        <v>11717</v>
      </c>
      <c r="C4061" s="5" t="s">
        <v>11774</v>
      </c>
      <c r="D4061" s="5" t="s">
        <v>11673</v>
      </c>
      <c r="E4061" s="5" t="s">
        <v>69</v>
      </c>
      <c r="F4061" s="5" t="s">
        <v>11674</v>
      </c>
      <c r="G4061" s="5" t="s">
        <v>152</v>
      </c>
      <c r="H4061" s="5" t="s">
        <v>11719</v>
      </c>
      <c r="I4061" s="5" t="s">
        <v>11775</v>
      </c>
      <c r="J4061" s="5" t="s">
        <v>11776</v>
      </c>
      <c r="K4061" s="7" t="str">
        <f ca="1">IFERROR(__xludf.DUMMYFUNCTION("GOOGLETRANSLATE(H4061,""EN"",""ES"")"),"EQUIPO DE EXPOSICIÓN Y VENTAS")</f>
        <v>EQUIPO DE EXPOSICIÓN Y VENTAS</v>
      </c>
      <c r="L4061" s="5" t="str">
        <f ca="1">IFERROR(__xludf.DUMMYFUNCTION("GOOGLETRANSLATE(J4061,""EN"",""ES"")"),"Dispensadores de papel de regalo")</f>
        <v>Dispensadores de papel de regalo</v>
      </c>
      <c r="M4061" s="8" t="s">
        <v>68</v>
      </c>
      <c r="N4061" s="8"/>
    </row>
    <row r="4062" spans="1:14" ht="11.25" customHeight="1">
      <c r="A4062" s="5" t="s">
        <v>11670</v>
      </c>
      <c r="B4062" s="5" t="s">
        <v>11717</v>
      </c>
      <c r="C4062" s="5" t="s">
        <v>11777</v>
      </c>
      <c r="D4062" s="5" t="s">
        <v>11673</v>
      </c>
      <c r="E4062" s="5" t="s">
        <v>69</v>
      </c>
      <c r="F4062" s="5" t="s">
        <v>11674</v>
      </c>
      <c r="G4062" s="5" t="s">
        <v>152</v>
      </c>
      <c r="H4062" s="5" t="s">
        <v>11719</v>
      </c>
      <c r="I4062" s="5" t="s">
        <v>11778</v>
      </c>
      <c r="J4062" s="5" t="s">
        <v>11779</v>
      </c>
      <c r="K4062" s="7" t="str">
        <f ca="1">IFERROR(__xludf.DUMMYFUNCTION("GOOGLETRANSLATE(H4062,""EN"",""ES"")"),"EQUIPO DE EXPOSICIÓN Y VENTAS")</f>
        <v>EQUIPO DE EXPOSICIÓN Y VENTAS</v>
      </c>
      <c r="L4062" s="5" t="str">
        <f ca="1">IFERROR(__xludf.DUMMYFUNCTION("GOOGLETRANSLATE(J4062,""EN"",""ES"")"),"Bastidores para postales")</f>
        <v>Bastidores para postales</v>
      </c>
      <c r="M4062" s="8" t="s">
        <v>68</v>
      </c>
      <c r="N4062" s="8"/>
    </row>
    <row r="4063" spans="1:14" ht="11.25" customHeight="1">
      <c r="A4063" s="5" t="s">
        <v>11670</v>
      </c>
      <c r="B4063" s="5" t="s">
        <v>11717</v>
      </c>
      <c r="C4063" s="5" t="s">
        <v>11780</v>
      </c>
      <c r="D4063" s="5" t="s">
        <v>11673</v>
      </c>
      <c r="E4063" s="5" t="s">
        <v>69</v>
      </c>
      <c r="F4063" s="5" t="s">
        <v>11674</v>
      </c>
      <c r="G4063" s="5" t="s">
        <v>152</v>
      </c>
      <c r="H4063" s="5" t="s">
        <v>11719</v>
      </c>
      <c r="I4063" s="5" t="s">
        <v>11781</v>
      </c>
      <c r="J4063" s="5" t="s">
        <v>11782</v>
      </c>
      <c r="K4063" s="7" t="str">
        <f ca="1">IFERROR(__xludf.DUMMYFUNCTION("GOOGLETRANSLATE(H4063,""EN"",""ES"")"),"EQUIPO DE EXPOSICIÓN Y VENTAS")</f>
        <v>EQUIPO DE EXPOSICIÓN Y VENTAS</v>
      </c>
      <c r="L4063" s="5" t="str">
        <f ca="1">IFERROR(__xludf.DUMMYFUNCTION("GOOGLETRANSLATE(J4063,""EN"",""ES"")"),"Dispensadores de bolsas [envases]")</f>
        <v>Dispensadores de bolsas [envases]</v>
      </c>
      <c r="M4063" s="8" t="s">
        <v>68</v>
      </c>
      <c r="N4063" s="8"/>
    </row>
    <row r="4064" spans="1:14" ht="11.25" customHeight="1">
      <c r="A4064" s="5" t="s">
        <v>11670</v>
      </c>
      <c r="B4064" s="5" t="s">
        <v>11717</v>
      </c>
      <c r="C4064" s="5" t="s">
        <v>11783</v>
      </c>
      <c r="D4064" s="5" t="s">
        <v>11673</v>
      </c>
      <c r="E4064" s="5" t="s">
        <v>69</v>
      </c>
      <c r="F4064" s="5" t="s">
        <v>11674</v>
      </c>
      <c r="G4064" s="5" t="s">
        <v>152</v>
      </c>
      <c r="H4064" s="5" t="s">
        <v>11719</v>
      </c>
      <c r="I4064" s="5" t="s">
        <v>11784</v>
      </c>
      <c r="J4064" s="5" t="s">
        <v>11785</v>
      </c>
      <c r="K4064" s="7" t="str">
        <f ca="1">IFERROR(__xludf.DUMMYFUNCTION("GOOGLETRANSLATE(H4064,""EN"",""ES"")"),"EQUIPO DE EXPOSICIÓN Y VENTAS")</f>
        <v>EQUIPO DE EXPOSICIÓN Y VENTAS</v>
      </c>
      <c r="L4064" s="5" t="str">
        <f ca="1">IFERROR(__xludf.DUMMYFUNCTION("GOOGLETRANSLATE(J4064,""EN"",""ES"")"),"Vitrinas para relojes [expositores]")</f>
        <v>Vitrinas para relojes [expositores]</v>
      </c>
      <c r="M4064" s="8" t="s">
        <v>68</v>
      </c>
      <c r="N4064" s="8"/>
    </row>
    <row r="4065" spans="1:14" ht="11.25" customHeight="1">
      <c r="A4065" s="5" t="s">
        <v>11670</v>
      </c>
      <c r="B4065" s="5" t="s">
        <v>11717</v>
      </c>
      <c r="C4065" s="5" t="s">
        <v>11786</v>
      </c>
      <c r="D4065" s="5" t="s">
        <v>11673</v>
      </c>
      <c r="E4065" s="5" t="s">
        <v>69</v>
      </c>
      <c r="F4065" s="5" t="s">
        <v>11674</v>
      </c>
      <c r="G4065" s="5" t="s">
        <v>152</v>
      </c>
      <c r="H4065" s="5" t="s">
        <v>11719</v>
      </c>
      <c r="I4065" s="5" t="s">
        <v>11787</v>
      </c>
      <c r="J4065" s="5" t="s">
        <v>11788</v>
      </c>
      <c r="K4065" s="7" t="str">
        <f ca="1">IFERROR(__xludf.DUMMYFUNCTION("GOOGLETRANSLATE(H4065,""EN"",""ES"")"),"EQUIPO DE EXPOSICIÓN Y VENTAS")</f>
        <v>EQUIPO DE EXPOSICIÓN Y VENTAS</v>
      </c>
      <c r="L4065" s="5" t="str">
        <f ca="1">IFERROR(__xludf.DUMMYFUNCTION("GOOGLETRANSLATE(J4065,""EN"",""ES"")"),"Expositores para relojes.")</f>
        <v>Expositores para relojes.</v>
      </c>
      <c r="M4065" s="8" t="s">
        <v>68</v>
      </c>
      <c r="N4065" s="8"/>
    </row>
    <row r="4066" spans="1:14" ht="11.25" customHeight="1">
      <c r="A4066" s="5" t="s">
        <v>11670</v>
      </c>
      <c r="B4066" s="5" t="s">
        <v>11717</v>
      </c>
      <c r="C4066" s="5" t="s">
        <v>11789</v>
      </c>
      <c r="D4066" s="5" t="s">
        <v>11673</v>
      </c>
      <c r="E4066" s="5" t="s">
        <v>69</v>
      </c>
      <c r="F4066" s="5" t="s">
        <v>11674</v>
      </c>
      <c r="G4066" s="5" t="s">
        <v>152</v>
      </c>
      <c r="H4066" s="5" t="s">
        <v>11719</v>
      </c>
      <c r="I4066" s="5" t="s">
        <v>11790</v>
      </c>
      <c r="J4066" s="5" t="s">
        <v>11791</v>
      </c>
      <c r="K4066" s="7" t="str">
        <f ca="1">IFERROR(__xludf.DUMMYFUNCTION("GOOGLETRANSLATE(H4066,""EN"",""ES"")"),"EQUIPO DE EXPOSICIÓN Y VENTAS")</f>
        <v>EQUIPO DE EXPOSICIÓN Y VENTAS</v>
      </c>
      <c r="L4066" s="5" t="str">
        <f ca="1">IFERROR(__xludf.DUMMYFUNCTION("GOOGLETRANSLATE(J4066,""EN"",""ES"")"),"Expositores para corbatas.")</f>
        <v>Expositores para corbatas.</v>
      </c>
      <c r="M4066" s="8" t="s">
        <v>68</v>
      </c>
      <c r="N4066" s="8"/>
    </row>
    <row r="4067" spans="1:14" ht="11.25" customHeight="1">
      <c r="A4067" s="5" t="s">
        <v>11670</v>
      </c>
      <c r="B4067" s="5" t="s">
        <v>11717</v>
      </c>
      <c r="C4067" s="5" t="s">
        <v>11792</v>
      </c>
      <c r="D4067" s="5" t="s">
        <v>11673</v>
      </c>
      <c r="E4067" s="5" t="s">
        <v>69</v>
      </c>
      <c r="F4067" s="5" t="s">
        <v>11674</v>
      </c>
      <c r="G4067" s="5" t="s">
        <v>152</v>
      </c>
      <c r="H4067" s="5" t="s">
        <v>11719</v>
      </c>
      <c r="I4067" s="5" t="s">
        <v>11793</v>
      </c>
      <c r="J4067" s="5" t="s">
        <v>11794</v>
      </c>
      <c r="K4067" s="7" t="str">
        <f ca="1">IFERROR(__xludf.DUMMYFUNCTION("GOOGLETRANSLATE(H4067,""EN"",""ES"")"),"EQUIPO DE EXPOSICIÓN Y VENTAS")</f>
        <v>EQUIPO DE EXPOSICIÓN Y VENTAS</v>
      </c>
      <c r="L4067" s="5" t="str">
        <f ca="1">IFERROR(__xludf.DUMMYFUNCTION("GOOGLETRANSLATE(J4067,""EN"",""ES"")"),"Expositores para la venta de flores o plantas.")</f>
        <v>Expositores para la venta de flores o plantas.</v>
      </c>
      <c r="M4067" s="8" t="s">
        <v>68</v>
      </c>
      <c r="N4067" s="8"/>
    </row>
    <row r="4068" spans="1:14" ht="11.25" customHeight="1">
      <c r="A4068" s="5" t="s">
        <v>11670</v>
      </c>
      <c r="B4068" s="5" t="s">
        <v>11717</v>
      </c>
      <c r="C4068" s="5" t="s">
        <v>11795</v>
      </c>
      <c r="D4068" s="5" t="s">
        <v>11673</v>
      </c>
      <c r="E4068" s="5" t="s">
        <v>69</v>
      </c>
      <c r="F4068" s="5" t="s">
        <v>11674</v>
      </c>
      <c r="G4068" s="5" t="s">
        <v>152</v>
      </c>
      <c r="H4068" s="5" t="s">
        <v>11719</v>
      </c>
      <c r="I4068" s="5" t="s">
        <v>11796</v>
      </c>
      <c r="J4068" s="5" t="s">
        <v>11797</v>
      </c>
      <c r="K4068" s="7" t="str">
        <f ca="1">IFERROR(__xludf.DUMMYFUNCTION("GOOGLETRANSLATE(H4068,""EN"",""ES"")"),"EQUIPO DE EXPOSICIÓN Y VENTAS")</f>
        <v>EQUIPO DE EXPOSICIÓN Y VENTAS</v>
      </c>
      <c r="L4068" s="5" t="str">
        <f ca="1">IFERROR(__xludf.DUMMYFUNCTION("GOOGLETRANSLATE(J4068,""EN"",""ES"")"),"Stands de exposición")</f>
        <v>Stands de exposición</v>
      </c>
      <c r="M4068" s="8" t="s">
        <v>68</v>
      </c>
      <c r="N4068" s="8"/>
    </row>
    <row r="4069" spans="1:14" ht="11.25" customHeight="1">
      <c r="A4069" s="5" t="s">
        <v>11670</v>
      </c>
      <c r="B4069" s="5" t="s">
        <v>11717</v>
      </c>
      <c r="C4069" s="5" t="s">
        <v>11798</v>
      </c>
      <c r="D4069" s="5" t="s">
        <v>11673</v>
      </c>
      <c r="E4069" s="5" t="s">
        <v>69</v>
      </c>
      <c r="F4069" s="5" t="s">
        <v>11674</v>
      </c>
      <c r="G4069" s="5" t="s">
        <v>152</v>
      </c>
      <c r="H4069" s="5" t="s">
        <v>11719</v>
      </c>
      <c r="I4069" s="5" t="s">
        <v>11799</v>
      </c>
      <c r="J4069" s="5" t="s">
        <v>11800</v>
      </c>
      <c r="K4069" s="7" t="str">
        <f ca="1">IFERROR(__xludf.DUMMYFUNCTION("GOOGLETRANSLATE(H4069,""EN"",""ES"")"),"EQUIPO DE EXPOSICIÓN Y VENTAS")</f>
        <v>EQUIPO DE EXPOSICIÓN Y VENTAS</v>
      </c>
      <c r="L4069" s="5" t="str">
        <f ca="1">IFERROR(__xludf.DUMMYFUNCTION("GOOGLETRANSLATE(J4069,""EN"",""ES"")"),"Soportes para exhibir muestras.")</f>
        <v>Soportes para exhibir muestras.</v>
      </c>
      <c r="M4069" s="8" t="s">
        <v>68</v>
      </c>
      <c r="N4069" s="8"/>
    </row>
    <row r="4070" spans="1:14" ht="11.25" customHeight="1">
      <c r="A4070" s="5" t="s">
        <v>11670</v>
      </c>
      <c r="B4070" s="5" t="s">
        <v>11717</v>
      </c>
      <c r="C4070" s="5" t="s">
        <v>11801</v>
      </c>
      <c r="D4070" s="5" t="s">
        <v>11673</v>
      </c>
      <c r="E4070" s="5" t="s">
        <v>69</v>
      </c>
      <c r="F4070" s="5" t="s">
        <v>11674</v>
      </c>
      <c r="G4070" s="5" t="s">
        <v>152</v>
      </c>
      <c r="H4070" s="5" t="s">
        <v>11719</v>
      </c>
      <c r="I4070" s="5" t="s">
        <v>11802</v>
      </c>
      <c r="J4070" s="5" t="s">
        <v>11803</v>
      </c>
      <c r="K4070" s="7" t="str">
        <f ca="1">IFERROR(__xludf.DUMMYFUNCTION("GOOGLETRANSLATE(H4070,""EN"",""ES"")"),"EQUIPO DE EXPOSICIÓN Y VENTAS")</f>
        <v>EQUIPO DE EXPOSICIÓN Y VENTAS</v>
      </c>
      <c r="L4070" s="5" t="str">
        <f ca="1">IFERROR(__xludf.DUMMYFUNCTION("GOOGLETRANSLATE(J4070,""EN"",""ES"")"),"Soportes para carteles enrollables")</f>
        <v>Soportes para carteles enrollables</v>
      </c>
      <c r="M4070" s="8" t="s">
        <v>68</v>
      </c>
      <c r="N4070" s="8"/>
    </row>
    <row r="4071" spans="1:14" ht="11.25" customHeight="1">
      <c r="A4071" s="5" t="s">
        <v>11670</v>
      </c>
      <c r="B4071" s="5" t="s">
        <v>11717</v>
      </c>
      <c r="C4071" s="5" t="s">
        <v>11804</v>
      </c>
      <c r="D4071" s="5" t="s">
        <v>11673</v>
      </c>
      <c r="E4071" s="5" t="s">
        <v>69</v>
      </c>
      <c r="F4071" s="5" t="s">
        <v>11674</v>
      </c>
      <c r="G4071" s="5" t="s">
        <v>152</v>
      </c>
      <c r="H4071" s="5" t="s">
        <v>11719</v>
      </c>
      <c r="I4071" s="5" t="s">
        <v>11805</v>
      </c>
      <c r="J4071" s="5" t="s">
        <v>11806</v>
      </c>
      <c r="K4071" s="7" t="str">
        <f ca="1">IFERROR(__xludf.DUMMYFUNCTION("GOOGLETRANSLATE(H4071,""EN"",""ES"")"),"EQUIPO DE EXPOSICIÓN Y VENTAS")</f>
        <v>EQUIPO DE EXPOSICIÓN Y VENTAS</v>
      </c>
      <c r="L4071" s="5" t="str">
        <f ca="1">IFERROR(__xludf.DUMMYFUNCTION("GOOGLETRANSLATE(J4071,""EN"",""ES"")"),"Vitrinas [unidades expositoras]")</f>
        <v>Vitrinas [unidades expositoras]</v>
      </c>
      <c r="M4071" s="8" t="s">
        <v>68</v>
      </c>
      <c r="N4071" s="8"/>
    </row>
    <row r="4072" spans="1:14" ht="11.25" customHeight="1">
      <c r="A4072" s="5" t="s">
        <v>11670</v>
      </c>
      <c r="B4072" s="5" t="s">
        <v>11717</v>
      </c>
      <c r="C4072" s="5" t="s">
        <v>11807</v>
      </c>
      <c r="D4072" s="5" t="s">
        <v>11673</v>
      </c>
      <c r="E4072" s="5" t="s">
        <v>69</v>
      </c>
      <c r="F4072" s="5" t="s">
        <v>11674</v>
      </c>
      <c r="G4072" s="5" t="s">
        <v>152</v>
      </c>
      <c r="H4072" s="5" t="s">
        <v>11719</v>
      </c>
      <c r="I4072" s="5" t="s">
        <v>11808</v>
      </c>
      <c r="J4072" s="5" t="s">
        <v>11809</v>
      </c>
      <c r="K4072" s="7" t="str">
        <f ca="1">IFERROR(__xludf.DUMMYFUNCTION("GOOGLETRANSLATE(H4072,""EN"",""ES"")"),"EQUIPO DE EXPOSICIÓN Y VENTAS")</f>
        <v>EQUIPO DE EXPOSICIÓN Y VENTAS</v>
      </c>
      <c r="L4072" s="5" t="str">
        <f ca="1">IFERROR(__xludf.DUMMYFUNCTION("GOOGLETRANSLATE(J4072,""EN"",""ES"")"),"Dispositivos empujadores de productos")</f>
        <v>Dispositivos empujadores de productos</v>
      </c>
      <c r="M4072" s="8" t="s">
        <v>68</v>
      </c>
      <c r="N4072" s="8"/>
    </row>
    <row r="4073" spans="1:14" ht="11.25" customHeight="1">
      <c r="A4073" s="5" t="s">
        <v>11670</v>
      </c>
      <c r="B4073" s="5" t="s">
        <v>11810</v>
      </c>
      <c r="C4073" s="5" t="s">
        <v>11811</v>
      </c>
      <c r="D4073" s="5" t="s">
        <v>11673</v>
      </c>
      <c r="E4073" s="5" t="s">
        <v>69</v>
      </c>
      <c r="F4073" s="5" t="s">
        <v>11674</v>
      </c>
      <c r="G4073" s="5" t="s">
        <v>152</v>
      </c>
      <c r="H4073" s="5" t="s">
        <v>11812</v>
      </c>
      <c r="I4073" s="5" t="s">
        <v>11813</v>
      </c>
      <c r="J4073" s="5" t="s">
        <v>11814</v>
      </c>
      <c r="K4073" s="7" t="str">
        <f ca="1">IFERROR(__xludf.DUMMYFUNCTION("GOOGLETRANSLATE(H4073,""EN"",""ES"")"),"LETREROS, LETREROS Y DISPOSITIVOS PUBLICITARIOS")</f>
        <v>LETREROS, LETREROS Y DISPOSITIVOS PUBLICITARIOS</v>
      </c>
      <c r="L4073" s="5" t="str">
        <f ca="1">IFERROR(__xludf.DUMMYFUNCTION("GOOGLETRANSLATE(J4073,""EN"",""ES"")"),"postes de barbero")</f>
        <v>postes de barbero</v>
      </c>
      <c r="M4073" s="8" t="s">
        <v>68</v>
      </c>
      <c r="N4073" s="8"/>
    </row>
    <row r="4074" spans="1:14" ht="11.25" customHeight="1">
      <c r="A4074" s="5" t="s">
        <v>11670</v>
      </c>
      <c r="B4074" s="5" t="s">
        <v>11810</v>
      </c>
      <c r="C4074" s="5" t="s">
        <v>11815</v>
      </c>
      <c r="D4074" s="5" t="s">
        <v>11673</v>
      </c>
      <c r="E4074" s="5" t="s">
        <v>69</v>
      </c>
      <c r="F4074" s="5" t="s">
        <v>11674</v>
      </c>
      <c r="G4074" s="5" t="s">
        <v>152</v>
      </c>
      <c r="H4074" s="5" t="s">
        <v>11812</v>
      </c>
      <c r="I4074" s="5" t="s">
        <v>11816</v>
      </c>
      <c r="J4074" s="5" t="s">
        <v>11817</v>
      </c>
      <c r="K4074" s="7" t="str">
        <f ca="1">IFERROR(__xludf.DUMMYFUNCTION("GOOGLETRANSLATE(H4074,""EN"",""ES"")"),"LETREROS, LETREROS Y DISPOSITIVOS PUBLICITARIOS")</f>
        <v>LETREROS, LETREROS Y DISPOSITIVOS PUBLICITARIOS</v>
      </c>
      <c r="L4074" s="5" t="str">
        <f ca="1">IFERROR(__xludf.DUMMYFUNCTION("GOOGLETRANSLATE(J4074,""EN"",""ES"")"),"Pantallas publicitarias")</f>
        <v>Pantallas publicitarias</v>
      </c>
      <c r="M4074" s="8" t="s">
        <v>68</v>
      </c>
      <c r="N4074" s="8"/>
    </row>
    <row r="4075" spans="1:14" ht="11.25" customHeight="1">
      <c r="A4075" s="5" t="s">
        <v>11670</v>
      </c>
      <c r="B4075" s="5" t="s">
        <v>11810</v>
      </c>
      <c r="C4075" s="5" t="s">
        <v>11818</v>
      </c>
      <c r="D4075" s="5" t="s">
        <v>11673</v>
      </c>
      <c r="E4075" s="5" t="s">
        <v>69</v>
      </c>
      <c r="F4075" s="5" t="s">
        <v>11674</v>
      </c>
      <c r="G4075" s="5" t="s">
        <v>152</v>
      </c>
      <c r="H4075" s="5" t="s">
        <v>11812</v>
      </c>
      <c r="I4075" s="5" t="s">
        <v>11819</v>
      </c>
      <c r="J4075" s="5" t="s">
        <v>11820</v>
      </c>
      <c r="K4075" s="7" t="str">
        <f ca="1">IFERROR(__xludf.DUMMYFUNCTION("GOOGLETRANSLATE(H4075,""EN"",""ES"")"),"LETREROS, LETREROS Y DISPOSITIVOS PUBLICITARIOS")</f>
        <v>LETREROS, LETREROS Y DISPOSITIVOS PUBLICITARIOS</v>
      </c>
      <c r="L4075" s="5" t="str">
        <f ca="1">IFERROR(__xludf.DUMMYFUNCTION("GOOGLETRANSLATE(J4075,""EN"",""ES"")"),"Tableros publicitarios")</f>
        <v>Tableros publicitarios</v>
      </c>
      <c r="M4075" s="8" t="s">
        <v>68</v>
      </c>
      <c r="N4075" s="8"/>
    </row>
    <row r="4076" spans="1:14" ht="11.25" customHeight="1">
      <c r="A4076" s="5" t="s">
        <v>11670</v>
      </c>
      <c r="B4076" s="5" t="s">
        <v>11810</v>
      </c>
      <c r="C4076" s="5" t="s">
        <v>11821</v>
      </c>
      <c r="D4076" s="5" t="s">
        <v>11673</v>
      </c>
      <c r="E4076" s="5" t="s">
        <v>69</v>
      </c>
      <c r="F4076" s="5" t="s">
        <v>11674</v>
      </c>
      <c r="G4076" s="5" t="s">
        <v>152</v>
      </c>
      <c r="H4076" s="5" t="s">
        <v>11812</v>
      </c>
      <c r="I4076" s="5" t="s">
        <v>11822</v>
      </c>
      <c r="J4076" s="5" t="s">
        <v>11823</v>
      </c>
      <c r="K4076" s="7" t="str">
        <f ca="1">IFERROR(__xludf.DUMMYFUNCTION("GOOGLETRANSLATE(H4076,""EN"",""ES"")"),"LETREROS, LETREROS Y DISPOSITIVOS PUBLICITARIOS")</f>
        <v>LETREROS, LETREROS Y DISPOSITIVOS PUBLICITARIOS</v>
      </c>
      <c r="L4076" s="5" t="str">
        <f ca="1">IFERROR(__xludf.DUMMYFUNCTION("GOOGLETRANSLATE(J4076,""EN"",""ES"")"),"Dispositivos publicitarios [luminosos o no, móviles o estáticos]")</f>
        <v>Dispositivos publicitarios [luminosos o no, móviles o estáticos]</v>
      </c>
      <c r="M4076" s="8" t="s">
        <v>68</v>
      </c>
      <c r="N4076" s="8"/>
    </row>
    <row r="4077" spans="1:14" ht="11.25" customHeight="1">
      <c r="A4077" s="5" t="s">
        <v>11670</v>
      </c>
      <c r="B4077" s="5" t="s">
        <v>11810</v>
      </c>
      <c r="C4077" s="5" t="s">
        <v>11824</v>
      </c>
      <c r="D4077" s="5" t="s">
        <v>11673</v>
      </c>
      <c r="E4077" s="5" t="s">
        <v>69</v>
      </c>
      <c r="F4077" s="5" t="s">
        <v>11674</v>
      </c>
      <c r="G4077" s="5" t="s">
        <v>152</v>
      </c>
      <c r="H4077" s="5" t="s">
        <v>11812</v>
      </c>
      <c r="I4077" s="5" t="s">
        <v>11825</v>
      </c>
      <c r="J4077" s="5" t="s">
        <v>11826</v>
      </c>
      <c r="K4077" s="7" t="str">
        <f ca="1">IFERROR(__xludf.DUMMYFUNCTION("GOOGLETRANSLATE(H4077,""EN"",""ES"")"),"LETREROS, LETREROS Y DISPOSITIVOS PUBLICITARIOS")</f>
        <v>LETREROS, LETREROS Y DISPOSITIVOS PUBLICITARIOS</v>
      </c>
      <c r="L4077" s="5" t="str">
        <f ca="1">IFERROR(__xludf.DUMMYFUNCTION("GOOGLETRANSLATE(J4077,""EN"",""ES"")"),"Aparato para publicidad animada.")</f>
        <v>Aparato para publicidad animada.</v>
      </c>
      <c r="M4077" s="8" t="s">
        <v>68</v>
      </c>
      <c r="N4077" s="8"/>
    </row>
    <row r="4078" spans="1:14" ht="11.25" customHeight="1">
      <c r="A4078" s="5" t="s">
        <v>11670</v>
      </c>
      <c r="B4078" s="5" t="s">
        <v>11810</v>
      </c>
      <c r="C4078" s="5" t="s">
        <v>11827</v>
      </c>
      <c r="D4078" s="5" t="s">
        <v>11673</v>
      </c>
      <c r="E4078" s="5" t="s">
        <v>69</v>
      </c>
      <c r="F4078" s="5" t="s">
        <v>11674</v>
      </c>
      <c r="G4078" s="5" t="s">
        <v>152</v>
      </c>
      <c r="H4078" s="5" t="s">
        <v>11812</v>
      </c>
      <c r="I4078" s="5" t="s">
        <v>11828</v>
      </c>
      <c r="J4078" s="5" t="s">
        <v>11829</v>
      </c>
      <c r="K4078" s="7" t="str">
        <f ca="1">IFERROR(__xludf.DUMMYFUNCTION("GOOGLETRANSLATE(H4078,""EN"",""ES"")"),"LETREROS, LETREROS Y DISPOSITIVOS PUBLICITARIOS")</f>
        <v>LETREROS, LETREROS Y DISPOSITIVOS PUBLICITARIOS</v>
      </c>
      <c r="L4078" s="5" t="str">
        <f ca="1">IFERROR(__xludf.DUMMYFUNCTION("GOOGLETRANSLATE(J4078,""EN"",""ES"")"),"Marcadores de límites para reservas de caza y pesca")</f>
        <v>Marcadores de límites para reservas de caza y pesca</v>
      </c>
      <c r="M4078" s="8" t="s">
        <v>68</v>
      </c>
      <c r="N4078" s="8"/>
    </row>
    <row r="4079" spans="1:14" ht="11.25" customHeight="1">
      <c r="A4079" s="5" t="s">
        <v>11670</v>
      </c>
      <c r="B4079" s="5" t="s">
        <v>11810</v>
      </c>
      <c r="C4079" s="5" t="s">
        <v>11830</v>
      </c>
      <c r="D4079" s="5" t="s">
        <v>11673</v>
      </c>
      <c r="E4079" s="5" t="s">
        <v>69</v>
      </c>
      <c r="F4079" s="5" t="s">
        <v>11674</v>
      </c>
      <c r="G4079" s="5" t="s">
        <v>152</v>
      </c>
      <c r="H4079" s="5" t="s">
        <v>11812</v>
      </c>
      <c r="I4079" s="5" t="s">
        <v>11831</v>
      </c>
      <c r="J4079" s="5" t="s">
        <v>11832</v>
      </c>
      <c r="K4079" s="7" t="str">
        <f ca="1">IFERROR(__xludf.DUMMYFUNCTION("GOOGLETRANSLATE(H4079,""EN"",""ES"")"),"LETREROS, LETREROS Y DISPOSITIVOS PUBLICITARIOS")</f>
        <v>LETREROS, LETREROS Y DISPOSITIVOS PUBLICITARIOS</v>
      </c>
      <c r="L4079" s="5" t="str">
        <f ca="1">IFERROR(__xludf.DUMMYFUNCTION("GOOGLETRANSLATE(J4079,""EN"",""ES"")"),"Placas de matricula para vehiculos")</f>
        <v>Placas de matricula para vehiculos</v>
      </c>
      <c r="M4079" s="8" t="s">
        <v>68</v>
      </c>
      <c r="N4079" s="8"/>
    </row>
    <row r="4080" spans="1:14" ht="11.25" customHeight="1">
      <c r="A4080" s="5" t="s">
        <v>11670</v>
      </c>
      <c r="B4080" s="5" t="s">
        <v>11810</v>
      </c>
      <c r="C4080" s="5" t="s">
        <v>11830</v>
      </c>
      <c r="D4080" s="5" t="s">
        <v>11673</v>
      </c>
      <c r="E4080" s="5" t="s">
        <v>69</v>
      </c>
      <c r="F4080" s="5" t="s">
        <v>11674</v>
      </c>
      <c r="G4080" s="5" t="s">
        <v>152</v>
      </c>
      <c r="H4080" s="5" t="s">
        <v>11812</v>
      </c>
      <c r="I4080" s="5" t="s">
        <v>11833</v>
      </c>
      <c r="J4080" s="5" t="s">
        <v>152</v>
      </c>
      <c r="K4080" s="7" t="str">
        <f ca="1">IFERROR(__xludf.DUMMYFUNCTION("GOOGLETRANSLATE(H4080,""EN"",""ES"")"),"LETREROS, LETREROS Y DISPOSITIVOS PUBLICITARIOS")</f>
        <v>LETREROS, LETREROS Y DISPOSITIVOS PUBLICITARIOS</v>
      </c>
      <c r="L4080" s="5" t="str">
        <f ca="1">IFERROR(__xludf.DUMMYFUNCTION("GOOGLETRANSLATE(J4080,""EN"",""ES"")"),"Placas de matrícula para vehículos")</f>
        <v>Placas de matrícula para vehículos</v>
      </c>
      <c r="M4080" s="8" t="s">
        <v>68</v>
      </c>
      <c r="N4080" s="8"/>
    </row>
    <row r="4081" spans="1:14" ht="11.25" customHeight="1">
      <c r="A4081" s="5" t="s">
        <v>11670</v>
      </c>
      <c r="B4081" s="5" t="s">
        <v>11810</v>
      </c>
      <c r="C4081" s="5" t="s">
        <v>11834</v>
      </c>
      <c r="D4081" s="5" t="s">
        <v>11673</v>
      </c>
      <c r="E4081" s="5" t="s">
        <v>69</v>
      </c>
      <c r="F4081" s="5" t="s">
        <v>11674</v>
      </c>
      <c r="G4081" s="5" t="s">
        <v>152</v>
      </c>
      <c r="H4081" s="5" t="s">
        <v>11812</v>
      </c>
      <c r="I4081" s="5" t="s">
        <v>11835</v>
      </c>
      <c r="J4081" s="5" t="s">
        <v>11836</v>
      </c>
      <c r="K4081" s="7" t="str">
        <f ca="1">IFERROR(__xludf.DUMMYFUNCTION("GOOGLETRANSLATE(H4081,""EN"",""ES"")"),"LETREROS, LETREROS Y DISPOSITIVOS PUBLICITARIOS")</f>
        <v>LETREROS, LETREROS Y DISPOSITIVOS PUBLICITARIOS</v>
      </c>
      <c r="L4081" s="5" t="str">
        <f ca="1">IFERROR(__xludf.DUMMYFUNCTION("GOOGLETRANSLATE(J4081,""EN"",""ES"")"),"Placas de identificación")</f>
        <v>Placas de identificación</v>
      </c>
      <c r="M4081" s="8" t="s">
        <v>68</v>
      </c>
      <c r="N4081" s="8"/>
    </row>
    <row r="4082" spans="1:14" ht="11.25" customHeight="1">
      <c r="A4082" s="5" t="s">
        <v>11670</v>
      </c>
      <c r="B4082" s="5" t="s">
        <v>11810</v>
      </c>
      <c r="C4082" s="5" t="s">
        <v>11837</v>
      </c>
      <c r="D4082" s="5" t="s">
        <v>11673</v>
      </c>
      <c r="E4082" s="5" t="s">
        <v>69</v>
      </c>
      <c r="F4082" s="5" t="s">
        <v>11674</v>
      </c>
      <c r="G4082" s="5" t="s">
        <v>152</v>
      </c>
      <c r="H4082" s="5" t="s">
        <v>11812</v>
      </c>
      <c r="I4082" s="5" t="s">
        <v>11838</v>
      </c>
      <c r="J4082" s="5" t="s">
        <v>11839</v>
      </c>
      <c r="K4082" s="7" t="str">
        <f ca="1">IFERROR(__xludf.DUMMYFUNCTION("GOOGLETRANSLATE(H4082,""EN"",""ES"")"),"LETREROS, LETREROS Y DISPOSITIVOS PUBLICITARIOS")</f>
        <v>LETREROS, LETREROS Y DISPOSITIVOS PUBLICITARIOS</v>
      </c>
      <c r="L4082" s="5" t="str">
        <f ca="1">IFERROR(__xludf.DUMMYFUNCTION("GOOGLETRANSLATE(J4082,""EN"",""ES"")"),"Tablillas conmemorativas")</f>
        <v>Tablillas conmemorativas</v>
      </c>
      <c r="M4082" s="8" t="s">
        <v>68</v>
      </c>
      <c r="N4082" s="8"/>
    </row>
    <row r="4083" spans="1:14" ht="11.25" customHeight="1">
      <c r="A4083" s="5" t="s">
        <v>11670</v>
      </c>
      <c r="B4083" s="5" t="s">
        <v>11810</v>
      </c>
      <c r="C4083" s="5" t="s">
        <v>11837</v>
      </c>
      <c r="D4083" s="5" t="s">
        <v>11673</v>
      </c>
      <c r="E4083" s="5" t="s">
        <v>69</v>
      </c>
      <c r="F4083" s="5" t="s">
        <v>11674</v>
      </c>
      <c r="G4083" s="5" t="s">
        <v>152</v>
      </c>
      <c r="H4083" s="5" t="s">
        <v>11812</v>
      </c>
      <c r="I4083" s="5" t="s">
        <v>11840</v>
      </c>
      <c r="J4083" s="5" t="s">
        <v>152</v>
      </c>
      <c r="K4083" s="7" t="str">
        <f ca="1">IFERROR(__xludf.DUMMYFUNCTION("GOOGLETRANSLATE(H4083,""EN"",""ES"")"),"LETREROS, LETREROS Y DISPOSITIVOS PUBLICITARIOS")</f>
        <v>LETREROS, LETREROS Y DISPOSITIVOS PUBLICITARIOS</v>
      </c>
      <c r="L4083" s="5" t="str">
        <f ca="1">IFERROR(__xludf.DUMMYFUNCTION("GOOGLETRANSLATE(J4083,""EN"",""ES"")"),"Placas conmemorativas")</f>
        <v>Placas conmemorativas</v>
      </c>
      <c r="M4083" s="8" t="s">
        <v>68</v>
      </c>
      <c r="N4083" s="8"/>
    </row>
    <row r="4084" spans="1:14" ht="11.25" customHeight="1">
      <c r="A4084" s="5" t="s">
        <v>11670</v>
      </c>
      <c r="B4084" s="5" t="s">
        <v>11810</v>
      </c>
      <c r="C4084" s="5" t="s">
        <v>11841</v>
      </c>
      <c r="D4084" s="5" t="s">
        <v>11673</v>
      </c>
      <c r="E4084" s="5" t="s">
        <v>69</v>
      </c>
      <c r="F4084" s="5" t="s">
        <v>11674</v>
      </c>
      <c r="G4084" s="5" t="s">
        <v>152</v>
      </c>
      <c r="H4084" s="5" t="s">
        <v>11812</v>
      </c>
      <c r="I4084" s="5" t="s">
        <v>11842</v>
      </c>
      <c r="J4084" s="5" t="s">
        <v>11843</v>
      </c>
      <c r="K4084" s="7" t="str">
        <f ca="1">IFERROR(__xludf.DUMMYFUNCTION("GOOGLETRANSLATE(H4084,""EN"",""ES"")"),"LETREROS, LETREROS Y DISPOSITIVOS PUBLICITARIOS")</f>
        <v>LETREROS, LETREROS Y DISPOSITIVOS PUBLICITARIOS</v>
      </c>
      <c r="L4084" s="5" t="str">
        <f ca="1">IFERROR(__xludf.DUMMYFUNCTION("GOOGLETRANSLATE(J4084,""EN"",""ES"")"),"vallas publicitarias")</f>
        <v>vallas publicitarias</v>
      </c>
      <c r="M4084" s="8" t="s">
        <v>68</v>
      </c>
      <c r="N4084" s="8"/>
    </row>
    <row r="4085" spans="1:14" ht="11.25" customHeight="1">
      <c r="A4085" s="5" t="s">
        <v>11670</v>
      </c>
      <c r="B4085" s="5" t="s">
        <v>11810</v>
      </c>
      <c r="C4085" s="5" t="s">
        <v>11844</v>
      </c>
      <c r="D4085" s="5" t="s">
        <v>11673</v>
      </c>
      <c r="E4085" s="5" t="s">
        <v>69</v>
      </c>
      <c r="F4085" s="5" t="s">
        <v>11674</v>
      </c>
      <c r="G4085" s="5" t="s">
        <v>152</v>
      </c>
      <c r="H4085" s="5" t="s">
        <v>11812</v>
      </c>
      <c r="I4085" s="5" t="s">
        <v>11845</v>
      </c>
      <c r="J4085" s="5" t="s">
        <v>11846</v>
      </c>
      <c r="K4085" s="7" t="str">
        <f ca="1">IFERROR(__xludf.DUMMYFUNCTION("GOOGLETRANSLATE(H4085,""EN"",""ES"")"),"LETREROS, LETREROS Y DISPOSITIVOS PUBLICITARIOS")</f>
        <v>LETREROS, LETREROS Y DISPOSITIVOS PUBLICITARIOS</v>
      </c>
      <c r="L4085" s="5" t="str">
        <f ca="1">IFERROR(__xludf.DUMMYFUNCTION("GOOGLETRANSLATE(J4085,""EN"",""ES"")"),"Placas de identidad")</f>
        <v>Placas de identidad</v>
      </c>
      <c r="M4085" s="8" t="s">
        <v>68</v>
      </c>
      <c r="N4085" s="8"/>
    </row>
    <row r="4086" spans="1:14" ht="11.25" customHeight="1">
      <c r="A4086" s="5" t="s">
        <v>11670</v>
      </c>
      <c r="B4086" s="5" t="s">
        <v>11810</v>
      </c>
      <c r="C4086" s="5" t="s">
        <v>11847</v>
      </c>
      <c r="D4086" s="5" t="s">
        <v>11673</v>
      </c>
      <c r="E4086" s="5" t="s">
        <v>69</v>
      </c>
      <c r="F4086" s="5" t="s">
        <v>11674</v>
      </c>
      <c r="G4086" s="5" t="s">
        <v>152</v>
      </c>
      <c r="H4086" s="5" t="s">
        <v>11812</v>
      </c>
      <c r="I4086" s="5" t="s">
        <v>11848</v>
      </c>
      <c r="J4086" s="5" t="s">
        <v>11849</v>
      </c>
      <c r="K4086" s="7" t="str">
        <f ca="1">IFERROR(__xludf.DUMMYFUNCTION("GOOGLETRANSLATE(H4086,""EN"",""ES"")"),"LETREROS, LETREROS Y DISPOSITIVOS PUBLICITARIOS")</f>
        <v>LETREROS, LETREROS Y DISPOSITIVOS PUBLICITARIOS</v>
      </c>
      <c r="L4086" s="5" t="str">
        <f ca="1">IFERROR(__xludf.DUMMYFUNCTION("GOOGLETRANSLATE(J4086,""EN"",""ES"")"),"Placas de nacionalidad para vehículos.")</f>
        <v>Placas de nacionalidad para vehículos.</v>
      </c>
      <c r="M4086" s="8" t="s">
        <v>68</v>
      </c>
      <c r="N4086" s="8"/>
    </row>
    <row r="4087" spans="1:14" ht="11.25" customHeight="1">
      <c r="A4087" s="5" t="s">
        <v>11670</v>
      </c>
      <c r="B4087" s="5" t="s">
        <v>11810</v>
      </c>
      <c r="C4087" s="5" t="s">
        <v>11850</v>
      </c>
      <c r="D4087" s="5" t="s">
        <v>11673</v>
      </c>
      <c r="E4087" s="5" t="s">
        <v>69</v>
      </c>
      <c r="F4087" s="5" t="s">
        <v>11674</v>
      </c>
      <c r="G4087" s="5" t="s">
        <v>152</v>
      </c>
      <c r="H4087" s="5" t="s">
        <v>11812</v>
      </c>
      <c r="I4087" s="5" t="s">
        <v>11851</v>
      </c>
      <c r="J4087" s="5" t="s">
        <v>11852</v>
      </c>
      <c r="K4087" s="7" t="str">
        <f ca="1">IFERROR(__xludf.DUMMYFUNCTION("GOOGLETRANSLATE(H4087,""EN"",""ES"")"),"LETREROS, LETREROS Y DISPOSITIVOS PUBLICITARIOS")</f>
        <v>LETREROS, LETREROS Y DISPOSITIVOS PUBLICITARIOS</v>
      </c>
      <c r="L4087" s="5" t="str">
        <f ca="1">IFERROR(__xludf.DUMMYFUNCTION("GOOGLETRANSLATE(J4087,""EN"",""ES"")"),"Marcadores de juegos")</f>
        <v>Marcadores de juegos</v>
      </c>
      <c r="M4087" s="8" t="s">
        <v>68</v>
      </c>
      <c r="N4087" s="8"/>
    </row>
    <row r="4088" spans="1:14" ht="11.25" customHeight="1">
      <c r="A4088" s="5" t="s">
        <v>11670</v>
      </c>
      <c r="B4088" s="5" t="s">
        <v>11810</v>
      </c>
      <c r="C4088" s="5" t="s">
        <v>11853</v>
      </c>
      <c r="D4088" s="5" t="s">
        <v>11673</v>
      </c>
      <c r="E4088" s="5" t="s">
        <v>69</v>
      </c>
      <c r="F4088" s="5" t="s">
        <v>11674</v>
      </c>
      <c r="G4088" s="5" t="s">
        <v>152</v>
      </c>
      <c r="H4088" s="5" t="s">
        <v>11812</v>
      </c>
      <c r="I4088" s="5" t="s">
        <v>11854</v>
      </c>
      <c r="J4088" s="5" t="s">
        <v>11855</v>
      </c>
      <c r="K4088" s="7" t="str">
        <f ca="1">IFERROR(__xludf.DUMMYFUNCTION("GOOGLETRANSLATE(H4088,""EN"",""ES"")"),"LETREROS, LETREROS Y DISPOSITIVOS PUBLICITARIOS")</f>
        <v>LETREROS, LETREROS Y DISPOSITIVOS PUBLICITARIOS</v>
      </c>
      <c r="L4088" s="5" t="str">
        <f ca="1">IFERROR(__xludf.DUMMYFUNCTION("GOOGLETRANSLATE(J4088,""EN"",""ES"")"),"Pictografías")</f>
        <v>Pictografías</v>
      </c>
      <c r="M4088" s="8" t="s">
        <v>68</v>
      </c>
      <c r="N4088" s="8"/>
    </row>
    <row r="4089" spans="1:14" ht="11.25" customHeight="1">
      <c r="A4089" s="5" t="s">
        <v>11670</v>
      </c>
      <c r="B4089" s="5" t="s">
        <v>11810</v>
      </c>
      <c r="C4089" s="5" t="s">
        <v>11856</v>
      </c>
      <c r="D4089" s="5" t="s">
        <v>11673</v>
      </c>
      <c r="E4089" s="5" t="s">
        <v>69</v>
      </c>
      <c r="F4089" s="5" t="s">
        <v>11674</v>
      </c>
      <c r="G4089" s="5" t="s">
        <v>152</v>
      </c>
      <c r="H4089" s="5" t="s">
        <v>11812</v>
      </c>
      <c r="I4089" s="5" t="s">
        <v>11857</v>
      </c>
      <c r="J4089" s="5" t="s">
        <v>11858</v>
      </c>
      <c r="K4089" s="7" t="str">
        <f ca="1">IFERROR(__xludf.DUMMYFUNCTION("GOOGLETRANSLATE(H4089,""EN"",""ES"")"),"LETREROS, LETREROS Y DISPOSITIVOS PUBLICITARIOS")</f>
        <v>LETREROS, LETREROS Y DISPOSITIVOS PUBLICITARIOS</v>
      </c>
      <c r="L4089" s="5" t="str">
        <f ca="1">IFERROR(__xludf.DUMMYFUNCTION("GOOGLETRANSLATE(J4089,""EN"",""ES"")"),"Pilares publicitarios")</f>
        <v>Pilares publicitarios</v>
      </c>
      <c r="M4089" s="8" t="s">
        <v>68</v>
      </c>
      <c r="N4089" s="8"/>
    </row>
    <row r="4090" spans="1:14" ht="11.25" customHeight="1">
      <c r="A4090" s="5" t="s">
        <v>11670</v>
      </c>
      <c r="B4090" s="5" t="s">
        <v>11810</v>
      </c>
      <c r="C4090" s="5" t="s">
        <v>11859</v>
      </c>
      <c r="D4090" s="5" t="s">
        <v>11673</v>
      </c>
      <c r="E4090" s="5" t="s">
        <v>69</v>
      </c>
      <c r="F4090" s="5" t="s">
        <v>11674</v>
      </c>
      <c r="G4090" s="5" t="s">
        <v>152</v>
      </c>
      <c r="H4090" s="5" t="s">
        <v>11812</v>
      </c>
      <c r="I4090" s="5" t="s">
        <v>11860</v>
      </c>
      <c r="J4090" s="5" t="s">
        <v>11861</v>
      </c>
      <c r="K4090" s="7" t="str">
        <f ca="1">IFERROR(__xludf.DUMMYFUNCTION("GOOGLETRANSLATE(H4090,""EN"",""ES"")"),"LETREROS, LETREROS Y DISPOSITIVOS PUBLICITARIOS")</f>
        <v>LETREROS, LETREROS Y DISPOSITIVOS PUBLICITARIOS</v>
      </c>
      <c r="L4090" s="5" t="str">
        <f ca="1">IFERROR(__xludf.DUMMYFUNCTION("GOOGLETRANSLATE(J4090,""EN"",""ES"")"),"Letreros para vehículos")</f>
        <v>Letreros para vehículos</v>
      </c>
      <c r="M4090" s="8" t="s">
        <v>68</v>
      </c>
      <c r="N4090" s="8"/>
    </row>
    <row r="4091" spans="1:14" ht="11.25" customHeight="1">
      <c r="A4091" s="5" t="s">
        <v>11670</v>
      </c>
      <c r="B4091" s="5" t="s">
        <v>11810</v>
      </c>
      <c r="C4091" s="5" t="s">
        <v>11862</v>
      </c>
      <c r="D4091" s="5" t="s">
        <v>11673</v>
      </c>
      <c r="E4091" s="5" t="s">
        <v>69</v>
      </c>
      <c r="F4091" s="5" t="s">
        <v>11674</v>
      </c>
      <c r="G4091" s="5" t="s">
        <v>152</v>
      </c>
      <c r="H4091" s="5" t="s">
        <v>11812</v>
      </c>
      <c r="I4091" s="5" t="s">
        <v>11863</v>
      </c>
      <c r="J4091" s="5" t="s">
        <v>11864</v>
      </c>
      <c r="K4091" s="7" t="str">
        <f ca="1">IFERROR(__xludf.DUMMYFUNCTION("GOOGLETRANSLATE(H4091,""EN"",""ES"")"),"LETREROS, LETREROS Y DISPOSITIVOS PUBLICITARIOS")</f>
        <v>LETREROS, LETREROS Y DISPOSITIVOS PUBLICITARIOS</v>
      </c>
      <c r="L4091" s="5" t="str">
        <f ca="1">IFERROR(__xludf.DUMMYFUNCTION("GOOGLETRANSLATE(J4091,""EN"",""ES"")"),"Pantallas de vídeo [tablones de anuncios electrónicos]")</f>
        <v>Pantallas de vídeo [tablones de anuncios electrónicos]</v>
      </c>
      <c r="M4091" s="8" t="s">
        <v>68</v>
      </c>
      <c r="N4091" s="8"/>
    </row>
    <row r="4092" spans="1:14" ht="11.25" customHeight="1">
      <c r="A4092" s="5" t="s">
        <v>11670</v>
      </c>
      <c r="B4092" s="5" t="s">
        <v>11810</v>
      </c>
      <c r="C4092" s="5" t="s">
        <v>11865</v>
      </c>
      <c r="D4092" s="5" t="s">
        <v>11673</v>
      </c>
      <c r="E4092" s="5" t="s">
        <v>69</v>
      </c>
      <c r="F4092" s="5" t="s">
        <v>11674</v>
      </c>
      <c r="G4092" s="5" t="s">
        <v>152</v>
      </c>
      <c r="H4092" s="5" t="s">
        <v>11812</v>
      </c>
      <c r="I4092" s="5" t="s">
        <v>11866</v>
      </c>
      <c r="J4092" s="5" t="s">
        <v>11867</v>
      </c>
      <c r="K4092" s="7" t="str">
        <f ca="1">IFERROR(__xludf.DUMMYFUNCTION("GOOGLETRANSLATE(H4092,""EN"",""ES"")"),"LETREROS, LETREROS Y DISPOSITIVOS PUBLICITARIOS")</f>
        <v>LETREROS, LETREROS Y DISPOSITIVOS PUBLICITARIOS</v>
      </c>
      <c r="L4092" s="5" t="str">
        <f ca="1">IFERROR(__xludf.DUMMYFUNCTION("GOOGLETRANSLATE(J4092,""EN"",""ES"")"),"Soportes para etiquetas publicitarias.")</f>
        <v>Soportes para etiquetas publicitarias.</v>
      </c>
      <c r="M4092" s="8" t="s">
        <v>68</v>
      </c>
      <c r="N4092" s="8"/>
    </row>
    <row r="4093" spans="1:14" ht="11.25" customHeight="1">
      <c r="A4093" s="5" t="s">
        <v>11670</v>
      </c>
      <c r="B4093" s="5" t="s">
        <v>11810</v>
      </c>
      <c r="C4093" s="5" t="s">
        <v>11868</v>
      </c>
      <c r="D4093" s="5" t="s">
        <v>11673</v>
      </c>
      <c r="E4093" s="5" t="s">
        <v>69</v>
      </c>
      <c r="F4093" s="5" t="s">
        <v>11674</v>
      </c>
      <c r="G4093" s="5" t="s">
        <v>152</v>
      </c>
      <c r="H4093" s="5" t="s">
        <v>11812</v>
      </c>
      <c r="I4093" s="5" t="s">
        <v>11869</v>
      </c>
      <c r="J4093" s="5" t="s">
        <v>11870</v>
      </c>
      <c r="K4093" s="7" t="str">
        <f ca="1">IFERROR(__xludf.DUMMYFUNCTION("GOOGLETRANSLATE(H4093,""EN"",""ES"")"),"LETREROS, LETREROS Y DISPOSITIVOS PUBLICITARIOS")</f>
        <v>LETREROS, LETREROS Y DISPOSITIVOS PUBLICITARIOS</v>
      </c>
      <c r="L4093" s="5" t="str">
        <f ca="1">IFERROR(__xludf.DUMMYFUNCTION("GOOGLETRANSLATE(J4093,""EN"",""ES"")"),"Letreros para taxis")</f>
        <v>Letreros para taxis</v>
      </c>
      <c r="M4093" s="8" t="s">
        <v>68</v>
      </c>
      <c r="N4093" s="8"/>
    </row>
    <row r="4094" spans="1:14" ht="11.25" customHeight="1">
      <c r="A4094" s="5" t="s">
        <v>11670</v>
      </c>
      <c r="B4094" s="5" t="s">
        <v>11810</v>
      </c>
      <c r="C4094" s="5" t="s">
        <v>11871</v>
      </c>
      <c r="D4094" s="5" t="s">
        <v>11673</v>
      </c>
      <c r="E4094" s="5" t="s">
        <v>69</v>
      </c>
      <c r="F4094" s="5" t="s">
        <v>11674</v>
      </c>
      <c r="G4094" s="5" t="s">
        <v>152</v>
      </c>
      <c r="H4094" s="5" t="s">
        <v>11812</v>
      </c>
      <c r="I4094" s="5" t="s">
        <v>11872</v>
      </c>
      <c r="J4094" s="5" t="s">
        <v>11873</v>
      </c>
      <c r="K4094" s="7" t="str">
        <f ca="1">IFERROR(__xludf.DUMMYFUNCTION("GOOGLETRANSLATE(H4094,""EN"",""ES"")"),"LETREROS, LETREROS Y DISPOSITIVOS PUBLICITARIOS")</f>
        <v>LETREROS, LETREROS Y DISPOSITIVOS PUBLICITARIOS</v>
      </c>
      <c r="L4094" s="5" t="str">
        <f ca="1">IFERROR(__xludf.DUMMYFUNCTION("GOOGLETRANSLATE(J4094,""EN"",""ES"")"),"Señales, indicadores y dispositivos holográficos.")</f>
        <v>Señales, indicadores y dispositivos holográficos.</v>
      </c>
      <c r="M4094" s="8" t="s">
        <v>68</v>
      </c>
      <c r="N4094" s="8"/>
    </row>
    <row r="4095" spans="1:14" ht="11.25" customHeight="1">
      <c r="A4095" s="5" t="s">
        <v>11670</v>
      </c>
      <c r="B4095" s="5" t="s">
        <v>11810</v>
      </c>
      <c r="C4095" s="5" t="s">
        <v>11874</v>
      </c>
      <c r="D4095" s="5" t="s">
        <v>11673</v>
      </c>
      <c r="E4095" s="5" t="s">
        <v>69</v>
      </c>
      <c r="F4095" s="5" t="s">
        <v>11674</v>
      </c>
      <c r="G4095" s="5" t="s">
        <v>152</v>
      </c>
      <c r="H4095" s="5" t="s">
        <v>11812</v>
      </c>
      <c r="I4095" s="5" t="s">
        <v>11875</v>
      </c>
      <c r="J4095" s="5" t="s">
        <v>11876</v>
      </c>
      <c r="K4095" s="7" t="str">
        <f ca="1">IFERROR(__xludf.DUMMYFUNCTION("GOOGLETRANSLATE(H4095,""EN"",""ES"")"),"LETREROS, LETREROS Y DISPOSITIVOS PUBLICITARIOS")</f>
        <v>LETREROS, LETREROS Y DISPOSITIVOS PUBLICITARIOS</v>
      </c>
      <c r="L4095" s="5" t="str">
        <f ca="1">IFERROR(__xludf.DUMMYFUNCTION("GOOGLETRANSLATE(J4095,""EN"",""ES"")"),"Etiquetas de plantas")</f>
        <v>Etiquetas de plantas</v>
      </c>
      <c r="M4095" s="8" t="s">
        <v>68</v>
      </c>
      <c r="N4095" s="8"/>
    </row>
    <row r="4096" spans="1:14" ht="11.25" customHeight="1">
      <c r="A4096" s="5" t="s">
        <v>11670</v>
      </c>
      <c r="B4096" s="5" t="s">
        <v>11810</v>
      </c>
      <c r="C4096" s="5" t="s">
        <v>11877</v>
      </c>
      <c r="D4096" s="5" t="s">
        <v>11673</v>
      </c>
      <c r="E4096" s="5" t="s">
        <v>69</v>
      </c>
      <c r="F4096" s="5" t="s">
        <v>11674</v>
      </c>
      <c r="G4096" s="5" t="s">
        <v>152</v>
      </c>
      <c r="H4096" s="5" t="s">
        <v>11812</v>
      </c>
      <c r="I4096" s="5" t="s">
        <v>11878</v>
      </c>
      <c r="J4096" s="5" t="s">
        <v>11879</v>
      </c>
      <c r="K4096" s="7" t="str">
        <f ca="1">IFERROR(__xludf.DUMMYFUNCTION("GOOGLETRANSLATE(H4096,""EN"",""ES"")"),"LETREROS, LETREROS Y DISPOSITIVOS PUBLICITARIOS")</f>
        <v>LETREROS, LETREROS Y DISPOSITIVOS PUBLICITARIOS</v>
      </c>
      <c r="L4096" s="5" t="str">
        <f ca="1">IFERROR(__xludf.DUMMYFUNCTION("GOOGLETRANSLATE(J4096,""EN"",""ES"")"),"letreros de tiendas")</f>
        <v>letreros de tiendas</v>
      </c>
      <c r="M4096" s="8" t="s">
        <v>68</v>
      </c>
      <c r="N4096" s="8"/>
    </row>
    <row r="4097" spans="1:14" ht="11.25" customHeight="1">
      <c r="A4097" s="5" t="s">
        <v>11670</v>
      </c>
      <c r="B4097" s="5" t="s">
        <v>11810</v>
      </c>
      <c r="C4097" s="5" t="s">
        <v>11880</v>
      </c>
      <c r="D4097" s="5" t="s">
        <v>11673</v>
      </c>
      <c r="E4097" s="5" t="s">
        <v>69</v>
      </c>
      <c r="F4097" s="5" t="s">
        <v>11674</v>
      </c>
      <c r="G4097" s="5" t="s">
        <v>152</v>
      </c>
      <c r="H4097" s="5" t="s">
        <v>11812</v>
      </c>
      <c r="I4097" s="5" t="s">
        <v>11881</v>
      </c>
      <c r="J4097" s="5" t="s">
        <v>11882</v>
      </c>
      <c r="K4097" s="7" t="str">
        <f ca="1">IFERROR(__xludf.DUMMYFUNCTION("GOOGLETRANSLATE(H4097,""EN"",""ES"")"),"LETREROS, LETREROS Y DISPOSITIVOS PUBLICITARIOS")</f>
        <v>LETREROS, LETREROS Y DISPOSITIVOS PUBLICITARIOS</v>
      </c>
      <c r="L4097" s="5" t="str">
        <f ca="1">IFERROR(__xludf.DUMMYFUNCTION("GOOGLETRANSLATE(J4097,""EN"",""ES"")"),"Divisores de caja")</f>
        <v>Divisores de caja</v>
      </c>
      <c r="M4097" s="8" t="s">
        <v>68</v>
      </c>
      <c r="N4097" s="8"/>
    </row>
    <row r="4098" spans="1:14" ht="11.25" customHeight="1">
      <c r="A4098" s="5" t="s">
        <v>11670</v>
      </c>
      <c r="B4098" s="5" t="s">
        <v>11810</v>
      </c>
      <c r="C4098" s="5" t="s">
        <v>11883</v>
      </c>
      <c r="D4098" s="5" t="s">
        <v>11673</v>
      </c>
      <c r="E4098" s="5" t="s">
        <v>69</v>
      </c>
      <c r="F4098" s="5" t="s">
        <v>11674</v>
      </c>
      <c r="G4098" s="5" t="s">
        <v>152</v>
      </c>
      <c r="H4098" s="5" t="s">
        <v>11812</v>
      </c>
      <c r="I4098" s="5" t="s">
        <v>11884</v>
      </c>
      <c r="J4098" s="5" t="s">
        <v>11885</v>
      </c>
      <c r="K4098" s="7" t="str">
        <f ca="1">IFERROR(__xludf.DUMMYFUNCTION("GOOGLETRANSLATE(H4098,""EN"",""ES"")"),"LETREROS, LETREROS Y DISPOSITIVOS PUBLICITARIOS")</f>
        <v>LETREROS, LETREROS Y DISPOSITIVOS PUBLICITARIOS</v>
      </c>
      <c r="L4098" s="5" t="str">
        <f ca="1">IFERROR(__xludf.DUMMYFUNCTION("GOOGLETRANSLATE(J4098,""EN"",""ES"")"),"Señales digitales")</f>
        <v>Señales digitales</v>
      </c>
      <c r="M4098" s="8" t="s">
        <v>68</v>
      </c>
      <c r="N4098" s="8"/>
    </row>
    <row r="4099" spans="1:14" ht="11.25" customHeight="1">
      <c r="A4099" s="5" t="s">
        <v>11670</v>
      </c>
      <c r="B4099" s="5" t="s">
        <v>11810</v>
      </c>
      <c r="C4099" s="5" t="s">
        <v>11886</v>
      </c>
      <c r="D4099" s="5" t="s">
        <v>11673</v>
      </c>
      <c r="E4099" s="5" t="s">
        <v>69</v>
      </c>
      <c r="F4099" s="5" t="s">
        <v>11674</v>
      </c>
      <c r="G4099" s="5" t="s">
        <v>152</v>
      </c>
      <c r="H4099" s="5" t="s">
        <v>11812</v>
      </c>
      <c r="I4099" s="5" t="s">
        <v>11887</v>
      </c>
      <c r="J4099" s="5" t="s">
        <v>11888</v>
      </c>
      <c r="K4099" s="7" t="str">
        <f ca="1">IFERROR(__xludf.DUMMYFUNCTION("GOOGLETRANSLATE(H4099,""EN"",""ES"")"),"LETREROS, LETREROS Y DISPOSITIVOS PUBLICITARIOS")</f>
        <v>LETREROS, LETREROS Y DISPOSITIVOS PUBLICITARIOS</v>
      </c>
      <c r="L4099" s="5" t="str">
        <f ca="1">IFERROR(__xludf.DUMMYFUNCTION("GOOGLETRANSLATE(J4099,""EN"",""ES"")"),"Señales de puerta")</f>
        <v>Señales de puerta</v>
      </c>
      <c r="M4099" s="8" t="s">
        <v>68</v>
      </c>
      <c r="N4099" s="8"/>
    </row>
    <row r="4100" spans="1:14" ht="11.25" customHeight="1">
      <c r="A4100" s="5" t="s">
        <v>11670</v>
      </c>
      <c r="B4100" s="5" t="s">
        <v>11810</v>
      </c>
      <c r="C4100" s="5" t="s">
        <v>11889</v>
      </c>
      <c r="D4100" s="5" t="s">
        <v>11673</v>
      </c>
      <c r="E4100" s="5" t="s">
        <v>69</v>
      </c>
      <c r="F4100" s="5" t="s">
        <v>11674</v>
      </c>
      <c r="G4100" s="5" t="s">
        <v>152</v>
      </c>
      <c r="H4100" s="5" t="s">
        <v>11812</v>
      </c>
      <c r="I4100" s="5" t="s">
        <v>11890</v>
      </c>
      <c r="J4100" s="5" t="s">
        <v>11891</v>
      </c>
      <c r="K4100" s="7" t="str">
        <f ca="1">IFERROR(__xludf.DUMMYFUNCTION("GOOGLETRANSLATE(H4100,""EN"",""ES"")"),"LETREROS, LETREROS Y DISPOSITIVOS PUBLICITARIOS")</f>
        <v>LETREROS, LETREROS Y DISPOSITIVOS PUBLICITARIOS</v>
      </c>
      <c r="L4100" s="5" t="str">
        <f ca="1">IFERROR(__xludf.DUMMYFUNCTION("GOOGLETRANSLATE(J4100,""EN"",""ES"")"),"Señales electrónicas para puertas")</f>
        <v>Señales electrónicas para puertas</v>
      </c>
      <c r="M4100" s="8" t="s">
        <v>68</v>
      </c>
      <c r="N4100" s="8"/>
    </row>
    <row r="4101" spans="1:14" ht="11.25" customHeight="1">
      <c r="A4101" s="5" t="s">
        <v>11670</v>
      </c>
      <c r="B4101" s="5" t="s">
        <v>11810</v>
      </c>
      <c r="C4101" s="5" t="s">
        <v>11892</v>
      </c>
      <c r="D4101" s="5" t="s">
        <v>11673</v>
      </c>
      <c r="E4101" s="5" t="s">
        <v>69</v>
      </c>
      <c r="F4101" s="5" t="s">
        <v>11674</v>
      </c>
      <c r="G4101" s="5" t="s">
        <v>152</v>
      </c>
      <c r="H4101" s="5" t="s">
        <v>11812</v>
      </c>
      <c r="I4101" s="5" t="s">
        <v>11893</v>
      </c>
      <c r="J4101" s="5" t="s">
        <v>11894</v>
      </c>
      <c r="K4101" s="7" t="str">
        <f ca="1">IFERROR(__xludf.DUMMYFUNCTION("GOOGLETRANSLATE(H4101,""EN"",""ES"")"),"LETREROS, LETREROS Y DISPOSITIVOS PUBLICITARIOS")</f>
        <v>LETREROS, LETREROS Y DISPOSITIVOS PUBLICITARIOS</v>
      </c>
      <c r="L4101" s="5" t="str">
        <f ca="1">IFERROR(__xludf.DUMMYFUNCTION("GOOGLETRANSLATE(J4101,""EN"",""ES"")"),"Marcos para matrículas de vehículos.")</f>
        <v>Marcos para matrículas de vehículos.</v>
      </c>
      <c r="M4101" s="8" t="s">
        <v>68</v>
      </c>
      <c r="N4101" s="8"/>
    </row>
    <row r="4102" spans="1:14" ht="11.25" customHeight="1">
      <c r="A4102" s="5" t="s">
        <v>11670</v>
      </c>
      <c r="B4102" s="5" t="s">
        <v>11810</v>
      </c>
      <c r="C4102" s="5" t="s">
        <v>11892</v>
      </c>
      <c r="D4102" s="5" t="s">
        <v>11673</v>
      </c>
      <c r="E4102" s="5" t="s">
        <v>69</v>
      </c>
      <c r="F4102" s="5" t="s">
        <v>11674</v>
      </c>
      <c r="G4102" s="5" t="s">
        <v>152</v>
      </c>
      <c r="H4102" s="5" t="s">
        <v>11812</v>
      </c>
      <c r="I4102" s="5" t="s">
        <v>11895</v>
      </c>
      <c r="J4102" s="5" t="s">
        <v>152</v>
      </c>
      <c r="K4102" s="7" t="str">
        <f ca="1">IFERROR(__xludf.DUMMYFUNCTION("GOOGLETRANSLATE(H4102,""EN"",""ES"")"),"LETREROS, LETREROS Y DISPOSITIVOS PUBLICITARIOS")</f>
        <v>LETREROS, LETREROS Y DISPOSITIVOS PUBLICITARIOS</v>
      </c>
      <c r="L4102" s="5" t="str">
        <f ca="1">IFERROR(__xludf.DUMMYFUNCTION("GOOGLETRANSLATE(J4102,""EN"",""ES"")"),"Marcos para matrículas de vehículos.")</f>
        <v>Marcos para matrículas de vehículos.</v>
      </c>
      <c r="M4102" s="8" t="s">
        <v>68</v>
      </c>
      <c r="N4102" s="8"/>
    </row>
    <row r="4103" spans="1:14" ht="11.25" customHeight="1">
      <c r="A4103" s="5" t="s">
        <v>11670</v>
      </c>
      <c r="B4103" s="5" t="s">
        <v>11896</v>
      </c>
      <c r="C4103" s="5" t="s">
        <v>11897</v>
      </c>
      <c r="D4103" s="5" t="s">
        <v>11673</v>
      </c>
      <c r="E4103" s="5" t="s">
        <v>69</v>
      </c>
      <c r="F4103" s="5" t="s">
        <v>11674</v>
      </c>
      <c r="G4103" s="5" t="s">
        <v>152</v>
      </c>
      <c r="H4103" s="5" t="s">
        <v>330</v>
      </c>
      <c r="I4103" s="5" t="s">
        <v>11898</v>
      </c>
      <c r="J4103" s="5" t="s">
        <v>11899</v>
      </c>
      <c r="K4103" s="7" t="str">
        <f ca="1">IFERROR(__xludf.DUMMYFUNCTION("GOOGLETRANSLATE(H4103,""EN"",""ES"")"),"MISCELÁNEAS")</f>
        <v>MISCELÁNEAS</v>
      </c>
      <c r="L4103" s="5" t="str">
        <f ca="1">IFERROR(__xludf.DUMMYFUNCTION("GOOGLETRANSLATE(J4103,""EN"",""ES"")"),"Mascotas")</f>
        <v>Mascotas</v>
      </c>
      <c r="M4103" s="8" t="s">
        <v>68</v>
      </c>
      <c r="N4103" s="8"/>
    </row>
    <row r="4104" spans="1:14" ht="11.25" customHeight="1">
      <c r="A4104" s="5" t="s">
        <v>11900</v>
      </c>
      <c r="B4104" s="5" t="s">
        <v>11901</v>
      </c>
      <c r="C4104" s="5" t="s">
        <v>11902</v>
      </c>
      <c r="D4104" s="5" t="s">
        <v>11903</v>
      </c>
      <c r="E4104" s="5" t="s">
        <v>67</v>
      </c>
      <c r="F4104" s="5" t="s">
        <v>11904</v>
      </c>
      <c r="G4104" s="5" t="s">
        <v>152</v>
      </c>
      <c r="H4104" s="5" t="s">
        <v>11905</v>
      </c>
      <c r="I4104" s="5" t="s">
        <v>11906</v>
      </c>
      <c r="J4104" s="5" t="s">
        <v>11907</v>
      </c>
      <c r="K4104" s="7" t="str">
        <f ca="1">IFERROR(__xludf.DUMMYFUNCTION("GOOGLETRANSLATE(H4104,""EN"",""ES"")"),"JUEGOS Y JUGUETES")</f>
        <v>JUEGOS Y JUGUETES</v>
      </c>
      <c r="L4104" s="5" t="str">
        <f ca="1">IFERROR(__xludf.DUMMYFUNCTION("GOOGLETRANSLATE(J4104,""EN"",""ES"")"),"globos para niños")</f>
        <v>globos para niños</v>
      </c>
      <c r="M4104" s="8" t="s">
        <v>73</v>
      </c>
      <c r="N4104" s="8"/>
    </row>
    <row r="4105" spans="1:14" ht="11.25" customHeight="1">
      <c r="A4105" s="5" t="s">
        <v>11900</v>
      </c>
      <c r="B4105" s="5" t="s">
        <v>11901</v>
      </c>
      <c r="C4105" s="5" t="s">
        <v>11908</v>
      </c>
      <c r="D4105" s="5" t="s">
        <v>11903</v>
      </c>
      <c r="E4105" s="5" t="s">
        <v>67</v>
      </c>
      <c r="F4105" s="5" t="s">
        <v>11904</v>
      </c>
      <c r="G4105" s="5" t="s">
        <v>152</v>
      </c>
      <c r="H4105" s="5" t="s">
        <v>11905</v>
      </c>
      <c r="I4105" s="5" t="s">
        <v>11909</v>
      </c>
      <c r="J4105" s="5" t="s">
        <v>11910</v>
      </c>
      <c r="K4105" s="7" t="str">
        <f ca="1">IFERROR(__xludf.DUMMYFUNCTION("GOOGLETRANSLATE(H4105,""EN"",""ES"")"),"JUEGOS Y JUGUETES")</f>
        <v>JUEGOS Y JUGUETES</v>
      </c>
      <c r="L4105" s="5" t="str">
        <f ca="1">IFERROR(__xludf.DUMMYFUNCTION("GOOGLETRANSLATE(J4105,""EN"",""ES"")"),"jugando a las cartas")</f>
        <v>jugando a las cartas</v>
      </c>
      <c r="M4105" s="8" t="s">
        <v>73</v>
      </c>
      <c r="N4105" s="8"/>
    </row>
    <row r="4106" spans="1:14" ht="11.25" customHeight="1">
      <c r="A4106" s="5" t="s">
        <v>11900</v>
      </c>
      <c r="B4106" s="5" t="s">
        <v>11901</v>
      </c>
      <c r="C4106" s="5" t="s">
        <v>11911</v>
      </c>
      <c r="D4106" s="5" t="s">
        <v>11903</v>
      </c>
      <c r="E4106" s="5" t="s">
        <v>67</v>
      </c>
      <c r="F4106" s="5" t="s">
        <v>11904</v>
      </c>
      <c r="G4106" s="5" t="s">
        <v>152</v>
      </c>
      <c r="H4106" s="5" t="s">
        <v>11905</v>
      </c>
      <c r="I4106" s="5" t="s">
        <v>11912</v>
      </c>
      <c r="J4106" s="5" t="s">
        <v>11913</v>
      </c>
      <c r="K4106" s="7" t="str">
        <f ca="1">IFERROR(__xludf.DUMMYFUNCTION("GOOGLETRANSLATE(H4106,""EN"",""ES"")"),"JUEGOS Y JUGUETES")</f>
        <v>JUEGOS Y JUGUETES</v>
      </c>
      <c r="L4106" s="5" t="str">
        <f ca="1">IFERROR(__xludf.DUMMYFUNCTION("GOOGLETRANSLATE(J4106,""EN"",""ES"")"),"Aros [juguetes]")</f>
        <v>Aros [juguetes]</v>
      </c>
      <c r="M4106" s="8" t="s">
        <v>73</v>
      </c>
      <c r="N4106" s="8"/>
    </row>
    <row r="4107" spans="1:14" ht="11.25" customHeight="1">
      <c r="A4107" s="5" t="s">
        <v>11900</v>
      </c>
      <c r="B4107" s="5" t="s">
        <v>11901</v>
      </c>
      <c r="C4107" s="5" t="s">
        <v>11914</v>
      </c>
      <c r="D4107" s="5" t="s">
        <v>11903</v>
      </c>
      <c r="E4107" s="5" t="s">
        <v>67</v>
      </c>
      <c r="F4107" s="5" t="s">
        <v>11904</v>
      </c>
      <c r="G4107" s="5" t="s">
        <v>152</v>
      </c>
      <c r="H4107" s="5" t="s">
        <v>11905</v>
      </c>
      <c r="I4107" s="5" t="s">
        <v>11915</v>
      </c>
      <c r="J4107" s="5" t="s">
        <v>11916</v>
      </c>
      <c r="K4107" s="7" t="str">
        <f ca="1">IFERROR(__xludf.DUMMYFUNCTION("GOOGLETRANSLATE(H4107,""EN"",""ES"")"),"JUEGOS Y JUGUETES")</f>
        <v>JUEGOS Y JUGUETES</v>
      </c>
      <c r="L4107" s="5" t="str">
        <f ca="1">IFERROR(__xludf.DUMMYFUNCTION("GOOGLETRANSLATE(J4107,""EN"",""ES"")"),"Cometas [juguetes]")</f>
        <v>Cometas [juguetes]</v>
      </c>
      <c r="M4107" s="8" t="s">
        <v>73</v>
      </c>
      <c r="N4107" s="8"/>
    </row>
    <row r="4108" spans="1:14" ht="11.25" customHeight="1">
      <c r="A4108" s="5" t="s">
        <v>11900</v>
      </c>
      <c r="B4108" s="5" t="s">
        <v>11901</v>
      </c>
      <c r="C4108" s="5" t="s">
        <v>11917</v>
      </c>
      <c r="D4108" s="5" t="s">
        <v>11903</v>
      </c>
      <c r="E4108" s="5" t="s">
        <v>67</v>
      </c>
      <c r="F4108" s="5" t="s">
        <v>11904</v>
      </c>
      <c r="G4108" s="5" t="s">
        <v>152</v>
      </c>
      <c r="H4108" s="5" t="s">
        <v>11905</v>
      </c>
      <c r="I4108" s="5" t="s">
        <v>11918</v>
      </c>
      <c r="J4108" s="5" t="s">
        <v>11919</v>
      </c>
      <c r="K4108" s="7" t="str">
        <f ca="1">IFERROR(__xludf.DUMMYFUNCTION("GOOGLETRANSLATE(H4108,""EN"",""ES"")"),"JUEGOS Y JUGUETES")</f>
        <v>JUEGOS Y JUGUETES</v>
      </c>
      <c r="L4108" s="5" t="str">
        <f ca="1">IFERROR(__xludf.DUMMYFUNCTION("GOOGLETRANSLATE(J4108,""EN"",""ES"")"),"caballitos de madera")</f>
        <v>caballitos de madera</v>
      </c>
      <c r="M4108" s="8" t="s">
        <v>73</v>
      </c>
      <c r="N4108" s="8"/>
    </row>
    <row r="4109" spans="1:14" ht="11.25" customHeight="1">
      <c r="A4109" s="5" t="s">
        <v>11900</v>
      </c>
      <c r="B4109" s="5" t="s">
        <v>11901</v>
      </c>
      <c r="C4109" s="5" t="s">
        <v>11920</v>
      </c>
      <c r="D4109" s="5" t="s">
        <v>11903</v>
      </c>
      <c r="E4109" s="5" t="s">
        <v>67</v>
      </c>
      <c r="F4109" s="5" t="s">
        <v>11904</v>
      </c>
      <c r="G4109" s="5" t="s">
        <v>152</v>
      </c>
      <c r="H4109" s="5" t="s">
        <v>11905</v>
      </c>
      <c r="I4109" s="5" t="s">
        <v>11921</v>
      </c>
      <c r="J4109" s="5" t="s">
        <v>11922</v>
      </c>
      <c r="K4109" s="7" t="str">
        <f ca="1">IFERROR(__xludf.DUMMYFUNCTION("GOOGLETRANSLATE(H4109,""EN"",""ES"")"),"JUEGOS Y JUGUETES")</f>
        <v>JUEGOS Y JUGUETES</v>
      </c>
      <c r="L4109" s="5" t="str">
        <f ca="1">IFERROR(__xludf.DUMMYFUNCTION("GOOGLETRANSLATE(J4109,""EN"",""ES"")"),"Caballos de madera [juguetes]")</f>
        <v>Caballos de madera [juguetes]</v>
      </c>
      <c r="M4109" s="8" t="s">
        <v>73</v>
      </c>
      <c r="N4109" s="8"/>
    </row>
    <row r="4110" spans="1:14" ht="11.25" customHeight="1">
      <c r="A4110" s="5" t="s">
        <v>11900</v>
      </c>
      <c r="B4110" s="5" t="s">
        <v>11901</v>
      </c>
      <c r="C4110" s="5" t="s">
        <v>11923</v>
      </c>
      <c r="D4110" s="5" t="s">
        <v>11903</v>
      </c>
      <c r="E4110" s="5" t="s">
        <v>67</v>
      </c>
      <c r="F4110" s="5" t="s">
        <v>11904</v>
      </c>
      <c r="G4110" s="5" t="s">
        <v>152</v>
      </c>
      <c r="H4110" s="5" t="s">
        <v>11905</v>
      </c>
      <c r="I4110" s="5" t="s">
        <v>11924</v>
      </c>
      <c r="J4110" s="5" t="s">
        <v>11925</v>
      </c>
      <c r="K4110" s="7" t="str">
        <f ca="1">IFERROR(__xludf.DUMMYFUNCTION("GOOGLETRANSLATE(H4110,""EN"",""ES"")"),"JUEGOS Y JUGUETES")</f>
        <v>JUEGOS Y JUGUETES</v>
      </c>
      <c r="L4110" s="5" t="str">
        <f ca="1">IFERROR(__xludf.DUMMYFUNCTION("GOOGLETRANSLATE(J4110,""EN"",""ES"")"),"Pistas para coches de carreras [juguetes]")</f>
        <v>Pistas para coches de carreras [juguetes]</v>
      </c>
      <c r="M4110" s="8" t="s">
        <v>73</v>
      </c>
      <c r="N4110" s="8"/>
    </row>
    <row r="4111" spans="1:14" ht="11.25" customHeight="1">
      <c r="A4111" s="5" t="s">
        <v>11900</v>
      </c>
      <c r="B4111" s="5" t="s">
        <v>11901</v>
      </c>
      <c r="C4111" s="5" t="s">
        <v>11926</v>
      </c>
      <c r="D4111" s="5" t="s">
        <v>11903</v>
      </c>
      <c r="E4111" s="5" t="s">
        <v>67</v>
      </c>
      <c r="F4111" s="5" t="s">
        <v>11904</v>
      </c>
      <c r="G4111" s="5" t="s">
        <v>152</v>
      </c>
      <c r="H4111" s="5" t="s">
        <v>11905</v>
      </c>
      <c r="I4111" s="5" t="s">
        <v>11927</v>
      </c>
      <c r="J4111" s="5" t="s">
        <v>11928</v>
      </c>
      <c r="K4111" s="7" t="str">
        <f ca="1">IFERROR(__xludf.DUMMYFUNCTION("GOOGLETRANSLATE(H4111,""EN"",""ES"")"),"JUEGOS Y JUGUETES")</f>
        <v>JUEGOS Y JUGUETES</v>
      </c>
      <c r="L4111" s="5" t="str">
        <f ca="1">IFERROR(__xludf.DUMMYFUNCTION("GOOGLETRANSLATE(J4111,""EN"",""ES"")"),"Juegos de construcción para niños.")</f>
        <v>Juegos de construcción para niños.</v>
      </c>
      <c r="M4111" s="8" t="s">
        <v>73</v>
      </c>
      <c r="N4111" s="8"/>
    </row>
    <row r="4112" spans="1:14" ht="11.25" customHeight="1">
      <c r="A4112" s="5" t="s">
        <v>11900</v>
      </c>
      <c r="B4112" s="5" t="s">
        <v>11901</v>
      </c>
      <c r="C4112" s="5" t="s">
        <v>11929</v>
      </c>
      <c r="D4112" s="5" t="s">
        <v>11903</v>
      </c>
      <c r="E4112" s="5" t="s">
        <v>67</v>
      </c>
      <c r="F4112" s="5" t="s">
        <v>11904</v>
      </c>
      <c r="G4112" s="5" t="s">
        <v>152</v>
      </c>
      <c r="H4112" s="5" t="s">
        <v>11905</v>
      </c>
      <c r="I4112" s="5" t="s">
        <v>11930</v>
      </c>
      <c r="J4112" s="5" t="s">
        <v>11931</v>
      </c>
      <c r="K4112" s="7" t="str">
        <f ca="1">IFERROR(__xludf.DUMMYFUNCTION("GOOGLETRANSLATE(H4112,""EN"",""ES"")"),"JUEGOS Y JUGUETES")</f>
        <v>JUEGOS Y JUGUETES</v>
      </c>
      <c r="L4112" s="5" t="str">
        <f ca="1">IFERROR(__xludf.DUMMYFUNCTION("GOOGLETRANSLATE(J4112,""EN"",""ES"")"),"saltar la cuerda")</f>
        <v>saltar la cuerda</v>
      </c>
      <c r="M4112" s="8" t="s">
        <v>73</v>
      </c>
      <c r="N4112" s="8"/>
    </row>
    <row r="4113" spans="1:14" ht="11.25" customHeight="1">
      <c r="A4113" s="5" t="s">
        <v>11900</v>
      </c>
      <c r="B4113" s="5" t="s">
        <v>11901</v>
      </c>
      <c r="C4113" s="5" t="s">
        <v>11932</v>
      </c>
      <c r="D4113" s="5" t="s">
        <v>11903</v>
      </c>
      <c r="E4113" s="5" t="s">
        <v>67</v>
      </c>
      <c r="F4113" s="5" t="s">
        <v>11904</v>
      </c>
      <c r="G4113" s="5" t="s">
        <v>152</v>
      </c>
      <c r="H4113" s="5" t="s">
        <v>11905</v>
      </c>
      <c r="I4113" s="5" t="s">
        <v>11933</v>
      </c>
      <c r="J4113" s="5" t="s">
        <v>11934</v>
      </c>
      <c r="K4113" s="7" t="str">
        <f ca="1">IFERROR(__xludf.DUMMYFUNCTION("GOOGLETRANSLATE(H4113,""EN"",""ES"")"),"JUEGOS Y JUGUETES")</f>
        <v>JUEGOS Y JUGUETES</v>
      </c>
      <c r="L4113" s="5" t="str">
        <f ca="1">IFERROR(__xludf.DUMMYFUNCTION("GOOGLETRANSLATE(J4113,""EN"",""ES"")"),"tazas para dados")</f>
        <v>tazas para dados</v>
      </c>
      <c r="M4113" s="8" t="s">
        <v>73</v>
      </c>
      <c r="N4113" s="8"/>
    </row>
    <row r="4114" spans="1:14" ht="11.25" customHeight="1">
      <c r="A4114" s="5" t="s">
        <v>11900</v>
      </c>
      <c r="B4114" s="5" t="s">
        <v>11901</v>
      </c>
      <c r="C4114" s="5" t="s">
        <v>11935</v>
      </c>
      <c r="D4114" s="5" t="s">
        <v>11903</v>
      </c>
      <c r="E4114" s="5" t="s">
        <v>67</v>
      </c>
      <c r="F4114" s="5" t="s">
        <v>11904</v>
      </c>
      <c r="G4114" s="5" t="s">
        <v>152</v>
      </c>
      <c r="H4114" s="5" t="s">
        <v>11905</v>
      </c>
      <c r="I4114" s="5" t="s">
        <v>11936</v>
      </c>
      <c r="J4114" s="5" t="s">
        <v>11937</v>
      </c>
      <c r="K4114" s="7" t="str">
        <f ca="1">IFERROR(__xludf.DUMMYFUNCTION("GOOGLETRANSLATE(H4114,""EN"",""ES"")"),"JUEGOS Y JUGUETES")</f>
        <v>JUEGOS Y JUGUETES</v>
      </c>
      <c r="L4114" s="5" t="str">
        <f ca="1">IFERROR(__xludf.DUMMYFUNCTION("GOOGLETRANSLATE(J4114,""EN"",""ES"")"),"Damas [juegos]")</f>
        <v>Damas [juegos]</v>
      </c>
      <c r="M4114" s="8" t="s">
        <v>73</v>
      </c>
      <c r="N4114" s="8"/>
    </row>
    <row r="4115" spans="1:14" ht="11.25" customHeight="1">
      <c r="A4115" s="5" t="s">
        <v>11900</v>
      </c>
      <c r="B4115" s="5" t="s">
        <v>11901</v>
      </c>
      <c r="C4115" s="5" t="s">
        <v>11935</v>
      </c>
      <c r="D4115" s="5" t="s">
        <v>11903</v>
      </c>
      <c r="E4115" s="5" t="s">
        <v>67</v>
      </c>
      <c r="F4115" s="5" t="s">
        <v>11904</v>
      </c>
      <c r="G4115" s="5" t="s">
        <v>152</v>
      </c>
      <c r="H4115" s="5" t="s">
        <v>11905</v>
      </c>
      <c r="I4115" s="5" t="s">
        <v>11938</v>
      </c>
      <c r="J4115" s="5" t="s">
        <v>152</v>
      </c>
      <c r="K4115" s="7" t="str">
        <f ca="1">IFERROR(__xludf.DUMMYFUNCTION("GOOGLETRANSLATE(H4115,""EN"",""ES"")"),"JUEGOS Y JUGUETES")</f>
        <v>JUEGOS Y JUGUETES</v>
      </c>
      <c r="L4115" s="5" t="str">
        <f ca="1">IFERROR(__xludf.DUMMYFUNCTION("GOOGLETRANSLATE(J4115,""EN"",""ES"")"),"Damas [juegos]")</f>
        <v>Damas [juegos]</v>
      </c>
      <c r="M4115" s="8" t="s">
        <v>73</v>
      </c>
      <c r="N4115" s="8"/>
    </row>
    <row r="4116" spans="1:14" ht="11.25" customHeight="1">
      <c r="A4116" s="5" t="s">
        <v>11900</v>
      </c>
      <c r="B4116" s="5" t="s">
        <v>11901</v>
      </c>
      <c r="C4116" s="5" t="s">
        <v>11939</v>
      </c>
      <c r="D4116" s="5" t="s">
        <v>11903</v>
      </c>
      <c r="E4116" s="5" t="s">
        <v>67</v>
      </c>
      <c r="F4116" s="5" t="s">
        <v>11904</v>
      </c>
      <c r="G4116" s="5" t="s">
        <v>152</v>
      </c>
      <c r="H4116" s="5" t="s">
        <v>11905</v>
      </c>
      <c r="I4116" s="5" t="s">
        <v>11940</v>
      </c>
      <c r="J4116" s="5" t="s">
        <v>11941</v>
      </c>
      <c r="K4116" s="7" t="str">
        <f ca="1">IFERROR(__xludf.DUMMYFUNCTION("GOOGLETRANSLATE(H4116,""EN"",""ES"")"),"JUEGOS Y JUGUETES")</f>
        <v>JUEGOS Y JUGUETES</v>
      </c>
      <c r="L4116" s="5" t="str">
        <f ca="1">IFERROR(__xludf.DUMMYFUNCTION("GOOGLETRANSLATE(J4116,""EN"",""ES"")"),"dados para juegos")</f>
        <v>dados para juegos</v>
      </c>
      <c r="M4116" s="8" t="s">
        <v>73</v>
      </c>
      <c r="N4116" s="8"/>
    </row>
    <row r="4117" spans="1:14" ht="11.25" customHeight="1">
      <c r="A4117" s="5" t="s">
        <v>11900</v>
      </c>
      <c r="B4117" s="5" t="s">
        <v>11901</v>
      </c>
      <c r="C4117" s="5" t="s">
        <v>11942</v>
      </c>
      <c r="D4117" s="5" t="s">
        <v>11903</v>
      </c>
      <c r="E4117" s="5" t="s">
        <v>67</v>
      </c>
      <c r="F4117" s="5" t="s">
        <v>11904</v>
      </c>
      <c r="G4117" s="5" t="s">
        <v>152</v>
      </c>
      <c r="H4117" s="5" t="s">
        <v>11905</v>
      </c>
      <c r="I4117" s="5" t="s">
        <v>11943</v>
      </c>
      <c r="J4117" s="5" t="s">
        <v>11944</v>
      </c>
      <c r="K4117" s="7" t="str">
        <f ca="1">IFERROR(__xludf.DUMMYFUNCTION("GOOGLETRANSLATE(H4117,""EN"",""ES"")"),"JUEGOS Y JUGUETES")</f>
        <v>JUEGOS Y JUGUETES</v>
      </c>
      <c r="L4117" s="5" t="str">
        <f ca="1">IFERROR(__xludf.DUMMYFUNCTION("GOOGLETRANSLATE(J4117,""EN"",""ES"")"),"Diábolos [juguetes]")</f>
        <v>Diábolos [juguetes]</v>
      </c>
      <c r="M4117" s="8" t="s">
        <v>73</v>
      </c>
      <c r="N4117" s="8"/>
    </row>
    <row r="4118" spans="1:14" ht="11.25" customHeight="1">
      <c r="A4118" s="5" t="s">
        <v>11900</v>
      </c>
      <c r="B4118" s="5" t="s">
        <v>11901</v>
      </c>
      <c r="C4118" s="5" t="s">
        <v>11945</v>
      </c>
      <c r="D4118" s="5" t="s">
        <v>11903</v>
      </c>
      <c r="E4118" s="5" t="s">
        <v>67</v>
      </c>
      <c r="F4118" s="5" t="s">
        <v>11904</v>
      </c>
      <c r="G4118" s="5" t="s">
        <v>152</v>
      </c>
      <c r="H4118" s="5" t="s">
        <v>11905</v>
      </c>
      <c r="I4118" s="5" t="s">
        <v>11946</v>
      </c>
      <c r="J4118" s="5" t="s">
        <v>11947</v>
      </c>
      <c r="K4118" s="7" t="str">
        <f ca="1">IFERROR(__xludf.DUMMYFUNCTION("GOOGLETRANSLATE(H4118,""EN"",""ES"")"),"JUEGOS Y JUGUETES")</f>
        <v>JUEGOS Y JUGUETES</v>
      </c>
      <c r="L4118" s="5" t="str">
        <f ca="1">IFERROR(__xludf.DUMMYFUNCTION("GOOGLETRANSLATE(J4118,""EN"",""ES"")"),"Dominó [juegos]")</f>
        <v>Dominó [juegos]</v>
      </c>
      <c r="M4118" s="8" t="s">
        <v>73</v>
      </c>
      <c r="N4118" s="8"/>
    </row>
    <row r="4119" spans="1:14" ht="11.25" customHeight="1">
      <c r="A4119" s="5" t="s">
        <v>11900</v>
      </c>
      <c r="B4119" s="5" t="s">
        <v>11901</v>
      </c>
      <c r="C4119" s="5" t="s">
        <v>11948</v>
      </c>
      <c r="D4119" s="5" t="s">
        <v>11903</v>
      </c>
      <c r="E4119" s="5" t="s">
        <v>67</v>
      </c>
      <c r="F4119" s="5" t="s">
        <v>11904</v>
      </c>
      <c r="G4119" s="5" t="s">
        <v>152</v>
      </c>
      <c r="H4119" s="5" t="s">
        <v>11905</v>
      </c>
      <c r="I4119" s="5" t="s">
        <v>11949</v>
      </c>
      <c r="J4119" s="5" t="s">
        <v>11950</v>
      </c>
      <c r="K4119" s="7" t="str">
        <f ca="1">IFERROR(__xludf.DUMMYFUNCTION("GOOGLETRANSLATE(H4119,""EN"",""ES"")"),"JUEGOS Y JUGUETES")</f>
        <v>JUEGOS Y JUGUETES</v>
      </c>
      <c r="L4119" s="5" t="str">
        <f ca="1">IFERROR(__xludf.DUMMYFUNCTION("GOOGLETRANSLATE(J4119,""EN"",""ES"")"),"Zancos")</f>
        <v>Zancos</v>
      </c>
      <c r="M4119" s="8" t="s">
        <v>73</v>
      </c>
      <c r="N4119" s="8"/>
    </row>
    <row r="4120" spans="1:14" ht="11.25" customHeight="1">
      <c r="A4120" s="5" t="s">
        <v>11900</v>
      </c>
      <c r="B4120" s="5" t="s">
        <v>11901</v>
      </c>
      <c r="C4120" s="5" t="s">
        <v>11951</v>
      </c>
      <c r="D4120" s="5" t="s">
        <v>11903</v>
      </c>
      <c r="E4120" s="5" t="s">
        <v>67</v>
      </c>
      <c r="F4120" s="5" t="s">
        <v>11904</v>
      </c>
      <c r="G4120" s="5" t="s">
        <v>152</v>
      </c>
      <c r="H4120" s="5" t="s">
        <v>11905</v>
      </c>
      <c r="I4120" s="5" t="s">
        <v>11952</v>
      </c>
      <c r="J4120" s="5" t="s">
        <v>11953</v>
      </c>
      <c r="K4120" s="7" t="str">
        <f ca="1">IFERROR(__xludf.DUMMYFUNCTION("GOOGLETRANSLATE(H4120,""EN"",""ES"")"),"JUEGOS Y JUGUETES")</f>
        <v>JUEGOS Y JUGUETES</v>
      </c>
      <c r="L4120" s="5" t="str">
        <f ca="1">IFERROR(__xludf.DUMMYFUNCTION("GOOGLETRANSLATE(J4120,""EN"",""ES"")"),"Ajedrez [juegos]")</f>
        <v>Ajedrez [juegos]</v>
      </c>
      <c r="M4120" s="8" t="s">
        <v>73</v>
      </c>
      <c r="N4120" s="8"/>
    </row>
    <row r="4121" spans="1:14" ht="11.25" customHeight="1">
      <c r="A4121" s="5" t="s">
        <v>11900</v>
      </c>
      <c r="B4121" s="5" t="s">
        <v>11901</v>
      </c>
      <c r="C4121" s="5" t="s">
        <v>11954</v>
      </c>
      <c r="D4121" s="5" t="s">
        <v>11903</v>
      </c>
      <c r="E4121" s="5" t="s">
        <v>67</v>
      </c>
      <c r="F4121" s="5" t="s">
        <v>11904</v>
      </c>
      <c r="G4121" s="5" t="s">
        <v>152</v>
      </c>
      <c r="H4121" s="5" t="s">
        <v>11905</v>
      </c>
      <c r="I4121" s="5" t="s">
        <v>11955</v>
      </c>
      <c r="J4121" s="5" t="s">
        <v>11956</v>
      </c>
      <c r="K4121" s="7" t="str">
        <f ca="1">IFERROR(__xludf.DUMMYFUNCTION("GOOGLETRANSLATE(H4121,""EN"",""ES"")"),"JUEGOS Y JUGUETES")</f>
        <v>JUEGOS Y JUGUETES</v>
      </c>
      <c r="L4121" s="5" t="str">
        <f ca="1">IFERROR(__xludf.DUMMYFUNCTION("GOOGLETRANSLATE(J4121,""EN"",""ES"")"),"tableros de ajedrez")</f>
        <v>tableros de ajedrez</v>
      </c>
      <c r="M4121" s="8" t="s">
        <v>73</v>
      </c>
      <c r="N4121" s="8"/>
    </row>
    <row r="4122" spans="1:14" ht="11.25" customHeight="1">
      <c r="A4122" s="5" t="s">
        <v>11900</v>
      </c>
      <c r="B4122" s="5" t="s">
        <v>11901</v>
      </c>
      <c r="C4122" s="5" t="s">
        <v>11957</v>
      </c>
      <c r="D4122" s="5" t="s">
        <v>11903</v>
      </c>
      <c r="E4122" s="5" t="s">
        <v>67</v>
      </c>
      <c r="F4122" s="5" t="s">
        <v>11904</v>
      </c>
      <c r="G4122" s="5" t="s">
        <v>152</v>
      </c>
      <c r="H4122" s="5" t="s">
        <v>11905</v>
      </c>
      <c r="I4122" s="5" t="s">
        <v>11958</v>
      </c>
      <c r="J4122" s="5" t="s">
        <v>11959</v>
      </c>
      <c r="K4122" s="7" t="str">
        <f ca="1">IFERROR(__xludf.DUMMYFUNCTION("GOOGLETRANSLATE(H4122,""EN"",""ES"")"),"JUEGOS Y JUGUETES")</f>
        <v>JUEGOS Y JUGUETES</v>
      </c>
      <c r="L4122" s="5" t="str">
        <f ca="1">IFERROR(__xludf.DUMMYFUNCTION("GOOGLETRANSLATE(J4122,""EN"",""ES"")"),"piezas de ajedrez")</f>
        <v>piezas de ajedrez</v>
      </c>
      <c r="M4122" s="8" t="s">
        <v>73</v>
      </c>
      <c r="N4122" s="8"/>
    </row>
    <row r="4123" spans="1:14" ht="11.25" customHeight="1">
      <c r="A4123" s="5" t="s">
        <v>11900</v>
      </c>
      <c r="B4123" s="5" t="s">
        <v>11901</v>
      </c>
      <c r="C4123" s="5" t="s">
        <v>11960</v>
      </c>
      <c r="D4123" s="5" t="s">
        <v>11903</v>
      </c>
      <c r="E4123" s="5" t="s">
        <v>67</v>
      </c>
      <c r="F4123" s="5" t="s">
        <v>11904</v>
      </c>
      <c r="G4123" s="5" t="s">
        <v>152</v>
      </c>
      <c r="H4123" s="5" t="s">
        <v>11905</v>
      </c>
      <c r="I4123" s="5" t="s">
        <v>11961</v>
      </c>
      <c r="J4123" s="5" t="s">
        <v>11962</v>
      </c>
      <c r="K4123" s="7" t="str">
        <f ca="1">IFERROR(__xludf.DUMMYFUNCTION("GOOGLETRANSLATE(H4123,""EN"",""ES"")"),"JUEGOS Y JUGUETES")</f>
        <v>JUEGOS Y JUGUETES</v>
      </c>
      <c r="L4123" s="5" t="str">
        <f ca="1">IFERROR(__xludf.DUMMYFUNCTION("GOOGLETRANSLATE(J4123,""EN"",""ES"")"),"Dardos [juegos]")</f>
        <v>Dardos [juegos]</v>
      </c>
      <c r="M4123" s="8" t="s">
        <v>73</v>
      </c>
      <c r="N4123" s="8"/>
    </row>
    <row r="4124" spans="1:14" ht="11.25" customHeight="1">
      <c r="A4124" s="5" t="s">
        <v>11900</v>
      </c>
      <c r="B4124" s="5" t="s">
        <v>11901</v>
      </c>
      <c r="C4124" s="5" t="s">
        <v>11963</v>
      </c>
      <c r="D4124" s="5" t="s">
        <v>11903</v>
      </c>
      <c r="E4124" s="5" t="s">
        <v>67</v>
      </c>
      <c r="F4124" s="5" t="s">
        <v>11904</v>
      </c>
      <c r="G4124" s="5" t="s">
        <v>152</v>
      </c>
      <c r="H4124" s="5" t="s">
        <v>11905</v>
      </c>
      <c r="I4124" s="5" t="s">
        <v>11964</v>
      </c>
      <c r="J4124" s="5" t="s">
        <v>11965</v>
      </c>
      <c r="K4124" s="7" t="str">
        <f ca="1">IFERROR(__xludf.DUMMYFUNCTION("GOOGLETRANSLATE(H4124,""EN"",""ES"")"),"JUEGOS Y JUGUETES")</f>
        <v>JUEGOS Y JUGUETES</v>
      </c>
      <c r="L4124" s="5" t="str">
        <f ca="1">IFERROR(__xludf.DUMMYFUNCTION("GOOGLETRANSLATE(J4124,""EN"",""ES"")"),"golf de mesa")</f>
        <v>golf de mesa</v>
      </c>
      <c r="M4124" s="8" t="s">
        <v>73</v>
      </c>
      <c r="N4124" s="8"/>
    </row>
    <row r="4125" spans="1:14" ht="11.25" customHeight="1">
      <c r="A4125" s="5" t="s">
        <v>11900</v>
      </c>
      <c r="B4125" s="5" t="s">
        <v>11901</v>
      </c>
      <c r="C4125" s="5" t="s">
        <v>11966</v>
      </c>
      <c r="D4125" s="5" t="s">
        <v>11903</v>
      </c>
      <c r="E4125" s="5" t="s">
        <v>67</v>
      </c>
      <c r="F4125" s="5" t="s">
        <v>11904</v>
      </c>
      <c r="G4125" s="5" t="s">
        <v>152</v>
      </c>
      <c r="H4125" s="5" t="s">
        <v>11905</v>
      </c>
      <c r="I4125" s="5" t="s">
        <v>11967</v>
      </c>
      <c r="J4125" s="5" t="s">
        <v>11968</v>
      </c>
      <c r="K4125" s="7" t="str">
        <f ca="1">IFERROR(__xludf.DUMMYFUNCTION("GOOGLETRANSLATE(H4125,""EN"",""ES"")"),"JUEGOS Y JUGUETES")</f>
        <v>JUEGOS Y JUGUETES</v>
      </c>
      <c r="L4125" s="5" t="str">
        <f ca="1">IFERROR(__xludf.DUMMYFUNCTION("GOOGLETRANSLATE(J4125,""EN"",""ES"")"),"Campos y obstáculos para minigolf.")</f>
        <v>Campos y obstáculos para minigolf.</v>
      </c>
      <c r="M4125" s="8" t="s">
        <v>73</v>
      </c>
      <c r="N4125" s="8"/>
    </row>
    <row r="4126" spans="1:14" ht="11.25" customHeight="1">
      <c r="A4126" s="5" t="s">
        <v>11900</v>
      </c>
      <c r="B4126" s="5" t="s">
        <v>11901</v>
      </c>
      <c r="C4126" s="5" t="s">
        <v>11969</v>
      </c>
      <c r="D4126" s="5" t="s">
        <v>11903</v>
      </c>
      <c r="E4126" s="5" t="s">
        <v>67</v>
      </c>
      <c r="F4126" s="5" t="s">
        <v>11904</v>
      </c>
      <c r="G4126" s="5" t="s">
        <v>152</v>
      </c>
      <c r="H4126" s="5" t="s">
        <v>11905</v>
      </c>
      <c r="I4126" s="5" t="s">
        <v>11970</v>
      </c>
      <c r="J4126" s="5" t="s">
        <v>11971</v>
      </c>
      <c r="K4126" s="7" t="str">
        <f ca="1">IFERROR(__xludf.DUMMYFUNCTION("GOOGLETRANSLATE(H4126,""EN"",""ES"")"),"JUEGOS Y JUGUETES")</f>
        <v>JUEGOS Y JUGUETES</v>
      </c>
      <c r="L4126" s="5" t="str">
        <f ca="1">IFERROR(__xludf.DUMMYFUNCTION("GOOGLETRANSLATE(J4126,""EN"",""ES"")"),"Sonajeros [juguetes]")</f>
        <v>Sonajeros [juguetes]</v>
      </c>
      <c r="M4126" s="8" t="s">
        <v>73</v>
      </c>
      <c r="N4126" s="8"/>
    </row>
    <row r="4127" spans="1:14" ht="11.25" customHeight="1">
      <c r="A4127" s="5" t="s">
        <v>11900</v>
      </c>
      <c r="B4127" s="5" t="s">
        <v>11901</v>
      </c>
      <c r="C4127" s="5" t="s">
        <v>11972</v>
      </c>
      <c r="D4127" s="5" t="s">
        <v>11903</v>
      </c>
      <c r="E4127" s="5" t="s">
        <v>67</v>
      </c>
      <c r="F4127" s="5" t="s">
        <v>11904</v>
      </c>
      <c r="G4127" s="5" t="s">
        <v>152</v>
      </c>
      <c r="H4127" s="5" t="s">
        <v>11905</v>
      </c>
      <c r="I4127" s="5" t="s">
        <v>11973</v>
      </c>
      <c r="J4127" s="5" t="s">
        <v>11974</v>
      </c>
      <c r="K4127" s="7" t="str">
        <f ca="1">IFERROR(__xludf.DUMMYFUNCTION("GOOGLETRANSLATE(H4127,""EN"",""ES"")"),"JUEGOS Y JUGUETES")</f>
        <v>JUEGOS Y JUGUETES</v>
      </c>
      <c r="L4127" s="5" t="str">
        <f ca="1">IFERROR(__xludf.DUMMYFUNCTION("GOOGLETRANSLATE(J4127,""EN"",""ES"")"),"contadores para juegos")</f>
        <v>contadores para juegos</v>
      </c>
      <c r="M4127" s="8" t="s">
        <v>73</v>
      </c>
      <c r="N4127" s="8"/>
    </row>
    <row r="4128" spans="1:14" ht="11.25" customHeight="1">
      <c r="A4128" s="5" t="s">
        <v>11900</v>
      </c>
      <c r="B4128" s="5" t="s">
        <v>11901</v>
      </c>
      <c r="C4128" s="5" t="s">
        <v>11975</v>
      </c>
      <c r="D4128" s="5" t="s">
        <v>11903</v>
      </c>
      <c r="E4128" s="5" t="s">
        <v>67</v>
      </c>
      <c r="F4128" s="5" t="s">
        <v>11904</v>
      </c>
      <c r="G4128" s="5" t="s">
        <v>152</v>
      </c>
      <c r="H4128" s="5" t="s">
        <v>11905</v>
      </c>
      <c r="I4128" s="5" t="s">
        <v>11976</v>
      </c>
      <c r="J4128" s="5" t="s">
        <v>11977</v>
      </c>
      <c r="K4128" s="7" t="str">
        <f ca="1">IFERROR(__xludf.DUMMYFUNCTION("GOOGLETRANSLATE(H4128,""EN"",""ES"")"),"JUEGOS Y JUGUETES")</f>
        <v>JUEGOS Y JUGUETES</v>
      </c>
      <c r="L4128" s="5" t="str">
        <f ca="1">IFERROR(__xludf.DUMMYFUNCTION("GOOGLETRANSLATE(J4128,""EN"",""ES"")"),"Piezas del tablero")</f>
        <v>Piezas del tablero</v>
      </c>
      <c r="M4128" s="8" t="s">
        <v>73</v>
      </c>
      <c r="N4128" s="8"/>
    </row>
    <row r="4129" spans="1:14" ht="11.25" customHeight="1">
      <c r="A4129" s="5" t="s">
        <v>11900</v>
      </c>
      <c r="B4129" s="5" t="s">
        <v>11901</v>
      </c>
      <c r="C4129" s="5" t="s">
        <v>11978</v>
      </c>
      <c r="D4129" s="5" t="s">
        <v>11903</v>
      </c>
      <c r="E4129" s="5" t="s">
        <v>67</v>
      </c>
      <c r="F4129" s="5" t="s">
        <v>11904</v>
      </c>
      <c r="G4129" s="5" t="s">
        <v>152</v>
      </c>
      <c r="H4129" s="5" t="s">
        <v>11905</v>
      </c>
      <c r="I4129" s="5" t="s">
        <v>11979</v>
      </c>
      <c r="J4129" s="5" t="s">
        <v>11980</v>
      </c>
      <c r="K4129" s="7" t="str">
        <f ca="1">IFERROR(__xludf.DUMMYFUNCTION("GOOGLETRANSLATE(H4129,""EN"",""ES"")"),"JUEGOS Y JUGUETES")</f>
        <v>JUEGOS Y JUGUETES</v>
      </c>
      <c r="L4129" s="5" t="str">
        <f ca="1">IFERROR(__xludf.DUMMYFUNCTION("GOOGLETRANSLATE(J4129,""EN"",""ES"")"),"Juegos, incluidos juegos educativos.")</f>
        <v>Juegos, incluidos juegos educativos.</v>
      </c>
      <c r="M4129" s="8" t="s">
        <v>73</v>
      </c>
      <c r="N4129" s="8"/>
    </row>
    <row r="4130" spans="1:14" ht="11.25" customHeight="1">
      <c r="A4130" s="5" t="s">
        <v>11900</v>
      </c>
      <c r="B4130" s="5" t="s">
        <v>11901</v>
      </c>
      <c r="C4130" s="5" t="s">
        <v>11981</v>
      </c>
      <c r="D4130" s="5" t="s">
        <v>11903</v>
      </c>
      <c r="E4130" s="5" t="s">
        <v>67</v>
      </c>
      <c r="F4130" s="5" t="s">
        <v>11904</v>
      </c>
      <c r="G4130" s="5" t="s">
        <v>152</v>
      </c>
      <c r="H4130" s="5" t="s">
        <v>11905</v>
      </c>
      <c r="I4130" s="5" t="s">
        <v>11982</v>
      </c>
      <c r="J4130" s="5" t="s">
        <v>11983</v>
      </c>
      <c r="K4130" s="7" t="str">
        <f ca="1">IFERROR(__xludf.DUMMYFUNCTION("GOOGLETRANSLATE(H4130,""EN"",""ES"")"),"JUEGOS Y JUGUETES")</f>
        <v>JUEGOS Y JUGUETES</v>
      </c>
      <c r="L4130" s="5" t="str">
        <f ca="1">IFERROR(__xludf.DUMMYFUNCTION("GOOGLETRANSLATE(J4130,""EN"",""ES"")"),"juguetes")</f>
        <v>juguetes</v>
      </c>
      <c r="M4130" s="8" t="s">
        <v>73</v>
      </c>
      <c r="N4130" s="8"/>
    </row>
    <row r="4131" spans="1:14" ht="11.25" customHeight="1">
      <c r="A4131" s="5" t="s">
        <v>11900</v>
      </c>
      <c r="B4131" s="5" t="s">
        <v>11901</v>
      </c>
      <c r="C4131" s="5" t="s">
        <v>11984</v>
      </c>
      <c r="D4131" s="5" t="s">
        <v>11903</v>
      </c>
      <c r="E4131" s="5" t="s">
        <v>67</v>
      </c>
      <c r="F4131" s="5" t="s">
        <v>11904</v>
      </c>
      <c r="G4131" s="5" t="s">
        <v>152</v>
      </c>
      <c r="H4131" s="5" t="s">
        <v>11905</v>
      </c>
      <c r="I4131" s="5" t="s">
        <v>11985</v>
      </c>
      <c r="J4131" s="5" t="s">
        <v>11986</v>
      </c>
      <c r="K4131" s="7" t="str">
        <f ca="1">IFERROR(__xludf.DUMMYFUNCTION("GOOGLETRANSLATE(H4131,""EN"",""ES"")"),"JUEGOS Y JUGUETES")</f>
        <v>JUEGOS Y JUGUETES</v>
      </c>
      <c r="L4131" s="5" t="str">
        <f ca="1">IFERROR(__xludf.DUMMYFUNCTION("GOOGLETRANSLATE(J4131,""EN"",""ES"")"),"juguetes mecanicos")</f>
        <v>juguetes mecanicos</v>
      </c>
      <c r="M4131" s="8" t="s">
        <v>73</v>
      </c>
      <c r="N4131" s="8"/>
    </row>
    <row r="4132" spans="1:14" ht="11.25" customHeight="1">
      <c r="A4132" s="5" t="s">
        <v>11900</v>
      </c>
      <c r="B4132" s="5" t="s">
        <v>11901</v>
      </c>
      <c r="C4132" s="5" t="s">
        <v>11987</v>
      </c>
      <c r="D4132" s="5" t="s">
        <v>11903</v>
      </c>
      <c r="E4132" s="5" t="s">
        <v>67</v>
      </c>
      <c r="F4132" s="5" t="s">
        <v>11904</v>
      </c>
      <c r="G4132" s="5" t="s">
        <v>152</v>
      </c>
      <c r="H4132" s="5" t="s">
        <v>11905</v>
      </c>
      <c r="I4132" s="5" t="s">
        <v>11988</v>
      </c>
      <c r="J4132" s="5" t="s">
        <v>11989</v>
      </c>
      <c r="K4132" s="7" t="str">
        <f ca="1">IFERROR(__xludf.DUMMYFUNCTION("GOOGLETRANSLATE(H4132,""EN"",""ES"")"),"JUEGOS Y JUGUETES")</f>
        <v>JUEGOS Y JUGUETES</v>
      </c>
      <c r="L4132" s="5" t="str">
        <f ca="1">IFERROR(__xludf.DUMMYFUNCTION("GOOGLETRANSLATE(J4132,""EN"",""ES"")"),"Caleidoscopios [juguetes]")</f>
        <v>Caleidoscopios [juguetes]</v>
      </c>
      <c r="M4132" s="8" t="s">
        <v>73</v>
      </c>
      <c r="N4132" s="8"/>
    </row>
    <row r="4133" spans="1:14" ht="11.25" customHeight="1">
      <c r="A4133" s="5" t="s">
        <v>11900</v>
      </c>
      <c r="B4133" s="5" t="s">
        <v>11901</v>
      </c>
      <c r="C4133" s="5" t="s">
        <v>11990</v>
      </c>
      <c r="D4133" s="5" t="s">
        <v>11903</v>
      </c>
      <c r="E4133" s="5" t="s">
        <v>67</v>
      </c>
      <c r="F4133" s="5" t="s">
        <v>11904</v>
      </c>
      <c r="G4133" s="5" t="s">
        <v>152</v>
      </c>
      <c r="H4133" s="5" t="s">
        <v>11905</v>
      </c>
      <c r="I4133" s="5" t="s">
        <v>11991</v>
      </c>
      <c r="J4133" s="5" t="s">
        <v>11992</v>
      </c>
      <c r="K4133" s="7" t="str">
        <f ca="1">IFERROR(__xludf.DUMMYFUNCTION("GOOGLETRANSLATE(H4133,""EN"",""ES"")"),"JUEGOS Y JUGUETES")</f>
        <v>JUEGOS Y JUGUETES</v>
      </c>
      <c r="L4133" s="5" t="str">
        <f ca="1">IFERROR(__xludf.DUMMYFUNCTION("GOOGLETRANSLATE(J4133,""EN"",""ES"")"),"Lotería [juegos]")</f>
        <v>Lotería [juegos]</v>
      </c>
      <c r="M4133" s="8" t="s">
        <v>73</v>
      </c>
      <c r="N4133" s="8"/>
    </row>
    <row r="4134" spans="1:14" ht="11.25" customHeight="1">
      <c r="A4134" s="5" t="s">
        <v>11900</v>
      </c>
      <c r="B4134" s="5" t="s">
        <v>11901</v>
      </c>
      <c r="C4134" s="5" t="s">
        <v>11993</v>
      </c>
      <c r="D4134" s="5" t="s">
        <v>11903</v>
      </c>
      <c r="E4134" s="5" t="s">
        <v>67</v>
      </c>
      <c r="F4134" s="5" t="s">
        <v>11904</v>
      </c>
      <c r="G4134" s="5" t="s">
        <v>152</v>
      </c>
      <c r="H4134" s="5" t="s">
        <v>11905</v>
      </c>
      <c r="I4134" s="5" t="s">
        <v>11994</v>
      </c>
      <c r="J4134" s="5" t="s">
        <v>11995</v>
      </c>
      <c r="K4134" s="7" t="str">
        <f ca="1">IFERROR(__xludf.DUMMYFUNCTION("GOOGLETRANSLATE(H4134,""EN"",""ES"")"),"JUEGOS Y JUGUETES")</f>
        <v>JUEGOS Y JUGUETES</v>
      </c>
      <c r="L4134" s="5" t="str">
        <f ca="1">IFERROR(__xludf.DUMMYFUNCTION("GOOGLETRANSLATE(J4134,""EN"",""ES"")"),"goleadores de juegos")</f>
        <v>goleadores de juegos</v>
      </c>
      <c r="M4134" s="8" t="s">
        <v>73</v>
      </c>
      <c r="N4134" s="8"/>
    </row>
    <row r="4135" spans="1:14" ht="11.25" customHeight="1">
      <c r="A4135" s="5" t="s">
        <v>11900</v>
      </c>
      <c r="B4135" s="5" t="s">
        <v>11901</v>
      </c>
      <c r="C4135" s="5" t="s">
        <v>11996</v>
      </c>
      <c r="D4135" s="5" t="s">
        <v>11903</v>
      </c>
      <c r="E4135" s="5" t="s">
        <v>67</v>
      </c>
      <c r="F4135" s="5" t="s">
        <v>11904</v>
      </c>
      <c r="G4135" s="5" t="s">
        <v>152</v>
      </c>
      <c r="H4135" s="5" t="s">
        <v>11905</v>
      </c>
      <c r="I4135" s="5" t="s">
        <v>11997</v>
      </c>
      <c r="J4135" s="5" t="s">
        <v>11998</v>
      </c>
      <c r="K4135" s="7" t="str">
        <f ca="1">IFERROR(__xludf.DUMMYFUNCTION("GOOGLETRANSLATE(H4135,""EN"",""ES"")"),"JUEGOS Y JUGUETES")</f>
        <v>JUEGOS Y JUGUETES</v>
      </c>
      <c r="L4135" s="5" t="str">
        <f ca="1">IFERROR(__xludf.DUMMYFUNCTION("GOOGLETRANSLATE(J4135,""EN"",""ES"")"),"Modelos a escala")</f>
        <v>Modelos a escala</v>
      </c>
      <c r="M4135" s="8" t="s">
        <v>73</v>
      </c>
      <c r="N4135" s="8"/>
    </row>
    <row r="4136" spans="1:14" ht="11.25" customHeight="1">
      <c r="A4136" s="5" t="s">
        <v>11900</v>
      </c>
      <c r="B4136" s="5" t="s">
        <v>11901</v>
      </c>
      <c r="C4136" s="5" t="s">
        <v>11999</v>
      </c>
      <c r="D4136" s="5" t="s">
        <v>11903</v>
      </c>
      <c r="E4136" s="5" t="s">
        <v>67</v>
      </c>
      <c r="F4136" s="5" t="s">
        <v>11904</v>
      </c>
      <c r="G4136" s="5" t="s">
        <v>152</v>
      </c>
      <c r="H4136" s="5" t="s">
        <v>11905</v>
      </c>
      <c r="I4136" s="5" t="s">
        <v>12000</v>
      </c>
      <c r="J4136" s="5" t="s">
        <v>12001</v>
      </c>
      <c r="K4136" s="7" t="str">
        <f ca="1">IFERROR(__xludf.DUMMYFUNCTION("GOOGLETRANSLATE(H4136,""EN"",""ES"")"),"JUEGOS Y JUGUETES")</f>
        <v>JUEGOS Y JUGUETES</v>
      </c>
      <c r="L4136" s="5" t="str">
        <f ca="1">IFERROR(__xludf.DUMMYFUNCTION("GOOGLETRANSLATE(J4136,""EN"",""ES"")"),"Scooters [juguetes]")</f>
        <v>Scooters [juguetes]</v>
      </c>
      <c r="M4136" s="8" t="s">
        <v>73</v>
      </c>
      <c r="N4136" s="8"/>
    </row>
    <row r="4137" spans="1:14" ht="11.25" customHeight="1">
      <c r="A4137" s="5" t="s">
        <v>11900</v>
      </c>
      <c r="B4137" s="5" t="s">
        <v>11901</v>
      </c>
      <c r="C4137" s="5" t="s">
        <v>11999</v>
      </c>
      <c r="D4137" s="5" t="s">
        <v>11903</v>
      </c>
      <c r="E4137" s="5" t="s">
        <v>67</v>
      </c>
      <c r="F4137" s="5" t="s">
        <v>11904</v>
      </c>
      <c r="G4137" s="5" t="s">
        <v>152</v>
      </c>
      <c r="H4137" s="5" t="s">
        <v>11905</v>
      </c>
      <c r="I4137" s="5" t="s">
        <v>152</v>
      </c>
      <c r="J4137" s="5" t="s">
        <v>12002</v>
      </c>
      <c r="K4137" s="7" t="str">
        <f ca="1">IFERROR(__xludf.DUMMYFUNCTION("GOOGLETRANSLATE(H4137,""EN"",""ES"")"),"JUEGOS Y JUGUETES")</f>
        <v>JUEGOS Y JUGUETES</v>
      </c>
      <c r="L4137" s="5" t="str">
        <f ca="1">IFERROR(__xludf.DUMMYFUNCTION("GOOGLETRANSLATE(J4137,""EN"",""ES"")"),"N / A")</f>
        <v>N / A</v>
      </c>
      <c r="M4137" s="8" t="s">
        <v>73</v>
      </c>
      <c r="N4137" s="8"/>
    </row>
    <row r="4138" spans="1:14" ht="11.25" customHeight="1">
      <c r="A4138" s="5" t="s">
        <v>11900</v>
      </c>
      <c r="B4138" s="5" t="s">
        <v>11901</v>
      </c>
      <c r="C4138" s="5" t="s">
        <v>12003</v>
      </c>
      <c r="D4138" s="5" t="s">
        <v>11903</v>
      </c>
      <c r="E4138" s="5" t="s">
        <v>67</v>
      </c>
      <c r="F4138" s="5" t="s">
        <v>11904</v>
      </c>
      <c r="G4138" s="5" t="s">
        <v>152</v>
      </c>
      <c r="H4138" s="5" t="s">
        <v>11905</v>
      </c>
      <c r="I4138" s="5" t="s">
        <v>12004</v>
      </c>
      <c r="J4138" s="5" t="s">
        <v>12005</v>
      </c>
      <c r="K4138" s="7" t="str">
        <f ca="1">IFERROR(__xludf.DUMMYFUNCTION("GOOGLETRANSLATE(H4138,""EN"",""ES"")"),"JUEGOS Y JUGUETES")</f>
        <v>JUEGOS Y JUGUETES</v>
      </c>
      <c r="L4138" s="5" t="str">
        <f ca="1">IFERROR(__xludf.DUMMYFUNCTION("GOOGLETRANSLATE(J4138,""EN"",""ES"")"),"Peones [ajedrez]")</f>
        <v>Peones [ajedrez]</v>
      </c>
      <c r="M4138" s="8" t="s">
        <v>73</v>
      </c>
      <c r="N4138" s="8"/>
    </row>
    <row r="4139" spans="1:14" ht="11.25" customHeight="1">
      <c r="A4139" s="5" t="s">
        <v>11900</v>
      </c>
      <c r="B4139" s="5" t="s">
        <v>11901</v>
      </c>
      <c r="C4139" s="5" t="s">
        <v>12006</v>
      </c>
      <c r="D4139" s="5" t="s">
        <v>11903</v>
      </c>
      <c r="E4139" s="5" t="s">
        <v>67</v>
      </c>
      <c r="F4139" s="5" t="s">
        <v>11904</v>
      </c>
      <c r="G4139" s="5" t="s">
        <v>152</v>
      </c>
      <c r="H4139" s="5" t="s">
        <v>11905</v>
      </c>
      <c r="I4139" s="5" t="s">
        <v>12007</v>
      </c>
      <c r="J4139" s="5" t="s">
        <v>12008</v>
      </c>
      <c r="K4139" s="7" t="str">
        <f ca="1">IFERROR(__xludf.DUMMYFUNCTION("GOOGLETRANSLATE(H4139,""EN"",""ES"")"),"JUEGOS Y JUGUETES")</f>
        <v>JUEGOS Y JUGUETES</v>
      </c>
      <c r="L4139" s="5" t="str">
        <f ca="1">IFERROR(__xludf.DUMMYFUNCTION("GOOGLETRANSLATE(J4139,""EN"",""ES"")"),"tableros de juego")</f>
        <v>tableros de juego</v>
      </c>
      <c r="M4139" s="8" t="s">
        <v>73</v>
      </c>
      <c r="N4139" s="8"/>
    </row>
    <row r="4140" spans="1:14" ht="11.25" customHeight="1">
      <c r="A4140" s="5" t="s">
        <v>11900</v>
      </c>
      <c r="B4140" s="5" t="s">
        <v>11901</v>
      </c>
      <c r="C4140" s="5" t="s">
        <v>12009</v>
      </c>
      <c r="D4140" s="5" t="s">
        <v>11903</v>
      </c>
      <c r="E4140" s="5" t="s">
        <v>67</v>
      </c>
      <c r="F4140" s="5" t="s">
        <v>11904</v>
      </c>
      <c r="G4140" s="5" t="s">
        <v>152</v>
      </c>
      <c r="H4140" s="5" t="s">
        <v>11905</v>
      </c>
      <c r="I4140" s="5" t="s">
        <v>12010</v>
      </c>
      <c r="J4140" s="5" t="s">
        <v>12011</v>
      </c>
      <c r="K4140" s="7" t="str">
        <f ca="1">IFERROR(__xludf.DUMMYFUNCTION("GOOGLETRANSLATE(H4140,""EN"",""ES"")"),"JUEGOS Y JUGUETES")</f>
        <v>JUEGOS Y JUGUETES</v>
      </c>
      <c r="L4140" s="5" t="str">
        <f ca="1">IFERROR(__xludf.DUMMYFUNCTION("GOOGLETRANSLATE(J4140,""EN"",""ES"")"),"muñecas")</f>
        <v>muñecas</v>
      </c>
      <c r="M4140" s="8" t="s">
        <v>73</v>
      </c>
      <c r="N4140" s="8"/>
    </row>
    <row r="4141" spans="1:14" ht="11.25" customHeight="1">
      <c r="A4141" s="5" t="s">
        <v>11900</v>
      </c>
      <c r="B4141" s="5" t="s">
        <v>11901</v>
      </c>
      <c r="C4141" s="5" t="s">
        <v>12012</v>
      </c>
      <c r="D4141" s="5" t="s">
        <v>11903</v>
      </c>
      <c r="E4141" s="5" t="s">
        <v>67</v>
      </c>
      <c r="F4141" s="5" t="s">
        <v>11904</v>
      </c>
      <c r="G4141" s="5" t="s">
        <v>152</v>
      </c>
      <c r="H4141" s="5" t="s">
        <v>11905</v>
      </c>
      <c r="I4141" s="5" t="s">
        <v>12013</v>
      </c>
      <c r="J4141" s="5" t="s">
        <v>12014</v>
      </c>
      <c r="K4141" s="7" t="str">
        <f ca="1">IFERROR(__xludf.DUMMYFUNCTION("GOOGLETRANSLATE(H4141,""EN"",""ES"")"),"JUEGOS Y JUGUETES")</f>
        <v>JUEGOS Y JUGUETES</v>
      </c>
      <c r="L4141" s="5" t="str">
        <f ca="1">IFERROR(__xludf.DUMMYFUNCTION("GOOGLETRANSLATE(J4141,""EN"",""ES"")"),"cabezas para muñecas")</f>
        <v>cabezas para muñecas</v>
      </c>
      <c r="M4141" s="8" t="s">
        <v>73</v>
      </c>
      <c r="N4141" s="8"/>
    </row>
    <row r="4142" spans="1:14" ht="11.25" customHeight="1">
      <c r="A4142" s="5" t="s">
        <v>11900</v>
      </c>
      <c r="B4142" s="5" t="s">
        <v>11901</v>
      </c>
      <c r="C4142" s="5" t="s">
        <v>12012</v>
      </c>
      <c r="D4142" s="5" t="s">
        <v>11903</v>
      </c>
      <c r="E4142" s="5" t="s">
        <v>67</v>
      </c>
      <c r="F4142" s="5" t="s">
        <v>11904</v>
      </c>
      <c r="G4142" s="5" t="s">
        <v>152</v>
      </c>
      <c r="H4142" s="5" t="s">
        <v>11905</v>
      </c>
      <c r="I4142" s="5" t="s">
        <v>12015</v>
      </c>
      <c r="J4142" s="5" t="s">
        <v>152</v>
      </c>
      <c r="K4142" s="7" t="str">
        <f ca="1">IFERROR(__xludf.DUMMYFUNCTION("GOOGLETRANSLATE(H4142,""EN"",""ES"")"),"JUEGOS Y JUGUETES")</f>
        <v>JUEGOS Y JUGUETES</v>
      </c>
      <c r="L4142" s="5" t="str">
        <f ca="1">IFERROR(__xludf.DUMMYFUNCTION("GOOGLETRANSLATE(J4142,""EN"",""ES"")"),"cabezas de muñecas")</f>
        <v>cabezas de muñecas</v>
      </c>
      <c r="M4142" s="8" t="s">
        <v>73</v>
      </c>
      <c r="N4142" s="8"/>
    </row>
    <row r="4143" spans="1:14" ht="11.25" customHeight="1">
      <c r="A4143" s="5" t="s">
        <v>11900</v>
      </c>
      <c r="B4143" s="5" t="s">
        <v>11901</v>
      </c>
      <c r="C4143" s="5" t="s">
        <v>12016</v>
      </c>
      <c r="D4143" s="5" t="s">
        <v>11903</v>
      </c>
      <c r="E4143" s="5" t="s">
        <v>67</v>
      </c>
      <c r="F4143" s="5" t="s">
        <v>11904</v>
      </c>
      <c r="G4143" s="5" t="s">
        <v>152</v>
      </c>
      <c r="H4143" s="5" t="s">
        <v>11905</v>
      </c>
      <c r="I4143" s="5" t="s">
        <v>12017</v>
      </c>
      <c r="J4143" s="5" t="s">
        <v>12018</v>
      </c>
      <c r="K4143" s="7" t="str">
        <f ca="1">IFERROR(__xludf.DUMMYFUNCTION("GOOGLETRANSLATE(H4143,""EN"",""ES"")"),"JUEGOS Y JUGUETES")</f>
        <v>JUEGOS Y JUGUETES</v>
      </c>
      <c r="L4143" s="5" t="str">
        <f ca="1">IFERROR(__xludf.DUMMYFUNCTION("GOOGLETRANSLATE(J4143,""EN"",""ES"")"),"Cochecitos para muñecas")</f>
        <v>Cochecitos para muñecas</v>
      </c>
      <c r="M4143" s="8" t="s">
        <v>73</v>
      </c>
      <c r="N4143" s="8"/>
    </row>
    <row r="4144" spans="1:14" ht="11.25" customHeight="1">
      <c r="A4144" s="5" t="s">
        <v>11900</v>
      </c>
      <c r="B4144" s="5" t="s">
        <v>11901</v>
      </c>
      <c r="C4144" s="5" t="s">
        <v>12019</v>
      </c>
      <c r="D4144" s="5" t="s">
        <v>11903</v>
      </c>
      <c r="E4144" s="5" t="s">
        <v>67</v>
      </c>
      <c r="F4144" s="5" t="s">
        <v>11904</v>
      </c>
      <c r="G4144" s="5" t="s">
        <v>152</v>
      </c>
      <c r="H4144" s="5" t="s">
        <v>11905</v>
      </c>
      <c r="I4144" s="5" t="s">
        <v>12020</v>
      </c>
      <c r="J4144" s="5" t="s">
        <v>12021</v>
      </c>
      <c r="K4144" s="7" t="str">
        <f ca="1">IFERROR(__xludf.DUMMYFUNCTION("GOOGLETRANSLATE(H4144,""EN"",""ES"")"),"JUEGOS Y JUGUETES")</f>
        <v>JUEGOS Y JUGUETES</v>
      </c>
      <c r="L4144" s="5" t="str">
        <f ca="1">IFERROR(__xludf.DUMMYFUNCTION("GOOGLETRANSLATE(J4144,""EN"",""ES"")"),"Ruleta [juegos]")</f>
        <v>Ruleta [juegos]</v>
      </c>
      <c r="M4144" s="8" t="s">
        <v>73</v>
      </c>
      <c r="N4144" s="8"/>
    </row>
    <row r="4145" spans="1:14" ht="11.25" customHeight="1">
      <c r="A4145" s="5" t="s">
        <v>11900</v>
      </c>
      <c r="B4145" s="5" t="s">
        <v>11901</v>
      </c>
      <c r="C4145" s="5" t="s">
        <v>12022</v>
      </c>
      <c r="D4145" s="5" t="s">
        <v>11903</v>
      </c>
      <c r="E4145" s="5" t="s">
        <v>67</v>
      </c>
      <c r="F4145" s="5" t="s">
        <v>11904</v>
      </c>
      <c r="G4145" s="5" t="s">
        <v>152</v>
      </c>
      <c r="H4145" s="5" t="s">
        <v>11905</v>
      </c>
      <c r="I4145" s="5" t="s">
        <v>12023</v>
      </c>
      <c r="J4145" s="5" t="s">
        <v>12024</v>
      </c>
      <c r="K4145" s="7" t="str">
        <f ca="1">IFERROR(__xludf.DUMMYFUNCTION("GOOGLETRANSLATE(H4145,""EN"",""ES"")"),"JUEGOS Y JUGUETES")</f>
        <v>JUEGOS Y JUGUETES</v>
      </c>
      <c r="L4145" s="5" t="str">
        <f ca="1">IFERROR(__xludf.DUMMYFUNCTION("GOOGLETRANSLATE(J4145,""EN"",""ES"")"),"Cubos [juguetes]")</f>
        <v>Cubos [juguetes]</v>
      </c>
      <c r="M4145" s="8" t="s">
        <v>73</v>
      </c>
      <c r="N4145" s="8"/>
    </row>
    <row r="4146" spans="1:14" ht="11.25" customHeight="1">
      <c r="A4146" s="5" t="s">
        <v>11900</v>
      </c>
      <c r="B4146" s="5" t="s">
        <v>11901</v>
      </c>
      <c r="C4146" s="5" t="s">
        <v>12025</v>
      </c>
      <c r="D4146" s="5" t="s">
        <v>11903</v>
      </c>
      <c r="E4146" s="5" t="s">
        <v>67</v>
      </c>
      <c r="F4146" s="5" t="s">
        <v>11904</v>
      </c>
      <c r="G4146" s="5" t="s">
        <v>152</v>
      </c>
      <c r="H4146" s="5" t="s">
        <v>11905</v>
      </c>
      <c r="I4146" s="5" t="s">
        <v>12026</v>
      </c>
      <c r="J4146" s="5" t="s">
        <v>12027</v>
      </c>
      <c r="K4146" s="7" t="str">
        <f ca="1">IFERROR(__xludf.DUMMYFUNCTION("GOOGLETRANSLATE(H4146,""EN"",""ES"")"),"JUEGOS Y JUGUETES")</f>
        <v>JUEGOS Y JUGUETES</v>
      </c>
      <c r="L4146" s="5" t="str">
        <f ca="1">IFERROR(__xludf.DUMMYFUNCTION("GOOGLETRANSLATE(J4146,""EN"",""ES"")"),"Trompos [juguetes]")</f>
        <v>Trompos [juguetes]</v>
      </c>
      <c r="M4146" s="8" t="s">
        <v>73</v>
      </c>
      <c r="N4146" s="8"/>
    </row>
    <row r="4147" spans="1:14" ht="11.25" customHeight="1">
      <c r="A4147" s="5" t="s">
        <v>11900</v>
      </c>
      <c r="B4147" s="5" t="s">
        <v>11901</v>
      </c>
      <c r="C4147" s="5" t="s">
        <v>12028</v>
      </c>
      <c r="D4147" s="5" t="s">
        <v>11903</v>
      </c>
      <c r="E4147" s="5" t="s">
        <v>67</v>
      </c>
      <c r="F4147" s="5" t="s">
        <v>11904</v>
      </c>
      <c r="G4147" s="5" t="s">
        <v>152</v>
      </c>
      <c r="H4147" s="5" t="s">
        <v>11905</v>
      </c>
      <c r="I4147" s="5" t="s">
        <v>12029</v>
      </c>
      <c r="J4147" s="5" t="s">
        <v>12030</v>
      </c>
      <c r="K4147" s="7" t="str">
        <f ca="1">IFERROR(__xludf.DUMMYFUNCTION("GOOGLETRANSLATE(H4147,""EN"",""ES"")"),"JUEGOS Y JUGUETES")</f>
        <v>JUEGOS Y JUGUETES</v>
      </c>
      <c r="L4147" s="5" t="str">
        <f ca="1">IFERROR(__xludf.DUMMYFUNCTION("GOOGLETRANSLATE(J4147,""EN"",""ES"")"),"Zanzíbares [juegos de dados]")</f>
        <v>Zanzíbares [juegos de dados]</v>
      </c>
      <c r="M4147" s="8" t="s">
        <v>73</v>
      </c>
      <c r="N4147" s="8"/>
    </row>
    <row r="4148" spans="1:14" ht="11.25" customHeight="1">
      <c r="A4148" s="5" t="s">
        <v>11900</v>
      </c>
      <c r="B4148" s="5" t="s">
        <v>11901</v>
      </c>
      <c r="C4148" s="5" t="s">
        <v>12031</v>
      </c>
      <c r="D4148" s="5" t="s">
        <v>11903</v>
      </c>
      <c r="E4148" s="5" t="s">
        <v>67</v>
      </c>
      <c r="F4148" s="5" t="s">
        <v>11904</v>
      </c>
      <c r="G4148" s="5" t="s">
        <v>152</v>
      </c>
      <c r="H4148" s="5" t="s">
        <v>11905</v>
      </c>
      <c r="I4148" s="5" t="s">
        <v>12032</v>
      </c>
      <c r="J4148" s="5" t="s">
        <v>12033</v>
      </c>
      <c r="K4148" s="7" t="str">
        <f ca="1">IFERROR(__xludf.DUMMYFUNCTION("GOOGLETRANSLATE(H4148,""EN"",""ES"")"),"JUEGOS Y JUGUETES")</f>
        <v>JUEGOS Y JUGUETES</v>
      </c>
      <c r="L4148" s="5" t="str">
        <f ca="1">IFERROR(__xludf.DUMMYFUNCTION("GOOGLETRANSLATE(J4148,""EN"",""ES"")"),"tableros de damas")</f>
        <v>tableros de damas</v>
      </c>
      <c r="M4148" s="8" t="s">
        <v>73</v>
      </c>
      <c r="N4148" s="8"/>
    </row>
    <row r="4149" spans="1:14" ht="11.25" customHeight="1">
      <c r="A4149" s="5" t="s">
        <v>11900</v>
      </c>
      <c r="B4149" s="5" t="s">
        <v>11901</v>
      </c>
      <c r="C4149" s="5" t="s">
        <v>12031</v>
      </c>
      <c r="D4149" s="5" t="s">
        <v>11903</v>
      </c>
      <c r="E4149" s="5" t="s">
        <v>67</v>
      </c>
      <c r="F4149" s="5" t="s">
        <v>11904</v>
      </c>
      <c r="G4149" s="5" t="s">
        <v>152</v>
      </c>
      <c r="H4149" s="5" t="s">
        <v>11905</v>
      </c>
      <c r="I4149" s="5" t="s">
        <v>12034</v>
      </c>
      <c r="J4149" s="5" t="s">
        <v>152</v>
      </c>
      <c r="K4149" s="7" t="str">
        <f ca="1">IFERROR(__xludf.DUMMYFUNCTION("GOOGLETRANSLATE(H4149,""EN"",""ES"")"),"JUEGOS Y JUGUETES")</f>
        <v>JUEGOS Y JUGUETES</v>
      </c>
      <c r="L4149" s="5" t="str">
        <f ca="1">IFERROR(__xludf.DUMMYFUNCTION("GOOGLETRANSLATE(J4149,""EN"",""ES"")"),"tableros de ajedrez")</f>
        <v>tableros de ajedrez</v>
      </c>
      <c r="M4149" s="8" t="s">
        <v>73</v>
      </c>
      <c r="N4149" s="8"/>
    </row>
    <row r="4150" spans="1:14" ht="11.25" customHeight="1">
      <c r="A4150" s="5" t="s">
        <v>11900</v>
      </c>
      <c r="B4150" s="5" t="s">
        <v>11901</v>
      </c>
      <c r="C4150" s="5" t="s">
        <v>12035</v>
      </c>
      <c r="D4150" s="5" t="s">
        <v>11903</v>
      </c>
      <c r="E4150" s="5" t="s">
        <v>67</v>
      </c>
      <c r="F4150" s="5" t="s">
        <v>11904</v>
      </c>
      <c r="G4150" s="5" t="s">
        <v>152</v>
      </c>
      <c r="H4150" s="5" t="s">
        <v>11905</v>
      </c>
      <c r="I4150" s="5" t="s">
        <v>12036</v>
      </c>
      <c r="J4150" s="5" t="s">
        <v>12037</v>
      </c>
      <c r="K4150" s="7" t="str">
        <f ca="1">IFERROR(__xludf.DUMMYFUNCTION("GOOGLETRANSLATE(H4150,""EN"",""ES"")"),"JUEGOS Y JUGUETES")</f>
        <v>JUEGOS Y JUGUETES</v>
      </c>
      <c r="L4150" s="5" t="str">
        <f ca="1">IFERROR(__xludf.DUMMYFUNCTION("GOOGLETRANSLATE(J4150,""EN"",""ES"")"),"marionetas")</f>
        <v>marionetas</v>
      </c>
      <c r="M4150" s="8" t="s">
        <v>73</v>
      </c>
      <c r="N4150" s="8"/>
    </row>
    <row r="4151" spans="1:14" ht="11.25" customHeight="1">
      <c r="A4151" s="5" t="s">
        <v>11900</v>
      </c>
      <c r="B4151" s="5" t="s">
        <v>11901</v>
      </c>
      <c r="C4151" s="5" t="s">
        <v>12035</v>
      </c>
      <c r="D4151" s="5" t="s">
        <v>11903</v>
      </c>
      <c r="E4151" s="5" t="s">
        <v>67</v>
      </c>
      <c r="F4151" s="5" t="s">
        <v>11904</v>
      </c>
      <c r="G4151" s="5" t="s">
        <v>152</v>
      </c>
      <c r="H4151" s="5" t="s">
        <v>11905</v>
      </c>
      <c r="I4151" s="5" t="s">
        <v>12038</v>
      </c>
      <c r="J4151" s="5" t="s">
        <v>152</v>
      </c>
      <c r="K4151" s="7" t="str">
        <f ca="1">IFERROR(__xludf.DUMMYFUNCTION("GOOGLETRANSLATE(H4151,""EN"",""ES"")"),"JUEGOS Y JUGUETES")</f>
        <v>JUEGOS Y JUGUETES</v>
      </c>
      <c r="L4151" s="5" t="str">
        <f ca="1">IFERROR(__xludf.DUMMYFUNCTION("GOOGLETRANSLATE(J4151,""EN"",""ES"")"),"Marionetas")</f>
        <v>Marionetas</v>
      </c>
      <c r="M4151" s="8" t="s">
        <v>73</v>
      </c>
      <c r="N4151" s="8"/>
    </row>
    <row r="4152" spans="1:14" ht="11.25" customHeight="1">
      <c r="A4152" s="5" t="s">
        <v>11900</v>
      </c>
      <c r="B4152" s="5" t="s">
        <v>11901</v>
      </c>
      <c r="C4152" s="5" t="s">
        <v>12039</v>
      </c>
      <c r="D4152" s="5" t="s">
        <v>11903</v>
      </c>
      <c r="E4152" s="5" t="s">
        <v>67</v>
      </c>
      <c r="F4152" s="5" t="s">
        <v>11904</v>
      </c>
      <c r="G4152" s="5" t="s">
        <v>152</v>
      </c>
      <c r="H4152" s="5" t="s">
        <v>11905</v>
      </c>
      <c r="I4152" s="5" t="s">
        <v>12040</v>
      </c>
      <c r="J4152" s="5" t="s">
        <v>12041</v>
      </c>
      <c r="K4152" s="7" t="str">
        <f ca="1">IFERROR(__xludf.DUMMYFUNCTION("GOOGLETRANSLATE(H4152,""EN"",""ES"")"),"JUEGOS Y JUGUETES")</f>
        <v>JUEGOS Y JUGUETES</v>
      </c>
      <c r="L4152" s="5" t="str">
        <f ca="1">IFERROR(__xludf.DUMMYFUNCTION("GOOGLETRANSLATE(J4152,""EN"",""ES"")"),"Reposa tacos de billar")</f>
        <v>Reposa tacos de billar</v>
      </c>
      <c r="M4152" s="8" t="s">
        <v>73</v>
      </c>
      <c r="N4152" s="8"/>
    </row>
    <row r="4153" spans="1:14" ht="11.25" customHeight="1">
      <c r="A4153" s="5" t="s">
        <v>11900</v>
      </c>
      <c r="B4153" s="5" t="s">
        <v>11901</v>
      </c>
      <c r="C4153" s="5" t="s">
        <v>12042</v>
      </c>
      <c r="D4153" s="5" t="s">
        <v>11903</v>
      </c>
      <c r="E4153" s="5" t="s">
        <v>67</v>
      </c>
      <c r="F4153" s="5" t="s">
        <v>11904</v>
      </c>
      <c r="G4153" s="5" t="s">
        <v>152</v>
      </c>
      <c r="H4153" s="5" t="s">
        <v>11905</v>
      </c>
      <c r="I4153" s="5" t="s">
        <v>12043</v>
      </c>
      <c r="J4153" s="5" t="s">
        <v>12044</v>
      </c>
      <c r="K4153" s="7" t="str">
        <f ca="1">IFERROR(__xludf.DUMMYFUNCTION("GOOGLETRANSLATE(H4153,""EN"",""ES"")"),"JUEGOS Y JUGUETES")</f>
        <v>JUEGOS Y JUGUETES</v>
      </c>
      <c r="L4153" s="5" t="str">
        <f ca="1">IFERROR(__xludf.DUMMYFUNCTION("GOOGLETRANSLATE(J4153,""EN"",""ES"")"),"Tiza para tacos de billar")</f>
        <v>Tiza para tacos de billar</v>
      </c>
      <c r="M4153" s="8" t="s">
        <v>73</v>
      </c>
      <c r="N4153" s="8"/>
    </row>
    <row r="4154" spans="1:14" ht="11.25" customHeight="1">
      <c r="A4154" s="5" t="s">
        <v>11900</v>
      </c>
      <c r="B4154" s="5" t="s">
        <v>11901</v>
      </c>
      <c r="C4154" s="5" t="s">
        <v>12045</v>
      </c>
      <c r="D4154" s="5" t="s">
        <v>11903</v>
      </c>
      <c r="E4154" s="5" t="s">
        <v>67</v>
      </c>
      <c r="F4154" s="5" t="s">
        <v>11904</v>
      </c>
      <c r="G4154" s="5" t="s">
        <v>152</v>
      </c>
      <c r="H4154" s="5" t="s">
        <v>11905</v>
      </c>
      <c r="I4154" s="5" t="s">
        <v>12046</v>
      </c>
      <c r="J4154" s="5" t="s">
        <v>12047</v>
      </c>
      <c r="K4154" s="7" t="str">
        <f ca="1">IFERROR(__xludf.DUMMYFUNCTION("GOOGLETRANSLATE(H4154,""EN"",""ES"")"),"JUEGOS Y JUGUETES")</f>
        <v>JUEGOS Y JUGUETES</v>
      </c>
      <c r="L4154" s="5" t="str">
        <f ca="1">IFERROR(__xludf.DUMMYFUNCTION("GOOGLETRANSLATE(J4154,""EN"",""ES"")"),"Pipas de pompas de jabón [juguetes]")</f>
        <v>Pipas de pompas de jabón [juguetes]</v>
      </c>
      <c r="M4154" s="8" t="s">
        <v>73</v>
      </c>
      <c r="N4154" s="8"/>
    </row>
    <row r="4155" spans="1:14" ht="11.25" customHeight="1">
      <c r="A4155" s="5" t="s">
        <v>11900</v>
      </c>
      <c r="B4155" s="5" t="s">
        <v>11901</v>
      </c>
      <c r="C4155" s="5" t="s">
        <v>12048</v>
      </c>
      <c r="D4155" s="5" t="s">
        <v>11903</v>
      </c>
      <c r="E4155" s="5" t="s">
        <v>67</v>
      </c>
      <c r="F4155" s="5" t="s">
        <v>11904</v>
      </c>
      <c r="G4155" s="5" t="s">
        <v>152</v>
      </c>
      <c r="H4155" s="5" t="s">
        <v>11905</v>
      </c>
      <c r="I4155" s="5" t="s">
        <v>12049</v>
      </c>
      <c r="J4155" s="5" t="s">
        <v>12050</v>
      </c>
      <c r="K4155" s="7" t="str">
        <f ca="1">IFERROR(__xludf.DUMMYFUNCTION("GOOGLETRANSLATE(H4155,""EN"",""ES"")"),"JUEGOS Y JUGUETES")</f>
        <v>JUEGOS Y JUGUETES</v>
      </c>
      <c r="L4155" s="5" t="str">
        <f ca="1">IFERROR(__xludf.DUMMYFUNCTION("GOOGLETRANSLATE(J4155,""EN"",""ES"")"),"Tablas de cuna")</f>
        <v>Tablas de cuna</v>
      </c>
      <c r="M4155" s="8" t="s">
        <v>73</v>
      </c>
      <c r="N4155" s="8"/>
    </row>
    <row r="4156" spans="1:14" ht="11.25" customHeight="1">
      <c r="A4156" s="5" t="s">
        <v>11900</v>
      </c>
      <c r="B4156" s="5" t="s">
        <v>11901</v>
      </c>
      <c r="C4156" s="5" t="s">
        <v>12051</v>
      </c>
      <c r="D4156" s="5" t="s">
        <v>11903</v>
      </c>
      <c r="E4156" s="5" t="s">
        <v>67</v>
      </c>
      <c r="F4156" s="5" t="s">
        <v>11904</v>
      </c>
      <c r="G4156" s="5" t="s">
        <v>152</v>
      </c>
      <c r="H4156" s="5" t="s">
        <v>11905</v>
      </c>
      <c r="I4156" s="5" t="s">
        <v>12052</v>
      </c>
      <c r="J4156" s="5" t="s">
        <v>12053</v>
      </c>
      <c r="K4156" s="7" t="str">
        <f ca="1">IFERROR(__xludf.DUMMYFUNCTION("GOOGLETRANSLATE(H4156,""EN"",""ES"")"),"JUEGOS Y JUGUETES")</f>
        <v>JUEGOS Y JUGUETES</v>
      </c>
      <c r="L4156" s="5" t="str">
        <f ca="1">IFERROR(__xludf.DUMMYFUNCTION("GOOGLETRANSLATE(J4156,""EN"",""ES"")"),"rompecabezas")</f>
        <v>rompecabezas</v>
      </c>
      <c r="M4156" s="8" t="s">
        <v>73</v>
      </c>
      <c r="N4156" s="8"/>
    </row>
    <row r="4157" spans="1:14" ht="11.25" customHeight="1">
      <c r="A4157" s="5" t="s">
        <v>11900</v>
      </c>
      <c r="B4157" s="5" t="s">
        <v>11901</v>
      </c>
      <c r="C4157" s="5" t="s">
        <v>12054</v>
      </c>
      <c r="D4157" s="5" t="s">
        <v>11903</v>
      </c>
      <c r="E4157" s="5" t="s">
        <v>67</v>
      </c>
      <c r="F4157" s="5" t="s">
        <v>11904</v>
      </c>
      <c r="G4157" s="5" t="s">
        <v>152</v>
      </c>
      <c r="H4157" s="5" t="s">
        <v>11905</v>
      </c>
      <c r="I4157" s="5" t="s">
        <v>12055</v>
      </c>
      <c r="J4157" s="5" t="s">
        <v>12056</v>
      </c>
      <c r="K4157" s="7" t="str">
        <f ca="1">IFERROR(__xludf.DUMMYFUNCTION("GOOGLETRANSLATE(H4157,""EN"",""ES"")"),"JUEGOS Y JUGUETES")</f>
        <v>JUEGOS Y JUGUETES</v>
      </c>
      <c r="L4157" s="5" t="str">
        <f ca="1">IFERROR(__xludf.DUMMYFUNCTION("GOOGLETRANSLATE(J4157,""EN"",""ES"")"),"tacos de billar")</f>
        <v>tacos de billar</v>
      </c>
      <c r="M4157" s="8" t="s">
        <v>73</v>
      </c>
      <c r="N4157" s="8"/>
    </row>
    <row r="4158" spans="1:14" ht="11.25" customHeight="1">
      <c r="A4158" s="5" t="s">
        <v>11900</v>
      </c>
      <c r="B4158" s="5" t="s">
        <v>11901</v>
      </c>
      <c r="C4158" s="5" t="s">
        <v>12057</v>
      </c>
      <c r="D4158" s="5" t="s">
        <v>11903</v>
      </c>
      <c r="E4158" s="5" t="s">
        <v>67</v>
      </c>
      <c r="F4158" s="5" t="s">
        <v>11904</v>
      </c>
      <c r="G4158" s="5" t="s">
        <v>152</v>
      </c>
      <c r="H4158" s="5" t="s">
        <v>11905</v>
      </c>
      <c r="I4158" s="5" t="s">
        <v>12058</v>
      </c>
      <c r="J4158" s="5" t="s">
        <v>12059</v>
      </c>
      <c r="K4158" s="7" t="str">
        <f ca="1">IFERROR(__xludf.DUMMYFUNCTION("GOOGLETRANSLATE(H4158,""EN"",""ES"")"),"JUEGOS Y JUGUETES")</f>
        <v>JUEGOS Y JUGUETES</v>
      </c>
      <c r="L4158" s="5" t="str">
        <f ca="1">IFERROR(__xludf.DUMMYFUNCTION("GOOGLETRANSLATE(J4158,""EN"",""ES"")"),"Cajas sorpresa")</f>
        <v>Cajas sorpresa</v>
      </c>
      <c r="M4158" s="8" t="s">
        <v>73</v>
      </c>
      <c r="N4158" s="8"/>
    </row>
    <row r="4159" spans="1:14" ht="11.25" customHeight="1">
      <c r="A4159" s="5" t="s">
        <v>11900</v>
      </c>
      <c r="B4159" s="5" t="s">
        <v>11901</v>
      </c>
      <c r="C4159" s="5" t="s">
        <v>12060</v>
      </c>
      <c r="D4159" s="5" t="s">
        <v>11903</v>
      </c>
      <c r="E4159" s="5" t="s">
        <v>67</v>
      </c>
      <c r="F4159" s="5" t="s">
        <v>11904</v>
      </c>
      <c r="G4159" s="5" t="s">
        <v>152</v>
      </c>
      <c r="H4159" s="5" t="s">
        <v>11905</v>
      </c>
      <c r="I4159" s="5" t="s">
        <v>12061</v>
      </c>
      <c r="J4159" s="5" t="s">
        <v>12062</v>
      </c>
      <c r="K4159" s="7" t="str">
        <f ca="1">IFERROR(__xludf.DUMMYFUNCTION("GOOGLETRANSLATE(H4159,""EN"",""ES"")"),"JUEGOS Y JUGUETES")</f>
        <v>JUEGOS Y JUGUETES</v>
      </c>
      <c r="L4159" s="5" t="str">
        <f ca="1">IFERROR(__xludf.DUMMYFUNCTION("GOOGLETRANSLATE(J4159,""EN"",""ES"")"),"Prendas de vestir para muñecas.")</f>
        <v>Prendas de vestir para muñecas.</v>
      </c>
      <c r="M4159" s="8" t="s">
        <v>73</v>
      </c>
      <c r="N4159" s="8"/>
    </row>
    <row r="4160" spans="1:14" ht="11.25" customHeight="1">
      <c r="A4160" s="5" t="s">
        <v>11900</v>
      </c>
      <c r="B4160" s="5" t="s">
        <v>11901</v>
      </c>
      <c r="C4160" s="5" t="s">
        <v>12063</v>
      </c>
      <c r="D4160" s="5" t="s">
        <v>11903</v>
      </c>
      <c r="E4160" s="5" t="s">
        <v>67</v>
      </c>
      <c r="F4160" s="5" t="s">
        <v>11904</v>
      </c>
      <c r="G4160" s="5" t="s">
        <v>152</v>
      </c>
      <c r="H4160" s="5" t="s">
        <v>11905</v>
      </c>
      <c r="I4160" s="5" t="s">
        <v>12064</v>
      </c>
      <c r="J4160" s="5" t="s">
        <v>12065</v>
      </c>
      <c r="K4160" s="7" t="str">
        <f ca="1">IFERROR(__xludf.DUMMYFUNCTION("GOOGLETRANSLATE(H4160,""EN"",""ES"")"),"JUEGOS Y JUGUETES")</f>
        <v>JUEGOS Y JUGUETES</v>
      </c>
      <c r="L4160" s="5" t="str">
        <f ca="1">IFERROR(__xludf.DUMMYFUNCTION("GOOGLETRANSLATE(J4160,""EN"",""ES"")"),"juguetes electronicos")</f>
        <v>juguetes electronicos</v>
      </c>
      <c r="M4160" s="8" t="s">
        <v>73</v>
      </c>
      <c r="N4160" s="8"/>
    </row>
    <row r="4161" spans="1:14" ht="11.25" customHeight="1">
      <c r="A4161" s="5" t="s">
        <v>11900</v>
      </c>
      <c r="B4161" s="5" t="s">
        <v>11901</v>
      </c>
      <c r="C4161" s="5" t="s">
        <v>12066</v>
      </c>
      <c r="D4161" s="5" t="s">
        <v>11903</v>
      </c>
      <c r="E4161" s="5" t="s">
        <v>67</v>
      </c>
      <c r="F4161" s="5" t="s">
        <v>11904</v>
      </c>
      <c r="G4161" s="5" t="s">
        <v>152</v>
      </c>
      <c r="H4161" s="5" t="s">
        <v>11905</v>
      </c>
      <c r="I4161" s="5" t="s">
        <v>12067</v>
      </c>
      <c r="J4161" s="5" t="s">
        <v>12068</v>
      </c>
      <c r="K4161" s="7" t="str">
        <f ca="1">IFERROR(__xludf.DUMMYFUNCTION("GOOGLETRANSLATE(H4161,""EN"",""ES"")"),"JUEGOS Y JUGUETES")</f>
        <v>JUEGOS Y JUGUETES</v>
      </c>
      <c r="L4161" s="5" t="str">
        <f ca="1">IFERROR(__xludf.DUMMYFUNCTION("GOOGLETRANSLATE(J4161,""EN"",""ES"")"),"joysticks para juguetes")</f>
        <v>joysticks para juguetes</v>
      </c>
      <c r="M4161" s="8" t="s">
        <v>73</v>
      </c>
      <c r="N4161" s="8"/>
    </row>
    <row r="4162" spans="1:14" ht="11.25" customHeight="1">
      <c r="A4162" s="5" t="s">
        <v>11900</v>
      </c>
      <c r="B4162" s="5" t="s">
        <v>11901</v>
      </c>
      <c r="C4162" s="5" t="s">
        <v>12069</v>
      </c>
      <c r="D4162" s="5" t="s">
        <v>11903</v>
      </c>
      <c r="E4162" s="5" t="s">
        <v>67</v>
      </c>
      <c r="F4162" s="5" t="s">
        <v>11904</v>
      </c>
      <c r="G4162" s="5" t="s">
        <v>152</v>
      </c>
      <c r="H4162" s="5" t="s">
        <v>11905</v>
      </c>
      <c r="I4162" s="5" t="s">
        <v>12070</v>
      </c>
      <c r="J4162" s="5" t="s">
        <v>12071</v>
      </c>
      <c r="K4162" s="7" t="str">
        <f ca="1">IFERROR(__xludf.DUMMYFUNCTION("GOOGLETRANSLATE(H4162,""EN"",""ES"")"),"JUEGOS Y JUGUETES")</f>
        <v>JUEGOS Y JUGUETES</v>
      </c>
      <c r="L4162" s="5" t="str">
        <f ca="1">IFERROR(__xludf.DUMMYFUNCTION("GOOGLETRANSLATE(J4162,""EN"",""ES"")"),"Triciclos [juguetes]")</f>
        <v>Triciclos [juguetes]</v>
      </c>
      <c r="M4162" s="8" t="s">
        <v>73</v>
      </c>
      <c r="N4162" s="8"/>
    </row>
    <row r="4163" spans="1:14" ht="11.25" customHeight="1">
      <c r="A4163" s="5" t="s">
        <v>11900</v>
      </c>
      <c r="B4163" s="5" t="s">
        <v>11901</v>
      </c>
      <c r="C4163" s="5" t="s">
        <v>12072</v>
      </c>
      <c r="D4163" s="5" t="s">
        <v>11903</v>
      </c>
      <c r="E4163" s="5" t="s">
        <v>67</v>
      </c>
      <c r="F4163" s="5" t="s">
        <v>11904</v>
      </c>
      <c r="G4163" s="5" t="s">
        <v>152</v>
      </c>
      <c r="H4163" s="5" t="s">
        <v>11905</v>
      </c>
      <c r="I4163" s="5" t="s">
        <v>12073</v>
      </c>
      <c r="J4163" s="5" t="s">
        <v>12074</v>
      </c>
      <c r="K4163" s="7" t="str">
        <f ca="1">IFERROR(__xludf.DUMMYFUNCTION("GOOGLETRANSLATE(H4163,""EN"",""ES"")"),"JUEGOS Y JUGUETES")</f>
        <v>JUEGOS Y JUGUETES</v>
      </c>
      <c r="L4163" s="5" t="str">
        <f ca="1">IFERROR(__xludf.DUMMYFUNCTION("GOOGLETRANSLATE(J4163,""EN"",""ES"")"),"muñecas de papel")</f>
        <v>muñecas de papel</v>
      </c>
      <c r="M4163" s="8" t="s">
        <v>73</v>
      </c>
      <c r="N4163" s="8"/>
    </row>
    <row r="4164" spans="1:14" ht="11.25" customHeight="1">
      <c r="A4164" s="5" t="s">
        <v>11900</v>
      </c>
      <c r="B4164" s="5" t="s">
        <v>11901</v>
      </c>
      <c r="C4164" s="5" t="s">
        <v>12075</v>
      </c>
      <c r="D4164" s="5" t="s">
        <v>11903</v>
      </c>
      <c r="E4164" s="5" t="s">
        <v>67</v>
      </c>
      <c r="F4164" s="5" t="s">
        <v>11904</v>
      </c>
      <c r="G4164" s="5" t="s">
        <v>152</v>
      </c>
      <c r="H4164" s="5" t="s">
        <v>11905</v>
      </c>
      <c r="I4164" s="5" t="s">
        <v>12076</v>
      </c>
      <c r="J4164" s="5" t="s">
        <v>12077</v>
      </c>
      <c r="K4164" s="7" t="str">
        <f ca="1">IFERROR(__xludf.DUMMYFUNCTION("GOOGLETRANSLATE(H4164,""EN"",""ES"")"),"JUEGOS Y JUGUETES")</f>
        <v>JUEGOS Y JUGUETES</v>
      </c>
      <c r="L4164" s="5" t="str">
        <f ca="1">IFERROR(__xludf.DUMMYFUNCTION("GOOGLETRANSLATE(J4164,""EN"",""ES"")"),"Estaciones de juegos electrónicos")</f>
        <v>Estaciones de juegos electrónicos</v>
      </c>
      <c r="M4164" s="8" t="s">
        <v>73</v>
      </c>
      <c r="N4164" s="8"/>
    </row>
    <row r="4165" spans="1:14" ht="11.25" customHeight="1">
      <c r="A4165" s="5" t="s">
        <v>11900</v>
      </c>
      <c r="B4165" s="5" t="s">
        <v>11901</v>
      </c>
      <c r="C4165" s="5" t="s">
        <v>12078</v>
      </c>
      <c r="D4165" s="5" t="s">
        <v>11903</v>
      </c>
      <c r="E4165" s="5" t="s">
        <v>67</v>
      </c>
      <c r="F4165" s="5" t="s">
        <v>11904</v>
      </c>
      <c r="G4165" s="5" t="s">
        <v>152</v>
      </c>
      <c r="H4165" s="5" t="s">
        <v>11905</v>
      </c>
      <c r="I4165" s="5" t="s">
        <v>12079</v>
      </c>
      <c r="J4165" s="5" t="s">
        <v>12080</v>
      </c>
      <c r="K4165" s="7" t="str">
        <f ca="1">IFERROR(__xludf.DUMMYFUNCTION("GOOGLETRANSLATE(H4165,""EN"",""ES"")"),"JUEGOS Y JUGUETES")</f>
        <v>JUEGOS Y JUGUETES</v>
      </c>
      <c r="L4165" s="5" t="str">
        <f ca="1">IFERROR(__xludf.DUMMYFUNCTION("GOOGLETRANSLATE(J4165,""EN"",""ES"")"),"consolas de juegos electronicos")</f>
        <v>consolas de juegos electronicos</v>
      </c>
      <c r="M4165" s="8" t="s">
        <v>73</v>
      </c>
      <c r="N4165" s="8"/>
    </row>
    <row r="4166" spans="1:14" ht="11.25" customHeight="1">
      <c r="A4166" s="5" t="s">
        <v>11900</v>
      </c>
      <c r="B4166" s="5" t="s">
        <v>11901</v>
      </c>
      <c r="C4166" s="5" t="s">
        <v>12081</v>
      </c>
      <c r="D4166" s="5" t="s">
        <v>11903</v>
      </c>
      <c r="E4166" s="5" t="s">
        <v>67</v>
      </c>
      <c r="F4166" s="5" t="s">
        <v>11904</v>
      </c>
      <c r="G4166" s="5" t="s">
        <v>152</v>
      </c>
      <c r="H4166" s="5" t="s">
        <v>11905</v>
      </c>
      <c r="I4166" s="5" t="s">
        <v>12082</v>
      </c>
      <c r="J4166" s="5" t="s">
        <v>12083</v>
      </c>
      <c r="K4166" s="7" t="str">
        <f ca="1">IFERROR(__xludf.DUMMYFUNCTION("GOOGLETRANSLATE(H4166,""EN"",""ES"")"),"JUEGOS Y JUGUETES")</f>
        <v>JUEGOS Y JUGUETES</v>
      </c>
      <c r="L4166" s="5" t="str">
        <f ca="1">IFERROR(__xludf.DUMMYFUNCTION("GOOGLETRANSLATE(J4166,""EN"",""ES"")"),"juguetes a control remoto")</f>
        <v>juguetes a control remoto</v>
      </c>
      <c r="M4166" s="8" t="s">
        <v>73</v>
      </c>
      <c r="N4166" s="8"/>
    </row>
    <row r="4167" spans="1:14" ht="11.25" customHeight="1">
      <c r="A4167" s="5" t="s">
        <v>11900</v>
      </c>
      <c r="B4167" s="5" t="s">
        <v>11901</v>
      </c>
      <c r="C4167" s="5" t="s">
        <v>12084</v>
      </c>
      <c r="D4167" s="5" t="s">
        <v>11903</v>
      </c>
      <c r="E4167" s="5" t="s">
        <v>67</v>
      </c>
      <c r="F4167" s="5" t="s">
        <v>11904</v>
      </c>
      <c r="G4167" s="5" t="s">
        <v>152</v>
      </c>
      <c r="H4167" s="5" t="s">
        <v>11905</v>
      </c>
      <c r="I4167" s="5" t="s">
        <v>12085</v>
      </c>
      <c r="J4167" s="5" t="s">
        <v>12086</v>
      </c>
      <c r="K4167" s="7" t="str">
        <f ca="1">IFERROR(__xludf.DUMMYFUNCTION("GOOGLETRANSLATE(H4167,""EN"",""ES"")"),"JUEGOS Y JUGUETES")</f>
        <v>JUEGOS Y JUGUETES</v>
      </c>
      <c r="L4167" s="5" t="str">
        <f ca="1">IFERROR(__xludf.DUMMYFUNCTION("GOOGLETRANSLATE(J4167,""EN"",""ES"")"),"Cartuchos de juego para juegos electrónicos o estaciones de juegos electrónicos")</f>
        <v>Cartuchos de juego para juegos electrónicos o estaciones de juegos electrónicos</v>
      </c>
      <c r="M4167" s="8" t="s">
        <v>73</v>
      </c>
      <c r="N4167" s="8"/>
    </row>
    <row r="4168" spans="1:14" ht="11.25" customHeight="1">
      <c r="A4168" s="5" t="s">
        <v>11900</v>
      </c>
      <c r="B4168" s="5" t="s">
        <v>11901</v>
      </c>
      <c r="C4168" s="5" t="s">
        <v>12087</v>
      </c>
      <c r="D4168" s="5" t="s">
        <v>11903</v>
      </c>
      <c r="E4168" s="5" t="s">
        <v>67</v>
      </c>
      <c r="F4168" s="5" t="s">
        <v>11904</v>
      </c>
      <c r="G4168" s="5" t="s">
        <v>152</v>
      </c>
      <c r="H4168" s="5" t="s">
        <v>11905</v>
      </c>
      <c r="I4168" s="5" t="s">
        <v>12088</v>
      </c>
      <c r="J4168" s="5" t="s">
        <v>12089</v>
      </c>
      <c r="K4168" s="7" t="str">
        <f ca="1">IFERROR(__xludf.DUMMYFUNCTION("GOOGLETRANSLATE(H4168,""EN"",""ES"")"),"JUEGOS Y JUGUETES")</f>
        <v>JUEGOS Y JUGUETES</v>
      </c>
      <c r="L4168" s="5" t="str">
        <f ca="1">IFERROR(__xludf.DUMMYFUNCTION("GOOGLETRANSLATE(J4168,""EN"",""ES"")"),"billar electrónico")</f>
        <v>billar electrónico</v>
      </c>
      <c r="M4168" s="8" t="s">
        <v>73</v>
      </c>
      <c r="N4168" s="8"/>
    </row>
    <row r="4169" spans="1:14" ht="11.25" customHeight="1">
      <c r="A4169" s="5" t="s">
        <v>11900</v>
      </c>
      <c r="B4169" s="5" t="s">
        <v>11901</v>
      </c>
      <c r="C4169" s="5" t="s">
        <v>12090</v>
      </c>
      <c r="D4169" s="5" t="s">
        <v>11903</v>
      </c>
      <c r="E4169" s="5" t="s">
        <v>67</v>
      </c>
      <c r="F4169" s="5" t="s">
        <v>11904</v>
      </c>
      <c r="G4169" s="5" t="s">
        <v>152</v>
      </c>
      <c r="H4169" s="5" t="s">
        <v>11905</v>
      </c>
      <c r="I4169" s="5" t="s">
        <v>12091</v>
      </c>
      <c r="J4169" s="5" t="s">
        <v>12092</v>
      </c>
      <c r="K4169" s="7" t="str">
        <f ca="1">IFERROR(__xludf.DUMMYFUNCTION("GOOGLETRANSLATE(H4169,""EN"",""ES"")"),"JUEGOS Y JUGUETES")</f>
        <v>JUEGOS Y JUGUETES</v>
      </c>
      <c r="L4169" s="5" t="str">
        <f ca="1">IFERROR(__xludf.DUMMYFUNCTION("GOOGLETRANSLATE(J4169,""EN"",""ES"")"),"juegos electronicos")</f>
        <v>juegos electronicos</v>
      </c>
      <c r="M4169" s="8" t="s">
        <v>73</v>
      </c>
      <c r="N4169" s="8"/>
    </row>
    <row r="4170" spans="1:14" ht="11.25" customHeight="1">
      <c r="A4170" s="5" t="s">
        <v>11900</v>
      </c>
      <c r="B4170" s="5" t="s">
        <v>11901</v>
      </c>
      <c r="C4170" s="5" t="s">
        <v>12093</v>
      </c>
      <c r="D4170" s="5" t="s">
        <v>11903</v>
      </c>
      <c r="E4170" s="5" t="s">
        <v>67</v>
      </c>
      <c r="F4170" s="5" t="s">
        <v>11904</v>
      </c>
      <c r="G4170" s="5" t="s">
        <v>152</v>
      </c>
      <c r="H4170" s="5" t="s">
        <v>11905</v>
      </c>
      <c r="I4170" s="5" t="s">
        <v>12094</v>
      </c>
      <c r="J4170" s="5" t="s">
        <v>12095</v>
      </c>
      <c r="K4170" s="7" t="str">
        <f ca="1">IFERROR(__xludf.DUMMYFUNCTION("GOOGLETRANSLATE(H4170,""EN"",""ES"")"),"JUEGOS Y JUGUETES")</f>
        <v>JUEGOS Y JUGUETES</v>
      </c>
      <c r="L4170" s="5" t="str">
        <f ca="1">IFERROR(__xludf.DUMMYFUNCTION("GOOGLETRANSLATE(J4170,""EN"",""ES"")"),"Vehículos [juguetes]")</f>
        <v>Vehículos [juguetes]</v>
      </c>
      <c r="M4170" s="8" t="s">
        <v>73</v>
      </c>
      <c r="N4170" s="8"/>
    </row>
    <row r="4171" spans="1:14" ht="11.25" customHeight="1">
      <c r="A4171" s="5" t="s">
        <v>11900</v>
      </c>
      <c r="B4171" s="5" t="s">
        <v>11901</v>
      </c>
      <c r="C4171" s="5" t="s">
        <v>12096</v>
      </c>
      <c r="D4171" s="5" t="s">
        <v>11903</v>
      </c>
      <c r="E4171" s="5" t="s">
        <v>67</v>
      </c>
      <c r="F4171" s="5" t="s">
        <v>11904</v>
      </c>
      <c r="G4171" s="5" t="s">
        <v>152</v>
      </c>
      <c r="H4171" s="5" t="s">
        <v>11905</v>
      </c>
      <c r="I4171" s="5" t="s">
        <v>12097</v>
      </c>
      <c r="J4171" s="5" t="s">
        <v>12098</v>
      </c>
      <c r="K4171" s="7" t="str">
        <f ca="1">IFERROR(__xludf.DUMMYFUNCTION("GOOGLETRANSLATE(H4171,""EN"",""ES"")"),"JUEGOS Y JUGUETES")</f>
        <v>JUEGOS Y JUGUETES</v>
      </c>
      <c r="L4171" s="5" t="str">
        <f ca="1">IFERROR(__xludf.DUMMYFUNCTION("GOOGLETRANSLATE(J4171,""EN"",""ES"")"),"Figuras [juguetes]")</f>
        <v>Figuras [juguetes]</v>
      </c>
      <c r="M4171" s="8" t="s">
        <v>73</v>
      </c>
      <c r="N4171" s="8"/>
    </row>
    <row r="4172" spans="1:14" ht="11.25" customHeight="1">
      <c r="A4172" s="5" t="s">
        <v>11900</v>
      </c>
      <c r="B4172" s="5" t="s">
        <v>11901</v>
      </c>
      <c r="C4172" s="5" t="s">
        <v>12099</v>
      </c>
      <c r="D4172" s="5" t="s">
        <v>11903</v>
      </c>
      <c r="E4172" s="5" t="s">
        <v>67</v>
      </c>
      <c r="F4172" s="5" t="s">
        <v>11904</v>
      </c>
      <c r="G4172" s="5" t="s">
        <v>152</v>
      </c>
      <c r="H4172" s="5" t="s">
        <v>11905</v>
      </c>
      <c r="I4172" s="5" t="s">
        <v>12100</v>
      </c>
      <c r="J4172" s="5" t="s">
        <v>12101</v>
      </c>
      <c r="K4172" s="7" t="str">
        <f ca="1">IFERROR(__xludf.DUMMYFUNCTION("GOOGLETRANSLATE(H4172,""EN"",""ES"")"),"JUEGOS Y JUGUETES")</f>
        <v>JUEGOS Y JUGUETES</v>
      </c>
      <c r="L4172" s="5" t="str">
        <f ca="1">IFERROR(__xludf.DUMMYFUNCTION("GOOGLETRANSLATE(J4172,""EN"",""ES"")"),"peluches")</f>
        <v>peluches</v>
      </c>
      <c r="M4172" s="8" t="s">
        <v>73</v>
      </c>
      <c r="N4172" s="8"/>
    </row>
    <row r="4173" spans="1:14" ht="11.25" customHeight="1">
      <c r="A4173" s="5" t="s">
        <v>11900</v>
      </c>
      <c r="B4173" s="5" t="s">
        <v>11901</v>
      </c>
      <c r="C4173" s="5" t="s">
        <v>12102</v>
      </c>
      <c r="D4173" s="5" t="s">
        <v>11903</v>
      </c>
      <c r="E4173" s="5" t="s">
        <v>67</v>
      </c>
      <c r="F4173" s="5" t="s">
        <v>11904</v>
      </c>
      <c r="G4173" s="5" t="s">
        <v>152</v>
      </c>
      <c r="H4173" s="5" t="s">
        <v>11905</v>
      </c>
      <c r="I4173" s="5" t="s">
        <v>12103</v>
      </c>
      <c r="J4173" s="5" t="s">
        <v>12104</v>
      </c>
      <c r="K4173" s="7" t="str">
        <f ca="1">IFERROR(__xludf.DUMMYFUNCTION("GOOGLETRANSLATE(H4173,""EN"",""ES"")"),"JUEGOS Y JUGUETES")</f>
        <v>JUEGOS Y JUGUETES</v>
      </c>
      <c r="L4173" s="5" t="str">
        <f ca="1">IFERROR(__xludf.DUMMYFUNCTION("GOOGLETRANSLATE(J4173,""EN"",""ES"")"),"Conjuntos de backgammon")</f>
        <v>Conjuntos de backgammon</v>
      </c>
      <c r="M4173" s="8" t="s">
        <v>73</v>
      </c>
      <c r="N4173" s="8"/>
    </row>
    <row r="4174" spans="1:14" ht="11.25" customHeight="1">
      <c r="A4174" s="5" t="s">
        <v>11900</v>
      </c>
      <c r="B4174" s="5" t="s">
        <v>11901</v>
      </c>
      <c r="C4174" s="5" t="s">
        <v>12105</v>
      </c>
      <c r="D4174" s="5" t="s">
        <v>11903</v>
      </c>
      <c r="E4174" s="5" t="s">
        <v>67</v>
      </c>
      <c r="F4174" s="5" t="s">
        <v>11904</v>
      </c>
      <c r="G4174" s="5" t="s">
        <v>152</v>
      </c>
      <c r="H4174" s="5" t="s">
        <v>11905</v>
      </c>
      <c r="I4174" s="5" t="s">
        <v>12106</v>
      </c>
      <c r="J4174" s="5" t="s">
        <v>12107</v>
      </c>
      <c r="K4174" s="7" t="str">
        <f ca="1">IFERROR(__xludf.DUMMYFUNCTION("GOOGLETRANSLATE(H4174,""EN"",""ES"")"),"JUEGOS Y JUGUETES")</f>
        <v>JUEGOS Y JUGUETES</v>
      </c>
      <c r="L4174" s="5" t="str">
        <f ca="1">IFERROR(__xludf.DUMMYFUNCTION("GOOGLETRANSLATE(J4174,""EN"",""ES"")"),"juegos de mesa")</f>
        <v>juegos de mesa</v>
      </c>
      <c r="M4174" s="8" t="s">
        <v>73</v>
      </c>
      <c r="N4174" s="8"/>
    </row>
    <row r="4175" spans="1:14" ht="11.25" customHeight="1">
      <c r="A4175" s="5" t="s">
        <v>11900</v>
      </c>
      <c r="B4175" s="5" t="s">
        <v>11901</v>
      </c>
      <c r="C4175" s="5" t="s">
        <v>12108</v>
      </c>
      <c r="D4175" s="5" t="s">
        <v>11903</v>
      </c>
      <c r="E4175" s="5" t="s">
        <v>67</v>
      </c>
      <c r="F4175" s="5" t="s">
        <v>11904</v>
      </c>
      <c r="G4175" s="5" t="s">
        <v>152</v>
      </c>
      <c r="H4175" s="5" t="s">
        <v>11905</v>
      </c>
      <c r="I4175" s="5" t="s">
        <v>12109</v>
      </c>
      <c r="J4175" s="5" t="s">
        <v>12110</v>
      </c>
      <c r="K4175" s="7" t="str">
        <f ca="1">IFERROR(__xludf.DUMMYFUNCTION("GOOGLETRANSLATE(H4175,""EN"",""ES"")"),"JUEGOS Y JUGUETES")</f>
        <v>JUEGOS Y JUGUETES</v>
      </c>
      <c r="L4175" s="5" t="str">
        <f ca="1">IFERROR(__xludf.DUMMYFUNCTION("GOOGLETRANSLATE(J4175,""EN"",""ES"")"),"Almohadillas de baile [juegos electrónicos]")</f>
        <v>Almohadillas de baile [juegos electrónicos]</v>
      </c>
      <c r="M4175" s="8" t="s">
        <v>73</v>
      </c>
      <c r="N4175" s="8"/>
    </row>
    <row r="4176" spans="1:14" ht="11.25" customHeight="1">
      <c r="A4176" s="5" t="s">
        <v>11900</v>
      </c>
      <c r="B4176" s="5" t="s">
        <v>11901</v>
      </c>
      <c r="C4176" s="5" t="s">
        <v>12111</v>
      </c>
      <c r="D4176" s="5" t="s">
        <v>11903</v>
      </c>
      <c r="E4176" s="5" t="s">
        <v>67</v>
      </c>
      <c r="F4176" s="5" t="s">
        <v>11904</v>
      </c>
      <c r="G4176" s="5" t="s">
        <v>152</v>
      </c>
      <c r="H4176" s="5" t="s">
        <v>11905</v>
      </c>
      <c r="I4176" s="5" t="s">
        <v>12112</v>
      </c>
      <c r="J4176" s="5" t="s">
        <v>12113</v>
      </c>
      <c r="K4176" s="7" t="str">
        <f ca="1">IFERROR(__xludf.DUMMYFUNCTION("GOOGLETRANSLATE(H4176,""EN"",""ES"")"),"JUEGOS Y JUGUETES")</f>
        <v>JUEGOS Y JUGUETES</v>
      </c>
      <c r="L4176" s="5" t="str">
        <f ca="1">IFERROR(__xludf.DUMMYFUNCTION("GOOGLETRANSLATE(J4176,""EN"",""ES"")"),"Marionetas de guante")</f>
        <v>Marionetas de guante</v>
      </c>
      <c r="M4176" s="8" t="s">
        <v>73</v>
      </c>
      <c r="N4176" s="8"/>
    </row>
    <row r="4177" spans="1:14" ht="11.25" customHeight="1">
      <c r="A4177" s="5" t="s">
        <v>11900</v>
      </c>
      <c r="B4177" s="5" t="s">
        <v>11901</v>
      </c>
      <c r="C4177" s="5" t="s">
        <v>12114</v>
      </c>
      <c r="D4177" s="5" t="s">
        <v>11903</v>
      </c>
      <c r="E4177" s="5" t="s">
        <v>67</v>
      </c>
      <c r="F4177" s="5" t="s">
        <v>11904</v>
      </c>
      <c r="G4177" s="5" t="s">
        <v>152</v>
      </c>
      <c r="H4177" s="5" t="s">
        <v>11905</v>
      </c>
      <c r="I4177" s="5" t="s">
        <v>12115</v>
      </c>
      <c r="J4177" s="5" t="s">
        <v>12116</v>
      </c>
      <c r="K4177" s="7" t="str">
        <f ca="1">IFERROR(__xludf.DUMMYFUNCTION("GOOGLETRANSLATE(H4177,""EN"",""ES"")"),"JUEGOS Y JUGUETES")</f>
        <v>JUEGOS Y JUGUETES</v>
      </c>
      <c r="L4177" s="5" t="str">
        <f ca="1">IFERROR(__xludf.DUMMYFUNCTION("GOOGLETRANSLATE(J4177,""EN"",""ES"")"),"Robots [juguetes]")</f>
        <v>Robots [juguetes]</v>
      </c>
      <c r="M4177" s="8" t="s">
        <v>73</v>
      </c>
      <c r="N4177" s="8"/>
    </row>
    <row r="4178" spans="1:14" ht="11.25" customHeight="1">
      <c r="A4178" s="5" t="s">
        <v>11900</v>
      </c>
      <c r="B4178" s="5" t="s">
        <v>11901</v>
      </c>
      <c r="C4178" s="5" t="s">
        <v>12117</v>
      </c>
      <c r="D4178" s="5" t="s">
        <v>11903</v>
      </c>
      <c r="E4178" s="5" t="s">
        <v>67</v>
      </c>
      <c r="F4178" s="5" t="s">
        <v>11904</v>
      </c>
      <c r="G4178" s="5" t="s">
        <v>152</v>
      </c>
      <c r="H4178" s="5" t="s">
        <v>11905</v>
      </c>
      <c r="I4178" s="5" t="s">
        <v>12118</v>
      </c>
      <c r="J4178" s="5" t="s">
        <v>12119</v>
      </c>
      <c r="K4178" s="7" t="str">
        <f ca="1">IFERROR(__xludf.DUMMYFUNCTION("GOOGLETRANSLATE(H4178,""EN"",""ES"")"),"JUEGOS Y JUGUETES")</f>
        <v>JUEGOS Y JUGUETES</v>
      </c>
      <c r="L4178" s="5" t="str">
        <f ca="1">IFERROR(__xludf.DUMMYFUNCTION("GOOGLETRANSLATE(J4178,""EN"",""ES"")"),"Drones [juguetes]")</f>
        <v>Drones [juguetes]</v>
      </c>
      <c r="M4178" s="8" t="s">
        <v>73</v>
      </c>
      <c r="N4178" s="8"/>
    </row>
    <row r="4179" spans="1:14" ht="11.25" customHeight="1">
      <c r="A4179" s="5" t="s">
        <v>11900</v>
      </c>
      <c r="B4179" s="5" t="s">
        <v>11901</v>
      </c>
      <c r="C4179" s="5" t="s">
        <v>12120</v>
      </c>
      <c r="D4179" s="5" t="s">
        <v>11903</v>
      </c>
      <c r="E4179" s="5" t="s">
        <v>67</v>
      </c>
      <c r="F4179" s="5" t="s">
        <v>11904</v>
      </c>
      <c r="G4179" s="5" t="s">
        <v>152</v>
      </c>
      <c r="H4179" s="5" t="s">
        <v>11905</v>
      </c>
      <c r="I4179" s="5" t="s">
        <v>12121</v>
      </c>
      <c r="J4179" s="5" t="s">
        <v>12122</v>
      </c>
      <c r="K4179" s="7" t="str">
        <f ca="1">IFERROR(__xludf.DUMMYFUNCTION("GOOGLETRANSLATE(H4179,""EN"",""ES"")"),"JUEGOS Y JUGUETES")</f>
        <v>JUEGOS Y JUGUETES</v>
      </c>
      <c r="L4179" s="5" t="str">
        <f ca="1">IFERROR(__xludf.DUMMYFUNCTION("GOOGLETRANSLATE(J4179,""EN"",""ES"")"),"mesas de futbolín")</f>
        <v>mesas de futbolín</v>
      </c>
      <c r="M4179" s="8" t="s">
        <v>73</v>
      </c>
      <c r="N4179" s="8"/>
    </row>
    <row r="4180" spans="1:14" ht="11.25" customHeight="1">
      <c r="A4180" s="5" t="s">
        <v>11900</v>
      </c>
      <c r="B4180" s="5" t="s">
        <v>11901</v>
      </c>
      <c r="C4180" s="5" t="s">
        <v>12120</v>
      </c>
      <c r="D4180" s="5" t="s">
        <v>11903</v>
      </c>
      <c r="E4180" s="5" t="s">
        <v>67</v>
      </c>
      <c r="F4180" s="5" t="s">
        <v>11904</v>
      </c>
      <c r="G4180" s="5" t="s">
        <v>152</v>
      </c>
      <c r="H4180" s="5" t="s">
        <v>11905</v>
      </c>
      <c r="I4180" s="5" t="s">
        <v>12123</v>
      </c>
      <c r="J4180" s="5" t="s">
        <v>152</v>
      </c>
      <c r="K4180" s="7" t="str">
        <f ca="1">IFERROR(__xludf.DUMMYFUNCTION("GOOGLETRANSLATE(H4180,""EN"",""ES"")"),"JUEGOS Y JUGUETES")</f>
        <v>JUEGOS Y JUGUETES</v>
      </c>
      <c r="L4180" s="5" t="str">
        <f ca="1">IFERROR(__xludf.DUMMYFUNCTION("GOOGLETRANSLATE(J4180,""EN"",""ES"")"),"futbolines")</f>
        <v>futbolines</v>
      </c>
      <c r="M4180" s="8" t="s">
        <v>73</v>
      </c>
      <c r="N4180" s="8"/>
    </row>
    <row r="4181" spans="1:14" ht="11.25" customHeight="1">
      <c r="A4181" s="5" t="s">
        <v>11900</v>
      </c>
      <c r="B4181" s="5" t="s">
        <v>11901</v>
      </c>
      <c r="C4181" s="5" t="s">
        <v>12124</v>
      </c>
      <c r="D4181" s="5" t="s">
        <v>11903</v>
      </c>
      <c r="E4181" s="5" t="s">
        <v>67</v>
      </c>
      <c r="F4181" s="5" t="s">
        <v>11904</v>
      </c>
      <c r="G4181" s="5" t="s">
        <v>152</v>
      </c>
      <c r="H4181" s="5" t="s">
        <v>11905</v>
      </c>
      <c r="I4181" s="5" t="s">
        <v>12125</v>
      </c>
      <c r="J4181" s="5" t="s">
        <v>12126</v>
      </c>
      <c r="K4181" s="7" t="str">
        <f ca="1">IFERROR(__xludf.DUMMYFUNCTION("GOOGLETRANSLATE(H4181,""EN"",""ES"")"),"JUEGOS Y JUGUETES")</f>
        <v>JUEGOS Y JUGUETES</v>
      </c>
      <c r="L4181" s="5" t="str">
        <f ca="1">IFERROR(__xludf.DUMMYFUNCTION("GOOGLETRANSLATE(J4181,""EN"",""ES"")"),"Mesas para puente")</f>
        <v>Mesas para puente</v>
      </c>
      <c r="M4181" s="8" t="s">
        <v>73</v>
      </c>
      <c r="N4181" s="8"/>
    </row>
    <row r="4182" spans="1:14" ht="11.25" customHeight="1">
      <c r="A4182" s="5" t="s">
        <v>11900</v>
      </c>
      <c r="B4182" s="5" t="s">
        <v>11901</v>
      </c>
      <c r="C4182" s="5" t="s">
        <v>12127</v>
      </c>
      <c r="D4182" s="5" t="s">
        <v>11903</v>
      </c>
      <c r="E4182" s="5" t="s">
        <v>67</v>
      </c>
      <c r="F4182" s="5" t="s">
        <v>11904</v>
      </c>
      <c r="G4182" s="5" t="s">
        <v>152</v>
      </c>
      <c r="H4182" s="5" t="s">
        <v>11905</v>
      </c>
      <c r="I4182" s="5" t="s">
        <v>12128</v>
      </c>
      <c r="J4182" s="5" t="s">
        <v>12129</v>
      </c>
      <c r="K4182" s="7" t="str">
        <f ca="1">IFERROR(__xludf.DUMMYFUNCTION("GOOGLETRANSLATE(H4182,""EN"",""ES"")"),"JUEGOS Y JUGUETES")</f>
        <v>JUEGOS Y JUGUETES</v>
      </c>
      <c r="L4182" s="5" t="str">
        <f ca="1">IFERROR(__xludf.DUMMYFUNCTION("GOOGLETRANSLATE(J4182,""EN"",""ES"")"),"mesas para juegos")</f>
        <v>mesas para juegos</v>
      </c>
      <c r="M4182" s="8" t="s">
        <v>73</v>
      </c>
      <c r="N4182" s="8"/>
    </row>
    <row r="4183" spans="1:14" ht="11.25" customHeight="1">
      <c r="A4183" s="5" t="s">
        <v>11900</v>
      </c>
      <c r="B4183" s="5" t="s">
        <v>11901</v>
      </c>
      <c r="C4183" s="5" t="s">
        <v>12130</v>
      </c>
      <c r="D4183" s="5" t="s">
        <v>11903</v>
      </c>
      <c r="E4183" s="5" t="s">
        <v>67</v>
      </c>
      <c r="F4183" s="5" t="s">
        <v>11904</v>
      </c>
      <c r="G4183" s="5" t="s">
        <v>152</v>
      </c>
      <c r="H4183" s="5" t="s">
        <v>11905</v>
      </c>
      <c r="I4183" s="5" t="s">
        <v>12131</v>
      </c>
      <c r="J4183" s="5" t="s">
        <v>12132</v>
      </c>
      <c r="K4183" s="7" t="str">
        <f ca="1">IFERROR(__xludf.DUMMYFUNCTION("GOOGLETRANSLATE(H4183,""EN"",""ES"")"),"JUEGOS Y JUGUETES")</f>
        <v>JUEGOS Y JUGUETES</v>
      </c>
      <c r="L4183" s="5" t="str">
        <f ca="1">IFERROR(__xludf.DUMMYFUNCTION("GOOGLETRANSLATE(J4183,""EN"",""ES"")"),"mesas de billar")</f>
        <v>mesas de billar</v>
      </c>
      <c r="M4183" s="8" t="s">
        <v>73</v>
      </c>
      <c r="N4183" s="8"/>
    </row>
    <row r="4184" spans="1:14" ht="11.25" customHeight="1">
      <c r="A4184" s="5" t="s">
        <v>11900</v>
      </c>
      <c r="B4184" s="5" t="s">
        <v>11901</v>
      </c>
      <c r="C4184" s="5" t="s">
        <v>12130</v>
      </c>
      <c r="D4184" s="5" t="s">
        <v>11903</v>
      </c>
      <c r="E4184" s="5" t="s">
        <v>67</v>
      </c>
      <c r="F4184" s="5" t="s">
        <v>11904</v>
      </c>
      <c r="G4184" s="5" t="s">
        <v>152</v>
      </c>
      <c r="H4184" s="5" t="s">
        <v>11905</v>
      </c>
      <c r="I4184" s="5" t="s">
        <v>152</v>
      </c>
      <c r="J4184" s="5" t="s">
        <v>12133</v>
      </c>
      <c r="K4184" s="7" t="str">
        <f ca="1">IFERROR(__xludf.DUMMYFUNCTION("GOOGLETRANSLATE(H4184,""EN"",""ES"")"),"JUEGOS Y JUGUETES")</f>
        <v>JUEGOS Y JUGUETES</v>
      </c>
      <c r="L4184" s="5" t="str">
        <f ca="1">IFERROR(__xludf.DUMMYFUNCTION("GOOGLETRANSLATE(J4184,""EN"",""ES"")"),"N / A")</f>
        <v>N / A</v>
      </c>
      <c r="M4184" s="8" t="s">
        <v>73</v>
      </c>
      <c r="N4184" s="8"/>
    </row>
    <row r="4185" spans="1:14" ht="11.25" customHeight="1">
      <c r="A4185" s="5" t="s">
        <v>11900</v>
      </c>
      <c r="B4185" s="5" t="s">
        <v>11901</v>
      </c>
      <c r="C4185" s="5" t="s">
        <v>12134</v>
      </c>
      <c r="D4185" s="5" t="s">
        <v>11903</v>
      </c>
      <c r="E4185" s="5" t="s">
        <v>67</v>
      </c>
      <c r="F4185" s="5" t="s">
        <v>11904</v>
      </c>
      <c r="G4185" s="5" t="s">
        <v>152</v>
      </c>
      <c r="H4185" s="5" t="s">
        <v>11905</v>
      </c>
      <c r="I4185" s="5" t="s">
        <v>12135</v>
      </c>
      <c r="J4185" s="5" t="s">
        <v>12136</v>
      </c>
      <c r="K4185" s="7" t="str">
        <f ca="1">IFERROR(__xludf.DUMMYFUNCTION("GOOGLETRANSLATE(H4185,""EN"",""ES"")"),"JUEGOS Y JUGUETES")</f>
        <v>JUEGOS Y JUGUETES</v>
      </c>
      <c r="L4185" s="5" t="str">
        <f ca="1">IFERROR(__xludf.DUMMYFUNCTION("GOOGLETRANSLATE(J4185,""EN"",""ES"")"),"Maquetas a escala para construir.")</f>
        <v>Maquetas a escala para construir.</v>
      </c>
      <c r="M4185" s="8" t="s">
        <v>73</v>
      </c>
      <c r="N4185" s="8"/>
    </row>
    <row r="4186" spans="1:14" ht="11.25" customHeight="1">
      <c r="A4186" s="5" t="s">
        <v>11900</v>
      </c>
      <c r="B4186" s="5" t="s">
        <v>11901</v>
      </c>
      <c r="C4186" s="5" t="s">
        <v>12137</v>
      </c>
      <c r="D4186" s="5" t="s">
        <v>11903</v>
      </c>
      <c r="E4186" s="5" t="s">
        <v>67</v>
      </c>
      <c r="F4186" s="5" t="s">
        <v>11904</v>
      </c>
      <c r="G4186" s="5" t="s">
        <v>152</v>
      </c>
      <c r="H4186" s="5" t="s">
        <v>11905</v>
      </c>
      <c r="I4186" s="5" t="s">
        <v>12138</v>
      </c>
      <c r="J4186" s="5" t="s">
        <v>12139</v>
      </c>
      <c r="K4186" s="7" t="str">
        <f ca="1">IFERROR(__xludf.DUMMYFUNCTION("GOOGLETRANSLATE(H4186,""EN"",""ES"")"),"JUEGOS Y JUGUETES")</f>
        <v>JUEGOS Y JUGUETES</v>
      </c>
      <c r="L4186" s="5" t="str">
        <f ca="1">IFERROR(__xludf.DUMMYFUNCTION("GOOGLETRANSLATE(J4186,""EN"",""ES"")"),"Juguetes de construcción con ladrillos entrelazados.")</f>
        <v>Juguetes de construcción con ladrillos entrelazados.</v>
      </c>
      <c r="M4186" s="8" t="s">
        <v>73</v>
      </c>
      <c r="N4186" s="8"/>
    </row>
    <row r="4187" spans="1:14" ht="11.25" customHeight="1">
      <c r="A4187" s="5" t="s">
        <v>11900</v>
      </c>
      <c r="B4187" s="5" t="s">
        <v>11901</v>
      </c>
      <c r="C4187" s="5" t="s">
        <v>12140</v>
      </c>
      <c r="D4187" s="5" t="s">
        <v>11903</v>
      </c>
      <c r="E4187" s="5" t="s">
        <v>67</v>
      </c>
      <c r="F4187" s="5" t="s">
        <v>11904</v>
      </c>
      <c r="G4187" s="5" t="s">
        <v>152</v>
      </c>
      <c r="H4187" s="5" t="s">
        <v>11905</v>
      </c>
      <c r="I4187" s="5" t="s">
        <v>12141</v>
      </c>
      <c r="J4187" s="5" t="s">
        <v>12142</v>
      </c>
      <c r="K4187" s="7" t="str">
        <f ca="1">IFERROR(__xludf.DUMMYFUNCTION("GOOGLETRANSLATE(H4187,""EN"",""ES"")"),"JUEGOS Y JUGUETES")</f>
        <v>JUEGOS Y JUGUETES</v>
      </c>
      <c r="L4187" s="5" t="str">
        <f ca="1">IFERROR(__xludf.DUMMYFUNCTION("GOOGLETRANSLATE(J4187,""EN"",""ES"")"),"bolas de billar")</f>
        <v>bolas de billar</v>
      </c>
      <c r="M4187" s="8" t="s">
        <v>73</v>
      </c>
      <c r="N4187" s="8"/>
    </row>
    <row r="4188" spans="1:14" ht="11.25" customHeight="1">
      <c r="A4188" s="5" t="s">
        <v>11900</v>
      </c>
      <c r="B4188" s="5" t="s">
        <v>11901</v>
      </c>
      <c r="C4188" s="5" t="s">
        <v>12140</v>
      </c>
      <c r="D4188" s="5" t="s">
        <v>11903</v>
      </c>
      <c r="E4188" s="5" t="s">
        <v>67</v>
      </c>
      <c r="F4188" s="5" t="s">
        <v>11904</v>
      </c>
      <c r="G4188" s="5" t="s">
        <v>152</v>
      </c>
      <c r="H4188" s="5" t="s">
        <v>11905</v>
      </c>
      <c r="I4188" s="5" t="s">
        <v>152</v>
      </c>
      <c r="J4188" s="5" t="s">
        <v>12143</v>
      </c>
      <c r="K4188" s="7" t="str">
        <f ca="1">IFERROR(__xludf.DUMMYFUNCTION("GOOGLETRANSLATE(H4188,""EN"",""ES"")"),"JUEGOS Y JUGUETES")</f>
        <v>JUEGOS Y JUGUETES</v>
      </c>
      <c r="L4188" s="5" t="str">
        <f ca="1">IFERROR(__xludf.DUMMYFUNCTION("GOOGLETRANSLATE(J4188,""EN"",""ES"")"),"N / A")</f>
        <v>N / A</v>
      </c>
      <c r="M4188" s="8" t="s">
        <v>73</v>
      </c>
      <c r="N4188" s="8"/>
    </row>
    <row r="4189" spans="1:14" ht="11.25" customHeight="1">
      <c r="A4189" s="5" t="s">
        <v>11900</v>
      </c>
      <c r="B4189" s="5" t="s">
        <v>11901</v>
      </c>
      <c r="C4189" s="5" t="s">
        <v>12144</v>
      </c>
      <c r="D4189" s="5" t="s">
        <v>11903</v>
      </c>
      <c r="E4189" s="5" t="s">
        <v>67</v>
      </c>
      <c r="F4189" s="5" t="s">
        <v>11904</v>
      </c>
      <c r="G4189" s="5" t="s">
        <v>152</v>
      </c>
      <c r="H4189" s="5" t="s">
        <v>11905</v>
      </c>
      <c r="I4189" s="5" t="s">
        <v>12145</v>
      </c>
      <c r="J4189" s="5" t="s">
        <v>12146</v>
      </c>
      <c r="K4189" s="7" t="str">
        <f ca="1">IFERROR(__xludf.DUMMYFUNCTION("GOOGLETRANSLATE(H4189,""EN"",""ES"")"),"JUEGOS Y JUGUETES")</f>
        <v>JUEGOS Y JUGUETES</v>
      </c>
      <c r="L4189" s="5" t="str">
        <f ca="1">IFERROR(__xludf.DUMMYFUNCTION("GOOGLETRANSLATE(J4189,""EN"",""ES"")"),"Canicas")</f>
        <v>Canicas</v>
      </c>
      <c r="M4189" s="8" t="s">
        <v>73</v>
      </c>
      <c r="N4189" s="8"/>
    </row>
    <row r="4190" spans="1:14" ht="11.25" customHeight="1">
      <c r="A4190" s="5" t="s">
        <v>11900</v>
      </c>
      <c r="B4190" s="5" t="s">
        <v>11901</v>
      </c>
      <c r="C4190" s="5" t="s">
        <v>12147</v>
      </c>
      <c r="D4190" s="5" t="s">
        <v>11903</v>
      </c>
      <c r="E4190" s="5" t="s">
        <v>67</v>
      </c>
      <c r="F4190" s="5" t="s">
        <v>11904</v>
      </c>
      <c r="G4190" s="5" t="s">
        <v>152</v>
      </c>
      <c r="H4190" s="5" t="s">
        <v>11905</v>
      </c>
      <c r="I4190" s="5" t="s">
        <v>12148</v>
      </c>
      <c r="J4190" s="5" t="s">
        <v>12149</v>
      </c>
      <c r="K4190" s="7" t="str">
        <f ca="1">IFERROR(__xludf.DUMMYFUNCTION("GOOGLETRANSLATE(H4190,""EN"",""ES"")"),"JUEGOS Y JUGUETES")</f>
        <v>JUEGOS Y JUGUETES</v>
      </c>
      <c r="L4190" s="5" t="str">
        <f ca="1">IFERROR(__xludf.DUMMYFUNCTION("GOOGLETRANSLATE(J4190,""EN"",""ES"")"),"Karts [juguetes]")</f>
        <v>Karts [juguetes]</v>
      </c>
      <c r="M4190" s="8" t="s">
        <v>73</v>
      </c>
      <c r="N4190" s="8"/>
    </row>
    <row r="4191" spans="1:14" ht="11.25" customHeight="1">
      <c r="A4191" s="5" t="s">
        <v>11900</v>
      </c>
      <c r="B4191" s="5" t="s">
        <v>11901</v>
      </c>
      <c r="C4191" s="5" t="s">
        <v>12150</v>
      </c>
      <c r="D4191" s="5" t="s">
        <v>11903</v>
      </c>
      <c r="E4191" s="5" t="s">
        <v>67</v>
      </c>
      <c r="F4191" s="5" t="s">
        <v>11904</v>
      </c>
      <c r="G4191" s="5" t="s">
        <v>152</v>
      </c>
      <c r="H4191" s="5" t="s">
        <v>11905</v>
      </c>
      <c r="I4191" s="5" t="s">
        <v>12151</v>
      </c>
      <c r="J4191" s="5" t="s">
        <v>12152</v>
      </c>
      <c r="K4191" s="7" t="str">
        <f ca="1">IFERROR(__xludf.DUMMYFUNCTION("GOOGLETRANSLATE(H4191,""EN"",""ES"")"),"JUEGOS Y JUGUETES")</f>
        <v>JUEGOS Y JUGUETES</v>
      </c>
      <c r="L4191" s="5" t="str">
        <f ca="1">IFERROR(__xludf.DUMMYFUNCTION("GOOGLETRANSLATE(J4191,""EN"",""ES"")"),"Gimnasios para bebés")</f>
        <v>Gimnasios para bebés</v>
      </c>
      <c r="M4191" s="8" t="s">
        <v>73</v>
      </c>
      <c r="N4191" s="8"/>
    </row>
    <row r="4192" spans="1:14" ht="11.25" customHeight="1">
      <c r="A4192" s="5" t="s">
        <v>11900</v>
      </c>
      <c r="B4192" s="5" t="s">
        <v>11901</v>
      </c>
      <c r="C4192" s="5" t="s">
        <v>12153</v>
      </c>
      <c r="D4192" s="5" t="s">
        <v>11903</v>
      </c>
      <c r="E4192" s="5" t="s">
        <v>67</v>
      </c>
      <c r="F4192" s="5" t="s">
        <v>11904</v>
      </c>
      <c r="G4192" s="5" t="s">
        <v>152</v>
      </c>
      <c r="H4192" s="5" t="s">
        <v>11905</v>
      </c>
      <c r="I4192" s="5" t="s">
        <v>12154</v>
      </c>
      <c r="J4192" s="5" t="s">
        <v>12155</v>
      </c>
      <c r="K4192" s="7" t="str">
        <f ca="1">IFERROR(__xludf.DUMMYFUNCTION("GOOGLETRANSLATE(H4192,""EN"",""ES"")"),"JUEGOS Y JUGUETES")</f>
        <v>JUEGOS Y JUGUETES</v>
      </c>
      <c r="L4192" s="5" t="str">
        <f ca="1">IFERROR(__xludf.DUMMYFUNCTION("GOOGLETRANSLATE(J4192,""EN"",""ES"")"),"Titulares de naipes")</f>
        <v>Titulares de naipes</v>
      </c>
      <c r="M4192" s="8" t="s">
        <v>73</v>
      </c>
      <c r="N4192" s="8"/>
    </row>
    <row r="4193" spans="1:14" ht="11.25" customHeight="1">
      <c r="A4193" s="5" t="s">
        <v>11900</v>
      </c>
      <c r="B4193" s="5" t="s">
        <v>11901</v>
      </c>
      <c r="C4193" s="5" t="s">
        <v>12156</v>
      </c>
      <c r="D4193" s="5" t="s">
        <v>11903</v>
      </c>
      <c r="E4193" s="5" t="s">
        <v>67</v>
      </c>
      <c r="F4193" s="5" t="s">
        <v>11904</v>
      </c>
      <c r="G4193" s="5" t="s">
        <v>152</v>
      </c>
      <c r="H4193" s="5" t="s">
        <v>11905</v>
      </c>
      <c r="I4193" s="5" t="s">
        <v>12157</v>
      </c>
      <c r="J4193" s="5" t="s">
        <v>12158</v>
      </c>
      <c r="K4193" s="7" t="str">
        <f ca="1">IFERROR(__xludf.DUMMYFUNCTION("GOOGLETRANSLATE(H4193,""EN"",""ES"")"),"JUEGOS Y JUGUETES")</f>
        <v>JUEGOS Y JUGUETES</v>
      </c>
      <c r="L4193" s="5" t="str">
        <f ca="1">IFERROR(__xludf.DUMMYFUNCTION("GOOGLETRANSLATE(J4193,""EN"",""ES"")"),"Móviles [juguetes]")</f>
        <v>Móviles [juguetes]</v>
      </c>
      <c r="M4193" s="8" t="s">
        <v>73</v>
      </c>
      <c r="N4193" s="8"/>
    </row>
    <row r="4194" spans="1:14" ht="11.25" customHeight="1">
      <c r="A4194" s="5" t="s">
        <v>11900</v>
      </c>
      <c r="B4194" s="5" t="s">
        <v>12159</v>
      </c>
      <c r="C4194" s="5" t="s">
        <v>12160</v>
      </c>
      <c r="D4194" s="5" t="s">
        <v>11903</v>
      </c>
      <c r="E4194" s="5" t="s">
        <v>67</v>
      </c>
      <c r="F4194" s="5" t="s">
        <v>11904</v>
      </c>
      <c r="G4194" s="5" t="s">
        <v>152</v>
      </c>
      <c r="H4194" s="5" t="s">
        <v>12161</v>
      </c>
      <c r="I4194" s="5" t="s">
        <v>12162</v>
      </c>
      <c r="J4194" s="5" t="s">
        <v>12163</v>
      </c>
      <c r="K4194" s="7" t="str">
        <f ca="1">IFERROR(__xludf.DUMMYFUNCTION("GOOGLETRANSLATE(H4194,""EN"",""ES"")"),"APARATOS Y EQUIPOS PARA GIMNASIA Y DEPORTES")</f>
        <v>APARATOS Y EQUIPOS PARA GIMNASIA Y DEPORTES</v>
      </c>
      <c r="L4194" s="5" t="str">
        <f ca="1">IFERROR(__xludf.DUMMYFUNCTION("GOOGLETRANSLATE(J4194,""EN"",""ES"")"),"jugando bolos")</f>
        <v>jugando bolos</v>
      </c>
      <c r="M4194" s="8" t="s">
        <v>72</v>
      </c>
      <c r="N4194" s="8"/>
    </row>
    <row r="4195" spans="1:14" ht="11.25" customHeight="1">
      <c r="A4195" s="5" t="s">
        <v>11900</v>
      </c>
      <c r="B4195" s="5" t="s">
        <v>12159</v>
      </c>
      <c r="C4195" s="5" t="s">
        <v>12164</v>
      </c>
      <c r="D4195" s="5" t="s">
        <v>11903</v>
      </c>
      <c r="E4195" s="5" t="s">
        <v>67</v>
      </c>
      <c r="F4195" s="5" t="s">
        <v>11904</v>
      </c>
      <c r="G4195" s="5" t="s">
        <v>152</v>
      </c>
      <c r="H4195" s="5" t="s">
        <v>12161</v>
      </c>
      <c r="I4195" s="5" t="s">
        <v>12165</v>
      </c>
      <c r="J4195" s="5" t="s">
        <v>12166</v>
      </c>
      <c r="K4195" s="7" t="str">
        <f ca="1">IFERROR(__xludf.DUMMYFUNCTION("GOOGLETRANSLATE(H4195,""EN"",""ES"")"),"APARATOS Y EQUIPOS PARA GIMNASIA Y DEPORTES")</f>
        <v>APARATOS Y EQUIPOS PARA GIMNASIA Y DEPORTES</v>
      </c>
      <c r="L4195" s="5" t="str">
        <f ca="1">IFERROR(__xludf.DUMMYFUNCTION("GOOGLETRANSLATE(J4195,""EN"",""ES"")"),"discos de hockey sobre hielo")</f>
        <v>discos de hockey sobre hielo</v>
      </c>
      <c r="M4195" s="8" t="s">
        <v>72</v>
      </c>
      <c r="N4195" s="8"/>
    </row>
    <row r="4196" spans="1:14" ht="11.25" customHeight="1">
      <c r="A4196" s="5" t="s">
        <v>11900</v>
      </c>
      <c r="B4196" s="5" t="s">
        <v>12159</v>
      </c>
      <c r="C4196" s="5" t="s">
        <v>12167</v>
      </c>
      <c r="D4196" s="5" t="s">
        <v>11903</v>
      </c>
      <c r="E4196" s="5" t="s">
        <v>67</v>
      </c>
      <c r="F4196" s="5" t="s">
        <v>11904</v>
      </c>
      <c r="G4196" s="5" t="s">
        <v>152</v>
      </c>
      <c r="H4196" s="5" t="s">
        <v>12161</v>
      </c>
      <c r="I4196" s="5" t="s">
        <v>12168</v>
      </c>
      <c r="J4196" s="5" t="s">
        <v>12169</v>
      </c>
      <c r="K4196" s="7" t="str">
        <f ca="1">IFERROR(__xludf.DUMMYFUNCTION("GOOGLETRANSLATE(H4196,""EN"",""ES"")"),"APARATOS Y EQUIPOS PARA GIMNASIA Y DEPORTES")</f>
        <v>APARATOS Y EQUIPOS PARA GIMNASIA Y DEPORTES</v>
      </c>
      <c r="L4196" s="5" t="str">
        <f ca="1">IFERROR(__xludf.DUMMYFUNCTION("GOOGLETRANSLATE(J4196,""EN"",""ES"")"),"bolos [juegos]")</f>
        <v>bolos [juegos]</v>
      </c>
      <c r="M4196" s="8" t="s">
        <v>72</v>
      </c>
      <c r="N4196" s="8"/>
    </row>
    <row r="4197" spans="1:14" ht="11.25" customHeight="1">
      <c r="A4197" s="5" t="s">
        <v>11900</v>
      </c>
      <c r="B4197" s="5" t="s">
        <v>12159</v>
      </c>
      <c r="C4197" s="5" t="s">
        <v>12170</v>
      </c>
      <c r="D4197" s="5" t="s">
        <v>11903</v>
      </c>
      <c r="E4197" s="5" t="s">
        <v>67</v>
      </c>
      <c r="F4197" s="5" t="s">
        <v>11904</v>
      </c>
      <c r="G4197" s="5" t="s">
        <v>152</v>
      </c>
      <c r="H4197" s="5" t="s">
        <v>12161</v>
      </c>
      <c r="I4197" s="5" t="s">
        <v>12171</v>
      </c>
      <c r="J4197" s="5" t="s">
        <v>12172</v>
      </c>
      <c r="K4197" s="7" t="str">
        <f ca="1">IFERROR(__xludf.DUMMYFUNCTION("GOOGLETRANSLATE(H4197,""EN"",""ES"")"),"APARATOS Y EQUIPOS PARA GIMNASIA Y DEPORTES")</f>
        <v>APARATOS Y EQUIPOS PARA GIMNASIA Y DEPORTES</v>
      </c>
      <c r="L4197" s="5" t="str">
        <f ca="1">IFERROR(__xludf.DUMMYFUNCTION("GOOGLETRANSLATE(J4197,""EN"",""ES"")"),"bolos")</f>
        <v>bolos</v>
      </c>
      <c r="M4197" s="8" t="s">
        <v>72</v>
      </c>
      <c r="N4197" s="8"/>
    </row>
    <row r="4198" spans="1:14" ht="11.25" customHeight="1">
      <c r="A4198" s="5" t="s">
        <v>11900</v>
      </c>
      <c r="B4198" s="5" t="s">
        <v>12159</v>
      </c>
      <c r="C4198" s="5" t="s">
        <v>12173</v>
      </c>
      <c r="D4198" s="5" t="s">
        <v>11903</v>
      </c>
      <c r="E4198" s="5" t="s">
        <v>67</v>
      </c>
      <c r="F4198" s="5" t="s">
        <v>11904</v>
      </c>
      <c r="G4198" s="5" t="s">
        <v>152</v>
      </c>
      <c r="H4198" s="5" t="s">
        <v>12161</v>
      </c>
      <c r="I4198" s="5" t="s">
        <v>12174</v>
      </c>
      <c r="J4198" s="5" t="s">
        <v>12175</v>
      </c>
      <c r="K4198" s="7" t="str">
        <f ca="1">IFERROR(__xludf.DUMMYFUNCTION("GOOGLETRANSLATE(H4198,""EN"",""ES"")"),"APARATOS Y EQUIPOS PARA GIMNASIA Y DEPORTES")</f>
        <v>APARATOS Y EQUIPOS PARA GIMNASIA Y DEPORTES</v>
      </c>
      <c r="L4198" s="5" t="str">
        <f ca="1">IFERROR(__xludf.DUMMYFUNCTION("GOOGLETRANSLATE(J4198,""EN"",""ES"")"),"Volantes")</f>
        <v>Volantes</v>
      </c>
      <c r="M4198" s="8" t="s">
        <v>72</v>
      </c>
      <c r="N4198" s="8"/>
    </row>
    <row r="4199" spans="1:14" ht="11.25" customHeight="1">
      <c r="A4199" s="5" t="s">
        <v>11900</v>
      </c>
      <c r="B4199" s="5" t="s">
        <v>12159</v>
      </c>
      <c r="C4199" s="5" t="s">
        <v>12176</v>
      </c>
      <c r="D4199" s="5" t="s">
        <v>11903</v>
      </c>
      <c r="E4199" s="5" t="s">
        <v>67</v>
      </c>
      <c r="F4199" s="5" t="s">
        <v>11904</v>
      </c>
      <c r="G4199" s="5" t="s">
        <v>152</v>
      </c>
      <c r="H4199" s="5" t="s">
        <v>12161</v>
      </c>
      <c r="I4199" s="5" t="s">
        <v>12177</v>
      </c>
      <c r="J4199" s="5" t="s">
        <v>12178</v>
      </c>
      <c r="K4199" s="7" t="str">
        <f ca="1">IFERROR(__xludf.DUMMYFUNCTION("GOOGLETRANSLATE(H4199,""EN"",""ES"")"),"APARATOS Y EQUIPOS PARA GIMNASIA Y DEPORTES")</f>
        <v>APARATOS Y EQUIPOS PARA GIMNASIA Y DEPORTES</v>
      </c>
      <c r="L4199" s="5" t="str">
        <f ca="1">IFERROR(__xludf.DUMMYFUNCTION("GOOGLETRANSLATE(J4199,""EN"",""ES"")"),"Aparatos para gimnasia.")</f>
        <v>Aparatos para gimnasia.</v>
      </c>
      <c r="M4199" s="8" t="s">
        <v>72</v>
      </c>
      <c r="N4199" s="8"/>
    </row>
    <row r="4200" spans="1:14" ht="11.25" customHeight="1">
      <c r="A4200" s="5" t="s">
        <v>11900</v>
      </c>
      <c r="B4200" s="5" t="s">
        <v>12159</v>
      </c>
      <c r="C4200" s="5" t="s">
        <v>12179</v>
      </c>
      <c r="D4200" s="5" t="s">
        <v>11903</v>
      </c>
      <c r="E4200" s="5" t="s">
        <v>67</v>
      </c>
      <c r="F4200" s="5" t="s">
        <v>11904</v>
      </c>
      <c r="G4200" s="5" t="s">
        <v>152</v>
      </c>
      <c r="H4200" s="5" t="s">
        <v>12161</v>
      </c>
      <c r="I4200" s="5" t="s">
        <v>12180</v>
      </c>
      <c r="J4200" s="5" t="s">
        <v>12181</v>
      </c>
      <c r="K4200" s="7" t="str">
        <f ca="1">IFERROR(__xludf.DUMMYFUNCTION("GOOGLETRANSLATE(H4200,""EN"",""ES"")"),"APARATOS Y EQUIPOS PARA GIMNASIA Y DEPORTES")</f>
        <v>APARATOS Y EQUIPOS PARA GIMNASIA Y DEPORTES</v>
      </c>
      <c r="L4200" s="5" t="str">
        <f ca="1">IFERROR(__xludf.DUMMYFUNCTION("GOOGLETRANSLATE(J4200,""EN"",""ES"")"),"Anillas para juegos de playa")</f>
        <v>Anillas para juegos de playa</v>
      </c>
      <c r="M4200" s="8" t="s">
        <v>72</v>
      </c>
      <c r="N4200" s="8"/>
    </row>
    <row r="4201" spans="1:14" ht="11.25" customHeight="1">
      <c r="A4201" s="5" t="s">
        <v>11900</v>
      </c>
      <c r="B4201" s="5" t="s">
        <v>12159</v>
      </c>
      <c r="C4201" s="5" t="s">
        <v>12182</v>
      </c>
      <c r="D4201" s="5" t="s">
        <v>11903</v>
      </c>
      <c r="E4201" s="5" t="s">
        <v>67</v>
      </c>
      <c r="F4201" s="5" t="s">
        <v>11904</v>
      </c>
      <c r="G4201" s="5" t="s">
        <v>152</v>
      </c>
      <c r="H4201" s="5" t="s">
        <v>12161</v>
      </c>
      <c r="I4201" s="5" t="s">
        <v>12183</v>
      </c>
      <c r="J4201" s="5" t="s">
        <v>12184</v>
      </c>
      <c r="K4201" s="7" t="str">
        <f ca="1">IFERROR(__xludf.DUMMYFUNCTION("GOOGLETRANSLATE(H4201,""EN"",""ES"")"),"APARATOS Y EQUIPOS PARA GIMNASIA Y DEPORTES")</f>
        <v>APARATOS Y EQUIPOS PARA GIMNASIA Y DEPORTES</v>
      </c>
      <c r="L4201" s="5" t="str">
        <f ca="1">IFERROR(__xludf.DUMMYFUNCTION("GOOGLETRANSLATE(J4201,""EN"",""ES"")"),"Bordes de esquí")</f>
        <v>Bordes de esquí</v>
      </c>
      <c r="M4201" s="8" t="s">
        <v>72</v>
      </c>
      <c r="N4201" s="8"/>
    </row>
    <row r="4202" spans="1:14" ht="11.25" customHeight="1">
      <c r="A4202" s="5" t="s">
        <v>11900</v>
      </c>
      <c r="B4202" s="5" t="s">
        <v>12159</v>
      </c>
      <c r="C4202" s="5" t="s">
        <v>12185</v>
      </c>
      <c r="D4202" s="5" t="s">
        <v>11903</v>
      </c>
      <c r="E4202" s="5" t="s">
        <v>67</v>
      </c>
      <c r="F4202" s="5" t="s">
        <v>11904</v>
      </c>
      <c r="G4202" s="5" t="s">
        <v>152</v>
      </c>
      <c r="H4202" s="5" t="s">
        <v>12161</v>
      </c>
      <c r="I4202" s="5" t="s">
        <v>12186</v>
      </c>
      <c r="J4202" s="5" t="s">
        <v>12187</v>
      </c>
      <c r="K4202" s="7" t="str">
        <f ca="1">IFERROR(__xludf.DUMMYFUNCTION("GOOGLETRANSLATE(H4202,""EN"",""ES"")"),"APARATOS Y EQUIPOS PARA GIMNASIA Y DEPORTES")</f>
        <v>APARATOS Y EQUIPOS PARA GIMNASIA Y DEPORTES</v>
      </c>
      <c r="L4202" s="5" t="str">
        <f ca="1">IFERROR(__xludf.DUMMYFUNCTION("GOOGLETRANSLATE(J4202,""EN"",""ES"")"),"Máquinas de ejercicios de remo")</f>
        <v>Máquinas de ejercicios de remo</v>
      </c>
      <c r="M4202" s="8" t="s">
        <v>72</v>
      </c>
      <c r="N4202" s="8"/>
    </row>
    <row r="4203" spans="1:14" ht="11.25" customHeight="1">
      <c r="A4203" s="5" t="s">
        <v>11900</v>
      </c>
      <c r="B4203" s="5" t="s">
        <v>12159</v>
      </c>
      <c r="C4203" s="5" t="s">
        <v>12188</v>
      </c>
      <c r="D4203" s="5" t="s">
        <v>11903</v>
      </c>
      <c r="E4203" s="5" t="s">
        <v>67</v>
      </c>
      <c r="F4203" s="5" t="s">
        <v>11904</v>
      </c>
      <c r="G4203" s="5" t="s">
        <v>152</v>
      </c>
      <c r="H4203" s="5" t="s">
        <v>12161</v>
      </c>
      <c r="I4203" s="5" t="s">
        <v>12189</v>
      </c>
      <c r="J4203" s="5" t="s">
        <v>12190</v>
      </c>
      <c r="K4203" s="7" t="str">
        <f ca="1">IFERROR(__xludf.DUMMYFUNCTION("GOOGLETRANSLATE(H4203,""EN"",""ES"")"),"APARATOS Y EQUIPOS PARA GIMNASIA Y DEPORTES")</f>
        <v>APARATOS Y EQUIPOS PARA GIMNASIA Y DEPORTES</v>
      </c>
      <c r="L4203" s="5" t="str">
        <f ca="1">IFERROR(__xludf.DUMMYFUNCTION("GOOGLETRANSLATE(J4203,""EN"",""ES"")"),"pelotas [juguetes]")</f>
        <v>pelotas [juguetes]</v>
      </c>
      <c r="M4203" s="8" t="s">
        <v>72</v>
      </c>
      <c r="N4203" s="8"/>
    </row>
    <row r="4204" spans="1:14" ht="11.25" customHeight="1">
      <c r="A4204" s="5" t="s">
        <v>11900</v>
      </c>
      <c r="B4204" s="5" t="s">
        <v>12159</v>
      </c>
      <c r="C4204" s="5" t="s">
        <v>12191</v>
      </c>
      <c r="D4204" s="5" t="s">
        <v>11903</v>
      </c>
      <c r="E4204" s="5" t="s">
        <v>67</v>
      </c>
      <c r="F4204" s="5" t="s">
        <v>11904</v>
      </c>
      <c r="G4204" s="5" t="s">
        <v>152</v>
      </c>
      <c r="H4204" s="5" t="s">
        <v>12161</v>
      </c>
      <c r="I4204" s="5" t="s">
        <v>12192</v>
      </c>
      <c r="J4204" s="5" t="s">
        <v>12193</v>
      </c>
      <c r="K4204" s="7" t="str">
        <f ca="1">IFERROR(__xludf.DUMMYFUNCTION("GOOGLETRANSLATE(H4204,""EN"",""ES"")"),"APARATOS Y EQUIPOS PARA GIMNASIA Y DEPORTES")</f>
        <v>APARATOS Y EQUIPOS PARA GIMNASIA Y DEPORTES</v>
      </c>
      <c r="L4204" s="5" t="str">
        <f ca="1">IFERROR(__xludf.DUMMYFUNCTION("GOOGLETRANSLATE(J4204,""EN"",""ES"")"),"pelotas para deportes")</f>
        <v>pelotas para deportes</v>
      </c>
      <c r="M4204" s="8" t="s">
        <v>72</v>
      </c>
      <c r="N4204" s="8"/>
    </row>
    <row r="4205" spans="1:14" ht="11.25" customHeight="1">
      <c r="A4205" s="5" t="s">
        <v>11900</v>
      </c>
      <c r="B4205" s="5" t="s">
        <v>12159</v>
      </c>
      <c r="C4205" s="5" t="s">
        <v>12194</v>
      </c>
      <c r="D4205" s="5" t="s">
        <v>11903</v>
      </c>
      <c r="E4205" s="5" t="s">
        <v>67</v>
      </c>
      <c r="F4205" s="5" t="s">
        <v>11904</v>
      </c>
      <c r="G4205" s="5" t="s">
        <v>152</v>
      </c>
      <c r="H4205" s="5" t="s">
        <v>12161</v>
      </c>
      <c r="I4205" s="5" t="s">
        <v>12195</v>
      </c>
      <c r="J4205" s="5" t="s">
        <v>12196</v>
      </c>
      <c r="K4205" s="7" t="str">
        <f ca="1">IFERROR(__xludf.DUMMYFUNCTION("GOOGLETRANSLATE(H4205,""EN"",""ES"")"),"APARATOS Y EQUIPOS PARA GIMNASIA Y DEPORTES")</f>
        <v>APARATOS Y EQUIPOS PARA GIMNASIA Y DEPORTES</v>
      </c>
      <c r="L4205" s="5" t="str">
        <f ca="1">IFERROR(__xludf.DUMMYFUNCTION("GOOGLETRANSLATE(J4205,""EN"",""ES"")"),"Barras horizontales [deportes]")</f>
        <v>Barras horizontales [deportes]</v>
      </c>
      <c r="M4205" s="8" t="s">
        <v>72</v>
      </c>
      <c r="N4205" s="8"/>
    </row>
    <row r="4206" spans="1:14" ht="11.25" customHeight="1">
      <c r="A4206" s="5" t="s">
        <v>11900</v>
      </c>
      <c r="B4206" s="5" t="s">
        <v>12159</v>
      </c>
      <c r="C4206" s="5" t="s">
        <v>12197</v>
      </c>
      <c r="D4206" s="5" t="s">
        <v>11903</v>
      </c>
      <c r="E4206" s="5" t="s">
        <v>67</v>
      </c>
      <c r="F4206" s="5" t="s">
        <v>11904</v>
      </c>
      <c r="G4206" s="5" t="s">
        <v>152</v>
      </c>
      <c r="H4206" s="5" t="s">
        <v>12161</v>
      </c>
      <c r="I4206" s="5" t="s">
        <v>12198</v>
      </c>
      <c r="J4206" s="5" t="s">
        <v>12199</v>
      </c>
      <c r="K4206" s="7" t="str">
        <f ca="1">IFERROR(__xludf.DUMMYFUNCTION("GOOGLETRANSLATE(H4206,""EN"",""ES"")"),"APARATOS Y EQUIPOS PARA GIMNASIA Y DEPORTES")</f>
        <v>APARATOS Y EQUIPOS PARA GIMNASIA Y DEPORTES</v>
      </c>
      <c r="L4206" s="5" t="str">
        <f ca="1">IFERROR(__xludf.DUMMYFUNCTION("GOOGLETRANSLATE(J4206,""EN"",""ES"")"),"Bastones de esquí")</f>
        <v>Bastones de esquí</v>
      </c>
      <c r="M4206" s="8" t="s">
        <v>72</v>
      </c>
      <c r="N4206" s="8"/>
    </row>
    <row r="4207" spans="1:14" ht="11.25" customHeight="1">
      <c r="A4207" s="5" t="s">
        <v>11900</v>
      </c>
      <c r="B4207" s="5" t="s">
        <v>12159</v>
      </c>
      <c r="C4207" s="5" t="s">
        <v>12197</v>
      </c>
      <c r="D4207" s="5" t="s">
        <v>11903</v>
      </c>
      <c r="E4207" s="5" t="s">
        <v>67</v>
      </c>
      <c r="F4207" s="5" t="s">
        <v>11904</v>
      </c>
      <c r="G4207" s="5" t="s">
        <v>152</v>
      </c>
      <c r="H4207" s="5" t="s">
        <v>12161</v>
      </c>
      <c r="I4207" s="5" t="s">
        <v>12200</v>
      </c>
      <c r="J4207" s="5" t="s">
        <v>152</v>
      </c>
      <c r="K4207" s="7" t="str">
        <f ca="1">IFERROR(__xludf.DUMMYFUNCTION("GOOGLETRANSLATE(H4207,""EN"",""ES"")"),"APARATOS Y EQUIPOS PARA GIMNASIA Y DEPORTES")</f>
        <v>APARATOS Y EQUIPOS PARA GIMNASIA Y DEPORTES</v>
      </c>
      <c r="L4207" s="5" t="str">
        <f ca="1">IFERROR(__xludf.DUMMYFUNCTION("GOOGLETRANSLATE(J4207,""EN"",""ES"")"),"bastones de esquí")</f>
        <v>bastones de esquí</v>
      </c>
      <c r="M4207" s="8" t="s">
        <v>72</v>
      </c>
      <c r="N4207" s="8"/>
    </row>
    <row r="4208" spans="1:14" ht="11.25" customHeight="1">
      <c r="A4208" s="5" t="s">
        <v>11900</v>
      </c>
      <c r="B4208" s="5" t="s">
        <v>12159</v>
      </c>
      <c r="C4208" s="5" t="s">
        <v>12201</v>
      </c>
      <c r="D4208" s="5" t="s">
        <v>11903</v>
      </c>
      <c r="E4208" s="5" t="s">
        <v>67</v>
      </c>
      <c r="F4208" s="5" t="s">
        <v>11904</v>
      </c>
      <c r="G4208" s="5" t="s">
        <v>152</v>
      </c>
      <c r="H4208" s="5" t="s">
        <v>12161</v>
      </c>
      <c r="I4208" s="5" t="s">
        <v>12202</v>
      </c>
      <c r="J4208" s="5" t="s">
        <v>12203</v>
      </c>
      <c r="K4208" s="7" t="str">
        <f ca="1">IFERROR(__xludf.DUMMYFUNCTION("GOOGLETRANSLATE(H4208,""EN"",""ES"")"),"APARATOS Y EQUIPOS PARA GIMNASIA Y DEPORTES")</f>
        <v>APARATOS Y EQUIPOS PARA GIMNASIA Y DEPORTES</v>
      </c>
      <c r="L4208" s="5" t="str">
        <f ca="1">IFERROR(__xludf.DUMMYFUNCTION("GOOGLETRANSLATE(J4208,""EN"",""ES"")"),"Bicicletas de entrenamiento, estáticas.")</f>
        <v>Bicicletas de entrenamiento, estáticas.</v>
      </c>
      <c r="M4208" s="8" t="s">
        <v>72</v>
      </c>
      <c r="N4208" s="8"/>
    </row>
    <row r="4209" spans="1:14" ht="11.25" customHeight="1">
      <c r="A4209" s="5" t="s">
        <v>11900</v>
      </c>
      <c r="B4209" s="5" t="s">
        <v>12159</v>
      </c>
      <c r="C4209" s="5" t="s">
        <v>12204</v>
      </c>
      <c r="D4209" s="5" t="s">
        <v>11903</v>
      </c>
      <c r="E4209" s="5" t="s">
        <v>67</v>
      </c>
      <c r="F4209" s="5" t="s">
        <v>11904</v>
      </c>
      <c r="G4209" s="5" t="s">
        <v>152</v>
      </c>
      <c r="H4209" s="5" t="s">
        <v>12161</v>
      </c>
      <c r="I4209" s="5" t="s">
        <v>12205</v>
      </c>
      <c r="J4209" s="5" t="s">
        <v>12206</v>
      </c>
      <c r="K4209" s="7" t="str">
        <f ca="1">IFERROR(__xludf.DUMMYFUNCTION("GOOGLETRANSLATE(H4209,""EN"",""ES"")"),"APARATOS Y EQUIPOS PARA GIMNASIA Y DEPORTES")</f>
        <v>APARATOS Y EQUIPOS PARA GIMNASIA Y DEPORTES</v>
      </c>
      <c r="L4209" s="5" t="str">
        <f ca="1">IFERROR(__xludf.DUMMYFUNCTION("GOOGLETRANSLATE(J4209,""EN"",""ES"")"),"palos de golf")</f>
        <v>palos de golf</v>
      </c>
      <c r="M4209" s="8" t="s">
        <v>72</v>
      </c>
      <c r="N4209" s="8"/>
    </row>
    <row r="4210" spans="1:14" ht="11.25" customHeight="1">
      <c r="A4210" s="5" t="s">
        <v>11900</v>
      </c>
      <c r="B4210" s="5" t="s">
        <v>12159</v>
      </c>
      <c r="C4210" s="5" t="s">
        <v>12204</v>
      </c>
      <c r="D4210" s="5" t="s">
        <v>11903</v>
      </c>
      <c r="E4210" s="5" t="s">
        <v>67</v>
      </c>
      <c r="F4210" s="5" t="s">
        <v>11904</v>
      </c>
      <c r="G4210" s="5" t="s">
        <v>152</v>
      </c>
      <c r="H4210" s="5" t="s">
        <v>12161</v>
      </c>
      <c r="I4210" s="5" t="s">
        <v>152</v>
      </c>
      <c r="J4210" s="5" t="s">
        <v>12207</v>
      </c>
      <c r="K4210" s="7" t="str">
        <f ca="1">IFERROR(__xludf.DUMMYFUNCTION("GOOGLETRANSLATE(H4210,""EN"",""ES"")"),"APARATOS Y EQUIPOS PARA GIMNASIA Y DEPORTES")</f>
        <v>APARATOS Y EQUIPOS PARA GIMNASIA Y DEPORTES</v>
      </c>
      <c r="L4210" s="5" t="str">
        <f ca="1">IFERROR(__xludf.DUMMYFUNCTION("GOOGLETRANSLATE(J4210,""EN"",""ES"")"),"N / A")</f>
        <v>N / A</v>
      </c>
      <c r="M4210" s="8" t="s">
        <v>72</v>
      </c>
      <c r="N4210" s="8"/>
    </row>
    <row r="4211" spans="1:14" ht="11.25" customHeight="1">
      <c r="A4211" s="5" t="s">
        <v>11900</v>
      </c>
      <c r="B4211" s="5" t="s">
        <v>12159</v>
      </c>
      <c r="C4211" s="5" t="s">
        <v>12208</v>
      </c>
      <c r="D4211" s="5" t="s">
        <v>11903</v>
      </c>
      <c r="E4211" s="5" t="s">
        <v>67</v>
      </c>
      <c r="F4211" s="5" t="s">
        <v>11904</v>
      </c>
      <c r="G4211" s="5" t="s">
        <v>152</v>
      </c>
      <c r="H4211" s="5" t="s">
        <v>12161</v>
      </c>
      <c r="I4211" s="5" t="s">
        <v>12209</v>
      </c>
      <c r="J4211" s="5" t="s">
        <v>12210</v>
      </c>
      <c r="K4211" s="7" t="str">
        <f ca="1">IFERROR(__xludf.DUMMYFUNCTION("GOOGLETRANSLATE(H4211,""EN"",""ES"")"),"APARATOS Y EQUIPOS PARA GIMNASIA Y DEPORTES")</f>
        <v>APARATOS Y EQUIPOS PARA GIMNASIA Y DEPORTES</v>
      </c>
      <c r="L4211" s="5" t="str">
        <f ca="1">IFERROR(__xludf.DUMMYFUNCTION("GOOGLETRANSLATE(J4211,""EN"",""ES"")"),"Cintas de correr [dispositivos para hacer ejercicio]")</f>
        <v>Cintas de correr [dispositivos para hacer ejercicio]</v>
      </c>
      <c r="M4211" s="8" t="s">
        <v>72</v>
      </c>
      <c r="N4211" s="8"/>
    </row>
    <row r="4212" spans="1:14" ht="11.25" customHeight="1">
      <c r="A4212" s="5" t="s">
        <v>11900</v>
      </c>
      <c r="B4212" s="5" t="s">
        <v>12159</v>
      </c>
      <c r="C4212" s="5" t="s">
        <v>12211</v>
      </c>
      <c r="D4212" s="5" t="s">
        <v>11903</v>
      </c>
      <c r="E4212" s="5" t="s">
        <v>67</v>
      </c>
      <c r="F4212" s="5" t="s">
        <v>11904</v>
      </c>
      <c r="G4212" s="5" t="s">
        <v>152</v>
      </c>
      <c r="H4212" s="5" t="s">
        <v>12161</v>
      </c>
      <c r="I4212" s="5" t="s">
        <v>12212</v>
      </c>
      <c r="J4212" s="5" t="s">
        <v>12213</v>
      </c>
      <c r="K4212" s="7" t="str">
        <f ca="1">IFERROR(__xludf.DUMMYFUNCTION("GOOGLETRANSLATE(H4212,""EN"",""ES"")"),"APARATOS Y EQUIPOS PARA GIMNASIA Y DEPORTES")</f>
        <v>APARATOS Y EQUIPOS PARA GIMNASIA Y DEPORTES</v>
      </c>
      <c r="L4212" s="5" t="str">
        <f ca="1">IFERROR(__xludf.DUMMYFUNCTION("GOOGLETRANSLATE(J4212,""EN"",""ES"")"),"Discute [deportes]")</f>
        <v>Discute [deportes]</v>
      </c>
      <c r="M4212" s="8" t="s">
        <v>72</v>
      </c>
      <c r="N4212" s="8"/>
    </row>
    <row r="4213" spans="1:14" ht="11.25" customHeight="1">
      <c r="A4213" s="5" t="s">
        <v>11900</v>
      </c>
      <c r="B4213" s="5" t="s">
        <v>12159</v>
      </c>
      <c r="C4213" s="5" t="s">
        <v>12214</v>
      </c>
      <c r="D4213" s="5" t="s">
        <v>11903</v>
      </c>
      <c r="E4213" s="5" t="s">
        <v>67</v>
      </c>
      <c r="F4213" s="5" t="s">
        <v>11904</v>
      </c>
      <c r="G4213" s="5" t="s">
        <v>152</v>
      </c>
      <c r="H4213" s="5" t="s">
        <v>12161</v>
      </c>
      <c r="I4213" s="5" t="s">
        <v>12215</v>
      </c>
      <c r="J4213" s="5" t="s">
        <v>12216</v>
      </c>
      <c r="K4213" s="7" t="str">
        <f ca="1">IFERROR(__xludf.DUMMYFUNCTION("GOOGLETRANSLATE(H4213,""EN"",""ES"")"),"APARATOS Y EQUIPOS PARA GIMNASIA Y DEPORTES")</f>
        <v>APARATOS Y EQUIPOS PARA GIMNASIA Y DEPORTES</v>
      </c>
      <c r="L4213" s="5" t="str">
        <f ca="1">IFERROR(__xludf.DUMMYFUNCTION("GOOGLETRANSLATE(J4213,""EN"",""ES"")"),"Equipo de atletismo")</f>
        <v>Equipo de atletismo</v>
      </c>
      <c r="M4213" s="8" t="s">
        <v>72</v>
      </c>
      <c r="N4213" s="8"/>
    </row>
    <row r="4214" spans="1:14" ht="11.25" customHeight="1">
      <c r="A4214" s="5" t="s">
        <v>11900</v>
      </c>
      <c r="B4214" s="5" t="s">
        <v>12159</v>
      </c>
      <c r="C4214" s="5" t="s">
        <v>12217</v>
      </c>
      <c r="D4214" s="5" t="s">
        <v>11903</v>
      </c>
      <c r="E4214" s="5" t="s">
        <v>67</v>
      </c>
      <c r="F4214" s="5" t="s">
        <v>11904</v>
      </c>
      <c r="G4214" s="5" t="s">
        <v>152</v>
      </c>
      <c r="H4214" s="5" t="s">
        <v>12161</v>
      </c>
      <c r="I4214" s="5" t="s">
        <v>12218</v>
      </c>
      <c r="J4214" s="5" t="s">
        <v>12219</v>
      </c>
      <c r="K4214" s="7" t="str">
        <f ca="1">IFERROR(__xludf.DUMMYFUNCTION("GOOGLETRANSLATE(H4214,""EN"",""ES"")"),"APARATOS Y EQUIPOS PARA GIMNASIA Y DEPORTES")</f>
        <v>APARATOS Y EQUIPOS PARA GIMNASIA Y DEPORTES</v>
      </c>
      <c r="L4214" s="5" t="str">
        <f ca="1">IFERROR(__xludf.DUMMYFUNCTION("GOOGLETRANSLATE(J4214,""EN"",""ES"")"),"Fijaciones para esquís y sus partes")</f>
        <v>Fijaciones para esquís y sus partes</v>
      </c>
      <c r="M4214" s="8" t="s">
        <v>72</v>
      </c>
      <c r="N4214" s="8"/>
    </row>
    <row r="4215" spans="1:14" ht="11.25" customHeight="1">
      <c r="A4215" s="5" t="s">
        <v>11900</v>
      </c>
      <c r="B4215" s="5" t="s">
        <v>12159</v>
      </c>
      <c r="C4215" s="5" t="s">
        <v>12220</v>
      </c>
      <c r="D4215" s="5" t="s">
        <v>11903</v>
      </c>
      <c r="E4215" s="5" t="s">
        <v>67</v>
      </c>
      <c r="F4215" s="5" t="s">
        <v>11904</v>
      </c>
      <c r="G4215" s="5" t="s">
        <v>152</v>
      </c>
      <c r="H4215" s="5" t="s">
        <v>12161</v>
      </c>
      <c r="I4215" s="5" t="s">
        <v>12221</v>
      </c>
      <c r="J4215" s="5" t="s">
        <v>12222</v>
      </c>
      <c r="K4215" s="7" t="str">
        <f ca="1">IFERROR(__xludf.DUMMYFUNCTION("GOOGLETRANSLATE(H4215,""EN"",""ES"")"),"APARATOS Y EQUIPOS PARA GIMNASIA Y DEPORTES")</f>
        <v>APARATOS Y EQUIPOS PARA GIMNASIA Y DEPORTES</v>
      </c>
      <c r="L4215" s="5" t="str">
        <f ca="1">IFERROR(__xludf.DUMMYFUNCTION("GOOGLETRANSLATE(J4215,""EN"",""ES"")"),"Aparato de ejercicio")</f>
        <v>Aparato de ejercicio</v>
      </c>
      <c r="M4215" s="8" t="s">
        <v>72</v>
      </c>
      <c r="N4215" s="8"/>
    </row>
    <row r="4216" spans="1:14" ht="11.25" customHeight="1">
      <c r="A4216" s="5" t="s">
        <v>11900</v>
      </c>
      <c r="B4216" s="5" t="s">
        <v>12159</v>
      </c>
      <c r="C4216" s="5" t="s">
        <v>12223</v>
      </c>
      <c r="D4216" s="5" t="s">
        <v>11903</v>
      </c>
      <c r="E4216" s="5" t="s">
        <v>67</v>
      </c>
      <c r="F4216" s="5" t="s">
        <v>11904</v>
      </c>
      <c r="G4216" s="5" t="s">
        <v>152</v>
      </c>
      <c r="H4216" s="5" t="s">
        <v>12161</v>
      </c>
      <c r="I4216" s="5" t="s">
        <v>12224</v>
      </c>
      <c r="J4216" s="5" t="s">
        <v>12225</v>
      </c>
      <c r="K4216" s="7" t="str">
        <f ca="1">IFERROR(__xludf.DUMMYFUNCTION("GOOGLETRANSLATE(H4216,""EN"",""ES"")"),"APARATOS Y EQUIPOS PARA GIMNASIA Y DEPORTES")</f>
        <v>APARATOS Y EQUIPOS PARA GIMNASIA Y DEPORTES</v>
      </c>
      <c r="L4216" s="5" t="str">
        <f ca="1">IFERROR(__xludf.DUMMYFUNCTION("GOOGLETRANSLATE(J4216,""EN"",""ES"")"),"Equipo de gimnasio")</f>
        <v>Equipo de gimnasio</v>
      </c>
      <c r="M4216" s="8" t="s">
        <v>72</v>
      </c>
      <c r="N4216" s="8"/>
    </row>
    <row r="4217" spans="1:14" ht="11.25" customHeight="1">
      <c r="A4217" s="5" t="s">
        <v>11900</v>
      </c>
      <c r="B4217" s="5" t="s">
        <v>12159</v>
      </c>
      <c r="C4217" s="5" t="s">
        <v>12226</v>
      </c>
      <c r="D4217" s="5" t="s">
        <v>11903</v>
      </c>
      <c r="E4217" s="5" t="s">
        <v>67</v>
      </c>
      <c r="F4217" s="5" t="s">
        <v>11904</v>
      </c>
      <c r="G4217" s="5" t="s">
        <v>152</v>
      </c>
      <c r="H4217" s="5" t="s">
        <v>12161</v>
      </c>
      <c r="I4217" s="5" t="s">
        <v>12227</v>
      </c>
      <c r="J4217" s="5" t="s">
        <v>12228</v>
      </c>
      <c r="K4217" s="7" t="str">
        <f ca="1">IFERROR(__xludf.DUMMYFUNCTION("GOOGLETRANSLATE(H4217,""EN"",""ES"")"),"APARATOS Y EQUIPOS PARA GIMNASIA Y DEPORTES")</f>
        <v>APARATOS Y EQUIPOS PARA GIMNASIA Y DEPORTES</v>
      </c>
      <c r="L4217" s="5" t="str">
        <f ca="1">IFERROR(__xludf.DUMMYFUNCTION("GOOGLETRANSLATE(J4217,""EN"",""ES"")"),"mancuernas")</f>
        <v>mancuernas</v>
      </c>
      <c r="M4217" s="8" t="s">
        <v>72</v>
      </c>
      <c r="N4217" s="8"/>
    </row>
    <row r="4218" spans="1:14" ht="11.25" customHeight="1">
      <c r="A4218" s="5" t="s">
        <v>11900</v>
      </c>
      <c r="B4218" s="5" t="s">
        <v>12159</v>
      </c>
      <c r="C4218" s="5" t="s">
        <v>12229</v>
      </c>
      <c r="D4218" s="5" t="s">
        <v>11903</v>
      </c>
      <c r="E4218" s="5" t="s">
        <v>67</v>
      </c>
      <c r="F4218" s="5" t="s">
        <v>11904</v>
      </c>
      <c r="G4218" s="5" t="s">
        <v>152</v>
      </c>
      <c r="H4218" s="5" t="s">
        <v>12161</v>
      </c>
      <c r="I4218" s="5" t="s">
        <v>12230</v>
      </c>
      <c r="J4218" s="5" t="s">
        <v>12231</v>
      </c>
      <c r="K4218" s="7" t="str">
        <f ca="1">IFERROR(__xludf.DUMMYFUNCTION("GOOGLETRANSLATE(H4218,""EN"",""ES"")"),"APARATOS Y EQUIPOS PARA GIMNASIA Y DEPORTES")</f>
        <v>APARATOS Y EQUIPOS PARA GIMNASIA Y DEPORTES</v>
      </c>
      <c r="L4218" s="5" t="str">
        <f ca="1">IFERROR(__xludf.DUMMYFUNCTION("GOOGLETRANSLATE(J4218,""EN"",""ES"")"),"Aparato para desarrollar músculos.")</f>
        <v>Aparato para desarrollar músculos.</v>
      </c>
      <c r="M4218" s="8" t="s">
        <v>72</v>
      </c>
      <c r="N4218" s="8"/>
    </row>
    <row r="4219" spans="1:14" ht="11.25" customHeight="1">
      <c r="A4219" s="5" t="s">
        <v>11900</v>
      </c>
      <c r="B4219" s="5" t="s">
        <v>12159</v>
      </c>
      <c r="C4219" s="5" t="s">
        <v>12232</v>
      </c>
      <c r="D4219" s="5" t="s">
        <v>11903</v>
      </c>
      <c r="E4219" s="5" t="s">
        <v>67</v>
      </c>
      <c r="F4219" s="5" t="s">
        <v>11904</v>
      </c>
      <c r="G4219" s="5" t="s">
        <v>152</v>
      </c>
      <c r="H4219" s="5" t="s">
        <v>12161</v>
      </c>
      <c r="I4219" s="5" t="s">
        <v>12233</v>
      </c>
      <c r="J4219" s="5" t="s">
        <v>12234</v>
      </c>
      <c r="K4219" s="7" t="str">
        <f ca="1">IFERROR(__xludf.DUMMYFUNCTION("GOOGLETRANSLATE(H4219,""EN"",""ES"")"),"APARATOS Y EQUIPOS PARA GIMNASIA Y DEPORTES")</f>
        <v>APARATOS Y EQUIPOS PARA GIMNASIA Y DEPORTES</v>
      </c>
      <c r="L4219" s="5" t="str">
        <f ca="1">IFERROR(__xludf.DUMMYFUNCTION("GOOGLETRANSLATE(J4219,""EN"",""ES"")"),"Obstáculos")</f>
        <v>Obstáculos</v>
      </c>
      <c r="M4219" s="8" t="s">
        <v>72</v>
      </c>
      <c r="N4219" s="8"/>
    </row>
    <row r="4220" spans="1:14" ht="11.25" customHeight="1">
      <c r="A4220" s="5" t="s">
        <v>11900</v>
      </c>
      <c r="B4220" s="5" t="s">
        <v>12159</v>
      </c>
      <c r="C4220" s="5" t="s">
        <v>12235</v>
      </c>
      <c r="D4220" s="5" t="s">
        <v>11903</v>
      </c>
      <c r="E4220" s="5" t="s">
        <v>67</v>
      </c>
      <c r="F4220" s="5" t="s">
        <v>11904</v>
      </c>
      <c r="G4220" s="5" t="s">
        <v>152</v>
      </c>
      <c r="H4220" s="5" t="s">
        <v>12161</v>
      </c>
      <c r="I4220" s="5" t="s">
        <v>12236</v>
      </c>
      <c r="J4220" s="5" t="s">
        <v>12237</v>
      </c>
      <c r="K4220" s="7" t="str">
        <f ca="1">IFERROR(__xludf.DUMMYFUNCTION("GOOGLETRANSLATE(H4220,""EN"",""ES"")"),"APARATOS Y EQUIPOS PARA GIMNASIA Y DEPORTES")</f>
        <v>APARATOS Y EQUIPOS PARA GIMNASIA Y DEPORTES</v>
      </c>
      <c r="L4220" s="5" t="str">
        <f ca="1">IFERROR(__xludf.DUMMYFUNCTION("GOOGLETRANSLATE(J4220,""EN"",""ES"")"),"patines de hielo")</f>
        <v>patines de hielo</v>
      </c>
      <c r="M4220" s="8" t="s">
        <v>72</v>
      </c>
      <c r="N4220" s="8"/>
    </row>
    <row r="4221" spans="1:14" ht="11.25" customHeight="1">
      <c r="A4221" s="5" t="s">
        <v>11900</v>
      </c>
      <c r="B4221" s="5" t="s">
        <v>12159</v>
      </c>
      <c r="C4221" s="5" t="s">
        <v>12238</v>
      </c>
      <c r="D4221" s="5" t="s">
        <v>11903</v>
      </c>
      <c r="E4221" s="5" t="s">
        <v>67</v>
      </c>
      <c r="F4221" s="5" t="s">
        <v>11904</v>
      </c>
      <c r="G4221" s="5" t="s">
        <v>152</v>
      </c>
      <c r="H4221" s="5" t="s">
        <v>12161</v>
      </c>
      <c r="I4221" s="5" t="s">
        <v>12239</v>
      </c>
      <c r="J4221" s="5" t="s">
        <v>12240</v>
      </c>
      <c r="K4221" s="7" t="str">
        <f ca="1">IFERROR(__xludf.DUMMYFUNCTION("GOOGLETRANSLATE(H4221,""EN"",""ES"")"),"APARATOS Y EQUIPOS PARA GIMNASIA Y DEPORTES")</f>
        <v>APARATOS Y EQUIPOS PARA GIMNASIA Y DEPORTES</v>
      </c>
      <c r="L4221" s="5" t="str">
        <f ca="1">IFERROR(__xludf.DUMMYFUNCTION("GOOGLETRANSLATE(J4221,""EN"",""ES"")"),"patines")</f>
        <v>patines</v>
      </c>
      <c r="M4221" s="8" t="s">
        <v>72</v>
      </c>
      <c r="N4221" s="8"/>
    </row>
    <row r="4222" spans="1:14" ht="11.25" customHeight="1">
      <c r="A4222" s="5" t="s">
        <v>11900</v>
      </c>
      <c r="B4222" s="5" t="s">
        <v>12159</v>
      </c>
      <c r="C4222" s="5" t="s">
        <v>12241</v>
      </c>
      <c r="D4222" s="5" t="s">
        <v>11903</v>
      </c>
      <c r="E4222" s="5" t="s">
        <v>67</v>
      </c>
      <c r="F4222" s="5" t="s">
        <v>11904</v>
      </c>
      <c r="G4222" s="5" t="s">
        <v>152</v>
      </c>
      <c r="H4222" s="5" t="s">
        <v>12161</v>
      </c>
      <c r="I4222" s="5" t="s">
        <v>12242</v>
      </c>
      <c r="J4222" s="5" t="s">
        <v>12243</v>
      </c>
      <c r="K4222" s="7" t="str">
        <f ca="1">IFERROR(__xludf.DUMMYFUNCTION("GOOGLETRANSLATE(H4222,""EN"",""ES"")"),"APARATOS Y EQUIPOS PARA GIMNASIA Y DEPORTES")</f>
        <v>APARATOS Y EQUIPOS PARA GIMNASIA Y DEPORTES</v>
      </c>
      <c r="L4222" s="5" t="str">
        <f ca="1">IFERROR(__xludf.DUMMYFUNCTION("GOOGLETRANSLATE(J4222,""EN"",""ES"")"),"Consejos de protección para esquís.")</f>
        <v>Consejos de protección para esquís.</v>
      </c>
      <c r="M4222" s="8" t="s">
        <v>72</v>
      </c>
      <c r="N4222" s="8"/>
    </row>
    <row r="4223" spans="1:14" ht="11.25" customHeight="1">
      <c r="A4223" s="5" t="s">
        <v>11900</v>
      </c>
      <c r="B4223" s="5" t="s">
        <v>12159</v>
      </c>
      <c r="C4223" s="5" t="s">
        <v>12241</v>
      </c>
      <c r="D4223" s="5" t="s">
        <v>11903</v>
      </c>
      <c r="E4223" s="5" t="s">
        <v>67</v>
      </c>
      <c r="F4223" s="5" t="s">
        <v>11904</v>
      </c>
      <c r="G4223" s="5" t="s">
        <v>152</v>
      </c>
      <c r="H4223" s="5" t="s">
        <v>12161</v>
      </c>
      <c r="I4223" s="5" t="s">
        <v>152</v>
      </c>
      <c r="J4223" s="5" t="s">
        <v>12244</v>
      </c>
      <c r="K4223" s="7" t="str">
        <f ca="1">IFERROR(__xludf.DUMMYFUNCTION("GOOGLETRANSLATE(H4223,""EN"",""ES"")"),"APARATOS Y EQUIPOS PARA GIMNASIA Y DEPORTES")</f>
        <v>APARATOS Y EQUIPOS PARA GIMNASIA Y DEPORTES</v>
      </c>
      <c r="L4223" s="5" t="str">
        <f ca="1">IFERROR(__xludf.DUMMYFUNCTION("GOOGLETRANSLATE(J4223,""EN"",""ES"")"),"N / A")</f>
        <v>N / A</v>
      </c>
      <c r="M4223" s="8" t="s">
        <v>72</v>
      </c>
      <c r="N4223" s="8"/>
    </row>
    <row r="4224" spans="1:14" ht="11.25" customHeight="1">
      <c r="A4224" s="5" t="s">
        <v>11900</v>
      </c>
      <c r="B4224" s="5" t="s">
        <v>12159</v>
      </c>
      <c r="C4224" s="5" t="s">
        <v>12245</v>
      </c>
      <c r="D4224" s="5" t="s">
        <v>11903</v>
      </c>
      <c r="E4224" s="5" t="s">
        <v>67</v>
      </c>
      <c r="F4224" s="5" t="s">
        <v>11904</v>
      </c>
      <c r="G4224" s="5" t="s">
        <v>152</v>
      </c>
      <c r="H4224" s="5" t="s">
        <v>12161</v>
      </c>
      <c r="I4224" s="5" t="s">
        <v>12246</v>
      </c>
      <c r="J4224" s="5" t="s">
        <v>12247</v>
      </c>
      <c r="K4224" s="7" t="str">
        <f ca="1">IFERROR(__xludf.DUMMYFUNCTION("GOOGLETRANSLATE(H4224,""EN"",""ES"")"),"APARATOS Y EQUIPOS PARA GIMNASIA Y DEPORTES")</f>
        <v>APARATOS Y EQUIPOS PARA GIMNASIA Y DEPORTES</v>
      </c>
      <c r="L4224" s="5" t="str">
        <f ca="1">IFERROR(__xludf.DUMMYFUNCTION("GOOGLETRANSLATE(J4224,""EN"",""ES"")"),"pesas para atletismo")</f>
        <v>pesas para atletismo</v>
      </c>
      <c r="M4224" s="8" t="s">
        <v>72</v>
      </c>
      <c r="N4224" s="8"/>
    </row>
    <row r="4225" spans="1:14" ht="11.25" customHeight="1">
      <c r="A4225" s="5" t="s">
        <v>11900</v>
      </c>
      <c r="B4225" s="5" t="s">
        <v>12159</v>
      </c>
      <c r="C4225" s="5" t="s">
        <v>12248</v>
      </c>
      <c r="D4225" s="5" t="s">
        <v>11903</v>
      </c>
      <c r="E4225" s="5" t="s">
        <v>67</v>
      </c>
      <c r="F4225" s="5" t="s">
        <v>11904</v>
      </c>
      <c r="G4225" s="5" t="s">
        <v>152</v>
      </c>
      <c r="H4225" s="5" t="s">
        <v>12161</v>
      </c>
      <c r="I4225" s="5" t="s">
        <v>12249</v>
      </c>
      <c r="J4225" s="5" t="s">
        <v>12250</v>
      </c>
      <c r="K4225" s="7" t="str">
        <f ca="1">IFERROR(__xludf.DUMMYFUNCTION("GOOGLETRANSLATE(H4225,""EN"",""ES"")"),"APARATOS Y EQUIPOS PARA GIMNASIA Y DEPORTES")</f>
        <v>APARATOS Y EQUIPOS PARA GIMNASIA Y DEPORTES</v>
      </c>
      <c r="L4225" s="5" t="str">
        <f ca="1">IFERROR(__xludf.DUMMYFUNCTION("GOOGLETRANSLATE(J4225,""EN"",""ES"")"),"raquetas para juegos")</f>
        <v>raquetas para juegos</v>
      </c>
      <c r="M4225" s="8" t="s">
        <v>72</v>
      </c>
      <c r="N4225" s="8"/>
    </row>
    <row r="4226" spans="1:14" ht="11.25" customHeight="1">
      <c r="A4226" s="5" t="s">
        <v>11900</v>
      </c>
      <c r="B4226" s="5" t="s">
        <v>12159</v>
      </c>
      <c r="C4226" s="5" t="s">
        <v>12251</v>
      </c>
      <c r="D4226" s="5" t="s">
        <v>11903</v>
      </c>
      <c r="E4226" s="5" t="s">
        <v>67</v>
      </c>
      <c r="F4226" s="5" t="s">
        <v>11904</v>
      </c>
      <c r="G4226" s="5" t="s">
        <v>152</v>
      </c>
      <c r="H4226" s="5" t="s">
        <v>12161</v>
      </c>
      <c r="I4226" s="5" t="s">
        <v>12252</v>
      </c>
      <c r="J4226" s="5" t="s">
        <v>12253</v>
      </c>
      <c r="K4226" s="7" t="str">
        <f ca="1">IFERROR(__xludf.DUMMYFUNCTION("GOOGLETRANSLATE(H4226,""EN"",""ES"")"),"APARATOS Y EQUIPOS PARA GIMNASIA Y DEPORTES")</f>
        <v>APARATOS Y EQUIPOS PARA GIMNASIA Y DEPORTES</v>
      </c>
      <c r="L4226" s="5" t="str">
        <f ca="1">IFERROR(__xludf.DUMMYFUNCTION("GOOGLETRANSLATE(J4226,""EN"",""ES"")"),"Suelas de esquís")</f>
        <v>Suelas de esquís</v>
      </c>
      <c r="M4226" s="8" t="s">
        <v>72</v>
      </c>
      <c r="N4226" s="8"/>
    </row>
    <row r="4227" spans="1:14" ht="11.25" customHeight="1">
      <c r="A4227" s="5" t="s">
        <v>11900</v>
      </c>
      <c r="B4227" s="5" t="s">
        <v>12159</v>
      </c>
      <c r="C4227" s="5" t="s">
        <v>12254</v>
      </c>
      <c r="D4227" s="5" t="s">
        <v>11903</v>
      </c>
      <c r="E4227" s="5" t="s">
        <v>67</v>
      </c>
      <c r="F4227" s="5" t="s">
        <v>11904</v>
      </c>
      <c r="G4227" s="5" t="s">
        <v>152</v>
      </c>
      <c r="H4227" s="5" t="s">
        <v>12161</v>
      </c>
      <c r="I4227" s="5" t="s">
        <v>12255</v>
      </c>
      <c r="J4227" s="5" t="s">
        <v>12256</v>
      </c>
      <c r="K4227" s="7" t="str">
        <f ca="1">IFERROR(__xludf.DUMMYFUNCTION("GOOGLETRANSLATE(H4227,""EN"",""ES"")"),"APARATOS Y EQUIPOS PARA GIMNASIA Y DEPORTES")</f>
        <v>APARATOS Y EQUIPOS PARA GIMNASIA Y DEPORTES</v>
      </c>
      <c r="L4227" s="5" t="str">
        <f ca="1">IFERROR(__xludf.DUMMYFUNCTION("GOOGLETRANSLATE(J4227,""EN"",""ES"")"),"Revestimientos superficiales de suelas de esquís.")</f>
        <v>Revestimientos superficiales de suelas de esquís.</v>
      </c>
      <c r="M4227" s="8" t="s">
        <v>72</v>
      </c>
      <c r="N4227" s="8"/>
    </row>
    <row r="4228" spans="1:14" ht="11.25" customHeight="1">
      <c r="A4228" s="5" t="s">
        <v>11900</v>
      </c>
      <c r="B4228" s="5" t="s">
        <v>12159</v>
      </c>
      <c r="C4228" s="5" t="s">
        <v>12257</v>
      </c>
      <c r="D4228" s="5" t="s">
        <v>11903</v>
      </c>
      <c r="E4228" s="5" t="s">
        <v>67</v>
      </c>
      <c r="F4228" s="5" t="s">
        <v>11904</v>
      </c>
      <c r="G4228" s="5" t="s">
        <v>152</v>
      </c>
      <c r="H4228" s="5" t="s">
        <v>12161</v>
      </c>
      <c r="I4228" s="5" t="s">
        <v>12258</v>
      </c>
      <c r="J4228" s="5" t="s">
        <v>12258</v>
      </c>
      <c r="K4228" s="7" t="str">
        <f ca="1">IFERROR(__xludf.DUMMYFUNCTION("GOOGLETRANSLATE(H4228,""EN"",""ES"")"),"APARATOS Y EQUIPOS PARA GIMNASIA Y DEPORTES")</f>
        <v>APARATOS Y EQUIPOS PARA GIMNASIA Y DEPORTES</v>
      </c>
      <c r="L4228" s="5" t="str">
        <f ca="1">IFERROR(__xludf.DUMMYFUNCTION("GOOGLETRANSLATE(J4228,""EN"",""ES"")"),"Esquís")</f>
        <v>Esquís</v>
      </c>
      <c r="M4228" s="8" t="s">
        <v>72</v>
      </c>
      <c r="N4228" s="8"/>
    </row>
    <row r="4229" spans="1:14" ht="11.25" customHeight="1">
      <c r="A4229" s="5" t="s">
        <v>11900</v>
      </c>
      <c r="B4229" s="5" t="s">
        <v>12159</v>
      </c>
      <c r="C4229" s="5" t="s">
        <v>12259</v>
      </c>
      <c r="D4229" s="5" t="s">
        <v>11903</v>
      </c>
      <c r="E4229" s="5" t="s">
        <v>67</v>
      </c>
      <c r="F4229" s="5" t="s">
        <v>11904</v>
      </c>
      <c r="G4229" s="5" t="s">
        <v>152</v>
      </c>
      <c r="H4229" s="5" t="s">
        <v>12161</v>
      </c>
      <c r="I4229" s="5" t="s">
        <v>12260</v>
      </c>
      <c r="J4229" s="5" t="s">
        <v>12260</v>
      </c>
      <c r="K4229" s="7" t="str">
        <f ca="1">IFERROR(__xludf.DUMMYFUNCTION("GOOGLETRANSLATE(H4229,""EN"",""ES"")"),"APARATOS Y EQUIPOS PARA GIMNASIA Y DEPORTES")</f>
        <v>APARATOS Y EQUIPOS PARA GIMNASIA Y DEPORTES</v>
      </c>
      <c r="L4229" s="5" t="str">
        <f ca="1">IFERROR(__xludf.DUMMYFUNCTION("GOOGLETRANSLATE(J4229,""EN"",""ES"")"),"Trampolines")</f>
        <v>Trampolines</v>
      </c>
      <c r="M4229" s="8" t="s">
        <v>72</v>
      </c>
      <c r="N4229" s="8"/>
    </row>
    <row r="4230" spans="1:14" ht="11.25" customHeight="1">
      <c r="A4230" s="5" t="s">
        <v>11900</v>
      </c>
      <c r="B4230" s="5" t="s">
        <v>12159</v>
      </c>
      <c r="C4230" s="5" t="s">
        <v>12261</v>
      </c>
      <c r="D4230" s="5" t="s">
        <v>11903</v>
      </c>
      <c r="E4230" s="5" t="s">
        <v>67</v>
      </c>
      <c r="F4230" s="5" t="s">
        <v>11904</v>
      </c>
      <c r="G4230" s="5" t="s">
        <v>152</v>
      </c>
      <c r="H4230" s="5" t="s">
        <v>12161</v>
      </c>
      <c r="I4230" s="5" t="s">
        <v>12262</v>
      </c>
      <c r="J4230" s="5" t="s">
        <v>12263</v>
      </c>
      <c r="K4230" s="7" t="str">
        <f ca="1">IFERROR(__xludf.DUMMYFUNCTION("GOOGLETRANSLATE(H4230,""EN"",""ES"")"),"APARATOS Y EQUIPOS PARA GIMNASIA Y DEPORTES")</f>
        <v>APARATOS Y EQUIPOS PARA GIMNASIA Y DEPORTES</v>
      </c>
      <c r="L4230" s="5" t="str">
        <f ca="1">IFERROR(__xludf.DUMMYFUNCTION("GOOGLETRANSLATE(J4230,""EN"",""ES"")"),"trapecios voladores")</f>
        <v>trapecios voladores</v>
      </c>
      <c r="M4230" s="8" t="s">
        <v>72</v>
      </c>
      <c r="N4230" s="8"/>
    </row>
    <row r="4231" spans="1:14" ht="11.25" customHeight="1">
      <c r="A4231" s="5" t="s">
        <v>11900</v>
      </c>
      <c r="B4231" s="5" t="s">
        <v>12159</v>
      </c>
      <c r="C4231" s="5" t="s">
        <v>12264</v>
      </c>
      <c r="D4231" s="5" t="s">
        <v>11903</v>
      </c>
      <c r="E4231" s="5" t="s">
        <v>67</v>
      </c>
      <c r="F4231" s="5" t="s">
        <v>11904</v>
      </c>
      <c r="G4231" s="5" t="s">
        <v>152</v>
      </c>
      <c r="H4231" s="5" t="s">
        <v>12161</v>
      </c>
      <c r="I4231" s="5" t="s">
        <v>12265</v>
      </c>
      <c r="J4231" s="5" t="s">
        <v>12266</v>
      </c>
      <c r="K4231" s="7" t="str">
        <f ca="1">IFERROR(__xludf.DUMMYFUNCTION("GOOGLETRANSLATE(H4231,""EN"",""ES"")"),"APARATOS Y EQUIPOS PARA GIMNASIA Y DEPORTES")</f>
        <v>APARATOS Y EQUIPOS PARA GIMNASIA Y DEPORTES</v>
      </c>
      <c r="L4231" s="5" t="str">
        <f ca="1">IFERROR(__xludf.DUMMYFUNCTION("GOOGLETRANSLATE(J4231,""EN"",""ES"")"),"Válvulas para pelotas inflables.")</f>
        <v>Válvulas para pelotas inflables.</v>
      </c>
      <c r="M4231" s="8" t="s">
        <v>72</v>
      </c>
      <c r="N4231" s="8"/>
    </row>
    <row r="4232" spans="1:14" ht="11.25" customHeight="1">
      <c r="A4232" s="5" t="s">
        <v>11900</v>
      </c>
      <c r="B4232" s="5" t="s">
        <v>12159</v>
      </c>
      <c r="C4232" s="5" t="s">
        <v>12267</v>
      </c>
      <c r="D4232" s="5" t="s">
        <v>11903</v>
      </c>
      <c r="E4232" s="5" t="s">
        <v>67</v>
      </c>
      <c r="F4232" s="5" t="s">
        <v>11904</v>
      </c>
      <c r="G4232" s="5" t="s">
        <v>152</v>
      </c>
      <c r="H4232" s="5" t="s">
        <v>12161</v>
      </c>
      <c r="I4232" s="5" t="s">
        <v>12268</v>
      </c>
      <c r="J4232" s="5" t="s">
        <v>12269</v>
      </c>
      <c r="K4232" s="7" t="str">
        <f ca="1">IFERROR(__xludf.DUMMYFUNCTION("GOOGLETRANSLATE(H4232,""EN"",""ES"")"),"APARATOS Y EQUIPOS PARA GIMNASIA Y DEPORTES")</f>
        <v>APARATOS Y EQUIPOS PARA GIMNASIA Y DEPORTES</v>
      </c>
      <c r="L4232" s="5" t="str">
        <f ca="1">IFERROR(__xludf.DUMMYFUNCTION("GOOGLETRANSLATE(J4232,""EN"",""ES"")"),"esquís sobre ruedas")</f>
        <v>esquís sobre ruedas</v>
      </c>
      <c r="M4232" s="8" t="s">
        <v>72</v>
      </c>
      <c r="N4232" s="8"/>
    </row>
    <row r="4233" spans="1:14" ht="11.25" customHeight="1">
      <c r="A4233" s="5" t="s">
        <v>11900</v>
      </c>
      <c r="B4233" s="5" t="s">
        <v>12159</v>
      </c>
      <c r="C4233" s="5" t="s">
        <v>12270</v>
      </c>
      <c r="D4233" s="5" t="s">
        <v>11903</v>
      </c>
      <c r="E4233" s="5" t="s">
        <v>67</v>
      </c>
      <c r="F4233" s="5" t="s">
        <v>11904</v>
      </c>
      <c r="G4233" s="5" t="s">
        <v>152</v>
      </c>
      <c r="H4233" s="5" t="s">
        <v>12161</v>
      </c>
      <c r="I4233" s="5" t="s">
        <v>12271</v>
      </c>
      <c r="J4233" s="5" t="s">
        <v>12272</v>
      </c>
      <c r="K4233" s="7" t="str">
        <f ca="1">IFERROR(__xludf.DUMMYFUNCTION("GOOGLETRANSLATE(H4233,""EN"",""ES"")"),"APARATOS Y EQUIPOS PARA GIMNASIA Y DEPORTES")</f>
        <v>APARATOS Y EQUIPOS PARA GIMNASIA Y DEPORTES</v>
      </c>
      <c r="L4233" s="5" t="str">
        <f ca="1">IFERROR(__xludf.DUMMYFUNCTION("GOOGLETRANSLATE(J4233,""EN"",""ES"")"),"bates de béisbol")</f>
        <v>bates de béisbol</v>
      </c>
      <c r="M4233" s="8" t="s">
        <v>72</v>
      </c>
      <c r="N4233" s="8"/>
    </row>
    <row r="4234" spans="1:14" ht="11.25" customHeight="1">
      <c r="A4234" s="5" t="s">
        <v>11900</v>
      </c>
      <c r="B4234" s="5" t="s">
        <v>12159</v>
      </c>
      <c r="C4234" s="5" t="s">
        <v>12273</v>
      </c>
      <c r="D4234" s="5" t="s">
        <v>11903</v>
      </c>
      <c r="E4234" s="5" t="s">
        <v>67</v>
      </c>
      <c r="F4234" s="5" t="s">
        <v>11904</v>
      </c>
      <c r="G4234" s="5" t="s">
        <v>152</v>
      </c>
      <c r="H4234" s="5" t="s">
        <v>12161</v>
      </c>
      <c r="I4234" s="5" t="s">
        <v>12274</v>
      </c>
      <c r="J4234" s="5" t="s">
        <v>12275</v>
      </c>
      <c r="K4234" s="7" t="str">
        <f ca="1">IFERROR(__xludf.DUMMYFUNCTION("GOOGLETRANSLATE(H4234,""EN"",""ES"")"),"APARATOS Y EQUIPOS PARA GIMNASIA Y DEPORTES")</f>
        <v>APARATOS Y EQUIPOS PARA GIMNASIA Y DEPORTES</v>
      </c>
      <c r="L4234" s="5" t="str">
        <f ca="1">IFERROR(__xludf.DUMMYFUNCTION("GOOGLETRANSLATE(J4234,""EN"",""ES"")"),"Crampones para escalar")</f>
        <v>Crampones para escalar</v>
      </c>
      <c r="M4234" s="8" t="s">
        <v>72</v>
      </c>
      <c r="N4234" s="8"/>
    </row>
    <row r="4235" spans="1:14" ht="11.25" customHeight="1">
      <c r="A4235" s="5" t="s">
        <v>11900</v>
      </c>
      <c r="B4235" s="5" t="s">
        <v>12159</v>
      </c>
      <c r="C4235" s="5" t="s">
        <v>12276</v>
      </c>
      <c r="D4235" s="5" t="s">
        <v>11903</v>
      </c>
      <c r="E4235" s="5" t="s">
        <v>67</v>
      </c>
      <c r="F4235" s="5" t="s">
        <v>11904</v>
      </c>
      <c r="G4235" s="5" t="s">
        <v>152</v>
      </c>
      <c r="H4235" s="5" t="s">
        <v>12161</v>
      </c>
      <c r="I4235" s="5" t="s">
        <v>12277</v>
      </c>
      <c r="J4235" s="5" t="s">
        <v>12278</v>
      </c>
      <c r="K4235" s="7" t="str">
        <f ca="1">IFERROR(__xludf.DUMMYFUNCTION("GOOGLETRANSLATE(H4235,""EN"",""ES"")"),"APARATOS Y EQUIPOS PARA GIMNASIA Y DEPORTES")</f>
        <v>APARATOS Y EQUIPOS PARA GIMNASIA Y DEPORTES</v>
      </c>
      <c r="L4235" s="5" t="str">
        <f ca="1">IFERROR(__xludf.DUMMYFUNCTION("GOOGLETRANSLATE(J4235,""EN"",""ES"")"),"Correas de mano para bastones de esquí.")</f>
        <v>Correas de mano para bastones de esquí.</v>
      </c>
      <c r="M4235" s="8" t="s">
        <v>72</v>
      </c>
      <c r="N4235" s="8"/>
    </row>
    <row r="4236" spans="1:14" ht="11.25" customHeight="1">
      <c r="A4236" s="5" t="s">
        <v>11900</v>
      </c>
      <c r="B4236" s="5" t="s">
        <v>12159</v>
      </c>
      <c r="C4236" s="5" t="s">
        <v>12276</v>
      </c>
      <c r="D4236" s="5" t="s">
        <v>11903</v>
      </c>
      <c r="E4236" s="5" t="s">
        <v>67</v>
      </c>
      <c r="F4236" s="5" t="s">
        <v>11904</v>
      </c>
      <c r="G4236" s="5" t="s">
        <v>152</v>
      </c>
      <c r="H4236" s="5" t="s">
        <v>12161</v>
      </c>
      <c r="I4236" s="5" t="s">
        <v>12279</v>
      </c>
      <c r="J4236" s="5" t="s">
        <v>152</v>
      </c>
      <c r="K4236" s="7" t="str">
        <f ca="1">IFERROR(__xludf.DUMMYFUNCTION("GOOGLETRANSLATE(H4236,""EN"",""ES"")"),"APARATOS Y EQUIPOS PARA GIMNASIA Y DEPORTES")</f>
        <v>APARATOS Y EQUIPOS PARA GIMNASIA Y DEPORTES</v>
      </c>
      <c r="L4236" s="5" t="str">
        <f ca="1">IFERROR(__xludf.DUMMYFUNCTION("GOOGLETRANSLATE(J4236,""EN"",""ES"")"),"Correas de mano para bastones de esquí.")</f>
        <v>Correas de mano para bastones de esquí.</v>
      </c>
      <c r="M4236" s="8" t="s">
        <v>72</v>
      </c>
      <c r="N4236" s="8"/>
    </row>
    <row r="4237" spans="1:14" ht="11.25" customHeight="1">
      <c r="A4237" s="5" t="s">
        <v>11900</v>
      </c>
      <c r="B4237" s="5" t="s">
        <v>12159</v>
      </c>
      <c r="C4237" s="5" t="s">
        <v>12280</v>
      </c>
      <c r="D4237" s="5" t="s">
        <v>11903</v>
      </c>
      <c r="E4237" s="5" t="s">
        <v>67</v>
      </c>
      <c r="F4237" s="5" t="s">
        <v>11904</v>
      </c>
      <c r="G4237" s="5" t="s">
        <v>152</v>
      </c>
      <c r="H4237" s="5" t="s">
        <v>12161</v>
      </c>
      <c r="I4237" s="5" t="s">
        <v>12281</v>
      </c>
      <c r="J4237" s="5" t="s">
        <v>12282</v>
      </c>
      <c r="K4237" s="7" t="str">
        <f ca="1">IFERROR(__xludf.DUMMYFUNCTION("GOOGLETRANSLATE(H4237,""EN"",""ES"")"),"APARATOS Y EQUIPOS PARA GIMNASIA Y DEPORTES")</f>
        <v>APARATOS Y EQUIPOS PARA GIMNASIA Y DEPORTES</v>
      </c>
      <c r="L4237" s="5" t="str">
        <f ca="1">IFERROR(__xludf.DUMMYFUNCTION("GOOGLETRANSLATE(J4237,""EN"",""ES"")"),"Maquinas para ejercicio fisico")</f>
        <v>Maquinas para ejercicio fisico</v>
      </c>
      <c r="M4237" s="8" t="s">
        <v>72</v>
      </c>
      <c r="N4237" s="8"/>
    </row>
    <row r="4238" spans="1:14" ht="11.25" customHeight="1">
      <c r="A4238" s="5" t="s">
        <v>11900</v>
      </c>
      <c r="B4238" s="5" t="s">
        <v>12159</v>
      </c>
      <c r="C4238" s="5" t="s">
        <v>12283</v>
      </c>
      <c r="D4238" s="5" t="s">
        <v>11903</v>
      </c>
      <c r="E4238" s="5" t="s">
        <v>67</v>
      </c>
      <c r="F4238" s="5" t="s">
        <v>11904</v>
      </c>
      <c r="G4238" s="5" t="s">
        <v>152</v>
      </c>
      <c r="H4238" s="5" t="s">
        <v>12161</v>
      </c>
      <c r="I4238" s="5" t="s">
        <v>12284</v>
      </c>
      <c r="J4238" s="5" t="s">
        <v>12285</v>
      </c>
      <c r="K4238" s="7" t="str">
        <f ca="1">IFERROR(__xludf.DUMMYFUNCTION("GOOGLETRANSLATE(H4238,""EN"",""ES"")"),"APARATOS Y EQUIPOS PARA GIMNASIA Y DEPORTES")</f>
        <v>APARATOS Y EQUIPOS PARA GIMNASIA Y DEPORTES</v>
      </c>
      <c r="L4238" s="5" t="str">
        <f ca="1">IFERROR(__xludf.DUMMYFUNCTION("GOOGLETRANSLATE(J4238,""EN"",""ES"")"),"Expansores de pecho")</f>
        <v>Expansores de pecho</v>
      </c>
      <c r="M4238" s="8" t="s">
        <v>72</v>
      </c>
      <c r="N4238" s="8"/>
    </row>
    <row r="4239" spans="1:14" ht="11.25" customHeight="1">
      <c r="A4239" s="5" t="s">
        <v>11900</v>
      </c>
      <c r="B4239" s="5" t="s">
        <v>12159</v>
      </c>
      <c r="C4239" s="5" t="s">
        <v>12286</v>
      </c>
      <c r="D4239" s="5" t="s">
        <v>11903</v>
      </c>
      <c r="E4239" s="5" t="s">
        <v>67</v>
      </c>
      <c r="F4239" s="5" t="s">
        <v>11904</v>
      </c>
      <c r="G4239" s="5" t="s">
        <v>152</v>
      </c>
      <c r="H4239" s="5" t="s">
        <v>12161</v>
      </c>
      <c r="I4239" s="5" t="s">
        <v>12287</v>
      </c>
      <c r="J4239" s="5" t="s">
        <v>12288</v>
      </c>
      <c r="K4239" s="7" t="str">
        <f ca="1">IFERROR(__xludf.DUMMYFUNCTION("GOOGLETRANSLATE(H4239,""EN"",""ES"")"),"APARATOS Y EQUIPOS PARA GIMNASIA Y DEPORTES")</f>
        <v>APARATOS Y EQUIPOS PARA GIMNASIA Y DEPORTES</v>
      </c>
      <c r="L4239" s="5" t="str">
        <f ca="1">IFERROR(__xludf.DUMMYFUNCTION("GOOGLETRANSLATE(J4239,""EN"",""ES"")"),"Boleras")</f>
        <v>Boleras</v>
      </c>
      <c r="M4239" s="8" t="s">
        <v>72</v>
      </c>
      <c r="N4239" s="8"/>
    </row>
    <row r="4240" spans="1:14" ht="11.25" customHeight="1">
      <c r="A4240" s="5" t="s">
        <v>11900</v>
      </c>
      <c r="B4240" s="5" t="s">
        <v>12159</v>
      </c>
      <c r="C4240" s="5" t="s">
        <v>12289</v>
      </c>
      <c r="D4240" s="5" t="s">
        <v>11903</v>
      </c>
      <c r="E4240" s="5" t="s">
        <v>67</v>
      </c>
      <c r="F4240" s="5" t="s">
        <v>11904</v>
      </c>
      <c r="G4240" s="5" t="s">
        <v>152</v>
      </c>
      <c r="H4240" s="5" t="s">
        <v>12161</v>
      </c>
      <c r="I4240" s="5" t="s">
        <v>12290</v>
      </c>
      <c r="J4240" s="5" t="s">
        <v>12291</v>
      </c>
      <c r="K4240" s="7" t="str">
        <f ca="1">IFERROR(__xludf.DUMMYFUNCTION("GOOGLETRANSLATE(H4240,""EN"",""ES"")"),"APARATOS Y EQUIPOS PARA GIMNASIA Y DEPORTES")</f>
        <v>APARATOS Y EQUIPOS PARA GIMNASIA Y DEPORTES</v>
      </c>
      <c r="L4240" s="5" t="str">
        <f ca="1">IFERROR(__xludf.DUMMYFUNCTION("GOOGLETRANSLATE(J4240,""EN"",""ES"")"),"Juegos de croquet")</f>
        <v>Juegos de croquet</v>
      </c>
      <c r="M4240" s="8" t="s">
        <v>72</v>
      </c>
      <c r="N4240" s="8"/>
    </row>
    <row r="4241" spans="1:14" ht="11.25" customHeight="1">
      <c r="A4241" s="5" t="s">
        <v>11900</v>
      </c>
      <c r="B4241" s="5" t="s">
        <v>12159</v>
      </c>
      <c r="C4241" s="5" t="s">
        <v>12292</v>
      </c>
      <c r="D4241" s="5" t="s">
        <v>11903</v>
      </c>
      <c r="E4241" s="5" t="s">
        <v>67</v>
      </c>
      <c r="F4241" s="5" t="s">
        <v>11904</v>
      </c>
      <c r="G4241" s="5" t="s">
        <v>152</v>
      </c>
      <c r="H4241" s="5" t="s">
        <v>12161</v>
      </c>
      <c r="I4241" s="5" t="s">
        <v>12293</v>
      </c>
      <c r="J4241" s="5" t="s">
        <v>12294</v>
      </c>
      <c r="K4241" s="7" t="str">
        <f ca="1">IFERROR(__xludf.DUMMYFUNCTION("GOOGLETRANSLATE(H4241,""EN"",""ES"")"),"APARATOS Y EQUIPOS PARA GIMNASIA Y DEPORTES")</f>
        <v>APARATOS Y EQUIPOS PARA GIMNASIA Y DEPORTES</v>
      </c>
      <c r="L4241" s="5" t="str">
        <f ca="1">IFERROR(__xludf.DUMMYFUNCTION("GOOGLETRANSLATE(J4241,""EN"",""ES"")"),"Máscaras de esgrima")</f>
        <v>Máscaras de esgrima</v>
      </c>
      <c r="M4241" s="8" t="s">
        <v>72</v>
      </c>
      <c r="N4241" s="8"/>
    </row>
    <row r="4242" spans="1:14" ht="11.25" customHeight="1">
      <c r="A4242" s="5" t="s">
        <v>11900</v>
      </c>
      <c r="B4242" s="5" t="s">
        <v>12159</v>
      </c>
      <c r="C4242" s="5" t="s">
        <v>12295</v>
      </c>
      <c r="D4242" s="5" t="s">
        <v>11903</v>
      </c>
      <c r="E4242" s="5" t="s">
        <v>67</v>
      </c>
      <c r="F4242" s="5" t="s">
        <v>11904</v>
      </c>
      <c r="G4242" s="5" t="s">
        <v>152</v>
      </c>
      <c r="H4242" s="5" t="s">
        <v>12161</v>
      </c>
      <c r="I4242" s="5" t="s">
        <v>12296</v>
      </c>
      <c r="J4242" s="5" t="s">
        <v>12297</v>
      </c>
      <c r="K4242" s="7" t="str">
        <f ca="1">IFERROR(__xludf.DUMMYFUNCTION("GOOGLETRANSLATE(H4242,""EN"",""ES"")"),"APARATOS Y EQUIPOS PARA GIMNASIA Y DEPORTES")</f>
        <v>APARATOS Y EQUIPOS PARA GIMNASIA Y DEPORTES</v>
      </c>
      <c r="L4242" s="5" t="str">
        <f ca="1">IFERROR(__xludf.DUMMYFUNCTION("GOOGLETRANSLATE(J4242,""EN"",""ES"")"),"Aletas para nadar")</f>
        <v>Aletas para nadar</v>
      </c>
      <c r="M4242" s="8" t="s">
        <v>72</v>
      </c>
      <c r="N4242" s="8"/>
    </row>
    <row r="4243" spans="1:14" ht="11.25" customHeight="1">
      <c r="A4243" s="5" t="s">
        <v>11900</v>
      </c>
      <c r="B4243" s="5" t="s">
        <v>12159</v>
      </c>
      <c r="C4243" s="5" t="s">
        <v>12295</v>
      </c>
      <c r="D4243" s="5" t="s">
        <v>11903</v>
      </c>
      <c r="E4243" s="5" t="s">
        <v>67</v>
      </c>
      <c r="F4243" s="5" t="s">
        <v>11904</v>
      </c>
      <c r="G4243" s="5" t="s">
        <v>152</v>
      </c>
      <c r="H4243" s="5" t="s">
        <v>12161</v>
      </c>
      <c r="I4243" s="5" t="s">
        <v>12298</v>
      </c>
      <c r="J4243" s="5" t="s">
        <v>152</v>
      </c>
      <c r="K4243" s="7" t="str">
        <f ca="1">IFERROR(__xludf.DUMMYFUNCTION("GOOGLETRANSLATE(H4243,""EN"",""ES"")"),"APARATOS Y EQUIPOS PARA GIMNASIA Y DEPORTES")</f>
        <v>APARATOS Y EQUIPOS PARA GIMNASIA Y DEPORTES</v>
      </c>
      <c r="L4243" s="5" t="str">
        <f ca="1">IFERROR(__xludf.DUMMYFUNCTION("GOOGLETRANSLATE(J4243,""EN"",""ES"")"),"aletas de natación")</f>
        <v>aletas de natación</v>
      </c>
      <c r="M4243" s="8" t="s">
        <v>72</v>
      </c>
      <c r="N4243" s="8"/>
    </row>
    <row r="4244" spans="1:14" ht="11.25" customHeight="1">
      <c r="A4244" s="5" t="s">
        <v>11900</v>
      </c>
      <c r="B4244" s="5" t="s">
        <v>12159</v>
      </c>
      <c r="C4244" s="5" t="s">
        <v>12299</v>
      </c>
      <c r="D4244" s="5" t="s">
        <v>11903</v>
      </c>
      <c r="E4244" s="5" t="s">
        <v>67</v>
      </c>
      <c r="F4244" s="5" t="s">
        <v>11904</v>
      </c>
      <c r="G4244" s="5" t="s">
        <v>152</v>
      </c>
      <c r="H4244" s="5" t="s">
        <v>12161</v>
      </c>
      <c r="I4244" s="5" t="s">
        <v>12300</v>
      </c>
      <c r="J4244" s="5" t="s">
        <v>12301</v>
      </c>
      <c r="K4244" s="7" t="str">
        <f ca="1">IFERROR(__xludf.DUMMYFUNCTION("GOOGLETRANSLATE(H4244,""EN"",""ES"")"),"APARATOS Y EQUIPOS PARA GIMNASIA Y DEPORTES")</f>
        <v>APARATOS Y EQUIPOS PARA GIMNASIA Y DEPORTES</v>
      </c>
      <c r="L4244" s="5" t="str">
        <f ca="1">IFERROR(__xludf.DUMMYFUNCTION("GOOGLETRANSLATE(J4244,""EN"",""ES"")"),"Pinzas nasales para nadadores")</f>
        <v>Pinzas nasales para nadadores</v>
      </c>
      <c r="M4244" s="8" t="s">
        <v>72</v>
      </c>
      <c r="N4244" s="8"/>
    </row>
    <row r="4245" spans="1:14" ht="11.25" customHeight="1">
      <c r="A4245" s="5" t="s">
        <v>11900</v>
      </c>
      <c r="B4245" s="5" t="s">
        <v>12159</v>
      </c>
      <c r="C4245" s="5" t="s">
        <v>12302</v>
      </c>
      <c r="D4245" s="5" t="s">
        <v>11903</v>
      </c>
      <c r="E4245" s="5" t="s">
        <v>67</v>
      </c>
      <c r="F4245" s="5" t="s">
        <v>11904</v>
      </c>
      <c r="G4245" s="5" t="s">
        <v>152</v>
      </c>
      <c r="H4245" s="5" t="s">
        <v>12161</v>
      </c>
      <c r="I4245" s="5" t="s">
        <v>12303</v>
      </c>
      <c r="J4245" s="5" t="s">
        <v>12304</v>
      </c>
      <c r="K4245" s="7" t="str">
        <f ca="1">IFERROR(__xludf.DUMMYFUNCTION("GOOGLETRANSLATE(H4245,""EN"",""ES"")"),"APARATOS Y EQUIPOS PARA GIMNASIA Y DEPORTES")</f>
        <v>APARATOS Y EQUIPOS PARA GIMNASIA Y DEPORTES</v>
      </c>
      <c r="L4245" s="5" t="str">
        <f ca="1">IFERROR(__xludf.DUMMYFUNCTION("GOOGLETRANSLATE(J4245,""EN"",""ES"")"),"Mangos de bastones de esquí")</f>
        <v>Mangos de bastones de esquí</v>
      </c>
      <c r="M4245" s="8" t="s">
        <v>72</v>
      </c>
      <c r="N4245" s="8"/>
    </row>
    <row r="4246" spans="1:14" ht="11.25" customHeight="1">
      <c r="A4246" s="5" t="s">
        <v>11900</v>
      </c>
      <c r="B4246" s="5" t="s">
        <v>12159</v>
      </c>
      <c r="C4246" s="5" t="s">
        <v>12302</v>
      </c>
      <c r="D4246" s="5" t="s">
        <v>11903</v>
      </c>
      <c r="E4246" s="5" t="s">
        <v>67</v>
      </c>
      <c r="F4246" s="5" t="s">
        <v>11904</v>
      </c>
      <c r="G4246" s="5" t="s">
        <v>152</v>
      </c>
      <c r="H4246" s="5" t="s">
        <v>12161</v>
      </c>
      <c r="I4246" s="5" t="s">
        <v>12305</v>
      </c>
      <c r="J4246" s="5" t="s">
        <v>152</v>
      </c>
      <c r="K4246" s="7" t="str">
        <f ca="1">IFERROR(__xludf.DUMMYFUNCTION("GOOGLETRANSLATE(H4246,""EN"",""ES"")"),"APARATOS Y EQUIPOS PARA GIMNASIA Y DEPORTES")</f>
        <v>APARATOS Y EQUIPOS PARA GIMNASIA Y DEPORTES</v>
      </c>
      <c r="L4246" s="5" t="str">
        <f ca="1">IFERROR(__xludf.DUMMYFUNCTION("GOOGLETRANSLATE(J4246,""EN"",""ES"")"),"Mangos para bastones de esquí")</f>
        <v>Mangos para bastones de esquí</v>
      </c>
      <c r="M4246" s="8" t="s">
        <v>72</v>
      </c>
      <c r="N4246" s="8"/>
    </row>
    <row r="4247" spans="1:14" ht="11.25" customHeight="1">
      <c r="A4247" s="5" t="s">
        <v>11900</v>
      </c>
      <c r="B4247" s="5" t="s">
        <v>12159</v>
      </c>
      <c r="C4247" s="5" t="s">
        <v>12306</v>
      </c>
      <c r="D4247" s="5" t="s">
        <v>11903</v>
      </c>
      <c r="E4247" s="5" t="s">
        <v>67</v>
      </c>
      <c r="F4247" s="5" t="s">
        <v>11904</v>
      </c>
      <c r="G4247" s="5" t="s">
        <v>152</v>
      </c>
      <c r="H4247" s="5" t="s">
        <v>12161</v>
      </c>
      <c r="I4247" s="5" t="s">
        <v>12307</v>
      </c>
      <c r="J4247" s="5" t="s">
        <v>12308</v>
      </c>
      <c r="K4247" s="7" t="str">
        <f ca="1">IFERROR(__xludf.DUMMYFUNCTION("GOOGLETRANSLATE(H4247,""EN"",""ES"")"),"APARATOS Y EQUIPOS PARA GIMNASIA Y DEPORTES")</f>
        <v>APARATOS Y EQUIPOS PARA GIMNASIA Y DEPORTES</v>
      </c>
      <c r="L4247" s="5" t="str">
        <f ca="1">IFERROR(__xludf.DUMMYFUNCTION("GOOGLETRANSLATE(J4247,""EN"",""ES"")"),"Marcos para ejercicios de gimnasia.")</f>
        <v>Marcos para ejercicios de gimnasia.</v>
      </c>
      <c r="M4247" s="8" t="s">
        <v>72</v>
      </c>
      <c r="N4247" s="8"/>
    </row>
    <row r="4248" spans="1:14" ht="11.25" customHeight="1">
      <c r="A4248" s="5" t="s">
        <v>11900</v>
      </c>
      <c r="B4248" s="5" t="s">
        <v>12159</v>
      </c>
      <c r="C4248" s="5" t="s">
        <v>12309</v>
      </c>
      <c r="D4248" s="5" t="s">
        <v>11903</v>
      </c>
      <c r="E4248" s="5" t="s">
        <v>67</v>
      </c>
      <c r="F4248" s="5" t="s">
        <v>11904</v>
      </c>
      <c r="G4248" s="5" t="s">
        <v>152</v>
      </c>
      <c r="H4248" s="5" t="s">
        <v>12161</v>
      </c>
      <c r="I4248" s="5" t="s">
        <v>12310</v>
      </c>
      <c r="J4248" s="5" t="s">
        <v>12311</v>
      </c>
      <c r="K4248" s="7" t="str">
        <f ca="1">IFERROR(__xludf.DUMMYFUNCTION("GOOGLETRANSLATE(H4248,""EN"",""ES"")"),"APARATOS Y EQUIPOS PARA GIMNASIA Y DEPORTES")</f>
        <v>APARATOS Y EQUIPOS PARA GIMNASIA Y DEPORTES</v>
      </c>
      <c r="L4248" s="5" t="str">
        <f ca="1">IFERROR(__xludf.DUMMYFUNCTION("GOOGLETRANSLATE(J4248,""EN"",""ES"")"),"Discos para bastones de esquí")</f>
        <v>Discos para bastones de esquí</v>
      </c>
      <c r="M4248" s="8" t="s">
        <v>72</v>
      </c>
      <c r="N4248" s="8"/>
    </row>
    <row r="4249" spans="1:14" ht="11.25" customHeight="1">
      <c r="A4249" s="5" t="s">
        <v>11900</v>
      </c>
      <c r="B4249" s="5" t="s">
        <v>12159</v>
      </c>
      <c r="C4249" s="5" t="s">
        <v>12309</v>
      </c>
      <c r="D4249" s="5" t="s">
        <v>11903</v>
      </c>
      <c r="E4249" s="5" t="s">
        <v>67</v>
      </c>
      <c r="F4249" s="5" t="s">
        <v>11904</v>
      </c>
      <c r="G4249" s="5" t="s">
        <v>152</v>
      </c>
      <c r="H4249" s="5" t="s">
        <v>12161</v>
      </c>
      <c r="I4249" s="5" t="s">
        <v>12312</v>
      </c>
      <c r="J4249" s="5" t="s">
        <v>152</v>
      </c>
      <c r="K4249" s="7" t="str">
        <f ca="1">IFERROR(__xludf.DUMMYFUNCTION("GOOGLETRANSLATE(H4249,""EN"",""ES"")"),"APARATOS Y EQUIPOS PARA GIMNASIA Y DEPORTES")</f>
        <v>APARATOS Y EQUIPOS PARA GIMNASIA Y DEPORTES</v>
      </c>
      <c r="L4249" s="5" t="str">
        <f ca="1">IFERROR(__xludf.DUMMYFUNCTION("GOOGLETRANSLATE(J4249,""EN"",""ES"")"),"Discos para bastones de esquí")</f>
        <v>Discos para bastones de esquí</v>
      </c>
      <c r="M4249" s="8" t="s">
        <v>72</v>
      </c>
      <c r="N4249" s="8"/>
    </row>
    <row r="4250" spans="1:14" ht="11.25" customHeight="1">
      <c r="A4250" s="5" t="s">
        <v>11900</v>
      </c>
      <c r="B4250" s="5" t="s">
        <v>12159</v>
      </c>
      <c r="C4250" s="5" t="s">
        <v>12313</v>
      </c>
      <c r="D4250" s="5" t="s">
        <v>11903</v>
      </c>
      <c r="E4250" s="5" t="s">
        <v>67</v>
      </c>
      <c r="F4250" s="5" t="s">
        <v>11904</v>
      </c>
      <c r="G4250" s="5" t="s">
        <v>152</v>
      </c>
      <c r="H4250" s="5" t="s">
        <v>12161</v>
      </c>
      <c r="I4250" s="5" t="s">
        <v>12314</v>
      </c>
      <c r="J4250" s="5" t="s">
        <v>12315</v>
      </c>
      <c r="K4250" s="7" t="str">
        <f ca="1">IFERROR(__xludf.DUMMYFUNCTION("GOOGLETRANSLATE(H4250,""EN"",""ES"")"),"APARATOS Y EQUIPOS PARA GIMNASIA Y DEPORTES")</f>
        <v>APARATOS Y EQUIPOS PARA GIMNASIA Y DEPORTES</v>
      </c>
      <c r="L4250" s="5" t="str">
        <f ca="1">IFERROR(__xludf.DUMMYFUNCTION("GOOGLETRANSLATE(J4250,""EN"",""ES"")"),"Tablas de surf")</f>
        <v>Tablas de surf</v>
      </c>
      <c r="M4250" s="8" t="s">
        <v>72</v>
      </c>
      <c r="N4250" s="8"/>
    </row>
    <row r="4251" spans="1:14" ht="11.25" customHeight="1">
      <c r="A4251" s="5" t="s">
        <v>11900</v>
      </c>
      <c r="B4251" s="5" t="s">
        <v>12159</v>
      </c>
      <c r="C4251" s="5" t="s">
        <v>12316</v>
      </c>
      <c r="D4251" s="5" t="s">
        <v>11903</v>
      </c>
      <c r="E4251" s="5" t="s">
        <v>67</v>
      </c>
      <c r="F4251" s="5" t="s">
        <v>11904</v>
      </c>
      <c r="G4251" s="5" t="s">
        <v>152</v>
      </c>
      <c r="H4251" s="5" t="s">
        <v>12161</v>
      </c>
      <c r="I4251" s="5" t="s">
        <v>12317</v>
      </c>
      <c r="J4251" s="5" t="s">
        <v>12318</v>
      </c>
      <c r="K4251" s="7" t="str">
        <f ca="1">IFERROR(__xludf.DUMMYFUNCTION("GOOGLETRANSLATE(H4251,""EN"",""ES"")"),"APARATOS Y EQUIPOS PARA GIMNASIA Y DEPORTES")</f>
        <v>APARATOS Y EQUIPOS PARA GIMNASIA Y DEPORTES</v>
      </c>
      <c r="L4251" s="5" t="str">
        <f ca="1">IFERROR(__xludf.DUMMYFUNCTION("GOOGLETRANSLATE(J4251,""EN"",""ES"")"),"Taloneras para fijaciones de esquí")</f>
        <v>Taloneras para fijaciones de esquí</v>
      </c>
      <c r="M4251" s="8" t="s">
        <v>72</v>
      </c>
      <c r="N4251" s="8"/>
    </row>
    <row r="4252" spans="1:14" ht="11.25" customHeight="1">
      <c r="A4252" s="5" t="s">
        <v>11900</v>
      </c>
      <c r="B4252" s="5" t="s">
        <v>12159</v>
      </c>
      <c r="C4252" s="5" t="s">
        <v>12319</v>
      </c>
      <c r="D4252" s="5" t="s">
        <v>11903</v>
      </c>
      <c r="E4252" s="5" t="s">
        <v>67</v>
      </c>
      <c r="F4252" s="5" t="s">
        <v>11904</v>
      </c>
      <c r="G4252" s="5" t="s">
        <v>152</v>
      </c>
      <c r="H4252" s="5" t="s">
        <v>12161</v>
      </c>
      <c r="I4252" s="5" t="s">
        <v>12320</v>
      </c>
      <c r="J4252" s="5" t="s">
        <v>12321</v>
      </c>
      <c r="K4252" s="7" t="str">
        <f ca="1">IFERROR(__xludf.DUMMYFUNCTION("GOOGLETRANSLATE(H4252,""EN"",""ES"")"),"APARATOS Y EQUIPOS PARA GIMNASIA Y DEPORTES")</f>
        <v>APARATOS Y EQUIPOS PARA GIMNASIA Y DEPORTES</v>
      </c>
      <c r="L4252" s="5" t="str">
        <f ca="1">IFERROR(__xludf.DUMMYFUNCTION("GOOGLETRANSLATE(J4252,""EN"",""ES"")"),"Tees de golf")</f>
        <v>Tees de golf</v>
      </c>
      <c r="M4252" s="8" t="s">
        <v>72</v>
      </c>
      <c r="N4252" s="8"/>
    </row>
    <row r="4253" spans="1:14" ht="11.25" customHeight="1">
      <c r="A4253" s="5" t="s">
        <v>11900</v>
      </c>
      <c r="B4253" s="5" t="s">
        <v>12159</v>
      </c>
      <c r="C4253" s="5" t="s">
        <v>12319</v>
      </c>
      <c r="D4253" s="5" t="s">
        <v>11903</v>
      </c>
      <c r="E4253" s="5" t="s">
        <v>67</v>
      </c>
      <c r="F4253" s="5" t="s">
        <v>11904</v>
      </c>
      <c r="G4253" s="5" t="s">
        <v>152</v>
      </c>
      <c r="H4253" s="5" t="s">
        <v>12161</v>
      </c>
      <c r="I4253" s="5" t="s">
        <v>12322</v>
      </c>
      <c r="J4253" s="5" t="s">
        <v>152</v>
      </c>
      <c r="K4253" s="7" t="str">
        <f ca="1">IFERROR(__xludf.DUMMYFUNCTION("GOOGLETRANSLATE(H4253,""EN"",""ES"")"),"APARATOS Y EQUIPOS PARA GIMNASIA Y DEPORTES")</f>
        <v>APARATOS Y EQUIPOS PARA GIMNASIA Y DEPORTES</v>
      </c>
      <c r="L4253" s="5" t="str">
        <f ca="1">IFERROR(__xludf.DUMMYFUNCTION("GOOGLETRANSLATE(J4253,""EN"",""ES"")"),"Clavijas de golf")</f>
        <v>Clavijas de golf</v>
      </c>
      <c r="M4253" s="8" t="s">
        <v>72</v>
      </c>
      <c r="N4253" s="8"/>
    </row>
    <row r="4254" spans="1:14" ht="11.25" customHeight="1">
      <c r="A4254" s="5" t="s">
        <v>11900</v>
      </c>
      <c r="B4254" s="5" t="s">
        <v>12159</v>
      </c>
      <c r="C4254" s="5" t="s">
        <v>12323</v>
      </c>
      <c r="D4254" s="5" t="s">
        <v>11903</v>
      </c>
      <c r="E4254" s="5" t="s">
        <v>67</v>
      </c>
      <c r="F4254" s="5" t="s">
        <v>11904</v>
      </c>
      <c r="G4254" s="5" t="s">
        <v>152</v>
      </c>
      <c r="H4254" s="5" t="s">
        <v>12161</v>
      </c>
      <c r="I4254" s="5" t="s">
        <v>12324</v>
      </c>
      <c r="J4254" s="5" t="s">
        <v>12325</v>
      </c>
      <c r="K4254" s="7" t="str">
        <f ca="1">IFERROR(__xludf.DUMMYFUNCTION("GOOGLETRANSLATE(H4254,""EN"",""ES"")"),"APARATOS Y EQUIPOS PARA GIMNASIA Y DEPORTES")</f>
        <v>APARATOS Y EQUIPOS PARA GIMNASIA Y DEPORTES</v>
      </c>
      <c r="L4254" s="5" t="str">
        <f ca="1">IFERROR(__xludf.DUMMYFUNCTION("GOOGLETRANSLATE(J4254,""EN"",""ES"")"),"Máscaras de buceadores")</f>
        <v>Máscaras de buceadores</v>
      </c>
      <c r="M4254" s="8" t="s">
        <v>72</v>
      </c>
      <c r="N4254" s="8"/>
    </row>
    <row r="4255" spans="1:14" ht="11.25" customHeight="1">
      <c r="A4255" s="5" t="s">
        <v>11900</v>
      </c>
      <c r="B4255" s="5" t="s">
        <v>12159</v>
      </c>
      <c r="C4255" s="5" t="s">
        <v>12326</v>
      </c>
      <c r="D4255" s="5" t="s">
        <v>11903</v>
      </c>
      <c r="E4255" s="5" t="s">
        <v>67</v>
      </c>
      <c r="F4255" s="5" t="s">
        <v>11904</v>
      </c>
      <c r="G4255" s="5" t="s">
        <v>152</v>
      </c>
      <c r="H4255" s="5" t="s">
        <v>12161</v>
      </c>
      <c r="I4255" s="5" t="s">
        <v>12327</v>
      </c>
      <c r="J4255" s="5" t="s">
        <v>12328</v>
      </c>
      <c r="K4255" s="7" t="str">
        <f ca="1">IFERROR(__xludf.DUMMYFUNCTION("GOOGLETRANSLATE(H4255,""EN"",""ES"")"),"APARATOS Y EQUIPOS PARA GIMNASIA Y DEPORTES")</f>
        <v>APARATOS Y EQUIPOS PARA GIMNASIA Y DEPORTES</v>
      </c>
      <c r="L4255" s="5" t="str">
        <f ca="1">IFERROR(__xludf.DUMMYFUNCTION("GOOGLETRANSLATE(J4255,""EN"",""ES"")"),"Tablas de windsurf")</f>
        <v>Tablas de windsurf</v>
      </c>
      <c r="M4255" s="8" t="s">
        <v>72</v>
      </c>
      <c r="N4255" s="8"/>
    </row>
    <row r="4256" spans="1:14" ht="11.25" customHeight="1">
      <c r="A4256" s="5" t="s">
        <v>11900</v>
      </c>
      <c r="B4256" s="5" t="s">
        <v>12159</v>
      </c>
      <c r="C4256" s="5" t="s">
        <v>12329</v>
      </c>
      <c r="D4256" s="5" t="s">
        <v>11903</v>
      </c>
      <c r="E4256" s="5" t="s">
        <v>67</v>
      </c>
      <c r="F4256" s="5" t="s">
        <v>11904</v>
      </c>
      <c r="G4256" s="5" t="s">
        <v>152</v>
      </c>
      <c r="H4256" s="5" t="s">
        <v>12161</v>
      </c>
      <c r="I4256" s="5" t="s">
        <v>12330</v>
      </c>
      <c r="J4256" s="5" t="s">
        <v>12331</v>
      </c>
      <c r="K4256" s="7" t="str">
        <f ca="1">IFERROR(__xludf.DUMMYFUNCTION("GOOGLETRANSLATE(H4256,""EN"",""ES"")"),"APARATOS Y EQUIPOS PARA GIMNASIA Y DEPORTES")</f>
        <v>APARATOS Y EQUIPOS PARA GIMNASIA Y DEPORTES</v>
      </c>
      <c r="L4256" s="5" t="str">
        <f ca="1">IFERROR(__xludf.DUMMYFUNCTION("GOOGLETRANSLATE(J4256,""EN"",""ES"")"),"cuerdas de escalada")</f>
        <v>cuerdas de escalada</v>
      </c>
      <c r="M4256" s="8" t="s">
        <v>72</v>
      </c>
      <c r="N4256" s="8"/>
    </row>
    <row r="4257" spans="1:14" ht="11.25" customHeight="1">
      <c r="A4257" s="5" t="s">
        <v>11900</v>
      </c>
      <c r="B4257" s="5" t="s">
        <v>12159</v>
      </c>
      <c r="C4257" s="5" t="s">
        <v>12332</v>
      </c>
      <c r="D4257" s="5" t="s">
        <v>11903</v>
      </c>
      <c r="E4257" s="5" t="s">
        <v>67</v>
      </c>
      <c r="F4257" s="5" t="s">
        <v>11904</v>
      </c>
      <c r="G4257" s="5" t="s">
        <v>152</v>
      </c>
      <c r="H4257" s="5" t="s">
        <v>12161</v>
      </c>
      <c r="I4257" s="5" t="s">
        <v>12333</v>
      </c>
      <c r="J4257" s="5" t="s">
        <v>12334</v>
      </c>
      <c r="K4257" s="7" t="str">
        <f ca="1">IFERROR(__xludf.DUMMYFUNCTION("GOOGLETRANSLATE(H4257,""EN"",""ES"")"),"APARATOS Y EQUIPOS PARA GIMNASIA Y DEPORTES")</f>
        <v>APARATOS Y EQUIPOS PARA GIMNASIA Y DEPORTES</v>
      </c>
      <c r="L4257" s="5" t="str">
        <f ca="1">IFERROR(__xludf.DUMMYFUNCTION("GOOGLETRANSLATE(J4257,""EN"",""ES"")"),"esquís acuáticos")</f>
        <v>esquís acuáticos</v>
      </c>
      <c r="M4257" s="8" t="s">
        <v>72</v>
      </c>
      <c r="N4257" s="8"/>
    </row>
    <row r="4258" spans="1:14" ht="11.25" customHeight="1">
      <c r="A4258" s="5" t="s">
        <v>11900</v>
      </c>
      <c r="B4258" s="5" t="s">
        <v>12159</v>
      </c>
      <c r="C4258" s="5" t="s">
        <v>12335</v>
      </c>
      <c r="D4258" s="5" t="s">
        <v>11903</v>
      </c>
      <c r="E4258" s="5" t="s">
        <v>67</v>
      </c>
      <c r="F4258" s="5" t="s">
        <v>11904</v>
      </c>
      <c r="G4258" s="5" t="s">
        <v>152</v>
      </c>
      <c r="H4258" s="5" t="s">
        <v>12161</v>
      </c>
      <c r="I4258" s="5" t="s">
        <v>12336</v>
      </c>
      <c r="J4258" s="5" t="s">
        <v>12337</v>
      </c>
      <c r="K4258" s="7" t="str">
        <f ca="1">IFERROR(__xludf.DUMMYFUNCTION("GOOGLETRANSLATE(H4258,""EN"",""ES"")"),"APARATOS Y EQUIPOS PARA GIMNASIA Y DEPORTES")</f>
        <v>APARATOS Y EQUIPOS PARA GIMNASIA Y DEPORTES</v>
      </c>
      <c r="L4258" s="5" t="str">
        <f ca="1">IFERROR(__xludf.DUMMYFUNCTION("GOOGLETRANSLATE(J4258,""EN"",""ES"")"),"Palos para hacer deporte.")</f>
        <v>Palos para hacer deporte.</v>
      </c>
      <c r="M4258" s="8" t="s">
        <v>72</v>
      </c>
      <c r="N4258" s="8"/>
    </row>
    <row r="4259" spans="1:14" ht="11.25" customHeight="1">
      <c r="A4259" s="5" t="s">
        <v>11900</v>
      </c>
      <c r="B4259" s="5" t="s">
        <v>12159</v>
      </c>
      <c r="C4259" s="5" t="s">
        <v>12338</v>
      </c>
      <c r="D4259" s="5" t="s">
        <v>11903</v>
      </c>
      <c r="E4259" s="5" t="s">
        <v>67</v>
      </c>
      <c r="F4259" s="5" t="s">
        <v>11904</v>
      </c>
      <c r="G4259" s="5" t="s">
        <v>152</v>
      </c>
      <c r="H4259" s="5" t="s">
        <v>12161</v>
      </c>
      <c r="I4259" s="5" t="s">
        <v>12339</v>
      </c>
      <c r="J4259" s="5" t="s">
        <v>12340</v>
      </c>
      <c r="K4259" s="7" t="str">
        <f ca="1">IFERROR(__xludf.DUMMYFUNCTION("GOOGLETRANSLATE(H4259,""EN"",""ES"")"),"APARATOS Y EQUIPOS PARA GIMNASIA Y DEPORTES")</f>
        <v>APARATOS Y EQUIPOS PARA GIMNASIA Y DEPORTES</v>
      </c>
      <c r="L4259" s="5" t="str">
        <f ca="1">IFERROR(__xludf.DUMMYFUNCTION("GOOGLETRANSLATE(J4259,""EN"",""ES"")"),"Discos voladores [juguetes]")</f>
        <v>Discos voladores [juguetes]</v>
      </c>
      <c r="M4259" s="8" t="s">
        <v>72</v>
      </c>
      <c r="N4259" s="8"/>
    </row>
    <row r="4260" spans="1:14" ht="11.25" customHeight="1">
      <c r="A4260" s="5" t="s">
        <v>11900</v>
      </c>
      <c r="B4260" s="5" t="s">
        <v>12159</v>
      </c>
      <c r="C4260" s="5" t="s">
        <v>12341</v>
      </c>
      <c r="D4260" s="5" t="s">
        <v>11903</v>
      </c>
      <c r="E4260" s="5" t="s">
        <v>67</v>
      </c>
      <c r="F4260" s="5" t="s">
        <v>11904</v>
      </c>
      <c r="G4260" s="5" t="s">
        <v>152</v>
      </c>
      <c r="H4260" s="5" t="s">
        <v>12161</v>
      </c>
      <c r="I4260" s="5" t="s">
        <v>12342</v>
      </c>
      <c r="J4260" s="5" t="s">
        <v>12343</v>
      </c>
      <c r="K4260" s="7" t="str">
        <f ca="1">IFERROR(__xludf.DUMMYFUNCTION("GOOGLETRANSLATE(H4260,""EN"",""ES"")"),"APARATOS Y EQUIPOS PARA GIMNASIA Y DEPORTES")</f>
        <v>APARATOS Y EQUIPOS PARA GIMNASIA Y DEPORTES</v>
      </c>
      <c r="L4260" s="5" t="str">
        <f ca="1">IFERROR(__xludf.DUMMYFUNCTION("GOOGLETRANSLATE(J4260,""EN"",""ES"")"),"palos de hockey sobre hielo")</f>
        <v>palos de hockey sobre hielo</v>
      </c>
      <c r="M4260" s="8" t="s">
        <v>72</v>
      </c>
      <c r="N4260" s="8"/>
    </row>
    <row r="4261" spans="1:14" ht="11.25" customHeight="1">
      <c r="A4261" s="5" t="s">
        <v>11900</v>
      </c>
      <c r="B4261" s="5" t="s">
        <v>12159</v>
      </c>
      <c r="C4261" s="5" t="s">
        <v>12344</v>
      </c>
      <c r="D4261" s="5" t="s">
        <v>11903</v>
      </c>
      <c r="E4261" s="5" t="s">
        <v>67</v>
      </c>
      <c r="F4261" s="5" t="s">
        <v>11904</v>
      </c>
      <c r="G4261" s="5" t="s">
        <v>152</v>
      </c>
      <c r="H4261" s="5" t="s">
        <v>12161</v>
      </c>
      <c r="I4261" s="5" t="s">
        <v>12345</v>
      </c>
      <c r="J4261" s="5" t="s">
        <v>12346</v>
      </c>
      <c r="K4261" s="7" t="str">
        <f ca="1">IFERROR(__xludf.DUMMYFUNCTION("GOOGLETRANSLATE(H4261,""EN"",""ES"")"),"APARATOS Y EQUIPOS PARA GIMNASIA Y DEPORTES")</f>
        <v>APARATOS Y EQUIPOS PARA GIMNASIA Y DEPORTES</v>
      </c>
      <c r="L4261" s="5" t="str">
        <f ca="1">IFERROR(__xludf.DUMMYFUNCTION("GOOGLETRANSLATE(J4261,""EN"",""ES"")"),"pelotas de críquet")</f>
        <v>pelotas de críquet</v>
      </c>
      <c r="M4261" s="8" t="s">
        <v>72</v>
      </c>
      <c r="N4261" s="8"/>
    </row>
    <row r="4262" spans="1:14" ht="11.25" customHeight="1">
      <c r="A4262" s="5" t="s">
        <v>11900</v>
      </c>
      <c r="B4262" s="5" t="s">
        <v>12159</v>
      </c>
      <c r="C4262" s="5" t="s">
        <v>12347</v>
      </c>
      <c r="D4262" s="5" t="s">
        <v>11903</v>
      </c>
      <c r="E4262" s="5" t="s">
        <v>67</v>
      </c>
      <c r="F4262" s="5" t="s">
        <v>11904</v>
      </c>
      <c r="G4262" s="5" t="s">
        <v>152</v>
      </c>
      <c r="H4262" s="5" t="s">
        <v>12161</v>
      </c>
      <c r="I4262" s="5" t="s">
        <v>12348</v>
      </c>
      <c r="J4262" s="5" t="s">
        <v>12349</v>
      </c>
      <c r="K4262" s="7" t="str">
        <f ca="1">IFERROR(__xludf.DUMMYFUNCTION("GOOGLETRANSLATE(H4262,""EN"",""ES"")"),"APARATOS Y EQUIPOS PARA GIMNASIA Y DEPORTES")</f>
        <v>APARATOS Y EQUIPOS PARA GIMNASIA Y DEPORTES</v>
      </c>
      <c r="L4262" s="5" t="str">
        <f ca="1">IFERROR(__xludf.DUMMYFUNCTION("GOOGLETRANSLATE(J4262,""EN"",""ES"")"),"bates de críquet")</f>
        <v>bates de críquet</v>
      </c>
      <c r="M4262" s="8" t="s">
        <v>72</v>
      </c>
      <c r="N4262" s="8"/>
    </row>
    <row r="4263" spans="1:14" ht="11.25" customHeight="1">
      <c r="A4263" s="5" t="s">
        <v>11900</v>
      </c>
      <c r="B4263" s="5" t="s">
        <v>12159</v>
      </c>
      <c r="C4263" s="5" t="s">
        <v>12350</v>
      </c>
      <c r="D4263" s="5" t="s">
        <v>11903</v>
      </c>
      <c r="E4263" s="5" t="s">
        <v>67</v>
      </c>
      <c r="F4263" s="5" t="s">
        <v>11904</v>
      </c>
      <c r="G4263" s="5" t="s">
        <v>152</v>
      </c>
      <c r="H4263" s="5" t="s">
        <v>12161</v>
      </c>
      <c r="I4263" s="5" t="s">
        <v>12351</v>
      </c>
      <c r="J4263" s="5" t="s">
        <v>12352</v>
      </c>
      <c r="K4263" s="7" t="str">
        <f ca="1">IFERROR(__xludf.DUMMYFUNCTION("GOOGLETRANSLATE(H4263,""EN"",""ES"")"),"APARATOS Y EQUIPOS PARA GIMNASIA Y DEPORTES")</f>
        <v>APARATOS Y EQUIPOS PARA GIMNASIA Y DEPORTES</v>
      </c>
      <c r="L4263" s="5" t="str">
        <f ca="1">IFERROR(__xludf.DUMMYFUNCTION("GOOGLETRANSLATE(J4263,""EN"",""ES"")"),"bolas de croquet")</f>
        <v>bolas de croquet</v>
      </c>
      <c r="M4263" s="8" t="s">
        <v>72</v>
      </c>
      <c r="N4263" s="8"/>
    </row>
    <row r="4264" spans="1:14" ht="11.25" customHeight="1">
      <c r="A4264" s="5" t="s">
        <v>11900</v>
      </c>
      <c r="B4264" s="5" t="s">
        <v>12159</v>
      </c>
      <c r="C4264" s="5" t="s">
        <v>12353</v>
      </c>
      <c r="D4264" s="5" t="s">
        <v>11903</v>
      </c>
      <c r="E4264" s="5" t="s">
        <v>67</v>
      </c>
      <c r="F4264" s="5" t="s">
        <v>11904</v>
      </c>
      <c r="G4264" s="5" t="s">
        <v>152</v>
      </c>
      <c r="H4264" s="5" t="s">
        <v>12161</v>
      </c>
      <c r="I4264" s="5" t="s">
        <v>12354</v>
      </c>
      <c r="J4264" s="5" t="s">
        <v>12355</v>
      </c>
      <c r="K4264" s="7" t="str">
        <f ca="1">IFERROR(__xludf.DUMMYFUNCTION("GOOGLETRANSLATE(H4264,""EN"",""ES"")"),"APARATOS Y EQUIPOS PARA GIMNASIA Y DEPORTES")</f>
        <v>APARATOS Y EQUIPOS PARA GIMNASIA Y DEPORTES</v>
      </c>
      <c r="L4264" s="5" t="str">
        <f ca="1">IFERROR(__xludf.DUMMYFUNCTION("GOOGLETRANSLATE(J4264,""EN"",""ES"")"),"mazos de croquet")</f>
        <v>mazos de croquet</v>
      </c>
      <c r="M4264" s="8" t="s">
        <v>72</v>
      </c>
      <c r="N4264" s="8"/>
    </row>
    <row r="4265" spans="1:14" ht="11.25" customHeight="1">
      <c r="A4265" s="5" t="s">
        <v>11900</v>
      </c>
      <c r="B4265" s="5" t="s">
        <v>12159</v>
      </c>
      <c r="C4265" s="5" t="s">
        <v>12356</v>
      </c>
      <c r="D4265" s="5" t="s">
        <v>11903</v>
      </c>
      <c r="E4265" s="5" t="s">
        <v>67</v>
      </c>
      <c r="F4265" s="5" t="s">
        <v>11904</v>
      </c>
      <c r="G4265" s="5" t="s">
        <v>152</v>
      </c>
      <c r="H4265" s="5" t="s">
        <v>12161</v>
      </c>
      <c r="I4265" s="5" t="s">
        <v>12357</v>
      </c>
      <c r="J4265" s="5" t="s">
        <v>12358</v>
      </c>
      <c r="K4265" s="7" t="str">
        <f ca="1">IFERROR(__xludf.DUMMYFUNCTION("GOOGLETRANSLATE(H4265,""EN"",""ES"")"),"APARATOS Y EQUIPOS PARA GIMNASIA Y DEPORTES")</f>
        <v>APARATOS Y EQUIPOS PARA GIMNASIA Y DEPORTES</v>
      </c>
      <c r="L4265" s="5" t="str">
        <f ca="1">IFERROR(__xludf.DUMMYFUNCTION("GOOGLETRANSLATE(J4265,""EN"",""ES"")"),"patinetas")</f>
        <v>patinetas</v>
      </c>
      <c r="M4265" s="8" t="s">
        <v>72</v>
      </c>
      <c r="N4265" s="8"/>
    </row>
    <row r="4266" spans="1:14" ht="11.25" customHeight="1">
      <c r="A4266" s="5" t="s">
        <v>11900</v>
      </c>
      <c r="B4266" s="5" t="s">
        <v>12159</v>
      </c>
      <c r="C4266" s="5" t="s">
        <v>12359</v>
      </c>
      <c r="D4266" s="5" t="s">
        <v>11903</v>
      </c>
      <c r="E4266" s="5" t="s">
        <v>67</v>
      </c>
      <c r="F4266" s="5" t="s">
        <v>11904</v>
      </c>
      <c r="G4266" s="5" t="s">
        <v>152</v>
      </c>
      <c r="H4266" s="5" t="s">
        <v>12161</v>
      </c>
      <c r="I4266" s="5" t="s">
        <v>12360</v>
      </c>
      <c r="J4266" s="5" t="s">
        <v>12361</v>
      </c>
      <c r="K4266" s="7" t="str">
        <f ca="1">IFERROR(__xludf.DUMMYFUNCTION("GOOGLETRANSLATE(H4266,""EN"",""ES"")"),"APARATOS Y EQUIPOS PARA GIMNASIA Y DEPORTES")</f>
        <v>APARATOS Y EQUIPOS PARA GIMNASIA Y DEPORTES</v>
      </c>
      <c r="L4266" s="5" t="str">
        <f ca="1">IFERROR(__xludf.DUMMYFUNCTION("GOOGLETRANSLATE(J4266,""EN"",""ES"")"),"Consejos de esquí [repuestos]")</f>
        <v>Consejos de esquí [repuestos]</v>
      </c>
      <c r="M4266" s="8" t="s">
        <v>72</v>
      </c>
      <c r="N4266" s="8"/>
    </row>
    <row r="4267" spans="1:14" ht="11.25" customHeight="1">
      <c r="A4267" s="5" t="s">
        <v>11900</v>
      </c>
      <c r="B4267" s="5" t="s">
        <v>12159</v>
      </c>
      <c r="C4267" s="5" t="s">
        <v>12362</v>
      </c>
      <c r="D4267" s="5" t="s">
        <v>11903</v>
      </c>
      <c r="E4267" s="5" t="s">
        <v>67</v>
      </c>
      <c r="F4267" s="5" t="s">
        <v>11904</v>
      </c>
      <c r="G4267" s="5" t="s">
        <v>152</v>
      </c>
      <c r="H4267" s="5" t="s">
        <v>12161</v>
      </c>
      <c r="I4267" s="5" t="s">
        <v>12363</v>
      </c>
      <c r="J4267" s="5" t="s">
        <v>12364</v>
      </c>
      <c r="K4267" s="7" t="str">
        <f ca="1">IFERROR(__xludf.DUMMYFUNCTION("GOOGLETRANSLATE(H4267,""EN"",""ES"")"),"APARATOS Y EQUIPOS PARA GIMNASIA Y DEPORTES")</f>
        <v>APARATOS Y EQUIPOS PARA GIMNASIA Y DEPORTES</v>
      </c>
      <c r="L4267" s="5" t="str">
        <f ca="1">IFERROR(__xludf.DUMMYFUNCTION("GOOGLETRANSLATE(J4267,""EN"",""ES"")"),"Parapentes")</f>
        <v>Parapentes</v>
      </c>
      <c r="M4267" s="8" t="s">
        <v>72</v>
      </c>
      <c r="N4267" s="8"/>
    </row>
    <row r="4268" spans="1:14" ht="11.25" customHeight="1">
      <c r="A4268" s="5" t="s">
        <v>11900</v>
      </c>
      <c r="B4268" s="5" t="s">
        <v>12159</v>
      </c>
      <c r="C4268" s="5" t="s">
        <v>12365</v>
      </c>
      <c r="D4268" s="5" t="s">
        <v>11903</v>
      </c>
      <c r="E4268" s="5" t="s">
        <v>67</v>
      </c>
      <c r="F4268" s="5" t="s">
        <v>11904</v>
      </c>
      <c r="G4268" s="5" t="s">
        <v>152</v>
      </c>
      <c r="H4268" s="5" t="s">
        <v>12161</v>
      </c>
      <c r="I4268" s="5" t="s">
        <v>12366</v>
      </c>
      <c r="J4268" s="5" t="s">
        <v>12367</v>
      </c>
      <c r="K4268" s="7" t="str">
        <f ca="1">IFERROR(__xludf.DUMMYFUNCTION("GOOGLETRANSLATE(H4268,""EN"",""ES"")"),"APARATOS Y EQUIPOS PARA GIMNASIA Y DEPORTES")</f>
        <v>APARATOS Y EQUIPOS PARA GIMNASIA Y DEPORTES</v>
      </c>
      <c r="L4268" s="5" t="str">
        <f ca="1">IFERROR(__xludf.DUMMYFUNCTION("GOOGLETRANSLATE(J4268,""EN"",""ES"")"),"patines en línea")</f>
        <v>patines en línea</v>
      </c>
      <c r="M4268" s="8" t="s">
        <v>72</v>
      </c>
      <c r="N4268" s="8"/>
    </row>
    <row r="4269" spans="1:14" ht="11.25" customHeight="1">
      <c r="A4269" s="5" t="s">
        <v>11900</v>
      </c>
      <c r="B4269" s="5" t="s">
        <v>12159</v>
      </c>
      <c r="C4269" s="5" t="s">
        <v>12368</v>
      </c>
      <c r="D4269" s="5" t="s">
        <v>11903</v>
      </c>
      <c r="E4269" s="5" t="s">
        <v>67</v>
      </c>
      <c r="F4269" s="5" t="s">
        <v>11904</v>
      </c>
      <c r="G4269" s="5" t="s">
        <v>152</v>
      </c>
      <c r="H4269" s="5" t="s">
        <v>12161</v>
      </c>
      <c r="I4269" s="5" t="s">
        <v>12369</v>
      </c>
      <c r="J4269" s="5" t="s">
        <v>12370</v>
      </c>
      <c r="K4269" s="7" t="str">
        <f ca="1">IFERROR(__xludf.DUMMYFUNCTION("GOOGLETRANSLATE(H4269,""EN"",""ES"")"),"APARATOS Y EQUIPOS PARA GIMNASIA Y DEPORTES")</f>
        <v>APARATOS Y EQUIPOS PARA GIMNASIA Y DEPORTES</v>
      </c>
      <c r="L4269" s="5" t="str">
        <f ca="1">IFERROR(__xludf.DUMMYFUNCTION("GOOGLETRANSLATE(J4269,""EN"",""ES"")"),"tablas de snowboard")</f>
        <v>tablas de snowboard</v>
      </c>
      <c r="M4269" s="8" t="s">
        <v>72</v>
      </c>
      <c r="N4269" s="8"/>
    </row>
    <row r="4270" spans="1:14" ht="11.25" customHeight="1">
      <c r="A4270" s="5" t="s">
        <v>11900</v>
      </c>
      <c r="B4270" s="5" t="s">
        <v>12159</v>
      </c>
      <c r="C4270" s="5" t="s">
        <v>12371</v>
      </c>
      <c r="D4270" s="5" t="s">
        <v>11903</v>
      </c>
      <c r="E4270" s="5" t="s">
        <v>67</v>
      </c>
      <c r="F4270" s="5" t="s">
        <v>11904</v>
      </c>
      <c r="G4270" s="5" t="s">
        <v>152</v>
      </c>
      <c r="H4270" s="5" t="s">
        <v>12161</v>
      </c>
      <c r="I4270" s="5" t="s">
        <v>12372</v>
      </c>
      <c r="J4270" s="5" t="s">
        <v>12373</v>
      </c>
      <c r="K4270" s="7" t="str">
        <f ca="1">IFERROR(__xludf.DUMMYFUNCTION("GOOGLETRANSLATE(H4270,""EN"",""ES"")"),"APARATOS Y EQUIPOS PARA GIMNASIA Y DEPORTES")</f>
        <v>APARATOS Y EQUIPOS PARA GIMNASIA Y DEPORTES</v>
      </c>
      <c r="L4270" s="5" t="str">
        <f ca="1">IFERROR(__xludf.DUMMYFUNCTION("GOOGLETRANSLATE(J4270,""EN"",""ES"")"),"Raquetas de nieve")</f>
        <v>Raquetas de nieve</v>
      </c>
      <c r="M4270" s="8" t="s">
        <v>72</v>
      </c>
      <c r="N4270" s="8"/>
    </row>
    <row r="4271" spans="1:14" ht="11.25" customHeight="1">
      <c r="A4271" s="5" t="s">
        <v>11900</v>
      </c>
      <c r="B4271" s="5" t="s">
        <v>12159</v>
      </c>
      <c r="C4271" s="5" t="s">
        <v>12374</v>
      </c>
      <c r="D4271" s="5" t="s">
        <v>11903</v>
      </c>
      <c r="E4271" s="5" t="s">
        <v>67</v>
      </c>
      <c r="F4271" s="5" t="s">
        <v>11904</v>
      </c>
      <c r="G4271" s="5" t="s">
        <v>152</v>
      </c>
      <c r="H4271" s="5" t="s">
        <v>12161</v>
      </c>
      <c r="I4271" s="5" t="s">
        <v>12375</v>
      </c>
      <c r="J4271" s="5" t="s">
        <v>12376</v>
      </c>
      <c r="K4271" s="7" t="str">
        <f ca="1">IFERROR(__xludf.DUMMYFUNCTION("GOOGLETRANSLATE(H4271,""EN"",""ES"")"),"APARATOS Y EQUIPOS PARA GIMNASIA Y DEPORTES")</f>
        <v>APARATOS Y EQUIPOS PARA GIMNASIA Y DEPORTES</v>
      </c>
      <c r="L4271" s="5" t="str">
        <f ca="1">IFERROR(__xludf.DUMMYFUNCTION("GOOGLETRANSLATE(J4271,""EN"",""ES"")"),"Mesas de ping-pong")</f>
        <v>Mesas de ping-pong</v>
      </c>
      <c r="M4271" s="8" t="s">
        <v>72</v>
      </c>
      <c r="N4271" s="8"/>
    </row>
    <row r="4272" spans="1:14" ht="11.25" customHeight="1">
      <c r="A4272" s="5" t="s">
        <v>11900</v>
      </c>
      <c r="B4272" s="5" t="s">
        <v>12159</v>
      </c>
      <c r="C4272" s="5" t="s">
        <v>12377</v>
      </c>
      <c r="D4272" s="5" t="s">
        <v>11903</v>
      </c>
      <c r="E4272" s="5" t="s">
        <v>67</v>
      </c>
      <c r="F4272" s="5" t="s">
        <v>11904</v>
      </c>
      <c r="G4272" s="5" t="s">
        <v>152</v>
      </c>
      <c r="H4272" s="5" t="s">
        <v>12161</v>
      </c>
      <c r="I4272" s="5" t="s">
        <v>12378</v>
      </c>
      <c r="J4272" s="5" t="s">
        <v>12379</v>
      </c>
      <c r="K4272" s="7" t="str">
        <f ca="1">IFERROR(__xludf.DUMMYFUNCTION("GOOGLETRANSLATE(H4272,""EN"",""ES"")"),"APARATOS Y EQUIPOS PARA GIMNASIA Y DEPORTES")</f>
        <v>APARATOS Y EQUIPOS PARA GIMNASIA Y DEPORTES</v>
      </c>
      <c r="L4272" s="5" t="str">
        <f ca="1">IFERROR(__xludf.DUMMYFUNCTION("GOOGLETRANSLATE(J4272,""EN"",""ES"")"),"palos de bandy")</f>
        <v>palos de bandy</v>
      </c>
      <c r="M4272" s="8" t="s">
        <v>72</v>
      </c>
      <c r="N4272" s="8"/>
    </row>
    <row r="4273" spans="1:14" ht="11.25" customHeight="1">
      <c r="A4273" s="5" t="s">
        <v>11900</v>
      </c>
      <c r="B4273" s="5" t="s">
        <v>12159</v>
      </c>
      <c r="C4273" s="5" t="s">
        <v>12380</v>
      </c>
      <c r="D4273" s="5" t="s">
        <v>11903</v>
      </c>
      <c r="E4273" s="5" t="s">
        <v>67</v>
      </c>
      <c r="F4273" s="5" t="s">
        <v>11904</v>
      </c>
      <c r="G4273" s="5" t="s">
        <v>152</v>
      </c>
      <c r="H4273" s="5" t="s">
        <v>12161</v>
      </c>
      <c r="I4273" s="5" t="s">
        <v>12381</v>
      </c>
      <c r="J4273" s="5" t="s">
        <v>12382</v>
      </c>
      <c r="K4273" s="7" t="str">
        <f ca="1">IFERROR(__xludf.DUMMYFUNCTION("GOOGLETRANSLATE(H4273,""EN"",""ES"")"),"APARATOS Y EQUIPOS PARA GIMNASIA Y DEPORTES")</f>
        <v>APARATOS Y EQUIPOS PARA GIMNASIA Y DEPORTES</v>
      </c>
      <c r="L4273" s="5" t="str">
        <f ca="1">IFERROR(__xludf.DUMMYFUNCTION("GOOGLETRANSLATE(J4273,""EN"",""ES"")"),"Metas para los deportes.")</f>
        <v>Metas para los deportes.</v>
      </c>
      <c r="M4273" s="8" t="s">
        <v>72</v>
      </c>
      <c r="N4273" s="8"/>
    </row>
    <row r="4274" spans="1:14" ht="11.25" customHeight="1">
      <c r="A4274" s="5" t="s">
        <v>11900</v>
      </c>
      <c r="B4274" s="5" t="s">
        <v>12159</v>
      </c>
      <c r="C4274" s="5" t="s">
        <v>12383</v>
      </c>
      <c r="D4274" s="5" t="s">
        <v>11903</v>
      </c>
      <c r="E4274" s="5" t="s">
        <v>67</v>
      </c>
      <c r="F4274" s="5" t="s">
        <v>11904</v>
      </c>
      <c r="G4274" s="5" t="s">
        <v>152</v>
      </c>
      <c r="H4274" s="5" t="s">
        <v>12161</v>
      </c>
      <c r="I4274" s="5" t="s">
        <v>12384</v>
      </c>
      <c r="J4274" s="5" t="s">
        <v>12385</v>
      </c>
      <c r="K4274" s="7" t="str">
        <f ca="1">IFERROR(__xludf.DUMMYFUNCTION("GOOGLETRANSLATE(H4274,""EN"",""ES"")"),"APARATOS Y EQUIPOS PARA GIMNASIA Y DEPORTES")</f>
        <v>APARATOS Y EQUIPOS PARA GIMNASIA Y DEPORTES</v>
      </c>
      <c r="L4274" s="5" t="str">
        <f ca="1">IFERROR(__xludf.DUMMYFUNCTION("GOOGLETRANSLATE(J4274,""EN"",""ES"")"),"Dispositivos de aseguramiento [equipos de escalada]")</f>
        <v>Dispositivos de aseguramiento [equipos de escalada]</v>
      </c>
      <c r="M4274" s="8" t="s">
        <v>72</v>
      </c>
      <c r="N4274" s="8"/>
    </row>
    <row r="4275" spans="1:14" ht="11.25" customHeight="1">
      <c r="A4275" s="5" t="s">
        <v>11900</v>
      </c>
      <c r="B4275" s="5" t="s">
        <v>12159</v>
      </c>
      <c r="C4275" s="5" t="s">
        <v>12386</v>
      </c>
      <c r="D4275" s="5" t="s">
        <v>11903</v>
      </c>
      <c r="E4275" s="5" t="s">
        <v>67</v>
      </c>
      <c r="F4275" s="5" t="s">
        <v>11904</v>
      </c>
      <c r="G4275" s="5" t="s">
        <v>152</v>
      </c>
      <c r="H4275" s="5" t="s">
        <v>12161</v>
      </c>
      <c r="I4275" s="5" t="s">
        <v>12387</v>
      </c>
      <c r="J4275" s="5" t="s">
        <v>12388</v>
      </c>
      <c r="K4275" s="7" t="str">
        <f ca="1">IFERROR(__xludf.DUMMYFUNCTION("GOOGLETRANSLATE(H4275,""EN"",""ES"")"),"APARATOS Y EQUIPOS PARA GIMNASIA Y DEPORTES")</f>
        <v>APARATOS Y EQUIPOS PARA GIMNASIA Y DEPORTES</v>
      </c>
      <c r="L4275" s="5" t="str">
        <f ca="1">IFERROR(__xludf.DUMMYFUNCTION("GOOGLETRANSLATE(J4275,""EN"",""ES"")"),"Muros de escalada")</f>
        <v>Muros de escalada</v>
      </c>
      <c r="M4275" s="8" t="s">
        <v>72</v>
      </c>
      <c r="N4275" s="8"/>
    </row>
    <row r="4276" spans="1:14" ht="11.25" customHeight="1">
      <c r="A4276" s="5" t="s">
        <v>11900</v>
      </c>
      <c r="B4276" s="5" t="s">
        <v>12159</v>
      </c>
      <c r="C4276" s="5" t="s">
        <v>12389</v>
      </c>
      <c r="D4276" s="5" t="s">
        <v>11903</v>
      </c>
      <c r="E4276" s="5" t="s">
        <v>67</v>
      </c>
      <c r="F4276" s="5" t="s">
        <v>11904</v>
      </c>
      <c r="G4276" s="5" t="s">
        <v>152</v>
      </c>
      <c r="H4276" s="5" t="s">
        <v>12161</v>
      </c>
      <c r="I4276" s="5" t="s">
        <v>12390</v>
      </c>
      <c r="J4276" s="5" t="s">
        <v>12391</v>
      </c>
      <c r="K4276" s="7" t="str">
        <f ca="1">IFERROR(__xludf.DUMMYFUNCTION("GOOGLETRANSLATE(H4276,""EN"",""ES"")"),"APARATOS Y EQUIPOS PARA GIMNASIA Y DEPORTES")</f>
        <v>APARATOS Y EQUIPOS PARA GIMNASIA Y DEPORTES</v>
      </c>
      <c r="L4276" s="5" t="str">
        <f ca="1">IFERROR(__xludf.DUMMYFUNCTION("GOOGLETRANSLATE(J4276,""EN"",""ES"")"),"Bandas de resistencia")</f>
        <v>Bandas de resistencia</v>
      </c>
      <c r="M4276" s="8" t="s">
        <v>72</v>
      </c>
      <c r="N4276" s="8"/>
    </row>
    <row r="4277" spans="1:14" ht="11.25" customHeight="1">
      <c r="A4277" s="5" t="s">
        <v>11900</v>
      </c>
      <c r="B4277" s="5" t="s">
        <v>12392</v>
      </c>
      <c r="C4277" s="5" t="s">
        <v>12393</v>
      </c>
      <c r="D4277" s="5" t="s">
        <v>11903</v>
      </c>
      <c r="E4277" s="5" t="s">
        <v>67</v>
      </c>
      <c r="F4277" s="5" t="s">
        <v>11904</v>
      </c>
      <c r="G4277" s="5" t="s">
        <v>152</v>
      </c>
      <c r="H4277" s="5" t="s">
        <v>12394</v>
      </c>
      <c r="I4277" s="5" t="s">
        <v>12395</v>
      </c>
      <c r="J4277" s="5" t="s">
        <v>12396</v>
      </c>
      <c r="K4277" s="7" t="str">
        <f ca="1">IFERROR(__xludf.DUMMYFUNCTION("GOOGLETRANSLATE(H4277,""EN"",""ES"")"),"OTROS ARTÍCULOS DE DIVERSIÓN Y ENTRETENIMIENTO")</f>
        <v>OTROS ARTÍCULOS DE DIVERSIÓN Y ENTRETENIMIENTO</v>
      </c>
      <c r="L4277" s="5" t="str">
        <f ca="1">IFERROR(__xludf.DUMMYFUNCTION("GOOGLETRANSLATE(J4277,""EN"",""ES"")"),"balancines")</f>
        <v>balancines</v>
      </c>
      <c r="M4277" s="8" t="s">
        <v>72</v>
      </c>
      <c r="N4277" s="8"/>
    </row>
    <row r="4278" spans="1:14" ht="11.25" customHeight="1">
      <c r="A4278" s="5" t="s">
        <v>11900</v>
      </c>
      <c r="B4278" s="5" t="s">
        <v>12392</v>
      </c>
      <c r="C4278" s="5" t="s">
        <v>12393</v>
      </c>
      <c r="D4278" s="5" t="s">
        <v>11903</v>
      </c>
      <c r="E4278" s="5" t="s">
        <v>67</v>
      </c>
      <c r="F4278" s="5" t="s">
        <v>11904</v>
      </c>
      <c r="G4278" s="5" t="s">
        <v>152</v>
      </c>
      <c r="H4278" s="5" t="s">
        <v>12394</v>
      </c>
      <c r="I4278" s="5" t="s">
        <v>12397</v>
      </c>
      <c r="J4278" s="5" t="s">
        <v>152</v>
      </c>
      <c r="K4278" s="7" t="str">
        <f ca="1">IFERROR(__xludf.DUMMYFUNCTION("GOOGLETRANSLATE(H4278,""EN"",""ES"")"),"OTROS ARTÍCULOS DE DIVERSIÓN Y ENTRETENIMIENTO")</f>
        <v>OTROS ARTÍCULOS DE DIVERSIÓN Y ENTRETENIMIENTO</v>
      </c>
      <c r="L4278" s="5" t="str">
        <f ca="1">IFERROR(__xludf.DUMMYFUNCTION("GOOGLETRANSLATE(J4278,""EN"",""ES"")"),"columpios")</f>
        <v>columpios</v>
      </c>
      <c r="M4278" s="8" t="s">
        <v>72</v>
      </c>
      <c r="N4278" s="8"/>
    </row>
    <row r="4279" spans="1:14" ht="11.25" customHeight="1">
      <c r="A4279" s="5" t="s">
        <v>11900</v>
      </c>
      <c r="B4279" s="5" t="s">
        <v>12392</v>
      </c>
      <c r="C4279" s="5" t="s">
        <v>12398</v>
      </c>
      <c r="D4279" s="5" t="s">
        <v>11903</v>
      </c>
      <c r="E4279" s="5" t="s">
        <v>67</v>
      </c>
      <c r="F4279" s="5" t="s">
        <v>11904</v>
      </c>
      <c r="G4279" s="5" t="s">
        <v>152</v>
      </c>
      <c r="H4279" s="5" t="s">
        <v>12394</v>
      </c>
      <c r="I4279" s="5" t="s">
        <v>12399</v>
      </c>
      <c r="J4279" s="5" t="s">
        <v>12400</v>
      </c>
      <c r="K4279" s="7" t="str">
        <f ca="1">IFERROR(__xludf.DUMMYFUNCTION("GOOGLETRANSLATE(H4279,""EN"",""ES"")"),"OTROS ARTÍCULOS DE DIVERSIÓN Y ENTRETENIMIENTO")</f>
        <v>OTROS ARTÍCULOS DE DIVERSIÓN Y ENTRETENIMIENTO</v>
      </c>
      <c r="L4279" s="5" t="str">
        <f ca="1">IFERROR(__xludf.DUMMYFUNCTION("GOOGLETRANSLATE(J4279,""EN"",""ES"")"),"Máquinas automáticas para juegos de azar")</f>
        <v>Máquinas automáticas para juegos de azar</v>
      </c>
      <c r="M4279" s="8" t="s">
        <v>72</v>
      </c>
      <c r="N4279" s="8"/>
    </row>
    <row r="4280" spans="1:14" ht="11.25" customHeight="1">
      <c r="A4280" s="5" t="s">
        <v>11900</v>
      </c>
      <c r="B4280" s="5" t="s">
        <v>12392</v>
      </c>
      <c r="C4280" s="5" t="s">
        <v>12401</v>
      </c>
      <c r="D4280" s="5" t="s">
        <v>11903</v>
      </c>
      <c r="E4280" s="5" t="s">
        <v>67</v>
      </c>
      <c r="F4280" s="5" t="s">
        <v>11904</v>
      </c>
      <c r="G4280" s="5" t="s">
        <v>152</v>
      </c>
      <c r="H4280" s="5" t="s">
        <v>12394</v>
      </c>
      <c r="I4280" s="5" t="s">
        <v>12402</v>
      </c>
      <c r="J4280" s="5" t="s">
        <v>12403</v>
      </c>
      <c r="K4280" s="7" t="str">
        <f ca="1">IFERROR(__xludf.DUMMYFUNCTION("GOOGLETRANSLATE(H4280,""EN"",""ES"")"),"OTROS ARTÍCULOS DE DIVERSIÓN Y ENTRETENIMIENTO")</f>
        <v>OTROS ARTÍCULOS DE DIVERSIÓN Y ENTRETENIMIENTO</v>
      </c>
      <c r="L4280" s="5" t="str">
        <f ca="1">IFERROR(__xludf.DUMMYFUNCTION("GOOGLETRANSLATE(J4280,""EN"",""ES"")"),"petardos para fiestas")</f>
        <v>petardos para fiestas</v>
      </c>
      <c r="M4280" s="8" t="s">
        <v>72</v>
      </c>
      <c r="N4280" s="8"/>
    </row>
    <row r="4281" spans="1:14" ht="11.25" customHeight="1">
      <c r="A4281" s="5" t="s">
        <v>11900</v>
      </c>
      <c r="B4281" s="5" t="s">
        <v>12392</v>
      </c>
      <c r="C4281" s="5" t="s">
        <v>12404</v>
      </c>
      <c r="D4281" s="5" t="s">
        <v>11903</v>
      </c>
      <c r="E4281" s="5" t="s">
        <v>67</v>
      </c>
      <c r="F4281" s="5" t="s">
        <v>11904</v>
      </c>
      <c r="G4281" s="5" t="s">
        <v>152</v>
      </c>
      <c r="H4281" s="5" t="s">
        <v>12394</v>
      </c>
      <c r="I4281" s="5" t="s">
        <v>12405</v>
      </c>
      <c r="J4281" s="5" t="s">
        <v>12406</v>
      </c>
      <c r="K4281" s="7" t="str">
        <f ca="1">IFERROR(__xludf.DUMMYFUNCTION("GOOGLETRANSLATE(H4281,""EN"",""ES"")"),"OTROS ARTÍCULOS DE DIVERSIÓN Y ENTRETENIMIENTO")</f>
        <v>OTROS ARTÍCULOS DE DIVERSIÓN Y ENTRETENIMIENTO</v>
      </c>
      <c r="L4281" s="5" t="str">
        <f ca="1">IFERROR(__xludf.DUMMYFUNCTION("GOOGLETRANSLATE(J4281,""EN"",""ES"")"),"tiovivos")</f>
        <v>tiovivos</v>
      </c>
      <c r="M4281" s="8" t="s">
        <v>72</v>
      </c>
      <c r="N4281" s="8"/>
    </row>
    <row r="4282" spans="1:14" ht="11.25" customHeight="1">
      <c r="A4282" s="5" t="s">
        <v>11900</v>
      </c>
      <c r="B4282" s="5" t="s">
        <v>12392</v>
      </c>
      <c r="C4282" s="5" t="s">
        <v>12404</v>
      </c>
      <c r="D4282" s="5" t="s">
        <v>11903</v>
      </c>
      <c r="E4282" s="5" t="s">
        <v>67</v>
      </c>
      <c r="F4282" s="5" t="s">
        <v>11904</v>
      </c>
      <c r="G4282" s="5" t="s">
        <v>152</v>
      </c>
      <c r="H4282" s="5" t="s">
        <v>12394</v>
      </c>
      <c r="I4282" s="5" t="s">
        <v>12407</v>
      </c>
      <c r="J4282" s="5" t="s">
        <v>12408</v>
      </c>
      <c r="K4282" s="7" t="str">
        <f ca="1">IFERROR(__xludf.DUMMYFUNCTION("GOOGLETRANSLATE(H4282,""EN"",""ES"")"),"OTROS ARTÍCULOS DE DIVERSIÓN Y ENTRETENIMIENTO")</f>
        <v>OTROS ARTÍCULOS DE DIVERSIÓN Y ENTRETENIMIENTO</v>
      </c>
      <c r="L4282" s="5" t="str">
        <f ca="1">IFERROR(__xludf.DUMMYFUNCTION("GOOGLETRANSLATE(J4282,""EN"",""ES"")"),"Carruseles")</f>
        <v>Carruseles</v>
      </c>
      <c r="M4282" s="8" t="s">
        <v>72</v>
      </c>
      <c r="N4282" s="8"/>
    </row>
    <row r="4283" spans="1:14" ht="11.25" customHeight="1">
      <c r="A4283" s="5" t="s">
        <v>11900</v>
      </c>
      <c r="B4283" s="5" t="s">
        <v>12392</v>
      </c>
      <c r="C4283" s="5" t="s">
        <v>12404</v>
      </c>
      <c r="D4283" s="5" t="s">
        <v>11903</v>
      </c>
      <c r="E4283" s="5" t="s">
        <v>67</v>
      </c>
      <c r="F4283" s="5" t="s">
        <v>11904</v>
      </c>
      <c r="G4283" s="5" t="s">
        <v>152</v>
      </c>
      <c r="H4283" s="5" t="s">
        <v>12394</v>
      </c>
      <c r="I4283" s="5" t="s">
        <v>12409</v>
      </c>
      <c r="J4283" s="5" t="s">
        <v>152</v>
      </c>
      <c r="K4283" s="7" t="str">
        <f ca="1">IFERROR(__xludf.DUMMYFUNCTION("GOOGLETRANSLATE(H4283,""EN"",""ES"")"),"OTROS ARTÍCULOS DE DIVERSIÓN Y ENTRETENIMIENTO")</f>
        <v>OTROS ARTÍCULOS DE DIVERSIÓN Y ENTRETENIMIENTO</v>
      </c>
      <c r="L4283" s="5" t="str">
        <f ca="1">IFERROR(__xludf.DUMMYFUNCTION("GOOGLETRANSLATE(J4283,""EN"",""ES"")"),"Rotondas [recinto ferial]")</f>
        <v>Rotondas [recinto ferial]</v>
      </c>
      <c r="M4283" s="8" t="s">
        <v>72</v>
      </c>
      <c r="N4283" s="8"/>
    </row>
    <row r="4284" spans="1:14" ht="11.25" customHeight="1">
      <c r="A4284" s="5" t="s">
        <v>11900</v>
      </c>
      <c r="B4284" s="5" t="s">
        <v>12392</v>
      </c>
      <c r="C4284" s="5" t="s">
        <v>12410</v>
      </c>
      <c r="D4284" s="5" t="s">
        <v>11903</v>
      </c>
      <c r="E4284" s="5" t="s">
        <v>67</v>
      </c>
      <c r="F4284" s="5" t="s">
        <v>11904</v>
      </c>
      <c r="G4284" s="5" t="s">
        <v>152</v>
      </c>
      <c r="H4284" s="5" t="s">
        <v>12394</v>
      </c>
      <c r="I4284" s="5" t="s">
        <v>12411</v>
      </c>
      <c r="J4284" s="5" t="s">
        <v>12412</v>
      </c>
      <c r="K4284" s="7" t="str">
        <f ca="1">IFERROR(__xludf.DUMMYFUNCTION("GOOGLETRANSLATE(H4284,""EN"",""ES"")"),"OTROS ARTÍCULOS DE DIVERSIÓN Y ENTRETENIMIENTO")</f>
        <v>OTROS ARTÍCULOS DE DIVERSIÓN Y ENTRETENIMIENTO</v>
      </c>
      <c r="L4284" s="5" t="str">
        <f ca="1">IFERROR(__xludf.DUMMYFUNCTION("GOOGLETRANSLATE(J4284,""EN"",""ES"")"),"Rotondas para parques infantiles")</f>
        <v>Rotondas para parques infantiles</v>
      </c>
      <c r="M4284" s="8" t="s">
        <v>72</v>
      </c>
      <c r="N4284" s="8"/>
    </row>
    <row r="4285" spans="1:14" ht="11.25" customHeight="1">
      <c r="A4285" s="5" t="s">
        <v>11900</v>
      </c>
      <c r="B4285" s="5" t="s">
        <v>12392</v>
      </c>
      <c r="C4285" s="5" t="s">
        <v>12413</v>
      </c>
      <c r="D4285" s="5" t="s">
        <v>11903</v>
      </c>
      <c r="E4285" s="5" t="s">
        <v>67</v>
      </c>
      <c r="F4285" s="5" t="s">
        <v>11904</v>
      </c>
      <c r="G4285" s="5" t="s">
        <v>152</v>
      </c>
      <c r="H4285" s="5" t="s">
        <v>12394</v>
      </c>
      <c r="I4285" s="5" t="s">
        <v>12414</v>
      </c>
      <c r="J4285" s="5" t="s">
        <v>12415</v>
      </c>
      <c r="K4285" s="7" t="str">
        <f ca="1">IFERROR(__xludf.DUMMYFUNCTION("GOOGLETRANSLATE(H4285,""EN"",""ES"")"),"OTROS ARTÍCULOS DE DIVERSIÓN Y ENTRETENIMIENTO")</f>
        <v>OTROS ARTÍCULOS DE DIVERSIÓN Y ENTRETENIMIENTO</v>
      </c>
      <c r="L4285" s="5" t="str">
        <f ca="1">IFERROR(__xludf.DUMMYFUNCTION("GOOGLETRANSLATE(J4285,""EN"",""ES"")"),"Confeti")</f>
        <v>Confeti</v>
      </c>
      <c r="M4285" s="8" t="s">
        <v>72</v>
      </c>
      <c r="N4285" s="8"/>
    </row>
    <row r="4286" spans="1:14" ht="11.25" customHeight="1">
      <c r="A4286" s="5" t="s">
        <v>11900</v>
      </c>
      <c r="B4286" s="5" t="s">
        <v>12392</v>
      </c>
      <c r="C4286" s="5" t="s">
        <v>12416</v>
      </c>
      <c r="D4286" s="5" t="s">
        <v>11903</v>
      </c>
      <c r="E4286" s="5" t="s">
        <v>67</v>
      </c>
      <c r="F4286" s="5" t="s">
        <v>11904</v>
      </c>
      <c r="G4286" s="5" t="s">
        <v>152</v>
      </c>
      <c r="H4286" s="5" t="s">
        <v>12394</v>
      </c>
      <c r="I4286" s="5" t="s">
        <v>12417</v>
      </c>
      <c r="J4286" s="5" t="s">
        <v>12418</v>
      </c>
      <c r="K4286" s="7" t="str">
        <f ca="1">IFERROR(__xludf.DUMMYFUNCTION("GOOGLETRANSLATE(H4286,""EN"",""ES"")"),"OTROS ARTÍCULOS DE DIVERSIÓN Y ENTRETENIMIENTO")</f>
        <v>OTROS ARTÍCULOS DE DIVERSIÓN Y ENTRETENIMIENTO</v>
      </c>
      <c r="L4286" s="5" t="str">
        <f ca="1">IFERROR(__xludf.DUMMYFUNCTION("GOOGLETRANSLATE(J4286,""EN"",""ES"")"),"Aparato de diversión")</f>
        <v>Aparato de diversión</v>
      </c>
      <c r="M4286" s="8" t="s">
        <v>72</v>
      </c>
      <c r="N4286" s="8"/>
    </row>
    <row r="4287" spans="1:14" ht="11.25" customHeight="1">
      <c r="A4287" s="5" t="s">
        <v>11900</v>
      </c>
      <c r="B4287" s="5" t="s">
        <v>12392</v>
      </c>
      <c r="C4287" s="5" t="s">
        <v>12419</v>
      </c>
      <c r="D4287" s="5" t="s">
        <v>11903</v>
      </c>
      <c r="E4287" s="5" t="s">
        <v>67</v>
      </c>
      <c r="F4287" s="5" t="s">
        <v>11904</v>
      </c>
      <c r="G4287" s="5" t="s">
        <v>152</v>
      </c>
      <c r="H4287" s="5" t="s">
        <v>12394</v>
      </c>
      <c r="I4287" s="5" t="s">
        <v>12420</v>
      </c>
      <c r="J4287" s="5" t="s">
        <v>12421</v>
      </c>
      <c r="K4287" s="7" t="str">
        <f ca="1">IFERROR(__xludf.DUMMYFUNCTION("GOOGLETRANSLATE(H4287,""EN"",""ES"")"),"OTROS ARTÍCULOS DE DIVERSIÓN Y ENTRETENIMIENTO")</f>
        <v>OTROS ARTÍCULOS DE DIVERSIÓN Y ENTRETENIMIENTO</v>
      </c>
      <c r="L4287" s="5" t="str">
        <f ca="1">IFERROR(__xludf.DUMMYFUNCTION("GOOGLETRANSLATE(J4287,""EN"",""ES"")"),"ruedas de la fortuna")</f>
        <v>ruedas de la fortuna</v>
      </c>
      <c r="M4287" s="8" t="s">
        <v>72</v>
      </c>
      <c r="N4287" s="8"/>
    </row>
    <row r="4288" spans="1:14" ht="11.25" customHeight="1">
      <c r="A4288" s="5" t="s">
        <v>11900</v>
      </c>
      <c r="B4288" s="5" t="s">
        <v>12392</v>
      </c>
      <c r="C4288" s="5" t="s">
        <v>12422</v>
      </c>
      <c r="D4288" s="5" t="s">
        <v>11903</v>
      </c>
      <c r="E4288" s="5" t="s">
        <v>67</v>
      </c>
      <c r="F4288" s="5" t="s">
        <v>11904</v>
      </c>
      <c r="G4288" s="5" t="s">
        <v>152</v>
      </c>
      <c r="H4288" s="5" t="s">
        <v>12394</v>
      </c>
      <c r="I4288" s="5" t="s">
        <v>12423</v>
      </c>
      <c r="J4288" s="5" t="s">
        <v>12424</v>
      </c>
      <c r="K4288" s="7" t="str">
        <f ca="1">IFERROR(__xludf.DUMMYFUNCTION("GOOGLETRANSLATE(H4288,""EN"",""ES"")"),"OTROS ARTÍCULOS DE DIVERSIÓN Y ENTRETENIMIENTO")</f>
        <v>OTROS ARTÍCULOS DE DIVERSIÓN Y ENTRETENIMIENTO</v>
      </c>
      <c r="L4288" s="5" t="str">
        <f ca="1">IFERROR(__xludf.DUMMYFUNCTION("GOOGLETRANSLATE(J4288,""EN"",""ES"")"),"bandidos de un solo brazo")</f>
        <v>bandidos de un solo brazo</v>
      </c>
      <c r="M4288" s="8" t="s">
        <v>72</v>
      </c>
      <c r="N4288" s="8"/>
    </row>
    <row r="4289" spans="1:14" ht="11.25" customHeight="1">
      <c r="A4289" s="5" t="s">
        <v>11900</v>
      </c>
      <c r="B4289" s="5" t="s">
        <v>12392</v>
      </c>
      <c r="C4289" s="5" t="s">
        <v>12425</v>
      </c>
      <c r="D4289" s="5" t="s">
        <v>11903</v>
      </c>
      <c r="E4289" s="5" t="s">
        <v>67</v>
      </c>
      <c r="F4289" s="5" t="s">
        <v>11904</v>
      </c>
      <c r="G4289" s="5" t="s">
        <v>152</v>
      </c>
      <c r="H4289" s="5" t="s">
        <v>12394</v>
      </c>
      <c r="I4289" s="5" t="s">
        <v>12426</v>
      </c>
      <c r="J4289" s="5" t="s">
        <v>12427</v>
      </c>
      <c r="K4289" s="7" t="str">
        <f ca="1">IFERROR(__xludf.DUMMYFUNCTION("GOOGLETRANSLATE(H4289,""EN"",""ES"")"),"OTROS ARTÍCULOS DE DIVERSIÓN Y ENTRETENIMIENTO")</f>
        <v>OTROS ARTÍCULOS DE DIVERSIÓN Y ENTRETENIMIENTO</v>
      </c>
      <c r="L4289" s="5" t="str">
        <f ca="1">IFERROR(__xludf.DUMMYFUNCTION("GOOGLETRANSLATE(J4289,""EN"",""ES"")"),"Serpentinas de papel [artículos de entretenimiento]")</f>
        <v>Serpentinas de papel [artículos de entretenimiento]</v>
      </c>
      <c r="M4289" s="8" t="s">
        <v>72</v>
      </c>
      <c r="N4289" s="8"/>
    </row>
    <row r="4290" spans="1:14" ht="11.25" customHeight="1">
      <c r="A4290" s="5" t="s">
        <v>11900</v>
      </c>
      <c r="B4290" s="5" t="s">
        <v>12392</v>
      </c>
      <c r="C4290" s="5" t="s">
        <v>12428</v>
      </c>
      <c r="D4290" s="5" t="s">
        <v>11903</v>
      </c>
      <c r="E4290" s="5" t="s">
        <v>67</v>
      </c>
      <c r="F4290" s="5" t="s">
        <v>11904</v>
      </c>
      <c r="G4290" s="5" t="s">
        <v>152</v>
      </c>
      <c r="H4290" s="5" t="s">
        <v>12394</v>
      </c>
      <c r="I4290" s="5" t="s">
        <v>12429</v>
      </c>
      <c r="J4290" s="5" t="s">
        <v>12430</v>
      </c>
      <c r="K4290" s="7" t="str">
        <f ca="1">IFERROR(__xludf.DUMMYFUNCTION("GOOGLETRANSLATE(H4290,""EN"",""ES"")"),"OTROS ARTÍCULOS DE DIVERSIÓN Y ENTRETENIMIENTO")</f>
        <v>OTROS ARTÍCULOS DE DIVERSIÓN Y ENTRETENIMIENTO</v>
      </c>
      <c r="L4290" s="5" t="str">
        <f ca="1">IFERROR(__xludf.DUMMYFUNCTION("GOOGLETRANSLATE(J4290,""EN"",""ES"")"),"Galerías de tiro de feria")</f>
        <v>Galerías de tiro de feria</v>
      </c>
      <c r="M4290" s="8" t="s">
        <v>72</v>
      </c>
      <c r="N4290" s="8"/>
    </row>
    <row r="4291" spans="1:14" ht="11.25" customHeight="1">
      <c r="A4291" s="5" t="s">
        <v>11900</v>
      </c>
      <c r="B4291" s="5" t="s">
        <v>12392</v>
      </c>
      <c r="C4291" s="5" t="s">
        <v>12431</v>
      </c>
      <c r="D4291" s="5" t="s">
        <v>11903</v>
      </c>
      <c r="E4291" s="5" t="s">
        <v>67</v>
      </c>
      <c r="F4291" s="5" t="s">
        <v>11904</v>
      </c>
      <c r="G4291" s="5" t="s">
        <v>152</v>
      </c>
      <c r="H4291" s="5" t="s">
        <v>12394</v>
      </c>
      <c r="I4291" s="5" t="s">
        <v>12432</v>
      </c>
      <c r="J4291" s="5" t="s">
        <v>12433</v>
      </c>
      <c r="K4291" s="7" t="str">
        <f ca="1">IFERROR(__xludf.DUMMYFUNCTION("GOOGLETRANSLATE(H4291,""EN"",""ES"")"),"OTROS ARTÍCULOS DE DIVERSIÓN Y ENTRETENIMIENTO")</f>
        <v>OTROS ARTÍCULOS DE DIVERSIÓN Y ENTRETENIMIENTO</v>
      </c>
      <c r="L4291" s="5" t="str">
        <f ca="1">IFERROR(__xludf.DUMMYFUNCTION("GOOGLETRANSLATE(J4291,""EN"",""ES"")"),"Ferrocarriles panorámicos")</f>
        <v>Ferrocarriles panorámicos</v>
      </c>
      <c r="M4291" s="8" t="s">
        <v>72</v>
      </c>
      <c r="N4291" s="8"/>
    </row>
    <row r="4292" spans="1:14" ht="11.25" customHeight="1">
      <c r="A4292" s="5" t="s">
        <v>11900</v>
      </c>
      <c r="B4292" s="5" t="s">
        <v>12392</v>
      </c>
      <c r="C4292" s="5" t="s">
        <v>12431</v>
      </c>
      <c r="D4292" s="5" t="s">
        <v>11903</v>
      </c>
      <c r="E4292" s="5" t="s">
        <v>67</v>
      </c>
      <c r="F4292" s="5" t="s">
        <v>11904</v>
      </c>
      <c r="G4292" s="5" t="s">
        <v>152</v>
      </c>
      <c r="H4292" s="5" t="s">
        <v>12394</v>
      </c>
      <c r="I4292" s="5" t="s">
        <v>12434</v>
      </c>
      <c r="J4292" s="5" t="s">
        <v>152</v>
      </c>
      <c r="K4292" s="7" t="str">
        <f ca="1">IFERROR(__xludf.DUMMYFUNCTION("GOOGLETRANSLATE(H4292,""EN"",""ES"")"),"OTROS ARTÍCULOS DE DIVERSIÓN Y ENTRETENIMIENTO")</f>
        <v>OTROS ARTÍCULOS DE DIVERSIÓN Y ENTRETENIMIENTO</v>
      </c>
      <c r="L4292" s="5" t="str">
        <f ca="1">IFERROR(__xludf.DUMMYFUNCTION("GOOGLETRANSLATE(J4292,""EN"",""ES"")"),"Ferrocarriles de atracciones")</f>
        <v>Ferrocarriles de atracciones</v>
      </c>
      <c r="M4292" s="8" t="s">
        <v>72</v>
      </c>
      <c r="N4292" s="8"/>
    </row>
    <row r="4293" spans="1:14" ht="11.25" customHeight="1">
      <c r="A4293" s="5" t="s">
        <v>11900</v>
      </c>
      <c r="B4293" s="5" t="s">
        <v>12392</v>
      </c>
      <c r="C4293" s="5" t="s">
        <v>12431</v>
      </c>
      <c r="D4293" s="5" t="s">
        <v>11903</v>
      </c>
      <c r="E4293" s="5" t="s">
        <v>67</v>
      </c>
      <c r="F4293" s="5" t="s">
        <v>11904</v>
      </c>
      <c r="G4293" s="5" t="s">
        <v>152</v>
      </c>
      <c r="H4293" s="5" t="s">
        <v>12394</v>
      </c>
      <c r="I4293" s="5" t="s">
        <v>12435</v>
      </c>
      <c r="J4293" s="5" t="s">
        <v>152</v>
      </c>
      <c r="K4293" s="7" t="str">
        <f ca="1">IFERROR(__xludf.DUMMYFUNCTION("GOOGLETRANSLATE(H4293,""EN"",""ES"")"),"OTROS ARTÍCULOS DE DIVERSIÓN Y ENTRETENIMIENTO")</f>
        <v>OTROS ARTÍCULOS DE DIVERSIÓN Y ENTRETENIMIENTO</v>
      </c>
      <c r="L4293" s="5" t="str">
        <f ca="1">IFERROR(__xludf.DUMMYFUNCTION("GOOGLETRANSLATE(J4293,""EN"",""ES"")"),"Ferrocarriles en zigzag [para diversión]")</f>
        <v>Ferrocarriles en zigzag [para diversión]</v>
      </c>
      <c r="M4293" s="8" t="s">
        <v>72</v>
      </c>
      <c r="N4293" s="8"/>
    </row>
    <row r="4294" spans="1:14" ht="11.25" customHeight="1">
      <c r="A4294" s="5" t="s">
        <v>11900</v>
      </c>
      <c r="B4294" s="5" t="s">
        <v>12392</v>
      </c>
      <c r="C4294" s="5" t="s">
        <v>12436</v>
      </c>
      <c r="D4294" s="5" t="s">
        <v>11903</v>
      </c>
      <c r="E4294" s="5" t="s">
        <v>67</v>
      </c>
      <c r="F4294" s="5" t="s">
        <v>11904</v>
      </c>
      <c r="G4294" s="5" t="s">
        <v>152</v>
      </c>
      <c r="H4294" s="5" t="s">
        <v>12394</v>
      </c>
      <c r="I4294" s="5" t="s">
        <v>12437</v>
      </c>
      <c r="J4294" s="5" t="s">
        <v>12438</v>
      </c>
      <c r="K4294" s="7" t="str">
        <f ca="1">IFERROR(__xludf.DUMMYFUNCTION("GOOGLETRANSLATE(H4294,""EN"",""ES"")"),"OTROS ARTÍCULOS DE DIVERSIÓN Y ENTRETENIMIENTO")</f>
        <v>OTROS ARTÍCULOS DE DIVERSIÓN Y ENTRETENIMIENTO</v>
      </c>
      <c r="L4294" s="5" t="str">
        <f ca="1">IFERROR(__xludf.DUMMYFUNCTION("GOOGLETRANSLATE(J4294,""EN"",""ES"")"),"Toboganes")</f>
        <v>Toboganes</v>
      </c>
      <c r="M4294" s="8" t="s">
        <v>72</v>
      </c>
      <c r="N4294" s="8"/>
    </row>
    <row r="4295" spans="1:14" ht="11.25" customHeight="1">
      <c r="A4295" s="5" t="s">
        <v>11900</v>
      </c>
      <c r="B4295" s="5" t="s">
        <v>12392</v>
      </c>
      <c r="C4295" s="5" t="s">
        <v>12436</v>
      </c>
      <c r="D4295" s="5" t="s">
        <v>11903</v>
      </c>
      <c r="E4295" s="5" t="s">
        <v>67</v>
      </c>
      <c r="F4295" s="5" t="s">
        <v>11904</v>
      </c>
      <c r="G4295" s="5" t="s">
        <v>152</v>
      </c>
      <c r="H4295" s="5" t="s">
        <v>12394</v>
      </c>
      <c r="I4295" s="5" t="s">
        <v>12439</v>
      </c>
      <c r="J4295" s="5" t="s">
        <v>12440</v>
      </c>
      <c r="K4295" s="7" t="str">
        <f ca="1">IFERROR(__xludf.DUMMYFUNCTION("GOOGLETRANSLATE(H4295,""EN"",""ES"")"),"OTROS ARTÍCULOS DE DIVERSIÓN Y ENTRETENIMIENTO")</f>
        <v>OTROS ARTÍCULOS DE DIVERSIÓN Y ENTRETENIMIENTO</v>
      </c>
      <c r="L4295" s="5" t="str">
        <f ca="1">IFERROR(__xludf.DUMMYFUNCTION("GOOGLETRANSLATE(J4295,""EN"",""ES"")"),"Toboganes [toboganes]")</f>
        <v>Toboganes [toboganes]</v>
      </c>
      <c r="M4295" s="8" t="s">
        <v>72</v>
      </c>
      <c r="N4295" s="8"/>
    </row>
    <row r="4296" spans="1:14" ht="11.25" customHeight="1">
      <c r="A4296" s="5" t="s">
        <v>11900</v>
      </c>
      <c r="B4296" s="5" t="s">
        <v>12392</v>
      </c>
      <c r="C4296" s="5" t="s">
        <v>12441</v>
      </c>
      <c r="D4296" s="5" t="s">
        <v>11903</v>
      </c>
      <c r="E4296" s="5" t="s">
        <v>67</v>
      </c>
      <c r="F4296" s="5" t="s">
        <v>11904</v>
      </c>
      <c r="G4296" s="5" t="s">
        <v>152</v>
      </c>
      <c r="H4296" s="5" t="s">
        <v>12394</v>
      </c>
      <c r="I4296" s="5" t="s">
        <v>12442</v>
      </c>
      <c r="J4296" s="5" t="s">
        <v>12443</v>
      </c>
      <c r="K4296" s="7" t="str">
        <f ca="1">IFERROR(__xludf.DUMMYFUNCTION("GOOGLETRANSLATE(H4296,""EN"",""ES"")"),"OTROS ARTÍCULOS DE DIVERSIÓN Y ENTRETENIMIENTO")</f>
        <v>OTROS ARTÍCULOS DE DIVERSIÓN Y ENTRETENIMIENTO</v>
      </c>
      <c r="L4296" s="5" t="str">
        <f ca="1">IFERROR(__xludf.DUMMYFUNCTION("GOOGLETRANSLATE(J4296,""EN"",""ES"")"),"chistes y trucos")</f>
        <v>chistes y trucos</v>
      </c>
      <c r="M4296" s="8" t="s">
        <v>72</v>
      </c>
      <c r="N4296" s="8"/>
    </row>
    <row r="4297" spans="1:14" ht="11.25" customHeight="1">
      <c r="A4297" s="5" t="s">
        <v>11900</v>
      </c>
      <c r="B4297" s="5" t="s">
        <v>12392</v>
      </c>
      <c r="C4297" s="5" t="s">
        <v>12441</v>
      </c>
      <c r="D4297" s="5" t="s">
        <v>11903</v>
      </c>
      <c r="E4297" s="5" t="s">
        <v>67</v>
      </c>
      <c r="F4297" s="5" t="s">
        <v>11904</v>
      </c>
      <c r="G4297" s="5" t="s">
        <v>152</v>
      </c>
      <c r="H4297" s="5" t="s">
        <v>12394</v>
      </c>
      <c r="I4297" s="5" t="s">
        <v>12444</v>
      </c>
      <c r="J4297" s="5" t="s">
        <v>12445</v>
      </c>
      <c r="K4297" s="7" t="str">
        <f ca="1">IFERROR(__xludf.DUMMYFUNCTION("GOOGLETRANSLATE(H4297,""EN"",""ES"")"),"OTROS ARTÍCULOS DE DIVERSIÓN Y ENTRETENIMIENTO")</f>
        <v>OTROS ARTÍCULOS DE DIVERSIÓN Y ENTRETENIMIENTO</v>
      </c>
      <c r="L4297" s="5" t="str">
        <f ca="1">IFERROR(__xludf.DUMMYFUNCTION("GOOGLETRANSLATE(J4297,""EN"",""ES"")"),"Trucos y chistes")</f>
        <v>Trucos y chistes</v>
      </c>
      <c r="M4297" s="8" t="s">
        <v>72</v>
      </c>
      <c r="N4297" s="8"/>
    </row>
    <row r="4298" spans="1:14" ht="11.25" customHeight="1">
      <c r="A4298" s="5" t="s">
        <v>11900</v>
      </c>
      <c r="B4298" s="5" t="s">
        <v>12392</v>
      </c>
      <c r="C4298" s="5" t="s">
        <v>12446</v>
      </c>
      <c r="D4298" s="5" t="s">
        <v>11903</v>
      </c>
      <c r="E4298" s="5" t="s">
        <v>67</v>
      </c>
      <c r="F4298" s="5" t="s">
        <v>11904</v>
      </c>
      <c r="G4298" s="5" t="s">
        <v>152</v>
      </c>
      <c r="H4298" s="5" t="s">
        <v>12394</v>
      </c>
      <c r="I4298" s="5" t="s">
        <v>12447</v>
      </c>
      <c r="J4298" s="5" t="s">
        <v>12448</v>
      </c>
      <c r="K4298" s="7" t="str">
        <f ca="1">IFERROR(__xludf.DUMMYFUNCTION("GOOGLETRANSLATE(H4298,""EN"",""ES"")"),"OTROS ARTÍCULOS DE DIVERSIÓN Y ENTRETENIMIENTO")</f>
        <v>OTROS ARTÍCULOS DE DIVERSIÓN Y ENTRETENIMIENTO</v>
      </c>
      <c r="L4298" s="5" t="str">
        <f ca="1">IFERROR(__xludf.DUMMYFUNCTION("GOOGLETRANSLATE(J4298,""EN"",""ES"")"),"Máscaras para disfrazarse")</f>
        <v>Máscaras para disfrazarse</v>
      </c>
      <c r="M4298" s="8" t="s">
        <v>72</v>
      </c>
      <c r="N4298" s="8"/>
    </row>
    <row r="4299" spans="1:14" ht="11.25" customHeight="1">
      <c r="A4299" s="5" t="s">
        <v>11900</v>
      </c>
      <c r="B4299" s="5" t="s">
        <v>12392</v>
      </c>
      <c r="C4299" s="5" t="s">
        <v>12449</v>
      </c>
      <c r="D4299" s="5" t="s">
        <v>11903</v>
      </c>
      <c r="E4299" s="5" t="s">
        <v>67</v>
      </c>
      <c r="F4299" s="5" t="s">
        <v>11904</v>
      </c>
      <c r="G4299" s="5" t="s">
        <v>152</v>
      </c>
      <c r="H4299" s="5" t="s">
        <v>12394</v>
      </c>
      <c r="I4299" s="5" t="s">
        <v>12450</v>
      </c>
      <c r="J4299" s="5" t="s">
        <v>12451</v>
      </c>
      <c r="K4299" s="7" t="str">
        <f ca="1">IFERROR(__xludf.DUMMYFUNCTION("GOOGLETRANSLATE(H4299,""EN"",""ES"")"),"OTROS ARTÍCULOS DE DIVERSIÓN Y ENTRETENIMIENTO")</f>
        <v>OTROS ARTÍCULOS DE DIVERSIÓN Y ENTRETENIMIENTO</v>
      </c>
      <c r="L4299" s="5" t="str">
        <f ca="1">IFERROR(__xludf.DUMMYFUNCTION("GOOGLETRANSLATE(J4299,""EN"",""ES"")"),"Espejos para ferias")</f>
        <v>Espejos para ferias</v>
      </c>
      <c r="M4299" s="8" t="s">
        <v>72</v>
      </c>
      <c r="N4299" s="8"/>
    </row>
    <row r="4300" spans="1:14" ht="11.25" customHeight="1">
      <c r="A4300" s="5" t="s">
        <v>11900</v>
      </c>
      <c r="B4300" s="5" t="s">
        <v>12392</v>
      </c>
      <c r="C4300" s="5" t="s">
        <v>12452</v>
      </c>
      <c r="D4300" s="5" t="s">
        <v>11903</v>
      </c>
      <c r="E4300" s="5" t="s">
        <v>67</v>
      </c>
      <c r="F4300" s="5" t="s">
        <v>11904</v>
      </c>
      <c r="G4300" s="5" t="s">
        <v>152</v>
      </c>
      <c r="H4300" s="5" t="s">
        <v>12394</v>
      </c>
      <c r="I4300" s="5" t="s">
        <v>12453</v>
      </c>
      <c r="J4300" s="5" t="s">
        <v>12454</v>
      </c>
      <c r="K4300" s="7" t="str">
        <f ca="1">IFERROR(__xludf.DUMMYFUNCTION("GOOGLETRANSLATE(H4300,""EN"",""ES"")"),"OTROS ARTÍCULOS DE DIVERSIÓN Y ENTRETENIMIENTO")</f>
        <v>OTROS ARTÍCULOS DE DIVERSIÓN Y ENTRETENIMIENTO</v>
      </c>
      <c r="L4300" s="5" t="str">
        <f ca="1">IFERROR(__xludf.DUMMYFUNCTION("GOOGLETRANSLATE(J4300,""EN"",""ES"")"),"Parques infantiles [equipos de juego]")</f>
        <v>Parques infantiles [equipos de juego]</v>
      </c>
      <c r="M4300" s="8" t="s">
        <v>72</v>
      </c>
      <c r="N4300" s="8"/>
    </row>
    <row r="4301" spans="1:14" ht="11.25" customHeight="1">
      <c r="A4301" s="5" t="s">
        <v>11900</v>
      </c>
      <c r="B4301" s="5" t="s">
        <v>12392</v>
      </c>
      <c r="C4301" s="5" t="s">
        <v>12455</v>
      </c>
      <c r="D4301" s="5" t="s">
        <v>11903</v>
      </c>
      <c r="E4301" s="5" t="s">
        <v>67</v>
      </c>
      <c r="F4301" s="5" t="s">
        <v>11904</v>
      </c>
      <c r="G4301" s="5" t="s">
        <v>152</v>
      </c>
      <c r="H4301" s="5" t="s">
        <v>12394</v>
      </c>
      <c r="I4301" s="5" t="s">
        <v>12456</v>
      </c>
      <c r="J4301" s="5" t="s">
        <v>12457</v>
      </c>
      <c r="K4301" s="7" t="str">
        <f ca="1">IFERROR(__xludf.DUMMYFUNCTION("GOOGLETRANSLATE(H4301,""EN"",""ES"")"),"OTROS ARTÍCULOS DE DIVERSIÓN Y ENTRETENIMIENTO")</f>
        <v>OTROS ARTÍCULOS DE DIVERSIÓN Y ENTRETENIMIENTO</v>
      </c>
      <c r="L4301" s="5" t="str">
        <f ca="1">IFERROR(__xludf.DUMMYFUNCTION("GOOGLETRANSLATE(J4301,""EN"",""ES"")"),"toboganes de agua")</f>
        <v>toboganes de agua</v>
      </c>
      <c r="M4301" s="8" t="s">
        <v>72</v>
      </c>
      <c r="N4301" s="8"/>
    </row>
    <row r="4302" spans="1:14" ht="11.25" customHeight="1">
      <c r="A4302" s="5" t="s">
        <v>11900</v>
      </c>
      <c r="B4302" s="5" t="s">
        <v>12392</v>
      </c>
      <c r="C4302" s="5" t="s">
        <v>12458</v>
      </c>
      <c r="D4302" s="5" t="s">
        <v>11903</v>
      </c>
      <c r="E4302" s="5" t="s">
        <v>67</v>
      </c>
      <c r="F4302" s="5" t="s">
        <v>11904</v>
      </c>
      <c r="G4302" s="5" t="s">
        <v>152</v>
      </c>
      <c r="H4302" s="5" t="s">
        <v>12394</v>
      </c>
      <c r="I4302" s="5" t="s">
        <v>12459</v>
      </c>
      <c r="J4302" s="5" t="s">
        <v>12460</v>
      </c>
      <c r="K4302" s="7" t="str">
        <f ca="1">IFERROR(__xludf.DUMMYFUNCTION("GOOGLETRANSLATE(H4302,""EN"",""ES"")"),"OTROS ARTÍCULOS DE DIVERSIÓN Y ENTRETENIMIENTO")</f>
        <v>OTROS ARTÍCULOS DE DIVERSIÓN Y ENTRETENIMIENTO</v>
      </c>
      <c r="L4302" s="5" t="str">
        <f ca="1">IFERROR(__xludf.DUMMYFUNCTION("GOOGLETRANSLATE(J4302,""EN"",""ES"")"),"Pozos de arena")</f>
        <v>Pozos de arena</v>
      </c>
      <c r="M4302" s="8" t="s">
        <v>72</v>
      </c>
      <c r="N4302" s="8"/>
    </row>
    <row r="4303" spans="1:14" ht="11.25" customHeight="1">
      <c r="A4303" s="5" t="s">
        <v>11900</v>
      </c>
      <c r="B4303" s="5" t="s">
        <v>12392</v>
      </c>
      <c r="C4303" s="5" t="s">
        <v>12461</v>
      </c>
      <c r="D4303" s="5" t="s">
        <v>11903</v>
      </c>
      <c r="E4303" s="5" t="s">
        <v>67</v>
      </c>
      <c r="F4303" s="5" t="s">
        <v>11904</v>
      </c>
      <c r="G4303" s="5" t="s">
        <v>152</v>
      </c>
      <c r="H4303" s="5" t="s">
        <v>12394</v>
      </c>
      <c r="I4303" s="5" t="s">
        <v>12462</v>
      </c>
      <c r="J4303" s="5" t="s">
        <v>12463</v>
      </c>
      <c r="K4303" s="7" t="str">
        <f ca="1">IFERROR(__xludf.DUMMYFUNCTION("GOOGLETRANSLATE(H4303,""EN"",""ES"")"),"OTROS ARTÍCULOS DE DIVERSIÓN Y ENTRETENIMIENTO")</f>
        <v>OTROS ARTÍCULOS DE DIVERSIÓN Y ENTRETENIMIENTO</v>
      </c>
      <c r="L4303" s="5" t="str">
        <f ca="1">IFERROR(__xludf.DUMMYFUNCTION("GOOGLETRANSLATE(J4303,""EN"",""ES"")"),"Marcos para juegos al aire libre.")</f>
        <v>Marcos para juegos al aire libre.</v>
      </c>
      <c r="M4303" s="8" t="s">
        <v>72</v>
      </c>
      <c r="N4303" s="8"/>
    </row>
    <row r="4304" spans="1:14" ht="11.25" customHeight="1">
      <c r="A4304" s="5" t="s">
        <v>11900</v>
      </c>
      <c r="B4304" s="5" t="s">
        <v>12392</v>
      </c>
      <c r="C4304" s="5" t="s">
        <v>12464</v>
      </c>
      <c r="D4304" s="5" t="s">
        <v>11903</v>
      </c>
      <c r="E4304" s="5" t="s">
        <v>67</v>
      </c>
      <c r="F4304" s="5" t="s">
        <v>11904</v>
      </c>
      <c r="G4304" s="5" t="s">
        <v>152</v>
      </c>
      <c r="H4304" s="5" t="s">
        <v>12394</v>
      </c>
      <c r="I4304" s="5" t="s">
        <v>12465</v>
      </c>
      <c r="J4304" s="5" t="s">
        <v>12466</v>
      </c>
      <c r="K4304" s="7" t="str">
        <f ca="1">IFERROR(__xludf.DUMMYFUNCTION("GOOGLETRANSLATE(H4304,""EN"",""ES"")"),"OTROS ARTÍCULOS DE DIVERSIÓN Y ENTRETENIMIENTO")</f>
        <v>OTROS ARTÍCULOS DE DIVERSIÓN Y ENTRETENIMIENTO</v>
      </c>
      <c r="L4304" s="5" t="str">
        <f ca="1">IFERROR(__xludf.DUMMYFUNCTION("GOOGLETRANSLATE(J4304,""EN"",""ES"")"),"teatros de marionetas")</f>
        <v>teatros de marionetas</v>
      </c>
      <c r="M4304" s="8" t="s">
        <v>72</v>
      </c>
      <c r="N4304" s="8"/>
    </row>
    <row r="4305" spans="1:14" ht="11.25" customHeight="1">
      <c r="A4305" s="5" t="s">
        <v>11900</v>
      </c>
      <c r="B4305" s="5" t="s">
        <v>12392</v>
      </c>
      <c r="C4305" s="5" t="s">
        <v>12467</v>
      </c>
      <c r="D4305" s="5" t="s">
        <v>11903</v>
      </c>
      <c r="E4305" s="5" t="s">
        <v>67</v>
      </c>
      <c r="F4305" s="5" t="s">
        <v>11904</v>
      </c>
      <c r="G4305" s="5" t="s">
        <v>152</v>
      </c>
      <c r="H4305" s="5" t="s">
        <v>12394</v>
      </c>
      <c r="I4305" s="5" t="s">
        <v>12468</v>
      </c>
      <c r="J4305" s="5" t="s">
        <v>12469</v>
      </c>
      <c r="K4305" s="7" t="str">
        <f ca="1">IFERROR(__xludf.DUMMYFUNCTION("GOOGLETRANSLATE(H4305,""EN"",""ES"")"),"OTROS ARTÍCULOS DE DIVERSIÓN Y ENTRETENIMIENTO")</f>
        <v>OTROS ARTÍCULOS DE DIVERSIÓN Y ENTRETENIMIENTO</v>
      </c>
      <c r="L4305" s="5" t="str">
        <f ca="1">IFERROR(__xludf.DUMMYFUNCTION("GOOGLETRANSLATE(J4305,""EN"",""ES"")"),"Piscinas [transportables]")</f>
        <v>Piscinas [transportables]</v>
      </c>
      <c r="M4305" s="8" t="s">
        <v>72</v>
      </c>
      <c r="N4305" s="8"/>
    </row>
    <row r="4306" spans="1:14" ht="11.25" customHeight="1">
      <c r="A4306" s="5" t="s">
        <v>11900</v>
      </c>
      <c r="B4306" s="5" t="s">
        <v>12392</v>
      </c>
      <c r="C4306" s="5" t="s">
        <v>12470</v>
      </c>
      <c r="D4306" s="5" t="s">
        <v>11903</v>
      </c>
      <c r="E4306" s="5" t="s">
        <v>67</v>
      </c>
      <c r="F4306" s="5" t="s">
        <v>11904</v>
      </c>
      <c r="G4306" s="5" t="s">
        <v>152</v>
      </c>
      <c r="H4306" s="5" t="s">
        <v>12394</v>
      </c>
      <c r="I4306" s="5" t="s">
        <v>12471</v>
      </c>
      <c r="J4306" s="5" t="s">
        <v>12472</v>
      </c>
      <c r="K4306" s="7" t="str">
        <f ca="1">IFERROR(__xludf.DUMMYFUNCTION("GOOGLETRANSLATE(H4306,""EN"",""ES"")"),"OTROS ARTÍCULOS DE DIVERSIÓN Y ENTRETENIMIENTO")</f>
        <v>OTROS ARTÍCULOS DE DIVERSIÓN Y ENTRETENIMIENTO</v>
      </c>
      <c r="L4306" s="5" t="str">
        <f ca="1">IFERROR(__xludf.DUMMYFUNCTION("GOOGLETRANSLATE(J4306,""EN"",""ES"")"),"piñatas")</f>
        <v>piñatas</v>
      </c>
      <c r="M4306" s="8" t="s">
        <v>72</v>
      </c>
      <c r="N4306" s="8"/>
    </row>
    <row r="4307" spans="1:14" ht="11.25" customHeight="1">
      <c r="A4307" s="5" t="s">
        <v>11900</v>
      </c>
      <c r="B4307" s="5" t="s">
        <v>12392</v>
      </c>
      <c r="C4307" s="5" t="s">
        <v>12470</v>
      </c>
      <c r="D4307" s="5" t="s">
        <v>11903</v>
      </c>
      <c r="E4307" s="5" t="s">
        <v>67</v>
      </c>
      <c r="F4307" s="5" t="s">
        <v>11904</v>
      </c>
      <c r="G4307" s="5" t="s">
        <v>152</v>
      </c>
      <c r="H4307" s="5" t="s">
        <v>12394</v>
      </c>
      <c r="I4307" s="5" t="s">
        <v>12472</v>
      </c>
      <c r="J4307" s="5" t="s">
        <v>12471</v>
      </c>
      <c r="K4307" s="7" t="str">
        <f ca="1">IFERROR(__xludf.DUMMYFUNCTION("GOOGLETRANSLATE(H4307,""EN"",""ES"")"),"OTROS ARTÍCULOS DE DIVERSIÓN Y ENTRETENIMIENTO")</f>
        <v>OTROS ARTÍCULOS DE DIVERSIÓN Y ENTRETENIMIENTO</v>
      </c>
      <c r="L4307" s="5" t="str">
        <f ca="1">IFERROR(__xludf.DUMMYFUNCTION("GOOGLETRANSLATE(J4307,""EN"",""ES"")"),"piñatas")</f>
        <v>piñatas</v>
      </c>
      <c r="M4307" s="8" t="s">
        <v>72</v>
      </c>
      <c r="N4307" s="8"/>
    </row>
    <row r="4308" spans="1:14" ht="11.25" customHeight="1">
      <c r="A4308" s="5" t="s">
        <v>11900</v>
      </c>
      <c r="B4308" s="5" t="s">
        <v>12392</v>
      </c>
      <c r="C4308" s="5" t="s">
        <v>12473</v>
      </c>
      <c r="D4308" s="5" t="s">
        <v>11903</v>
      </c>
      <c r="E4308" s="5" t="s">
        <v>67</v>
      </c>
      <c r="F4308" s="5" t="s">
        <v>11904</v>
      </c>
      <c r="G4308" s="5" t="s">
        <v>152</v>
      </c>
      <c r="H4308" s="5" t="s">
        <v>12394</v>
      </c>
      <c r="I4308" s="5" t="s">
        <v>12474</v>
      </c>
      <c r="J4308" s="5" t="s">
        <v>12475</v>
      </c>
      <c r="K4308" s="7" t="str">
        <f ca="1">IFERROR(__xludf.DUMMYFUNCTION("GOOGLETRANSLATE(H4308,""EN"",""ES"")"),"OTROS ARTÍCULOS DE DIVERSIÓN Y ENTRETENIMIENTO")</f>
        <v>OTROS ARTÍCULOS DE DIVERSIÓN Y ENTRETENIMIENTO</v>
      </c>
      <c r="L4308" s="5" t="str">
        <f ca="1">IFERROR(__xludf.DUMMYFUNCTION("GOOGLETRANSLATE(J4308,""EN"",""ES"")"),"Tubos inflables para actividades acuáticas.")</f>
        <v>Tubos inflables para actividades acuáticas.</v>
      </c>
      <c r="M4308" s="8" t="s">
        <v>72</v>
      </c>
      <c r="N4308" s="8"/>
    </row>
    <row r="4309" spans="1:14" ht="11.25" customHeight="1">
      <c r="A4309" s="5" t="s">
        <v>11900</v>
      </c>
      <c r="B4309" s="5" t="s">
        <v>12476</v>
      </c>
      <c r="C4309" s="5" t="s">
        <v>12477</v>
      </c>
      <c r="D4309" s="5" t="s">
        <v>11903</v>
      </c>
      <c r="E4309" s="5" t="s">
        <v>67</v>
      </c>
      <c r="F4309" s="5" t="s">
        <v>11904</v>
      </c>
      <c r="G4309" s="5" t="s">
        <v>152</v>
      </c>
      <c r="H4309" s="5" t="s">
        <v>12478</v>
      </c>
      <c r="I4309" s="5" t="s">
        <v>12479</v>
      </c>
      <c r="J4309" s="5" t="s">
        <v>12480</v>
      </c>
      <c r="K4309" s="7" t="str">
        <f ca="1">IFERROR(__xludf.DUMMYFUNCTION("GOOGLETRANSLATE(H4309,""EN"",""ES"")"),"CARPAS Y SUS ACCESORIOS")</f>
        <v>CARPAS Y SUS ACCESORIOS</v>
      </c>
      <c r="L4309" s="5" t="str">
        <f ca="1">IFERROR(__xludf.DUMMYFUNCTION("GOOGLETRANSLATE(J4309,""EN"",""ES"")"),"Suelos para tiendas de campaña")</f>
        <v>Suelos para tiendas de campaña</v>
      </c>
      <c r="M4309" s="8" t="s">
        <v>71</v>
      </c>
      <c r="N4309" s="8"/>
    </row>
    <row r="4310" spans="1:14" ht="11.25" customHeight="1">
      <c r="A4310" s="5" t="s">
        <v>11900</v>
      </c>
      <c r="B4310" s="5" t="s">
        <v>12476</v>
      </c>
      <c r="C4310" s="5" t="s">
        <v>12481</v>
      </c>
      <c r="D4310" s="5" t="s">
        <v>11903</v>
      </c>
      <c r="E4310" s="5" t="s">
        <v>67</v>
      </c>
      <c r="F4310" s="5" t="s">
        <v>11904</v>
      </c>
      <c r="G4310" s="5" t="s">
        <v>152</v>
      </c>
      <c r="H4310" s="5" t="s">
        <v>12478</v>
      </c>
      <c r="I4310" s="5" t="s">
        <v>12482</v>
      </c>
      <c r="J4310" s="5" t="s">
        <v>12483</v>
      </c>
      <c r="K4310" s="7" t="str">
        <f ca="1">IFERROR(__xludf.DUMMYFUNCTION("GOOGLETRANSLATE(H4310,""EN"",""ES"")"),"CARPAS Y SUS ACCESORIOS")</f>
        <v>CARPAS Y SUS ACCESORIOS</v>
      </c>
      <c r="L4310" s="5" t="str">
        <f ca="1">IFERROR(__xludf.DUMMYFUNCTION("GOOGLETRANSLATE(J4310,""EN"",""ES"")"),"Postes de tienda")</f>
        <v>Postes de tienda</v>
      </c>
      <c r="M4310" s="8" t="s">
        <v>71</v>
      </c>
      <c r="N4310" s="8"/>
    </row>
    <row r="4311" spans="1:14" ht="11.25" customHeight="1">
      <c r="A4311" s="5" t="s">
        <v>11900</v>
      </c>
      <c r="B4311" s="5" t="s">
        <v>12476</v>
      </c>
      <c r="C4311" s="5" t="s">
        <v>12484</v>
      </c>
      <c r="D4311" s="5" t="s">
        <v>11903</v>
      </c>
      <c r="E4311" s="5" t="s">
        <v>67</v>
      </c>
      <c r="F4311" s="5" t="s">
        <v>11904</v>
      </c>
      <c r="G4311" s="5" t="s">
        <v>152</v>
      </c>
      <c r="H4311" s="5" t="s">
        <v>12478</v>
      </c>
      <c r="I4311" s="5" t="s">
        <v>12485</v>
      </c>
      <c r="J4311" s="5" t="s">
        <v>12486</v>
      </c>
      <c r="K4311" s="7" t="str">
        <f ca="1">IFERROR(__xludf.DUMMYFUNCTION("GOOGLETRANSLATE(H4311,""EN"",""ES"")"),"CARPAS Y SUS ACCESORIOS")</f>
        <v>CARPAS Y SUS ACCESORIOS</v>
      </c>
      <c r="L4311" s="5" t="str">
        <f ca="1">IFERROR(__xludf.DUMMYFUNCTION("GOOGLETRANSLATE(J4311,""EN"",""ES"")"),"Estacas para tiendas de campaña")</f>
        <v>Estacas para tiendas de campaña</v>
      </c>
      <c r="M4311" s="8" t="s">
        <v>71</v>
      </c>
      <c r="N4311" s="8"/>
    </row>
    <row r="4312" spans="1:14" ht="11.25" customHeight="1">
      <c r="A4312" s="5" t="s">
        <v>11900</v>
      </c>
      <c r="B4312" s="5" t="s">
        <v>12476</v>
      </c>
      <c r="C4312" s="5" t="s">
        <v>12484</v>
      </c>
      <c r="D4312" s="5" t="s">
        <v>11903</v>
      </c>
      <c r="E4312" s="5" t="s">
        <v>67</v>
      </c>
      <c r="F4312" s="5" t="s">
        <v>11904</v>
      </c>
      <c r="G4312" s="5" t="s">
        <v>152</v>
      </c>
      <c r="H4312" s="5" t="s">
        <v>12478</v>
      </c>
      <c r="I4312" s="5" t="s">
        <v>152</v>
      </c>
      <c r="J4312" s="5" t="s">
        <v>12487</v>
      </c>
      <c r="K4312" s="7" t="str">
        <f ca="1">IFERROR(__xludf.DUMMYFUNCTION("GOOGLETRANSLATE(H4312,""EN"",""ES"")"),"CARPAS Y SUS ACCESORIOS")</f>
        <v>CARPAS Y SUS ACCESORIOS</v>
      </c>
      <c r="L4312" s="5" t="str">
        <f ca="1">IFERROR(__xludf.DUMMYFUNCTION("GOOGLETRANSLATE(J4312,""EN"",""ES"")"),"N / A")</f>
        <v>N / A</v>
      </c>
      <c r="M4312" s="8" t="s">
        <v>71</v>
      </c>
      <c r="N4312" s="8"/>
    </row>
    <row r="4313" spans="1:14" ht="11.25" customHeight="1">
      <c r="A4313" s="5" t="s">
        <v>11900</v>
      </c>
      <c r="B4313" s="5" t="s">
        <v>12476</v>
      </c>
      <c r="C4313" s="5" t="s">
        <v>12488</v>
      </c>
      <c r="D4313" s="5" t="s">
        <v>11903</v>
      </c>
      <c r="E4313" s="5" t="s">
        <v>67</v>
      </c>
      <c r="F4313" s="5" t="s">
        <v>11904</v>
      </c>
      <c r="G4313" s="5" t="s">
        <v>152</v>
      </c>
      <c r="H4313" s="5" t="s">
        <v>12478</v>
      </c>
      <c r="I4313" s="5" t="s">
        <v>12489</v>
      </c>
      <c r="J4313" s="5" t="s">
        <v>12490</v>
      </c>
      <c r="K4313" s="7" t="str">
        <f ca="1">IFERROR(__xludf.DUMMYFUNCTION("GOOGLETRANSLATE(H4313,""EN"",""ES"")"),"CARPAS Y SUS ACCESORIOS")</f>
        <v>CARPAS Y SUS ACCESORIOS</v>
      </c>
      <c r="L4313" s="5" t="str">
        <f ca="1">IFERROR(__xludf.DUMMYFUNCTION("GOOGLETRANSLATE(J4313,""EN"",""ES"")"),"Tiendas de campaña")</f>
        <v>Tiendas de campaña</v>
      </c>
      <c r="M4313" s="8" t="s">
        <v>71</v>
      </c>
      <c r="N4313" s="8"/>
    </row>
    <row r="4314" spans="1:14" ht="11.25" customHeight="1">
      <c r="A4314" s="5" t="s">
        <v>11900</v>
      </c>
      <c r="B4314" s="5" t="s">
        <v>12476</v>
      </c>
      <c r="C4314" s="5" t="s">
        <v>12491</v>
      </c>
      <c r="D4314" s="5" t="s">
        <v>11903</v>
      </c>
      <c r="E4314" s="5" t="s">
        <v>67</v>
      </c>
      <c r="F4314" s="5" t="s">
        <v>11904</v>
      </c>
      <c r="G4314" s="5" t="s">
        <v>152</v>
      </c>
      <c r="H4314" s="5" t="s">
        <v>12478</v>
      </c>
      <c r="I4314" s="5" t="s">
        <v>12492</v>
      </c>
      <c r="J4314" s="5" t="s">
        <v>12493</v>
      </c>
      <c r="K4314" s="7" t="str">
        <f ca="1">IFERROR(__xludf.DUMMYFUNCTION("GOOGLETRANSLATE(H4314,""EN"",""ES"")"),"CARPAS Y SUS ACCESORIOS")</f>
        <v>CARPAS Y SUS ACCESORIOS</v>
      </c>
      <c r="L4314" s="5" t="str">
        <f ca="1">IFERROR(__xludf.DUMMYFUNCTION("GOOGLETRANSLATE(J4314,""EN"",""ES"")"),"Carpas de circo [carpas grandes]")</f>
        <v>Carpas de circo [carpas grandes]</v>
      </c>
      <c r="M4314" s="8" t="s">
        <v>71</v>
      </c>
      <c r="N4314" s="8"/>
    </row>
    <row r="4315" spans="1:14" ht="11.25" customHeight="1">
      <c r="A4315" s="5" t="s">
        <v>11900</v>
      </c>
      <c r="B4315" s="5" t="s">
        <v>12476</v>
      </c>
      <c r="C4315" s="5" t="s">
        <v>12494</v>
      </c>
      <c r="D4315" s="5" t="s">
        <v>11903</v>
      </c>
      <c r="E4315" s="5" t="s">
        <v>67</v>
      </c>
      <c r="F4315" s="5" t="s">
        <v>11904</v>
      </c>
      <c r="G4315" s="5" t="s">
        <v>152</v>
      </c>
      <c r="H4315" s="5" t="s">
        <v>12478</v>
      </c>
      <c r="I4315" s="5" t="s">
        <v>12495</v>
      </c>
      <c r="J4315" s="5" t="s">
        <v>12496</v>
      </c>
      <c r="K4315" s="7" t="str">
        <f ca="1">IFERROR(__xludf.DUMMYFUNCTION("GOOGLETRANSLATE(H4315,""EN"",""ES"")"),"CARPAS Y SUS ACCESORIOS")</f>
        <v>CARPAS Y SUS ACCESORIOS</v>
      </c>
      <c r="L4315" s="5" t="str">
        <f ca="1">IFERROR(__xludf.DUMMYFUNCTION("GOOGLETRANSLATE(J4315,""EN"",""ES"")"),"Carpas [tiendas de campaña]")</f>
        <v>Carpas [tiendas de campaña]</v>
      </c>
      <c r="M4315" s="8" t="s">
        <v>71</v>
      </c>
      <c r="N4315" s="8"/>
    </row>
    <row r="4316" spans="1:14" ht="11.25" customHeight="1">
      <c r="A4316" s="5" t="s">
        <v>11900</v>
      </c>
      <c r="B4316" s="5" t="s">
        <v>12476</v>
      </c>
      <c r="C4316" s="5" t="s">
        <v>12494</v>
      </c>
      <c r="D4316" s="5" t="s">
        <v>11903</v>
      </c>
      <c r="E4316" s="5" t="s">
        <v>67</v>
      </c>
      <c r="F4316" s="5" t="s">
        <v>11904</v>
      </c>
      <c r="G4316" s="5" t="s">
        <v>152</v>
      </c>
      <c r="H4316" s="5" t="s">
        <v>12478</v>
      </c>
      <c r="I4316" s="5" t="s">
        <v>152</v>
      </c>
      <c r="J4316" s="5" t="s">
        <v>12497</v>
      </c>
      <c r="K4316" s="7" t="str">
        <f ca="1">IFERROR(__xludf.DUMMYFUNCTION("GOOGLETRANSLATE(H4316,""EN"",""ES"")"),"CARPAS Y SUS ACCESORIOS")</f>
        <v>CARPAS Y SUS ACCESORIOS</v>
      </c>
      <c r="L4316" s="5" t="str">
        <f ca="1">IFERROR(__xludf.DUMMYFUNCTION("GOOGLETRANSLATE(J4316,""EN"",""ES"")"),"N / A")</f>
        <v>N / A</v>
      </c>
      <c r="M4316" s="8" t="s">
        <v>71</v>
      </c>
      <c r="N4316" s="8"/>
    </row>
    <row r="4317" spans="1:14" ht="11.25" customHeight="1">
      <c r="A4317" s="5" t="s">
        <v>11900</v>
      </c>
      <c r="B4317" s="5" t="s">
        <v>12476</v>
      </c>
      <c r="C4317" s="5" t="s">
        <v>12498</v>
      </c>
      <c r="D4317" s="5" t="s">
        <v>11903</v>
      </c>
      <c r="E4317" s="5" t="s">
        <v>67</v>
      </c>
      <c r="F4317" s="5" t="s">
        <v>11904</v>
      </c>
      <c r="G4317" s="5" t="s">
        <v>152</v>
      </c>
      <c r="H4317" s="5" t="s">
        <v>12478</v>
      </c>
      <c r="I4317" s="5" t="s">
        <v>12499</v>
      </c>
      <c r="J4317" s="5" t="s">
        <v>12500</v>
      </c>
      <c r="K4317" s="7" t="str">
        <f ca="1">IFERROR(__xludf.DUMMYFUNCTION("GOOGLETRANSLATE(H4317,""EN"",""ES"")"),"CARPAS Y SUS ACCESORIOS")</f>
        <v>CARPAS Y SUS ACCESORIOS</v>
      </c>
      <c r="L4317" s="5" t="str">
        <f ca="1">IFERROR(__xludf.DUMMYFUNCTION("GOOGLETRANSLATE(J4317,""EN"",""ES"")"),"Carpas de techo para vehículos")</f>
        <v>Carpas de techo para vehículos</v>
      </c>
      <c r="M4317" s="8" t="s">
        <v>71</v>
      </c>
      <c r="N4317" s="8"/>
    </row>
    <row r="4318" spans="1:14" ht="11.25" customHeight="1">
      <c r="A4318" s="5" t="s">
        <v>11900</v>
      </c>
      <c r="B4318" s="5" t="s">
        <v>12501</v>
      </c>
      <c r="C4318" s="5" t="s">
        <v>152</v>
      </c>
      <c r="D4318" s="5" t="s">
        <v>11903</v>
      </c>
      <c r="E4318" s="5" t="s">
        <v>67</v>
      </c>
      <c r="F4318" s="5" t="s">
        <v>11904</v>
      </c>
      <c r="G4318" s="5" t="s">
        <v>152</v>
      </c>
      <c r="H4318" s="5" t="s">
        <v>330</v>
      </c>
      <c r="I4318" s="5" t="s">
        <v>152</v>
      </c>
      <c r="J4318" s="5" t="s">
        <v>152</v>
      </c>
      <c r="K4318" s="7" t="str">
        <f ca="1">IFERROR(__xludf.DUMMYFUNCTION("GOOGLETRANSLATE(H4318,""EN"",""ES"")"),"MISCELÁNEAS")</f>
        <v>MISCELÁNEAS</v>
      </c>
      <c r="L4318" s="5" t="str">
        <f ca="1">IFERROR(__xludf.DUMMYFUNCTION("GOOGLETRANSLATE(J4318,""EN"",""ES"")"),"N / A")</f>
        <v>N / A</v>
      </c>
      <c r="M4318" s="8" t="s">
        <v>71</v>
      </c>
      <c r="N4318" s="8"/>
    </row>
    <row r="4319" spans="1:14" ht="11.25" customHeight="1">
      <c r="A4319" s="5" t="s">
        <v>12502</v>
      </c>
      <c r="B4319" s="5" t="s">
        <v>12503</v>
      </c>
      <c r="C4319" s="5" t="s">
        <v>12504</v>
      </c>
      <c r="D4319" s="5" t="s">
        <v>12505</v>
      </c>
      <c r="E4319" s="5" t="s">
        <v>12506</v>
      </c>
      <c r="F4319" s="5" t="s">
        <v>12507</v>
      </c>
      <c r="G4319" s="5" t="s">
        <v>152</v>
      </c>
      <c r="H4319" s="5" t="s">
        <v>12508</v>
      </c>
      <c r="I4319" s="5" t="s">
        <v>12509</v>
      </c>
      <c r="J4319" s="5" t="s">
        <v>12510</v>
      </c>
      <c r="K4319" s="7" t="str">
        <f ca="1">IFERROR(__xludf.DUMMYFUNCTION("GOOGLETRANSLATE(H4319,""EN"",""ES"")"),"ARMAS DE PROYECTIL")</f>
        <v>ARMAS DE PROYECTIL</v>
      </c>
      <c r="L4319" s="5" t="str">
        <f ca="1">IFERROR(__xludf.DUMMYFUNCTION("GOOGLETRANSLATE(J4319,""EN"",""ES"")"),"Tirachinas")</f>
        <v>Tirachinas</v>
      </c>
      <c r="M4319" s="8"/>
      <c r="N4319" s="8"/>
    </row>
    <row r="4320" spans="1:14" ht="11.25" customHeight="1">
      <c r="A4320" s="5" t="s">
        <v>12502</v>
      </c>
      <c r="B4320" s="5" t="s">
        <v>12503</v>
      </c>
      <c r="C4320" s="5" t="s">
        <v>12511</v>
      </c>
      <c r="D4320" s="5" t="s">
        <v>12505</v>
      </c>
      <c r="E4320" s="5" t="s">
        <v>12506</v>
      </c>
      <c r="F4320" s="5" t="s">
        <v>12507</v>
      </c>
      <c r="G4320" s="5" t="s">
        <v>152</v>
      </c>
      <c r="H4320" s="5" t="s">
        <v>12508</v>
      </c>
      <c r="I4320" s="5" t="s">
        <v>12512</v>
      </c>
      <c r="J4320" s="5" t="s">
        <v>12513</v>
      </c>
      <c r="K4320" s="7" t="str">
        <f ca="1">IFERROR(__xludf.DUMMYFUNCTION("GOOGLETRANSLATE(H4320,""EN"",""ES"")"),"ARMAS DE PROYECTIL")</f>
        <v>ARMAS DE PROYECTIL</v>
      </c>
      <c r="L4320" s="5" t="str">
        <f ca="1">IFERROR(__xludf.DUMMYFUNCTION("GOOGLETRANSLATE(J4320,""EN"",""ES"")"),"Carros de armas")</f>
        <v>Carros de armas</v>
      </c>
      <c r="M4320" s="8"/>
      <c r="N4320" s="8"/>
    </row>
    <row r="4321" spans="1:14" ht="11.25" customHeight="1">
      <c r="A4321" s="5" t="s">
        <v>12502</v>
      </c>
      <c r="B4321" s="5" t="s">
        <v>12503</v>
      </c>
      <c r="C4321" s="5" t="s">
        <v>12514</v>
      </c>
      <c r="D4321" s="5" t="s">
        <v>12505</v>
      </c>
      <c r="E4321" s="5" t="s">
        <v>12506</v>
      </c>
      <c r="F4321" s="5" t="s">
        <v>12507</v>
      </c>
      <c r="G4321" s="5" t="s">
        <v>152</v>
      </c>
      <c r="H4321" s="5" t="s">
        <v>12508</v>
      </c>
      <c r="I4321" s="5" t="s">
        <v>12515</v>
      </c>
      <c r="J4321" s="5" t="s">
        <v>12516</v>
      </c>
      <c r="K4321" s="7" t="str">
        <f ca="1">IFERROR(__xludf.DUMMYFUNCTION("GOOGLETRANSLATE(H4321,""EN"",""ES"")"),"ARMAS DE PROYECTIL")</f>
        <v>ARMAS DE PROYECTIL</v>
      </c>
      <c r="L4321" s="5" t="str">
        <f ca="1">IFERROR(__xludf.DUMMYFUNCTION("GOOGLETRANSLATE(J4321,""EN"",""ES"")"),"ballestas")</f>
        <v>ballestas</v>
      </c>
      <c r="M4321" s="8"/>
      <c r="N4321" s="8"/>
    </row>
    <row r="4322" spans="1:14" ht="11.25" customHeight="1">
      <c r="A4322" s="5" t="s">
        <v>12502</v>
      </c>
      <c r="B4322" s="5" t="s">
        <v>12503</v>
      </c>
      <c r="C4322" s="5" t="s">
        <v>12517</v>
      </c>
      <c r="D4322" s="5" t="s">
        <v>12505</v>
      </c>
      <c r="E4322" s="5" t="s">
        <v>12506</v>
      </c>
      <c r="F4322" s="5" t="s">
        <v>12507</v>
      </c>
      <c r="G4322" s="5" t="s">
        <v>152</v>
      </c>
      <c r="H4322" s="5" t="s">
        <v>12508</v>
      </c>
      <c r="I4322" s="5" t="s">
        <v>12518</v>
      </c>
      <c r="J4322" s="5" t="s">
        <v>12519</v>
      </c>
      <c r="K4322" s="7" t="str">
        <f ca="1">IFERROR(__xludf.DUMMYFUNCTION("GOOGLETRANSLATE(H4322,""EN"",""ES"")"),"ARMAS DE PROYECTIL")</f>
        <v>ARMAS DE PROYECTIL</v>
      </c>
      <c r="L4322" s="5" t="str">
        <f ca="1">IFERROR(__xludf.DUMMYFUNCTION("GOOGLETRANSLATE(J4322,""EN"",""ES"")"),"Fusiles para pesca submarina")</f>
        <v>Fusiles para pesca submarina</v>
      </c>
      <c r="M4322" s="8"/>
      <c r="N4322" s="8"/>
    </row>
    <row r="4323" spans="1:14" ht="11.25" customHeight="1">
      <c r="A4323" s="5" t="s">
        <v>12502</v>
      </c>
      <c r="B4323" s="5" t="s">
        <v>12503</v>
      </c>
      <c r="C4323" s="5" t="s">
        <v>12520</v>
      </c>
      <c r="D4323" s="5" t="s">
        <v>12505</v>
      </c>
      <c r="E4323" s="5" t="s">
        <v>12506</v>
      </c>
      <c r="F4323" s="5" t="s">
        <v>12507</v>
      </c>
      <c r="G4323" s="5" t="s">
        <v>152</v>
      </c>
      <c r="H4323" s="5" t="s">
        <v>12508</v>
      </c>
      <c r="I4323" s="5" t="s">
        <v>12521</v>
      </c>
      <c r="J4323" s="5" t="s">
        <v>12522</v>
      </c>
      <c r="K4323" s="7" t="str">
        <f ca="1">IFERROR(__xludf.DUMMYFUNCTION("GOOGLETRANSLATE(H4323,""EN"",""ES"")"),"ARMAS DE PROYECTIL")</f>
        <v>ARMAS DE PROYECTIL</v>
      </c>
      <c r="L4323" s="5" t="str">
        <f ca="1">IFERROR(__xludf.DUMMYFUNCTION("GOOGLETRANSLATE(J4323,""EN"",""ES"")"),"Arcos [tiro con arco]")</f>
        <v>Arcos [tiro con arco]</v>
      </c>
      <c r="M4323" s="8"/>
      <c r="N4323" s="8"/>
    </row>
    <row r="4324" spans="1:14" ht="11.25" customHeight="1">
      <c r="A4324" s="5" t="s">
        <v>12502</v>
      </c>
      <c r="B4324" s="5" t="s">
        <v>12503</v>
      </c>
      <c r="C4324" s="5" t="s">
        <v>12523</v>
      </c>
      <c r="D4324" s="5" t="s">
        <v>12505</v>
      </c>
      <c r="E4324" s="5" t="s">
        <v>12506</v>
      </c>
      <c r="F4324" s="5" t="s">
        <v>12507</v>
      </c>
      <c r="G4324" s="5" t="s">
        <v>152</v>
      </c>
      <c r="H4324" s="5" t="s">
        <v>12508</v>
      </c>
      <c r="I4324" s="5" t="s">
        <v>12524</v>
      </c>
      <c r="J4324" s="5" t="s">
        <v>12525</v>
      </c>
      <c r="K4324" s="7" t="str">
        <f ca="1">IFERROR(__xludf.DUMMYFUNCTION("GOOGLETRANSLATE(H4324,""EN"",""ES"")"),"ARMAS DE PROYECTIL")</f>
        <v>ARMAS DE PROYECTIL</v>
      </c>
      <c r="L4324" s="5" t="str">
        <f ca="1">IFERROR(__xludf.DUMMYFUNCTION("GOOGLETRANSLATE(J4324,""EN"",""ES"")"),"Armas de fuego")</f>
        <v>Armas de fuego</v>
      </c>
      <c r="M4324" s="8"/>
      <c r="N4324" s="8"/>
    </row>
    <row r="4325" spans="1:14" ht="11.25" customHeight="1">
      <c r="A4325" s="5" t="s">
        <v>12502</v>
      </c>
      <c r="B4325" s="5" t="s">
        <v>12503</v>
      </c>
      <c r="C4325" s="5" t="s">
        <v>12526</v>
      </c>
      <c r="D4325" s="5" t="s">
        <v>12505</v>
      </c>
      <c r="E4325" s="5" t="s">
        <v>12506</v>
      </c>
      <c r="F4325" s="5" t="s">
        <v>12507</v>
      </c>
      <c r="G4325" s="5" t="s">
        <v>152</v>
      </c>
      <c r="H4325" s="5" t="s">
        <v>12508</v>
      </c>
      <c r="I4325" s="5" t="s">
        <v>12527</v>
      </c>
      <c r="J4325" s="5" t="s">
        <v>12528</v>
      </c>
      <c r="K4325" s="7" t="str">
        <f ca="1">IFERROR(__xludf.DUMMYFUNCTION("GOOGLETRANSLATE(H4325,""EN"",""ES"")"),"ARMAS DE PROYECTIL")</f>
        <v>ARMAS DE PROYECTIL</v>
      </c>
      <c r="L4325" s="5" t="str">
        <f ca="1">IFERROR(__xludf.DUMMYFUNCTION("GOOGLETRANSLATE(J4325,""EN"",""ES"")"),"Cilindros de armas de fuego.")</f>
        <v>Cilindros de armas de fuego.</v>
      </c>
      <c r="M4325" s="8"/>
      <c r="N4325" s="8"/>
    </row>
    <row r="4326" spans="1:14" ht="11.25" customHeight="1">
      <c r="A4326" s="5" t="s">
        <v>12502</v>
      </c>
      <c r="B4326" s="5" t="s">
        <v>12503</v>
      </c>
      <c r="C4326" s="5" t="s">
        <v>12529</v>
      </c>
      <c r="D4326" s="5" t="s">
        <v>12505</v>
      </c>
      <c r="E4326" s="5" t="s">
        <v>12506</v>
      </c>
      <c r="F4326" s="5" t="s">
        <v>12507</v>
      </c>
      <c r="G4326" s="5" t="s">
        <v>152</v>
      </c>
      <c r="H4326" s="5" t="s">
        <v>12508</v>
      </c>
      <c r="I4326" s="5" t="s">
        <v>12530</v>
      </c>
      <c r="J4326" s="5" t="s">
        <v>12531</v>
      </c>
      <c r="K4326" s="7" t="str">
        <f ca="1">IFERROR(__xludf.DUMMYFUNCTION("GOOGLETRANSLATE(H4326,""EN"",""ES"")"),"ARMAS DE PROYECTIL")</f>
        <v>ARMAS DE PROYECTIL</v>
      </c>
      <c r="L4326" s="5" t="str">
        <f ca="1">IFERROR(__xludf.DUMMYFUNCTION("GOOGLETRANSLATE(J4326,""EN"",""ES"")"),"cañones de armas")</f>
        <v>cañones de armas</v>
      </c>
      <c r="M4326" s="8"/>
      <c r="N4326" s="8"/>
    </row>
    <row r="4327" spans="1:14" ht="11.25" customHeight="1">
      <c r="A4327" s="5" t="s">
        <v>12502</v>
      </c>
      <c r="B4327" s="5" t="s">
        <v>12503</v>
      </c>
      <c r="C4327" s="5" t="s">
        <v>12532</v>
      </c>
      <c r="D4327" s="5" t="s">
        <v>12505</v>
      </c>
      <c r="E4327" s="5" t="s">
        <v>12506</v>
      </c>
      <c r="F4327" s="5" t="s">
        <v>12507</v>
      </c>
      <c r="G4327" s="5" t="s">
        <v>152</v>
      </c>
      <c r="H4327" s="5" t="s">
        <v>12508</v>
      </c>
      <c r="I4327" s="5" t="s">
        <v>12533</v>
      </c>
      <c r="J4327" s="5" t="s">
        <v>12534</v>
      </c>
      <c r="K4327" s="7" t="str">
        <f ca="1">IFERROR(__xludf.DUMMYFUNCTION("GOOGLETRANSLATE(H4327,""EN"",""ES"")"),"ARMAS DE PROYECTIL")</f>
        <v>ARMAS DE PROYECTIL</v>
      </c>
      <c r="L4327" s="5" t="str">
        <f ca="1">IFERROR(__xludf.DUMMYFUNCTION("GOOGLETRANSLATE(J4327,""EN"",""ES"")"),"Armas de arpón")</f>
        <v>Armas de arpón</v>
      </c>
      <c r="M4327" s="8"/>
      <c r="N4327" s="8"/>
    </row>
    <row r="4328" spans="1:14" ht="11.25" customHeight="1">
      <c r="A4328" s="5" t="s">
        <v>12502</v>
      </c>
      <c r="B4328" s="5" t="s">
        <v>12503</v>
      </c>
      <c r="C4328" s="5" t="s">
        <v>12535</v>
      </c>
      <c r="D4328" s="5" t="s">
        <v>12505</v>
      </c>
      <c r="E4328" s="5" t="s">
        <v>12506</v>
      </c>
      <c r="F4328" s="5" t="s">
        <v>12507</v>
      </c>
      <c r="G4328" s="5" t="s">
        <v>152</v>
      </c>
      <c r="H4328" s="5" t="s">
        <v>12508</v>
      </c>
      <c r="I4328" s="5" t="s">
        <v>12536</v>
      </c>
      <c r="J4328" s="5" t="s">
        <v>12537</v>
      </c>
      <c r="K4328" s="7" t="str">
        <f ca="1">IFERROR(__xludf.DUMMYFUNCTION("GOOGLETRANSLATE(H4328,""EN"",""ES"")"),"ARMAS DE PROYECTIL")</f>
        <v>ARMAS DE PROYECTIL</v>
      </c>
      <c r="L4328" s="5" t="str">
        <f ca="1">IFERROR(__xludf.DUMMYFUNCTION("GOOGLETRANSLATE(J4328,""EN"",""ES"")"),"Pistolas antigranizo")</f>
        <v>Pistolas antigranizo</v>
      </c>
      <c r="M4328" s="8"/>
      <c r="N4328" s="8"/>
    </row>
    <row r="4329" spans="1:14" ht="11.25" customHeight="1">
      <c r="A4329" s="5" t="s">
        <v>12502</v>
      </c>
      <c r="B4329" s="5" t="s">
        <v>12503</v>
      </c>
      <c r="C4329" s="5" t="s">
        <v>12538</v>
      </c>
      <c r="D4329" s="5" t="s">
        <v>12505</v>
      </c>
      <c r="E4329" s="5" t="s">
        <v>12506</v>
      </c>
      <c r="F4329" s="5" t="s">
        <v>12507</v>
      </c>
      <c r="G4329" s="5" t="s">
        <v>152</v>
      </c>
      <c r="H4329" s="5" t="s">
        <v>12508</v>
      </c>
      <c r="I4329" s="5" t="s">
        <v>12539</v>
      </c>
      <c r="J4329" s="5" t="s">
        <v>12540</v>
      </c>
      <c r="K4329" s="7" t="str">
        <f ca="1">IFERROR(__xludf.DUMMYFUNCTION("GOOGLETRANSLATE(H4329,""EN"",""ES"")"),"ARMAS DE PROYECTIL")</f>
        <v>ARMAS DE PROYECTIL</v>
      </c>
      <c r="L4329" s="5" t="str">
        <f ca="1">IFERROR(__xludf.DUMMYFUNCTION("GOOGLETRANSLATE(J4329,""EN"",""ES"")"),"carabinas")</f>
        <v>carabinas</v>
      </c>
      <c r="M4329" s="8"/>
      <c r="N4329" s="8"/>
    </row>
    <row r="4330" spans="1:14" ht="11.25" customHeight="1">
      <c r="A4330" s="5" t="s">
        <v>12502</v>
      </c>
      <c r="B4330" s="5" t="s">
        <v>12503</v>
      </c>
      <c r="C4330" s="5" t="s">
        <v>12541</v>
      </c>
      <c r="D4330" s="5" t="s">
        <v>12505</v>
      </c>
      <c r="E4330" s="5" t="s">
        <v>12506</v>
      </c>
      <c r="F4330" s="5" t="s">
        <v>12507</v>
      </c>
      <c r="G4330" s="5" t="s">
        <v>152</v>
      </c>
      <c r="H4330" s="5" t="s">
        <v>12508</v>
      </c>
      <c r="I4330" s="5" t="s">
        <v>12542</v>
      </c>
      <c r="J4330" s="5" t="s">
        <v>12543</v>
      </c>
      <c r="K4330" s="7" t="str">
        <f ca="1">IFERROR(__xludf.DUMMYFUNCTION("GOOGLETRANSLATE(H4330,""EN"",""ES"")"),"ARMAS DE PROYECTIL")</f>
        <v>ARMAS DE PROYECTIL</v>
      </c>
      <c r="L4330" s="5" t="str">
        <f ca="1">IFERROR(__xludf.DUMMYFUNCTION("GOOGLETRANSLATE(J4330,""EN"",""ES"")"),"culatas de armas de fuego")</f>
        <v>culatas de armas de fuego</v>
      </c>
      <c r="M4330" s="8"/>
      <c r="N4330" s="8"/>
    </row>
    <row r="4331" spans="1:14" ht="11.25" customHeight="1">
      <c r="A4331" s="5" t="s">
        <v>12502</v>
      </c>
      <c r="B4331" s="5" t="s">
        <v>12503</v>
      </c>
      <c r="C4331" s="5" t="s">
        <v>12544</v>
      </c>
      <c r="D4331" s="5" t="s">
        <v>12505</v>
      </c>
      <c r="E4331" s="5" t="s">
        <v>12506</v>
      </c>
      <c r="F4331" s="5" t="s">
        <v>12507</v>
      </c>
      <c r="G4331" s="5" t="s">
        <v>152</v>
      </c>
      <c r="H4331" s="5" t="s">
        <v>12508</v>
      </c>
      <c r="I4331" s="5" t="s">
        <v>12545</v>
      </c>
      <c r="J4331" s="5" t="s">
        <v>12546</v>
      </c>
      <c r="K4331" s="7" t="str">
        <f ca="1">IFERROR(__xludf.DUMMYFUNCTION("GOOGLETRANSLATE(H4331,""EN"",""ES"")"),"ARMAS DE PROYECTIL")</f>
        <v>ARMAS DE PROYECTIL</v>
      </c>
      <c r="L4331" s="5" t="str">
        <f ca="1">IFERROR(__xludf.DUMMYFUNCTION("GOOGLETRANSLATE(J4331,""EN"",""ES"")"),"calzones de armas de fuego")</f>
        <v>calzones de armas de fuego</v>
      </c>
      <c r="M4331" s="8"/>
      <c r="N4331" s="8"/>
    </row>
    <row r="4332" spans="1:14" ht="11.25" customHeight="1">
      <c r="A4332" s="5" t="s">
        <v>12502</v>
      </c>
      <c r="B4332" s="5" t="s">
        <v>12503</v>
      </c>
      <c r="C4332" s="5" t="s">
        <v>12547</v>
      </c>
      <c r="D4332" s="5" t="s">
        <v>12505</v>
      </c>
      <c r="E4332" s="5" t="s">
        <v>12506</v>
      </c>
      <c r="F4332" s="5" t="s">
        <v>12507</v>
      </c>
      <c r="G4332" s="5" t="s">
        <v>152</v>
      </c>
      <c r="H4332" s="5" t="s">
        <v>12508</v>
      </c>
      <c r="I4332" s="5" t="s">
        <v>12548</v>
      </c>
      <c r="J4332" s="5" t="s">
        <v>12549</v>
      </c>
      <c r="K4332" s="7" t="str">
        <f ca="1">IFERROR(__xludf.DUMMYFUNCTION("GOOGLETRANSLATE(H4332,""EN"",""ES"")"),"ARMAS DE PROYECTIL")</f>
        <v>ARMAS DE PROYECTIL</v>
      </c>
      <c r="L4332" s="5" t="str">
        <f ca="1">IFERROR(__xludf.DUMMYFUNCTION("GOOGLETRANSLATE(J4332,""EN"",""ES"")"),"fusiles")</f>
        <v>fusiles</v>
      </c>
      <c r="M4332" s="8"/>
      <c r="N4332" s="8"/>
    </row>
    <row r="4333" spans="1:14" ht="11.25" customHeight="1">
      <c r="A4333" s="5" t="s">
        <v>12502</v>
      </c>
      <c r="B4333" s="5" t="s">
        <v>12503</v>
      </c>
      <c r="C4333" s="5" t="s">
        <v>12550</v>
      </c>
      <c r="D4333" s="5" t="s">
        <v>12505</v>
      </c>
      <c r="E4333" s="5" t="s">
        <v>12506</v>
      </c>
      <c r="F4333" s="5" t="s">
        <v>12507</v>
      </c>
      <c r="G4333" s="5" t="s">
        <v>152</v>
      </c>
      <c r="H4333" s="5" t="s">
        <v>12508</v>
      </c>
      <c r="I4333" s="5" t="s">
        <v>12551</v>
      </c>
      <c r="J4333" s="5" t="s">
        <v>12552</v>
      </c>
      <c r="K4333" s="7" t="str">
        <f ca="1">IFERROR(__xludf.DUMMYFUNCTION("GOOGLETRANSLATE(H4333,""EN"",""ES"")"),"ARMAS DE PROYECTIL")</f>
        <v>ARMAS DE PROYECTIL</v>
      </c>
      <c r="L4333" s="5" t="str">
        <f ca="1">IFERROR(__xludf.DUMMYFUNCTION("GOOGLETRANSLATE(J4333,""EN"",""ES"")"),"Armas para la pesca submarina.")</f>
        <v>Armas para la pesca submarina.</v>
      </c>
      <c r="M4333" s="8"/>
      <c r="N4333" s="8"/>
    </row>
    <row r="4334" spans="1:14" ht="11.25" customHeight="1">
      <c r="A4334" s="5" t="s">
        <v>12502</v>
      </c>
      <c r="B4334" s="5" t="s">
        <v>12503</v>
      </c>
      <c r="C4334" s="5" t="s">
        <v>12553</v>
      </c>
      <c r="D4334" s="5" t="s">
        <v>12505</v>
      </c>
      <c r="E4334" s="5" t="s">
        <v>12506</v>
      </c>
      <c r="F4334" s="5" t="s">
        <v>12507</v>
      </c>
      <c r="G4334" s="5" t="s">
        <v>152</v>
      </c>
      <c r="H4334" s="5" t="s">
        <v>12508</v>
      </c>
      <c r="I4334" s="5" t="s">
        <v>12554</v>
      </c>
      <c r="J4334" s="5" t="s">
        <v>12555</v>
      </c>
      <c r="K4334" s="7" t="str">
        <f ca="1">IFERROR(__xludf.DUMMYFUNCTION("GOOGLETRANSLATE(H4334,""EN"",""ES"")"),"ARMAS DE PROYECTIL")</f>
        <v>ARMAS DE PROYECTIL</v>
      </c>
      <c r="L4334" s="5" t="str">
        <f ca="1">IFERROR(__xludf.DUMMYFUNCTION("GOOGLETRANSLATE(J4334,""EN"",""ES"")"),"Gatillos para armas")</f>
        <v>Gatillos para armas</v>
      </c>
      <c r="M4334" s="8"/>
      <c r="N4334" s="8"/>
    </row>
    <row r="4335" spans="1:14" ht="11.25" customHeight="1">
      <c r="A4335" s="5" t="s">
        <v>12502</v>
      </c>
      <c r="B4335" s="5" t="s">
        <v>12503</v>
      </c>
      <c r="C4335" s="5" t="s">
        <v>12556</v>
      </c>
      <c r="D4335" s="5" t="s">
        <v>12505</v>
      </c>
      <c r="E4335" s="5" t="s">
        <v>12506</v>
      </c>
      <c r="F4335" s="5" t="s">
        <v>12507</v>
      </c>
      <c r="G4335" s="5" t="s">
        <v>152</v>
      </c>
      <c r="H4335" s="5" t="s">
        <v>12508</v>
      </c>
      <c r="I4335" s="5" t="s">
        <v>12557</v>
      </c>
      <c r="J4335" s="5" t="s">
        <v>12558</v>
      </c>
      <c r="K4335" s="7" t="str">
        <f ca="1">IFERROR(__xludf.DUMMYFUNCTION("GOOGLETRANSLATE(H4335,""EN"",""ES"")"),"ARMAS DE PROYECTIL")</f>
        <v>ARMAS DE PROYECTIL</v>
      </c>
      <c r="L4335" s="5" t="str">
        <f ca="1">IFERROR(__xludf.DUMMYFUNCTION("GOOGLETRANSLATE(J4335,""EN"",""ES"")"),"arpones")</f>
        <v>arpones</v>
      </c>
      <c r="M4335" s="8"/>
      <c r="N4335" s="8"/>
    </row>
    <row r="4336" spans="1:14" ht="11.25" customHeight="1">
      <c r="A4336" s="5" t="s">
        <v>12502</v>
      </c>
      <c r="B4336" s="5" t="s">
        <v>12503</v>
      </c>
      <c r="C4336" s="5" t="s">
        <v>12559</v>
      </c>
      <c r="D4336" s="5" t="s">
        <v>12505</v>
      </c>
      <c r="E4336" s="5" t="s">
        <v>12506</v>
      </c>
      <c r="F4336" s="5" t="s">
        <v>12507</v>
      </c>
      <c r="G4336" s="5" t="s">
        <v>152</v>
      </c>
      <c r="H4336" s="5" t="s">
        <v>12508</v>
      </c>
      <c r="I4336" s="5" t="s">
        <v>12560</v>
      </c>
      <c r="J4336" s="5" t="s">
        <v>12561</v>
      </c>
      <c r="K4336" s="7" t="str">
        <f ca="1">IFERROR(__xludf.DUMMYFUNCTION("GOOGLETRANSLATE(H4336,""EN"",""ES"")"),"ARMAS DE PROYECTIL")</f>
        <v>ARMAS DE PROYECTIL</v>
      </c>
      <c r="L4336" s="5" t="str">
        <f ca="1">IFERROR(__xludf.DUMMYFUNCTION("GOOGLETRANSLATE(J4336,""EN"",""ES"")"),"ametralladoras")</f>
        <v>ametralladoras</v>
      </c>
      <c r="M4336" s="8"/>
      <c r="N4336" s="8"/>
    </row>
    <row r="4337" spans="1:14" ht="11.25" customHeight="1">
      <c r="A4337" s="5" t="s">
        <v>12502</v>
      </c>
      <c r="B4337" s="5" t="s">
        <v>12503</v>
      </c>
      <c r="C4337" s="5" t="s">
        <v>12562</v>
      </c>
      <c r="D4337" s="5" t="s">
        <v>12505</v>
      </c>
      <c r="E4337" s="5" t="s">
        <v>12506</v>
      </c>
      <c r="F4337" s="5" t="s">
        <v>12507</v>
      </c>
      <c r="G4337" s="5" t="s">
        <v>152</v>
      </c>
      <c r="H4337" s="5" t="s">
        <v>12508</v>
      </c>
      <c r="I4337" s="5" t="s">
        <v>12563</v>
      </c>
      <c r="J4337" s="5" t="s">
        <v>12564</v>
      </c>
      <c r="K4337" s="7" t="str">
        <f ca="1">IFERROR(__xludf.DUMMYFUNCTION("GOOGLETRANSLATE(H4337,""EN"",""ES"")"),"ARMAS DE PROYECTIL")</f>
        <v>ARMAS DE PROYECTIL</v>
      </c>
      <c r="L4337" s="5" t="str">
        <f ca="1">IFERROR(__xludf.DUMMYFUNCTION("GOOGLETRANSLATE(J4337,""EN"",""ES"")"),"Obuses")</f>
        <v>Obuses</v>
      </c>
      <c r="M4337" s="8"/>
      <c r="N4337" s="8"/>
    </row>
    <row r="4338" spans="1:14" ht="11.25" customHeight="1">
      <c r="A4338" s="5" t="s">
        <v>12502</v>
      </c>
      <c r="B4338" s="5" t="s">
        <v>12503</v>
      </c>
      <c r="C4338" s="5" t="s">
        <v>12565</v>
      </c>
      <c r="D4338" s="5" t="s">
        <v>12505</v>
      </c>
      <c r="E4338" s="5" t="s">
        <v>12506</v>
      </c>
      <c r="F4338" s="5" t="s">
        <v>12507</v>
      </c>
      <c r="G4338" s="5" t="s">
        <v>152</v>
      </c>
      <c r="H4338" s="5" t="s">
        <v>12508</v>
      </c>
      <c r="I4338" s="5" t="s">
        <v>12566</v>
      </c>
      <c r="J4338" s="5" t="s">
        <v>12567</v>
      </c>
      <c r="K4338" s="7" t="str">
        <f ca="1">IFERROR(__xludf.DUMMYFUNCTION("GOOGLETRANSLATE(H4338,""EN"",""ES"")"),"ARMAS DE PROYECTIL")</f>
        <v>ARMAS DE PROYECTIL</v>
      </c>
      <c r="L4338" s="5" t="str">
        <f ca="1">IFERROR(__xludf.DUMMYFUNCTION("GOOGLETRANSLATE(J4338,""EN"",""ES"")"),"pistolas")</f>
        <v>pistolas</v>
      </c>
      <c r="M4338" s="8"/>
      <c r="N4338" s="8"/>
    </row>
    <row r="4339" spans="1:14" ht="11.25" customHeight="1">
      <c r="A4339" s="5" t="s">
        <v>12502</v>
      </c>
      <c r="B4339" s="5" t="s">
        <v>12503</v>
      </c>
      <c r="C4339" s="5" t="s">
        <v>12568</v>
      </c>
      <c r="D4339" s="5" t="s">
        <v>12505</v>
      </c>
      <c r="E4339" s="5" t="s">
        <v>12506</v>
      </c>
      <c r="F4339" s="5" t="s">
        <v>12507</v>
      </c>
      <c r="G4339" s="5" t="s">
        <v>152</v>
      </c>
      <c r="H4339" s="5" t="s">
        <v>12508</v>
      </c>
      <c r="I4339" s="5" t="s">
        <v>12569</v>
      </c>
      <c r="J4339" s="5" t="s">
        <v>12569</v>
      </c>
      <c r="K4339" s="7" t="str">
        <f ca="1">IFERROR(__xludf.DUMMYFUNCTION("GOOGLETRANSLATE(H4339,""EN"",""ES"")"),"ARMAS DE PROYECTIL")</f>
        <v>ARMAS DE PROYECTIL</v>
      </c>
      <c r="L4339" s="5" t="str">
        <f ca="1">IFERROR(__xludf.DUMMYFUNCTION("GOOGLETRANSLATE(J4339,""EN"",""ES"")"),"revólveres")</f>
        <v>revólveres</v>
      </c>
      <c r="M4339" s="8"/>
      <c r="N4339" s="8"/>
    </row>
    <row r="4340" spans="1:14" ht="11.25" customHeight="1">
      <c r="A4340" s="5" t="s">
        <v>12502</v>
      </c>
      <c r="B4340" s="5" t="s">
        <v>12503</v>
      </c>
      <c r="C4340" s="5" t="s">
        <v>12570</v>
      </c>
      <c r="D4340" s="5" t="s">
        <v>12505</v>
      </c>
      <c r="E4340" s="5" t="s">
        <v>12506</v>
      </c>
      <c r="F4340" s="5" t="s">
        <v>12507</v>
      </c>
      <c r="G4340" s="5" t="s">
        <v>152</v>
      </c>
      <c r="H4340" s="5" t="s">
        <v>12508</v>
      </c>
      <c r="I4340" s="5" t="s">
        <v>12571</v>
      </c>
      <c r="J4340" s="5" t="s">
        <v>12572</v>
      </c>
      <c r="K4340" s="7" t="str">
        <f ca="1">IFERROR(__xludf.DUMMYFUNCTION("GOOGLETRANSLATE(H4340,""EN"",""ES"")"),"ARMAS DE PROYECTIL")</f>
        <v>ARMAS DE PROYECTIL</v>
      </c>
      <c r="L4340" s="5" t="str">
        <f ca="1">IFERROR(__xludf.DUMMYFUNCTION("GOOGLETRANSLATE(J4340,""EN"",""ES"")"),"Eslingas para armas de fuego")</f>
        <v>Eslingas para armas de fuego</v>
      </c>
      <c r="M4340" s="8"/>
      <c r="N4340" s="8"/>
    </row>
    <row r="4341" spans="1:14" ht="11.25" customHeight="1">
      <c r="A4341" s="5" t="s">
        <v>12502</v>
      </c>
      <c r="B4341" s="5" t="s">
        <v>12503</v>
      </c>
      <c r="C4341" s="5" t="s">
        <v>12573</v>
      </c>
      <c r="D4341" s="5" t="s">
        <v>12505</v>
      </c>
      <c r="E4341" s="5" t="s">
        <v>12506</v>
      </c>
      <c r="F4341" s="5" t="s">
        <v>12507</v>
      </c>
      <c r="G4341" s="5" t="s">
        <v>152</v>
      </c>
      <c r="H4341" s="5" t="s">
        <v>12508</v>
      </c>
      <c r="I4341" s="5" t="s">
        <v>12574</v>
      </c>
      <c r="J4341" s="5" t="s">
        <v>12575</v>
      </c>
      <c r="K4341" s="7" t="str">
        <f ca="1">IFERROR(__xludf.DUMMYFUNCTION("GOOGLETRANSLATE(H4341,""EN"",""ES"")"),"ARMAS DE PROYECTIL")</f>
        <v>ARMAS DE PROYECTIL</v>
      </c>
      <c r="L4341" s="5" t="str">
        <f ca="1">IFERROR(__xludf.DUMMYFUNCTION("GOOGLETRANSLATE(J4341,""EN"",""ES"")"),"Reposa armas")</f>
        <v>Reposa armas</v>
      </c>
      <c r="M4341" s="8"/>
      <c r="N4341" s="8"/>
    </row>
    <row r="4342" spans="1:14" ht="11.25" customHeight="1">
      <c r="A4342" s="5" t="s">
        <v>12502</v>
      </c>
      <c r="B4342" s="5" t="s">
        <v>12503</v>
      </c>
      <c r="C4342" s="5" t="s">
        <v>12576</v>
      </c>
      <c r="D4342" s="5" t="s">
        <v>12505</v>
      </c>
      <c r="E4342" s="5" t="s">
        <v>12506</v>
      </c>
      <c r="F4342" s="5" t="s">
        <v>12507</v>
      </c>
      <c r="G4342" s="5" t="s">
        <v>152</v>
      </c>
      <c r="H4342" s="5" t="s">
        <v>12508</v>
      </c>
      <c r="I4342" s="5" t="s">
        <v>12577</v>
      </c>
      <c r="J4342" s="5" t="s">
        <v>12578</v>
      </c>
      <c r="K4342" s="7" t="str">
        <f ca="1">IFERROR(__xludf.DUMMYFUNCTION("GOOGLETRANSLATE(H4342,""EN"",""ES"")"),"ARMAS DE PROYECTIL")</f>
        <v>ARMAS DE PROYECTIL</v>
      </c>
      <c r="L4342" s="5" t="str">
        <f ca="1">IFERROR(__xludf.DUMMYFUNCTION("GOOGLETRANSLATE(J4342,""EN"",""ES"")"),"armas")</f>
        <v>armas</v>
      </c>
      <c r="M4342" s="8"/>
      <c r="N4342" s="8"/>
    </row>
    <row r="4343" spans="1:14" ht="11.25" customHeight="1">
      <c r="A4343" s="5" t="s">
        <v>12502</v>
      </c>
      <c r="B4343" s="5" t="s">
        <v>12503</v>
      </c>
      <c r="C4343" s="5" t="s">
        <v>12576</v>
      </c>
      <c r="D4343" s="5" t="s">
        <v>12505</v>
      </c>
      <c r="E4343" s="5" t="s">
        <v>12506</v>
      </c>
      <c r="F4343" s="5" t="s">
        <v>12507</v>
      </c>
      <c r="G4343" s="5" t="s">
        <v>152</v>
      </c>
      <c r="H4343" s="5" t="s">
        <v>12508</v>
      </c>
      <c r="I4343" s="5" t="s">
        <v>12579</v>
      </c>
      <c r="J4343" s="5" t="s">
        <v>152</v>
      </c>
      <c r="K4343" s="7" t="str">
        <f ca="1">IFERROR(__xludf.DUMMYFUNCTION("GOOGLETRANSLATE(H4343,""EN"",""ES"")"),"ARMAS DE PROYECTIL")</f>
        <v>ARMAS DE PROYECTIL</v>
      </c>
      <c r="L4343" s="5" t="str">
        <f ca="1">IFERROR(__xludf.DUMMYFUNCTION("GOOGLETRANSLATE(J4343,""EN"",""ES"")"),"cañones")</f>
        <v>cañones</v>
      </c>
      <c r="M4343" s="8"/>
      <c r="N4343" s="8"/>
    </row>
    <row r="4344" spans="1:14" ht="11.25" customHeight="1">
      <c r="A4344" s="5" t="s">
        <v>12502</v>
      </c>
      <c r="B4344" s="5" t="s">
        <v>12503</v>
      </c>
      <c r="C4344" s="5" t="s">
        <v>12580</v>
      </c>
      <c r="D4344" s="5" t="s">
        <v>12505</v>
      </c>
      <c r="E4344" s="5" t="s">
        <v>12506</v>
      </c>
      <c r="F4344" s="5" t="s">
        <v>12507</v>
      </c>
      <c r="G4344" s="5" t="s">
        <v>152</v>
      </c>
      <c r="H4344" s="5" t="s">
        <v>12508</v>
      </c>
      <c r="I4344" s="5" t="s">
        <v>12581</v>
      </c>
      <c r="J4344" s="5" t="s">
        <v>12582</v>
      </c>
      <c r="K4344" s="7" t="str">
        <f ca="1">IFERROR(__xludf.DUMMYFUNCTION("GOOGLETRANSLATE(H4344,""EN"",""ES"")"),"ARMAS DE PROYECTIL")</f>
        <v>ARMAS DE PROYECTIL</v>
      </c>
      <c r="L4344" s="5" t="str">
        <f ca="1">IFERROR(__xludf.DUMMYFUNCTION("GOOGLETRANSLATE(J4344,""EN"",""ES"")"),"pistolas de aire comprimido")</f>
        <v>pistolas de aire comprimido</v>
      </c>
      <c r="M4344" s="8"/>
      <c r="N4344" s="8"/>
    </row>
    <row r="4345" spans="1:14" ht="11.25" customHeight="1">
      <c r="A4345" s="5" t="s">
        <v>12502</v>
      </c>
      <c r="B4345" s="5" t="s">
        <v>12503</v>
      </c>
      <c r="C4345" s="5" t="s">
        <v>12583</v>
      </c>
      <c r="D4345" s="5" t="s">
        <v>12505</v>
      </c>
      <c r="E4345" s="5" t="s">
        <v>12506</v>
      </c>
      <c r="F4345" s="5" t="s">
        <v>12507</v>
      </c>
      <c r="G4345" s="5" t="s">
        <v>152</v>
      </c>
      <c r="H4345" s="5" t="s">
        <v>12508</v>
      </c>
      <c r="I4345" s="5" t="s">
        <v>12584</v>
      </c>
      <c r="J4345" s="5" t="s">
        <v>12585</v>
      </c>
      <c r="K4345" s="7" t="str">
        <f ca="1">IFERROR(__xludf.DUMMYFUNCTION("GOOGLETRANSLATE(H4345,""EN"",""ES"")"),"ARMAS DE PROYECTIL")</f>
        <v>ARMAS DE PROYECTIL</v>
      </c>
      <c r="L4345" s="5" t="str">
        <f ca="1">IFERROR(__xludf.DUMMYFUNCTION("GOOGLETRANSLATE(J4345,""EN"",""ES"")"),"Escudos para escopetas")</f>
        <v>Escudos para escopetas</v>
      </c>
      <c r="M4345" s="8"/>
      <c r="N4345" s="8"/>
    </row>
    <row r="4346" spans="1:14" ht="11.25" customHeight="1">
      <c r="A4346" s="5" t="s">
        <v>12502</v>
      </c>
      <c r="B4346" s="5" t="s">
        <v>12503</v>
      </c>
      <c r="C4346" s="5" t="s">
        <v>12586</v>
      </c>
      <c r="D4346" s="5" t="s">
        <v>12505</v>
      </c>
      <c r="E4346" s="5" t="s">
        <v>12506</v>
      </c>
      <c r="F4346" s="5" t="s">
        <v>12507</v>
      </c>
      <c r="G4346" s="5" t="s">
        <v>152</v>
      </c>
      <c r="H4346" s="5" t="s">
        <v>12508</v>
      </c>
      <c r="I4346" s="5" t="s">
        <v>12587</v>
      </c>
      <c r="J4346" s="5" t="s">
        <v>12588</v>
      </c>
      <c r="K4346" s="7" t="str">
        <f ca="1">IFERROR(__xludf.DUMMYFUNCTION("GOOGLETRANSLATE(H4346,""EN"",""ES"")"),"ARMAS DE PROYECTIL")</f>
        <v>ARMAS DE PROYECTIL</v>
      </c>
      <c r="L4346" s="5" t="str">
        <f ca="1">IFERROR(__xludf.DUMMYFUNCTION("GOOGLETRANSLATE(J4346,""EN"",""ES"")"),"Cargadores de rifle")</f>
        <v>Cargadores de rifle</v>
      </c>
      <c r="M4346" s="8"/>
      <c r="N4346" s="8"/>
    </row>
    <row r="4347" spans="1:14" ht="11.25" customHeight="1">
      <c r="A4347" s="5" t="s">
        <v>12502</v>
      </c>
      <c r="B4347" s="5" t="s">
        <v>12503</v>
      </c>
      <c r="C4347" s="5" t="s">
        <v>12589</v>
      </c>
      <c r="D4347" s="5" t="s">
        <v>12505</v>
      </c>
      <c r="E4347" s="5" t="s">
        <v>12506</v>
      </c>
      <c r="F4347" s="5" t="s">
        <v>12507</v>
      </c>
      <c r="G4347" s="5" t="s">
        <v>152</v>
      </c>
      <c r="H4347" s="5" t="s">
        <v>12508</v>
      </c>
      <c r="I4347" s="5" t="s">
        <v>12590</v>
      </c>
      <c r="J4347" s="5" t="s">
        <v>12591</v>
      </c>
      <c r="K4347" s="7" t="str">
        <f ca="1">IFERROR(__xludf.DUMMYFUNCTION("GOOGLETRANSLATE(H4347,""EN"",""ES"")"),"ARMAS DE PROYECTIL")</f>
        <v>ARMAS DE PROYECTIL</v>
      </c>
      <c r="L4347" s="5" t="str">
        <f ca="1">IFERROR(__xludf.DUMMYFUNCTION("GOOGLETRANSLATE(J4347,""EN"",""ES"")"),"Silenciadores de armas")</f>
        <v>Silenciadores de armas</v>
      </c>
      <c r="M4347" s="8"/>
      <c r="N4347" s="8"/>
    </row>
    <row r="4348" spans="1:14" ht="11.25" customHeight="1">
      <c r="A4348" s="5" t="s">
        <v>12502</v>
      </c>
      <c r="B4348" s="5" t="s">
        <v>12503</v>
      </c>
      <c r="C4348" s="5" t="s">
        <v>12592</v>
      </c>
      <c r="D4348" s="5" t="s">
        <v>12505</v>
      </c>
      <c r="E4348" s="5" t="s">
        <v>12506</v>
      </c>
      <c r="F4348" s="5" t="s">
        <v>12507</v>
      </c>
      <c r="G4348" s="5" t="s">
        <v>152</v>
      </c>
      <c r="H4348" s="5" t="s">
        <v>12508</v>
      </c>
      <c r="I4348" s="5" t="s">
        <v>12593</v>
      </c>
      <c r="J4348" s="5" t="s">
        <v>12594</v>
      </c>
      <c r="K4348" s="7" t="str">
        <f ca="1">IFERROR(__xludf.DUMMYFUNCTION("GOOGLETRANSLATE(H4348,""EN"",""ES"")"),"ARMAS DE PROYECTIL")</f>
        <v>ARMAS DE PROYECTIL</v>
      </c>
      <c r="L4348" s="5" t="str">
        <f ca="1">IFERROR(__xludf.DUMMYFUNCTION("GOOGLETRANSLATE(J4348,""EN"",""ES"")"),"Pistolas de advertencia para protegerse contra intrusos")</f>
        <v>Pistolas de advertencia para protegerse contra intrusos</v>
      </c>
      <c r="M4348" s="8"/>
      <c r="N4348" s="8"/>
    </row>
    <row r="4349" spans="1:14" ht="11.25" customHeight="1">
      <c r="A4349" s="5" t="s">
        <v>12502</v>
      </c>
      <c r="B4349" s="5" t="s">
        <v>12503</v>
      </c>
      <c r="C4349" s="5" t="s">
        <v>12595</v>
      </c>
      <c r="D4349" s="5" t="s">
        <v>12505</v>
      </c>
      <c r="E4349" s="5" t="s">
        <v>12506</v>
      </c>
      <c r="F4349" s="5" t="s">
        <v>12507</v>
      </c>
      <c r="G4349" s="5" t="s">
        <v>152</v>
      </c>
      <c r="H4349" s="5" t="s">
        <v>12508</v>
      </c>
      <c r="I4349" s="5" t="s">
        <v>12596</v>
      </c>
      <c r="J4349" s="5" t="s">
        <v>12597</v>
      </c>
      <c r="K4349" s="7" t="str">
        <f ca="1">IFERROR(__xludf.DUMMYFUNCTION("GOOGLETRANSLATE(H4349,""EN"",""ES"")"),"ARMAS DE PROYECTIL")</f>
        <v>ARMAS DE PROYECTIL</v>
      </c>
      <c r="L4349" s="5" t="str">
        <f ca="1">IFERROR(__xludf.DUMMYFUNCTION("GOOGLETRANSLATE(J4349,""EN"",""ES"")"),"Subfusiles")</f>
        <v>Subfusiles</v>
      </c>
      <c r="M4349" s="8"/>
      <c r="N4349" s="8"/>
    </row>
    <row r="4350" spans="1:14" ht="11.25" customHeight="1">
      <c r="A4350" s="5" t="s">
        <v>12502</v>
      </c>
      <c r="B4350" s="5" t="s">
        <v>12503</v>
      </c>
      <c r="C4350" s="5" t="s">
        <v>12598</v>
      </c>
      <c r="D4350" s="5" t="s">
        <v>12505</v>
      </c>
      <c r="E4350" s="5" t="s">
        <v>12506</v>
      </c>
      <c r="F4350" s="5" t="s">
        <v>12507</v>
      </c>
      <c r="G4350" s="5" t="s">
        <v>152</v>
      </c>
      <c r="H4350" s="5" t="s">
        <v>12508</v>
      </c>
      <c r="I4350" s="5" t="s">
        <v>12599</v>
      </c>
      <c r="J4350" s="5" t="s">
        <v>12600</v>
      </c>
      <c r="K4350" s="7" t="str">
        <f ca="1">IFERROR(__xludf.DUMMYFUNCTION("GOOGLETRANSLATE(H4350,""EN"",""ES"")"),"ARMAS DE PROYECTIL")</f>
        <v>ARMAS DE PROYECTIL</v>
      </c>
      <c r="L4350" s="5" t="str">
        <f ca="1">IFERROR(__xludf.DUMMYFUNCTION("GOOGLETRANSLATE(J4350,""EN"",""ES"")"),"Clips para cartuchos de armas de fuego.")</f>
        <v>Clips para cartuchos de armas de fuego.</v>
      </c>
      <c r="M4350" s="8"/>
      <c r="N4350" s="8"/>
    </row>
    <row r="4351" spans="1:14" ht="11.25" customHeight="1">
      <c r="A4351" s="5" t="s">
        <v>12502</v>
      </c>
      <c r="B4351" s="5" t="s">
        <v>12601</v>
      </c>
      <c r="C4351" s="5" t="s">
        <v>12602</v>
      </c>
      <c r="D4351" s="5" t="s">
        <v>12505</v>
      </c>
      <c r="E4351" s="5" t="s">
        <v>12506</v>
      </c>
      <c r="F4351" s="5" t="s">
        <v>12507</v>
      </c>
      <c r="G4351" s="5" t="s">
        <v>152</v>
      </c>
      <c r="H4351" s="5" t="s">
        <v>12603</v>
      </c>
      <c r="I4351" s="5" t="s">
        <v>12604</v>
      </c>
      <c r="J4351" s="5" t="s">
        <v>12605</v>
      </c>
      <c r="K4351" s="7" t="str">
        <f ca="1">IFERROR(__xludf.DUMMYFUNCTION("GOOGLETRANSLATE(H4351,""EN"",""ES"")"),"OTRAS ARMAS")</f>
        <v>OTRAS ARMAS</v>
      </c>
      <c r="L4351" s="5" t="str">
        <f ca="1">IFERROR(__xludf.DUMMYFUNCTION("GOOGLETRANSLATE(J4351,""EN"",""ES"")"),"Armas blancas")</f>
        <v>Armas blancas</v>
      </c>
      <c r="M4351" s="8"/>
      <c r="N4351" s="8"/>
    </row>
    <row r="4352" spans="1:14" ht="11.25" customHeight="1">
      <c r="A4352" s="5" t="s">
        <v>12502</v>
      </c>
      <c r="B4352" s="5" t="s">
        <v>12601</v>
      </c>
      <c r="C4352" s="5" t="s">
        <v>12606</v>
      </c>
      <c r="D4352" s="5" t="s">
        <v>12505</v>
      </c>
      <c r="E4352" s="5" t="s">
        <v>12506</v>
      </c>
      <c r="F4352" s="5" t="s">
        <v>12507</v>
      </c>
      <c r="G4352" s="5" t="s">
        <v>152</v>
      </c>
      <c r="H4352" s="5" t="s">
        <v>12603</v>
      </c>
      <c r="I4352" s="5" t="s">
        <v>12607</v>
      </c>
      <c r="J4352" s="5" t="s">
        <v>12608</v>
      </c>
      <c r="K4352" s="7" t="str">
        <f ca="1">IFERROR(__xludf.DUMMYFUNCTION("GOOGLETRANSLATE(H4352,""EN"",""ES"")"),"OTRAS ARMAS")</f>
        <v>OTRAS ARMAS</v>
      </c>
      <c r="L4352" s="5" t="str">
        <f ca="1">IFERROR(__xludf.DUMMYFUNCTION("GOOGLETRANSLATE(J4352,""EN"",""ES"")"),"bayonetas")</f>
        <v>bayonetas</v>
      </c>
      <c r="M4352" s="8"/>
      <c r="N4352" s="8"/>
    </row>
    <row r="4353" spans="1:14" ht="11.25" customHeight="1">
      <c r="A4353" s="5" t="s">
        <v>12502</v>
      </c>
      <c r="B4353" s="5" t="s">
        <v>12601</v>
      </c>
      <c r="C4353" s="5" t="s">
        <v>12609</v>
      </c>
      <c r="D4353" s="5" t="s">
        <v>12505</v>
      </c>
      <c r="E4353" s="5" t="s">
        <v>12506</v>
      </c>
      <c r="F4353" s="5" t="s">
        <v>12507</v>
      </c>
      <c r="G4353" s="5" t="s">
        <v>152</v>
      </c>
      <c r="H4353" s="5" t="s">
        <v>12603</v>
      </c>
      <c r="I4353" s="5" t="s">
        <v>12610</v>
      </c>
      <c r="J4353" s="5" t="s">
        <v>12610</v>
      </c>
      <c r="K4353" s="7" t="str">
        <f ca="1">IFERROR(__xludf.DUMMYFUNCTION("GOOGLETRANSLATE(H4353,""EN"",""ES"")"),"OTRAS ARMAS")</f>
        <v>OTRAS ARMAS</v>
      </c>
      <c r="L4353" s="5" t="str">
        <f ca="1">IFERROR(__xludf.DUMMYFUNCTION("GOOGLETRANSLATE(J4353,""EN"",""ES"")"),"bumeranes")</f>
        <v>bumeranes</v>
      </c>
      <c r="M4353" s="8"/>
      <c r="N4353" s="8"/>
    </row>
    <row r="4354" spans="1:14" ht="11.25" customHeight="1">
      <c r="A4354" s="5" t="s">
        <v>12502</v>
      </c>
      <c r="B4354" s="5" t="s">
        <v>12601</v>
      </c>
      <c r="C4354" s="5" t="s">
        <v>12611</v>
      </c>
      <c r="D4354" s="5" t="s">
        <v>12505</v>
      </c>
      <c r="E4354" s="5" t="s">
        <v>12506</v>
      </c>
      <c r="F4354" s="5" t="s">
        <v>12507</v>
      </c>
      <c r="G4354" s="5" t="s">
        <v>152</v>
      </c>
      <c r="H4354" s="5" t="s">
        <v>12603</v>
      </c>
      <c r="I4354" s="5" t="s">
        <v>12612</v>
      </c>
      <c r="J4354" s="5" t="s">
        <v>12613</v>
      </c>
      <c r="K4354" s="7" t="str">
        <f ca="1">IFERROR(__xludf.DUMMYFUNCTION("GOOGLETRANSLATE(H4354,""EN"",""ES"")"),"OTRAS ARMAS")</f>
        <v>OTRAS ARMAS</v>
      </c>
      <c r="L4354" s="5" t="str">
        <f ca="1">IFERROR(__xludf.DUMMYFUNCTION("GOOGLETRANSLATE(J4354,""EN"",""ES"")"),"Consejos para el florete de esgrima")</f>
        <v>Consejos para el florete de esgrima</v>
      </c>
      <c r="M4354" s="8"/>
      <c r="N4354" s="8"/>
    </row>
    <row r="4355" spans="1:14" ht="11.25" customHeight="1">
      <c r="A4355" s="5" t="s">
        <v>12502</v>
      </c>
      <c r="B4355" s="5" t="s">
        <v>12601</v>
      </c>
      <c r="C4355" s="5" t="s">
        <v>12614</v>
      </c>
      <c r="D4355" s="5" t="s">
        <v>12505</v>
      </c>
      <c r="E4355" s="5" t="s">
        <v>12506</v>
      </c>
      <c r="F4355" s="5" t="s">
        <v>12507</v>
      </c>
      <c r="G4355" s="5" t="s">
        <v>152</v>
      </c>
      <c r="H4355" s="5" t="s">
        <v>12603</v>
      </c>
      <c r="I4355" s="5" t="s">
        <v>12615</v>
      </c>
      <c r="J4355" s="5" t="s">
        <v>12616</v>
      </c>
      <c r="K4355" s="7" t="str">
        <f ca="1">IFERROR(__xludf.DUMMYFUNCTION("GOOGLETRANSLATE(H4355,""EN"",""ES"")"),"OTRAS ARMAS")</f>
        <v>OTRAS ARMAS</v>
      </c>
      <c r="L4355" s="5" t="str">
        <f ca="1">IFERROR(__xludf.DUMMYFUNCTION("GOOGLETRANSLATE(J4355,""EN"",""ES"")"),"nudillos de bronce")</f>
        <v>nudillos de bronce</v>
      </c>
      <c r="M4355" s="8"/>
      <c r="N4355" s="8"/>
    </row>
    <row r="4356" spans="1:14" ht="11.25" customHeight="1">
      <c r="A4356" s="5" t="s">
        <v>12502</v>
      </c>
      <c r="B4356" s="5" t="s">
        <v>12601</v>
      </c>
      <c r="C4356" s="5" t="s">
        <v>12617</v>
      </c>
      <c r="D4356" s="5" t="s">
        <v>12505</v>
      </c>
      <c r="E4356" s="5" t="s">
        <v>12506</v>
      </c>
      <c r="F4356" s="5" t="s">
        <v>12507</v>
      </c>
      <c r="G4356" s="5" t="s">
        <v>152</v>
      </c>
      <c r="H4356" s="5" t="s">
        <v>12603</v>
      </c>
      <c r="I4356" s="5" t="s">
        <v>12618</v>
      </c>
      <c r="J4356" s="5" t="s">
        <v>12619</v>
      </c>
      <c r="K4356" s="7" t="str">
        <f ca="1">IFERROR(__xludf.DUMMYFUNCTION("GOOGLETRANSLATE(H4356,""EN"",""ES"")"),"OTRAS ARMAS")</f>
        <v>OTRAS ARMAS</v>
      </c>
      <c r="L4356" s="5" t="str">
        <f ca="1">IFERROR(__xludf.DUMMYFUNCTION("GOOGLETRANSLATE(J4356,""EN"",""ES"")"),"espadas")</f>
        <v>espadas</v>
      </c>
      <c r="M4356" s="8"/>
      <c r="N4356" s="8"/>
    </row>
    <row r="4357" spans="1:14" ht="11.25" customHeight="1">
      <c r="A4357" s="5" t="s">
        <v>12502</v>
      </c>
      <c r="B4357" s="5" t="s">
        <v>12601</v>
      </c>
      <c r="C4357" s="5" t="s">
        <v>12620</v>
      </c>
      <c r="D4357" s="5" t="s">
        <v>12505</v>
      </c>
      <c r="E4357" s="5" t="s">
        <v>12506</v>
      </c>
      <c r="F4357" s="5" t="s">
        <v>12507</v>
      </c>
      <c r="G4357" s="5" t="s">
        <v>152</v>
      </c>
      <c r="H4357" s="5" t="s">
        <v>12603</v>
      </c>
      <c r="I4357" s="5" t="s">
        <v>12621</v>
      </c>
      <c r="J4357" s="5" t="s">
        <v>12622</v>
      </c>
      <c r="K4357" s="7" t="str">
        <f ca="1">IFERROR(__xludf.DUMMYFUNCTION("GOOGLETRANSLATE(H4357,""EN"",""ES"")"),"OTRAS ARMAS")</f>
        <v>OTRAS ARMAS</v>
      </c>
      <c r="L4357" s="5" t="str">
        <f ca="1">IFERROR(__xludf.DUMMYFUNCTION("GOOGLETRANSLATE(J4357,""EN"",""ES"")"),"floretes de esgrima")</f>
        <v>floretes de esgrima</v>
      </c>
      <c r="M4357" s="8"/>
      <c r="N4357" s="8"/>
    </row>
    <row r="4358" spans="1:14" ht="11.25" customHeight="1">
      <c r="A4358" s="5" t="s">
        <v>12502</v>
      </c>
      <c r="B4358" s="5" t="s">
        <v>12601</v>
      </c>
      <c r="C4358" s="5" t="s">
        <v>12623</v>
      </c>
      <c r="D4358" s="5" t="s">
        <v>12505</v>
      </c>
      <c r="E4358" s="5" t="s">
        <v>12506</v>
      </c>
      <c r="F4358" s="5" t="s">
        <v>12507</v>
      </c>
      <c r="G4358" s="5" t="s">
        <v>152</v>
      </c>
      <c r="H4358" s="5" t="s">
        <v>12603</v>
      </c>
      <c r="I4358" s="5" t="s">
        <v>12624</v>
      </c>
      <c r="J4358" s="5" t="s">
        <v>12625</v>
      </c>
      <c r="K4358" s="7" t="str">
        <f ca="1">IFERROR(__xludf.DUMMYFUNCTION("GOOGLETRANSLATE(H4358,""EN"",""ES"")"),"OTRAS ARMAS")</f>
        <v>OTRAS ARMAS</v>
      </c>
      <c r="L4358" s="5" t="str">
        <f ca="1">IFERROR(__xludf.DUMMYFUNCTION("GOOGLETRANSLATE(J4358,""EN"",""ES"")"),"porras")</f>
        <v>porras</v>
      </c>
      <c r="M4358" s="8"/>
      <c r="N4358" s="8"/>
    </row>
    <row r="4359" spans="1:14" ht="11.25" customHeight="1">
      <c r="A4359" s="5" t="s">
        <v>12502</v>
      </c>
      <c r="B4359" s="5" t="s">
        <v>12601</v>
      </c>
      <c r="C4359" s="5" t="s">
        <v>12626</v>
      </c>
      <c r="D4359" s="5" t="s">
        <v>12505</v>
      </c>
      <c r="E4359" s="5" t="s">
        <v>12506</v>
      </c>
      <c r="F4359" s="5" t="s">
        <v>12507</v>
      </c>
      <c r="G4359" s="5" t="s">
        <v>152</v>
      </c>
      <c r="H4359" s="5" t="s">
        <v>12603</v>
      </c>
      <c r="I4359" s="5" t="s">
        <v>12627</v>
      </c>
      <c r="J4359" s="5" t="s">
        <v>12627</v>
      </c>
      <c r="K4359" s="7" t="str">
        <f ca="1">IFERROR(__xludf.DUMMYFUNCTION("GOOGLETRANSLATE(H4359,""EN"",""ES"")"),"OTRAS ARMAS")</f>
        <v>OTRAS ARMAS</v>
      </c>
      <c r="L4359" s="5" t="str">
        <f ca="1">IFERROR(__xludf.DUMMYFUNCTION("GOOGLETRANSLATE(J4359,""EN"",""ES"")"),"Sables")</f>
        <v>Sables</v>
      </c>
      <c r="M4359" s="8"/>
      <c r="N4359" s="8"/>
    </row>
    <row r="4360" spans="1:14" ht="11.25" customHeight="1">
      <c r="A4360" s="5" t="s">
        <v>12502</v>
      </c>
      <c r="B4360" s="5" t="s">
        <v>12601</v>
      </c>
      <c r="C4360" s="5" t="s">
        <v>12628</v>
      </c>
      <c r="D4360" s="5" t="s">
        <v>12505</v>
      </c>
      <c r="E4360" s="5" t="s">
        <v>12506</v>
      </c>
      <c r="F4360" s="5" t="s">
        <v>12507</v>
      </c>
      <c r="G4360" s="5" t="s">
        <v>152</v>
      </c>
      <c r="H4360" s="5" t="s">
        <v>12603</v>
      </c>
      <c r="I4360" s="5" t="s">
        <v>12629</v>
      </c>
      <c r="J4360" s="5" t="s">
        <v>12630</v>
      </c>
      <c r="K4360" s="7" t="str">
        <f ca="1">IFERROR(__xludf.DUMMYFUNCTION("GOOGLETRANSLATE(H4360,""EN"",""ES"")"),"OTRAS ARMAS")</f>
        <v>OTRAS ARMAS</v>
      </c>
      <c r="L4360" s="5" t="str">
        <f ca="1">IFERROR(__xludf.DUMMYFUNCTION("GOOGLETRANSLATE(J4360,""EN"",""ES"")"),"lanzallamas")</f>
        <v>lanzallamas</v>
      </c>
      <c r="M4360" s="8"/>
      <c r="N4360" s="8"/>
    </row>
    <row r="4361" spans="1:14" ht="11.25" customHeight="1">
      <c r="A4361" s="5" t="s">
        <v>12502</v>
      </c>
      <c r="B4361" s="5" t="s">
        <v>12601</v>
      </c>
      <c r="C4361" s="5" t="s">
        <v>12631</v>
      </c>
      <c r="D4361" s="5" t="s">
        <v>12505</v>
      </c>
      <c r="E4361" s="5" t="s">
        <v>12506</v>
      </c>
      <c r="F4361" s="5" t="s">
        <v>12507</v>
      </c>
      <c r="G4361" s="5" t="s">
        <v>152</v>
      </c>
      <c r="H4361" s="5" t="s">
        <v>12603</v>
      </c>
      <c r="I4361" s="5" t="s">
        <v>12632</v>
      </c>
      <c r="J4361" s="5" t="s">
        <v>12633</v>
      </c>
      <c r="K4361" s="7" t="str">
        <f ca="1">IFERROR(__xludf.DUMMYFUNCTION("GOOGLETRANSLATE(H4361,""EN"",""ES"")"),"OTRAS ARMAS")</f>
        <v>OTRAS ARMAS</v>
      </c>
      <c r="L4361" s="5" t="str">
        <f ca="1">IFERROR(__xludf.DUMMYFUNCTION("GOOGLETRANSLATE(J4361,""EN"",""ES"")"),"Armas de electrochoque")</f>
        <v>Armas de electrochoque</v>
      </c>
      <c r="M4361" s="8"/>
      <c r="N4361" s="8"/>
    </row>
    <row r="4362" spans="1:14" ht="11.25" customHeight="1">
      <c r="A4362" s="5" t="s">
        <v>12502</v>
      </c>
      <c r="B4362" s="5" t="s">
        <v>12601</v>
      </c>
      <c r="C4362" s="5" t="s">
        <v>12634</v>
      </c>
      <c r="D4362" s="5" t="s">
        <v>12505</v>
      </c>
      <c r="E4362" s="5" t="s">
        <v>12506</v>
      </c>
      <c r="F4362" s="5" t="s">
        <v>12507</v>
      </c>
      <c r="G4362" s="5" t="s">
        <v>152</v>
      </c>
      <c r="H4362" s="5" t="s">
        <v>12603</v>
      </c>
      <c r="I4362" s="5" t="s">
        <v>12635</v>
      </c>
      <c r="J4362" s="5" t="s">
        <v>12636</v>
      </c>
      <c r="K4362" s="7" t="str">
        <f ca="1">IFERROR(__xludf.DUMMYFUNCTION("GOOGLETRANSLATE(H4362,""EN"",""ES"")"),"OTRAS ARMAS")</f>
        <v>OTRAS ARMAS</v>
      </c>
      <c r="L4362" s="5" t="str">
        <f ca="1">IFERROR(__xludf.DUMMYFUNCTION("GOOGLETRANSLATE(J4362,""EN"",""ES"")"),"Armas anti-drones")</f>
        <v>Armas anti-drones</v>
      </c>
      <c r="M4362" s="8"/>
      <c r="N4362" s="8"/>
    </row>
    <row r="4363" spans="1:14" ht="11.25" customHeight="1">
      <c r="A4363" s="5" t="s">
        <v>12502</v>
      </c>
      <c r="B4363" s="5" t="s">
        <v>12601</v>
      </c>
      <c r="C4363" s="5" t="s">
        <v>12637</v>
      </c>
      <c r="D4363" s="5" t="s">
        <v>12505</v>
      </c>
      <c r="E4363" s="5" t="s">
        <v>12506</v>
      </c>
      <c r="F4363" s="5" t="s">
        <v>12507</v>
      </c>
      <c r="G4363" s="5" t="s">
        <v>152</v>
      </c>
      <c r="H4363" s="5" t="s">
        <v>12603</v>
      </c>
      <c r="I4363" s="5" t="s">
        <v>12638</v>
      </c>
      <c r="J4363" s="5" t="s">
        <v>12639</v>
      </c>
      <c r="K4363" s="7" t="str">
        <f ca="1">IFERROR(__xludf.DUMMYFUNCTION("GOOGLETRANSLATE(H4363,""EN"",""ES"")"),"OTRAS ARMAS")</f>
        <v>OTRAS ARMAS</v>
      </c>
      <c r="L4363" s="5" t="str">
        <f ca="1">IFERROR(__xludf.DUMMYFUNCTION("GOOGLETRANSLATE(J4363,""EN"",""ES"")"),"Dagas")</f>
        <v>Dagas</v>
      </c>
      <c r="M4363" s="8"/>
      <c r="N4363" s="8"/>
    </row>
    <row r="4364" spans="1:14" ht="11.25" customHeight="1">
      <c r="A4364" s="5" t="s">
        <v>12502</v>
      </c>
      <c r="B4364" s="5" t="s">
        <v>12640</v>
      </c>
      <c r="C4364" s="5" t="s">
        <v>12641</v>
      </c>
      <c r="D4364" s="5" t="s">
        <v>12505</v>
      </c>
      <c r="E4364" s="5" t="s">
        <v>12506</v>
      </c>
      <c r="F4364" s="5" t="s">
        <v>12507</v>
      </c>
      <c r="G4364" s="5" t="s">
        <v>152</v>
      </c>
      <c r="H4364" s="5" t="s">
        <v>12642</v>
      </c>
      <c r="I4364" s="5" t="s">
        <v>12643</v>
      </c>
      <c r="J4364" s="5" t="s">
        <v>12644</v>
      </c>
      <c r="K4364" s="7" t="str">
        <f ca="1">IFERROR(__xludf.DUMMYFUNCTION("GOOGLETRANSLATE(H4364,""EN"",""ES"")"),"MUNICIONES, COHETES Y ARTÍCULOS PIROTÉCNICOS")</f>
        <v>MUNICIONES, COHETES Y ARTÍCULOS PIROTÉCNICOS</v>
      </c>
      <c r="L4364" s="5" t="str">
        <f ca="1">IFERROR(__xludf.DUMMYFUNCTION("GOOGLETRANSLATE(J4364,""EN"",""ES"")"),"Propulsores de misiles")</f>
        <v>Propulsores de misiles</v>
      </c>
      <c r="M4364" s="8"/>
      <c r="N4364" s="8"/>
    </row>
    <row r="4365" spans="1:14" ht="11.25" customHeight="1">
      <c r="A4365" s="5" t="s">
        <v>12502</v>
      </c>
      <c r="B4365" s="5" t="s">
        <v>12640</v>
      </c>
      <c r="C4365" s="5" t="s">
        <v>12645</v>
      </c>
      <c r="D4365" s="5" t="s">
        <v>12505</v>
      </c>
      <c r="E4365" s="5" t="s">
        <v>12506</v>
      </c>
      <c r="F4365" s="5" t="s">
        <v>12507</v>
      </c>
      <c r="G4365" s="5" t="s">
        <v>152</v>
      </c>
      <c r="H4365" s="5" t="s">
        <v>12642</v>
      </c>
      <c r="I4365" s="5" t="s">
        <v>12646</v>
      </c>
      <c r="J4365" s="5" t="s">
        <v>12647</v>
      </c>
      <c r="K4365" s="7" t="str">
        <f ca="1">IFERROR(__xludf.DUMMYFUNCTION("GOOGLETRANSLATE(H4365,""EN"",""ES"")"),"MUNICIONES, COHETES Y ARTÍCULOS PIROTÉCNICOS")</f>
        <v>MUNICIONES, COHETES Y ARTÍCULOS PIROTÉCNICOS</v>
      </c>
      <c r="L4365" s="5" t="str">
        <f ca="1">IFERROR(__xludf.DUMMYFUNCTION("GOOGLETRANSLATE(J4365,""EN"",""ES"")"),"Tapas de munición")</f>
        <v>Tapas de munición</v>
      </c>
      <c r="M4365" s="8"/>
      <c r="N4365" s="8"/>
    </row>
    <row r="4366" spans="1:14" ht="11.25" customHeight="1">
      <c r="A4366" s="5" t="s">
        <v>12502</v>
      </c>
      <c r="B4366" s="5" t="s">
        <v>12640</v>
      </c>
      <c r="C4366" s="5" t="s">
        <v>12648</v>
      </c>
      <c r="D4366" s="5" t="s">
        <v>12505</v>
      </c>
      <c r="E4366" s="5" t="s">
        <v>12506</v>
      </c>
      <c r="F4366" s="5" t="s">
        <v>12507</v>
      </c>
      <c r="G4366" s="5" t="s">
        <v>152</v>
      </c>
      <c r="H4366" s="5" t="s">
        <v>12642</v>
      </c>
      <c r="I4366" s="5" t="s">
        <v>12649</v>
      </c>
      <c r="J4366" s="5" t="s">
        <v>12650</v>
      </c>
      <c r="K4366" s="7" t="str">
        <f ca="1">IFERROR(__xludf.DUMMYFUNCTION("GOOGLETRANSLATE(H4366,""EN"",""ES"")"),"MUNICIONES, COHETES Y ARTÍCULOS PIROTÉCNICOS")</f>
        <v>MUNICIONES, COHETES Y ARTÍCULOS PIROTÉCNICOS</v>
      </c>
      <c r="L4366" s="5" t="str">
        <f ca="1">IFERROR(__xludf.DUMMYFUNCTION("GOOGLETRANSLATE(J4366,""EN"",""ES"")"),"balas de fusil")</f>
        <v>balas de fusil</v>
      </c>
      <c r="M4366" s="8"/>
      <c r="N4366" s="8"/>
    </row>
    <row r="4367" spans="1:14" ht="11.25" customHeight="1">
      <c r="A4367" s="5" t="s">
        <v>12502</v>
      </c>
      <c r="B4367" s="5" t="s">
        <v>12640</v>
      </c>
      <c r="C4367" s="5" t="s">
        <v>12651</v>
      </c>
      <c r="D4367" s="5" t="s">
        <v>12505</v>
      </c>
      <c r="E4367" s="5" t="s">
        <v>12506</v>
      </c>
      <c r="F4367" s="5" t="s">
        <v>12507</v>
      </c>
      <c r="G4367" s="5" t="s">
        <v>152</v>
      </c>
      <c r="H4367" s="5" t="s">
        <v>12642</v>
      </c>
      <c r="I4367" s="5" t="s">
        <v>12652</v>
      </c>
      <c r="J4367" s="5" t="s">
        <v>12653</v>
      </c>
      <c r="K4367" s="7" t="str">
        <f ca="1">IFERROR(__xludf.DUMMYFUNCTION("GOOGLETRANSLATE(H4367,""EN"",""ES"")"),"MUNICIONES, COHETES Y ARTÍCULOS PIROTÉCNICOS")</f>
        <v>MUNICIONES, COHETES Y ARTÍCULOS PIROTÉCNICOS</v>
      </c>
      <c r="L4367" s="5" t="str">
        <f ca="1">IFERROR(__xludf.DUMMYFUNCTION("GOOGLETRANSLATE(J4367,""EN"",""ES"")"),"Cápsulas detonantes")</f>
        <v>Cápsulas detonantes</v>
      </c>
      <c r="M4367" s="8"/>
      <c r="N4367" s="8"/>
    </row>
    <row r="4368" spans="1:14" ht="11.25" customHeight="1">
      <c r="A4368" s="5" t="s">
        <v>12502</v>
      </c>
      <c r="B4368" s="5" t="s">
        <v>12640</v>
      </c>
      <c r="C4368" s="5" t="s">
        <v>12654</v>
      </c>
      <c r="D4368" s="5" t="s">
        <v>12505</v>
      </c>
      <c r="E4368" s="5" t="s">
        <v>12506</v>
      </c>
      <c r="F4368" s="5" t="s">
        <v>12507</v>
      </c>
      <c r="G4368" s="5" t="s">
        <v>152</v>
      </c>
      <c r="H4368" s="5" t="s">
        <v>12642</v>
      </c>
      <c r="I4368" s="5" t="s">
        <v>12655</v>
      </c>
      <c r="J4368" s="5" t="s">
        <v>12656</v>
      </c>
      <c r="K4368" s="7" t="str">
        <f ca="1">IFERROR(__xludf.DUMMYFUNCTION("GOOGLETRANSLATE(H4368,""EN"",""ES"")"),"MUNICIONES, COHETES Y ARTÍCULOS PIROTÉCNICOS")</f>
        <v>MUNICIONES, COHETES Y ARTÍCULOS PIROTÉCNICOS</v>
      </c>
      <c r="L4368" s="5" t="str">
        <f ca="1">IFERROR(__xludf.DUMMYFUNCTION("GOOGLETRANSLATE(J4368,""EN"",""ES"")"),"Detonadores")</f>
        <v>Detonadores</v>
      </c>
      <c r="M4368" s="8"/>
      <c r="N4368" s="8"/>
    </row>
    <row r="4369" spans="1:14" ht="11.25" customHeight="1">
      <c r="A4369" s="5" t="s">
        <v>12502</v>
      </c>
      <c r="B4369" s="5" t="s">
        <v>12640</v>
      </c>
      <c r="C4369" s="5" t="s">
        <v>12657</v>
      </c>
      <c r="D4369" s="5" t="s">
        <v>12505</v>
      </c>
      <c r="E4369" s="5" t="s">
        <v>12506</v>
      </c>
      <c r="F4369" s="5" t="s">
        <v>12507</v>
      </c>
      <c r="G4369" s="5" t="s">
        <v>152</v>
      </c>
      <c r="H4369" s="5" t="s">
        <v>12642</v>
      </c>
      <c r="I4369" s="5" t="s">
        <v>12658</v>
      </c>
      <c r="J4369" s="5" t="s">
        <v>12659</v>
      </c>
      <c r="K4369" s="7" t="str">
        <f ca="1">IFERROR(__xludf.DUMMYFUNCTION("GOOGLETRANSLATE(H4369,""EN"",""ES"")"),"MUNICIONES, COHETES Y ARTÍCULOS PIROTÉCNICOS")</f>
        <v>MUNICIONES, COHETES Y ARTÍCULOS PIROTÉCNICOS</v>
      </c>
      <c r="L4369" s="5" t="str">
        <f ca="1">IFERROR(__xludf.DUMMYFUNCTION("GOOGLETRANSLATE(J4369,""EN"",""ES"")"),"Cartuchos [municiones]")</f>
        <v>Cartuchos [municiones]</v>
      </c>
      <c r="M4369" s="8"/>
      <c r="N4369" s="8"/>
    </row>
    <row r="4370" spans="1:14" ht="11.25" customHeight="1">
      <c r="A4370" s="5" t="s">
        <v>12502</v>
      </c>
      <c r="B4370" s="5" t="s">
        <v>12640</v>
      </c>
      <c r="C4370" s="5" t="s">
        <v>12660</v>
      </c>
      <c r="D4370" s="5" t="s">
        <v>12505</v>
      </c>
      <c r="E4370" s="5" t="s">
        <v>12506</v>
      </c>
      <c r="F4370" s="5" t="s">
        <v>12507</v>
      </c>
      <c r="G4370" s="5" t="s">
        <v>152</v>
      </c>
      <c r="H4370" s="5" t="s">
        <v>12642</v>
      </c>
      <c r="I4370" s="5" t="s">
        <v>12661</v>
      </c>
      <c r="J4370" s="5" t="s">
        <v>12662</v>
      </c>
      <c r="K4370" s="7" t="str">
        <f ca="1">IFERROR(__xludf.DUMMYFUNCTION("GOOGLETRANSLATE(H4370,""EN"",""ES"")"),"MUNICIONES, COHETES Y ARTÍCULOS PIROTÉCNICOS")</f>
        <v>MUNICIONES, COHETES Y ARTÍCULOS PIROTÉCNICOS</v>
      </c>
      <c r="L4370" s="5" t="str">
        <f ca="1">IFERROR(__xludf.DUMMYFUNCTION("GOOGLETRANSLATE(J4370,""EN"",""ES"")"),"Cartuchos de fogueo")</f>
        <v>Cartuchos de fogueo</v>
      </c>
      <c r="M4370" s="8"/>
      <c r="N4370" s="8"/>
    </row>
    <row r="4371" spans="1:14" ht="11.25" customHeight="1">
      <c r="A4371" s="5" t="s">
        <v>12502</v>
      </c>
      <c r="B4371" s="5" t="s">
        <v>12640</v>
      </c>
      <c r="C4371" s="5" t="s">
        <v>12663</v>
      </c>
      <c r="D4371" s="5" t="s">
        <v>12505</v>
      </c>
      <c r="E4371" s="5" t="s">
        <v>12506</v>
      </c>
      <c r="F4371" s="5" t="s">
        <v>12507</v>
      </c>
      <c r="G4371" s="5" t="s">
        <v>152</v>
      </c>
      <c r="H4371" s="5" t="s">
        <v>12642</v>
      </c>
      <c r="I4371" s="5" t="s">
        <v>12664</v>
      </c>
      <c r="J4371" s="5" t="s">
        <v>12665</v>
      </c>
      <c r="K4371" s="7" t="str">
        <f ca="1">IFERROR(__xludf.DUMMYFUNCTION("GOOGLETRANSLATE(H4371,""EN"",""ES"")"),"MUNICIONES, COHETES Y ARTÍCULOS PIROTÉCNICOS")</f>
        <v>MUNICIONES, COHETES Y ARTÍCULOS PIROTÉCNICOS</v>
      </c>
      <c r="L4371" s="5" t="str">
        <f ca="1">IFERROR(__xludf.DUMMYFUNCTION("GOOGLETRANSLATE(J4371,""EN"",""ES"")"),"Cartuchos explosivos")</f>
        <v>Cartuchos explosivos</v>
      </c>
      <c r="M4371" s="8"/>
      <c r="N4371" s="8"/>
    </row>
    <row r="4372" spans="1:14" ht="11.25" customHeight="1">
      <c r="A4372" s="5" t="s">
        <v>12502</v>
      </c>
      <c r="B4372" s="5" t="s">
        <v>12640</v>
      </c>
      <c r="C4372" s="5" t="s">
        <v>12666</v>
      </c>
      <c r="D4372" s="5" t="s">
        <v>12505</v>
      </c>
      <c r="E4372" s="5" t="s">
        <v>12506</v>
      </c>
      <c r="F4372" s="5" t="s">
        <v>12507</v>
      </c>
      <c r="G4372" s="5" t="s">
        <v>152</v>
      </c>
      <c r="H4372" s="5" t="s">
        <v>12642</v>
      </c>
      <c r="I4372" s="5" t="s">
        <v>12667</v>
      </c>
      <c r="J4372" s="5" t="s">
        <v>12668</v>
      </c>
      <c r="K4372" s="7" t="str">
        <f ca="1">IFERROR(__xludf.DUMMYFUNCTION("GOOGLETRANSLATE(H4372,""EN"",""ES"")"),"MUNICIONES, COHETES Y ARTÍCULOS PIROTÉCNICOS")</f>
        <v>MUNICIONES, COHETES Y ARTÍCULOS PIROTÉCNICOS</v>
      </c>
      <c r="L4372" s="5" t="str">
        <f ca="1">IFERROR(__xludf.DUMMYFUNCTION("GOOGLETRANSLATE(J4372,""EN"",""ES"")"),"Detonadores")</f>
        <v>Detonadores</v>
      </c>
      <c r="M4372" s="8"/>
      <c r="N4372" s="8"/>
    </row>
    <row r="4373" spans="1:14" ht="11.25" customHeight="1">
      <c r="A4373" s="5" t="s">
        <v>12502</v>
      </c>
      <c r="B4373" s="5" t="s">
        <v>12640</v>
      </c>
      <c r="C4373" s="5" t="s">
        <v>12669</v>
      </c>
      <c r="D4373" s="5" t="s">
        <v>12505</v>
      </c>
      <c r="E4373" s="5" t="s">
        <v>12506</v>
      </c>
      <c r="F4373" s="5" t="s">
        <v>12507</v>
      </c>
      <c r="G4373" s="5" t="s">
        <v>152</v>
      </c>
      <c r="H4373" s="5" t="s">
        <v>12642</v>
      </c>
      <c r="I4373" s="5" t="s">
        <v>12670</v>
      </c>
      <c r="J4373" s="5" t="s">
        <v>12671</v>
      </c>
      <c r="K4373" s="7" t="str">
        <f ca="1">IFERROR(__xludf.DUMMYFUNCTION("GOOGLETRANSLATE(H4373,""EN"",""ES"")"),"MUNICIONES, COHETES Y ARTÍCULOS PIROTÉCNICOS")</f>
        <v>MUNICIONES, COHETES Y ARTÍCULOS PIROTÉCNICOS</v>
      </c>
      <c r="L4373" s="5" t="str">
        <f ca="1">IFERROR(__xludf.DUMMYFUNCTION("GOOGLETRANSLATE(J4373,""EN"",""ES"")"),"Flechas")</f>
        <v>Flechas</v>
      </c>
      <c r="M4373" s="8"/>
      <c r="N4373" s="8"/>
    </row>
    <row r="4374" spans="1:14" ht="11.25" customHeight="1">
      <c r="A4374" s="5" t="s">
        <v>12502</v>
      </c>
      <c r="B4374" s="5" t="s">
        <v>12640</v>
      </c>
      <c r="C4374" s="5" t="s">
        <v>12672</v>
      </c>
      <c r="D4374" s="5" t="s">
        <v>12505</v>
      </c>
      <c r="E4374" s="5" t="s">
        <v>12506</v>
      </c>
      <c r="F4374" s="5" t="s">
        <v>12507</v>
      </c>
      <c r="G4374" s="5" t="s">
        <v>152</v>
      </c>
      <c r="H4374" s="5" t="s">
        <v>12642</v>
      </c>
      <c r="I4374" s="5" t="s">
        <v>12673</v>
      </c>
      <c r="J4374" s="5" t="s">
        <v>12674</v>
      </c>
      <c r="K4374" s="7" t="str">
        <f ca="1">IFERROR(__xludf.DUMMYFUNCTION("GOOGLETRANSLATE(H4374,""EN"",""ES"")"),"MUNICIONES, COHETES Y ARTÍCULOS PIROTÉCNICOS")</f>
        <v>MUNICIONES, COHETES Y ARTÍCULOS PIROTÉCNICOS</v>
      </c>
      <c r="L4374" s="5" t="str">
        <f ca="1">IFERROR(__xludf.DUMMYFUNCTION("GOOGLETRANSLATE(J4374,""EN"",""ES"")"),"Cohetes [fuegos artificiales o misiles]")</f>
        <v>Cohetes [fuegos artificiales o misiles]</v>
      </c>
      <c r="M4374" s="8"/>
      <c r="N4374" s="8"/>
    </row>
    <row r="4375" spans="1:14" ht="11.25" customHeight="1">
      <c r="A4375" s="5" t="s">
        <v>12502</v>
      </c>
      <c r="B4375" s="5" t="s">
        <v>12640</v>
      </c>
      <c r="C4375" s="5" t="s">
        <v>12675</v>
      </c>
      <c r="D4375" s="5" t="s">
        <v>12505</v>
      </c>
      <c r="E4375" s="5" t="s">
        <v>12506</v>
      </c>
      <c r="F4375" s="5" t="s">
        <v>12507</v>
      </c>
      <c r="G4375" s="5" t="s">
        <v>152</v>
      </c>
      <c r="H4375" s="5" t="s">
        <v>12642</v>
      </c>
      <c r="I4375" s="5" t="s">
        <v>12676</v>
      </c>
      <c r="J4375" s="5" t="s">
        <v>12677</v>
      </c>
      <c r="K4375" s="7" t="str">
        <f ca="1">IFERROR(__xludf.DUMMYFUNCTION("GOOGLETRANSLATE(H4375,""EN"",""ES"")"),"MUNICIONES, COHETES Y ARTÍCULOS PIROTÉCNICOS")</f>
        <v>MUNICIONES, COHETES Y ARTÍCULOS PIROTÉCNICOS</v>
      </c>
      <c r="L4375" s="5" t="str">
        <f ca="1">IFERROR(__xludf.DUMMYFUNCTION("GOOGLETRANSLATE(J4375,""EN"",""ES"")"),"Bengalas de señalización")</f>
        <v>Bengalas de señalización</v>
      </c>
      <c r="M4375" s="8"/>
      <c r="N4375" s="8"/>
    </row>
    <row r="4376" spans="1:14" ht="11.25" customHeight="1">
      <c r="A4376" s="5" t="s">
        <v>12502</v>
      </c>
      <c r="B4376" s="5" t="s">
        <v>12640</v>
      </c>
      <c r="C4376" s="5" t="s">
        <v>12678</v>
      </c>
      <c r="D4376" s="5" t="s">
        <v>12505</v>
      </c>
      <c r="E4376" s="5" t="s">
        <v>12506</v>
      </c>
      <c r="F4376" s="5" t="s">
        <v>12507</v>
      </c>
      <c r="G4376" s="5" t="s">
        <v>152</v>
      </c>
      <c r="H4376" s="5" t="s">
        <v>12642</v>
      </c>
      <c r="I4376" s="5" t="s">
        <v>12679</v>
      </c>
      <c r="J4376" s="5" t="s">
        <v>12680</v>
      </c>
      <c r="K4376" s="7" t="str">
        <f ca="1">IFERROR(__xludf.DUMMYFUNCTION("GOOGLETRANSLATE(H4376,""EN"",""ES"")"),"MUNICIONES, COHETES Y ARTÍCULOS PIROTÉCNICOS")</f>
        <v>MUNICIONES, COHETES Y ARTÍCULOS PIROTÉCNICOS</v>
      </c>
      <c r="L4376" s="5" t="str">
        <f ca="1">IFERROR(__xludf.DUMMYFUNCTION("GOOGLETRANSLATE(J4376,""EN"",""ES"")"),"Granadas [misiles]")</f>
        <v>Granadas [misiles]</v>
      </c>
      <c r="M4376" s="8"/>
      <c r="N4376" s="8"/>
    </row>
    <row r="4377" spans="1:14" ht="11.25" customHeight="1">
      <c r="A4377" s="5" t="s">
        <v>12502</v>
      </c>
      <c r="B4377" s="5" t="s">
        <v>12640</v>
      </c>
      <c r="C4377" s="5" t="s">
        <v>12681</v>
      </c>
      <c r="D4377" s="5" t="s">
        <v>12505</v>
      </c>
      <c r="E4377" s="5" t="s">
        <v>12506</v>
      </c>
      <c r="F4377" s="5" t="s">
        <v>12507</v>
      </c>
      <c r="G4377" s="5" t="s">
        <v>152</v>
      </c>
      <c r="H4377" s="5" t="s">
        <v>12642</v>
      </c>
      <c r="I4377" s="5" t="s">
        <v>12682</v>
      </c>
      <c r="J4377" s="5" t="s">
        <v>12683</v>
      </c>
      <c r="K4377" s="7" t="str">
        <f ca="1">IFERROR(__xludf.DUMMYFUNCTION("GOOGLETRANSLATE(H4377,""EN"",""ES"")"),"MUNICIONES, COHETES Y ARTÍCULOS PIROTÉCNICOS")</f>
        <v>MUNICIONES, COHETES Y ARTÍCULOS PIROTÉCNICOS</v>
      </c>
      <c r="L4377" s="5" t="str">
        <f ca="1">IFERROR(__xludf.DUMMYFUNCTION("GOOGLETRANSLATE(J4377,""EN"",""ES"")"),"Minas flotantes y submarinas.")</f>
        <v>Minas flotantes y submarinas.</v>
      </c>
      <c r="M4377" s="8"/>
      <c r="N4377" s="8"/>
    </row>
    <row r="4378" spans="1:14" ht="11.25" customHeight="1">
      <c r="A4378" s="5" t="s">
        <v>12502</v>
      </c>
      <c r="B4378" s="5" t="s">
        <v>12640</v>
      </c>
      <c r="C4378" s="5" t="s">
        <v>12684</v>
      </c>
      <c r="D4378" s="5" t="s">
        <v>12505</v>
      </c>
      <c r="E4378" s="5" t="s">
        <v>12506</v>
      </c>
      <c r="F4378" s="5" t="s">
        <v>12507</v>
      </c>
      <c r="G4378" s="5" t="s">
        <v>152</v>
      </c>
      <c r="H4378" s="5" t="s">
        <v>12642</v>
      </c>
      <c r="I4378" s="5" t="s">
        <v>12685</v>
      </c>
      <c r="J4378" s="5" t="s">
        <v>12686</v>
      </c>
      <c r="K4378" s="7" t="str">
        <f ca="1">IFERROR(__xludf.DUMMYFUNCTION("GOOGLETRANSLATE(H4378,""EN"",""ES"")"),"MUNICIONES, COHETES Y ARTÍCULOS PIROTÉCNICOS")</f>
        <v>MUNICIONES, COHETES Y ARTÍCULOS PIROTÉCNICOS</v>
      </c>
      <c r="L4378" s="5" t="str">
        <f ca="1">IFERROR(__xludf.DUMMYFUNCTION("GOOGLETRANSLATE(J4378,""EN"",""ES"")"),"minas magnéticas")</f>
        <v>minas magnéticas</v>
      </c>
      <c r="M4378" s="8"/>
      <c r="N4378" s="8"/>
    </row>
    <row r="4379" spans="1:14" ht="11.25" customHeight="1">
      <c r="A4379" s="5" t="s">
        <v>12502</v>
      </c>
      <c r="B4379" s="5" t="s">
        <v>12640</v>
      </c>
      <c r="C4379" s="5" t="s">
        <v>12687</v>
      </c>
      <c r="D4379" s="5" t="s">
        <v>12505</v>
      </c>
      <c r="E4379" s="5" t="s">
        <v>12506</v>
      </c>
      <c r="F4379" s="5" t="s">
        <v>12507</v>
      </c>
      <c r="G4379" s="5" t="s">
        <v>152</v>
      </c>
      <c r="H4379" s="5" t="s">
        <v>12642</v>
      </c>
      <c r="I4379" s="5" t="s">
        <v>12688</v>
      </c>
      <c r="J4379" s="5" t="s">
        <v>12689</v>
      </c>
      <c r="K4379" s="7" t="str">
        <f ca="1">IFERROR(__xludf.DUMMYFUNCTION("GOOGLETRANSLATE(H4379,""EN"",""ES"")"),"MUNICIONES, COHETES Y ARTÍCULOS PIROTÉCNICOS")</f>
        <v>MUNICIONES, COHETES Y ARTÍCULOS PIROTÉCNICOS</v>
      </c>
      <c r="L4379" s="5" t="str">
        <f ca="1">IFERROR(__xludf.DUMMYFUNCTION("GOOGLETRANSLATE(J4379,""EN"",""ES"")"),"Misiles guiados")</f>
        <v>Misiles guiados</v>
      </c>
      <c r="M4379" s="8"/>
      <c r="N4379" s="8"/>
    </row>
    <row r="4380" spans="1:14" ht="11.25" customHeight="1">
      <c r="A4380" s="5" t="s">
        <v>12502</v>
      </c>
      <c r="B4380" s="5" t="s">
        <v>12640</v>
      </c>
      <c r="C4380" s="5" t="s">
        <v>12690</v>
      </c>
      <c r="D4380" s="5" t="s">
        <v>12505</v>
      </c>
      <c r="E4380" s="5" t="s">
        <v>12506</v>
      </c>
      <c r="F4380" s="5" t="s">
        <v>12507</v>
      </c>
      <c r="G4380" s="5" t="s">
        <v>152</v>
      </c>
      <c r="H4380" s="5" t="s">
        <v>12642</v>
      </c>
      <c r="I4380" s="5" t="s">
        <v>12691</v>
      </c>
      <c r="J4380" s="5" t="s">
        <v>12692</v>
      </c>
      <c r="K4380" s="7" t="str">
        <f ca="1">IFERROR(__xludf.DUMMYFUNCTION("GOOGLETRANSLATE(H4380,""EN"",""ES"")"),"MUNICIONES, COHETES Y ARTÍCULOS PIROTÉCNICOS")</f>
        <v>MUNICIONES, COHETES Y ARTÍCULOS PIROTÉCNICOS</v>
      </c>
      <c r="L4380" s="5" t="str">
        <f ca="1">IFERROR(__xludf.DUMMYFUNCTION("GOOGLETRANSLATE(J4380,""EN"",""ES"")"),"Munición")</f>
        <v>Munición</v>
      </c>
      <c r="M4380" s="8"/>
      <c r="N4380" s="8"/>
    </row>
    <row r="4381" spans="1:14" ht="11.25" customHeight="1">
      <c r="A4381" s="5" t="s">
        <v>12502</v>
      </c>
      <c r="B4381" s="5" t="s">
        <v>12640</v>
      </c>
      <c r="C4381" s="5" t="s">
        <v>12693</v>
      </c>
      <c r="D4381" s="5" t="s">
        <v>12505</v>
      </c>
      <c r="E4381" s="5" t="s">
        <v>12506</v>
      </c>
      <c r="F4381" s="5" t="s">
        <v>12507</v>
      </c>
      <c r="G4381" s="5" t="s">
        <v>152</v>
      </c>
      <c r="H4381" s="5" t="s">
        <v>12642</v>
      </c>
      <c r="I4381" s="5" t="s">
        <v>12694</v>
      </c>
      <c r="J4381" s="5" t="s">
        <v>12694</v>
      </c>
      <c r="K4381" s="7" t="str">
        <f ca="1">IFERROR(__xludf.DUMMYFUNCTION("GOOGLETRANSLATE(H4381,""EN"",""ES"")"),"MUNICIONES, COHETES Y ARTÍCULOS PIROTÉCNICOS")</f>
        <v>MUNICIONES, COHETES Y ARTÍCULOS PIROTÉCNICOS</v>
      </c>
      <c r="L4381" s="5" t="str">
        <f ca="1">IFERROR(__xludf.DUMMYFUNCTION("GOOGLETRANSLATE(J4381,""EN"",""ES"")"),"Proyectiles")</f>
        <v>Proyectiles</v>
      </c>
      <c r="M4381" s="8"/>
      <c r="N4381" s="8"/>
    </row>
    <row r="4382" spans="1:14" ht="11.25" customHeight="1">
      <c r="A4382" s="5" t="s">
        <v>12502</v>
      </c>
      <c r="B4382" s="5" t="s">
        <v>12640</v>
      </c>
      <c r="C4382" s="5" t="s">
        <v>12695</v>
      </c>
      <c r="D4382" s="5" t="s">
        <v>12505</v>
      </c>
      <c r="E4382" s="5" t="s">
        <v>12506</v>
      </c>
      <c r="F4382" s="5" t="s">
        <v>12507</v>
      </c>
      <c r="G4382" s="5" t="s">
        <v>152</v>
      </c>
      <c r="H4382" s="5" t="s">
        <v>12642</v>
      </c>
      <c r="I4382" s="5" t="s">
        <v>12696</v>
      </c>
      <c r="J4382" s="5" t="s">
        <v>12697</v>
      </c>
      <c r="K4382" s="7" t="str">
        <f ca="1">IFERROR(__xludf.DUMMYFUNCTION("GOOGLETRANSLATE(H4382,""EN"",""ES"")"),"MUNICIONES, COHETES Y ARTÍCULOS PIROTÉCNICOS")</f>
        <v>MUNICIONES, COHETES Y ARTÍCULOS PIROTÉCNICOS</v>
      </c>
      <c r="L4382" s="5" t="str">
        <f ca="1">IFERROR(__xludf.DUMMYFUNCTION("GOOGLETRANSLATE(J4382,""EN"",""ES"")"),"Artículos pirotécnicos")</f>
        <v>Artículos pirotécnicos</v>
      </c>
      <c r="M4382" s="8"/>
      <c r="N4382" s="8"/>
    </row>
    <row r="4383" spans="1:14" ht="11.25" customHeight="1">
      <c r="A4383" s="5" t="s">
        <v>12502</v>
      </c>
      <c r="B4383" s="5" t="s">
        <v>12640</v>
      </c>
      <c r="C4383" s="5" t="s">
        <v>12698</v>
      </c>
      <c r="D4383" s="5" t="s">
        <v>12505</v>
      </c>
      <c r="E4383" s="5" t="s">
        <v>12506</v>
      </c>
      <c r="F4383" s="5" t="s">
        <v>12507</v>
      </c>
      <c r="G4383" s="5" t="s">
        <v>152</v>
      </c>
      <c r="H4383" s="5" t="s">
        <v>12642</v>
      </c>
      <c r="I4383" s="5" t="s">
        <v>12699</v>
      </c>
      <c r="J4383" s="5" t="s">
        <v>12700</v>
      </c>
      <c r="K4383" s="7" t="str">
        <f ca="1">IFERROR(__xludf.DUMMYFUNCTION("GOOGLETRANSLATE(H4383,""EN"",""ES"")"),"MUNICIONES, COHETES Y ARTÍCULOS PIROTÉCNICOS")</f>
        <v>MUNICIONES, COHETES Y ARTÍCULOS PIROTÉCNICOS</v>
      </c>
      <c r="L4383" s="5" t="str">
        <f ca="1">IFERROR(__xludf.DUMMYFUNCTION("GOOGLETRANSLATE(J4383,""EN"",""ES"")"),"torpedos")</f>
        <v>torpedos</v>
      </c>
      <c r="M4383" s="8"/>
      <c r="N4383" s="8"/>
    </row>
    <row r="4384" spans="1:14" ht="11.25" customHeight="1">
      <c r="A4384" s="5" t="s">
        <v>12502</v>
      </c>
      <c r="B4384" s="5" t="s">
        <v>12640</v>
      </c>
      <c r="C4384" s="5" t="s">
        <v>12701</v>
      </c>
      <c r="D4384" s="5" t="s">
        <v>12505</v>
      </c>
      <c r="E4384" s="5" t="s">
        <v>12506</v>
      </c>
      <c r="F4384" s="5" t="s">
        <v>12507</v>
      </c>
      <c r="G4384" s="5" t="s">
        <v>152</v>
      </c>
      <c r="H4384" s="5" t="s">
        <v>12642</v>
      </c>
      <c r="I4384" s="5" t="s">
        <v>12702</v>
      </c>
      <c r="J4384" s="5" t="s">
        <v>12703</v>
      </c>
      <c r="K4384" s="7" t="str">
        <f ca="1">IFERROR(__xludf.DUMMYFUNCTION("GOOGLETRANSLATE(H4384,""EN"",""ES"")"),"MUNICIONES, COHETES Y ARTÍCULOS PIROTÉCNICOS")</f>
        <v>MUNICIONES, COHETES Y ARTÍCULOS PIROTÉCNICOS</v>
      </c>
      <c r="L4384" s="5" t="str">
        <f ca="1">IFERROR(__xludf.DUMMYFUNCTION("GOOGLETRANSLATE(J4384,""EN"",""ES"")"),"Fusibles de encendido")</f>
        <v>Fusibles de encendido</v>
      </c>
      <c r="M4384" s="8"/>
      <c r="N4384" s="8"/>
    </row>
    <row r="4385" spans="1:14" ht="11.25" customHeight="1">
      <c r="A4385" s="5" t="s">
        <v>12502</v>
      </c>
      <c r="B4385" s="5" t="s">
        <v>12640</v>
      </c>
      <c r="C4385" s="5" t="s">
        <v>12704</v>
      </c>
      <c r="D4385" s="5" t="s">
        <v>12505</v>
      </c>
      <c r="E4385" s="5" t="s">
        <v>12506</v>
      </c>
      <c r="F4385" s="5" t="s">
        <v>12507</v>
      </c>
      <c r="G4385" s="5" t="s">
        <v>152</v>
      </c>
      <c r="H4385" s="5" t="s">
        <v>12642</v>
      </c>
      <c r="I4385" s="5" t="s">
        <v>12705</v>
      </c>
      <c r="J4385" s="5" t="s">
        <v>12706</v>
      </c>
      <c r="K4385" s="7" t="str">
        <f ca="1">IFERROR(__xludf.DUMMYFUNCTION("GOOGLETRANSLATE(H4385,""EN"",""ES"")"),"MUNICIONES, COHETES Y ARTÍCULOS PIROTÉCNICOS")</f>
        <v>MUNICIONES, COHETES Y ARTÍCULOS PIROTÉCNICOS</v>
      </c>
      <c r="L4385" s="5" t="str">
        <f ca="1">IFERROR(__xludf.DUMMYFUNCTION("GOOGLETRANSLATE(J4385,""EN"",""ES"")"),"Antorchas [pirotécnicas]")</f>
        <v>Antorchas [pirotécnicas]</v>
      </c>
      <c r="M4385" s="8"/>
      <c r="N4385" s="8"/>
    </row>
    <row r="4386" spans="1:14" ht="11.25" customHeight="1">
      <c r="A4386" s="5" t="s">
        <v>12502</v>
      </c>
      <c r="B4386" s="5" t="s">
        <v>12640</v>
      </c>
      <c r="C4386" s="5" t="s">
        <v>12707</v>
      </c>
      <c r="D4386" s="5" t="s">
        <v>12505</v>
      </c>
      <c r="E4386" s="5" t="s">
        <v>12506</v>
      </c>
      <c r="F4386" s="5" t="s">
        <v>12507</v>
      </c>
      <c r="G4386" s="5" t="s">
        <v>152</v>
      </c>
      <c r="H4386" s="5" t="s">
        <v>12642</v>
      </c>
      <c r="I4386" s="5" t="s">
        <v>12708</v>
      </c>
      <c r="J4386" s="5" t="s">
        <v>12709</v>
      </c>
      <c r="K4386" s="7" t="str">
        <f ca="1">IFERROR(__xludf.DUMMYFUNCTION("GOOGLETRANSLATE(H4386,""EN"",""ES"")"),"MUNICIONES, COHETES Y ARTÍCULOS PIROTÉCNICOS")</f>
        <v>MUNICIONES, COHETES Y ARTÍCULOS PIROTÉCNICOS</v>
      </c>
      <c r="L4386" s="5" t="str">
        <f ca="1">IFERROR(__xludf.DUMMYFUNCTION("GOOGLETRANSLATE(J4386,""EN"",""ES"")"),"Cohetes de señales de socorro")</f>
        <v>Cohetes de señales de socorro</v>
      </c>
      <c r="M4386" s="8"/>
      <c r="N4386" s="8"/>
    </row>
    <row r="4387" spans="1:14" ht="11.25" customHeight="1">
      <c r="A4387" s="5" t="s">
        <v>12502</v>
      </c>
      <c r="B4387" s="5" t="s">
        <v>12710</v>
      </c>
      <c r="C4387" s="5" t="s">
        <v>12711</v>
      </c>
      <c r="D4387" s="5" t="s">
        <v>12505</v>
      </c>
      <c r="E4387" s="5" t="s">
        <v>12506</v>
      </c>
      <c r="F4387" s="5" t="s">
        <v>12507</v>
      </c>
      <c r="G4387" s="5" t="s">
        <v>152</v>
      </c>
      <c r="H4387" s="5" t="s">
        <v>12712</v>
      </c>
      <c r="I4387" s="5" t="s">
        <v>12713</v>
      </c>
      <c r="J4387" s="5" t="s">
        <v>12714</v>
      </c>
      <c r="K4387" s="7" t="str">
        <f ca="1">IFERROR(__xludf.DUMMYFUNCTION("GOOGLETRANSLATE(H4387,""EN"",""ES"")"),"OBJETIVOS Y ACCESORIOS")</f>
        <v>OBJETIVOS Y ACCESORIOS</v>
      </c>
      <c r="L4387" s="5" t="str">
        <f ca="1">IFERROR(__xludf.DUMMYFUNCTION("GOOGLETRANSLATE(J4387,""EN"",""ES"")"),"Objetivos")</f>
        <v>Objetivos</v>
      </c>
      <c r="M4387" s="8"/>
      <c r="N4387" s="8"/>
    </row>
    <row r="4388" spans="1:14" ht="11.25" customHeight="1">
      <c r="A4388" s="5" t="s">
        <v>12502</v>
      </c>
      <c r="B4388" s="5" t="s">
        <v>12710</v>
      </c>
      <c r="C4388" s="5" t="s">
        <v>12715</v>
      </c>
      <c r="D4388" s="5" t="s">
        <v>12505</v>
      </c>
      <c r="E4388" s="5" t="s">
        <v>12506</v>
      </c>
      <c r="F4388" s="5" t="s">
        <v>12507</v>
      </c>
      <c r="G4388" s="5" t="s">
        <v>152</v>
      </c>
      <c r="H4388" s="5" t="s">
        <v>12712</v>
      </c>
      <c r="I4388" s="5" t="s">
        <v>12716</v>
      </c>
      <c r="J4388" s="5" t="s">
        <v>12717</v>
      </c>
      <c r="K4388" s="7" t="str">
        <f ca="1">IFERROR(__xludf.DUMMYFUNCTION("GOOGLETRANSLATE(H4388,""EN"",""ES"")"),"OBJETIVOS Y ACCESORIOS")</f>
        <v>OBJETIVOS Y ACCESORIOS</v>
      </c>
      <c r="L4388" s="5" t="str">
        <f ca="1">IFERROR(__xludf.DUMMYFUNCTION("GOOGLETRANSLATE(J4388,""EN"",""ES"")"),"Lanzadores de platos")</f>
        <v>Lanzadores de platos</v>
      </c>
      <c r="M4388" s="8"/>
      <c r="N4388" s="8"/>
    </row>
    <row r="4389" spans="1:14" ht="11.25" customHeight="1">
      <c r="A4389" s="5" t="s">
        <v>12502</v>
      </c>
      <c r="B4389" s="5" t="s">
        <v>12710</v>
      </c>
      <c r="C4389" s="5" t="s">
        <v>12718</v>
      </c>
      <c r="D4389" s="5" t="s">
        <v>12505</v>
      </c>
      <c r="E4389" s="5" t="s">
        <v>12506</v>
      </c>
      <c r="F4389" s="5" t="s">
        <v>12507</v>
      </c>
      <c r="G4389" s="5" t="s">
        <v>152</v>
      </c>
      <c r="H4389" s="5" t="s">
        <v>12712</v>
      </c>
      <c r="I4389" s="5" t="s">
        <v>12719</v>
      </c>
      <c r="J4389" s="5" t="s">
        <v>12720</v>
      </c>
      <c r="K4389" s="7" t="str">
        <f ca="1">IFERROR(__xludf.DUMMYFUNCTION("GOOGLETRANSLATE(H4389,""EN"",""ES"")"),"OBJETIVOS Y ACCESORIOS")</f>
        <v>OBJETIVOS Y ACCESORIOS</v>
      </c>
      <c r="L4389" s="5" t="str">
        <f ca="1">IFERROR(__xludf.DUMMYFUNCTION("GOOGLETRANSLATE(J4389,""EN"",""ES"")"),"palomas de arcilla")</f>
        <v>palomas de arcilla</v>
      </c>
      <c r="M4389" s="8"/>
      <c r="N4389" s="8"/>
    </row>
    <row r="4390" spans="1:14" ht="11.25" customHeight="1">
      <c r="A4390" s="5" t="s">
        <v>12502</v>
      </c>
      <c r="B4390" s="5" t="s">
        <v>12721</v>
      </c>
      <c r="C4390" s="5" t="s">
        <v>12722</v>
      </c>
      <c r="D4390" s="5" t="s">
        <v>12505</v>
      </c>
      <c r="E4390" s="5" t="s">
        <v>12506</v>
      </c>
      <c r="F4390" s="5" t="s">
        <v>12507</v>
      </c>
      <c r="G4390" s="5" t="s">
        <v>152</v>
      </c>
      <c r="H4390" s="5" t="s">
        <v>12723</v>
      </c>
      <c r="I4390" s="5" t="s">
        <v>12724</v>
      </c>
      <c r="J4390" s="5" t="s">
        <v>12725</v>
      </c>
      <c r="K4390" s="7" t="str">
        <f ca="1">IFERROR(__xludf.DUMMYFUNCTION("GOOGLETRANSLATE(H4390,""EN"",""ES"")"),"EQUIPO DE CAZA Y PESCA")</f>
        <v>EQUIPO DE CAZA Y PESCA</v>
      </c>
      <c r="L4390" s="5" t="str">
        <f ca="1">IFERROR(__xludf.DUMMYFUNCTION("GOOGLETRANSLATE(J4390,""EN"",""ES"")"),"cebo para pescar")</f>
        <v>cebo para pescar</v>
      </c>
      <c r="M4390" s="8" t="s">
        <v>71</v>
      </c>
      <c r="N4390" s="8"/>
    </row>
    <row r="4391" spans="1:14" ht="11.25" customHeight="1">
      <c r="A4391" s="5" t="s">
        <v>12502</v>
      </c>
      <c r="B4391" s="5" t="s">
        <v>12721</v>
      </c>
      <c r="C4391" s="5" t="s">
        <v>12722</v>
      </c>
      <c r="D4391" s="5" t="s">
        <v>12505</v>
      </c>
      <c r="E4391" s="5" t="s">
        <v>12506</v>
      </c>
      <c r="F4391" s="5" t="s">
        <v>12507</v>
      </c>
      <c r="G4391" s="5" t="s">
        <v>152</v>
      </c>
      <c r="H4391" s="5" t="s">
        <v>12723</v>
      </c>
      <c r="I4391" s="5" t="s">
        <v>152</v>
      </c>
      <c r="J4391" s="5" t="s">
        <v>12726</v>
      </c>
      <c r="K4391" s="7" t="str">
        <f ca="1">IFERROR(__xludf.DUMMYFUNCTION("GOOGLETRANSLATE(H4391,""EN"",""ES"")"),"EQUIPO DE CAZA Y PESCA")</f>
        <v>EQUIPO DE CAZA Y PESCA</v>
      </c>
      <c r="L4391" s="5" t="str">
        <f ca="1">IFERROR(__xludf.DUMMYFUNCTION("GOOGLETRANSLATE(J4391,""EN"",""ES"")"),"N / A")</f>
        <v>N / A</v>
      </c>
      <c r="M4391" s="8" t="s">
        <v>71</v>
      </c>
      <c r="N4391" s="8"/>
    </row>
    <row r="4392" spans="1:14" ht="11.25" customHeight="1">
      <c r="A4392" s="5" t="s">
        <v>12502</v>
      </c>
      <c r="B4392" s="5" t="s">
        <v>12721</v>
      </c>
      <c r="C4392" s="5" t="s">
        <v>12727</v>
      </c>
      <c r="D4392" s="5" t="s">
        <v>12505</v>
      </c>
      <c r="E4392" s="5" t="s">
        <v>12506</v>
      </c>
      <c r="F4392" s="5" t="s">
        <v>12507</v>
      </c>
      <c r="G4392" s="5" t="s">
        <v>152</v>
      </c>
      <c r="H4392" s="5" t="s">
        <v>12723</v>
      </c>
      <c r="I4392" s="5" t="s">
        <v>12728</v>
      </c>
      <c r="J4392" s="5" t="s">
        <v>12729</v>
      </c>
      <c r="K4392" s="7" t="str">
        <f ca="1">IFERROR(__xludf.DUMMYFUNCTION("GOOGLETRANSLATE(H4392,""EN"",""ES"")"),"EQUIPO DE CAZA Y PESCA")</f>
        <v>EQUIPO DE CAZA Y PESCA</v>
      </c>
      <c r="L4392" s="5" t="str">
        <f ca="1">IFERROR(__xludf.DUMMYFUNCTION("GOOGLETRANSLATE(J4392,""EN"",""ES"")"),"pájaros señuelo")</f>
        <v>pájaros señuelo</v>
      </c>
      <c r="M4392" s="8" t="s">
        <v>71</v>
      </c>
      <c r="N4392" s="8"/>
    </row>
    <row r="4393" spans="1:14" ht="11.25" customHeight="1">
      <c r="A4393" s="5" t="s">
        <v>12502</v>
      </c>
      <c r="B4393" s="5" t="s">
        <v>12721</v>
      </c>
      <c r="C4393" s="5" t="s">
        <v>12730</v>
      </c>
      <c r="D4393" s="5" t="s">
        <v>12505</v>
      </c>
      <c r="E4393" s="5" t="s">
        <v>12506</v>
      </c>
      <c r="F4393" s="5" t="s">
        <v>12507</v>
      </c>
      <c r="G4393" s="5" t="s">
        <v>152</v>
      </c>
      <c r="H4393" s="5" t="s">
        <v>12723</v>
      </c>
      <c r="I4393" s="5" t="s">
        <v>12731</v>
      </c>
      <c r="J4393" s="5" t="s">
        <v>12732</v>
      </c>
      <c r="K4393" s="7" t="str">
        <f ca="1">IFERROR(__xludf.DUMMYFUNCTION("GOOGLETRANSLATE(H4393,""EN"",""ES"")"),"EQUIPO DE CAZA Y PESCA")</f>
        <v>EQUIPO DE CAZA Y PESCA</v>
      </c>
      <c r="L4393" s="5" t="str">
        <f ca="1">IFERROR(__xludf.DUMMYFUNCTION("GOOGLETRANSLATE(J4393,""EN"",""ES"")"),"Carretes para líneas de pesca.")</f>
        <v>Carretes para líneas de pesca.</v>
      </c>
      <c r="M4393" s="8" t="s">
        <v>71</v>
      </c>
      <c r="N4393" s="8"/>
    </row>
    <row r="4394" spans="1:14" ht="11.25" customHeight="1">
      <c r="A4394" s="5" t="s">
        <v>12502</v>
      </c>
      <c r="B4394" s="5" t="s">
        <v>12721</v>
      </c>
      <c r="C4394" s="5" t="s">
        <v>12733</v>
      </c>
      <c r="D4394" s="5" t="s">
        <v>12505</v>
      </c>
      <c r="E4394" s="5" t="s">
        <v>12506</v>
      </c>
      <c r="F4394" s="5" t="s">
        <v>12507</v>
      </c>
      <c r="G4394" s="5" t="s">
        <v>152</v>
      </c>
      <c r="H4394" s="5" t="s">
        <v>12723</v>
      </c>
      <c r="I4394" s="5" t="s">
        <v>12734</v>
      </c>
      <c r="J4394" s="5" t="s">
        <v>12735</v>
      </c>
      <c r="K4394" s="7" t="str">
        <f ca="1">IFERROR(__xludf.DUMMYFUNCTION("GOOGLETRANSLATE(H4394,""EN"",""ES"")"),"EQUIPO DE CAZA Y PESCA")</f>
        <v>EQUIPO DE CAZA Y PESCA</v>
      </c>
      <c r="L4394" s="5" t="str">
        <f ca="1">IFERROR(__xludf.DUMMYFUNCTION("GOOGLETRANSLATE(J4394,""EN"",""ES"")"),"Redes [para hurones y conejos]")</f>
        <v>Redes [para hurones y conejos]</v>
      </c>
      <c r="M4394" s="8" t="s">
        <v>71</v>
      </c>
      <c r="N4394" s="8"/>
    </row>
    <row r="4395" spans="1:14" ht="11.25" customHeight="1">
      <c r="A4395" s="5" t="s">
        <v>12502</v>
      </c>
      <c r="B4395" s="5" t="s">
        <v>12721</v>
      </c>
      <c r="C4395" s="5" t="s">
        <v>12736</v>
      </c>
      <c r="D4395" s="5" t="s">
        <v>12505</v>
      </c>
      <c r="E4395" s="5" t="s">
        <v>12506</v>
      </c>
      <c r="F4395" s="5" t="s">
        <v>12507</v>
      </c>
      <c r="G4395" s="5" t="s">
        <v>152</v>
      </c>
      <c r="H4395" s="5" t="s">
        <v>12723</v>
      </c>
      <c r="I4395" s="5" t="s">
        <v>12737</v>
      </c>
      <c r="J4395" s="5" t="s">
        <v>12738</v>
      </c>
      <c r="K4395" s="7" t="str">
        <f ca="1">IFERROR(__xludf.DUMMYFUNCTION("GOOGLETRANSLATE(H4395,""EN"",""ES"")"),"EQUIPO DE CAZA Y PESCA")</f>
        <v>EQUIPO DE CAZA Y PESCA</v>
      </c>
      <c r="L4395" s="5" t="str">
        <f ca="1">IFERROR(__xludf.DUMMYFUNCTION("GOOGLETRANSLATE(J4395,""EN"",""ES"")"),"cañas de pescar")</f>
        <v>cañas de pescar</v>
      </c>
      <c r="M4395" s="8" t="s">
        <v>71</v>
      </c>
      <c r="N4395" s="8"/>
    </row>
    <row r="4396" spans="1:14" ht="11.25" customHeight="1">
      <c r="A4396" s="5" t="s">
        <v>12502</v>
      </c>
      <c r="B4396" s="5" t="s">
        <v>12721</v>
      </c>
      <c r="C4396" s="5" t="s">
        <v>12739</v>
      </c>
      <c r="D4396" s="5" t="s">
        <v>12505</v>
      </c>
      <c r="E4396" s="5" t="s">
        <v>12506</v>
      </c>
      <c r="F4396" s="5" t="s">
        <v>12507</v>
      </c>
      <c r="G4396" s="5" t="s">
        <v>152</v>
      </c>
      <c r="H4396" s="5" t="s">
        <v>12723</v>
      </c>
      <c r="I4396" s="5" t="s">
        <v>12740</v>
      </c>
      <c r="J4396" s="5" t="s">
        <v>12741</v>
      </c>
      <c r="K4396" s="7" t="str">
        <f ca="1">IFERROR(__xludf.DUMMYFUNCTION("GOOGLETRANSLATE(H4396,""EN"",""ES"")"),"EQUIPO DE CAZA Y PESCA")</f>
        <v>EQUIPO DE CAZA Y PESCA</v>
      </c>
      <c r="L4396" s="5" t="str">
        <f ca="1">IFERROR(__xludf.DUMMYFUNCTION("GOOGLETRANSLATE(J4396,""EN"",""ES"")"),"Ollas y redes para pescar camarones.")</f>
        <v>Ollas y redes para pescar camarones.</v>
      </c>
      <c r="M4396" s="8" t="s">
        <v>71</v>
      </c>
      <c r="N4396" s="8"/>
    </row>
    <row r="4397" spans="1:14" ht="11.25" customHeight="1">
      <c r="A4397" s="5" t="s">
        <v>12502</v>
      </c>
      <c r="B4397" s="5" t="s">
        <v>12721</v>
      </c>
      <c r="C4397" s="5" t="s">
        <v>12742</v>
      </c>
      <c r="D4397" s="5" t="s">
        <v>12505</v>
      </c>
      <c r="E4397" s="5" t="s">
        <v>12506</v>
      </c>
      <c r="F4397" s="5" t="s">
        <v>12507</v>
      </c>
      <c r="G4397" s="5" t="s">
        <v>152</v>
      </c>
      <c r="H4397" s="5" t="s">
        <v>12723</v>
      </c>
      <c r="I4397" s="5" t="s">
        <v>12743</v>
      </c>
      <c r="J4397" s="5" t="s">
        <v>12744</v>
      </c>
      <c r="K4397" s="7" t="str">
        <f ca="1">IFERROR(__xludf.DUMMYFUNCTION("GOOGLETRANSLATE(H4397,""EN"",""ES"")"),"EQUIPO DE CAZA Y PESCA")</f>
        <v>EQUIPO DE CAZA Y PESCA</v>
      </c>
      <c r="L4397" s="5" t="str">
        <f ca="1">IFERROR(__xludf.DUMMYFUNCTION("GOOGLETRANSLATE(J4397,""EN"",""ES"")"),"arrastres")</f>
        <v>arrastres</v>
      </c>
      <c r="M4397" s="8" t="s">
        <v>71</v>
      </c>
      <c r="N4397" s="8"/>
    </row>
    <row r="4398" spans="1:14" ht="11.25" customHeight="1">
      <c r="A4398" s="5" t="s">
        <v>12502</v>
      </c>
      <c r="B4398" s="5" t="s">
        <v>12721</v>
      </c>
      <c r="C4398" s="5" t="s">
        <v>12745</v>
      </c>
      <c r="D4398" s="5" t="s">
        <v>12505</v>
      </c>
      <c r="E4398" s="5" t="s">
        <v>12506</v>
      </c>
      <c r="F4398" s="5" t="s">
        <v>12507</v>
      </c>
      <c r="G4398" s="5" t="s">
        <v>152</v>
      </c>
      <c r="H4398" s="5" t="s">
        <v>12723</v>
      </c>
      <c r="I4398" s="5" t="s">
        <v>12746</v>
      </c>
      <c r="J4398" s="5" t="s">
        <v>12747</v>
      </c>
      <c r="K4398" s="7" t="str">
        <f ca="1">IFERROR(__xludf.DUMMYFUNCTION("GOOGLETRANSLATE(H4398,""EN"",""ES"")"),"EQUIPO DE CAZA Y PESCA")</f>
        <v>EQUIPO DE CAZA Y PESCA</v>
      </c>
      <c r="L4398" s="5" t="str">
        <f ca="1">IFERROR(__xludf.DUMMYFUNCTION("GOOGLETRANSLATE(J4398,""EN"",""ES"")"),"cebo de cuchara")</f>
        <v>cebo de cuchara</v>
      </c>
      <c r="M4398" s="8" t="s">
        <v>71</v>
      </c>
      <c r="N4398" s="8"/>
    </row>
    <row r="4399" spans="1:14" ht="11.25" customHeight="1">
      <c r="A4399" s="5" t="s">
        <v>12502</v>
      </c>
      <c r="B4399" s="5" t="s">
        <v>12721</v>
      </c>
      <c r="C4399" s="5" t="s">
        <v>12748</v>
      </c>
      <c r="D4399" s="5" t="s">
        <v>12505</v>
      </c>
      <c r="E4399" s="5" t="s">
        <v>12506</v>
      </c>
      <c r="F4399" s="5" t="s">
        <v>12507</v>
      </c>
      <c r="G4399" s="5" t="s">
        <v>152</v>
      </c>
      <c r="H4399" s="5" t="s">
        <v>12723</v>
      </c>
      <c r="I4399" s="5" t="s">
        <v>12749</v>
      </c>
      <c r="J4399" s="5" t="s">
        <v>12750</v>
      </c>
      <c r="K4399" s="7" t="str">
        <f ca="1">IFERROR(__xludf.DUMMYFUNCTION("GOOGLETRANSLATE(H4399,""EN"",""ES"")"),"EQUIPO DE CAZA Y PESCA")</f>
        <v>EQUIPO DE CAZA Y PESCA</v>
      </c>
      <c r="L4399" s="5" t="str">
        <f ca="1">IFERROR(__xludf.DUMMYFUNCTION("GOOGLETRANSLATE(J4399,""EN"",""ES"")"),"Degüelles [pesca]")</f>
        <v>Degüelles [pesca]</v>
      </c>
      <c r="M4399" s="8" t="s">
        <v>71</v>
      </c>
      <c r="N4399" s="8"/>
    </row>
    <row r="4400" spans="1:14" ht="11.25" customHeight="1">
      <c r="A4400" s="5" t="s">
        <v>12502</v>
      </c>
      <c r="B4400" s="5" t="s">
        <v>12721</v>
      </c>
      <c r="C4400" s="5" t="s">
        <v>12751</v>
      </c>
      <c r="D4400" s="5" t="s">
        <v>12505</v>
      </c>
      <c r="E4400" s="5" t="s">
        <v>12506</v>
      </c>
      <c r="F4400" s="5" t="s">
        <v>12507</v>
      </c>
      <c r="G4400" s="5" t="s">
        <v>152</v>
      </c>
      <c r="H4400" s="5" t="s">
        <v>12723</v>
      </c>
      <c r="I4400" s="5" t="s">
        <v>12752</v>
      </c>
      <c r="J4400" s="5" t="s">
        <v>12753</v>
      </c>
      <c r="K4400" s="7" t="str">
        <f ca="1">IFERROR(__xludf.DUMMYFUNCTION("GOOGLETRANSLATE(H4400,""EN"",""ES"")"),"EQUIPO DE CAZA Y PESCA")</f>
        <v>EQUIPO DE CAZA Y PESCA</v>
      </c>
      <c r="L4400" s="5" t="str">
        <f ca="1">IFERROR(__xludf.DUMMYFUNCTION("GOOGLETRANSLATE(J4400,""EN"",""ES"")"),"Giratorios para pescar")</f>
        <v>Giratorios para pescar</v>
      </c>
      <c r="M4400" s="8" t="s">
        <v>71</v>
      </c>
      <c r="N4400" s="8"/>
    </row>
    <row r="4401" spans="1:14" ht="11.25" customHeight="1">
      <c r="A4401" s="5" t="s">
        <v>12502</v>
      </c>
      <c r="B4401" s="5" t="s">
        <v>12721</v>
      </c>
      <c r="C4401" s="5" t="s">
        <v>12754</v>
      </c>
      <c r="D4401" s="5" t="s">
        <v>12505</v>
      </c>
      <c r="E4401" s="5" t="s">
        <v>12506</v>
      </c>
      <c r="F4401" s="5" t="s">
        <v>12507</v>
      </c>
      <c r="G4401" s="5" t="s">
        <v>152</v>
      </c>
      <c r="H4401" s="5" t="s">
        <v>12723</v>
      </c>
      <c r="I4401" s="5" t="s">
        <v>12755</v>
      </c>
      <c r="J4401" s="5" t="s">
        <v>12756</v>
      </c>
      <c r="K4401" s="7" t="str">
        <f ca="1">IFERROR(__xludf.DUMMYFUNCTION("GOOGLETRANSLATE(H4401,""EN"",""ES"")"),"EQUIPO DE CAZA Y PESCA")</f>
        <v>EQUIPO DE CAZA Y PESCA</v>
      </c>
      <c r="L4401" s="5" t="str">
        <f ca="1">IFERROR(__xludf.DUMMYFUNCTION("GOOGLETRANSLATE(J4401,""EN"",""ES"")"),"aparejos de pesca")</f>
        <v>aparejos de pesca</v>
      </c>
      <c r="M4401" s="8" t="s">
        <v>71</v>
      </c>
      <c r="N4401" s="8"/>
    </row>
    <row r="4402" spans="1:14" ht="11.25" customHeight="1">
      <c r="A4402" s="5" t="s">
        <v>12502</v>
      </c>
      <c r="B4402" s="5" t="s">
        <v>12721</v>
      </c>
      <c r="C4402" s="5" t="s">
        <v>12757</v>
      </c>
      <c r="D4402" s="5" t="s">
        <v>12505</v>
      </c>
      <c r="E4402" s="5" t="s">
        <v>12506</v>
      </c>
      <c r="F4402" s="5" t="s">
        <v>12507</v>
      </c>
      <c r="G4402" s="5" t="s">
        <v>152</v>
      </c>
      <c r="H4402" s="5" t="s">
        <v>12723</v>
      </c>
      <c r="I4402" s="5" t="s">
        <v>12758</v>
      </c>
      <c r="J4402" s="5" t="s">
        <v>12759</v>
      </c>
      <c r="K4402" s="7" t="str">
        <f ca="1">IFERROR(__xludf.DUMMYFUNCTION("GOOGLETRANSLATE(H4402,""EN"",""ES"")"),"EQUIPO DE CAZA Y PESCA")</f>
        <v>EQUIPO DE CAZA Y PESCA</v>
      </c>
      <c r="L4402" s="5" t="str">
        <f ca="1">IFERROR(__xludf.DUMMYFUNCTION("GOOGLETRANSLATE(J4402,""EN"",""ES"")"),"Redes de desembarco [pesca]")</f>
        <v>Redes de desembarco [pesca]</v>
      </c>
      <c r="M4402" s="8" t="s">
        <v>71</v>
      </c>
      <c r="N4402" s="8"/>
    </row>
    <row r="4403" spans="1:14" ht="11.25" customHeight="1">
      <c r="A4403" s="5" t="s">
        <v>12502</v>
      </c>
      <c r="B4403" s="5" t="s">
        <v>12721</v>
      </c>
      <c r="C4403" s="5" t="s">
        <v>12760</v>
      </c>
      <c r="D4403" s="5" t="s">
        <v>12505</v>
      </c>
      <c r="E4403" s="5" t="s">
        <v>12506</v>
      </c>
      <c r="F4403" s="5" t="s">
        <v>12507</v>
      </c>
      <c r="G4403" s="5" t="s">
        <v>152</v>
      </c>
      <c r="H4403" s="5" t="s">
        <v>12723</v>
      </c>
      <c r="I4403" s="5" t="s">
        <v>12761</v>
      </c>
      <c r="J4403" s="5" t="s">
        <v>12762</v>
      </c>
      <c r="K4403" s="7" t="str">
        <f ca="1">IFERROR(__xludf.DUMMYFUNCTION("GOOGLETRANSLATE(H4403,""EN"",""ES"")"),"EQUIPO DE CAZA Y PESCA")</f>
        <v>EQUIPO DE CAZA Y PESCA</v>
      </c>
      <c r="L4403" s="5" t="str">
        <f ca="1">IFERROR(__xludf.DUMMYFUNCTION("GOOGLETRANSLATE(J4403,""EN"",""ES"")"),"Redes de pesca")</f>
        <v>Redes de pesca</v>
      </c>
      <c r="M4403" s="8" t="s">
        <v>71</v>
      </c>
      <c r="N4403" s="8"/>
    </row>
    <row r="4404" spans="1:14" ht="11.25" customHeight="1">
      <c r="A4404" s="5" t="s">
        <v>12502</v>
      </c>
      <c r="B4404" s="5" t="s">
        <v>12721</v>
      </c>
      <c r="C4404" s="5" t="s">
        <v>12763</v>
      </c>
      <c r="D4404" s="5" t="s">
        <v>12505</v>
      </c>
      <c r="E4404" s="5" t="s">
        <v>12506</v>
      </c>
      <c r="F4404" s="5" t="s">
        <v>12507</v>
      </c>
      <c r="G4404" s="5" t="s">
        <v>152</v>
      </c>
      <c r="H4404" s="5" t="s">
        <v>12723</v>
      </c>
      <c r="I4404" s="5" t="s">
        <v>12764</v>
      </c>
      <c r="J4404" s="5" t="s">
        <v>12765</v>
      </c>
      <c r="K4404" s="7" t="str">
        <f ca="1">IFERROR(__xludf.DUMMYFUNCTION("GOOGLETRANSLATE(H4404,""EN"",""ES"")"),"EQUIPO DE CAZA Y PESCA")</f>
        <v>EQUIPO DE CAZA Y PESCA</v>
      </c>
      <c r="L4404" s="5" t="str">
        <f ca="1">IFERROR(__xludf.DUMMYFUNCTION("GOOGLETRANSLATE(J4404,""EN"",""ES"")"),"flotadores para pescar")</f>
        <v>flotadores para pescar</v>
      </c>
      <c r="M4404" s="8" t="s">
        <v>71</v>
      </c>
      <c r="N4404" s="8"/>
    </row>
    <row r="4405" spans="1:14" ht="11.25" customHeight="1">
      <c r="A4405" s="5" t="s">
        <v>12502</v>
      </c>
      <c r="B4405" s="5" t="s">
        <v>12721</v>
      </c>
      <c r="C4405" s="5" t="s">
        <v>12763</v>
      </c>
      <c r="D4405" s="5" t="s">
        <v>12505</v>
      </c>
      <c r="E4405" s="5" t="s">
        <v>12506</v>
      </c>
      <c r="F4405" s="5" t="s">
        <v>12507</v>
      </c>
      <c r="G4405" s="5" t="s">
        <v>152</v>
      </c>
      <c r="H4405" s="5" t="s">
        <v>12723</v>
      </c>
      <c r="I4405" s="5" t="s">
        <v>152</v>
      </c>
      <c r="J4405" s="5" t="s">
        <v>12766</v>
      </c>
      <c r="K4405" s="7" t="str">
        <f ca="1">IFERROR(__xludf.DUMMYFUNCTION("GOOGLETRANSLATE(H4405,""EN"",""ES"")"),"EQUIPO DE CAZA Y PESCA")</f>
        <v>EQUIPO DE CAZA Y PESCA</v>
      </c>
      <c r="L4405" s="5" t="str">
        <f ca="1">IFERROR(__xludf.DUMMYFUNCTION("GOOGLETRANSLATE(J4405,""EN"",""ES"")"),"N / A")</f>
        <v>N / A</v>
      </c>
      <c r="M4405" s="8" t="s">
        <v>71</v>
      </c>
      <c r="N4405" s="8"/>
    </row>
    <row r="4406" spans="1:14" ht="11.25" customHeight="1">
      <c r="A4406" s="5" t="s">
        <v>12502</v>
      </c>
      <c r="B4406" s="5" t="s">
        <v>12721</v>
      </c>
      <c r="C4406" s="5" t="s">
        <v>12767</v>
      </c>
      <c r="D4406" s="5" t="s">
        <v>12505</v>
      </c>
      <c r="E4406" s="5" t="s">
        <v>12506</v>
      </c>
      <c r="F4406" s="5" t="s">
        <v>12507</v>
      </c>
      <c r="G4406" s="5" t="s">
        <v>152</v>
      </c>
      <c r="H4406" s="5" t="s">
        <v>12723</v>
      </c>
      <c r="I4406" s="5" t="s">
        <v>12768</v>
      </c>
      <c r="J4406" s="5" t="s">
        <v>12769</v>
      </c>
      <c r="K4406" s="7" t="str">
        <f ca="1">IFERROR(__xludf.DUMMYFUNCTION("GOOGLETRANSLATE(H4406,""EN"",""ES"")"),"EQUIPO DE CAZA Y PESCA")</f>
        <v>EQUIPO DE CAZA Y PESCA</v>
      </c>
      <c r="L4406" s="5" t="str">
        <f ca="1">IFERROR(__xludf.DUMMYFUNCTION("GOOGLETRANSLATE(J4406,""EN"",""ES"")"),"Frenos tipo carrete [cañas de pescar]")</f>
        <v>Frenos tipo carrete [cañas de pescar]</v>
      </c>
      <c r="M4406" s="8" t="s">
        <v>71</v>
      </c>
      <c r="N4406" s="8"/>
    </row>
    <row r="4407" spans="1:14" ht="11.25" customHeight="1">
      <c r="A4407" s="5" t="s">
        <v>12502</v>
      </c>
      <c r="B4407" s="5" t="s">
        <v>12721</v>
      </c>
      <c r="C4407" s="5" t="s">
        <v>12770</v>
      </c>
      <c r="D4407" s="5" t="s">
        <v>12505</v>
      </c>
      <c r="E4407" s="5" t="s">
        <v>12506</v>
      </c>
      <c r="F4407" s="5" t="s">
        <v>12507</v>
      </c>
      <c r="G4407" s="5" t="s">
        <v>152</v>
      </c>
      <c r="H4407" s="5" t="s">
        <v>12723</v>
      </c>
      <c r="I4407" s="5" t="s">
        <v>12771</v>
      </c>
      <c r="J4407" s="5" t="s">
        <v>12772</v>
      </c>
      <c r="K4407" s="7" t="str">
        <f ca="1">IFERROR(__xludf.DUMMYFUNCTION("GOOGLETRANSLATE(H4407,""EN"",""ES"")"),"EQUIPO DE CAZA Y PESCA")</f>
        <v>EQUIPO DE CAZA Y PESCA</v>
      </c>
      <c r="L4407" s="5" t="str">
        <f ca="1">IFERROR(__xludf.DUMMYFUNCTION("GOOGLETRANSLATE(J4407,""EN"",""ES"")"),"Anzuelos")</f>
        <v>Anzuelos</v>
      </c>
      <c r="M4407" s="8" t="s">
        <v>71</v>
      </c>
      <c r="N4407" s="8"/>
    </row>
    <row r="4408" spans="1:14" ht="11.25" customHeight="1">
      <c r="A4408" s="5" t="s">
        <v>12502</v>
      </c>
      <c r="B4408" s="5" t="s">
        <v>12721</v>
      </c>
      <c r="C4408" s="5" t="s">
        <v>12773</v>
      </c>
      <c r="D4408" s="5" t="s">
        <v>12505</v>
      </c>
      <c r="E4408" s="5" t="s">
        <v>12506</v>
      </c>
      <c r="F4408" s="5" t="s">
        <v>12507</v>
      </c>
      <c r="G4408" s="5" t="s">
        <v>152</v>
      </c>
      <c r="H4408" s="5" t="s">
        <v>12723</v>
      </c>
      <c r="I4408" s="5" t="s">
        <v>12774</v>
      </c>
      <c r="J4408" s="5" t="s">
        <v>12775</v>
      </c>
      <c r="K4408" s="7" t="str">
        <f ca="1">IFERROR(__xludf.DUMMYFUNCTION("GOOGLETRANSLATE(H4408,""EN"",""ES"")"),"EQUIPO DE CAZA Y PESCA")</f>
        <v>EQUIPO DE CAZA Y PESCA</v>
      </c>
      <c r="L4408" s="5" t="str">
        <f ca="1">IFERROR(__xludf.DUMMYFUNCTION("GOOGLETRANSLATE(J4408,""EN"",""ES"")"),"arpones de pesca")</f>
        <v>arpones de pesca</v>
      </c>
      <c r="M4408" s="8" t="s">
        <v>71</v>
      </c>
      <c r="N4408" s="8"/>
    </row>
    <row r="4409" spans="1:14" ht="11.25" customHeight="1">
      <c r="A4409" s="5" t="s">
        <v>12502</v>
      </c>
      <c r="B4409" s="5" t="s">
        <v>12721</v>
      </c>
      <c r="C4409" s="5" t="s">
        <v>12773</v>
      </c>
      <c r="D4409" s="5" t="s">
        <v>12505</v>
      </c>
      <c r="E4409" s="5" t="s">
        <v>12506</v>
      </c>
      <c r="F4409" s="5" t="s">
        <v>12507</v>
      </c>
      <c r="G4409" s="5" t="s">
        <v>152</v>
      </c>
      <c r="H4409" s="5" t="s">
        <v>12723</v>
      </c>
      <c r="I4409" s="5" t="s">
        <v>12776</v>
      </c>
      <c r="J4409" s="5" t="s">
        <v>152</v>
      </c>
      <c r="K4409" s="7" t="str">
        <f ca="1">IFERROR(__xludf.DUMMYFUNCTION("GOOGLETRANSLATE(H4409,""EN"",""ES"")"),"EQUIPO DE CAZA Y PESCA")</f>
        <v>EQUIPO DE CAZA Y PESCA</v>
      </c>
      <c r="L4409" s="5" t="str">
        <f ca="1">IFERROR(__xludf.DUMMYFUNCTION("GOOGLETRANSLATE(J4409,""EN"",""ES"")"),"Lanzas para pescar")</f>
        <v>Lanzas para pescar</v>
      </c>
      <c r="M4409" s="8" t="s">
        <v>71</v>
      </c>
      <c r="N4409" s="8"/>
    </row>
    <row r="4410" spans="1:14" ht="11.25" customHeight="1">
      <c r="A4410" s="5" t="s">
        <v>12502</v>
      </c>
      <c r="B4410" s="5" t="s">
        <v>12721</v>
      </c>
      <c r="C4410" s="5" t="s">
        <v>12777</v>
      </c>
      <c r="D4410" s="5" t="s">
        <v>12505</v>
      </c>
      <c r="E4410" s="5" t="s">
        <v>12506</v>
      </c>
      <c r="F4410" s="5" t="s">
        <v>12507</v>
      </c>
      <c r="G4410" s="5" t="s">
        <v>152</v>
      </c>
      <c r="H4410" s="5" t="s">
        <v>12723</v>
      </c>
      <c r="I4410" s="5" t="s">
        <v>12778</v>
      </c>
      <c r="J4410" s="5" t="s">
        <v>12779</v>
      </c>
      <c r="K4410" s="7" t="str">
        <f ca="1">IFERROR(__xludf.DUMMYFUNCTION("GOOGLETRANSLATE(H4410,""EN"",""ES"")"),"EQUIPO DE CAZA Y PESCA")</f>
        <v>EQUIPO DE CAZA Y PESCA</v>
      </c>
      <c r="L4410" s="5" t="str">
        <f ca="1">IFERROR(__xludf.DUMMYFUNCTION("GOOGLETRANSLATE(J4410,""EN"",""ES"")"),"Moscas artificiales para pescar.")</f>
        <v>Moscas artificiales para pescar.</v>
      </c>
      <c r="M4410" s="8" t="s">
        <v>71</v>
      </c>
      <c r="N4410" s="8"/>
    </row>
    <row r="4411" spans="1:14" ht="11.25" customHeight="1">
      <c r="A4411" s="5" t="s">
        <v>12502</v>
      </c>
      <c r="B4411" s="5" t="s">
        <v>12721</v>
      </c>
      <c r="C4411" s="5" t="s">
        <v>12777</v>
      </c>
      <c r="D4411" s="5" t="s">
        <v>12505</v>
      </c>
      <c r="E4411" s="5" t="s">
        <v>12506</v>
      </c>
      <c r="F4411" s="5" t="s">
        <v>12507</v>
      </c>
      <c r="G4411" s="5" t="s">
        <v>152</v>
      </c>
      <c r="H4411" s="5" t="s">
        <v>12723</v>
      </c>
      <c r="I4411" s="5" t="s">
        <v>152</v>
      </c>
      <c r="J4411" s="5" t="s">
        <v>12780</v>
      </c>
      <c r="K4411" s="7" t="str">
        <f ca="1">IFERROR(__xludf.DUMMYFUNCTION("GOOGLETRANSLATE(H4411,""EN"",""ES"")"),"EQUIPO DE CAZA Y PESCA")</f>
        <v>EQUIPO DE CAZA Y PESCA</v>
      </c>
      <c r="L4411" s="5" t="str">
        <f ca="1">IFERROR(__xludf.DUMMYFUNCTION("GOOGLETRANSLATE(J4411,""EN"",""ES"")"),"N / A")</f>
        <v>N / A</v>
      </c>
      <c r="M4411" s="8" t="s">
        <v>71</v>
      </c>
      <c r="N4411" s="8"/>
    </row>
    <row r="4412" spans="1:14" ht="11.25" customHeight="1">
      <c r="A4412" s="5" t="s">
        <v>12502</v>
      </c>
      <c r="B4412" s="5" t="s">
        <v>12721</v>
      </c>
      <c r="C4412" s="5" t="s">
        <v>12781</v>
      </c>
      <c r="D4412" s="5" t="s">
        <v>12505</v>
      </c>
      <c r="E4412" s="5" t="s">
        <v>12506</v>
      </c>
      <c r="F4412" s="5" t="s">
        <v>12507</v>
      </c>
      <c r="G4412" s="5" t="s">
        <v>152</v>
      </c>
      <c r="H4412" s="5" t="s">
        <v>12723</v>
      </c>
      <c r="I4412" s="5" t="s">
        <v>12782</v>
      </c>
      <c r="J4412" s="5" t="s">
        <v>12783</v>
      </c>
      <c r="K4412" s="7" t="str">
        <f ca="1">IFERROR(__xludf.DUMMYFUNCTION("GOOGLETRANSLATE(H4412,""EN"",""ES"")"),"EQUIPO DE CAZA Y PESCA")</f>
        <v>EQUIPO DE CAZA Y PESCA</v>
      </c>
      <c r="L4412" s="5" t="str">
        <f ca="1">IFERROR(__xludf.DUMMYFUNCTION("GOOGLETRANSLATE(J4412,""EN"",""ES"")"),"Gusanos artificiales para pescar.")</f>
        <v>Gusanos artificiales para pescar.</v>
      </c>
      <c r="M4412" s="8" t="s">
        <v>71</v>
      </c>
      <c r="N4412" s="8"/>
    </row>
    <row r="4413" spans="1:14" ht="11.25" customHeight="1">
      <c r="A4413" s="5" t="s">
        <v>12502</v>
      </c>
      <c r="B4413" s="5" t="s">
        <v>12721</v>
      </c>
      <c r="C4413" s="5" t="s">
        <v>12784</v>
      </c>
      <c r="D4413" s="5" t="s">
        <v>12505</v>
      </c>
      <c r="E4413" s="5" t="s">
        <v>12506</v>
      </c>
      <c r="F4413" s="5" t="s">
        <v>12507</v>
      </c>
      <c r="G4413" s="5" t="s">
        <v>152</v>
      </c>
      <c r="H4413" s="5" t="s">
        <v>12723</v>
      </c>
      <c r="I4413" s="5" t="s">
        <v>12785</v>
      </c>
      <c r="J4413" s="5" t="s">
        <v>12786</v>
      </c>
      <c r="K4413" s="7" t="str">
        <f ca="1">IFERROR(__xludf.DUMMYFUNCTION("GOOGLETRANSLATE(H4413,""EN"",""ES"")"),"EQUIPO DE CAZA Y PESCA")</f>
        <v>EQUIPO DE CAZA Y PESCA</v>
      </c>
      <c r="L4413" s="5" t="str">
        <f ca="1">IFERROR(__xludf.DUMMYFUNCTION("GOOGLETRANSLATE(J4413,""EN"",""ES"")"),"señuelos de pesca")</f>
        <v>señuelos de pesca</v>
      </c>
      <c r="M4413" s="8" t="s">
        <v>71</v>
      </c>
      <c r="N4413" s="8"/>
    </row>
    <row r="4414" spans="1:14" ht="11.25" customHeight="1">
      <c r="A4414" s="5" t="s">
        <v>12502</v>
      </c>
      <c r="B4414" s="5" t="s">
        <v>12721</v>
      </c>
      <c r="C4414" s="5" t="s">
        <v>12787</v>
      </c>
      <c r="D4414" s="5" t="s">
        <v>12505</v>
      </c>
      <c r="E4414" s="5" t="s">
        <v>12506</v>
      </c>
      <c r="F4414" s="5" t="s">
        <v>12507</v>
      </c>
      <c r="G4414" s="5" t="s">
        <v>152</v>
      </c>
      <c r="H4414" s="5" t="s">
        <v>12723</v>
      </c>
      <c r="I4414" s="5" t="s">
        <v>12788</v>
      </c>
      <c r="J4414" s="5" t="s">
        <v>12789</v>
      </c>
      <c r="K4414" s="7" t="str">
        <f ca="1">IFERROR(__xludf.DUMMYFUNCTION("GOOGLETRANSLATE(H4414,""EN"",""ES"")"),"EQUIPO DE CAZA Y PESCA")</f>
        <v>EQUIPO DE CAZA Y PESCA</v>
      </c>
      <c r="L4414" s="5" t="str">
        <f ca="1">IFERROR(__xludf.DUMMYFUNCTION("GOOGLETRANSLATE(J4414,""EN"",""ES"")"),"Líneas de pesca")</f>
        <v>Líneas de pesca</v>
      </c>
      <c r="M4414" s="8" t="s">
        <v>71</v>
      </c>
      <c r="N4414" s="8"/>
    </row>
    <row r="4415" spans="1:14" ht="11.25" customHeight="1">
      <c r="A4415" s="5" t="s">
        <v>12502</v>
      </c>
      <c r="B4415" s="5" t="s">
        <v>12721</v>
      </c>
      <c r="C4415" s="5" t="s">
        <v>12790</v>
      </c>
      <c r="D4415" s="5" t="s">
        <v>12505</v>
      </c>
      <c r="E4415" s="5" t="s">
        <v>12506</v>
      </c>
      <c r="F4415" s="5" t="s">
        <v>12507</v>
      </c>
      <c r="G4415" s="5" t="s">
        <v>152</v>
      </c>
      <c r="H4415" s="5" t="s">
        <v>12723</v>
      </c>
      <c r="I4415" s="5" t="s">
        <v>12791</v>
      </c>
      <c r="J4415" s="5" t="s">
        <v>12792</v>
      </c>
      <c r="K4415" s="7" t="str">
        <f ca="1">IFERROR(__xludf.DUMMYFUNCTION("GOOGLETRANSLATE(H4415,""EN"",""ES"")"),"EQUIPO DE CAZA Y PESCA")</f>
        <v>EQUIPO DE CAZA Y PESCA</v>
      </c>
      <c r="L4415" s="5" t="str">
        <f ca="1">IFERROR(__xludf.DUMMYFUNCTION("GOOGLETRANSLATE(J4415,""EN"",""ES"")"),"Carretes para cañas de pescar.")</f>
        <v>Carretes para cañas de pescar.</v>
      </c>
      <c r="M4415" s="8" t="s">
        <v>71</v>
      </c>
      <c r="N4415" s="8"/>
    </row>
    <row r="4416" spans="1:14" ht="11.25" customHeight="1">
      <c r="A4416" s="5" t="s">
        <v>12502</v>
      </c>
      <c r="B4416" s="5" t="s">
        <v>12721</v>
      </c>
      <c r="C4416" s="5" t="s">
        <v>12793</v>
      </c>
      <c r="D4416" s="5" t="s">
        <v>12505</v>
      </c>
      <c r="E4416" s="5" t="s">
        <v>12506</v>
      </c>
      <c r="F4416" s="5" t="s">
        <v>12507</v>
      </c>
      <c r="G4416" s="5" t="s">
        <v>152</v>
      </c>
      <c r="H4416" s="5" t="s">
        <v>12723</v>
      </c>
      <c r="I4416" s="5" t="s">
        <v>12794</v>
      </c>
      <c r="J4416" s="5" t="s">
        <v>12795</v>
      </c>
      <c r="K4416" s="7" t="str">
        <f ca="1">IFERROR(__xludf.DUMMYFUNCTION("GOOGLETRANSLATE(H4416,""EN"",""ES"")"),"EQUIPO DE CAZA Y PESCA")</f>
        <v>EQUIPO DE CAZA Y PESCA</v>
      </c>
      <c r="L4416" s="5" t="str">
        <f ca="1">IFERROR(__xludf.DUMMYFUNCTION("GOOGLETRANSLATE(J4416,""EN"",""ES"")"),"trampas de pesca")</f>
        <v>trampas de pesca</v>
      </c>
      <c r="M4416" s="8" t="s">
        <v>71</v>
      </c>
      <c r="N4416" s="8"/>
    </row>
    <row r="4417" spans="1:14" ht="11.25" customHeight="1">
      <c r="A4417" s="5" t="s">
        <v>12502</v>
      </c>
      <c r="B4417" s="5" t="s">
        <v>12721</v>
      </c>
      <c r="C4417" s="5" t="s">
        <v>12796</v>
      </c>
      <c r="D4417" s="5" t="s">
        <v>12505</v>
      </c>
      <c r="E4417" s="5" t="s">
        <v>12506</v>
      </c>
      <c r="F4417" s="5" t="s">
        <v>12507</v>
      </c>
      <c r="G4417" s="5" t="s">
        <v>152</v>
      </c>
      <c r="H4417" s="5" t="s">
        <v>12723</v>
      </c>
      <c r="I4417" s="5" t="s">
        <v>12797</v>
      </c>
      <c r="J4417" s="5" t="s">
        <v>12798</v>
      </c>
      <c r="K4417" s="7" t="str">
        <f ca="1">IFERROR(__xludf.DUMMYFUNCTION("GOOGLETRANSLATE(H4417,""EN"",""ES"")"),"EQUIPO DE CAZA Y PESCA")</f>
        <v>EQUIPO DE CAZA Y PESCA</v>
      </c>
      <c r="L4417" s="5" t="str">
        <f ca="1">IFERROR(__xludf.DUMMYFUNCTION("GOOGLETRANSLATE(J4417,""EN"",""ES"")"),"Plomo para pescar")</f>
        <v>Plomo para pescar</v>
      </c>
      <c r="M4417" s="8" t="s">
        <v>71</v>
      </c>
      <c r="N4417" s="8"/>
    </row>
    <row r="4418" spans="1:14" ht="11.25" customHeight="1">
      <c r="A4418" s="5" t="s">
        <v>12502</v>
      </c>
      <c r="B4418" s="5" t="s">
        <v>12721</v>
      </c>
      <c r="C4418" s="5" t="s">
        <v>12799</v>
      </c>
      <c r="D4418" s="5" t="s">
        <v>12505</v>
      </c>
      <c r="E4418" s="5" t="s">
        <v>12506</v>
      </c>
      <c r="F4418" s="5" t="s">
        <v>12507</v>
      </c>
      <c r="G4418" s="5" t="s">
        <v>152</v>
      </c>
      <c r="H4418" s="5" t="s">
        <v>12723</v>
      </c>
      <c r="I4418" s="5" t="s">
        <v>12800</v>
      </c>
      <c r="J4418" s="5" t="s">
        <v>12801</v>
      </c>
      <c r="K4418" s="7" t="str">
        <f ca="1">IFERROR(__xludf.DUMMYFUNCTION("GOOGLETRANSLATE(H4418,""EN"",""ES"")"),"EQUIPO DE CAZA Y PESCA")</f>
        <v>EQUIPO DE CAZA Y PESCA</v>
      </c>
      <c r="L4418" s="5" t="str">
        <f ca="1">IFERROR(__xludf.DUMMYFUNCTION("GOOGLETRANSLATE(J4418,""EN"",""ES"")"),"cubos de cebo")</f>
        <v>cubos de cebo</v>
      </c>
      <c r="M4418" s="8" t="s">
        <v>71</v>
      </c>
      <c r="N4418" s="8"/>
    </row>
    <row r="4419" spans="1:14" ht="11.25" customHeight="1">
      <c r="A4419" s="5" t="s">
        <v>12502</v>
      </c>
      <c r="B4419" s="5" t="s">
        <v>12721</v>
      </c>
      <c r="C4419" s="5" t="s">
        <v>12802</v>
      </c>
      <c r="D4419" s="5" t="s">
        <v>12505</v>
      </c>
      <c r="E4419" s="5" t="s">
        <v>12506</v>
      </c>
      <c r="F4419" s="5" t="s">
        <v>12507</v>
      </c>
      <c r="G4419" s="5" t="s">
        <v>152</v>
      </c>
      <c r="H4419" s="5" t="s">
        <v>12723</v>
      </c>
      <c r="I4419" s="5" t="s">
        <v>12803</v>
      </c>
      <c r="J4419" s="5" t="s">
        <v>12804</v>
      </c>
      <c r="K4419" s="7" t="str">
        <f ca="1">IFERROR(__xludf.DUMMYFUNCTION("GOOGLETRANSLATE(H4419,""EN"",""ES"")"),"EQUIPO DE CAZA Y PESCA")</f>
        <v>EQUIPO DE CAZA Y PESCA</v>
      </c>
      <c r="L4419" s="5" t="str">
        <f ca="1">IFERROR(__xludf.DUMMYFUNCTION("GOOGLETRANSLATE(J4419,""EN"",""ES"")"),"Nasas de langosta")</f>
        <v>Nasas de langosta</v>
      </c>
      <c r="M4419" s="8" t="s">
        <v>71</v>
      </c>
      <c r="N4419" s="8"/>
    </row>
    <row r="4420" spans="1:14" ht="11.25" customHeight="1">
      <c r="A4420" s="5" t="s">
        <v>12502</v>
      </c>
      <c r="B4420" s="5" t="s">
        <v>12721</v>
      </c>
      <c r="C4420" s="5" t="s">
        <v>12805</v>
      </c>
      <c r="D4420" s="5" t="s">
        <v>12505</v>
      </c>
      <c r="E4420" s="5" t="s">
        <v>12506</v>
      </c>
      <c r="F4420" s="5" t="s">
        <v>12507</v>
      </c>
      <c r="G4420" s="5" t="s">
        <v>152</v>
      </c>
      <c r="H4420" s="5" t="s">
        <v>12723</v>
      </c>
      <c r="I4420" s="5" t="s">
        <v>12806</v>
      </c>
      <c r="J4420" s="5" t="s">
        <v>12807</v>
      </c>
      <c r="K4420" s="7" t="str">
        <f ca="1">IFERROR(__xludf.DUMMYFUNCTION("GOOGLETRANSLATE(H4420,""EN"",""ES"")"),"EQUIPO DE CAZA Y PESCA")</f>
        <v>EQUIPO DE CAZA Y PESCA</v>
      </c>
      <c r="L4420" s="5" t="str">
        <f ca="1">IFERROR(__xludf.DUMMYFUNCTION("GOOGLETRANSLATE(J4420,""EN"",""ES"")"),"señuelos para la caza")</f>
        <v>señuelos para la caza</v>
      </c>
      <c r="M4420" s="8" t="s">
        <v>71</v>
      </c>
      <c r="N4420" s="8"/>
    </row>
    <row r="4421" spans="1:14" ht="11.25" customHeight="1">
      <c r="A4421" s="5" t="s">
        <v>12502</v>
      </c>
      <c r="B4421" s="5" t="s">
        <v>12721</v>
      </c>
      <c r="C4421" s="5" t="s">
        <v>12808</v>
      </c>
      <c r="D4421" s="5" t="s">
        <v>12505</v>
      </c>
      <c r="E4421" s="5" t="s">
        <v>12506</v>
      </c>
      <c r="F4421" s="5" t="s">
        <v>12507</v>
      </c>
      <c r="G4421" s="5" t="s">
        <v>152</v>
      </c>
      <c r="H4421" s="5" t="s">
        <v>12723</v>
      </c>
      <c r="I4421" s="5" t="s">
        <v>12809</v>
      </c>
      <c r="J4421" s="5" t="s">
        <v>12810</v>
      </c>
      <c r="K4421" s="7" t="str">
        <f ca="1">IFERROR(__xludf.DUMMYFUNCTION("GOOGLETRANSLATE(H4421,""EN"",""ES"")"),"EQUIPO DE CAZA Y PESCA")</f>
        <v>EQUIPO DE CAZA Y PESCA</v>
      </c>
      <c r="L4421" s="5" t="str">
        <f ca="1">IFERROR(__xludf.DUMMYFUNCTION("GOOGLETRANSLATE(J4421,""EN"",""ES"")"),"Peces artificiales con anzuelos [cebo]")</f>
        <v>Peces artificiales con anzuelos [cebo]</v>
      </c>
      <c r="M4421" s="8" t="s">
        <v>71</v>
      </c>
      <c r="N4421" s="8"/>
    </row>
    <row r="4422" spans="1:14" ht="11.25" customHeight="1">
      <c r="A4422" s="5" t="s">
        <v>12502</v>
      </c>
      <c r="B4422" s="5" t="s">
        <v>12721</v>
      </c>
      <c r="C4422" s="5" t="s">
        <v>12811</v>
      </c>
      <c r="D4422" s="5" t="s">
        <v>12505</v>
      </c>
      <c r="E4422" s="5" t="s">
        <v>12506</v>
      </c>
      <c r="F4422" s="5" t="s">
        <v>12507</v>
      </c>
      <c r="G4422" s="5" t="s">
        <v>152</v>
      </c>
      <c r="H4422" s="5" t="s">
        <v>12723</v>
      </c>
      <c r="I4422" s="5" t="s">
        <v>12812</v>
      </c>
      <c r="J4422" s="5" t="s">
        <v>12813</v>
      </c>
      <c r="K4422" s="7" t="str">
        <f ca="1">IFERROR(__xludf.DUMMYFUNCTION("GOOGLETRANSLATE(H4422,""EN"",""ES"")"),"EQUIPO DE CAZA Y PESCA")</f>
        <v>EQUIPO DE CAZA Y PESCA</v>
      </c>
      <c r="L4422" s="5" t="str">
        <f ca="1">IFERROR(__xludf.DUMMYFUNCTION("GOOGLETRANSLATE(J4422,""EN"",""ES"")"),"Porta cebos de pesca")</f>
        <v>Porta cebos de pesca</v>
      </c>
      <c r="M4422" s="8" t="s">
        <v>71</v>
      </c>
      <c r="N4422" s="8"/>
    </row>
    <row r="4423" spans="1:14" ht="11.25" customHeight="1">
      <c r="A4423" s="5" t="s">
        <v>12502</v>
      </c>
      <c r="B4423" s="5" t="s">
        <v>12721</v>
      </c>
      <c r="C4423" s="5" t="s">
        <v>12814</v>
      </c>
      <c r="D4423" s="5" t="s">
        <v>12505</v>
      </c>
      <c r="E4423" s="5" t="s">
        <v>12506</v>
      </c>
      <c r="F4423" s="5" t="s">
        <v>12507</v>
      </c>
      <c r="G4423" s="5" t="s">
        <v>152</v>
      </c>
      <c r="H4423" s="5" t="s">
        <v>12723</v>
      </c>
      <c r="I4423" s="5" t="s">
        <v>12815</v>
      </c>
      <c r="J4423" s="5" t="s">
        <v>12816</v>
      </c>
      <c r="K4423" s="7" t="str">
        <f ca="1">IFERROR(__xludf.DUMMYFUNCTION("GOOGLETRANSLATE(H4423,""EN"",""ES"")"),"EQUIPO DE CAZA Y PESCA")</f>
        <v>EQUIPO DE CAZA Y PESCA</v>
      </c>
      <c r="L4423" s="5" t="str">
        <f ca="1">IFERROR(__xludf.DUMMYFUNCTION("GOOGLETRANSLATE(J4423,""EN"",""ES"")"),"Porta cañas de pescar")</f>
        <v>Porta cañas de pescar</v>
      </c>
      <c r="M4423" s="8" t="s">
        <v>71</v>
      </c>
      <c r="N4423" s="8"/>
    </row>
    <row r="4424" spans="1:14" ht="11.25" customHeight="1">
      <c r="A4424" s="5" t="s">
        <v>12502</v>
      </c>
      <c r="B4424" s="5" t="s">
        <v>12721</v>
      </c>
      <c r="C4424" s="5" t="s">
        <v>12817</v>
      </c>
      <c r="D4424" s="5" t="s">
        <v>12505</v>
      </c>
      <c r="E4424" s="5" t="s">
        <v>12506</v>
      </c>
      <c r="F4424" s="5" t="s">
        <v>12507</v>
      </c>
      <c r="G4424" s="5" t="s">
        <v>152</v>
      </c>
      <c r="H4424" s="5" t="s">
        <v>12723</v>
      </c>
      <c r="I4424" s="5" t="s">
        <v>12818</v>
      </c>
      <c r="J4424" s="5" t="s">
        <v>12819</v>
      </c>
      <c r="K4424" s="7" t="str">
        <f ca="1">IFERROR(__xludf.DUMMYFUNCTION("GOOGLETRANSLATE(H4424,""EN"",""ES"")"),"EQUIPO DE CAZA Y PESCA")</f>
        <v>EQUIPO DE CAZA Y PESCA</v>
      </c>
      <c r="L4424" s="5" t="str">
        <f ca="1">IFERROR(__xludf.DUMMYFUNCTION("GOOGLETRANSLATE(J4424,""EN"",""ES"")"),"Accesorios para cañas de pescar")</f>
        <v>Accesorios para cañas de pescar</v>
      </c>
      <c r="M4424" s="8" t="s">
        <v>71</v>
      </c>
      <c r="N4424" s="8"/>
    </row>
    <row r="4425" spans="1:14" ht="11.25" customHeight="1">
      <c r="A4425" s="5" t="s">
        <v>12502</v>
      </c>
      <c r="B4425" s="5" t="s">
        <v>12721</v>
      </c>
      <c r="C4425" s="5" t="s">
        <v>12820</v>
      </c>
      <c r="D4425" s="5" t="s">
        <v>12505</v>
      </c>
      <c r="E4425" s="5" t="s">
        <v>12506</v>
      </c>
      <c r="F4425" s="5" t="s">
        <v>12507</v>
      </c>
      <c r="G4425" s="5" t="s">
        <v>152</v>
      </c>
      <c r="H4425" s="5" t="s">
        <v>12723</v>
      </c>
      <c r="I4425" s="5" t="s">
        <v>12821</v>
      </c>
      <c r="J4425" s="5" t="s">
        <v>12822</v>
      </c>
      <c r="K4425" s="7" t="str">
        <f ca="1">IFERROR(__xludf.DUMMYFUNCTION("GOOGLETRANSLATE(H4425,""EN"",""ES"")"),"EQUIPO DE CAZA Y PESCA")</f>
        <v>EQUIPO DE CAZA Y PESCA</v>
      </c>
      <c r="L4425" s="5" t="str">
        <f ca="1">IFERROR(__xludf.DUMMYFUNCTION("GOOGLETRANSLATE(J4425,""EN"",""ES"")"),"Limpiadores de redes de pesca")</f>
        <v>Limpiadores de redes de pesca</v>
      </c>
      <c r="M4425" s="8" t="s">
        <v>71</v>
      </c>
      <c r="N4425" s="8"/>
    </row>
    <row r="4426" spans="1:14" ht="11.25" customHeight="1">
      <c r="A4426" s="5" t="s">
        <v>12502</v>
      </c>
      <c r="B4426" s="5" t="s">
        <v>12721</v>
      </c>
      <c r="C4426" s="5" t="s">
        <v>12820</v>
      </c>
      <c r="D4426" s="5" t="s">
        <v>12505</v>
      </c>
      <c r="E4426" s="5" t="s">
        <v>12506</v>
      </c>
      <c r="F4426" s="5" t="s">
        <v>12507</v>
      </c>
      <c r="G4426" s="5" t="s">
        <v>152</v>
      </c>
      <c r="H4426" s="5" t="s">
        <v>12723</v>
      </c>
      <c r="I4426" s="5" t="s">
        <v>152</v>
      </c>
      <c r="J4426" s="5" t="s">
        <v>12823</v>
      </c>
      <c r="K4426" s="7" t="str">
        <f ca="1">IFERROR(__xludf.DUMMYFUNCTION("GOOGLETRANSLATE(H4426,""EN"",""ES"")"),"EQUIPO DE CAZA Y PESCA")</f>
        <v>EQUIPO DE CAZA Y PESCA</v>
      </c>
      <c r="L4426" s="5" t="str">
        <f ca="1">IFERROR(__xludf.DUMMYFUNCTION("GOOGLETRANSLATE(J4426,""EN"",""ES"")"),"N / A")</f>
        <v>N / A</v>
      </c>
      <c r="M4426" s="8" t="s">
        <v>71</v>
      </c>
      <c r="N4426" s="8"/>
    </row>
    <row r="4427" spans="1:14" ht="11.25" customHeight="1">
      <c r="A4427" s="5" t="s">
        <v>12502</v>
      </c>
      <c r="B4427" s="5" t="s">
        <v>12721</v>
      </c>
      <c r="C4427" s="5" t="s">
        <v>12824</v>
      </c>
      <c r="D4427" s="5" t="s">
        <v>12505</v>
      </c>
      <c r="E4427" s="5" t="s">
        <v>12506</v>
      </c>
      <c r="F4427" s="5" t="s">
        <v>12507</v>
      </c>
      <c r="G4427" s="5" t="s">
        <v>152</v>
      </c>
      <c r="H4427" s="5" t="s">
        <v>12723</v>
      </c>
      <c r="I4427" s="5" t="s">
        <v>12825</v>
      </c>
      <c r="J4427" s="5" t="s">
        <v>12826</v>
      </c>
      <c r="K4427" s="7" t="str">
        <f ca="1">IFERROR(__xludf.DUMMYFUNCTION("GOOGLETRANSLATE(H4427,""EN"",""ES"")"),"EQUIPO DE CAZA Y PESCA")</f>
        <v>EQUIPO DE CAZA Y PESCA</v>
      </c>
      <c r="L4427" s="5" t="str">
        <f ca="1">IFERROR(__xludf.DUMMYFUNCTION("GOOGLETRANSLATE(J4427,""EN"",""ES"")"),"Luces de pesca submarinas para atraer peces.")</f>
        <v>Luces de pesca submarinas para atraer peces.</v>
      </c>
      <c r="M4427" s="8" t="s">
        <v>71</v>
      </c>
      <c r="N4427" s="8"/>
    </row>
    <row r="4428" spans="1:14" ht="11.25" customHeight="1">
      <c r="A4428" s="5" t="s">
        <v>12502</v>
      </c>
      <c r="B4428" s="5" t="s">
        <v>12827</v>
      </c>
      <c r="C4428" s="5" t="s">
        <v>12828</v>
      </c>
      <c r="D4428" s="5" t="s">
        <v>12505</v>
      </c>
      <c r="E4428" s="5" t="s">
        <v>12506</v>
      </c>
      <c r="F4428" s="5" t="s">
        <v>12507</v>
      </c>
      <c r="G4428" s="5" t="s">
        <v>152</v>
      </c>
      <c r="H4428" s="5" t="s">
        <v>12829</v>
      </c>
      <c r="I4428" s="5" t="s">
        <v>12830</v>
      </c>
      <c r="J4428" s="5" t="s">
        <v>12831</v>
      </c>
      <c r="K4428" s="7" t="str">
        <f ca="1">IFERROR(__xludf.DUMMYFUNCTION("GOOGLETRANSLATE(H4428,""EN"",""ES"")"),"TRAMPAS, ARTÍCULOS PARA MATAR PLAGAS")</f>
        <v>TRAMPAS, ARTÍCULOS PARA MATAR PLAGAS</v>
      </c>
      <c r="L4428" s="5" t="str">
        <f ca="1">IFERROR(__xludf.DUMMYFUNCTION("GOOGLETRANSLATE(J4428,""EN"",""ES"")"),"Trampas y artículos para la destrucción de plagas.")</f>
        <v>Trampas y artículos para la destrucción de plagas.</v>
      </c>
      <c r="M4428" s="8"/>
      <c r="N4428" s="8"/>
    </row>
    <row r="4429" spans="1:14" ht="11.25" customHeight="1">
      <c r="A4429" s="5" t="s">
        <v>12502</v>
      </c>
      <c r="B4429" s="5" t="s">
        <v>12827</v>
      </c>
      <c r="C4429" s="5" t="s">
        <v>12832</v>
      </c>
      <c r="D4429" s="5" t="s">
        <v>12505</v>
      </c>
      <c r="E4429" s="5" t="s">
        <v>12506</v>
      </c>
      <c r="F4429" s="5" t="s">
        <v>12507</v>
      </c>
      <c r="G4429" s="5" t="s">
        <v>152</v>
      </c>
      <c r="H4429" s="5" t="s">
        <v>12829</v>
      </c>
      <c r="I4429" s="5" t="s">
        <v>12833</v>
      </c>
      <c r="J4429" s="5" t="s">
        <v>12834</v>
      </c>
      <c r="K4429" s="7" t="str">
        <f ca="1">IFERROR(__xludf.DUMMYFUNCTION("GOOGLETRANSLATE(H4429,""EN"",""ES"")"),"TRAMPAS, ARTÍCULOS PARA MATAR PLAGAS")</f>
        <v>TRAMPAS, ARTÍCULOS PARA MATAR PLAGAS</v>
      </c>
      <c r="L4429" s="5" t="str">
        <f ca="1">IFERROR(__xludf.DUMMYFUNCTION("GOOGLETRANSLATE(J4429,""EN"",""ES"")"),"Redes para atrapar insectos o pájaros")</f>
        <v>Redes para atrapar insectos o pájaros</v>
      </c>
      <c r="M4429" s="8"/>
      <c r="N4429" s="8"/>
    </row>
    <row r="4430" spans="1:14" ht="11.25" customHeight="1">
      <c r="A4430" s="5" t="s">
        <v>12502</v>
      </c>
      <c r="B4430" s="5" t="s">
        <v>12827</v>
      </c>
      <c r="C4430" s="5" t="s">
        <v>12835</v>
      </c>
      <c r="D4430" s="5" t="s">
        <v>12505</v>
      </c>
      <c r="E4430" s="5" t="s">
        <v>12506</v>
      </c>
      <c r="F4430" s="5" t="s">
        <v>12507</v>
      </c>
      <c r="G4430" s="5" t="s">
        <v>152</v>
      </c>
      <c r="H4430" s="5" t="s">
        <v>12829</v>
      </c>
      <c r="I4430" s="5" t="s">
        <v>12836</v>
      </c>
      <c r="J4430" s="5" t="s">
        <v>12837</v>
      </c>
      <c r="K4430" s="7" t="str">
        <f ca="1">IFERROR(__xludf.DUMMYFUNCTION("GOOGLETRANSLATE(H4430,""EN"",""ES"")"),"TRAMPAS, ARTÍCULOS PARA MATAR PLAGAS")</f>
        <v>TRAMPAS, ARTÍCULOS PARA MATAR PLAGAS</v>
      </c>
      <c r="L4430" s="5" t="str">
        <f ca="1">IFERROR(__xludf.DUMMYFUNCTION("GOOGLETRANSLATE(J4430,""EN"",""ES"")"),"Trampas para animales")</f>
        <v>Trampas para animales</v>
      </c>
      <c r="M4430" s="8"/>
      <c r="N4430" s="8"/>
    </row>
    <row r="4431" spans="1:14" ht="11.25" customHeight="1">
      <c r="A4431" s="5" t="s">
        <v>12502</v>
      </c>
      <c r="B4431" s="5" t="s">
        <v>12827</v>
      </c>
      <c r="C4431" s="5" t="s">
        <v>12838</v>
      </c>
      <c r="D4431" s="5" t="s">
        <v>12505</v>
      </c>
      <c r="E4431" s="5" t="s">
        <v>12506</v>
      </c>
      <c r="F4431" s="5" t="s">
        <v>12507</v>
      </c>
      <c r="G4431" s="5" t="s">
        <v>152</v>
      </c>
      <c r="H4431" s="5" t="s">
        <v>12829</v>
      </c>
      <c r="I4431" s="5" t="s">
        <v>12839</v>
      </c>
      <c r="J4431" s="5" t="s">
        <v>12840</v>
      </c>
      <c r="K4431" s="7" t="str">
        <f ca="1">IFERROR(__xludf.DUMMYFUNCTION("GOOGLETRANSLATE(H4431,""EN"",""ES"")"),"TRAMPAS, ARTÍCULOS PARA MATAR PLAGAS")</f>
        <v>TRAMPAS, ARTÍCULOS PARA MATAR PLAGAS</v>
      </c>
      <c r="L4431" s="5" t="str">
        <f ca="1">IFERROR(__xludf.DUMMYFUNCTION("GOOGLETRANSLATE(J4431,""EN"",""ES"")"),"Trampas para insectos [eléctricas o no eléctricas]")</f>
        <v>Trampas para insectos [eléctricas o no eléctricas]</v>
      </c>
      <c r="M4431" s="8"/>
      <c r="N4431" s="8"/>
    </row>
    <row r="4432" spans="1:14" ht="11.25" customHeight="1">
      <c r="A4432" s="5" t="s">
        <v>12502</v>
      </c>
      <c r="B4432" s="5" t="s">
        <v>12827</v>
      </c>
      <c r="C4432" s="5" t="s">
        <v>12841</v>
      </c>
      <c r="D4432" s="5" t="s">
        <v>12505</v>
      </c>
      <c r="E4432" s="5" t="s">
        <v>12506</v>
      </c>
      <c r="F4432" s="5" t="s">
        <v>12507</v>
      </c>
      <c r="G4432" s="5" t="s">
        <v>152</v>
      </c>
      <c r="H4432" s="5" t="s">
        <v>12829</v>
      </c>
      <c r="I4432" s="5" t="s">
        <v>12842</v>
      </c>
      <c r="J4432" s="5" t="s">
        <v>12843</v>
      </c>
      <c r="K4432" s="7" t="str">
        <f ca="1">IFERROR(__xludf.DUMMYFUNCTION("GOOGLETRANSLATE(H4432,""EN"",""ES"")"),"TRAMPAS, ARTÍCULOS PARA MATAR PLAGAS")</f>
        <v>TRAMPAS, ARTÍCULOS PARA MATAR PLAGAS</v>
      </c>
      <c r="L4432" s="5" t="str">
        <f ca="1">IFERROR(__xludf.DUMMYFUNCTION("GOOGLETRANSLATE(J4432,""EN"",""ES"")"),"Trampas para ratas")</f>
        <v>Trampas para ratas</v>
      </c>
      <c r="M4432" s="8"/>
      <c r="N4432" s="8"/>
    </row>
    <row r="4433" spans="1:14" ht="11.25" customHeight="1">
      <c r="A4433" s="5" t="s">
        <v>12502</v>
      </c>
      <c r="B4433" s="5" t="s">
        <v>12827</v>
      </c>
      <c r="C4433" s="5" t="s">
        <v>12844</v>
      </c>
      <c r="D4433" s="5" t="s">
        <v>12505</v>
      </c>
      <c r="E4433" s="5" t="s">
        <v>12506</v>
      </c>
      <c r="F4433" s="5" t="s">
        <v>12507</v>
      </c>
      <c r="G4433" s="5" t="s">
        <v>152</v>
      </c>
      <c r="H4433" s="5" t="s">
        <v>12829</v>
      </c>
      <c r="I4433" s="5" t="s">
        <v>12845</v>
      </c>
      <c r="J4433" s="5" t="s">
        <v>12846</v>
      </c>
      <c r="K4433" s="7" t="str">
        <f ca="1">IFERROR(__xludf.DUMMYFUNCTION("GOOGLETRANSLATE(H4433,""EN"",""ES"")"),"TRAMPAS, ARTÍCULOS PARA MATAR PLAGAS")</f>
        <v>TRAMPAS, ARTÍCULOS PARA MATAR PLAGAS</v>
      </c>
      <c r="L4433" s="5" t="str">
        <f ca="1">IFERROR(__xludf.DUMMYFUNCTION("GOOGLETRANSLATE(J4433,""EN"",""ES"")"),"Trampas para ratones")</f>
        <v>Trampas para ratones</v>
      </c>
      <c r="M4433" s="8"/>
      <c r="N4433" s="8"/>
    </row>
    <row r="4434" spans="1:14" ht="11.25" customHeight="1">
      <c r="A4434" s="5" t="s">
        <v>12502</v>
      </c>
      <c r="B4434" s="5" t="s">
        <v>12827</v>
      </c>
      <c r="C4434" s="5" t="s">
        <v>12847</v>
      </c>
      <c r="D4434" s="5" t="s">
        <v>12505</v>
      </c>
      <c r="E4434" s="5" t="s">
        <v>12506</v>
      </c>
      <c r="F4434" s="5" t="s">
        <v>12507</v>
      </c>
      <c r="G4434" s="5" t="s">
        <v>152</v>
      </c>
      <c r="H4434" s="5" t="s">
        <v>12829</v>
      </c>
      <c r="I4434" s="5" t="s">
        <v>12848</v>
      </c>
      <c r="J4434" s="5" t="s">
        <v>12849</v>
      </c>
      <c r="K4434" s="7" t="str">
        <f ca="1">IFERROR(__xludf.DUMMYFUNCTION("GOOGLETRANSLATE(H4434,""EN"",""ES"")"),"TRAMPAS, ARTÍCULOS PARA MATAR PLAGAS")</f>
        <v>TRAMPAS, ARTÍCULOS PARA MATAR PLAGAS</v>
      </c>
      <c r="L4434" s="5" t="str">
        <f ca="1">IFERROR(__xludf.DUMMYFUNCTION("GOOGLETRANSLATE(J4434,""EN"",""ES"")"),"Linternas de oruga [trampas]")</f>
        <v>Linternas de oruga [trampas]</v>
      </c>
      <c r="M4434" s="8"/>
      <c r="N4434" s="8"/>
    </row>
    <row r="4435" spans="1:14" ht="11.25" customHeight="1">
      <c r="A4435" s="5" t="s">
        <v>12502</v>
      </c>
      <c r="B4435" s="5" t="s">
        <v>12827</v>
      </c>
      <c r="C4435" s="5" t="s">
        <v>12850</v>
      </c>
      <c r="D4435" s="5" t="s">
        <v>12505</v>
      </c>
      <c r="E4435" s="5" t="s">
        <v>12506</v>
      </c>
      <c r="F4435" s="5" t="s">
        <v>12507</v>
      </c>
      <c r="G4435" s="5" t="s">
        <v>152</v>
      </c>
      <c r="H4435" s="5" t="s">
        <v>12829</v>
      </c>
      <c r="I4435" s="5" t="s">
        <v>12851</v>
      </c>
      <c r="J4435" s="5" t="s">
        <v>12852</v>
      </c>
      <c r="K4435" s="7" t="str">
        <f ca="1">IFERROR(__xludf.DUMMYFUNCTION("GOOGLETRANSLATE(H4435,""EN"",""ES"")"),"TRAMPAS, ARTÍCULOS PARA MATAR PLAGAS")</f>
        <v>TRAMPAS, ARTÍCULOS PARA MATAR PLAGAS</v>
      </c>
      <c r="L4435" s="5" t="str">
        <f ca="1">IFERROR(__xludf.DUMMYFUNCTION("GOOGLETRANSLATE(J4435,""EN"",""ES"")"),"espejos de alondra")</f>
        <v>espejos de alondra</v>
      </c>
      <c r="M4435" s="8"/>
      <c r="N4435" s="8"/>
    </row>
    <row r="4436" spans="1:14" ht="11.25" customHeight="1">
      <c r="A4436" s="5" t="s">
        <v>12502</v>
      </c>
      <c r="B4436" s="5" t="s">
        <v>12827</v>
      </c>
      <c r="C4436" s="5" t="s">
        <v>12853</v>
      </c>
      <c r="D4436" s="5" t="s">
        <v>12505</v>
      </c>
      <c r="E4436" s="5" t="s">
        <v>12506</v>
      </c>
      <c r="F4436" s="5" t="s">
        <v>12507</v>
      </c>
      <c r="G4436" s="5" t="s">
        <v>152</v>
      </c>
      <c r="H4436" s="5" t="s">
        <v>12829</v>
      </c>
      <c r="I4436" s="5" t="s">
        <v>12854</v>
      </c>
      <c r="J4436" s="5" t="s">
        <v>12855</v>
      </c>
      <c r="K4436" s="7" t="str">
        <f ca="1">IFERROR(__xludf.DUMMYFUNCTION("GOOGLETRANSLATE(H4436,""EN"",""ES"")"),"TRAMPAS, ARTÍCULOS PARA MATAR PLAGAS")</f>
        <v>TRAMPAS, ARTÍCULOS PARA MATAR PLAGAS</v>
      </c>
      <c r="L4436" s="5" t="str">
        <f ca="1">IFERROR(__xludf.DUMMYFUNCTION("GOOGLETRANSLATE(J4436,""EN"",""ES"")"),"Porta matamoscas")</f>
        <v>Porta matamoscas</v>
      </c>
      <c r="M4436" s="8"/>
      <c r="N4436" s="8"/>
    </row>
    <row r="4437" spans="1:14" ht="11.25" customHeight="1">
      <c r="A4437" s="5" t="s">
        <v>12502</v>
      </c>
      <c r="B4437" s="5" t="s">
        <v>12827</v>
      </c>
      <c r="C4437" s="5" t="s">
        <v>12856</v>
      </c>
      <c r="D4437" s="5" t="s">
        <v>12505</v>
      </c>
      <c r="E4437" s="5" t="s">
        <v>12506</v>
      </c>
      <c r="F4437" s="5" t="s">
        <v>12507</v>
      </c>
      <c r="G4437" s="5" t="s">
        <v>152</v>
      </c>
      <c r="H4437" s="5" t="s">
        <v>12829</v>
      </c>
      <c r="I4437" s="5" t="s">
        <v>12857</v>
      </c>
      <c r="J4437" s="5" t="s">
        <v>12858</v>
      </c>
      <c r="K4437" s="7" t="str">
        <f ca="1">IFERROR(__xludf.DUMMYFUNCTION("GOOGLETRANSLATE(H4437,""EN"",""ES"")"),"TRAMPAS, ARTÍCULOS PARA MATAR PLAGAS")</f>
        <v>TRAMPAS, ARTÍCULOS PARA MATAR PLAGAS</v>
      </c>
      <c r="L4437" s="5" t="str">
        <f ca="1">IFERROR(__xludf.DUMMYFUNCTION("GOOGLETRANSLATE(J4437,""EN"",""ES"")"),"matamoscas")</f>
        <v>matamoscas</v>
      </c>
      <c r="M4437" s="8"/>
      <c r="N4437" s="8"/>
    </row>
    <row r="4438" spans="1:14" ht="11.25" customHeight="1">
      <c r="A4438" s="5" t="s">
        <v>12502</v>
      </c>
      <c r="B4438" s="5" t="s">
        <v>12827</v>
      </c>
      <c r="C4438" s="5" t="s">
        <v>12856</v>
      </c>
      <c r="D4438" s="5" t="s">
        <v>12505</v>
      </c>
      <c r="E4438" s="5" t="s">
        <v>12506</v>
      </c>
      <c r="F4438" s="5" t="s">
        <v>12507</v>
      </c>
      <c r="G4438" s="5" t="s">
        <v>152</v>
      </c>
      <c r="H4438" s="5" t="s">
        <v>12829</v>
      </c>
      <c r="I4438" s="5" t="s">
        <v>152</v>
      </c>
      <c r="J4438" s="5" t="s">
        <v>12859</v>
      </c>
      <c r="K4438" s="7" t="str">
        <f ca="1">IFERROR(__xludf.DUMMYFUNCTION("GOOGLETRANSLATE(H4438,""EN"",""ES"")"),"TRAMPAS, ARTÍCULOS PARA MATAR PLAGAS")</f>
        <v>TRAMPAS, ARTÍCULOS PARA MATAR PLAGAS</v>
      </c>
      <c r="L4438" s="5" t="str">
        <f ca="1">IFERROR(__xludf.DUMMYFUNCTION("GOOGLETRANSLATE(J4438,""EN"",""ES"")"),"N / A")</f>
        <v>N / A</v>
      </c>
      <c r="M4438" s="8"/>
      <c r="N4438" s="8"/>
    </row>
    <row r="4439" spans="1:14" ht="11.25" customHeight="1">
      <c r="A4439" s="5" t="s">
        <v>12502</v>
      </c>
      <c r="B4439" s="5" t="s">
        <v>12827</v>
      </c>
      <c r="C4439" s="5" t="s">
        <v>12860</v>
      </c>
      <c r="D4439" s="5" t="s">
        <v>12505</v>
      </c>
      <c r="E4439" s="5" t="s">
        <v>12506</v>
      </c>
      <c r="F4439" s="5" t="s">
        <v>12507</v>
      </c>
      <c r="G4439" s="5" t="s">
        <v>152</v>
      </c>
      <c r="H4439" s="5" t="s">
        <v>12829</v>
      </c>
      <c r="I4439" s="5" t="s">
        <v>12861</v>
      </c>
      <c r="J4439" s="5" t="s">
        <v>12862</v>
      </c>
      <c r="K4439" s="7" t="str">
        <f ca="1">IFERROR(__xludf.DUMMYFUNCTION("GOOGLETRANSLATE(H4439,""EN"",""ES"")"),"TRAMPAS, ARTÍCULOS PARA MATAR PLAGAS")</f>
        <v>TRAMPAS, ARTÍCULOS PARA MATAR PLAGAS</v>
      </c>
      <c r="L4439" s="5" t="str">
        <f ca="1">IFERROR(__xludf.DUMMYFUNCTION("GOOGLETRANSLATE(J4439,""EN"",""ES"")"),"Atomizadores para insecticidas [excepto dispensadores de aerosoles y atomizadores agrícolas]")</f>
        <v>Atomizadores para insecticidas [excepto dispensadores de aerosoles y atomizadores agrícolas]</v>
      </c>
      <c r="M4439" s="8"/>
      <c r="N4439" s="8"/>
    </row>
    <row r="4440" spans="1:14" ht="11.25" customHeight="1">
      <c r="A4440" s="5" t="s">
        <v>12502</v>
      </c>
      <c r="B4440" s="5" t="s">
        <v>12827</v>
      </c>
      <c r="C4440" s="5" t="s">
        <v>12863</v>
      </c>
      <c r="D4440" s="5" t="s">
        <v>12505</v>
      </c>
      <c r="E4440" s="5" t="s">
        <v>12506</v>
      </c>
      <c r="F4440" s="5" t="s">
        <v>12507</v>
      </c>
      <c r="G4440" s="5" t="s">
        <v>152</v>
      </c>
      <c r="H4440" s="5" t="s">
        <v>12829</v>
      </c>
      <c r="I4440" s="5" t="s">
        <v>12864</v>
      </c>
      <c r="J4440" s="5" t="s">
        <v>12865</v>
      </c>
      <c r="K4440" s="7" t="str">
        <f ca="1">IFERROR(__xludf.DUMMYFUNCTION("GOOGLETRANSLATE(H4440,""EN"",""ES"")"),"TRAMPAS, ARTÍCULOS PARA MATAR PLAGAS")</f>
        <v>TRAMPAS, ARTÍCULOS PARA MATAR PLAGAS</v>
      </c>
      <c r="L4440" s="5" t="str">
        <f ca="1">IFERROR(__xludf.DUMMYFUNCTION("GOOGLETRANSLATE(J4440,""EN"",""ES"")"),"Trampas para polillas")</f>
        <v>Trampas para polillas</v>
      </c>
      <c r="M4440" s="8"/>
      <c r="N4440" s="8"/>
    </row>
    <row r="4441" spans="1:14" ht="11.25" customHeight="1">
      <c r="A4441" s="5" t="s">
        <v>12502</v>
      </c>
      <c r="B4441" s="5" t="s">
        <v>12827</v>
      </c>
      <c r="C4441" s="5" t="s">
        <v>12866</v>
      </c>
      <c r="D4441" s="5" t="s">
        <v>12505</v>
      </c>
      <c r="E4441" s="5" t="s">
        <v>12506</v>
      </c>
      <c r="F4441" s="5" t="s">
        <v>12507</v>
      </c>
      <c r="G4441" s="5" t="s">
        <v>152</v>
      </c>
      <c r="H4441" s="5" t="s">
        <v>12829</v>
      </c>
      <c r="I4441" s="5" t="s">
        <v>12867</v>
      </c>
      <c r="J4441" s="5" t="s">
        <v>12868</v>
      </c>
      <c r="K4441" s="7" t="str">
        <f ca="1">IFERROR(__xludf.DUMMYFUNCTION("GOOGLETRANSLATE(H4441,""EN"",""ES"")"),"TRAMPAS, ARTÍCULOS PARA MATAR PLAGAS")</f>
        <v>TRAMPAS, ARTÍCULOS PARA MATAR PLAGAS</v>
      </c>
      <c r="L4441" s="5" t="str">
        <f ca="1">IFERROR(__xludf.DUMMYFUNCTION("GOOGLETRANSLATE(J4441,""EN"",""ES"")"),"Cebos para trampas para ratones o trampas para ratas")</f>
        <v>Cebos para trampas para ratones o trampas para ratas</v>
      </c>
      <c r="M4441" s="8"/>
      <c r="N4441" s="8"/>
    </row>
    <row r="4442" spans="1:14" ht="11.25" customHeight="1">
      <c r="A4442" s="5" t="s">
        <v>12502</v>
      </c>
      <c r="B4442" s="5" t="s">
        <v>12827</v>
      </c>
      <c r="C4442" s="5" t="s">
        <v>12869</v>
      </c>
      <c r="D4442" s="5" t="s">
        <v>12505</v>
      </c>
      <c r="E4442" s="5" t="s">
        <v>12506</v>
      </c>
      <c r="F4442" s="5" t="s">
        <v>12507</v>
      </c>
      <c r="G4442" s="5" t="s">
        <v>152</v>
      </c>
      <c r="H4442" s="5" t="s">
        <v>12829</v>
      </c>
      <c r="I4442" s="5" t="s">
        <v>12870</v>
      </c>
      <c r="J4442" s="5" t="s">
        <v>12871</v>
      </c>
      <c r="K4442" s="7" t="str">
        <f ca="1">IFERROR(__xludf.DUMMYFUNCTION("GOOGLETRANSLATE(H4442,""EN"",""ES"")"),"TRAMPAS, ARTÍCULOS PARA MATAR PLAGAS")</f>
        <v>TRAMPAS, ARTÍCULOS PARA MATAR PLAGAS</v>
      </c>
      <c r="L4442" s="5" t="str">
        <f ca="1">IFERROR(__xludf.DUMMYFUNCTION("GOOGLETRANSLATE(J4442,""EN"",""ES"")"),"pulseras repelentes de mosquitos")</f>
        <v>pulseras repelentes de mosquitos</v>
      </c>
      <c r="M4442" s="8"/>
      <c r="N4442" s="8"/>
    </row>
    <row r="4443" spans="1:14" ht="11.25" customHeight="1">
      <c r="A4443" s="5" t="s">
        <v>12502</v>
      </c>
      <c r="B4443" s="5" t="s">
        <v>12827</v>
      </c>
      <c r="C4443" s="5" t="s">
        <v>12872</v>
      </c>
      <c r="D4443" s="5" t="s">
        <v>12505</v>
      </c>
      <c r="E4443" s="5" t="s">
        <v>12506</v>
      </c>
      <c r="F4443" s="5" t="s">
        <v>12507</v>
      </c>
      <c r="G4443" s="5" t="s">
        <v>152</v>
      </c>
      <c r="H4443" s="5" t="s">
        <v>12829</v>
      </c>
      <c r="I4443" s="5" t="s">
        <v>12873</v>
      </c>
      <c r="J4443" s="5" t="s">
        <v>12874</v>
      </c>
      <c r="K4443" s="7" t="str">
        <f ca="1">IFERROR(__xludf.DUMMYFUNCTION("GOOGLETRANSLATE(H4443,""EN"",""ES"")"),"TRAMPAS, ARTÍCULOS PARA MATAR PLAGAS")</f>
        <v>TRAMPAS, ARTÍCULOS PARA MATAR PLAGAS</v>
      </c>
      <c r="L4443" s="5" t="str">
        <f ca="1">IFERROR(__xludf.DUMMYFUNCTION("GOOGLETRANSLATE(J4443,""EN"",""ES"")"),"Recambios para pulseras repelentes de mosquitos")</f>
        <v>Recambios para pulseras repelentes de mosquitos</v>
      </c>
      <c r="M4443" s="8"/>
      <c r="N4443" s="8"/>
    </row>
    <row r="4444" spans="1:14" ht="11.25" customHeight="1">
      <c r="A4444" s="5" t="s">
        <v>12502</v>
      </c>
      <c r="B4444" s="5" t="s">
        <v>12875</v>
      </c>
      <c r="C4444" s="5" t="s">
        <v>12876</v>
      </c>
      <c r="D4444" s="5" t="s">
        <v>12505</v>
      </c>
      <c r="E4444" s="5" t="s">
        <v>12506</v>
      </c>
      <c r="F4444" s="5" t="s">
        <v>12507</v>
      </c>
      <c r="G4444" s="5" t="s">
        <v>152</v>
      </c>
      <c r="H4444" s="5" t="s">
        <v>330</v>
      </c>
      <c r="I4444" s="5" t="s">
        <v>12877</v>
      </c>
      <c r="J4444" s="5" t="s">
        <v>12878</v>
      </c>
      <c r="K4444" s="7" t="str">
        <f ca="1">IFERROR(__xludf.DUMMYFUNCTION("GOOGLETRANSLATE(H4444,""EN"",""ES"")"),"MISCELÁNEAS")</f>
        <v>MISCELÁNEAS</v>
      </c>
      <c r="L4444" s="5" t="str">
        <f ca="1">IFERROR(__xludf.DUMMYFUNCTION("GOOGLETRANSLATE(J4444,""EN"",""ES"")"),"Armadura")</f>
        <v>Armadura</v>
      </c>
      <c r="M4444" s="8"/>
      <c r="N4444" s="8"/>
    </row>
    <row r="4445" spans="1:14" ht="11.25" customHeight="1">
      <c r="A4445" s="5" t="s">
        <v>12502</v>
      </c>
      <c r="B4445" s="5" t="s">
        <v>12875</v>
      </c>
      <c r="C4445" s="5" t="s">
        <v>12879</v>
      </c>
      <c r="D4445" s="5" t="s">
        <v>12505</v>
      </c>
      <c r="E4445" s="5" t="s">
        <v>12506</v>
      </c>
      <c r="F4445" s="5" t="s">
        <v>12507</v>
      </c>
      <c r="G4445" s="5" t="s">
        <v>152</v>
      </c>
      <c r="H4445" s="5" t="s">
        <v>330</v>
      </c>
      <c r="I4445" s="5" t="s">
        <v>12880</v>
      </c>
      <c r="J4445" s="5" t="s">
        <v>12881</v>
      </c>
      <c r="K4445" s="7" t="str">
        <f ca="1">IFERROR(__xludf.DUMMYFUNCTION("GOOGLETRANSLATE(H4445,""EN"",""ES"")"),"MISCELÁNEAS")</f>
        <v>MISCELÁNEAS</v>
      </c>
      <c r="L4445" s="5" t="str">
        <f ca="1">IFERROR(__xludf.DUMMYFUNCTION("GOOGLETRANSLATE(J4445,""EN"",""ES"")"),"Escudos [brazos]")</f>
        <v>Escudos [brazos]</v>
      </c>
      <c r="M4445" s="8"/>
      <c r="N4445" s="8"/>
    </row>
    <row r="4446" spans="1:14" ht="11.25" customHeight="1">
      <c r="A4446" s="5" t="s">
        <v>12502</v>
      </c>
      <c r="B4446" s="5" t="s">
        <v>12875</v>
      </c>
      <c r="C4446" s="5" t="s">
        <v>12882</v>
      </c>
      <c r="D4446" s="5" t="s">
        <v>12505</v>
      </c>
      <c r="E4446" s="5" t="s">
        <v>12506</v>
      </c>
      <c r="F4446" s="5" t="s">
        <v>12507</v>
      </c>
      <c r="G4446" s="5" t="s">
        <v>152</v>
      </c>
      <c r="H4446" s="5" t="s">
        <v>330</v>
      </c>
      <c r="I4446" s="5" t="s">
        <v>12883</v>
      </c>
      <c r="J4446" s="5" t="s">
        <v>12884</v>
      </c>
      <c r="K4446" s="7" t="str">
        <f ca="1">IFERROR(__xludf.DUMMYFUNCTION("GOOGLETRANSLATE(H4446,""EN"",""ES"")"),"MISCELÁNEAS")</f>
        <v>MISCELÁNEAS</v>
      </c>
      <c r="L4446" s="5" t="str">
        <f ca="1">IFERROR(__xludf.DUMMYFUNCTION("GOOGLETRANSLATE(J4446,""EN"",""ES"")"),"paravanas")</f>
        <v>paravanas</v>
      </c>
      <c r="M4446" s="8"/>
      <c r="N4446" s="8"/>
    </row>
    <row r="4447" spans="1:14" ht="11.25" customHeight="1">
      <c r="A4447" s="5" t="s">
        <v>12502</v>
      </c>
      <c r="B4447" s="5" t="s">
        <v>12875</v>
      </c>
      <c r="C4447" s="5" t="s">
        <v>12885</v>
      </c>
      <c r="D4447" s="5" t="s">
        <v>12505</v>
      </c>
      <c r="E4447" s="5" t="s">
        <v>12506</v>
      </c>
      <c r="F4447" s="5" t="s">
        <v>12507</v>
      </c>
      <c r="G4447" s="5" t="s">
        <v>152</v>
      </c>
      <c r="H4447" s="5" t="s">
        <v>330</v>
      </c>
      <c r="I4447" s="5" t="s">
        <v>12886</v>
      </c>
      <c r="J4447" s="5" t="s">
        <v>12887</v>
      </c>
      <c r="K4447" s="7" t="str">
        <f ca="1">IFERROR(__xludf.DUMMYFUNCTION("GOOGLETRANSLATE(H4447,""EN"",""ES"")"),"MISCELÁNEAS")</f>
        <v>MISCELÁNEAS</v>
      </c>
      <c r="L4447" s="5" t="str">
        <f ca="1">IFERROR(__xludf.DUMMYFUNCTION("GOOGLETRANSLATE(J4447,""EN"",""ES"")"),"Redes de camuflaje")</f>
        <v>Redes de camuflaje</v>
      </c>
      <c r="M4447" s="8"/>
      <c r="N4447" s="8"/>
    </row>
    <row r="4448" spans="1:14" ht="11.25" customHeight="1">
      <c r="A4448" s="5" t="s">
        <v>12888</v>
      </c>
      <c r="B4448" s="5" t="s">
        <v>12889</v>
      </c>
      <c r="C4448" s="5" t="s">
        <v>12890</v>
      </c>
      <c r="D4448" s="5" t="s">
        <v>12891</v>
      </c>
      <c r="E4448" s="5" t="s">
        <v>75</v>
      </c>
      <c r="F4448" s="5" t="s">
        <v>12892</v>
      </c>
      <c r="G4448" s="5" t="s">
        <v>152</v>
      </c>
      <c r="H4448" s="5" t="s">
        <v>12893</v>
      </c>
      <c r="I4448" s="5" t="s">
        <v>12894</v>
      </c>
      <c r="J4448" s="5" t="s">
        <v>12895</v>
      </c>
      <c r="K4448" s="7" t="str">
        <f ca="1">IFERROR(__xludf.DUMMYFUNCTION("GOOGLETRANSLATE(H4448,""EN"",""ES"")"),"EQUIPOS DE DISTRIBUCIÓN DE FLUIDOS")</f>
        <v>EQUIPOS DE DISTRIBUCIÓN DE FLUIDOS</v>
      </c>
      <c r="L4448" s="5" t="str">
        <f ca="1">IFERROR(__xludf.DUMMYFUNCTION("GOOGLETRANSLATE(J4448,""EN"",""ES"")"),"Adaptadores para juntas de tuberías.")</f>
        <v>Adaptadores para juntas de tuberías.</v>
      </c>
      <c r="M4448" s="8" t="s">
        <v>74</v>
      </c>
      <c r="N4448" s="8"/>
    </row>
    <row r="4449" spans="1:14" ht="11.25" customHeight="1">
      <c r="A4449" s="5" t="s">
        <v>12888</v>
      </c>
      <c r="B4449" s="5" t="s">
        <v>12889</v>
      </c>
      <c r="C4449" s="5" t="s">
        <v>12896</v>
      </c>
      <c r="D4449" s="5" t="s">
        <v>12891</v>
      </c>
      <c r="E4449" s="5" t="s">
        <v>75</v>
      </c>
      <c r="F4449" s="5" t="s">
        <v>12892</v>
      </c>
      <c r="G4449" s="5" t="s">
        <v>152</v>
      </c>
      <c r="H4449" s="5" t="s">
        <v>12893</v>
      </c>
      <c r="I4449" s="5" t="s">
        <v>12897</v>
      </c>
      <c r="J4449" s="5" t="s">
        <v>12898</v>
      </c>
      <c r="K4449" s="7" t="str">
        <f ca="1">IFERROR(__xludf.DUMMYFUNCTION("GOOGLETRANSLATE(H4449,""EN"",""ES"")"),"EQUIPOS DE DISTRIBUCIÓN DE FLUIDOS")</f>
        <v>EQUIPOS DE DISTRIBUCIÓN DE FLUIDOS</v>
      </c>
      <c r="L4449" s="5" t="str">
        <f ca="1">IFERROR(__xludf.DUMMYFUNCTION("GOOGLETRANSLATE(J4449,""EN"",""ES"")"),"Aparato de ablandamiento de agua")</f>
        <v>Aparato de ablandamiento de agua</v>
      </c>
      <c r="M4449" s="8" t="s">
        <v>74</v>
      </c>
      <c r="N4449" s="8"/>
    </row>
    <row r="4450" spans="1:14" ht="11.25" customHeight="1">
      <c r="A4450" s="5" t="s">
        <v>12888</v>
      </c>
      <c r="B4450" s="5" t="s">
        <v>12889</v>
      </c>
      <c r="C4450" s="5" t="s">
        <v>12899</v>
      </c>
      <c r="D4450" s="5" t="s">
        <v>12891</v>
      </c>
      <c r="E4450" s="5" t="s">
        <v>75</v>
      </c>
      <c r="F4450" s="5" t="s">
        <v>12892</v>
      </c>
      <c r="G4450" s="5" t="s">
        <v>152</v>
      </c>
      <c r="H4450" s="5" t="s">
        <v>12893</v>
      </c>
      <c r="I4450" s="5" t="s">
        <v>12900</v>
      </c>
      <c r="J4450" s="5" t="s">
        <v>12901</v>
      </c>
      <c r="K4450" s="7" t="str">
        <f ca="1">IFERROR(__xludf.DUMMYFUNCTION("GOOGLETRANSLATE(H4450,""EN"",""ES"")"),"EQUIPOS DE DISTRIBUCIÓN DE FLUIDOS")</f>
        <v>EQUIPOS DE DISTRIBUCIÓN DE FLUIDOS</v>
      </c>
      <c r="L4450" s="5" t="str">
        <f ca="1">IFERROR(__xludf.DUMMYFUNCTION("GOOGLETRANSLATE(J4450,""EN"",""ES"")"),"Aspersores de agua")</f>
        <v>Aspersores de agua</v>
      </c>
      <c r="M4450" s="8" t="s">
        <v>74</v>
      </c>
      <c r="N4450" s="8"/>
    </row>
    <row r="4451" spans="1:14" ht="11.25" customHeight="1">
      <c r="A4451" s="5" t="s">
        <v>12888</v>
      </c>
      <c r="B4451" s="5" t="s">
        <v>12889</v>
      </c>
      <c r="C4451" s="5" t="s">
        <v>12902</v>
      </c>
      <c r="D4451" s="5" t="s">
        <v>12891</v>
      </c>
      <c r="E4451" s="5" t="s">
        <v>75</v>
      </c>
      <c r="F4451" s="5" t="s">
        <v>12892</v>
      </c>
      <c r="G4451" s="5" t="s">
        <v>152</v>
      </c>
      <c r="H4451" s="5" t="s">
        <v>12893</v>
      </c>
      <c r="I4451" s="5" t="s">
        <v>12903</v>
      </c>
      <c r="J4451" s="5" t="s">
        <v>12904</v>
      </c>
      <c r="K4451" s="7" t="str">
        <f ca="1">IFERROR(__xludf.DUMMYFUNCTION("GOOGLETRANSLATE(H4451,""EN"",""ES"")"),"EQUIPOS DE DISTRIBUCIÓN DE FLUIDOS")</f>
        <v>EQUIPOS DE DISTRIBUCIÓN DE FLUIDOS</v>
      </c>
      <c r="L4451" s="5" t="str">
        <f ca="1">IFERROR(__xludf.DUMMYFUNCTION("GOOGLETRANSLATE(J4451,""EN"",""ES"")"),"carcasas de grifo")</f>
        <v>carcasas de grifo</v>
      </c>
      <c r="M4451" s="8" t="s">
        <v>74</v>
      </c>
      <c r="N4451" s="8"/>
    </row>
    <row r="4452" spans="1:14" ht="11.25" customHeight="1">
      <c r="A4452" s="5" t="s">
        <v>12888</v>
      </c>
      <c r="B4452" s="5" t="s">
        <v>12889</v>
      </c>
      <c r="C4452" s="5" t="s">
        <v>12905</v>
      </c>
      <c r="D4452" s="5" t="s">
        <v>12891</v>
      </c>
      <c r="E4452" s="5" t="s">
        <v>75</v>
      </c>
      <c r="F4452" s="5" t="s">
        <v>12892</v>
      </c>
      <c r="G4452" s="5" t="s">
        <v>152</v>
      </c>
      <c r="H4452" s="5" t="s">
        <v>12893</v>
      </c>
      <c r="I4452" s="5" t="s">
        <v>12906</v>
      </c>
      <c r="J4452" s="5" t="s">
        <v>12907</v>
      </c>
      <c r="K4452" s="7" t="str">
        <f ca="1">IFERROR(__xludf.DUMMYFUNCTION("GOOGLETRANSLATE(H4452,""EN"",""ES"")"),"EQUIPOS DE DISTRIBUCIÓN DE FLUIDOS")</f>
        <v>EQUIPOS DE DISTRIBUCIÓN DE FLUIDOS</v>
      </c>
      <c r="L4452" s="5" t="str">
        <f ca="1">IFERROR(__xludf.DUMMYFUNCTION("GOOGLETRANSLATE(J4452,""EN"",""ES"")"),"Hidrantes")</f>
        <v>Hidrantes</v>
      </c>
      <c r="M4452" s="8" t="s">
        <v>74</v>
      </c>
      <c r="N4452" s="8"/>
    </row>
    <row r="4453" spans="1:14" ht="11.25" customHeight="1">
      <c r="A4453" s="5" t="s">
        <v>12888</v>
      </c>
      <c r="B4453" s="5" t="s">
        <v>12889</v>
      </c>
      <c r="C4453" s="5" t="s">
        <v>12905</v>
      </c>
      <c r="D4453" s="5" t="s">
        <v>12891</v>
      </c>
      <c r="E4453" s="5" t="s">
        <v>75</v>
      </c>
      <c r="F4453" s="5" t="s">
        <v>12892</v>
      </c>
      <c r="G4453" s="5" t="s">
        <v>152</v>
      </c>
      <c r="H4453" s="5" t="s">
        <v>12893</v>
      </c>
      <c r="I4453" s="5" t="s">
        <v>152</v>
      </c>
      <c r="J4453" s="5" t="s">
        <v>12908</v>
      </c>
      <c r="K4453" s="7" t="str">
        <f ca="1">IFERROR(__xludf.DUMMYFUNCTION("GOOGLETRANSLATE(H4453,""EN"",""ES"")"),"EQUIPOS DE DISTRIBUCIÓN DE FLUIDOS")</f>
        <v>EQUIPOS DE DISTRIBUCIÓN DE FLUIDOS</v>
      </c>
      <c r="L4453" s="5" t="str">
        <f ca="1">IFERROR(__xludf.DUMMYFUNCTION("GOOGLETRANSLATE(J4453,""EN"",""ES"")"),"N / A")</f>
        <v>N / A</v>
      </c>
      <c r="M4453" s="8" t="s">
        <v>74</v>
      </c>
      <c r="N4453" s="8"/>
    </row>
    <row r="4454" spans="1:14" ht="11.25" customHeight="1">
      <c r="A4454" s="5" t="s">
        <v>12888</v>
      </c>
      <c r="B4454" s="5" t="s">
        <v>12889</v>
      </c>
      <c r="C4454" s="5" t="s">
        <v>12909</v>
      </c>
      <c r="D4454" s="5" t="s">
        <v>12891</v>
      </c>
      <c r="E4454" s="5" t="s">
        <v>75</v>
      </c>
      <c r="F4454" s="5" t="s">
        <v>12892</v>
      </c>
      <c r="G4454" s="5" t="s">
        <v>152</v>
      </c>
      <c r="H4454" s="5" t="s">
        <v>12893</v>
      </c>
      <c r="I4454" s="5" t="s">
        <v>12910</v>
      </c>
      <c r="J4454" s="5" t="s">
        <v>12911</v>
      </c>
      <c r="K4454" s="7" t="str">
        <f ca="1">IFERROR(__xludf.DUMMYFUNCTION("GOOGLETRANSLATE(H4454,""EN"",""ES"")"),"EQUIPOS DE DISTRIBUCIÓN DE FLUIDOS")</f>
        <v>EQUIPOS DE DISTRIBUCIÓN DE FLUIDOS</v>
      </c>
      <c r="L4454" s="5" t="str">
        <f ca="1">IFERROR(__xludf.DUMMYFUNCTION("GOOGLETRANSLATE(J4454,""EN"",""ES"")"),"Boquillas antisalpicaduras para grifos")</f>
        <v>Boquillas antisalpicaduras para grifos</v>
      </c>
      <c r="M4454" s="8" t="s">
        <v>74</v>
      </c>
      <c r="N4454" s="8"/>
    </row>
    <row r="4455" spans="1:14" ht="11.25" customHeight="1">
      <c r="A4455" s="5" t="s">
        <v>12888</v>
      </c>
      <c r="B4455" s="5" t="s">
        <v>12889</v>
      </c>
      <c r="C4455" s="5" t="s">
        <v>12912</v>
      </c>
      <c r="D4455" s="5" t="s">
        <v>12891</v>
      </c>
      <c r="E4455" s="5" t="s">
        <v>75</v>
      </c>
      <c r="F4455" s="5" t="s">
        <v>12892</v>
      </c>
      <c r="G4455" s="5" t="s">
        <v>152</v>
      </c>
      <c r="H4455" s="5" t="s">
        <v>12893</v>
      </c>
      <c r="I4455" s="5" t="s">
        <v>12913</v>
      </c>
      <c r="J4455" s="5" t="s">
        <v>12914</v>
      </c>
      <c r="K4455" s="7" t="str">
        <f ca="1">IFERROR(__xludf.DUMMYFUNCTION("GOOGLETRANSLATE(H4455,""EN"",""ES"")"),"EQUIPOS DE DISTRIBUCIÓN DE FLUIDOS")</f>
        <v>EQUIPOS DE DISTRIBUCIÓN DE FLUIDOS</v>
      </c>
      <c r="L4455" s="5" t="str">
        <f ca="1">IFERROR(__xludf.DUMMYFUNCTION("GOOGLETRANSLATE(J4455,""EN"",""ES"")"),"manijas del grifo")</f>
        <v>manijas del grifo</v>
      </c>
      <c r="M4455" s="8" t="s">
        <v>74</v>
      </c>
      <c r="N4455" s="8"/>
    </row>
    <row r="4456" spans="1:14" ht="11.25" customHeight="1">
      <c r="A4456" s="5" t="s">
        <v>12888</v>
      </c>
      <c r="B4456" s="5" t="s">
        <v>12889</v>
      </c>
      <c r="C4456" s="5" t="s">
        <v>12915</v>
      </c>
      <c r="D4456" s="5" t="s">
        <v>12891</v>
      </c>
      <c r="E4456" s="5" t="s">
        <v>75</v>
      </c>
      <c r="F4456" s="5" t="s">
        <v>12892</v>
      </c>
      <c r="G4456" s="5" t="s">
        <v>152</v>
      </c>
      <c r="H4456" s="5" t="s">
        <v>12893</v>
      </c>
      <c r="I4456" s="5" t="s">
        <v>12916</v>
      </c>
      <c r="J4456" s="5" t="s">
        <v>12917</v>
      </c>
      <c r="K4456" s="7" t="str">
        <f ca="1">IFERROR(__xludf.DUMMYFUNCTION("GOOGLETRANSLATE(H4456,""EN"",""ES"")"),"EQUIPOS DE DISTRIBUCIÓN DE FLUIDOS")</f>
        <v>EQUIPOS DE DISTRIBUCIÓN DE FLUIDOS</v>
      </c>
      <c r="L4456" s="5" t="str">
        <f ca="1">IFERROR(__xludf.DUMMYFUNCTION("GOOGLETRANSLATE(J4456,""EN"",""ES"")"),"rosas de succión")</f>
        <v>rosas de succión</v>
      </c>
      <c r="M4456" s="8" t="s">
        <v>74</v>
      </c>
      <c r="N4456" s="8"/>
    </row>
    <row r="4457" spans="1:14" ht="11.25" customHeight="1">
      <c r="A4457" s="5" t="s">
        <v>12888</v>
      </c>
      <c r="B4457" s="5" t="s">
        <v>12889</v>
      </c>
      <c r="C4457" s="5" t="s">
        <v>12918</v>
      </c>
      <c r="D4457" s="5" t="s">
        <v>12891</v>
      </c>
      <c r="E4457" s="5" t="s">
        <v>75</v>
      </c>
      <c r="F4457" s="5" t="s">
        <v>12892</v>
      </c>
      <c r="G4457" s="5" t="s">
        <v>152</v>
      </c>
      <c r="H4457" s="5" t="s">
        <v>12893</v>
      </c>
      <c r="I4457" s="5" t="s">
        <v>12919</v>
      </c>
      <c r="J4457" s="5" t="s">
        <v>12920</v>
      </c>
      <c r="K4457" s="7" t="str">
        <f ca="1">IFERROR(__xludf.DUMMYFUNCTION("GOOGLETRANSLATE(H4457,""EN"",""ES"")"),"EQUIPOS DE DISTRIBUCIÓN DE FLUIDOS")</f>
        <v>EQUIPOS DE DISTRIBUCIÓN DE FLUIDOS</v>
      </c>
      <c r="L4457" s="5" t="str">
        <f ca="1">IFERROR(__xludf.DUMMYFUNCTION("GOOGLETRANSLATE(J4457,""EN"",""ES"")"),"Reductores de presión para gas.")</f>
        <v>Reductores de presión para gas.</v>
      </c>
      <c r="M4457" s="8" t="s">
        <v>74</v>
      </c>
      <c r="N4457" s="8"/>
    </row>
    <row r="4458" spans="1:14" ht="11.25" customHeight="1">
      <c r="A4458" s="5" t="s">
        <v>12888</v>
      </c>
      <c r="B4458" s="5" t="s">
        <v>12889</v>
      </c>
      <c r="C4458" s="5" t="s">
        <v>12921</v>
      </c>
      <c r="D4458" s="5" t="s">
        <v>12891</v>
      </c>
      <c r="E4458" s="5" t="s">
        <v>75</v>
      </c>
      <c r="F4458" s="5" t="s">
        <v>12892</v>
      </c>
      <c r="G4458" s="5" t="s">
        <v>152</v>
      </c>
      <c r="H4458" s="5" t="s">
        <v>12893</v>
      </c>
      <c r="I4458" s="5" t="s">
        <v>12922</v>
      </c>
      <c r="J4458" s="5" t="s">
        <v>12923</v>
      </c>
      <c r="K4458" s="7" t="str">
        <f ca="1">IFERROR(__xludf.DUMMYFUNCTION("GOOGLETRANSLATE(H4458,""EN"",""ES"")"),"EQUIPOS DE DISTRIBUCIÓN DE FLUIDOS")</f>
        <v>EQUIPOS DE DISTRIBUCIÓN DE FLUIDOS</v>
      </c>
      <c r="L4458" s="5" t="str">
        <f ca="1">IFERROR(__xludf.DUMMYFUNCTION("GOOGLETRANSLATE(J4458,""EN"",""ES"")"),"Equipos de distribución de fluidos.")</f>
        <v>Equipos de distribución de fluidos.</v>
      </c>
      <c r="M4458" s="8" t="s">
        <v>74</v>
      </c>
      <c r="N4458" s="8"/>
    </row>
    <row r="4459" spans="1:14" ht="11.25" customHeight="1">
      <c r="A4459" s="5" t="s">
        <v>12888</v>
      </c>
      <c r="B4459" s="5" t="s">
        <v>12889</v>
      </c>
      <c r="C4459" s="5" t="s">
        <v>12924</v>
      </c>
      <c r="D4459" s="5" t="s">
        <v>12891</v>
      </c>
      <c r="E4459" s="5" t="s">
        <v>75</v>
      </c>
      <c r="F4459" s="5" t="s">
        <v>12892</v>
      </c>
      <c r="G4459" s="5" t="s">
        <v>152</v>
      </c>
      <c r="H4459" s="5" t="s">
        <v>12893</v>
      </c>
      <c r="I4459" s="5" t="s">
        <v>12925</v>
      </c>
      <c r="J4459" s="5" t="s">
        <v>12926</v>
      </c>
      <c r="K4459" s="7" t="str">
        <f ca="1">IFERROR(__xludf.DUMMYFUNCTION("GOOGLETRANSLATE(H4459,""EN"",""ES"")"),"EQUIPOS DE DISTRIBUCIÓN DE FLUIDOS")</f>
        <v>EQUIPOS DE DISTRIBUCIÓN DE FLUIDOS</v>
      </c>
      <c r="L4459" s="5" t="str">
        <f ca="1">IFERROR(__xludf.DUMMYFUNCTION("GOOGLETRANSLATE(J4459,""EN"",""ES"")"),"Bases para grifos")</f>
        <v>Bases para grifos</v>
      </c>
      <c r="M4459" s="8" t="s">
        <v>74</v>
      </c>
      <c r="N4459" s="8"/>
    </row>
    <row r="4460" spans="1:14" ht="11.25" customHeight="1">
      <c r="A4460" s="5" t="s">
        <v>12888</v>
      </c>
      <c r="B4460" s="5" t="s">
        <v>12889</v>
      </c>
      <c r="C4460" s="5" t="s">
        <v>12927</v>
      </c>
      <c r="D4460" s="5" t="s">
        <v>12891</v>
      </c>
      <c r="E4460" s="5" t="s">
        <v>75</v>
      </c>
      <c r="F4460" s="5" t="s">
        <v>12892</v>
      </c>
      <c r="G4460" s="5" t="s">
        <v>152</v>
      </c>
      <c r="H4460" s="5" t="s">
        <v>12893</v>
      </c>
      <c r="I4460" s="5" t="s">
        <v>12928</v>
      </c>
      <c r="J4460" s="5" t="s">
        <v>12929</v>
      </c>
      <c r="K4460" s="7" t="str">
        <f ca="1">IFERROR(__xludf.DUMMYFUNCTION("GOOGLETRANSLATE(H4460,""EN"",""ES"")"),"EQUIPOS DE DISTRIBUCIÓN DE FLUIDOS")</f>
        <v>EQUIPOS DE DISTRIBUCIÓN DE FLUIDOS</v>
      </c>
      <c r="L4460" s="5" t="str">
        <f ca="1">IFERROR(__xludf.DUMMYFUNCTION("GOOGLETRANSLATE(J4460,""EN"",""ES"")"),"Filtros de agua")</f>
        <v>Filtros de agua</v>
      </c>
      <c r="M4460" s="8" t="s">
        <v>74</v>
      </c>
      <c r="N4460" s="8"/>
    </row>
    <row r="4461" spans="1:14" ht="11.25" customHeight="1">
      <c r="A4461" s="5" t="s">
        <v>12888</v>
      </c>
      <c r="B4461" s="5" t="s">
        <v>12889</v>
      </c>
      <c r="C4461" s="5" t="s">
        <v>12930</v>
      </c>
      <c r="D4461" s="5" t="s">
        <v>12891</v>
      </c>
      <c r="E4461" s="5" t="s">
        <v>75</v>
      </c>
      <c r="F4461" s="5" t="s">
        <v>12892</v>
      </c>
      <c r="G4461" s="5" t="s">
        <v>152</v>
      </c>
      <c r="H4461" s="5" t="s">
        <v>12893</v>
      </c>
      <c r="I4461" s="5" t="s">
        <v>12931</v>
      </c>
      <c r="J4461" s="5" t="s">
        <v>12932</v>
      </c>
      <c r="K4461" s="7" t="str">
        <f ca="1">IFERROR(__xludf.DUMMYFUNCTION("GOOGLETRANSLATE(H4461,""EN"",""ES"")"),"EQUIPOS DE DISTRIBUCIÓN DE FLUIDOS")</f>
        <v>EQUIPOS DE DISTRIBUCIÓN DE FLUIDOS</v>
      </c>
      <c r="L4461" s="5" t="str">
        <f ca="1">IFERROR(__xludf.DUMMYFUNCTION("GOOGLETRANSLATE(J4461,""EN"",""ES"")"),"bebederos")</f>
        <v>bebederos</v>
      </c>
      <c r="M4461" s="8" t="s">
        <v>74</v>
      </c>
      <c r="N4461" s="8"/>
    </row>
    <row r="4462" spans="1:14" ht="11.25" customHeight="1">
      <c r="A4462" s="5" t="s">
        <v>12888</v>
      </c>
      <c r="B4462" s="5" t="s">
        <v>12889</v>
      </c>
      <c r="C4462" s="5" t="s">
        <v>12933</v>
      </c>
      <c r="D4462" s="5" t="s">
        <v>12891</v>
      </c>
      <c r="E4462" s="5" t="s">
        <v>75</v>
      </c>
      <c r="F4462" s="5" t="s">
        <v>12892</v>
      </c>
      <c r="G4462" s="5" t="s">
        <v>152</v>
      </c>
      <c r="H4462" s="5" t="s">
        <v>12893</v>
      </c>
      <c r="I4462" s="5" t="s">
        <v>12934</v>
      </c>
      <c r="J4462" s="5" t="s">
        <v>12935</v>
      </c>
      <c r="K4462" s="7" t="str">
        <f ca="1">IFERROR(__xludf.DUMMYFUNCTION("GOOGLETRANSLATE(H4462,""EN"",""ES"")"),"EQUIPOS DE DISTRIBUCIÓN DE FLUIDOS")</f>
        <v>EQUIPOS DE DISTRIBUCIÓN DE FLUIDOS</v>
      </c>
      <c r="L4462" s="5" t="str">
        <f ca="1">IFERROR(__xludf.DUMMYFUNCTION("GOOGLETRANSLATE(J4462,""EN"",""ES"")"),"Aparato para suministro de gas.")</f>
        <v>Aparato para suministro de gas.</v>
      </c>
      <c r="M4462" s="8" t="s">
        <v>74</v>
      </c>
      <c r="N4462" s="8"/>
    </row>
    <row r="4463" spans="1:14" ht="11.25" customHeight="1">
      <c r="A4463" s="5" t="s">
        <v>12888</v>
      </c>
      <c r="B4463" s="5" t="s">
        <v>12889</v>
      </c>
      <c r="C4463" s="5" t="s">
        <v>12936</v>
      </c>
      <c r="D4463" s="5" t="s">
        <v>12891</v>
      </c>
      <c r="E4463" s="5" t="s">
        <v>75</v>
      </c>
      <c r="F4463" s="5" t="s">
        <v>12892</v>
      </c>
      <c r="G4463" s="5" t="s">
        <v>152</v>
      </c>
      <c r="H4463" s="5" t="s">
        <v>12893</v>
      </c>
      <c r="I4463" s="5" t="s">
        <v>12937</v>
      </c>
      <c r="J4463" s="5" t="s">
        <v>12938</v>
      </c>
      <c r="K4463" s="7" t="str">
        <f ca="1">IFERROR(__xludf.DUMMYFUNCTION("GOOGLETRANSLATE(H4463,""EN"",""ES"")"),"EQUIPOS DE DISTRIBUCIÓN DE FLUIDOS")</f>
        <v>EQUIPOS DE DISTRIBUCIÓN DE FLUIDOS</v>
      </c>
      <c r="L4463" s="5" t="str">
        <f ca="1">IFERROR(__xludf.DUMMYFUNCTION("GOOGLETRANSLATE(J4463,""EN"",""ES"")"),"Trombas marinas")</f>
        <v>Trombas marinas</v>
      </c>
      <c r="M4463" s="8" t="s">
        <v>74</v>
      </c>
      <c r="N4463" s="8"/>
    </row>
    <row r="4464" spans="1:14" ht="11.25" customHeight="1">
      <c r="A4464" s="5" t="s">
        <v>12888</v>
      </c>
      <c r="B4464" s="5" t="s">
        <v>12889</v>
      </c>
      <c r="C4464" s="5" t="s">
        <v>12939</v>
      </c>
      <c r="D4464" s="5" t="s">
        <v>12891</v>
      </c>
      <c r="E4464" s="5" t="s">
        <v>75</v>
      </c>
      <c r="F4464" s="5" t="s">
        <v>12892</v>
      </c>
      <c r="G4464" s="5" t="s">
        <v>152</v>
      </c>
      <c r="H4464" s="5" t="s">
        <v>12893</v>
      </c>
      <c r="I4464" s="5" t="s">
        <v>12940</v>
      </c>
      <c r="J4464" s="5" t="s">
        <v>12941</v>
      </c>
      <c r="K4464" s="7" t="str">
        <f ca="1">IFERROR(__xludf.DUMMYFUNCTION("GOOGLETRANSLATE(H4464,""EN"",""ES"")"),"EQUIPOS DE DISTRIBUCIÓN DE FLUIDOS")</f>
        <v>EQUIPOS DE DISTRIBUCIÓN DE FLUIDOS</v>
      </c>
      <c r="L4464" s="5" t="str">
        <f ca="1">IFERROR(__xludf.DUMMYFUNCTION("GOOGLETRANSLATE(J4464,""EN"",""ES"")"),"juntas para tuberias")</f>
        <v>juntas para tuberias</v>
      </c>
      <c r="M4464" s="8" t="s">
        <v>74</v>
      </c>
      <c r="N4464" s="8"/>
    </row>
    <row r="4465" spans="1:14" ht="11.25" customHeight="1">
      <c r="A4465" s="5" t="s">
        <v>12888</v>
      </c>
      <c r="B4465" s="5" t="s">
        <v>12889</v>
      </c>
      <c r="C4465" s="5" t="s">
        <v>12939</v>
      </c>
      <c r="D4465" s="5" t="s">
        <v>12891</v>
      </c>
      <c r="E4465" s="5" t="s">
        <v>75</v>
      </c>
      <c r="F4465" s="5" t="s">
        <v>12892</v>
      </c>
      <c r="G4465" s="5" t="s">
        <v>152</v>
      </c>
      <c r="H4465" s="5" t="s">
        <v>12893</v>
      </c>
      <c r="I4465" s="5" t="s">
        <v>152</v>
      </c>
      <c r="J4465" s="5" t="s">
        <v>12942</v>
      </c>
      <c r="K4465" s="7" t="str">
        <f ca="1">IFERROR(__xludf.DUMMYFUNCTION("GOOGLETRANSLATE(H4465,""EN"",""ES"")"),"EQUIPOS DE DISTRIBUCIÓN DE FLUIDOS")</f>
        <v>EQUIPOS DE DISTRIBUCIÓN DE FLUIDOS</v>
      </c>
      <c r="L4465" s="5" t="str">
        <f ca="1">IFERROR(__xludf.DUMMYFUNCTION("GOOGLETRANSLATE(J4465,""EN"",""ES"")"),"N / A")</f>
        <v>N / A</v>
      </c>
      <c r="M4465" s="8" t="s">
        <v>74</v>
      </c>
      <c r="N4465" s="8"/>
    </row>
    <row r="4466" spans="1:14" ht="11.25" customHeight="1">
      <c r="A4466" s="5" t="s">
        <v>12888</v>
      </c>
      <c r="B4466" s="5" t="s">
        <v>12889</v>
      </c>
      <c r="C4466" s="5" t="s">
        <v>12939</v>
      </c>
      <c r="D4466" s="5" t="s">
        <v>12891</v>
      </c>
      <c r="E4466" s="5" t="s">
        <v>75</v>
      </c>
      <c r="F4466" s="5" t="s">
        <v>12892</v>
      </c>
      <c r="G4466" s="5" t="s">
        <v>152</v>
      </c>
      <c r="H4466" s="5" t="s">
        <v>12893</v>
      </c>
      <c r="I4466" s="5" t="s">
        <v>152</v>
      </c>
      <c r="J4466" s="5" t="s">
        <v>12943</v>
      </c>
      <c r="K4466" s="7" t="str">
        <f ca="1">IFERROR(__xludf.DUMMYFUNCTION("GOOGLETRANSLATE(H4466,""EN"",""ES"")"),"EQUIPOS DE DISTRIBUCIÓN DE FLUIDOS")</f>
        <v>EQUIPOS DE DISTRIBUCIÓN DE FLUIDOS</v>
      </c>
      <c r="L4466" s="5" t="str">
        <f ca="1">IFERROR(__xludf.DUMMYFUNCTION("GOOGLETRANSLATE(J4466,""EN"",""ES"")"),"N / A")</f>
        <v>N / A</v>
      </c>
      <c r="M4466" s="8" t="s">
        <v>74</v>
      </c>
      <c r="N4466" s="8"/>
    </row>
    <row r="4467" spans="1:14" ht="11.25" customHeight="1">
      <c r="A4467" s="5" t="s">
        <v>12888</v>
      </c>
      <c r="B4467" s="5" t="s">
        <v>12889</v>
      </c>
      <c r="C4467" s="5" t="s">
        <v>12944</v>
      </c>
      <c r="D4467" s="5" t="s">
        <v>12891</v>
      </c>
      <c r="E4467" s="5" t="s">
        <v>75</v>
      </c>
      <c r="F4467" s="5" t="s">
        <v>12892</v>
      </c>
      <c r="G4467" s="5" t="s">
        <v>152</v>
      </c>
      <c r="H4467" s="5" t="s">
        <v>12893</v>
      </c>
      <c r="I4467" s="5" t="s">
        <v>12945</v>
      </c>
      <c r="J4467" s="5" t="s">
        <v>12946</v>
      </c>
      <c r="K4467" s="7" t="str">
        <f ca="1">IFERROR(__xludf.DUMMYFUNCTION("GOOGLETRANSLATE(H4467,""EN"",""ES"")"),"EQUIPOS DE DISTRIBUCIÓN DE FLUIDOS")</f>
        <v>EQUIPOS DE DISTRIBUCIÓN DE FLUIDOS</v>
      </c>
      <c r="L4467" s="5" t="str">
        <f ca="1">IFERROR(__xludf.DUMMYFUNCTION("GOOGLETRANSLATE(J4467,""EN"",""ES"")"),"Reductores de presión [accesorios para tuberías]")</f>
        <v>Reductores de presión [accesorios para tuberías]</v>
      </c>
      <c r="M4467" s="8" t="s">
        <v>74</v>
      </c>
      <c r="N4467" s="8"/>
    </row>
    <row r="4468" spans="1:14" ht="11.25" customHeight="1">
      <c r="A4468" s="5" t="s">
        <v>12888</v>
      </c>
      <c r="B4468" s="5" t="s">
        <v>12889</v>
      </c>
      <c r="C4468" s="5" t="s">
        <v>12947</v>
      </c>
      <c r="D4468" s="5" t="s">
        <v>12891</v>
      </c>
      <c r="E4468" s="5" t="s">
        <v>75</v>
      </c>
      <c r="F4468" s="5" t="s">
        <v>12892</v>
      </c>
      <c r="G4468" s="5" t="s">
        <v>152</v>
      </c>
      <c r="H4468" s="5" t="s">
        <v>12893</v>
      </c>
      <c r="I4468" s="5" t="s">
        <v>12948</v>
      </c>
      <c r="J4468" s="5" t="s">
        <v>12949</v>
      </c>
      <c r="K4468" s="7" t="str">
        <f ca="1">IFERROR(__xludf.DUMMYFUNCTION("GOOGLETRANSLATE(H4468,""EN"",""ES"")"),"EQUIPOS DE DISTRIBUCIÓN DE FLUIDOS")</f>
        <v>EQUIPOS DE DISTRIBUCIÓN DE FLUIDOS</v>
      </c>
      <c r="L4468" s="5" t="str">
        <f ca="1">IFERROR(__xludf.DUMMYFUNCTION("GOOGLETRANSLATE(J4468,""EN"",""ES"")"),"Conexiones extensibles para tuberías flexibles")</f>
        <v>Conexiones extensibles para tuberías flexibles</v>
      </c>
      <c r="M4468" s="8" t="s">
        <v>74</v>
      </c>
      <c r="N4468" s="8"/>
    </row>
    <row r="4469" spans="1:14" ht="11.25" customHeight="1">
      <c r="A4469" s="5" t="s">
        <v>12888</v>
      </c>
      <c r="B4469" s="5" t="s">
        <v>12889</v>
      </c>
      <c r="C4469" s="5" t="s">
        <v>12950</v>
      </c>
      <c r="D4469" s="5" t="s">
        <v>12891</v>
      </c>
      <c r="E4469" s="5" t="s">
        <v>75</v>
      </c>
      <c r="F4469" s="5" t="s">
        <v>12892</v>
      </c>
      <c r="G4469" s="5" t="s">
        <v>152</v>
      </c>
      <c r="H4469" s="5" t="s">
        <v>12893</v>
      </c>
      <c r="I4469" s="5" t="s">
        <v>12951</v>
      </c>
      <c r="J4469" s="5" t="s">
        <v>12952</v>
      </c>
      <c r="K4469" s="7" t="str">
        <f ca="1">IFERROR(__xludf.DUMMYFUNCTION("GOOGLETRANSLATE(H4469,""EN"",""ES"")"),"EQUIPOS DE DISTRIBUCIÓN DE FLUIDOS")</f>
        <v>EQUIPOS DE DISTRIBUCIÓN DE FLUIDOS</v>
      </c>
      <c r="L4469" s="5" t="str">
        <f ca="1">IFERROR(__xludf.DUMMYFUNCTION("GOOGLETRANSLATE(J4469,""EN"",""ES"")"),"grifos y gallos")</f>
        <v>grifos y gallos</v>
      </c>
      <c r="M4469" s="8" t="s">
        <v>74</v>
      </c>
      <c r="N4469" s="8"/>
    </row>
    <row r="4470" spans="1:14" ht="11.25" customHeight="1">
      <c r="A4470" s="5" t="s">
        <v>12888</v>
      </c>
      <c r="B4470" s="5" t="s">
        <v>12889</v>
      </c>
      <c r="C4470" s="5" t="s">
        <v>12953</v>
      </c>
      <c r="D4470" s="5" t="s">
        <v>12891</v>
      </c>
      <c r="E4470" s="5" t="s">
        <v>75</v>
      </c>
      <c r="F4470" s="5" t="s">
        <v>12892</v>
      </c>
      <c r="G4470" s="5" t="s">
        <v>152</v>
      </c>
      <c r="H4470" s="5" t="s">
        <v>12893</v>
      </c>
      <c r="I4470" s="5" t="s">
        <v>12954</v>
      </c>
      <c r="J4470" s="5" t="s">
        <v>12955</v>
      </c>
      <c r="K4470" s="7" t="str">
        <f ca="1">IFERROR(__xludf.DUMMYFUNCTION("GOOGLETRANSLATE(H4470,""EN"",""ES"")"),"EQUIPOS DE DISTRIBUCIÓN DE FLUIDOS")</f>
        <v>EQUIPOS DE DISTRIBUCIÓN DE FLUIDOS</v>
      </c>
      <c r="L4470" s="5" t="str">
        <f ca="1">IFERROR(__xludf.DUMMYFUNCTION("GOOGLETRANSLATE(J4470,""EN"",""ES"")"),"Tuberías enrolladas [partes de aparatos]")</f>
        <v>Tuberías enrolladas [partes de aparatos]</v>
      </c>
      <c r="M4470" s="8" t="s">
        <v>74</v>
      </c>
      <c r="N4470" s="8"/>
    </row>
    <row r="4471" spans="1:14" ht="11.25" customHeight="1">
      <c r="A4471" s="5" t="s">
        <v>12888</v>
      </c>
      <c r="B4471" s="5" t="s">
        <v>12889</v>
      </c>
      <c r="C4471" s="5" t="s">
        <v>12956</v>
      </c>
      <c r="D4471" s="5" t="s">
        <v>12891</v>
      </c>
      <c r="E4471" s="5" t="s">
        <v>75</v>
      </c>
      <c r="F4471" s="5" t="s">
        <v>12892</v>
      </c>
      <c r="G4471" s="5" t="s">
        <v>152</v>
      </c>
      <c r="H4471" s="5" t="s">
        <v>12893</v>
      </c>
      <c r="I4471" s="5" t="s">
        <v>12957</v>
      </c>
      <c r="J4471" s="5" t="s">
        <v>12958</v>
      </c>
      <c r="K4471" s="7" t="str">
        <f ca="1">IFERROR(__xludf.DUMMYFUNCTION("GOOGLETRANSLATE(H4471,""EN"",""ES"")"),"EQUIPOS DE DISTRIBUCIÓN DE FLUIDOS")</f>
        <v>EQUIPOS DE DISTRIBUCIÓN DE FLUIDOS</v>
      </c>
      <c r="L4471" s="5" t="str">
        <f ca="1">IFERROR(__xludf.DUMMYFUNCTION("GOOGLETRANSLATE(J4471,""EN"",""ES"")"),"Sifones para decantar líquidos")</f>
        <v>Sifones para decantar líquidos</v>
      </c>
      <c r="M4471" s="8" t="s">
        <v>74</v>
      </c>
      <c r="N4471" s="8"/>
    </row>
    <row r="4472" spans="1:14" ht="11.25" customHeight="1">
      <c r="A4472" s="5" t="s">
        <v>12888</v>
      </c>
      <c r="B4472" s="5" t="s">
        <v>12889</v>
      </c>
      <c r="C4472" s="5" t="s">
        <v>12959</v>
      </c>
      <c r="D4472" s="5" t="s">
        <v>12891</v>
      </c>
      <c r="E4472" s="5" t="s">
        <v>75</v>
      </c>
      <c r="F4472" s="5" t="s">
        <v>12892</v>
      </c>
      <c r="G4472" s="5" t="s">
        <v>152</v>
      </c>
      <c r="H4472" s="5" t="s">
        <v>12893</v>
      </c>
      <c r="I4472" s="5" t="s">
        <v>12960</v>
      </c>
      <c r="J4472" s="5" t="s">
        <v>12961</v>
      </c>
      <c r="K4472" s="7" t="str">
        <f ca="1">IFERROR(__xludf.DUMMYFUNCTION("GOOGLETRANSLATE(H4472,""EN"",""ES"")"),"EQUIPOS DE DISTRIBUCIÓN DE FLUIDOS")</f>
        <v>EQUIPOS DE DISTRIBUCIÓN DE FLUIDOS</v>
      </c>
      <c r="L4472" s="5" t="str">
        <f ca="1">IFERROR(__xludf.DUMMYFUNCTION("GOOGLETRANSLATE(J4472,""EN"",""ES"")"),"Aspersores de césped")</f>
        <v>Aspersores de césped</v>
      </c>
      <c r="M4472" s="8" t="s">
        <v>74</v>
      </c>
      <c r="N4472" s="8"/>
    </row>
    <row r="4473" spans="1:14" ht="11.25" customHeight="1">
      <c r="A4473" s="5" t="s">
        <v>12888</v>
      </c>
      <c r="B4473" s="5" t="s">
        <v>12889</v>
      </c>
      <c r="C4473" s="5" t="s">
        <v>12962</v>
      </c>
      <c r="D4473" s="5" t="s">
        <v>12891</v>
      </c>
      <c r="E4473" s="5" t="s">
        <v>75</v>
      </c>
      <c r="F4473" s="5" t="s">
        <v>12892</v>
      </c>
      <c r="G4473" s="5" t="s">
        <v>152</v>
      </c>
      <c r="H4473" s="5" t="s">
        <v>12893</v>
      </c>
      <c r="I4473" s="5" t="s">
        <v>12963</v>
      </c>
      <c r="J4473" s="5" t="s">
        <v>12964</v>
      </c>
      <c r="K4473" s="7" t="str">
        <f ca="1">IFERROR(__xludf.DUMMYFUNCTION("GOOGLETRANSLATE(H4473,""EN"",""ES"")"),"EQUIPOS DE DISTRIBUCIÓN DE FLUIDOS")</f>
        <v>EQUIPOS DE DISTRIBUCIÓN DE FLUIDOS</v>
      </c>
      <c r="L4473" s="5" t="str">
        <f ca="1">IFERROR(__xludf.DUMMYFUNCTION("GOOGLETRANSLATE(J4473,""EN"",""ES"")"),"Tuberías de hormigón o cemento.")</f>
        <v>Tuberías de hormigón o cemento.</v>
      </c>
      <c r="M4473" s="8" t="s">
        <v>74</v>
      </c>
      <c r="N4473" s="8"/>
    </row>
    <row r="4474" spans="1:14" ht="11.25" customHeight="1">
      <c r="A4474" s="5" t="s">
        <v>12888</v>
      </c>
      <c r="B4474" s="5" t="s">
        <v>12889</v>
      </c>
      <c r="C4474" s="5" t="s">
        <v>12965</v>
      </c>
      <c r="D4474" s="5" t="s">
        <v>12891</v>
      </c>
      <c r="E4474" s="5" t="s">
        <v>75</v>
      </c>
      <c r="F4474" s="5" t="s">
        <v>12892</v>
      </c>
      <c r="G4474" s="5" t="s">
        <v>152</v>
      </c>
      <c r="H4474" s="5" t="s">
        <v>12893</v>
      </c>
      <c r="I4474" s="5" t="s">
        <v>12966</v>
      </c>
      <c r="J4474" s="5" t="s">
        <v>12967</v>
      </c>
      <c r="K4474" s="7" t="str">
        <f ca="1">IFERROR(__xludf.DUMMYFUNCTION("GOOGLETRANSLATE(H4474,""EN"",""ES"")"),"EQUIPOS DE DISTRIBUCIÓN DE FLUIDOS")</f>
        <v>EQUIPOS DE DISTRIBUCIÓN DE FLUIDOS</v>
      </c>
      <c r="L4474" s="5" t="str">
        <f ca="1">IFERROR(__xludf.DUMMYFUNCTION("GOOGLETRANSLATE(J4474,""EN"",""ES"")"),"Tuberías flexibles")</f>
        <v>Tuberías flexibles</v>
      </c>
      <c r="M4474" s="8" t="s">
        <v>74</v>
      </c>
      <c r="N4474" s="8"/>
    </row>
    <row r="4475" spans="1:14" ht="11.25" customHeight="1">
      <c r="A4475" s="5" t="s">
        <v>12888</v>
      </c>
      <c r="B4475" s="5" t="s">
        <v>12889</v>
      </c>
      <c r="C4475" s="5" t="s">
        <v>12968</v>
      </c>
      <c r="D4475" s="5" t="s">
        <v>12891</v>
      </c>
      <c r="E4475" s="5" t="s">
        <v>75</v>
      </c>
      <c r="F4475" s="5" t="s">
        <v>12892</v>
      </c>
      <c r="G4475" s="5" t="s">
        <v>152</v>
      </c>
      <c r="H4475" s="5" t="s">
        <v>12893</v>
      </c>
      <c r="I4475" s="5" t="s">
        <v>12969</v>
      </c>
      <c r="J4475" s="5" t="s">
        <v>12970</v>
      </c>
      <c r="K4475" s="7" t="str">
        <f ca="1">IFERROR(__xludf.DUMMYFUNCTION("GOOGLETRANSLATE(H4475,""EN"",""ES"")"),"EQUIPOS DE DISTRIBUCIÓN DE FLUIDOS")</f>
        <v>EQUIPOS DE DISTRIBUCIÓN DE FLUIDOS</v>
      </c>
      <c r="L4475" s="5" t="str">
        <f ca="1">IFERROR(__xludf.DUMMYFUNCTION("GOOGLETRANSLATE(J4475,""EN"",""ES"")"),"Tubería rígida")</f>
        <v>Tubería rígida</v>
      </c>
      <c r="M4475" s="8" t="s">
        <v>74</v>
      </c>
      <c r="N4475" s="8"/>
    </row>
    <row r="4476" spans="1:14" ht="11.25" customHeight="1">
      <c r="A4476" s="5" t="s">
        <v>12888</v>
      </c>
      <c r="B4476" s="5" t="s">
        <v>12889</v>
      </c>
      <c r="C4476" s="5" t="s">
        <v>12971</v>
      </c>
      <c r="D4476" s="5" t="s">
        <v>12891</v>
      </c>
      <c r="E4476" s="5" t="s">
        <v>75</v>
      </c>
      <c r="F4476" s="5" t="s">
        <v>12892</v>
      </c>
      <c r="G4476" s="5" t="s">
        <v>152</v>
      </c>
      <c r="H4476" s="5" t="s">
        <v>12893</v>
      </c>
      <c r="I4476" s="5" t="s">
        <v>12972</v>
      </c>
      <c r="J4476" s="5" t="s">
        <v>12973</v>
      </c>
      <c r="K4476" s="7" t="str">
        <f ca="1">IFERROR(__xludf.DUMMYFUNCTION("GOOGLETRANSLATE(H4476,""EN"",""ES"")"),"EQUIPOS DE DISTRIBUCIÓN DE FLUIDOS")</f>
        <v>EQUIPOS DE DISTRIBUCIÓN DE FLUIDOS</v>
      </c>
      <c r="L4476" s="5" t="str">
        <f ca="1">IFERROR(__xludf.DUMMYFUNCTION("GOOGLETRANSLATE(J4476,""EN"",""ES"")"),"Válvulas [grifos]")</f>
        <v>Válvulas [grifos]</v>
      </c>
      <c r="M4476" s="8" t="s">
        <v>74</v>
      </c>
      <c r="N4476" s="8"/>
    </row>
    <row r="4477" spans="1:14" ht="11.25" customHeight="1">
      <c r="A4477" s="5" t="s">
        <v>12888</v>
      </c>
      <c r="B4477" s="5" t="s">
        <v>12889</v>
      </c>
      <c r="C4477" s="5" t="s">
        <v>12974</v>
      </c>
      <c r="D4477" s="5" t="s">
        <v>12891</v>
      </c>
      <c r="E4477" s="5" t="s">
        <v>75</v>
      </c>
      <c r="F4477" s="5" t="s">
        <v>12892</v>
      </c>
      <c r="G4477" s="5" t="s">
        <v>152</v>
      </c>
      <c r="H4477" s="5" t="s">
        <v>12893</v>
      </c>
      <c r="I4477" s="5" t="s">
        <v>12975</v>
      </c>
      <c r="J4477" s="5" t="s">
        <v>12976</v>
      </c>
      <c r="K4477" s="7" t="str">
        <f ca="1">IFERROR(__xludf.DUMMYFUNCTION("GOOGLETRANSLATE(H4477,""EN"",""ES"")"),"EQUIPOS DE DISTRIBUCIÓN DE FLUIDOS")</f>
        <v>EQUIPOS DE DISTRIBUCIÓN DE FLUIDOS</v>
      </c>
      <c r="L4477" s="5" t="str">
        <f ca="1">IFERROR(__xludf.DUMMYFUNCTION("GOOGLETRANSLATE(J4477,""EN"",""ES"")"),"Tubos verticales")</f>
        <v>Tubos verticales</v>
      </c>
      <c r="M4477" s="8" t="s">
        <v>74</v>
      </c>
      <c r="N4477" s="8"/>
    </row>
    <row r="4478" spans="1:14" ht="11.25" customHeight="1">
      <c r="A4478" s="5" t="s">
        <v>12888</v>
      </c>
      <c r="B4478" s="5" t="s">
        <v>12889</v>
      </c>
      <c r="C4478" s="5" t="s">
        <v>12977</v>
      </c>
      <c r="D4478" s="5" t="s">
        <v>12891</v>
      </c>
      <c r="E4478" s="5" t="s">
        <v>75</v>
      </c>
      <c r="F4478" s="5" t="s">
        <v>12892</v>
      </c>
      <c r="G4478" s="5" t="s">
        <v>152</v>
      </c>
      <c r="H4478" s="5" t="s">
        <v>12893</v>
      </c>
      <c r="I4478" s="5" t="s">
        <v>12978</v>
      </c>
      <c r="J4478" s="5" t="s">
        <v>12979</v>
      </c>
      <c r="K4478" s="7" t="str">
        <f ca="1">IFERROR(__xludf.DUMMYFUNCTION("GOOGLETRANSLATE(H4478,""EN"",""ES"")"),"EQUIPOS DE DISTRIBUCIÓN DE FLUIDOS")</f>
        <v>EQUIPOS DE DISTRIBUCIÓN DE FLUIDOS</v>
      </c>
      <c r="L4478" s="5" t="str">
        <f ca="1">IFERROR(__xludf.DUMMYFUNCTION("GOOGLETRANSLATE(J4478,""EN"",""ES"")"),"Canalones")</f>
        <v>Canalones</v>
      </c>
      <c r="M4478" s="8" t="s">
        <v>74</v>
      </c>
      <c r="N4478" s="8"/>
    </row>
    <row r="4479" spans="1:14" ht="11.25" customHeight="1">
      <c r="A4479" s="5" t="s">
        <v>12888</v>
      </c>
      <c r="B4479" s="5" t="s">
        <v>12889</v>
      </c>
      <c r="C4479" s="5" t="s">
        <v>12977</v>
      </c>
      <c r="D4479" s="5" t="s">
        <v>12891</v>
      </c>
      <c r="E4479" s="5" t="s">
        <v>75</v>
      </c>
      <c r="F4479" s="5" t="s">
        <v>12892</v>
      </c>
      <c r="G4479" s="5" t="s">
        <v>152</v>
      </c>
      <c r="H4479" s="5" t="s">
        <v>12893</v>
      </c>
      <c r="I4479" s="5" t="s">
        <v>152</v>
      </c>
      <c r="J4479" s="5" t="s">
        <v>12980</v>
      </c>
      <c r="K4479" s="7" t="str">
        <f ca="1">IFERROR(__xludf.DUMMYFUNCTION("GOOGLETRANSLATE(H4479,""EN"",""ES"")"),"EQUIPOS DE DISTRIBUCIÓN DE FLUIDOS")</f>
        <v>EQUIPOS DE DISTRIBUCIÓN DE FLUIDOS</v>
      </c>
      <c r="L4479" s="5" t="str">
        <f ca="1">IFERROR(__xludf.DUMMYFUNCTION("GOOGLETRANSLATE(J4479,""EN"",""ES"")"),"N / A")</f>
        <v>N / A</v>
      </c>
      <c r="M4479" s="8" t="s">
        <v>74</v>
      </c>
      <c r="N4479" s="8"/>
    </row>
    <row r="4480" spans="1:14" ht="11.25" customHeight="1">
      <c r="A4480" s="5" t="s">
        <v>12888</v>
      </c>
      <c r="B4480" s="5" t="s">
        <v>12889</v>
      </c>
      <c r="C4480" s="5" t="s">
        <v>12981</v>
      </c>
      <c r="D4480" s="5" t="s">
        <v>12891</v>
      </c>
      <c r="E4480" s="5" t="s">
        <v>75</v>
      </c>
      <c r="F4480" s="5" t="s">
        <v>12892</v>
      </c>
      <c r="G4480" s="5" t="s">
        <v>152</v>
      </c>
      <c r="H4480" s="5" t="s">
        <v>12893</v>
      </c>
      <c r="I4480" s="5" t="s">
        <v>12982</v>
      </c>
      <c r="J4480" s="5" t="s">
        <v>12983</v>
      </c>
      <c r="K4480" s="7" t="str">
        <f ca="1">IFERROR(__xludf.DUMMYFUNCTION("GOOGLETRANSLATE(H4480,""EN"",""ES"")"),"EQUIPOS DE DISTRIBUCIÓN DE FLUIDOS")</f>
        <v>EQUIPOS DE DISTRIBUCIÓN DE FLUIDOS</v>
      </c>
      <c r="L4480" s="5" t="str">
        <f ca="1">IFERROR(__xludf.DUMMYFUNCTION("GOOGLETRANSLATE(J4480,""EN"",""ES"")"),"Tanques para sustancias gaseosas o líquidas")</f>
        <v>Tanques para sustancias gaseosas o líquidas</v>
      </c>
      <c r="M4480" s="8" t="s">
        <v>74</v>
      </c>
      <c r="N4480" s="8"/>
    </row>
    <row r="4481" spans="1:14" ht="11.25" customHeight="1">
      <c r="A4481" s="5" t="s">
        <v>12888</v>
      </c>
      <c r="B4481" s="5" t="s">
        <v>12889</v>
      </c>
      <c r="C4481" s="5" t="s">
        <v>12981</v>
      </c>
      <c r="D4481" s="5" t="s">
        <v>12891</v>
      </c>
      <c r="E4481" s="5" t="s">
        <v>75</v>
      </c>
      <c r="F4481" s="5" t="s">
        <v>12892</v>
      </c>
      <c r="G4481" s="5" t="s">
        <v>152</v>
      </c>
      <c r="H4481" s="5" t="s">
        <v>12893</v>
      </c>
      <c r="I4481" s="5" t="s">
        <v>152</v>
      </c>
      <c r="J4481" s="5" t="s">
        <v>12984</v>
      </c>
      <c r="K4481" s="7" t="str">
        <f ca="1">IFERROR(__xludf.DUMMYFUNCTION("GOOGLETRANSLATE(H4481,""EN"",""ES"")"),"EQUIPOS DE DISTRIBUCIÓN DE FLUIDOS")</f>
        <v>EQUIPOS DE DISTRIBUCIÓN DE FLUIDOS</v>
      </c>
      <c r="L4481" s="5" t="str">
        <f ca="1">IFERROR(__xludf.DUMMYFUNCTION("GOOGLETRANSLATE(J4481,""EN"",""ES"")"),"N / A")</f>
        <v>N / A</v>
      </c>
      <c r="M4481" s="8" t="s">
        <v>74</v>
      </c>
      <c r="N4481" s="8"/>
    </row>
    <row r="4482" spans="1:14" ht="11.25" customHeight="1">
      <c r="A4482" s="5" t="s">
        <v>12888</v>
      </c>
      <c r="B4482" s="5" t="s">
        <v>12889</v>
      </c>
      <c r="C4482" s="5" t="s">
        <v>12985</v>
      </c>
      <c r="D4482" s="5" t="s">
        <v>12891</v>
      </c>
      <c r="E4482" s="5" t="s">
        <v>75</v>
      </c>
      <c r="F4482" s="5" t="s">
        <v>12892</v>
      </c>
      <c r="G4482" s="5" t="s">
        <v>152</v>
      </c>
      <c r="H4482" s="5" t="s">
        <v>12893</v>
      </c>
      <c r="I4482" s="5" t="s">
        <v>12986</v>
      </c>
      <c r="J4482" s="5" t="s">
        <v>12987</v>
      </c>
      <c r="K4482" s="7" t="str">
        <f ca="1">IFERROR(__xludf.DUMMYFUNCTION("GOOGLETRANSLATE(H4482,""EN"",""ES"")"),"EQUIPOS DE DISTRIBUCIÓN DE FLUIDOS")</f>
        <v>EQUIPOS DE DISTRIBUCIÓN DE FLUIDOS</v>
      </c>
      <c r="L4482" s="5" t="str">
        <f ca="1">IFERROR(__xludf.DUMMYFUNCTION("GOOGLETRANSLATE(J4482,""EN"",""ES"")"),"grifos")</f>
        <v>grifos</v>
      </c>
      <c r="M4482" s="8" t="s">
        <v>74</v>
      </c>
      <c r="N4482" s="8"/>
    </row>
    <row r="4483" spans="1:14" ht="11.25" customHeight="1">
      <c r="A4483" s="5" t="s">
        <v>12888</v>
      </c>
      <c r="B4483" s="5" t="s">
        <v>12889</v>
      </c>
      <c r="C4483" s="5" t="s">
        <v>12985</v>
      </c>
      <c r="D4483" s="5" t="s">
        <v>12891</v>
      </c>
      <c r="E4483" s="5" t="s">
        <v>75</v>
      </c>
      <c r="F4483" s="5" t="s">
        <v>12892</v>
      </c>
      <c r="G4483" s="5" t="s">
        <v>152</v>
      </c>
      <c r="H4483" s="5" t="s">
        <v>12893</v>
      </c>
      <c r="I4483" s="5" t="s">
        <v>12988</v>
      </c>
      <c r="J4483" s="5" t="s">
        <v>152</v>
      </c>
      <c r="K4483" s="7" t="str">
        <f ca="1">IFERROR(__xludf.DUMMYFUNCTION("GOOGLETRANSLATE(H4483,""EN"",""ES"")"),"EQUIPOS DE DISTRIBUCIÓN DE FLUIDOS")</f>
        <v>EQUIPOS DE DISTRIBUCIÓN DE FLUIDOS</v>
      </c>
      <c r="L4483" s="5" t="str">
        <f ca="1">IFERROR(__xludf.DUMMYFUNCTION("GOOGLETRANSLATE(J4483,""EN"",""ES"")"),"Grifos")</f>
        <v>Grifos</v>
      </c>
      <c r="M4483" s="8" t="s">
        <v>74</v>
      </c>
      <c r="N4483" s="8"/>
    </row>
    <row r="4484" spans="1:14" ht="11.25" customHeight="1">
      <c r="A4484" s="5" t="s">
        <v>12888</v>
      </c>
      <c r="B4484" s="5" t="s">
        <v>12889</v>
      </c>
      <c r="C4484" s="5" t="s">
        <v>12989</v>
      </c>
      <c r="D4484" s="5" t="s">
        <v>12891</v>
      </c>
      <c r="E4484" s="5" t="s">
        <v>75</v>
      </c>
      <c r="F4484" s="5" t="s">
        <v>12892</v>
      </c>
      <c r="G4484" s="5" t="s">
        <v>152</v>
      </c>
      <c r="H4484" s="5" t="s">
        <v>12893</v>
      </c>
      <c r="I4484" s="5" t="s">
        <v>12990</v>
      </c>
      <c r="J4484" s="5" t="s">
        <v>12991</v>
      </c>
      <c r="K4484" s="7" t="str">
        <f ca="1">IFERROR(__xludf.DUMMYFUNCTION("GOOGLETRANSLATE(H4484,""EN"",""ES"")"),"EQUIPOS DE DISTRIBUCIÓN DE FLUIDOS")</f>
        <v>EQUIPOS DE DISTRIBUCIÓN DE FLUIDOS</v>
      </c>
      <c r="L4484" s="5" t="str">
        <f ca="1">IFERROR(__xludf.DUMMYFUNCTION("GOOGLETRANSLATE(J4484,""EN"",""ES"")"),"Boquillas para mangueras de agua")</f>
        <v>Boquillas para mangueras de agua</v>
      </c>
      <c r="M4484" s="8" t="s">
        <v>74</v>
      </c>
      <c r="N4484" s="8"/>
    </row>
    <row r="4485" spans="1:14" ht="11.25" customHeight="1">
      <c r="A4485" s="5" t="s">
        <v>12888</v>
      </c>
      <c r="B4485" s="5" t="s">
        <v>12889</v>
      </c>
      <c r="C4485" s="5" t="s">
        <v>12992</v>
      </c>
      <c r="D4485" s="5" t="s">
        <v>12891</v>
      </c>
      <c r="E4485" s="5" t="s">
        <v>75</v>
      </c>
      <c r="F4485" s="5" t="s">
        <v>12892</v>
      </c>
      <c r="G4485" s="5" t="s">
        <v>152</v>
      </c>
      <c r="H4485" s="5" t="s">
        <v>12893</v>
      </c>
      <c r="I4485" s="5" t="s">
        <v>12993</v>
      </c>
      <c r="J4485" s="5" t="s">
        <v>12994</v>
      </c>
      <c r="K4485" s="7" t="str">
        <f ca="1">IFERROR(__xludf.DUMMYFUNCTION("GOOGLETRANSLATE(H4485,""EN"",""ES"")"),"EQUIPOS DE DISTRIBUCIÓN DE FLUIDOS")</f>
        <v>EQUIPOS DE DISTRIBUCIÓN DE FLUIDOS</v>
      </c>
      <c r="L4485" s="5" t="str">
        <f ca="1">IFERROR(__xludf.DUMMYFUNCTION("GOOGLETRANSLATE(J4485,""EN"",""ES"")"),"Bocas de incendio")</f>
        <v>Bocas de incendio</v>
      </c>
      <c r="M4485" s="8" t="s">
        <v>74</v>
      </c>
      <c r="N4485" s="8"/>
    </row>
    <row r="4486" spans="1:14" ht="11.25" customHeight="1">
      <c r="A4486" s="5" t="s">
        <v>12888</v>
      </c>
      <c r="B4486" s="5" t="s">
        <v>12889</v>
      </c>
      <c r="C4486" s="5" t="s">
        <v>12995</v>
      </c>
      <c r="D4486" s="5" t="s">
        <v>12891</v>
      </c>
      <c r="E4486" s="5" t="s">
        <v>75</v>
      </c>
      <c r="F4486" s="5" t="s">
        <v>12892</v>
      </c>
      <c r="G4486" s="5" t="s">
        <v>152</v>
      </c>
      <c r="H4486" s="5" t="s">
        <v>12893</v>
      </c>
      <c r="I4486" s="5" t="s">
        <v>12996</v>
      </c>
      <c r="J4486" s="5" t="s">
        <v>12997</v>
      </c>
      <c r="K4486" s="7" t="str">
        <f ca="1">IFERROR(__xludf.DUMMYFUNCTION("GOOGLETRANSLATE(H4486,""EN"",""ES"")"),"EQUIPOS DE DISTRIBUCIÓN DE FLUIDOS")</f>
        <v>EQUIPOS DE DISTRIBUCIÓN DE FLUIDOS</v>
      </c>
      <c r="L4486" s="5" t="str">
        <f ca="1">IFERROR(__xludf.DUMMYFUNCTION("GOOGLETRANSLATE(J4486,""EN"",""ES"")"),"Boquillas para mangueras contra incendios")</f>
        <v>Boquillas para mangueras contra incendios</v>
      </c>
      <c r="M4486" s="8" t="s">
        <v>74</v>
      </c>
      <c r="N4486" s="8"/>
    </row>
    <row r="4487" spans="1:14" ht="11.25" customHeight="1">
      <c r="A4487" s="5" t="s">
        <v>12888</v>
      </c>
      <c r="B4487" s="5" t="s">
        <v>12889</v>
      </c>
      <c r="C4487" s="5" t="s">
        <v>12998</v>
      </c>
      <c r="D4487" s="5" t="s">
        <v>12891</v>
      </c>
      <c r="E4487" s="5" t="s">
        <v>75</v>
      </c>
      <c r="F4487" s="5" t="s">
        <v>12892</v>
      </c>
      <c r="G4487" s="5" t="s">
        <v>152</v>
      </c>
      <c r="H4487" s="5" t="s">
        <v>12893</v>
      </c>
      <c r="I4487" s="5" t="s">
        <v>12999</v>
      </c>
      <c r="J4487" s="5" t="s">
        <v>13000</v>
      </c>
      <c r="K4487" s="7" t="str">
        <f ca="1">IFERROR(__xludf.DUMMYFUNCTION("GOOGLETRANSLATE(H4487,""EN"",""ES"")"),"EQUIPOS DE DISTRIBUCIÓN DE FLUIDOS")</f>
        <v>EQUIPOS DE DISTRIBUCIÓN DE FLUIDOS</v>
      </c>
      <c r="L4487" s="5" t="str">
        <f ca="1">IFERROR(__xludf.DUMMYFUNCTION("GOOGLETRANSLATE(J4487,""EN"",""ES"")"),"bolsas de ducha")</f>
        <v>bolsas de ducha</v>
      </c>
      <c r="M4487" s="8" t="s">
        <v>74</v>
      </c>
      <c r="N4487" s="8"/>
    </row>
    <row r="4488" spans="1:14" ht="11.25" customHeight="1">
      <c r="A4488" s="5" t="s">
        <v>12888</v>
      </c>
      <c r="B4488" s="5" t="s">
        <v>12889</v>
      </c>
      <c r="C4488" s="5" t="s">
        <v>13001</v>
      </c>
      <c r="D4488" s="5" t="s">
        <v>12891</v>
      </c>
      <c r="E4488" s="5" t="s">
        <v>75</v>
      </c>
      <c r="F4488" s="5" t="s">
        <v>12892</v>
      </c>
      <c r="G4488" s="5" t="s">
        <v>152</v>
      </c>
      <c r="H4488" s="5" t="s">
        <v>12893</v>
      </c>
      <c r="I4488" s="5" t="s">
        <v>13002</v>
      </c>
      <c r="J4488" s="5" t="s">
        <v>13003</v>
      </c>
      <c r="K4488" s="7" t="str">
        <f ca="1">IFERROR(__xludf.DUMMYFUNCTION("GOOGLETRANSLATE(H4488,""EN"",""ES"")"),"EQUIPOS DE DISTRIBUCIÓN DE FLUIDOS")</f>
        <v>EQUIPOS DE DISTRIBUCIÓN DE FLUIDOS</v>
      </c>
      <c r="L4488" s="5" t="str">
        <f ca="1">IFERROR(__xludf.DUMMYFUNCTION("GOOGLETRANSLATE(J4488,""EN"",""ES"")"),"Dispositivos de conexión para botellas de gas.")</f>
        <v>Dispositivos de conexión para botellas de gas.</v>
      </c>
      <c r="M4488" s="8" t="s">
        <v>74</v>
      </c>
      <c r="N4488" s="8"/>
    </row>
    <row r="4489" spans="1:14" ht="11.25" customHeight="1">
      <c r="A4489" s="5" t="s">
        <v>12888</v>
      </c>
      <c r="B4489" s="5" t="s">
        <v>12889</v>
      </c>
      <c r="C4489" s="5" t="s">
        <v>13004</v>
      </c>
      <c r="D4489" s="5" t="s">
        <v>12891</v>
      </c>
      <c r="E4489" s="5" t="s">
        <v>75</v>
      </c>
      <c r="F4489" s="5" t="s">
        <v>12892</v>
      </c>
      <c r="G4489" s="5" t="s">
        <v>152</v>
      </c>
      <c r="H4489" s="5" t="s">
        <v>12893</v>
      </c>
      <c r="I4489" s="5" t="s">
        <v>13005</v>
      </c>
      <c r="J4489" s="5" t="s">
        <v>13006</v>
      </c>
      <c r="K4489" s="7" t="str">
        <f ca="1">IFERROR(__xludf.DUMMYFUNCTION("GOOGLETRANSLATE(H4489,""EN"",""ES"")"),"EQUIPOS DE DISTRIBUCIÓN DE FLUIDOS")</f>
        <v>EQUIPOS DE DISTRIBUCIÓN DE FLUIDOS</v>
      </c>
      <c r="L4489" s="5" t="str">
        <f ca="1">IFERROR(__xludf.DUMMYFUNCTION("GOOGLETRANSLATE(J4489,""EN"",""ES"")"),"Reguladores de salida hidráulica")</f>
        <v>Reguladores de salida hidráulica</v>
      </c>
      <c r="M4489" s="8" t="s">
        <v>74</v>
      </c>
      <c r="N4489" s="8"/>
    </row>
    <row r="4490" spans="1:14" ht="11.25" customHeight="1">
      <c r="A4490" s="5" t="s">
        <v>12888</v>
      </c>
      <c r="B4490" s="5" t="s">
        <v>12889</v>
      </c>
      <c r="C4490" s="5" t="s">
        <v>13007</v>
      </c>
      <c r="D4490" s="5" t="s">
        <v>12891</v>
      </c>
      <c r="E4490" s="5" t="s">
        <v>75</v>
      </c>
      <c r="F4490" s="5" t="s">
        <v>12892</v>
      </c>
      <c r="G4490" s="5" t="s">
        <v>152</v>
      </c>
      <c r="H4490" s="5" t="s">
        <v>12893</v>
      </c>
      <c r="I4490" s="5" t="s">
        <v>13008</v>
      </c>
      <c r="J4490" s="5" t="s">
        <v>13009</v>
      </c>
      <c r="K4490" s="7" t="str">
        <f ca="1">IFERROR(__xludf.DUMMYFUNCTION("GOOGLETRANSLATE(H4490,""EN"",""ES"")"),"EQUIPOS DE DISTRIBUCIÓN DE FLUIDOS")</f>
        <v>EQUIPOS DE DISTRIBUCIÓN DE FLUIDOS</v>
      </c>
      <c r="L4490" s="5" t="str">
        <f ca="1">IFERROR(__xludf.DUMMYFUNCTION("GOOGLETRANSLATE(J4490,""EN"",""ES"")"),"grifos mezcladores")</f>
        <v>grifos mezcladores</v>
      </c>
      <c r="M4490" s="8" t="s">
        <v>74</v>
      </c>
      <c r="N4490" s="8"/>
    </row>
    <row r="4491" spans="1:14" ht="11.25" customHeight="1">
      <c r="A4491" s="5" t="s">
        <v>12888</v>
      </c>
      <c r="B4491" s="5" t="s">
        <v>12889</v>
      </c>
      <c r="C4491" s="5" t="s">
        <v>13010</v>
      </c>
      <c r="D4491" s="5" t="s">
        <v>12891</v>
      </c>
      <c r="E4491" s="5" t="s">
        <v>75</v>
      </c>
      <c r="F4491" s="5" t="s">
        <v>12892</v>
      </c>
      <c r="G4491" s="5" t="s">
        <v>152</v>
      </c>
      <c r="H4491" s="5" t="s">
        <v>12893</v>
      </c>
      <c r="I4491" s="5" t="s">
        <v>13011</v>
      </c>
      <c r="J4491" s="5" t="s">
        <v>13012</v>
      </c>
      <c r="K4491" s="7" t="str">
        <f ca="1">IFERROR(__xludf.DUMMYFUNCTION("GOOGLETRANSLATE(H4491,""EN"",""ES"")"),"EQUIPOS DE DISTRIBUCIÓN DE FLUIDOS")</f>
        <v>EQUIPOS DE DISTRIBUCIÓN DE FLUIDOS</v>
      </c>
      <c r="L4491" s="5" t="str">
        <f ca="1">IFERROR(__xludf.DUMMYFUNCTION("GOOGLETRANSLATE(J4491,""EN"",""ES"")"),"mangueras contra incendios")</f>
        <v>mangueras contra incendios</v>
      </c>
      <c r="M4491" s="8" t="s">
        <v>74</v>
      </c>
      <c r="N4491" s="8"/>
    </row>
    <row r="4492" spans="1:14" ht="11.25" customHeight="1">
      <c r="A4492" s="5" t="s">
        <v>12888</v>
      </c>
      <c r="B4492" s="5" t="s">
        <v>12889</v>
      </c>
      <c r="C4492" s="5" t="s">
        <v>13013</v>
      </c>
      <c r="D4492" s="5" t="s">
        <v>12891</v>
      </c>
      <c r="E4492" s="5" t="s">
        <v>75</v>
      </c>
      <c r="F4492" s="5" t="s">
        <v>12892</v>
      </c>
      <c r="G4492" s="5" t="s">
        <v>152</v>
      </c>
      <c r="H4492" s="5" t="s">
        <v>12893</v>
      </c>
      <c r="I4492" s="5" t="s">
        <v>13014</v>
      </c>
      <c r="J4492" s="5" t="s">
        <v>13015</v>
      </c>
      <c r="K4492" s="7" t="str">
        <f ca="1">IFERROR(__xludf.DUMMYFUNCTION("GOOGLETRANSLATE(H4492,""EN"",""ES"")"),"EQUIPOS DE DISTRIBUCIÓN DE FLUIDOS")</f>
        <v>EQUIPOS DE DISTRIBUCIÓN DE FLUIDOS</v>
      </c>
      <c r="L4492" s="5" t="str">
        <f ca="1">IFERROR(__xludf.DUMMYFUNCTION("GOOGLETRANSLATE(J4492,""EN"",""ES"")"),"Tubos de estufa")</f>
        <v>Tubos de estufa</v>
      </c>
      <c r="M4492" s="8" t="s">
        <v>74</v>
      </c>
      <c r="N4492" s="8"/>
    </row>
    <row r="4493" spans="1:14" ht="11.25" customHeight="1">
      <c r="A4493" s="5" t="s">
        <v>12888</v>
      </c>
      <c r="B4493" s="5" t="s">
        <v>12889</v>
      </c>
      <c r="C4493" s="5" t="s">
        <v>13016</v>
      </c>
      <c r="D4493" s="5" t="s">
        <v>12891</v>
      </c>
      <c r="E4493" s="5" t="s">
        <v>75</v>
      </c>
      <c r="F4493" s="5" t="s">
        <v>12892</v>
      </c>
      <c r="G4493" s="5" t="s">
        <v>152</v>
      </c>
      <c r="H4493" s="5" t="s">
        <v>12893</v>
      </c>
      <c r="I4493" s="5" t="s">
        <v>13017</v>
      </c>
      <c r="J4493" s="5" t="s">
        <v>13018</v>
      </c>
      <c r="K4493" s="7" t="str">
        <f ca="1">IFERROR(__xludf.DUMMYFUNCTION("GOOGLETRANSLATE(H4493,""EN"",""ES"")"),"EQUIPOS DE DISTRIBUCIÓN DE FLUIDOS")</f>
        <v>EQUIPOS DE DISTRIBUCIÓN DE FLUIDOS</v>
      </c>
      <c r="L4493" s="5" t="str">
        <f ca="1">IFERROR(__xludf.DUMMYFUNCTION("GOOGLETRANSLATE(J4493,""EN"",""ES"")"),"Válvulas de seguridad para cisternas")</f>
        <v>Válvulas de seguridad para cisternas</v>
      </c>
      <c r="M4493" s="8" t="s">
        <v>74</v>
      </c>
      <c r="N4493" s="8"/>
    </row>
    <row r="4494" spans="1:14" ht="11.25" customHeight="1">
      <c r="A4494" s="5" t="s">
        <v>12888</v>
      </c>
      <c r="B4494" s="5" t="s">
        <v>12889</v>
      </c>
      <c r="C4494" s="5" t="s">
        <v>13019</v>
      </c>
      <c r="D4494" s="5" t="s">
        <v>12891</v>
      </c>
      <c r="E4494" s="5" t="s">
        <v>75</v>
      </c>
      <c r="F4494" s="5" t="s">
        <v>12892</v>
      </c>
      <c r="G4494" s="5" t="s">
        <v>152</v>
      </c>
      <c r="H4494" s="5" t="s">
        <v>12893</v>
      </c>
      <c r="I4494" s="5" t="s">
        <v>13020</v>
      </c>
      <c r="J4494" s="5" t="s">
        <v>13021</v>
      </c>
      <c r="K4494" s="7" t="str">
        <f ca="1">IFERROR(__xludf.DUMMYFUNCTION("GOOGLETRANSLATE(H4494,""EN"",""ES"")"),"EQUIPOS DE DISTRIBUCIÓN DE FLUIDOS")</f>
        <v>EQUIPOS DE DISTRIBUCIÓN DE FLUIDOS</v>
      </c>
      <c r="L4494" s="5" t="str">
        <f ca="1">IFERROR(__xludf.DUMMYFUNCTION("GOOGLETRANSLATE(J4494,""EN"",""ES"")"),"Compuertas")</f>
        <v>Compuertas</v>
      </c>
      <c r="M4494" s="8" t="s">
        <v>74</v>
      </c>
      <c r="N4494" s="8"/>
    </row>
    <row r="4495" spans="1:14" ht="11.25" customHeight="1">
      <c r="A4495" s="5" t="s">
        <v>12888</v>
      </c>
      <c r="B4495" s="5" t="s">
        <v>12889</v>
      </c>
      <c r="C4495" s="5" t="s">
        <v>13022</v>
      </c>
      <c r="D4495" s="5" t="s">
        <v>12891</v>
      </c>
      <c r="E4495" s="5" t="s">
        <v>75</v>
      </c>
      <c r="F4495" s="5" t="s">
        <v>12892</v>
      </c>
      <c r="G4495" s="5" t="s">
        <v>152</v>
      </c>
      <c r="H4495" s="5" t="s">
        <v>12893</v>
      </c>
      <c r="I4495" s="5" t="s">
        <v>13023</v>
      </c>
      <c r="J4495" s="5" t="s">
        <v>13024</v>
      </c>
      <c r="K4495" s="7" t="str">
        <f ca="1">IFERROR(__xludf.DUMMYFUNCTION("GOOGLETRANSLATE(H4495,""EN"",""ES"")"),"EQUIPOS DE DISTRIBUCIÓN DE FLUIDOS")</f>
        <v>EQUIPOS DE DISTRIBUCIÓN DE FLUIDOS</v>
      </c>
      <c r="L4495" s="5" t="str">
        <f ca="1">IFERROR(__xludf.DUMMYFUNCTION("GOOGLETRANSLATE(J4495,""EN"",""ES"")"),"Juntas empaquetadas de tubos y placas")</f>
        <v>Juntas empaquetadas de tubos y placas</v>
      </c>
      <c r="M4495" s="8" t="s">
        <v>74</v>
      </c>
      <c r="N4495" s="8"/>
    </row>
    <row r="4496" spans="1:14" ht="11.25" customHeight="1">
      <c r="A4496" s="5" t="s">
        <v>12888</v>
      </c>
      <c r="B4496" s="5" t="s">
        <v>12889</v>
      </c>
      <c r="C4496" s="5" t="s">
        <v>13025</v>
      </c>
      <c r="D4496" s="5" t="s">
        <v>12891</v>
      </c>
      <c r="E4496" s="5" t="s">
        <v>75</v>
      </c>
      <c r="F4496" s="5" t="s">
        <v>12892</v>
      </c>
      <c r="G4496" s="5" t="s">
        <v>152</v>
      </c>
      <c r="H4496" s="5" t="s">
        <v>12893</v>
      </c>
      <c r="I4496" s="5" t="s">
        <v>13026</v>
      </c>
      <c r="J4496" s="5" t="s">
        <v>13027</v>
      </c>
      <c r="K4496" s="7" t="str">
        <f ca="1">IFERROR(__xludf.DUMMYFUNCTION("GOOGLETRANSLATE(H4496,""EN"",""ES"")"),"EQUIPOS DE DISTRIBUCIÓN DE FLUIDOS")</f>
        <v>EQUIPOS DE DISTRIBUCIÓN DE FLUIDOS</v>
      </c>
      <c r="L4496" s="5" t="str">
        <f ca="1">IFERROR(__xludf.DUMMYFUNCTION("GOOGLETRANSLATE(J4496,""EN"",""ES"")"),"Rejillas de hojas para bajantes")</f>
        <v>Rejillas de hojas para bajantes</v>
      </c>
      <c r="M4496" s="8" t="s">
        <v>74</v>
      </c>
      <c r="N4496" s="8"/>
    </row>
    <row r="4497" spans="1:14" ht="11.25" customHeight="1">
      <c r="A4497" s="5" t="s">
        <v>12888</v>
      </c>
      <c r="B4497" s="5" t="s">
        <v>12889</v>
      </c>
      <c r="C4497" s="5" t="s">
        <v>13028</v>
      </c>
      <c r="D4497" s="5" t="s">
        <v>12891</v>
      </c>
      <c r="E4497" s="5" t="s">
        <v>75</v>
      </c>
      <c r="F4497" s="5" t="s">
        <v>12892</v>
      </c>
      <c r="G4497" s="5" t="s">
        <v>152</v>
      </c>
      <c r="H4497" s="5" t="s">
        <v>12893</v>
      </c>
      <c r="I4497" s="5" t="s">
        <v>13029</v>
      </c>
      <c r="J4497" s="5" t="s">
        <v>13030</v>
      </c>
      <c r="K4497" s="7" t="str">
        <f ca="1">IFERROR(__xludf.DUMMYFUNCTION("GOOGLETRANSLATE(H4497,""EN"",""ES"")"),"EQUIPOS DE DISTRIBUCIÓN DE FLUIDOS")</f>
        <v>EQUIPOS DE DISTRIBUCIÓN DE FLUIDOS</v>
      </c>
      <c r="L4497" s="5" t="str">
        <f ca="1">IFERROR(__xludf.DUMMYFUNCTION("GOOGLETRANSLATE(J4497,""EN"",""ES"")"),"Anillos de empaquetadura para tubos y tuberías.")</f>
        <v>Anillos de empaquetadura para tubos y tuberías.</v>
      </c>
      <c r="M4497" s="8" t="s">
        <v>74</v>
      </c>
      <c r="N4497" s="8"/>
    </row>
    <row r="4498" spans="1:14" ht="11.25" customHeight="1">
      <c r="A4498" s="5" t="s">
        <v>12888</v>
      </c>
      <c r="B4498" s="5" t="s">
        <v>12889</v>
      </c>
      <c r="C4498" s="5" t="s">
        <v>13028</v>
      </c>
      <c r="D4498" s="5" t="s">
        <v>12891</v>
      </c>
      <c r="E4498" s="5" t="s">
        <v>75</v>
      </c>
      <c r="F4498" s="5" t="s">
        <v>12892</v>
      </c>
      <c r="G4498" s="5" t="s">
        <v>152</v>
      </c>
      <c r="H4498" s="5" t="s">
        <v>12893</v>
      </c>
      <c r="I4498" s="5" t="s">
        <v>13031</v>
      </c>
      <c r="J4498" s="5" t="s">
        <v>13032</v>
      </c>
      <c r="K4498" s="7" t="str">
        <f ca="1">IFERROR(__xludf.DUMMYFUNCTION("GOOGLETRANSLATE(H4498,""EN"",""ES"")"),"EQUIPOS DE DISTRIBUCIÓN DE FLUIDOS")</f>
        <v>EQUIPOS DE DISTRIBUCIÓN DE FLUIDOS</v>
      </c>
      <c r="L4498" s="5" t="str">
        <f ca="1">IFERROR(__xludf.DUMMYFUNCTION("GOOGLETRANSLATE(J4498,""EN"",""ES"")"),"Anillos de unión o empaquetaduras para tubos y tuberías.")</f>
        <v>Anillos de unión o empaquetaduras para tubos y tuberías.</v>
      </c>
      <c r="M4498" s="8" t="s">
        <v>74</v>
      </c>
      <c r="N4498" s="8"/>
    </row>
    <row r="4499" spans="1:14" ht="11.25" customHeight="1">
      <c r="A4499" s="5" t="s">
        <v>12888</v>
      </c>
      <c r="B4499" s="5" t="s">
        <v>12889</v>
      </c>
      <c r="C4499" s="5" t="s">
        <v>13028</v>
      </c>
      <c r="D4499" s="5" t="s">
        <v>12891</v>
      </c>
      <c r="E4499" s="5" t="s">
        <v>75</v>
      </c>
      <c r="F4499" s="5" t="s">
        <v>12892</v>
      </c>
      <c r="G4499" s="5" t="s">
        <v>152</v>
      </c>
      <c r="H4499" s="5" t="s">
        <v>12893</v>
      </c>
      <c r="I4499" s="5" t="s">
        <v>13033</v>
      </c>
      <c r="J4499" s="5" t="s">
        <v>13034</v>
      </c>
      <c r="K4499" s="7" t="str">
        <f ca="1">IFERROR(__xludf.DUMMYFUNCTION("GOOGLETRANSLATE(H4499,""EN"",""ES"")"),"EQUIPOS DE DISTRIBUCIÓN DE FLUIDOS")</f>
        <v>EQUIPOS DE DISTRIBUCIÓN DE FLUIDOS</v>
      </c>
      <c r="L4499" s="5" t="str">
        <f ca="1">IFERROR(__xludf.DUMMYFUNCTION("GOOGLETRANSLATE(J4499,""EN"",""ES"")"),"Anillos de unión para tubos y tuberías.")</f>
        <v>Anillos de unión para tubos y tuberías.</v>
      </c>
      <c r="M4499" s="8" t="s">
        <v>74</v>
      </c>
      <c r="N4499" s="8"/>
    </row>
    <row r="4500" spans="1:14" ht="11.25" customHeight="1">
      <c r="A4500" s="5" t="s">
        <v>12888</v>
      </c>
      <c r="B4500" s="5" t="s">
        <v>12889</v>
      </c>
      <c r="C4500" s="5" t="s">
        <v>13035</v>
      </c>
      <c r="D4500" s="5" t="s">
        <v>12891</v>
      </c>
      <c r="E4500" s="5" t="s">
        <v>75</v>
      </c>
      <c r="F4500" s="5" t="s">
        <v>12892</v>
      </c>
      <c r="G4500" s="5" t="s">
        <v>152</v>
      </c>
      <c r="H4500" s="5" t="s">
        <v>12893</v>
      </c>
      <c r="I4500" s="5" t="s">
        <v>13036</v>
      </c>
      <c r="J4500" s="5" t="s">
        <v>13037</v>
      </c>
      <c r="K4500" s="7" t="str">
        <f ca="1">IFERROR(__xludf.DUMMYFUNCTION("GOOGLETRANSLATE(H4500,""EN"",""ES"")"),"EQUIPOS DE DISTRIBUCIÓN DE FLUIDOS")</f>
        <v>EQUIPOS DE DISTRIBUCIÓN DE FLUIDOS</v>
      </c>
      <c r="L4500" s="5" t="str">
        <f ca="1">IFERROR(__xludf.DUMMYFUNCTION("GOOGLETRANSLATE(J4500,""EN"",""ES"")"),"Purificadores de agua")</f>
        <v>Purificadores de agua</v>
      </c>
      <c r="M4500" s="8" t="s">
        <v>74</v>
      </c>
      <c r="N4500" s="8"/>
    </row>
    <row r="4501" spans="1:14" ht="11.25" customHeight="1">
      <c r="A4501" s="5" t="s">
        <v>12888</v>
      </c>
      <c r="B4501" s="5" t="s">
        <v>12889</v>
      </c>
      <c r="C4501" s="5" t="s">
        <v>13035</v>
      </c>
      <c r="D4501" s="5" t="s">
        <v>12891</v>
      </c>
      <c r="E4501" s="5" t="s">
        <v>75</v>
      </c>
      <c r="F4501" s="5" t="s">
        <v>12892</v>
      </c>
      <c r="G4501" s="5" t="s">
        <v>152</v>
      </c>
      <c r="H4501" s="5" t="s">
        <v>12893</v>
      </c>
      <c r="I4501" s="5" t="s">
        <v>152</v>
      </c>
      <c r="J4501" s="5" t="s">
        <v>13038</v>
      </c>
      <c r="K4501" s="7" t="str">
        <f ca="1">IFERROR(__xludf.DUMMYFUNCTION("GOOGLETRANSLATE(H4501,""EN"",""ES"")"),"EQUIPOS DE DISTRIBUCIÓN DE FLUIDOS")</f>
        <v>EQUIPOS DE DISTRIBUCIÓN DE FLUIDOS</v>
      </c>
      <c r="L4501" s="5" t="str">
        <f ca="1">IFERROR(__xludf.DUMMYFUNCTION("GOOGLETRANSLATE(J4501,""EN"",""ES"")"),"N / A")</f>
        <v>N / A</v>
      </c>
      <c r="M4501" s="8" t="s">
        <v>74</v>
      </c>
      <c r="N4501" s="8"/>
    </row>
    <row r="4502" spans="1:14" ht="11.25" customHeight="1">
      <c r="A4502" s="5" t="s">
        <v>12888</v>
      </c>
      <c r="B4502" s="5" t="s">
        <v>12889</v>
      </c>
      <c r="C4502" s="5" t="s">
        <v>13039</v>
      </c>
      <c r="D4502" s="5" t="s">
        <v>12891</v>
      </c>
      <c r="E4502" s="5" t="s">
        <v>75</v>
      </c>
      <c r="F4502" s="5" t="s">
        <v>12892</v>
      </c>
      <c r="G4502" s="5" t="s">
        <v>152</v>
      </c>
      <c r="H4502" s="5" t="s">
        <v>12893</v>
      </c>
      <c r="I4502" s="5" t="s">
        <v>13040</v>
      </c>
      <c r="J4502" s="5" t="s">
        <v>13041</v>
      </c>
      <c r="K4502" s="7" t="str">
        <f ca="1">IFERROR(__xludf.DUMMYFUNCTION("GOOGLETRANSLATE(H4502,""EN"",""ES"")"),"EQUIPOS DE DISTRIBUCIÓN DE FLUIDOS")</f>
        <v>EQUIPOS DE DISTRIBUCIÓN DE FLUIDOS</v>
      </c>
      <c r="L4502" s="5" t="str">
        <f ca="1">IFERROR(__xludf.DUMMYFUNCTION("GOOGLETRANSLATE(J4502,""EN"",""ES"")"),"Tuberías de drenaje")</f>
        <v>Tuberías de drenaje</v>
      </c>
      <c r="M4502" s="8" t="s">
        <v>74</v>
      </c>
      <c r="N4502" s="8"/>
    </row>
    <row r="4503" spans="1:14" ht="11.25" customHeight="1">
      <c r="A4503" s="5" t="s">
        <v>12888</v>
      </c>
      <c r="B4503" s="5" t="s">
        <v>12889</v>
      </c>
      <c r="C4503" s="5" t="s">
        <v>13042</v>
      </c>
      <c r="D4503" s="5" t="s">
        <v>12891</v>
      </c>
      <c r="E4503" s="5" t="s">
        <v>75</v>
      </c>
      <c r="F4503" s="5" t="s">
        <v>12892</v>
      </c>
      <c r="G4503" s="5" t="s">
        <v>152</v>
      </c>
      <c r="H4503" s="5" t="s">
        <v>12893</v>
      </c>
      <c r="I4503" s="5" t="s">
        <v>13043</v>
      </c>
      <c r="J4503" s="5" t="s">
        <v>13044</v>
      </c>
      <c r="K4503" s="7" t="str">
        <f ca="1">IFERROR(__xludf.DUMMYFUNCTION("GOOGLETRANSLATE(H4503,""EN"",""ES"")"),"EQUIPOS DE DISTRIBUCIÓN DE FLUIDOS")</f>
        <v>EQUIPOS DE DISTRIBUCIÓN DE FLUIDOS</v>
      </c>
      <c r="L4503" s="5" t="str">
        <f ca="1">IFERROR(__xludf.DUMMYFUNCTION("GOOGLETRANSLATE(J4503,""EN"",""ES"")"),"Tanques de purines")</f>
        <v>Tanques de purines</v>
      </c>
      <c r="M4503" s="8" t="s">
        <v>74</v>
      </c>
      <c r="N4503" s="8"/>
    </row>
    <row r="4504" spans="1:14" ht="11.25" customHeight="1">
      <c r="A4504" s="5" t="s">
        <v>12888</v>
      </c>
      <c r="B4504" s="5" t="s">
        <v>12889</v>
      </c>
      <c r="C4504" s="5" t="s">
        <v>13045</v>
      </c>
      <c r="D4504" s="5" t="s">
        <v>12891</v>
      </c>
      <c r="E4504" s="5" t="s">
        <v>75</v>
      </c>
      <c r="F4504" s="5" t="s">
        <v>12892</v>
      </c>
      <c r="G4504" s="5" t="s">
        <v>152</v>
      </c>
      <c r="H4504" s="5" t="s">
        <v>12893</v>
      </c>
      <c r="I4504" s="5" t="s">
        <v>13046</v>
      </c>
      <c r="J4504" s="5" t="s">
        <v>13047</v>
      </c>
      <c r="K4504" s="7" t="str">
        <f ca="1">IFERROR(__xludf.DUMMYFUNCTION("GOOGLETRANSLATE(H4504,""EN"",""ES"")"),"EQUIPOS DE DISTRIBUCIÓN DE FLUIDOS")</f>
        <v>EQUIPOS DE DISTRIBUCIÓN DE FLUIDOS</v>
      </c>
      <c r="L4504" s="5" t="str">
        <f ca="1">IFERROR(__xludf.DUMMYFUNCTION("GOOGLETRANSLATE(J4504,""EN"",""ES"")"),"Mezcladores termostáticos")</f>
        <v>Mezcladores termostáticos</v>
      </c>
      <c r="M4504" s="8" t="s">
        <v>74</v>
      </c>
      <c r="N4504" s="8"/>
    </row>
    <row r="4505" spans="1:14" ht="11.25" customHeight="1">
      <c r="A4505" s="5" t="s">
        <v>12888</v>
      </c>
      <c r="B4505" s="5" t="s">
        <v>12889</v>
      </c>
      <c r="C4505" s="5" t="s">
        <v>13048</v>
      </c>
      <c r="D4505" s="5" t="s">
        <v>12891</v>
      </c>
      <c r="E4505" s="5" t="s">
        <v>75</v>
      </c>
      <c r="F4505" s="5" t="s">
        <v>12892</v>
      </c>
      <c r="G4505" s="5" t="s">
        <v>152</v>
      </c>
      <c r="H4505" s="5" t="s">
        <v>12893</v>
      </c>
      <c r="I4505" s="5" t="s">
        <v>13049</v>
      </c>
      <c r="J4505" s="5" t="s">
        <v>13050</v>
      </c>
      <c r="K4505" s="7" t="str">
        <f ca="1">IFERROR(__xludf.DUMMYFUNCTION("GOOGLETRANSLATE(H4505,""EN"",""ES"")"),"EQUIPOS DE DISTRIBUCIÓN DE FLUIDOS")</f>
        <v>EQUIPOS DE DISTRIBUCIÓN DE FLUIDOS</v>
      </c>
      <c r="L4505" s="5" t="str">
        <f ca="1">IFERROR(__xludf.DUMMYFUNCTION("GOOGLETRANSLATE(J4505,""EN"",""ES"")"),"Boquillas de lavado")</f>
        <v>Boquillas de lavado</v>
      </c>
      <c r="M4505" s="8" t="s">
        <v>74</v>
      </c>
      <c r="N4505" s="8"/>
    </row>
    <row r="4506" spans="1:14" ht="11.25" customHeight="1">
      <c r="A4506" s="5" t="s">
        <v>12888</v>
      </c>
      <c r="B4506" s="5" t="s">
        <v>12889</v>
      </c>
      <c r="C4506" s="5" t="s">
        <v>13051</v>
      </c>
      <c r="D4506" s="5" t="s">
        <v>12891</v>
      </c>
      <c r="E4506" s="5" t="s">
        <v>75</v>
      </c>
      <c r="F4506" s="5" t="s">
        <v>12892</v>
      </c>
      <c r="G4506" s="5" t="s">
        <v>152</v>
      </c>
      <c r="H4506" s="5" t="s">
        <v>12893</v>
      </c>
      <c r="I4506" s="5" t="s">
        <v>13052</v>
      </c>
      <c r="J4506" s="5" t="s">
        <v>13053</v>
      </c>
      <c r="K4506" s="7" t="str">
        <f ca="1">IFERROR(__xludf.DUMMYFUNCTION("GOOGLETRANSLATE(H4506,""EN"",""ES"")"),"EQUIPOS DE DISTRIBUCIÓN DE FLUIDOS")</f>
        <v>EQUIPOS DE DISTRIBUCIÓN DE FLUIDOS</v>
      </c>
      <c r="L4506" s="5" t="str">
        <f ca="1">IFERROR(__xludf.DUMMYFUNCTION("GOOGLETRANSLATE(J4506,""EN"",""ES"")"),"Manetas de control para grifos.")</f>
        <v>Manetas de control para grifos.</v>
      </c>
      <c r="M4506" s="8" t="s">
        <v>74</v>
      </c>
      <c r="N4506" s="8"/>
    </row>
    <row r="4507" spans="1:14" ht="11.25" customHeight="1">
      <c r="A4507" s="5" t="s">
        <v>12888</v>
      </c>
      <c r="B4507" s="5" t="s">
        <v>12889</v>
      </c>
      <c r="C4507" s="5" t="s">
        <v>13054</v>
      </c>
      <c r="D4507" s="5" t="s">
        <v>12891</v>
      </c>
      <c r="E4507" s="5" t="s">
        <v>75</v>
      </c>
      <c r="F4507" s="5" t="s">
        <v>12892</v>
      </c>
      <c r="G4507" s="5" t="s">
        <v>152</v>
      </c>
      <c r="H4507" s="5" t="s">
        <v>12893</v>
      </c>
      <c r="I4507" s="5" t="s">
        <v>13055</v>
      </c>
      <c r="J4507" s="5" t="s">
        <v>13056</v>
      </c>
      <c r="K4507" s="7" t="str">
        <f ca="1">IFERROR(__xludf.DUMMYFUNCTION("GOOGLETRANSLATE(H4507,""EN"",""ES"")"),"EQUIPOS DE DISTRIBUCIÓN DE FLUIDOS")</f>
        <v>EQUIPOS DE DISTRIBUCIÓN DE FLUIDOS</v>
      </c>
      <c r="L4507" s="5" t="str">
        <f ca="1">IFERROR(__xludf.DUMMYFUNCTION("GOOGLETRANSLATE(J4507,""EN"",""ES"")"),"Mangueras de jardín")</f>
        <v>Mangueras de jardín</v>
      </c>
      <c r="M4507" s="8" t="s">
        <v>74</v>
      </c>
      <c r="N4507" s="8"/>
    </row>
    <row r="4508" spans="1:14" ht="11.25" customHeight="1">
      <c r="A4508" s="5" t="s">
        <v>12888</v>
      </c>
      <c r="B4508" s="5" t="s">
        <v>12889</v>
      </c>
      <c r="C4508" s="5" t="s">
        <v>13057</v>
      </c>
      <c r="D4508" s="5" t="s">
        <v>12891</v>
      </c>
      <c r="E4508" s="5" t="s">
        <v>75</v>
      </c>
      <c r="F4508" s="5" t="s">
        <v>12892</v>
      </c>
      <c r="G4508" s="5" t="s">
        <v>152</v>
      </c>
      <c r="H4508" s="5" t="s">
        <v>12893</v>
      </c>
      <c r="I4508" s="5" t="s">
        <v>13058</v>
      </c>
      <c r="J4508" s="5" t="s">
        <v>13059</v>
      </c>
      <c r="K4508" s="7" t="str">
        <f ca="1">IFERROR(__xludf.DUMMYFUNCTION("GOOGLETRANSLATE(H4508,""EN"",""ES"")"),"EQUIPOS DE DISTRIBUCIÓN DE FLUIDOS")</f>
        <v>EQUIPOS DE DISTRIBUCIÓN DE FLUIDOS</v>
      </c>
      <c r="L4508" s="5" t="str">
        <f ca="1">IFERROR(__xludf.DUMMYFUNCTION("GOOGLETRANSLATE(J4508,""EN"",""ES"")"),"Aspersores para fregaderos")</f>
        <v>Aspersores para fregaderos</v>
      </c>
      <c r="M4508" s="8" t="s">
        <v>74</v>
      </c>
      <c r="N4508" s="8"/>
    </row>
    <row r="4509" spans="1:14" ht="11.25" customHeight="1">
      <c r="A4509" s="5" t="s">
        <v>12888</v>
      </c>
      <c r="B4509" s="5" t="s">
        <v>12889</v>
      </c>
      <c r="C4509" s="5" t="s">
        <v>13060</v>
      </c>
      <c r="D4509" s="5" t="s">
        <v>12891</v>
      </c>
      <c r="E4509" s="5" t="s">
        <v>75</v>
      </c>
      <c r="F4509" s="5" t="s">
        <v>12892</v>
      </c>
      <c r="G4509" s="5" t="s">
        <v>152</v>
      </c>
      <c r="H4509" s="5" t="s">
        <v>12893</v>
      </c>
      <c r="I4509" s="5" t="s">
        <v>13061</v>
      </c>
      <c r="J4509" s="5" t="s">
        <v>13062</v>
      </c>
      <c r="K4509" s="7" t="str">
        <f ca="1">IFERROR(__xludf.DUMMYFUNCTION("GOOGLETRANSLATE(H4509,""EN"",""ES"")"),"EQUIPOS DE DISTRIBUCIÓN DE FLUIDOS")</f>
        <v>EQUIPOS DE DISTRIBUCIÓN DE FLUIDOS</v>
      </c>
      <c r="L4509" s="5" t="str">
        <f ca="1">IFERROR(__xludf.DUMMYFUNCTION("GOOGLETRANSLATE(J4509,""EN"",""ES"")"),"Instalaciones de riego")</f>
        <v>Instalaciones de riego</v>
      </c>
      <c r="M4509" s="8" t="s">
        <v>74</v>
      </c>
      <c r="N4509" s="8"/>
    </row>
    <row r="4510" spans="1:14" ht="11.25" customHeight="1">
      <c r="A4510" s="5" t="s">
        <v>12888</v>
      </c>
      <c r="B4510" s="5" t="s">
        <v>12889</v>
      </c>
      <c r="C4510" s="5" t="s">
        <v>13063</v>
      </c>
      <c r="D4510" s="5" t="s">
        <v>12891</v>
      </c>
      <c r="E4510" s="5" t="s">
        <v>75</v>
      </c>
      <c r="F4510" s="5" t="s">
        <v>12892</v>
      </c>
      <c r="G4510" s="5" t="s">
        <v>152</v>
      </c>
      <c r="H4510" s="5" t="s">
        <v>12893</v>
      </c>
      <c r="I4510" s="5" t="s">
        <v>13064</v>
      </c>
      <c r="J4510" s="5" t="s">
        <v>13065</v>
      </c>
      <c r="K4510" s="7" t="str">
        <f ca="1">IFERROR(__xludf.DUMMYFUNCTION("GOOGLETRANSLATE(H4510,""EN"",""ES"")"),"EQUIPOS DE DISTRIBUCIÓN DE FLUIDOS")</f>
        <v>EQUIPOS DE DISTRIBUCIÓN DE FLUIDOS</v>
      </c>
      <c r="L4510" s="5" t="str">
        <f ca="1">IFERROR(__xludf.DUMMYFUNCTION("GOOGLETRANSLATE(J4510,""EN"",""ES"")"),"Drenajes pluviales")</f>
        <v>Drenajes pluviales</v>
      </c>
      <c r="M4510" s="8" t="s">
        <v>74</v>
      </c>
      <c r="N4510" s="8"/>
    </row>
    <row r="4511" spans="1:14" ht="11.25" customHeight="1">
      <c r="A4511" s="5" t="s">
        <v>12888</v>
      </c>
      <c r="B4511" s="5" t="s">
        <v>12889</v>
      </c>
      <c r="C4511" s="5" t="s">
        <v>13066</v>
      </c>
      <c r="D4511" s="5" t="s">
        <v>12891</v>
      </c>
      <c r="E4511" s="5" t="s">
        <v>75</v>
      </c>
      <c r="F4511" s="5" t="s">
        <v>12892</v>
      </c>
      <c r="G4511" s="5" t="s">
        <v>152</v>
      </c>
      <c r="H4511" s="5" t="s">
        <v>12893</v>
      </c>
      <c r="I4511" s="5" t="s">
        <v>13067</v>
      </c>
      <c r="J4511" s="5" t="s">
        <v>13068</v>
      </c>
      <c r="K4511" s="7" t="str">
        <f ca="1">IFERROR(__xludf.DUMMYFUNCTION("GOOGLETRANSLATE(H4511,""EN"",""ES"")"),"EQUIPOS DE DISTRIBUCIÓN DE FLUIDOS")</f>
        <v>EQUIPOS DE DISTRIBUCIÓN DE FLUIDOS</v>
      </c>
      <c r="L4511" s="5" t="str">
        <f ca="1">IFERROR(__xludf.DUMMYFUNCTION("GOOGLETRANSLATE(J4511,""EN"",""ES"")"),"Rejillas para desagües pluviales")</f>
        <v>Rejillas para desagües pluviales</v>
      </c>
      <c r="M4511" s="8" t="s">
        <v>74</v>
      </c>
      <c r="N4511" s="8"/>
    </row>
    <row r="4512" spans="1:14" ht="11.25" customHeight="1">
      <c r="A4512" s="5" t="s">
        <v>12888</v>
      </c>
      <c r="B4512" s="5" t="s">
        <v>12889</v>
      </c>
      <c r="C4512" s="5" t="s">
        <v>13069</v>
      </c>
      <c r="D4512" s="5" t="s">
        <v>12891</v>
      </c>
      <c r="E4512" s="5" t="s">
        <v>75</v>
      </c>
      <c r="F4512" s="5" t="s">
        <v>12892</v>
      </c>
      <c r="G4512" s="5" t="s">
        <v>152</v>
      </c>
      <c r="H4512" s="5" t="s">
        <v>12893</v>
      </c>
      <c r="I4512" s="5" t="s">
        <v>13070</v>
      </c>
      <c r="J4512" s="5" t="s">
        <v>13071</v>
      </c>
      <c r="K4512" s="7" t="str">
        <f ca="1">IFERROR(__xludf.DUMMYFUNCTION("GOOGLETRANSLATE(H4512,""EN"",""ES"")"),"EQUIPOS DE DISTRIBUCIÓN DE FLUIDOS")</f>
        <v>EQUIPOS DE DISTRIBUCIÓN DE FLUIDOS</v>
      </c>
      <c r="L4512" s="5" t="str">
        <f ca="1">IFERROR(__xludf.DUMMYFUNCTION("GOOGLETRANSLATE(J4512,""EN"",""ES"")"),"Dispositivos de seguridad para rejillas de drenaje.")</f>
        <v>Dispositivos de seguridad para rejillas de drenaje.</v>
      </c>
      <c r="M4512" s="8" t="s">
        <v>74</v>
      </c>
      <c r="N4512" s="8"/>
    </row>
    <row r="4513" spans="1:14" ht="11.25" customHeight="1">
      <c r="A4513" s="5" t="s">
        <v>12888</v>
      </c>
      <c r="B4513" s="5" t="s">
        <v>12889</v>
      </c>
      <c r="C4513" s="5" t="s">
        <v>13072</v>
      </c>
      <c r="D4513" s="5" t="s">
        <v>12891</v>
      </c>
      <c r="E4513" s="5" t="s">
        <v>75</v>
      </c>
      <c r="F4513" s="5" t="s">
        <v>12892</v>
      </c>
      <c r="G4513" s="5" t="s">
        <v>152</v>
      </c>
      <c r="H4513" s="5" t="s">
        <v>12893</v>
      </c>
      <c r="I4513" s="5" t="s">
        <v>13073</v>
      </c>
      <c r="J4513" s="5" t="s">
        <v>13074</v>
      </c>
      <c r="K4513" s="7" t="str">
        <f ca="1">IFERROR(__xludf.DUMMYFUNCTION("GOOGLETRANSLATE(H4513,""EN"",""ES"")"),"EQUIPOS DE DISTRIBUCIÓN DE FLUIDOS")</f>
        <v>EQUIPOS DE DISTRIBUCIÓN DE FLUIDOS</v>
      </c>
      <c r="L4513" s="5" t="str">
        <f ca="1">IFERROR(__xludf.DUMMYFUNCTION("GOOGLETRANSLATE(J4513,""EN"",""ES"")"),"Desagües de suelo [interiores y exteriores]")</f>
        <v>Desagües de suelo [interiores y exteriores]</v>
      </c>
      <c r="M4513" s="8" t="s">
        <v>74</v>
      </c>
      <c r="N4513" s="8"/>
    </row>
    <row r="4514" spans="1:14" ht="11.25" customHeight="1">
      <c r="A4514" s="5" t="s">
        <v>12888</v>
      </c>
      <c r="B4514" s="5" t="s">
        <v>12889</v>
      </c>
      <c r="C4514" s="5" t="s">
        <v>13075</v>
      </c>
      <c r="D4514" s="5" t="s">
        <v>12891</v>
      </c>
      <c r="E4514" s="5" t="s">
        <v>75</v>
      </c>
      <c r="F4514" s="5" t="s">
        <v>12892</v>
      </c>
      <c r="G4514" s="5" t="s">
        <v>152</v>
      </c>
      <c r="H4514" s="5" t="s">
        <v>12893</v>
      </c>
      <c r="I4514" s="5" t="s">
        <v>13076</v>
      </c>
      <c r="J4514" s="5" t="s">
        <v>13077</v>
      </c>
      <c r="K4514" s="7" t="str">
        <f ca="1">IFERROR(__xludf.DUMMYFUNCTION("GOOGLETRANSLATE(H4514,""EN"",""ES"")"),"EQUIPOS DE DISTRIBUCIÓN DE FLUIDOS")</f>
        <v>EQUIPOS DE DISTRIBUCIÓN DE FLUIDOS</v>
      </c>
      <c r="L4514" s="5" t="str">
        <f ca="1">IFERROR(__xludf.DUMMYFUNCTION("GOOGLETRANSLATE(J4514,""EN"",""ES"")"),"Rejillas para desagües de piso [interiores y exteriores]")</f>
        <v>Rejillas para desagües de piso [interiores y exteriores]</v>
      </c>
      <c r="M4514" s="8" t="s">
        <v>74</v>
      </c>
      <c r="N4514" s="8"/>
    </row>
    <row r="4515" spans="1:14" ht="11.25" customHeight="1">
      <c r="A4515" s="5" t="s">
        <v>12888</v>
      </c>
      <c r="B4515" s="5" t="s">
        <v>12889</v>
      </c>
      <c r="C4515" s="5" t="s">
        <v>13078</v>
      </c>
      <c r="D4515" s="5" t="s">
        <v>12891</v>
      </c>
      <c r="E4515" s="5" t="s">
        <v>75</v>
      </c>
      <c r="F4515" s="5" t="s">
        <v>12892</v>
      </c>
      <c r="G4515" s="5" t="s">
        <v>152</v>
      </c>
      <c r="H4515" s="5" t="s">
        <v>12893</v>
      </c>
      <c r="I4515" s="5" t="s">
        <v>13079</v>
      </c>
      <c r="J4515" s="5" t="s">
        <v>13080</v>
      </c>
      <c r="K4515" s="7" t="str">
        <f ca="1">IFERROR(__xludf.DUMMYFUNCTION("GOOGLETRANSLATE(H4515,""EN"",""ES"")"),"EQUIPOS DE DISTRIBUCIÓN DE FLUIDOS")</f>
        <v>EQUIPOS DE DISTRIBUCIÓN DE FLUIDOS</v>
      </c>
      <c r="L4515" s="5" t="str">
        <f ca="1">IFERROR(__xludf.DUMMYFUNCTION("GOOGLETRANSLATE(J4515,""EN"",""ES"")"),"Rociadores contra incendios")</f>
        <v>Rociadores contra incendios</v>
      </c>
      <c r="M4515" s="8" t="s">
        <v>74</v>
      </c>
      <c r="N4515" s="8"/>
    </row>
    <row r="4516" spans="1:14" ht="11.25" customHeight="1">
      <c r="A4516" s="5" t="s">
        <v>12888</v>
      </c>
      <c r="B4516" s="5" t="s">
        <v>12889</v>
      </c>
      <c r="C4516" s="5" t="s">
        <v>13081</v>
      </c>
      <c r="D4516" s="5" t="s">
        <v>12891</v>
      </c>
      <c r="E4516" s="5" t="s">
        <v>75</v>
      </c>
      <c r="F4516" s="5" t="s">
        <v>12892</v>
      </c>
      <c r="G4516" s="5" t="s">
        <v>152</v>
      </c>
      <c r="H4516" s="5" t="s">
        <v>12893</v>
      </c>
      <c r="I4516" s="5" t="s">
        <v>13082</v>
      </c>
      <c r="J4516" s="5" t="s">
        <v>13083</v>
      </c>
      <c r="K4516" s="7" t="str">
        <f ca="1">IFERROR(__xludf.DUMMYFUNCTION("GOOGLETRANSLATE(H4516,""EN"",""ES"")"),"EQUIPOS DE DISTRIBUCIÓN DE FLUIDOS")</f>
        <v>EQUIPOS DE DISTRIBUCIÓN DE FLUIDOS</v>
      </c>
      <c r="L4516" s="5" t="str">
        <f ca="1">IFERROR(__xludf.DUMMYFUNCTION("GOOGLETRANSLATE(J4516,""EN"",""ES"")"),"Instalaciones depuradoras de agua")</f>
        <v>Instalaciones depuradoras de agua</v>
      </c>
      <c r="M4516" s="8" t="s">
        <v>74</v>
      </c>
      <c r="N4516" s="8"/>
    </row>
    <row r="4517" spans="1:14" ht="11.25" customHeight="1">
      <c r="A4517" s="5" t="s">
        <v>12888</v>
      </c>
      <c r="B4517" s="5" t="s">
        <v>13084</v>
      </c>
      <c r="C4517" s="5" t="s">
        <v>152</v>
      </c>
      <c r="D4517" s="5" t="s">
        <v>12891</v>
      </c>
      <c r="E4517" s="5" t="s">
        <v>75</v>
      </c>
      <c r="F4517" s="5" t="s">
        <v>12892</v>
      </c>
      <c r="G4517" s="5" t="s">
        <v>152</v>
      </c>
      <c r="H4517" s="5" t="s">
        <v>1599</v>
      </c>
      <c r="I4517" s="5" t="s">
        <v>152</v>
      </c>
      <c r="J4517" s="5" t="s">
        <v>152</v>
      </c>
      <c r="K4517" s="7" t="str">
        <f ca="1">IFERROR(__xludf.DUMMYFUNCTION("GOOGLETRANSLATE(H4517,""EN"",""ES"")"),"[vacante]")</f>
        <v>[vacante]</v>
      </c>
      <c r="L4517" s="5" t="str">
        <f ca="1">IFERROR(__xludf.DUMMYFUNCTION("GOOGLETRANSLATE(J4517,""EN"",""ES"")"),"N / A")</f>
        <v>N / A</v>
      </c>
      <c r="M4517" s="8" t="s">
        <v>74</v>
      </c>
      <c r="N4517" s="8"/>
    </row>
    <row r="4518" spans="1:14" ht="11.25" customHeight="1">
      <c r="A4518" s="5" t="s">
        <v>12888</v>
      </c>
      <c r="B4518" s="5" t="s">
        <v>13085</v>
      </c>
      <c r="C4518" s="5" t="s">
        <v>13086</v>
      </c>
      <c r="D4518" s="5" t="s">
        <v>12891</v>
      </c>
      <c r="E4518" s="5" t="s">
        <v>75</v>
      </c>
      <c r="F4518" s="5" t="s">
        <v>12892</v>
      </c>
      <c r="G4518" s="5" t="s">
        <v>152</v>
      </c>
      <c r="H4518" s="5" t="s">
        <v>13087</v>
      </c>
      <c r="I4518" s="5" t="s">
        <v>13088</v>
      </c>
      <c r="J4518" s="5" t="s">
        <v>13089</v>
      </c>
      <c r="K4518" s="7" t="str">
        <f ca="1">IFERROR(__xludf.DUMMYFUNCTION("GOOGLETRANSLATE(H4518,""EN"",""ES"")"),"EQUIPO DE CALEFACCIÓN")</f>
        <v>EQUIPO DE CALEFACCIÓN</v>
      </c>
      <c r="L4518" s="5" t="str">
        <f ca="1">IFERROR(__xludf.DUMMYFUNCTION("GOOGLETRANSLATE(J4518,""EN"",""ES"")"),"Encendedores para quemadores de combustible gaseoso")</f>
        <v>Encendedores para quemadores de combustible gaseoso</v>
      </c>
      <c r="M4518" s="8" t="s">
        <v>76</v>
      </c>
      <c r="N4518" s="8"/>
    </row>
    <row r="4519" spans="1:14" ht="11.25" customHeight="1">
      <c r="A4519" s="5" t="s">
        <v>12888</v>
      </c>
      <c r="B4519" s="5" t="s">
        <v>13085</v>
      </c>
      <c r="C4519" s="5" t="s">
        <v>13090</v>
      </c>
      <c r="D4519" s="5" t="s">
        <v>12891</v>
      </c>
      <c r="E4519" s="5" t="s">
        <v>75</v>
      </c>
      <c r="F4519" s="5" t="s">
        <v>12892</v>
      </c>
      <c r="G4519" s="5" t="s">
        <v>152</v>
      </c>
      <c r="H4519" s="5" t="s">
        <v>13087</v>
      </c>
      <c r="I4519" s="5" t="s">
        <v>13091</v>
      </c>
      <c r="J4519" s="5" t="s">
        <v>13092</v>
      </c>
      <c r="K4519" s="7" t="str">
        <f ca="1">IFERROR(__xludf.DUMMYFUNCTION("GOOGLETRANSLATE(H4519,""EN"",""ES"")"),"EQUIPO DE CALEFACCIÓN")</f>
        <v>EQUIPO DE CALEFACCIÓN</v>
      </c>
      <c r="L4519" s="5" t="str">
        <f ca="1">IFERROR(__xludf.DUMMYFUNCTION("GOOGLETRANSLATE(J4519,""EN"",""ES"")"),"braseros")</f>
        <v>braseros</v>
      </c>
      <c r="M4519" s="8" t="s">
        <v>76</v>
      </c>
      <c r="N4519" s="8"/>
    </row>
    <row r="4520" spans="1:14" ht="11.25" customHeight="1">
      <c r="A4520" s="5" t="s">
        <v>12888</v>
      </c>
      <c r="B4520" s="5" t="s">
        <v>13085</v>
      </c>
      <c r="C4520" s="5" t="s">
        <v>13093</v>
      </c>
      <c r="D4520" s="5" t="s">
        <v>12891</v>
      </c>
      <c r="E4520" s="5" t="s">
        <v>75</v>
      </c>
      <c r="F4520" s="5" t="s">
        <v>12892</v>
      </c>
      <c r="G4520" s="5" t="s">
        <v>152</v>
      </c>
      <c r="H4520" s="5" t="s">
        <v>13087</v>
      </c>
      <c r="I4520" s="5" t="s">
        <v>13094</v>
      </c>
      <c r="J4520" s="5" t="s">
        <v>13095</v>
      </c>
      <c r="K4520" s="7" t="str">
        <f ca="1">IFERROR(__xludf.DUMMYFUNCTION("GOOGLETRANSLATE(H4520,""EN"",""ES"")"),"EQUIPO DE CALEFACCIÓN")</f>
        <v>EQUIPO DE CALEFACCIÓN</v>
      </c>
      <c r="L4520" s="5" t="str">
        <f ca="1">IFERROR(__xludf.DUMMYFUNCTION("GOOGLETRANSLATE(J4520,""EN"",""ES"")"),"Quemadores [calefacción]")</f>
        <v>Quemadores [calefacción]</v>
      </c>
      <c r="M4520" s="8" t="s">
        <v>76</v>
      </c>
      <c r="N4520" s="8"/>
    </row>
    <row r="4521" spans="1:14" ht="11.25" customHeight="1">
      <c r="A4521" s="5" t="s">
        <v>12888</v>
      </c>
      <c r="B4521" s="5" t="s">
        <v>13085</v>
      </c>
      <c r="C4521" s="5" t="s">
        <v>13096</v>
      </c>
      <c r="D4521" s="5" t="s">
        <v>12891</v>
      </c>
      <c r="E4521" s="5" t="s">
        <v>75</v>
      </c>
      <c r="F4521" s="5" t="s">
        <v>12892</v>
      </c>
      <c r="G4521" s="5" t="s">
        <v>152</v>
      </c>
      <c r="H4521" s="5" t="s">
        <v>13087</v>
      </c>
      <c r="I4521" s="5" t="s">
        <v>13097</v>
      </c>
      <c r="J4521" s="5" t="s">
        <v>13098</v>
      </c>
      <c r="K4521" s="7" t="str">
        <f ca="1">IFERROR(__xludf.DUMMYFUNCTION("GOOGLETRANSLATE(H4521,""EN"",""ES"")"),"EQUIPO DE CALEFACCIÓN")</f>
        <v>EQUIPO DE CALEFACCIÓN</v>
      </c>
      <c r="L4521" s="5" t="str">
        <f ca="1">IFERROR(__xludf.DUMMYFUNCTION("GOOGLETRANSLATE(J4521,""EN"",""ES"")"),"Repisas para chimeneas")</f>
        <v>Repisas para chimeneas</v>
      </c>
      <c r="M4521" s="8" t="s">
        <v>76</v>
      </c>
      <c r="N4521" s="8"/>
    </row>
    <row r="4522" spans="1:14" ht="11.25" customHeight="1">
      <c r="A4522" s="5" t="s">
        <v>12888</v>
      </c>
      <c r="B4522" s="5" t="s">
        <v>13085</v>
      </c>
      <c r="C4522" s="5" t="s">
        <v>13099</v>
      </c>
      <c r="D4522" s="5" t="s">
        <v>12891</v>
      </c>
      <c r="E4522" s="5" t="s">
        <v>75</v>
      </c>
      <c r="F4522" s="5" t="s">
        <v>12892</v>
      </c>
      <c r="G4522" s="5" t="s">
        <v>152</v>
      </c>
      <c r="H4522" s="5" t="s">
        <v>13087</v>
      </c>
      <c r="I4522" s="5" t="s">
        <v>13100</v>
      </c>
      <c r="J4522" s="5" t="s">
        <v>13101</v>
      </c>
      <c r="K4522" s="7" t="str">
        <f ca="1">IFERROR(__xludf.DUMMYFUNCTION("GOOGLETRANSLATE(H4522,""EN"",""ES"")"),"EQUIPO DE CALEFACCIÓN")</f>
        <v>EQUIPO DE CALEFACCIÓN</v>
      </c>
      <c r="L4522" s="5" t="str">
        <f ca="1">IFERROR(__xludf.DUMMYFUNCTION("GOOGLETRANSLATE(J4522,""EN"",""ES"")"),"Equipo de calefacción")</f>
        <v>Equipo de calefacción</v>
      </c>
      <c r="M4522" s="8" t="s">
        <v>76</v>
      </c>
      <c r="N4522" s="8"/>
    </row>
    <row r="4523" spans="1:14" ht="11.25" customHeight="1">
      <c r="A4523" s="5" t="s">
        <v>12888</v>
      </c>
      <c r="B4523" s="5" t="s">
        <v>13085</v>
      </c>
      <c r="C4523" s="5" t="s">
        <v>13102</v>
      </c>
      <c r="D4523" s="5" t="s">
        <v>12891</v>
      </c>
      <c r="E4523" s="5" t="s">
        <v>75</v>
      </c>
      <c r="F4523" s="5" t="s">
        <v>12892</v>
      </c>
      <c r="G4523" s="5" t="s">
        <v>152</v>
      </c>
      <c r="H4523" s="5" t="s">
        <v>13087</v>
      </c>
      <c r="I4523" s="5" t="s">
        <v>13103</v>
      </c>
      <c r="J4523" s="5" t="s">
        <v>13104</v>
      </c>
      <c r="K4523" s="7" t="str">
        <f ca="1">IFERROR(__xludf.DUMMYFUNCTION("GOOGLETRANSLATE(H4523,""EN"",""ES"")"),"EQUIPO DE CALEFACCIÓN")</f>
        <v>EQUIPO DE CALEFACCIÓN</v>
      </c>
      <c r="L4523" s="5" t="str">
        <f ca="1">IFERROR(__xludf.DUMMYFUNCTION("GOOGLETRANSLATE(J4523,""EN"",""ES"")"),"Calentadores para cría de animales o plantas.")</f>
        <v>Calentadores para cría de animales o plantas.</v>
      </c>
      <c r="M4523" s="8" t="s">
        <v>76</v>
      </c>
      <c r="N4523" s="8"/>
    </row>
    <row r="4524" spans="1:14" ht="11.25" customHeight="1">
      <c r="A4524" s="5" t="s">
        <v>12888</v>
      </c>
      <c r="B4524" s="5" t="s">
        <v>13085</v>
      </c>
      <c r="C4524" s="5" t="s">
        <v>13102</v>
      </c>
      <c r="D4524" s="5" t="s">
        <v>12891</v>
      </c>
      <c r="E4524" s="5" t="s">
        <v>75</v>
      </c>
      <c r="F4524" s="5" t="s">
        <v>12892</v>
      </c>
      <c r="G4524" s="5" t="s">
        <v>152</v>
      </c>
      <c r="H4524" s="5" t="s">
        <v>13087</v>
      </c>
      <c r="I4524" s="5" t="s">
        <v>152</v>
      </c>
      <c r="J4524" s="5" t="s">
        <v>13105</v>
      </c>
      <c r="K4524" s="7" t="str">
        <f ca="1">IFERROR(__xludf.DUMMYFUNCTION("GOOGLETRANSLATE(H4524,""EN"",""ES"")"),"EQUIPO DE CALEFACCIÓN")</f>
        <v>EQUIPO DE CALEFACCIÓN</v>
      </c>
      <c r="L4524" s="5" t="str">
        <f ca="1">IFERROR(__xludf.DUMMYFUNCTION("GOOGLETRANSLATE(J4524,""EN"",""ES"")"),"N / A")</f>
        <v>N / A</v>
      </c>
      <c r="M4524" s="8" t="s">
        <v>76</v>
      </c>
      <c r="N4524" s="8"/>
    </row>
    <row r="4525" spans="1:14" ht="11.25" customHeight="1">
      <c r="A4525" s="5" t="s">
        <v>12888</v>
      </c>
      <c r="B4525" s="5" t="s">
        <v>13085</v>
      </c>
      <c r="C4525" s="5" t="s">
        <v>13106</v>
      </c>
      <c r="D4525" s="5" t="s">
        <v>12891</v>
      </c>
      <c r="E4525" s="5" t="s">
        <v>75</v>
      </c>
      <c r="F4525" s="5" t="s">
        <v>12892</v>
      </c>
      <c r="G4525" s="5" t="s">
        <v>152</v>
      </c>
      <c r="H4525" s="5" t="s">
        <v>13087</v>
      </c>
      <c r="I4525" s="5" t="s">
        <v>13107</v>
      </c>
      <c r="J4525" s="5" t="s">
        <v>13108</v>
      </c>
      <c r="K4525" s="7" t="str">
        <f ca="1">IFERROR(__xludf.DUMMYFUNCTION("GOOGLETRANSLATE(H4525,""EN"",""ES"")"),"EQUIPO DE CALEFACCIÓN")</f>
        <v>EQUIPO DE CALEFACCIÓN</v>
      </c>
      <c r="L4525" s="5" t="str">
        <f ca="1">IFERROR(__xludf.DUMMYFUNCTION("GOOGLETRANSLATE(J4525,""EN"",""ES"")"),"Calentadores de agua [gas]")</f>
        <v>Calentadores de agua [gas]</v>
      </c>
      <c r="M4525" s="8" t="s">
        <v>76</v>
      </c>
      <c r="N4525" s="8"/>
    </row>
    <row r="4526" spans="1:14" ht="11.25" customHeight="1">
      <c r="A4526" s="5" t="s">
        <v>12888</v>
      </c>
      <c r="B4526" s="5" t="s">
        <v>13085</v>
      </c>
      <c r="C4526" s="5" t="s">
        <v>13109</v>
      </c>
      <c r="D4526" s="5" t="s">
        <v>12891</v>
      </c>
      <c r="E4526" s="5" t="s">
        <v>75</v>
      </c>
      <c r="F4526" s="5" t="s">
        <v>12892</v>
      </c>
      <c r="G4526" s="5" t="s">
        <v>152</v>
      </c>
      <c r="H4526" s="5" t="s">
        <v>13087</v>
      </c>
      <c r="I4526" s="5" t="s">
        <v>13110</v>
      </c>
      <c r="J4526" s="5" t="s">
        <v>13111</v>
      </c>
      <c r="K4526" s="7" t="str">
        <f ca="1">IFERROR(__xludf.DUMMYFUNCTION("GOOGLETRANSLATE(H4526,""EN"",""ES"")"),"EQUIPO DE CALEFACCIÓN")</f>
        <v>EQUIPO DE CALEFACCIÓN</v>
      </c>
      <c r="L4526" s="5" t="str">
        <f ca="1">IFERROR(__xludf.DUMMYFUNCTION("GOOGLETRANSLATE(J4526,""EN"",""ES"")"),"Calentadores de agua [eléctricos]")</f>
        <v>Calentadores de agua [eléctricos]</v>
      </c>
      <c r="M4526" s="8" t="s">
        <v>76</v>
      </c>
      <c r="N4526" s="8"/>
    </row>
    <row r="4527" spans="1:14" ht="11.25" customHeight="1">
      <c r="A4527" s="5" t="s">
        <v>12888</v>
      </c>
      <c r="B4527" s="5" t="s">
        <v>13085</v>
      </c>
      <c r="C4527" s="5" t="s">
        <v>13112</v>
      </c>
      <c r="D4527" s="5" t="s">
        <v>12891</v>
      </c>
      <c r="E4527" s="5" t="s">
        <v>75</v>
      </c>
      <c r="F4527" s="5" t="s">
        <v>12892</v>
      </c>
      <c r="G4527" s="5" t="s">
        <v>152</v>
      </c>
      <c r="H4527" s="5" t="s">
        <v>13087</v>
      </c>
      <c r="I4527" s="5" t="s">
        <v>13113</v>
      </c>
      <c r="J4527" s="5" t="s">
        <v>13114</v>
      </c>
      <c r="K4527" s="7" t="str">
        <f ca="1">IFERROR(__xludf.DUMMYFUNCTION("GOOGLETRANSLATE(H4527,""EN"",""ES"")"),"EQUIPO DE CALEFACCIÓN")</f>
        <v>EQUIPO DE CALEFACCIÓN</v>
      </c>
      <c r="L4527" s="5" t="str">
        <f ca="1">IFERROR(__xludf.DUMMYFUNCTION("GOOGLETRANSLATE(J4527,""EN"",""ES"")"),"Calentadores")</f>
        <v>Calentadores</v>
      </c>
      <c r="M4527" s="8" t="s">
        <v>76</v>
      </c>
      <c r="N4527" s="8"/>
    </row>
    <row r="4528" spans="1:14" ht="11.25" customHeight="1">
      <c r="A4528" s="5" t="s">
        <v>12888</v>
      </c>
      <c r="B4528" s="5" t="s">
        <v>13085</v>
      </c>
      <c r="C4528" s="5" t="s">
        <v>13115</v>
      </c>
      <c r="D4528" s="5" t="s">
        <v>12891</v>
      </c>
      <c r="E4528" s="5" t="s">
        <v>75</v>
      </c>
      <c r="F4528" s="5" t="s">
        <v>12892</v>
      </c>
      <c r="G4528" s="5" t="s">
        <v>152</v>
      </c>
      <c r="H4528" s="5" t="s">
        <v>13087</v>
      </c>
      <c r="I4528" s="5" t="s">
        <v>13116</v>
      </c>
      <c r="J4528" s="5" t="s">
        <v>13117</v>
      </c>
      <c r="K4528" s="7" t="str">
        <f ca="1">IFERROR(__xludf.DUMMYFUNCTION("GOOGLETRANSLATE(H4528,""EN"",""ES"")"),"EQUIPO DE CALEFACCIÓN")</f>
        <v>EQUIPO DE CALEFACCIÓN</v>
      </c>
      <c r="L4528" s="5" t="str">
        <f ca="1">IFERROR(__xludf.DUMMYFUNCTION("GOOGLETRANSLATE(J4528,""EN"",""ES"")"),"Chimeneas de gas")</f>
        <v>Chimeneas de gas</v>
      </c>
      <c r="M4528" s="8" t="s">
        <v>76</v>
      </c>
      <c r="N4528" s="8"/>
    </row>
    <row r="4529" spans="1:14" ht="11.25" customHeight="1">
      <c r="A4529" s="5" t="s">
        <v>12888</v>
      </c>
      <c r="B4529" s="5" t="s">
        <v>13085</v>
      </c>
      <c r="C4529" s="5" t="s">
        <v>13118</v>
      </c>
      <c r="D4529" s="5" t="s">
        <v>12891</v>
      </c>
      <c r="E4529" s="5" t="s">
        <v>75</v>
      </c>
      <c r="F4529" s="5" t="s">
        <v>12892</v>
      </c>
      <c r="G4529" s="5" t="s">
        <v>152</v>
      </c>
      <c r="H4529" s="5" t="s">
        <v>13087</v>
      </c>
      <c r="I4529" s="5" t="s">
        <v>13119</v>
      </c>
      <c r="J4529" s="5" t="s">
        <v>13120</v>
      </c>
      <c r="K4529" s="7" t="str">
        <f ca="1">IFERROR(__xludf.DUMMYFUNCTION("GOOGLETRANSLATE(H4529,""EN"",""ES"")"),"EQUIPO DE CALEFACCIÓN")</f>
        <v>EQUIPO DE CALEFACCIÓN</v>
      </c>
      <c r="L4529" s="5" t="str">
        <f ca="1">IFERROR(__xludf.DUMMYFUNCTION("GOOGLETRANSLATE(J4529,""EN"",""ES"")"),"Chimeneas de interior")</f>
        <v>Chimeneas de interior</v>
      </c>
      <c r="M4529" s="8" t="s">
        <v>76</v>
      </c>
      <c r="N4529" s="8"/>
    </row>
    <row r="4530" spans="1:14" ht="11.25" customHeight="1">
      <c r="A4530" s="5" t="s">
        <v>12888</v>
      </c>
      <c r="B4530" s="5" t="s">
        <v>13085</v>
      </c>
      <c r="C4530" s="5" t="s">
        <v>13121</v>
      </c>
      <c r="D4530" s="5" t="s">
        <v>12891</v>
      </c>
      <c r="E4530" s="5" t="s">
        <v>75</v>
      </c>
      <c r="F4530" s="5" t="s">
        <v>12892</v>
      </c>
      <c r="G4530" s="5" t="s">
        <v>152</v>
      </c>
      <c r="H4530" s="5" t="s">
        <v>13087</v>
      </c>
      <c r="I4530" s="5" t="s">
        <v>13122</v>
      </c>
      <c r="J4530" s="5" t="s">
        <v>13123</v>
      </c>
      <c r="K4530" s="7" t="str">
        <f ca="1">IFERROR(__xludf.DUMMYFUNCTION("GOOGLETRANSLATE(H4530,""EN"",""ES"")"),"EQUIPO DE CALEFACCIÓN")</f>
        <v>EQUIPO DE CALEFACCIÓN</v>
      </c>
      <c r="L4530" s="5" t="str">
        <f ca="1">IFERROR(__xludf.DUMMYFUNCTION("GOOGLETRANSLATE(J4530,""EN"",""ES"")"),"Deflectores de llama para aparatos de calefacción de gasóleo")</f>
        <v>Deflectores de llama para aparatos de calefacción de gasóleo</v>
      </c>
      <c r="M4530" s="8" t="s">
        <v>76</v>
      </c>
      <c r="N4530" s="8"/>
    </row>
    <row r="4531" spans="1:14" ht="11.25" customHeight="1">
      <c r="A4531" s="5" t="s">
        <v>12888</v>
      </c>
      <c r="B4531" s="5" t="s">
        <v>13085</v>
      </c>
      <c r="C4531" s="5" t="s">
        <v>13124</v>
      </c>
      <c r="D4531" s="5" t="s">
        <v>12891</v>
      </c>
      <c r="E4531" s="5" t="s">
        <v>75</v>
      </c>
      <c r="F4531" s="5" t="s">
        <v>12892</v>
      </c>
      <c r="G4531" s="5" t="s">
        <v>152</v>
      </c>
      <c r="H4531" s="5" t="s">
        <v>13087</v>
      </c>
      <c r="I4531" s="5" t="s">
        <v>13125</v>
      </c>
      <c r="J4531" s="5" t="s">
        <v>13126</v>
      </c>
      <c r="K4531" s="7" t="str">
        <f ca="1">IFERROR(__xludf.DUMMYFUNCTION("GOOGLETRANSLATE(H4531,""EN"",""ES"")"),"EQUIPO DE CALEFACCIÓN")</f>
        <v>EQUIPO DE CALEFACCIÓN</v>
      </c>
      <c r="L4531" s="5" t="str">
        <f ca="1">IFERROR(__xludf.DUMMYFUNCTION("GOOGLETRANSLATE(J4531,""EN"",""ES"")"),"Hornos de alfarería")</f>
        <v>Hornos de alfarería</v>
      </c>
      <c r="M4531" s="8" t="s">
        <v>76</v>
      </c>
      <c r="N4531" s="8"/>
    </row>
    <row r="4532" spans="1:14" ht="11.25" customHeight="1">
      <c r="A4532" s="5" t="s">
        <v>12888</v>
      </c>
      <c r="B4532" s="5" t="s">
        <v>13085</v>
      </c>
      <c r="C4532" s="5" t="s">
        <v>13124</v>
      </c>
      <c r="D4532" s="5" t="s">
        <v>12891</v>
      </c>
      <c r="E4532" s="5" t="s">
        <v>75</v>
      </c>
      <c r="F4532" s="5" t="s">
        <v>12892</v>
      </c>
      <c r="G4532" s="5" t="s">
        <v>152</v>
      </c>
      <c r="H4532" s="5" t="s">
        <v>13087</v>
      </c>
      <c r="I4532" s="5" t="s">
        <v>152</v>
      </c>
      <c r="J4532" s="5" t="s">
        <v>13127</v>
      </c>
      <c r="K4532" s="7" t="str">
        <f ca="1">IFERROR(__xludf.DUMMYFUNCTION("GOOGLETRANSLATE(H4532,""EN"",""ES"")"),"EQUIPO DE CALEFACCIÓN")</f>
        <v>EQUIPO DE CALEFACCIÓN</v>
      </c>
      <c r="L4532" s="5" t="str">
        <f ca="1">IFERROR(__xludf.DUMMYFUNCTION("GOOGLETRANSLATE(J4532,""EN"",""ES"")"),"N / A")</f>
        <v>N / A</v>
      </c>
      <c r="M4532" s="8" t="s">
        <v>76</v>
      </c>
      <c r="N4532" s="8"/>
    </row>
    <row r="4533" spans="1:14" ht="11.25" customHeight="1">
      <c r="A4533" s="5" t="s">
        <v>12888</v>
      </c>
      <c r="B4533" s="5" t="s">
        <v>13085</v>
      </c>
      <c r="C4533" s="5" t="s">
        <v>13128</v>
      </c>
      <c r="D4533" s="5" t="s">
        <v>12891</v>
      </c>
      <c r="E4533" s="5" t="s">
        <v>75</v>
      </c>
      <c r="F4533" s="5" t="s">
        <v>12892</v>
      </c>
      <c r="G4533" s="5" t="s">
        <v>152</v>
      </c>
      <c r="H4533" s="5" t="s">
        <v>13087</v>
      </c>
      <c r="I4533" s="5" t="s">
        <v>13129</v>
      </c>
      <c r="J4533" s="5" t="s">
        <v>13130</v>
      </c>
      <c r="K4533" s="7" t="str">
        <f ca="1">IFERROR(__xludf.DUMMYFUNCTION("GOOGLETRANSLATE(H4533,""EN"",""ES"")"),"EQUIPO DE CALEFACCIÓN")</f>
        <v>EQUIPO DE CALEFACCIÓN</v>
      </c>
      <c r="L4533" s="5" t="str">
        <f ca="1">IFERROR(__xludf.DUMMYFUNCTION("GOOGLETRANSLATE(J4533,""EN"",""ES"")"),"Hornos de fabricación de vidrio")</f>
        <v>Hornos de fabricación de vidrio</v>
      </c>
      <c r="M4533" s="8" t="s">
        <v>76</v>
      </c>
      <c r="N4533" s="8"/>
    </row>
    <row r="4534" spans="1:14" ht="11.25" customHeight="1">
      <c r="A4534" s="5" t="s">
        <v>12888</v>
      </c>
      <c r="B4534" s="5" t="s">
        <v>13085</v>
      </c>
      <c r="C4534" s="5" t="s">
        <v>13131</v>
      </c>
      <c r="D4534" s="5" t="s">
        <v>12891</v>
      </c>
      <c r="E4534" s="5" t="s">
        <v>75</v>
      </c>
      <c r="F4534" s="5" t="s">
        <v>12892</v>
      </c>
      <c r="G4534" s="5" t="s">
        <v>152</v>
      </c>
      <c r="H4534" s="5" t="s">
        <v>13087</v>
      </c>
      <c r="I4534" s="5" t="s">
        <v>13132</v>
      </c>
      <c r="J4534" s="5" t="s">
        <v>13133</v>
      </c>
      <c r="K4534" s="7" t="str">
        <f ca="1">IFERROR(__xludf.DUMMYFUNCTION("GOOGLETRANSLATE(H4534,""EN"",""ES"")"),"EQUIPO DE CALEFACCIÓN")</f>
        <v>EQUIPO DE CALEFACCIÓN</v>
      </c>
      <c r="L4534" s="5" t="str">
        <f ca="1">IFERROR(__xludf.DUMMYFUNCTION("GOOGLETRANSLATE(J4534,""EN"",""ES"")"),"Hornos [industriales]")</f>
        <v>Hornos [industriales]</v>
      </c>
      <c r="M4534" s="8" t="s">
        <v>76</v>
      </c>
      <c r="N4534" s="8"/>
    </row>
    <row r="4535" spans="1:14" ht="11.25" customHeight="1">
      <c r="A4535" s="5" t="s">
        <v>12888</v>
      </c>
      <c r="B4535" s="5" t="s">
        <v>13085</v>
      </c>
      <c r="C4535" s="5" t="s">
        <v>13134</v>
      </c>
      <c r="D4535" s="5" t="s">
        <v>12891</v>
      </c>
      <c r="E4535" s="5" t="s">
        <v>75</v>
      </c>
      <c r="F4535" s="5" t="s">
        <v>12892</v>
      </c>
      <c r="G4535" s="5" t="s">
        <v>152</v>
      </c>
      <c r="H4535" s="5" t="s">
        <v>13087</v>
      </c>
      <c r="I4535" s="5" t="s">
        <v>13135</v>
      </c>
      <c r="J4535" s="5" t="s">
        <v>13136</v>
      </c>
      <c r="K4535" s="7" t="str">
        <f ca="1">IFERROR(__xludf.DUMMYFUNCTION("GOOGLETRANSLATE(H4535,""EN"",""ES"")"),"EQUIPO DE CALEFACCIÓN")</f>
        <v>EQUIPO DE CALEFACCIÓN</v>
      </c>
      <c r="L4535" s="5" t="str">
        <f ca="1">IFERROR(__xludf.DUMMYFUNCTION("GOOGLETRANSLATE(J4535,""EN"",""ES"")"),"Calderas de vapor para calefacción.")</f>
        <v>Calderas de vapor para calefacción.</v>
      </c>
      <c r="M4535" s="8" t="s">
        <v>76</v>
      </c>
      <c r="N4535" s="8"/>
    </row>
    <row r="4536" spans="1:14" ht="11.25" customHeight="1">
      <c r="A4536" s="5" t="s">
        <v>12888</v>
      </c>
      <c r="B4536" s="5" t="s">
        <v>13085</v>
      </c>
      <c r="C4536" s="5" t="s">
        <v>13137</v>
      </c>
      <c r="D4536" s="5" t="s">
        <v>12891</v>
      </c>
      <c r="E4536" s="5" t="s">
        <v>75</v>
      </c>
      <c r="F4536" s="5" t="s">
        <v>12892</v>
      </c>
      <c r="G4536" s="5" t="s">
        <v>152</v>
      </c>
      <c r="H4536" s="5" t="s">
        <v>13087</v>
      </c>
      <c r="I4536" s="5" t="s">
        <v>13138</v>
      </c>
      <c r="J4536" s="5" t="s">
        <v>13139</v>
      </c>
      <c r="K4536" s="7" t="str">
        <f ca="1">IFERROR(__xludf.DUMMYFUNCTION("GOOGLETRANSLATE(H4536,""EN"",""ES"")"),"EQUIPO DE CALEFACCIÓN")</f>
        <v>EQUIPO DE CALEFACCIÓN</v>
      </c>
      <c r="L4536" s="5" t="str">
        <f ca="1">IFERROR(__xludf.DUMMYFUNCTION("GOOGLETRANSLATE(J4536,""EN"",""ES"")"),"Reactores nucleares")</f>
        <v>Reactores nucleares</v>
      </c>
      <c r="M4536" s="8" t="s">
        <v>76</v>
      </c>
      <c r="N4536" s="8"/>
    </row>
    <row r="4537" spans="1:14" ht="11.25" customHeight="1">
      <c r="A4537" s="5" t="s">
        <v>12888</v>
      </c>
      <c r="B4537" s="5" t="s">
        <v>13085</v>
      </c>
      <c r="C4537" s="5" t="s">
        <v>13140</v>
      </c>
      <c r="D4537" s="5" t="s">
        <v>12891</v>
      </c>
      <c r="E4537" s="5" t="s">
        <v>75</v>
      </c>
      <c r="F4537" s="5" t="s">
        <v>12892</v>
      </c>
      <c r="G4537" s="5" t="s">
        <v>152</v>
      </c>
      <c r="H4537" s="5" t="s">
        <v>13087</v>
      </c>
      <c r="I4537" s="5" t="s">
        <v>13141</v>
      </c>
      <c r="J4537" s="5" t="s">
        <v>13142</v>
      </c>
      <c r="K4537" s="7" t="str">
        <f ca="1">IFERROR(__xludf.DUMMYFUNCTION("GOOGLETRANSLATE(H4537,""EN"",""ES"")"),"EQUIPO DE CALEFACCIÓN")</f>
        <v>EQUIPO DE CALEFACCIÓN</v>
      </c>
      <c r="L4537" s="5" t="str">
        <f ca="1">IFERROR(__xludf.DUMMYFUNCTION("GOOGLETRANSLATE(J4537,""EN"",""ES"")"),"Estufas [calefacción]")</f>
        <v>Estufas [calefacción]</v>
      </c>
      <c r="M4537" s="8" t="s">
        <v>76</v>
      </c>
      <c r="N4537" s="8"/>
    </row>
    <row r="4538" spans="1:14" ht="11.25" customHeight="1">
      <c r="A4538" s="5" t="s">
        <v>12888</v>
      </c>
      <c r="B4538" s="5" t="s">
        <v>13085</v>
      </c>
      <c r="C4538" s="5" t="s">
        <v>13140</v>
      </c>
      <c r="D4538" s="5" t="s">
        <v>12891</v>
      </c>
      <c r="E4538" s="5" t="s">
        <v>75</v>
      </c>
      <c r="F4538" s="5" t="s">
        <v>12892</v>
      </c>
      <c r="G4538" s="5" t="s">
        <v>152</v>
      </c>
      <c r="H4538" s="5" t="s">
        <v>13087</v>
      </c>
      <c r="I4538" s="5" t="s">
        <v>152</v>
      </c>
      <c r="J4538" s="5" t="s">
        <v>13143</v>
      </c>
      <c r="K4538" s="7" t="str">
        <f ca="1">IFERROR(__xludf.DUMMYFUNCTION("GOOGLETRANSLATE(H4538,""EN"",""ES"")"),"EQUIPO DE CALEFACCIÓN")</f>
        <v>EQUIPO DE CALEFACCIÓN</v>
      </c>
      <c r="L4538" s="5" t="str">
        <f ca="1">IFERROR(__xludf.DUMMYFUNCTION("GOOGLETRANSLATE(J4538,""EN"",""ES"")"),"N / A")</f>
        <v>N / A</v>
      </c>
      <c r="M4538" s="8" t="s">
        <v>76</v>
      </c>
      <c r="N4538" s="8"/>
    </row>
    <row r="4539" spans="1:14" ht="11.25" customHeight="1">
      <c r="A4539" s="5" t="s">
        <v>12888</v>
      </c>
      <c r="B4539" s="5" t="s">
        <v>13085</v>
      </c>
      <c r="C4539" s="5" t="s">
        <v>13144</v>
      </c>
      <c r="D4539" s="5" t="s">
        <v>12891</v>
      </c>
      <c r="E4539" s="5" t="s">
        <v>75</v>
      </c>
      <c r="F4539" s="5" t="s">
        <v>12892</v>
      </c>
      <c r="G4539" s="5" t="s">
        <v>152</v>
      </c>
      <c r="H4539" s="5" t="s">
        <v>13087</v>
      </c>
      <c r="I4539" s="5" t="s">
        <v>13145</v>
      </c>
      <c r="J4539" s="5" t="s">
        <v>13146</v>
      </c>
      <c r="K4539" s="7" t="str">
        <f ca="1">IFERROR(__xludf.DUMMYFUNCTION("GOOGLETRANSLATE(H4539,""EN"",""ES"")"),"EQUIPO DE CALEFACCIÓN")</f>
        <v>EQUIPO DE CALEFACCIÓN</v>
      </c>
      <c r="L4539" s="5" t="str">
        <f ca="1">IFERROR(__xludf.DUMMYFUNCTION("GOOGLETRANSLATE(J4539,""EN"",""ES"")"),"Radiadores para calefacción")</f>
        <v>Radiadores para calefacción</v>
      </c>
      <c r="M4539" s="8" t="s">
        <v>76</v>
      </c>
      <c r="N4539" s="8"/>
    </row>
    <row r="4540" spans="1:14" ht="11.25" customHeight="1">
      <c r="A4540" s="5" t="s">
        <v>12888</v>
      </c>
      <c r="B4540" s="5" t="s">
        <v>13085</v>
      </c>
      <c r="C4540" s="5" t="s">
        <v>13147</v>
      </c>
      <c r="D4540" s="5" t="s">
        <v>12891</v>
      </c>
      <c r="E4540" s="5" t="s">
        <v>75</v>
      </c>
      <c r="F4540" s="5" t="s">
        <v>12892</v>
      </c>
      <c r="G4540" s="5" t="s">
        <v>152</v>
      </c>
      <c r="H4540" s="5" t="s">
        <v>13087</v>
      </c>
      <c r="I4540" s="5" t="s">
        <v>13148</v>
      </c>
      <c r="J4540" s="5" t="s">
        <v>13149</v>
      </c>
      <c r="K4540" s="7" t="str">
        <f ca="1">IFERROR(__xludf.DUMMYFUNCTION("GOOGLETRANSLATE(H4540,""EN"",""ES"")"),"EQUIPO DE CALEFACCIÓN")</f>
        <v>EQUIPO DE CALEFACCIÓN</v>
      </c>
      <c r="L4540" s="5" t="str">
        <f ca="1">IFERROR(__xludf.DUMMYFUNCTION("GOOGLETRANSLATE(J4540,""EN"",""ES"")"),"Proyectos de reguladores para chimeneas.")</f>
        <v>Proyectos de reguladores para chimeneas.</v>
      </c>
      <c r="M4540" s="8" t="s">
        <v>76</v>
      </c>
      <c r="N4540" s="8"/>
    </row>
    <row r="4541" spans="1:14" ht="11.25" customHeight="1">
      <c r="A4541" s="5" t="s">
        <v>12888</v>
      </c>
      <c r="B4541" s="5" t="s">
        <v>13085</v>
      </c>
      <c r="C4541" s="5" t="s">
        <v>13150</v>
      </c>
      <c r="D4541" s="5" t="s">
        <v>12891</v>
      </c>
      <c r="E4541" s="5" t="s">
        <v>75</v>
      </c>
      <c r="F4541" s="5" t="s">
        <v>12892</v>
      </c>
      <c r="G4541" s="5" t="s">
        <v>152</v>
      </c>
      <c r="H4541" s="5" t="s">
        <v>13087</v>
      </c>
      <c r="I4541" s="5" t="s">
        <v>13151</v>
      </c>
      <c r="J4541" s="5" t="s">
        <v>13152</v>
      </c>
      <c r="K4541" s="7" t="str">
        <f ca="1">IFERROR(__xludf.DUMMYFUNCTION("GOOGLETRANSLATE(H4541,""EN"",""ES"")"),"EQUIPO DE CALEFACCIÓN")</f>
        <v>EQUIPO DE CALEFACCIÓN</v>
      </c>
      <c r="L4541" s="5" t="str">
        <f ca="1">IFERROR(__xludf.DUMMYFUNCTION("GOOGLETRANSLATE(J4541,""EN"",""ES"")"),"Calentadores de sauna")</f>
        <v>Calentadores de sauna</v>
      </c>
      <c r="M4541" s="8" t="s">
        <v>76</v>
      </c>
      <c r="N4541" s="8"/>
    </row>
    <row r="4542" spans="1:14" ht="11.25" customHeight="1">
      <c r="A4542" s="5" t="s">
        <v>12888</v>
      </c>
      <c r="B4542" s="5" t="s">
        <v>13085</v>
      </c>
      <c r="C4542" s="5" t="s">
        <v>13153</v>
      </c>
      <c r="D4542" s="5" t="s">
        <v>12891</v>
      </c>
      <c r="E4542" s="5" t="s">
        <v>75</v>
      </c>
      <c r="F4542" s="5" t="s">
        <v>12892</v>
      </c>
      <c r="G4542" s="5" t="s">
        <v>152</v>
      </c>
      <c r="H4542" s="5" t="s">
        <v>13087</v>
      </c>
      <c r="I4542" s="5" t="s">
        <v>13154</v>
      </c>
      <c r="J4542" s="5" t="s">
        <v>13155</v>
      </c>
      <c r="K4542" s="7" t="str">
        <f ca="1">IFERROR(__xludf.DUMMYFUNCTION("GOOGLETRANSLATE(H4542,""EN"",""ES"")"),"EQUIPO DE CALEFACCIÓN")</f>
        <v>EQUIPO DE CALEFACCIÓN</v>
      </c>
      <c r="L4542" s="5" t="str">
        <f ca="1">IFERROR(__xludf.DUMMYFUNCTION("GOOGLETRANSLATE(J4542,""EN"",""ES"")"),"Proyecto de reguladores [calefacción]")</f>
        <v>Proyecto de reguladores [calefacción]</v>
      </c>
      <c r="M4542" s="8" t="s">
        <v>76</v>
      </c>
      <c r="N4542" s="8"/>
    </row>
    <row r="4543" spans="1:14" ht="11.25" customHeight="1">
      <c r="A4543" s="5" t="s">
        <v>12888</v>
      </c>
      <c r="B4543" s="5" t="s">
        <v>13085</v>
      </c>
      <c r="C4543" s="5" t="s">
        <v>13156</v>
      </c>
      <c r="D4543" s="5" t="s">
        <v>12891</v>
      </c>
      <c r="E4543" s="5" t="s">
        <v>75</v>
      </c>
      <c r="F4543" s="5" t="s">
        <v>12892</v>
      </c>
      <c r="G4543" s="5" t="s">
        <v>152</v>
      </c>
      <c r="H4543" s="5" t="s">
        <v>13087</v>
      </c>
      <c r="I4543" s="5" t="s">
        <v>13157</v>
      </c>
      <c r="J4543" s="5" t="s">
        <v>13158</v>
      </c>
      <c r="K4543" s="7" t="str">
        <f ca="1">IFERROR(__xludf.DUMMYFUNCTION("GOOGLETRANSLATE(H4543,""EN"",""ES"")"),"EQUIPO DE CALEFACCIÓN")</f>
        <v>EQUIPO DE CALEFACCIÓN</v>
      </c>
      <c r="L4543" s="5" t="str">
        <f ca="1">IFERROR(__xludf.DUMMYFUNCTION("GOOGLETRANSLATE(J4543,""EN"",""ES"")"),"Chorros para quemadores de gas.")</f>
        <v>Chorros para quemadores de gas.</v>
      </c>
      <c r="M4543" s="8" t="s">
        <v>76</v>
      </c>
      <c r="N4543" s="8"/>
    </row>
    <row r="4544" spans="1:14" ht="11.25" customHeight="1">
      <c r="A4544" s="5" t="s">
        <v>12888</v>
      </c>
      <c r="B4544" s="5" t="s">
        <v>13085</v>
      </c>
      <c r="C4544" s="5" t="s">
        <v>13159</v>
      </c>
      <c r="D4544" s="5" t="s">
        <v>12891</v>
      </c>
      <c r="E4544" s="5" t="s">
        <v>75</v>
      </c>
      <c r="F4544" s="5" t="s">
        <v>12892</v>
      </c>
      <c r="G4544" s="5" t="s">
        <v>152</v>
      </c>
      <c r="H4544" s="5" t="s">
        <v>13087</v>
      </c>
      <c r="I4544" s="5" t="s">
        <v>13160</v>
      </c>
      <c r="J4544" s="5" t="s">
        <v>13161</v>
      </c>
      <c r="K4544" s="7" t="str">
        <f ca="1">IFERROR(__xludf.DUMMYFUNCTION("GOOGLETRANSLATE(H4544,""EN"",""ES"")"),"EQUIPO DE CALEFACCIÓN")</f>
        <v>EQUIPO DE CALEFACCIÓN</v>
      </c>
      <c r="L4544" s="5" t="str">
        <f ca="1">IFERROR(__xludf.DUMMYFUNCTION("GOOGLETRANSLATE(J4544,""EN"",""ES"")"),"Calentadores de baño")</f>
        <v>Calentadores de baño</v>
      </c>
      <c r="M4544" s="8" t="s">
        <v>76</v>
      </c>
      <c r="N4544" s="8"/>
    </row>
    <row r="4545" spans="1:14" ht="11.25" customHeight="1">
      <c r="A4545" s="5" t="s">
        <v>12888</v>
      </c>
      <c r="B4545" s="5" t="s">
        <v>13085</v>
      </c>
      <c r="C4545" s="5" t="s">
        <v>13162</v>
      </c>
      <c r="D4545" s="5" t="s">
        <v>12891</v>
      </c>
      <c r="E4545" s="5" t="s">
        <v>75</v>
      </c>
      <c r="F4545" s="5" t="s">
        <v>12892</v>
      </c>
      <c r="G4545" s="5" t="s">
        <v>152</v>
      </c>
      <c r="H4545" s="5" t="s">
        <v>13087</v>
      </c>
      <c r="I4545" s="5" t="s">
        <v>13163</v>
      </c>
      <c r="J4545" s="5" t="s">
        <v>13164</v>
      </c>
      <c r="K4545" s="7" t="str">
        <f ca="1">IFERROR(__xludf.DUMMYFUNCTION("GOOGLETRANSLATE(H4545,""EN"",""ES"")"),"EQUIPO DE CALEFACCIÓN")</f>
        <v>EQUIPO DE CALEFACCIÓN</v>
      </c>
      <c r="L4545" s="5" t="str">
        <f ca="1">IFERROR(__xludf.DUMMYFUNCTION("GOOGLETRANSLATE(J4545,""EN"",""ES"")"),"Hornos de ladrillos y tejas")</f>
        <v>Hornos de ladrillos y tejas</v>
      </c>
      <c r="M4545" s="8" t="s">
        <v>76</v>
      </c>
      <c r="N4545" s="8"/>
    </row>
    <row r="4546" spans="1:14" ht="11.25" customHeight="1">
      <c r="A4546" s="5" t="s">
        <v>12888</v>
      </c>
      <c r="B4546" s="5" t="s">
        <v>13085</v>
      </c>
      <c r="C4546" s="5" t="s">
        <v>13165</v>
      </c>
      <c r="D4546" s="5" t="s">
        <v>12891</v>
      </c>
      <c r="E4546" s="5" t="s">
        <v>75</v>
      </c>
      <c r="F4546" s="5" t="s">
        <v>12892</v>
      </c>
      <c r="G4546" s="5" t="s">
        <v>152</v>
      </c>
      <c r="H4546" s="5" t="s">
        <v>13087</v>
      </c>
      <c r="I4546" s="5" t="s">
        <v>13166</v>
      </c>
      <c r="J4546" s="5" t="s">
        <v>13167</v>
      </c>
      <c r="K4546" s="7" t="str">
        <f ca="1">IFERROR(__xludf.DUMMYFUNCTION("GOOGLETRANSLATE(H4546,""EN"",""ES"")"),"EQUIPO DE CALEFACCIÓN")</f>
        <v>EQUIPO DE CALEFACCIÓN</v>
      </c>
      <c r="L4546" s="5" t="str">
        <f ca="1">IFERROR(__xludf.DUMMYFUNCTION("GOOGLETRANSLATE(J4546,""EN"",""ES"")"),"hornos de panaderos")</f>
        <v>hornos de panaderos</v>
      </c>
      <c r="M4546" s="8" t="s">
        <v>76</v>
      </c>
      <c r="N4546" s="8"/>
    </row>
    <row r="4547" spans="1:14" ht="11.25" customHeight="1">
      <c r="A4547" s="5" t="s">
        <v>12888</v>
      </c>
      <c r="B4547" s="5" t="s">
        <v>13085</v>
      </c>
      <c r="C4547" s="5" t="s">
        <v>13168</v>
      </c>
      <c r="D4547" s="5" t="s">
        <v>12891</v>
      </c>
      <c r="E4547" s="5" t="s">
        <v>75</v>
      </c>
      <c r="F4547" s="5" t="s">
        <v>12892</v>
      </c>
      <c r="G4547" s="5" t="s">
        <v>152</v>
      </c>
      <c r="H4547" s="5" t="s">
        <v>13087</v>
      </c>
      <c r="I4547" s="5" t="s">
        <v>13169</v>
      </c>
      <c r="J4547" s="5" t="s">
        <v>13170</v>
      </c>
      <c r="K4547" s="7" t="str">
        <f ca="1">IFERROR(__xludf.DUMMYFUNCTION("GOOGLETRANSLATE(H4547,""EN"",""ES"")"),"EQUIPO DE CALEFACCIÓN")</f>
        <v>EQUIPO DE CALEFACCIÓN</v>
      </c>
      <c r="L4547" s="5" t="str">
        <f ca="1">IFERROR(__xludf.DUMMYFUNCTION("GOOGLETRANSLATE(J4547,""EN"",""ES"")"),"Hornos de fundición [eléctricos]")</f>
        <v>Hornos de fundición [eléctricos]</v>
      </c>
      <c r="M4547" s="8" t="s">
        <v>76</v>
      </c>
      <c r="N4547" s="8"/>
    </row>
    <row r="4548" spans="1:14" ht="11.25" customHeight="1">
      <c r="A4548" s="5" t="s">
        <v>12888</v>
      </c>
      <c r="B4548" s="5" t="s">
        <v>13085</v>
      </c>
      <c r="C4548" s="5" t="s">
        <v>13171</v>
      </c>
      <c r="D4548" s="5" t="s">
        <v>12891</v>
      </c>
      <c r="E4548" s="5" t="s">
        <v>75</v>
      </c>
      <c r="F4548" s="5" t="s">
        <v>12892</v>
      </c>
      <c r="G4548" s="5" t="s">
        <v>152</v>
      </c>
      <c r="H4548" s="5" t="s">
        <v>13087</v>
      </c>
      <c r="I4548" s="5" t="s">
        <v>13172</v>
      </c>
      <c r="J4548" s="5" t="s">
        <v>13173</v>
      </c>
      <c r="K4548" s="7" t="str">
        <f ca="1">IFERROR(__xludf.DUMMYFUNCTION("GOOGLETRANSLATE(H4548,""EN"",""ES"")"),"EQUIPO DE CALEFACCIÓN")</f>
        <v>EQUIPO DE CALEFACCIÓN</v>
      </c>
      <c r="L4548" s="5" t="str">
        <f ca="1">IFERROR(__xludf.DUMMYFUNCTION("GOOGLETRANSLATE(J4548,""EN"",""ES"")"),"Generadores de aire caliente")</f>
        <v>Generadores de aire caliente</v>
      </c>
      <c r="M4548" s="8" t="s">
        <v>76</v>
      </c>
      <c r="N4548" s="8"/>
    </row>
    <row r="4549" spans="1:14" ht="11.25" customHeight="1">
      <c r="A4549" s="5" t="s">
        <v>12888</v>
      </c>
      <c r="B4549" s="5" t="s">
        <v>13085</v>
      </c>
      <c r="C4549" s="5" t="s">
        <v>13174</v>
      </c>
      <c r="D4549" s="5" t="s">
        <v>12891</v>
      </c>
      <c r="E4549" s="5" t="s">
        <v>75</v>
      </c>
      <c r="F4549" s="5" t="s">
        <v>12892</v>
      </c>
      <c r="G4549" s="5" t="s">
        <v>152</v>
      </c>
      <c r="H4549" s="5" t="s">
        <v>13087</v>
      </c>
      <c r="I4549" s="5" t="s">
        <v>13175</v>
      </c>
      <c r="J4549" s="5" t="s">
        <v>13176</v>
      </c>
      <c r="K4549" s="7" t="str">
        <f ca="1">IFERROR(__xludf.DUMMYFUNCTION("GOOGLETRANSLATE(H4549,""EN"",""ES"")"),"EQUIPO DE CALEFACCIÓN")</f>
        <v>EQUIPO DE CALEFACCIÓN</v>
      </c>
      <c r="L4549" s="5" t="str">
        <f ca="1">IFERROR(__xludf.DUMMYFUNCTION("GOOGLETRANSLATE(J4549,""EN"",""ES"")"),"Rejillas de fuego")</f>
        <v>Rejillas de fuego</v>
      </c>
      <c r="M4549" s="8" t="s">
        <v>76</v>
      </c>
      <c r="N4549" s="8"/>
    </row>
    <row r="4550" spans="1:14" ht="11.25" customHeight="1">
      <c r="A4550" s="5" t="s">
        <v>12888</v>
      </c>
      <c r="B4550" s="5" t="s">
        <v>13085</v>
      </c>
      <c r="C4550" s="5" t="s">
        <v>13177</v>
      </c>
      <c r="D4550" s="5" t="s">
        <v>12891</v>
      </c>
      <c r="E4550" s="5" t="s">
        <v>75</v>
      </c>
      <c r="F4550" s="5" t="s">
        <v>12892</v>
      </c>
      <c r="G4550" s="5" t="s">
        <v>152</v>
      </c>
      <c r="H4550" s="5" t="s">
        <v>13087</v>
      </c>
      <c r="I4550" s="5" t="s">
        <v>13178</v>
      </c>
      <c r="J4550" s="5" t="s">
        <v>13179</v>
      </c>
      <c r="K4550" s="7" t="str">
        <f ca="1">IFERROR(__xludf.DUMMYFUNCTION("GOOGLETRANSLATE(H4550,""EN"",""ES"")"),"EQUIPO DE CALEFACCIÓN")</f>
        <v>EQUIPO DE CALEFACCIÓN</v>
      </c>
      <c r="L4550" s="5" t="str">
        <f ca="1">IFERROR(__xludf.DUMMYFUNCTION("GOOGLETRANSLATE(J4550,""EN"",""ES"")"),"Lámparas infrarrojas para calefacción.")</f>
        <v>Lámparas infrarrojas para calefacción.</v>
      </c>
      <c r="M4550" s="8" t="s">
        <v>76</v>
      </c>
      <c r="N4550" s="8"/>
    </row>
    <row r="4551" spans="1:14" ht="11.25" customHeight="1">
      <c r="A4551" s="5" t="s">
        <v>12888</v>
      </c>
      <c r="B4551" s="5" t="s">
        <v>13085</v>
      </c>
      <c r="C4551" s="5" t="s">
        <v>13180</v>
      </c>
      <c r="D4551" s="5" t="s">
        <v>12891</v>
      </c>
      <c r="E4551" s="5" t="s">
        <v>75</v>
      </c>
      <c r="F4551" s="5" t="s">
        <v>12892</v>
      </c>
      <c r="G4551" s="5" t="s">
        <v>152</v>
      </c>
      <c r="H4551" s="5" t="s">
        <v>13087</v>
      </c>
      <c r="I4551" s="5" t="s">
        <v>13181</v>
      </c>
      <c r="J4551" s="5" t="s">
        <v>13182</v>
      </c>
      <c r="K4551" s="7" t="str">
        <f ca="1">IFERROR(__xludf.DUMMYFUNCTION("GOOGLETRANSLATE(H4551,""EN"",""ES"")"),"EQUIPO DE CALEFACCIÓN")</f>
        <v>EQUIPO DE CALEFACCIÓN</v>
      </c>
      <c r="L4551" s="5" t="str">
        <f ca="1">IFERROR(__xludf.DUMMYFUNCTION("GOOGLETRANSLATE(J4551,""EN"",""ES"")"),"pilas atómicas")</f>
        <v>pilas atómicas</v>
      </c>
      <c r="M4551" s="8" t="s">
        <v>76</v>
      </c>
      <c r="N4551" s="8"/>
    </row>
    <row r="4552" spans="1:14" ht="11.25" customHeight="1">
      <c r="A4552" s="5" t="s">
        <v>12888</v>
      </c>
      <c r="B4552" s="5" t="s">
        <v>13085</v>
      </c>
      <c r="C4552" s="5" t="s">
        <v>13183</v>
      </c>
      <c r="D4552" s="5" t="s">
        <v>12891</v>
      </c>
      <c r="E4552" s="5" t="s">
        <v>75</v>
      </c>
      <c r="F4552" s="5" t="s">
        <v>12892</v>
      </c>
      <c r="G4552" s="5" t="s">
        <v>152</v>
      </c>
      <c r="H4552" s="5" t="s">
        <v>13087</v>
      </c>
      <c r="I4552" s="5" t="s">
        <v>13184</v>
      </c>
      <c r="J4552" s="5" t="s">
        <v>13185</v>
      </c>
      <c r="K4552" s="7" t="str">
        <f ca="1">IFERROR(__xludf.DUMMYFUNCTION("GOOGLETRANSLATE(H4552,""EN"",""ES"")"),"EQUIPO DE CALEFACCIÓN")</f>
        <v>EQUIPO DE CALEFACCIÓN</v>
      </c>
      <c r="L4552" s="5" t="str">
        <f ca="1">IFERROR(__xludf.DUMMYFUNCTION("GOOGLETRANSLATE(J4552,""EN"",""ES"")"),"Tuberías de aspiración para calefacción central.")</f>
        <v>Tuberías de aspiración para calefacción central.</v>
      </c>
      <c r="M4552" s="8" t="s">
        <v>76</v>
      </c>
      <c r="N4552" s="8"/>
    </row>
    <row r="4553" spans="1:14" ht="11.25" customHeight="1">
      <c r="A4553" s="5" t="s">
        <v>12888</v>
      </c>
      <c r="B4553" s="5" t="s">
        <v>13085</v>
      </c>
      <c r="C4553" s="5" t="s">
        <v>13186</v>
      </c>
      <c r="D4553" s="5" t="s">
        <v>12891</v>
      </c>
      <c r="E4553" s="5" t="s">
        <v>75</v>
      </c>
      <c r="F4553" s="5" t="s">
        <v>12892</v>
      </c>
      <c r="G4553" s="5" t="s">
        <v>152</v>
      </c>
      <c r="H4553" s="5" t="s">
        <v>13087</v>
      </c>
      <c r="I4553" s="5" t="s">
        <v>13187</v>
      </c>
      <c r="J4553" s="5" t="s">
        <v>13188</v>
      </c>
      <c r="K4553" s="7" t="str">
        <f ca="1">IFERROR(__xludf.DUMMYFUNCTION("GOOGLETRANSLATE(H4553,""EN"",""ES"")"),"EQUIPO DE CALEFACCIÓN")</f>
        <v>EQUIPO DE CALEFACCIÓN</v>
      </c>
      <c r="L4553" s="5" t="str">
        <f ca="1">IFERROR(__xludf.DUMMYFUNCTION("GOOGLETRANSLATE(J4553,""EN"",""ES"")"),"Ceniceros")</f>
        <v>Ceniceros</v>
      </c>
      <c r="M4553" s="8" t="s">
        <v>76</v>
      </c>
      <c r="N4553" s="8"/>
    </row>
    <row r="4554" spans="1:14" ht="11.25" customHeight="1">
      <c r="A4554" s="5" t="s">
        <v>12888</v>
      </c>
      <c r="B4554" s="5" t="s">
        <v>13085</v>
      </c>
      <c r="C4554" s="5" t="s">
        <v>13189</v>
      </c>
      <c r="D4554" s="5" t="s">
        <v>12891</v>
      </c>
      <c r="E4554" s="5" t="s">
        <v>75</v>
      </c>
      <c r="F4554" s="5" t="s">
        <v>12892</v>
      </c>
      <c r="G4554" s="5" t="s">
        <v>152</v>
      </c>
      <c r="H4554" s="5" t="s">
        <v>13087</v>
      </c>
      <c r="I4554" s="5" t="s">
        <v>13190</v>
      </c>
      <c r="J4554" s="5" t="s">
        <v>13191</v>
      </c>
      <c r="K4554" s="7" t="str">
        <f ca="1">IFERROR(__xludf.DUMMYFUNCTION("GOOGLETRANSLATE(H4554,""EN"",""ES"")"),"EQUIPO DE CALEFACCIÓN")</f>
        <v>EQUIPO DE CALEFACCIÓN</v>
      </c>
      <c r="L4554" s="5" t="str">
        <f ca="1">IFERROR(__xludf.DUMMYFUNCTION("GOOGLETRANSLATE(J4554,""EN"",""ES"")"),"Colectores solares de calor")</f>
        <v>Colectores solares de calor</v>
      </c>
      <c r="M4554" s="8" t="s">
        <v>76</v>
      </c>
      <c r="N4554" s="8"/>
    </row>
    <row r="4555" spans="1:14" ht="11.25" customHeight="1">
      <c r="A4555" s="5" t="s">
        <v>12888</v>
      </c>
      <c r="B4555" s="5" t="s">
        <v>13085</v>
      </c>
      <c r="C4555" s="5" t="s">
        <v>13192</v>
      </c>
      <c r="D4555" s="5" t="s">
        <v>12891</v>
      </c>
      <c r="E4555" s="5" t="s">
        <v>75</v>
      </c>
      <c r="F4555" s="5" t="s">
        <v>12892</v>
      </c>
      <c r="G4555" s="5" t="s">
        <v>152</v>
      </c>
      <c r="H4555" s="5" t="s">
        <v>13087</v>
      </c>
      <c r="I4555" s="5" t="s">
        <v>13193</v>
      </c>
      <c r="J4555" s="5" t="s">
        <v>13194</v>
      </c>
      <c r="K4555" s="7" t="str">
        <f ca="1">IFERROR(__xludf.DUMMYFUNCTION("GOOGLETRANSLATE(H4555,""EN"",""ES"")"),"EQUIPO DE CALEFACCIÓN")</f>
        <v>EQUIPO DE CALEFACCIÓN</v>
      </c>
      <c r="L4555" s="5" t="str">
        <f ca="1">IFERROR(__xludf.DUMMYFUNCTION("GOOGLETRANSLATE(J4555,""EN"",""ES"")"),"Paneles de control para calentadores de baño.")</f>
        <v>Paneles de control para calentadores de baño.</v>
      </c>
      <c r="M4555" s="8" t="s">
        <v>76</v>
      </c>
      <c r="N4555" s="8"/>
    </row>
    <row r="4556" spans="1:14" ht="11.25" customHeight="1">
      <c r="A4556" s="5" t="s">
        <v>12888</v>
      </c>
      <c r="B4556" s="5" t="s">
        <v>13085</v>
      </c>
      <c r="C4556" s="5" t="s">
        <v>13195</v>
      </c>
      <c r="D4556" s="5" t="s">
        <v>12891</v>
      </c>
      <c r="E4556" s="5" t="s">
        <v>75</v>
      </c>
      <c r="F4556" s="5" t="s">
        <v>12892</v>
      </c>
      <c r="G4556" s="5" t="s">
        <v>152</v>
      </c>
      <c r="H4556" s="5" t="s">
        <v>13087</v>
      </c>
      <c r="I4556" s="5" t="s">
        <v>13196</v>
      </c>
      <c r="J4556" s="5" t="s">
        <v>13197</v>
      </c>
      <c r="K4556" s="7" t="str">
        <f ca="1">IFERROR(__xludf.DUMMYFUNCTION("GOOGLETRANSLATE(H4556,""EN"",""ES"")"),"EQUIPO DE CALEFACCIÓN")</f>
        <v>EQUIPO DE CALEFACCIÓN</v>
      </c>
      <c r="L4556" s="5" t="str">
        <f ca="1">IFERROR(__xludf.DUMMYFUNCTION("GOOGLETRANSLATE(J4556,""EN"",""ES"")"),"Humidificadores de aire para calentar radiadores.")</f>
        <v>Humidificadores de aire para calentar radiadores.</v>
      </c>
      <c r="M4556" s="8" t="s">
        <v>76</v>
      </c>
      <c r="N4556" s="8"/>
    </row>
    <row r="4557" spans="1:14" ht="11.25" customHeight="1">
      <c r="A4557" s="5" t="s">
        <v>12888</v>
      </c>
      <c r="B4557" s="5" t="s">
        <v>13085</v>
      </c>
      <c r="C4557" s="5" t="s">
        <v>13198</v>
      </c>
      <c r="D4557" s="5" t="s">
        <v>12891</v>
      </c>
      <c r="E4557" s="5" t="s">
        <v>75</v>
      </c>
      <c r="F4557" s="5" t="s">
        <v>12892</v>
      </c>
      <c r="G4557" s="5" t="s">
        <v>152</v>
      </c>
      <c r="H4557" s="5" t="s">
        <v>13087</v>
      </c>
      <c r="I4557" s="5" t="s">
        <v>13199</v>
      </c>
      <c r="J4557" s="5" t="s">
        <v>13200</v>
      </c>
      <c r="K4557" s="7" t="str">
        <f ca="1">IFERROR(__xludf.DUMMYFUNCTION("GOOGLETRANSLATE(H4557,""EN"",""ES"")"),"EQUIPO DE CALEFACCIÓN")</f>
        <v>EQUIPO DE CALEFACCIÓN</v>
      </c>
      <c r="L4557" s="5" t="str">
        <f ca="1">IFERROR(__xludf.DUMMYFUNCTION("GOOGLETRANSLATE(J4557,""EN"",""ES"")"),"Grifos de purga para radiadores de calefacción.")</f>
        <v>Grifos de purga para radiadores de calefacción.</v>
      </c>
      <c r="M4557" s="8" t="s">
        <v>76</v>
      </c>
      <c r="N4557" s="8"/>
    </row>
    <row r="4558" spans="1:14" ht="11.25" customHeight="1">
      <c r="A4558" s="5" t="s">
        <v>12888</v>
      </c>
      <c r="B4558" s="5" t="s">
        <v>13085</v>
      </c>
      <c r="C4558" s="5" t="s">
        <v>13201</v>
      </c>
      <c r="D4558" s="5" t="s">
        <v>12891</v>
      </c>
      <c r="E4558" s="5" t="s">
        <v>75</v>
      </c>
      <c r="F4558" s="5" t="s">
        <v>12892</v>
      </c>
      <c r="G4558" s="5" t="s">
        <v>152</v>
      </c>
      <c r="H4558" s="5" t="s">
        <v>13087</v>
      </c>
      <c r="I4558" s="5" t="s">
        <v>13202</v>
      </c>
      <c r="J4558" s="5" t="s">
        <v>13203</v>
      </c>
      <c r="K4558" s="7" t="str">
        <f ca="1">IFERROR(__xludf.DUMMYFUNCTION("GOOGLETRANSLATE(H4558,""EN"",""ES"")"),"EQUIPO DE CALEFACCIÓN")</f>
        <v>EQUIPO DE CALEFACCIÓN</v>
      </c>
      <c r="L4558" s="5" t="str">
        <f ca="1">IFERROR(__xludf.DUMMYFUNCTION("GOOGLETRANSLATE(J4558,""EN"",""ES"")"),"Mecheros Bunsen")</f>
        <v>Mecheros Bunsen</v>
      </c>
      <c r="M4558" s="8" t="s">
        <v>76</v>
      </c>
      <c r="N4558" s="8"/>
    </row>
    <row r="4559" spans="1:14" ht="11.25" customHeight="1">
      <c r="A4559" s="5" t="s">
        <v>12888</v>
      </c>
      <c r="B4559" s="5" t="s">
        <v>13085</v>
      </c>
      <c r="C4559" s="5" t="s">
        <v>13201</v>
      </c>
      <c r="D4559" s="5" t="s">
        <v>12891</v>
      </c>
      <c r="E4559" s="5" t="s">
        <v>75</v>
      </c>
      <c r="F4559" s="5" t="s">
        <v>12892</v>
      </c>
      <c r="G4559" s="5" t="s">
        <v>152</v>
      </c>
      <c r="H4559" s="5" t="s">
        <v>13087</v>
      </c>
      <c r="I4559" s="5" t="s">
        <v>152</v>
      </c>
      <c r="J4559" s="5" t="s">
        <v>13204</v>
      </c>
      <c r="K4559" s="7" t="str">
        <f ca="1">IFERROR(__xludf.DUMMYFUNCTION("GOOGLETRANSLATE(H4559,""EN"",""ES"")"),"EQUIPO DE CALEFACCIÓN")</f>
        <v>EQUIPO DE CALEFACCIÓN</v>
      </c>
      <c r="L4559" s="5" t="str">
        <f ca="1">IFERROR(__xludf.DUMMYFUNCTION("GOOGLETRANSLATE(J4559,""EN"",""ES"")"),"N / A")</f>
        <v>N / A</v>
      </c>
      <c r="M4559" s="8" t="s">
        <v>76</v>
      </c>
      <c r="N4559" s="8"/>
    </row>
    <row r="4560" spans="1:14" ht="11.25" customHeight="1">
      <c r="A4560" s="5" t="s">
        <v>12888</v>
      </c>
      <c r="B4560" s="5" t="s">
        <v>13085</v>
      </c>
      <c r="C4560" s="5" t="s">
        <v>13205</v>
      </c>
      <c r="D4560" s="5" t="s">
        <v>12891</v>
      </c>
      <c r="E4560" s="5" t="s">
        <v>75</v>
      </c>
      <c r="F4560" s="5" t="s">
        <v>12892</v>
      </c>
      <c r="G4560" s="5" t="s">
        <v>152</v>
      </c>
      <c r="H4560" s="5" t="s">
        <v>13087</v>
      </c>
      <c r="I4560" s="5" t="s">
        <v>13206</v>
      </c>
      <c r="J4560" s="5" t="s">
        <v>13207</v>
      </c>
      <c r="K4560" s="7" t="str">
        <f ca="1">IFERROR(__xludf.DUMMYFUNCTION("GOOGLETRANSLATE(H4560,""EN"",""ES"")"),"EQUIPO DE CALEFACCIÓN")</f>
        <v>EQUIPO DE CALEFACCIÓN</v>
      </c>
      <c r="L4560" s="5" t="str">
        <f ca="1">IFERROR(__xludf.DUMMYFUNCTION("GOOGLETRANSLATE(J4560,""EN"",""ES"")"),"Convectores")</f>
        <v>Convectores</v>
      </c>
      <c r="M4560" s="8" t="s">
        <v>76</v>
      </c>
      <c r="N4560" s="8"/>
    </row>
    <row r="4561" spans="1:14" ht="11.25" customHeight="1">
      <c r="A4561" s="5" t="s">
        <v>12888</v>
      </c>
      <c r="B4561" s="5" t="s">
        <v>13085</v>
      </c>
      <c r="C4561" s="5" t="s">
        <v>13208</v>
      </c>
      <c r="D4561" s="5" t="s">
        <v>12891</v>
      </c>
      <c r="E4561" s="5" t="s">
        <v>75</v>
      </c>
      <c r="F4561" s="5" t="s">
        <v>12892</v>
      </c>
      <c r="G4561" s="5" t="s">
        <v>152</v>
      </c>
      <c r="H4561" s="5" t="s">
        <v>13087</v>
      </c>
      <c r="I4561" s="5" t="s">
        <v>13209</v>
      </c>
      <c r="J4561" s="5" t="s">
        <v>13210</v>
      </c>
      <c r="K4561" s="7" t="str">
        <f ca="1">IFERROR(__xludf.DUMMYFUNCTION("GOOGLETRANSLATE(H4561,""EN"",""ES"")"),"EQUIPO DE CALEFACCIÓN")</f>
        <v>EQUIPO DE CALEFACCIÓN</v>
      </c>
      <c r="L4561" s="5" t="str">
        <f ca="1">IFERROR(__xludf.DUMMYFUNCTION("GOOGLETRANSLATE(J4561,""EN"",""ES"")"),"Hornos")</f>
        <v>Hornos</v>
      </c>
      <c r="M4561" s="8" t="s">
        <v>76</v>
      </c>
      <c r="N4561" s="8"/>
    </row>
    <row r="4562" spans="1:14" ht="11.25" customHeight="1">
      <c r="A4562" s="5" t="s">
        <v>12888</v>
      </c>
      <c r="B4562" s="5" t="s">
        <v>13085</v>
      </c>
      <c r="C4562" s="5" t="s">
        <v>13208</v>
      </c>
      <c r="D4562" s="5" t="s">
        <v>12891</v>
      </c>
      <c r="E4562" s="5" t="s">
        <v>75</v>
      </c>
      <c r="F4562" s="5" t="s">
        <v>12892</v>
      </c>
      <c r="G4562" s="5" t="s">
        <v>152</v>
      </c>
      <c r="H4562" s="5" t="s">
        <v>13087</v>
      </c>
      <c r="I4562" s="5" t="s">
        <v>13211</v>
      </c>
      <c r="J4562" s="5" t="s">
        <v>152</v>
      </c>
      <c r="K4562" s="7" t="str">
        <f ca="1">IFERROR(__xludf.DUMMYFUNCTION("GOOGLETRANSLATE(H4562,""EN"",""ES"")"),"EQUIPO DE CALEFACCIÓN")</f>
        <v>EQUIPO DE CALEFACCIÓN</v>
      </c>
      <c r="L4562" s="5" t="str">
        <f ca="1">IFERROR(__xludf.DUMMYFUNCTION("GOOGLETRANSLATE(J4562,""EN"",""ES"")"),"Hogares")</f>
        <v>Hogares</v>
      </c>
      <c r="M4562" s="8" t="s">
        <v>76</v>
      </c>
      <c r="N4562" s="8"/>
    </row>
    <row r="4563" spans="1:14" ht="11.25" customHeight="1">
      <c r="A4563" s="5" t="s">
        <v>12888</v>
      </c>
      <c r="B4563" s="5" t="s">
        <v>13085</v>
      </c>
      <c r="C4563" s="5" t="s">
        <v>13212</v>
      </c>
      <c r="D4563" s="5" t="s">
        <v>12891</v>
      </c>
      <c r="E4563" s="5" t="s">
        <v>75</v>
      </c>
      <c r="F4563" s="5" t="s">
        <v>12892</v>
      </c>
      <c r="G4563" s="5" t="s">
        <v>152</v>
      </c>
      <c r="H4563" s="5" t="s">
        <v>13087</v>
      </c>
      <c r="I4563" s="5" t="s">
        <v>13213</v>
      </c>
      <c r="J4563" s="5" t="s">
        <v>13214</v>
      </c>
      <c r="K4563" s="7" t="str">
        <f ca="1">IFERROR(__xludf.DUMMYFUNCTION("GOOGLETRANSLATE(H4563,""EN"",""ES"")"),"EQUIPO DE CALEFACCIÓN")</f>
        <v>EQUIPO DE CALEFACCIÓN</v>
      </c>
      <c r="L4563" s="5" t="str">
        <f ca="1">IFERROR(__xludf.DUMMYFUNCTION("GOOGLETRANSLATE(J4563,""EN"",""ES"")"),"Recuperadores de calor")</f>
        <v>Recuperadores de calor</v>
      </c>
      <c r="M4563" s="8" t="s">
        <v>76</v>
      </c>
      <c r="N4563" s="8"/>
    </row>
    <row r="4564" spans="1:14" ht="11.25" customHeight="1">
      <c r="A4564" s="5" t="s">
        <v>12888</v>
      </c>
      <c r="B4564" s="5" t="s">
        <v>13085</v>
      </c>
      <c r="C4564" s="5" t="s">
        <v>13215</v>
      </c>
      <c r="D4564" s="5" t="s">
        <v>12891</v>
      </c>
      <c r="E4564" s="5" t="s">
        <v>75</v>
      </c>
      <c r="F4564" s="5" t="s">
        <v>12892</v>
      </c>
      <c r="G4564" s="5" t="s">
        <v>152</v>
      </c>
      <c r="H4564" s="5" t="s">
        <v>13087</v>
      </c>
      <c r="I4564" s="5" t="s">
        <v>13216</v>
      </c>
      <c r="J4564" s="5" t="s">
        <v>13217</v>
      </c>
      <c r="K4564" s="7" t="str">
        <f ca="1">IFERROR(__xludf.DUMMYFUNCTION("GOOGLETRANSLATE(H4564,""EN"",""ES"")"),"EQUIPO DE CALEFACCIÓN")</f>
        <v>EQUIPO DE CALEFACCIÓN</v>
      </c>
      <c r="L4564" s="5" t="str">
        <f ca="1">IFERROR(__xludf.DUMMYFUNCTION("GOOGLETRANSLATE(J4564,""EN"",""ES"")"),"Calderas de calefacción")</f>
        <v>Calderas de calefacción</v>
      </c>
      <c r="M4564" s="8" t="s">
        <v>76</v>
      </c>
      <c r="N4564" s="8"/>
    </row>
    <row r="4565" spans="1:14" ht="11.25" customHeight="1">
      <c r="A4565" s="5" t="s">
        <v>12888</v>
      </c>
      <c r="B4565" s="5" t="s">
        <v>13085</v>
      </c>
      <c r="C4565" s="5" t="s">
        <v>13218</v>
      </c>
      <c r="D4565" s="5" t="s">
        <v>12891</v>
      </c>
      <c r="E4565" s="5" t="s">
        <v>75</v>
      </c>
      <c r="F4565" s="5" t="s">
        <v>12892</v>
      </c>
      <c r="G4565" s="5" t="s">
        <v>152</v>
      </c>
      <c r="H4565" s="5" t="s">
        <v>13087</v>
      </c>
      <c r="I4565" s="5" t="s">
        <v>13219</v>
      </c>
      <c r="J4565" s="5" t="s">
        <v>13220</v>
      </c>
      <c r="K4565" s="7" t="str">
        <f ca="1">IFERROR(__xludf.DUMMYFUNCTION("GOOGLETRANSLATE(H4565,""EN"",""ES"")"),"EQUIPO DE CALEFACCIÓN")</f>
        <v>EQUIPO DE CALEFACCIÓN</v>
      </c>
      <c r="L4565" s="5" t="str">
        <f ca="1">IFERROR(__xludf.DUMMYFUNCTION("GOOGLETRANSLATE(J4565,""EN"",""ES"")"),"Estufas de combustión")</f>
        <v>Estufas de combustión</v>
      </c>
      <c r="M4565" s="8" t="s">
        <v>76</v>
      </c>
      <c r="N4565" s="8"/>
    </row>
    <row r="4566" spans="1:14" ht="11.25" customHeight="1">
      <c r="A4566" s="5" t="s">
        <v>12888</v>
      </c>
      <c r="B4566" s="5" t="s">
        <v>13085</v>
      </c>
      <c r="C4566" s="5" t="s">
        <v>13221</v>
      </c>
      <c r="D4566" s="5" t="s">
        <v>12891</v>
      </c>
      <c r="E4566" s="5" t="s">
        <v>75</v>
      </c>
      <c r="F4566" s="5" t="s">
        <v>12892</v>
      </c>
      <c r="G4566" s="5" t="s">
        <v>152</v>
      </c>
      <c r="H4566" s="5" t="s">
        <v>13087</v>
      </c>
      <c r="I4566" s="5" t="s">
        <v>13222</v>
      </c>
      <c r="J4566" s="5" t="s">
        <v>13223</v>
      </c>
      <c r="K4566" s="7" t="str">
        <f ca="1">IFERROR(__xludf.DUMMYFUNCTION("GOOGLETRANSLATE(H4566,""EN"",""ES"")"),"EQUIPO DE CALEFACCIÓN")</f>
        <v>EQUIPO DE CALEFACCIÓN</v>
      </c>
      <c r="L4566" s="5" t="str">
        <f ca="1">IFERROR(__xludf.DUMMYFUNCTION("GOOGLETRANSLATE(J4566,""EN"",""ES"")"),"Calentadores al aire libre")</f>
        <v>Calentadores al aire libre</v>
      </c>
      <c r="M4566" s="8" t="s">
        <v>76</v>
      </c>
      <c r="N4566" s="8"/>
    </row>
    <row r="4567" spans="1:14" ht="11.25" customHeight="1">
      <c r="A4567" s="5" t="s">
        <v>12888</v>
      </c>
      <c r="B4567" s="5" t="s">
        <v>13085</v>
      </c>
      <c r="C4567" s="5" t="s">
        <v>13224</v>
      </c>
      <c r="D4567" s="5" t="s">
        <v>12891</v>
      </c>
      <c r="E4567" s="5" t="s">
        <v>75</v>
      </c>
      <c r="F4567" s="5" t="s">
        <v>12892</v>
      </c>
      <c r="G4567" s="5" t="s">
        <v>152</v>
      </c>
      <c r="H4567" s="5" t="s">
        <v>13087</v>
      </c>
      <c r="I4567" s="5" t="s">
        <v>13225</v>
      </c>
      <c r="J4567" s="5" t="s">
        <v>13226</v>
      </c>
      <c r="K4567" s="7" t="str">
        <f ca="1">IFERROR(__xludf.DUMMYFUNCTION("GOOGLETRANSLATE(H4567,""EN"",""ES"")"),"EQUIPO DE CALEFACCIÓN")</f>
        <v>EQUIPO DE CALEFACCIÓN</v>
      </c>
      <c r="L4567" s="5" t="str">
        <f ca="1">IFERROR(__xludf.DUMMYFUNCTION("GOOGLETRANSLATE(J4567,""EN"",""ES"")"),"Chimeneas de jardín")</f>
        <v>Chimeneas de jardín</v>
      </c>
      <c r="M4567" s="8" t="s">
        <v>76</v>
      </c>
      <c r="N4567" s="8"/>
    </row>
    <row r="4568" spans="1:14" ht="11.25" customHeight="1">
      <c r="A4568" s="5" t="s">
        <v>12888</v>
      </c>
      <c r="B4568" s="5" t="s">
        <v>13085</v>
      </c>
      <c r="C4568" s="5" t="s">
        <v>13227</v>
      </c>
      <c r="D4568" s="5" t="s">
        <v>12891</v>
      </c>
      <c r="E4568" s="5" t="s">
        <v>75</v>
      </c>
      <c r="F4568" s="5" t="s">
        <v>12892</v>
      </c>
      <c r="G4568" s="5" t="s">
        <v>152</v>
      </c>
      <c r="H4568" s="5" t="s">
        <v>13087</v>
      </c>
      <c r="I4568" s="5" t="s">
        <v>13228</v>
      </c>
      <c r="J4568" s="5" t="s">
        <v>13229</v>
      </c>
      <c r="K4568" s="7" t="str">
        <f ca="1">IFERROR(__xludf.DUMMYFUNCTION("GOOGLETRANSLATE(H4568,""EN"",""ES"")"),"EQUIPO DE CALEFACCIÓN")</f>
        <v>EQUIPO DE CALEFACCIÓN</v>
      </c>
      <c r="L4568" s="5" t="str">
        <f ca="1">IFERROR(__xludf.DUMMYFUNCTION("GOOGLETRANSLATE(J4568,""EN"",""ES"")"),"Recuperadores de calor residual")</f>
        <v>Recuperadores de calor residual</v>
      </c>
      <c r="M4568" s="8" t="s">
        <v>76</v>
      </c>
      <c r="N4568" s="8"/>
    </row>
    <row r="4569" spans="1:14" ht="11.25" customHeight="1">
      <c r="A4569" s="5" t="s">
        <v>12888</v>
      </c>
      <c r="B4569" s="5" t="s">
        <v>13085</v>
      </c>
      <c r="C4569" s="5" t="s">
        <v>13230</v>
      </c>
      <c r="D4569" s="5" t="s">
        <v>12891</v>
      </c>
      <c r="E4569" s="5" t="s">
        <v>75</v>
      </c>
      <c r="F4569" s="5" t="s">
        <v>12892</v>
      </c>
      <c r="G4569" s="5" t="s">
        <v>152</v>
      </c>
      <c r="H4569" s="5" t="s">
        <v>13087</v>
      </c>
      <c r="I4569" s="5" t="s">
        <v>13231</v>
      </c>
      <c r="J4569" s="5" t="s">
        <v>13232</v>
      </c>
      <c r="K4569" s="7" t="str">
        <f ca="1">IFERROR(__xludf.DUMMYFUNCTION("GOOGLETRANSLATE(H4569,""EN"",""ES"")"),"EQUIPO DE CALEFACCIÓN")</f>
        <v>EQUIPO DE CALEFACCIÓN</v>
      </c>
      <c r="L4569" s="5" t="str">
        <f ca="1">IFERROR(__xludf.DUMMYFUNCTION("GOOGLETRANSLATE(J4569,""EN"",""ES"")"),"Calderas de calefacción para cubrecolchones calentados por agua.")</f>
        <v>Calderas de calefacción para cubrecolchones calentados por agua.</v>
      </c>
      <c r="M4569" s="8" t="s">
        <v>76</v>
      </c>
      <c r="N4569" s="8"/>
    </row>
    <row r="4570" spans="1:14" ht="11.25" customHeight="1">
      <c r="A4570" s="5" t="s">
        <v>12888</v>
      </c>
      <c r="B4570" s="5" t="s">
        <v>13233</v>
      </c>
      <c r="C4570" s="5" t="s">
        <v>13234</v>
      </c>
      <c r="D4570" s="5" t="s">
        <v>12891</v>
      </c>
      <c r="E4570" s="5" t="s">
        <v>75</v>
      </c>
      <c r="F4570" s="5" t="s">
        <v>12892</v>
      </c>
      <c r="G4570" s="5" t="s">
        <v>152</v>
      </c>
      <c r="H4570" s="5" t="s">
        <v>13235</v>
      </c>
      <c r="I4570" s="5" t="s">
        <v>13236</v>
      </c>
      <c r="J4570" s="5" t="s">
        <v>13237</v>
      </c>
      <c r="K4570" s="7" t="str">
        <f ca="1">IFERROR(__xludf.DUMMYFUNCTION("GOOGLETRANSLATE(H4570,""EN"",""ES"")"),"EQUIPOS DE VENTILACIÓN Y AIRE ACONDICIONADO")</f>
        <v>EQUIPOS DE VENTILACIÓN Y AIRE ACONDICIONADO</v>
      </c>
      <c r="L4570" s="5" t="str">
        <f ca="1">IFERROR(__xludf.DUMMYFUNCTION("GOOGLETRANSLATE(J4570,""EN"",""ES"")"),"ventiladores")</f>
        <v>ventiladores</v>
      </c>
      <c r="M4570" s="8" t="s">
        <v>76</v>
      </c>
      <c r="N4570" s="8"/>
    </row>
    <row r="4571" spans="1:14" ht="11.25" customHeight="1">
      <c r="A4571" s="5" t="s">
        <v>12888</v>
      </c>
      <c r="B4571" s="5" t="s">
        <v>13233</v>
      </c>
      <c r="C4571" s="5" t="s">
        <v>13234</v>
      </c>
      <c r="D4571" s="5" t="s">
        <v>12891</v>
      </c>
      <c r="E4571" s="5" t="s">
        <v>75</v>
      </c>
      <c r="F4571" s="5" t="s">
        <v>12892</v>
      </c>
      <c r="G4571" s="5" t="s">
        <v>152</v>
      </c>
      <c r="H4571" s="5" t="s">
        <v>13235</v>
      </c>
      <c r="I4571" s="5" t="s">
        <v>152</v>
      </c>
      <c r="J4571" s="5" t="s">
        <v>13238</v>
      </c>
      <c r="K4571" s="7" t="str">
        <f ca="1">IFERROR(__xludf.DUMMYFUNCTION("GOOGLETRANSLATE(H4571,""EN"",""ES"")"),"EQUIPOS DE VENTILACIÓN Y AIRE ACONDICIONADO")</f>
        <v>EQUIPOS DE VENTILACIÓN Y AIRE ACONDICIONADO</v>
      </c>
      <c r="L4571" s="5" t="str">
        <f ca="1">IFERROR(__xludf.DUMMYFUNCTION("GOOGLETRANSLATE(J4571,""EN"",""ES"")"),"N / A")</f>
        <v>N / A</v>
      </c>
      <c r="M4571" s="8" t="s">
        <v>76</v>
      </c>
      <c r="N4571" s="8"/>
    </row>
    <row r="4572" spans="1:14" ht="11.25" customHeight="1">
      <c r="A4572" s="5" t="s">
        <v>12888</v>
      </c>
      <c r="B4572" s="5" t="s">
        <v>13233</v>
      </c>
      <c r="C4572" s="5" t="s">
        <v>13239</v>
      </c>
      <c r="D4572" s="5" t="s">
        <v>12891</v>
      </c>
      <c r="E4572" s="5" t="s">
        <v>75</v>
      </c>
      <c r="F4572" s="5" t="s">
        <v>12892</v>
      </c>
      <c r="G4572" s="5" t="s">
        <v>152</v>
      </c>
      <c r="H4572" s="5" t="s">
        <v>13235</v>
      </c>
      <c r="I4572" s="5" t="s">
        <v>13240</v>
      </c>
      <c r="J4572" s="5" t="s">
        <v>13241</v>
      </c>
      <c r="K4572" s="7" t="str">
        <f ca="1">IFERROR(__xludf.DUMMYFUNCTION("GOOGLETRANSLATE(H4572,""EN"",""ES"")"),"EQUIPOS DE VENTILACIÓN Y AIRE ACONDICIONADO")</f>
        <v>EQUIPOS DE VENTILACIÓN Y AIRE ACONDICIONADO</v>
      </c>
      <c r="L4572" s="5" t="str">
        <f ca="1">IFERROR(__xludf.DUMMYFUNCTION("GOOGLETRANSLATE(J4572,""EN"",""ES"")"),"Aparato desodorizante del aire.")</f>
        <v>Aparato desodorizante del aire.</v>
      </c>
      <c r="M4572" s="8" t="s">
        <v>76</v>
      </c>
      <c r="N4572" s="8"/>
    </row>
    <row r="4573" spans="1:14" ht="11.25" customHeight="1">
      <c r="A4573" s="5" t="s">
        <v>12888</v>
      </c>
      <c r="B4573" s="5" t="s">
        <v>13233</v>
      </c>
      <c r="C4573" s="5" t="s">
        <v>13242</v>
      </c>
      <c r="D4573" s="5" t="s">
        <v>12891</v>
      </c>
      <c r="E4573" s="5" t="s">
        <v>75</v>
      </c>
      <c r="F4573" s="5" t="s">
        <v>12892</v>
      </c>
      <c r="G4573" s="5" t="s">
        <v>152</v>
      </c>
      <c r="H4573" s="5" t="s">
        <v>13235</v>
      </c>
      <c r="I4573" s="5" t="s">
        <v>13243</v>
      </c>
      <c r="J4573" s="5" t="s">
        <v>13244</v>
      </c>
      <c r="K4573" s="7" t="str">
        <f ca="1">IFERROR(__xludf.DUMMYFUNCTION("GOOGLETRANSLATE(H4573,""EN"",""ES"")"),"EQUIPOS DE VENTILACIÓN Y AIRE ACONDICIONADO")</f>
        <v>EQUIPOS DE VENTILACIÓN Y AIRE ACONDICIONADO</v>
      </c>
      <c r="L4573" s="5" t="str">
        <f ca="1">IFERROR(__xludf.DUMMYFUNCTION("GOOGLETRANSLATE(J4573,""EN"",""ES"")"),"Extractores de humo")</f>
        <v>Extractores de humo</v>
      </c>
      <c r="M4573" s="8" t="s">
        <v>76</v>
      </c>
      <c r="N4573" s="8"/>
    </row>
    <row r="4574" spans="1:14" ht="11.25" customHeight="1">
      <c r="A4574" s="5" t="s">
        <v>12888</v>
      </c>
      <c r="B4574" s="5" t="s">
        <v>13233</v>
      </c>
      <c r="C4574" s="5" t="s">
        <v>13245</v>
      </c>
      <c r="D4574" s="5" t="s">
        <v>12891</v>
      </c>
      <c r="E4574" s="5" t="s">
        <v>75</v>
      </c>
      <c r="F4574" s="5" t="s">
        <v>12892</v>
      </c>
      <c r="G4574" s="5" t="s">
        <v>152</v>
      </c>
      <c r="H4574" s="5" t="s">
        <v>13235</v>
      </c>
      <c r="I4574" s="5" t="s">
        <v>13246</v>
      </c>
      <c r="J4574" s="5" t="s">
        <v>13247</v>
      </c>
      <c r="K4574" s="7" t="str">
        <f ca="1">IFERROR(__xludf.DUMMYFUNCTION("GOOGLETRANSLATE(H4574,""EN"",""ES"")"),"EQUIPOS DE VENTILACIÓN Y AIRE ACONDICIONADO")</f>
        <v>EQUIPOS DE VENTILACIÓN Y AIRE ACONDICIONADO</v>
      </c>
      <c r="L4574" s="5" t="str">
        <f ca="1">IFERROR(__xludf.DUMMYFUNCTION("GOOGLETRANSLATE(J4574,""EN"",""ES"")"),"Purificadores de aire")</f>
        <v>Purificadores de aire</v>
      </c>
      <c r="M4574" s="8" t="s">
        <v>76</v>
      </c>
      <c r="N4574" s="8"/>
    </row>
    <row r="4575" spans="1:14" ht="11.25" customHeight="1">
      <c r="A4575" s="5" t="s">
        <v>12888</v>
      </c>
      <c r="B4575" s="5" t="s">
        <v>13233</v>
      </c>
      <c r="C4575" s="5" t="s">
        <v>13245</v>
      </c>
      <c r="D4575" s="5" t="s">
        <v>12891</v>
      </c>
      <c r="E4575" s="5" t="s">
        <v>75</v>
      </c>
      <c r="F4575" s="5" t="s">
        <v>12892</v>
      </c>
      <c r="G4575" s="5" t="s">
        <v>152</v>
      </c>
      <c r="H4575" s="5" t="s">
        <v>13235</v>
      </c>
      <c r="I4575" s="5" t="s">
        <v>152</v>
      </c>
      <c r="J4575" s="5" t="s">
        <v>13248</v>
      </c>
      <c r="K4575" s="7" t="str">
        <f ca="1">IFERROR(__xludf.DUMMYFUNCTION("GOOGLETRANSLATE(H4575,""EN"",""ES"")"),"EQUIPOS DE VENTILACIÓN Y AIRE ACONDICIONADO")</f>
        <v>EQUIPOS DE VENTILACIÓN Y AIRE ACONDICIONADO</v>
      </c>
      <c r="L4575" s="5" t="str">
        <f ca="1">IFERROR(__xludf.DUMMYFUNCTION("GOOGLETRANSLATE(J4575,""EN"",""ES"")"),"N / A")</f>
        <v>N / A</v>
      </c>
      <c r="M4575" s="8" t="s">
        <v>76</v>
      </c>
      <c r="N4575" s="8"/>
    </row>
    <row r="4576" spans="1:14" ht="11.25" customHeight="1">
      <c r="A4576" s="5" t="s">
        <v>12888</v>
      </c>
      <c r="B4576" s="5" t="s">
        <v>13233</v>
      </c>
      <c r="C4576" s="5" t="s">
        <v>13249</v>
      </c>
      <c r="D4576" s="5" t="s">
        <v>12891</v>
      </c>
      <c r="E4576" s="5" t="s">
        <v>75</v>
      </c>
      <c r="F4576" s="5" t="s">
        <v>12892</v>
      </c>
      <c r="G4576" s="5" t="s">
        <v>152</v>
      </c>
      <c r="H4576" s="5" t="s">
        <v>13235</v>
      </c>
      <c r="I4576" s="5" t="s">
        <v>13250</v>
      </c>
      <c r="J4576" s="5" t="s">
        <v>13251</v>
      </c>
      <c r="K4576" s="7" t="str">
        <f ca="1">IFERROR(__xludf.DUMMYFUNCTION("GOOGLETRANSLATE(H4576,""EN"",""ES"")"),"EQUIPOS DE VENTILACIÓN Y AIRE ACONDICIONADO")</f>
        <v>EQUIPOS DE VENTILACIÓN Y AIRE ACONDICIONADO</v>
      </c>
      <c r="L4576" s="5" t="str">
        <f ca="1">IFERROR(__xludf.DUMMYFUNCTION("GOOGLETRANSLATE(J4576,""EN"",""ES"")"),"Campanas para ventilación")</f>
        <v>Campanas para ventilación</v>
      </c>
      <c r="M4576" s="8" t="s">
        <v>76</v>
      </c>
      <c r="N4576" s="8"/>
    </row>
    <row r="4577" spans="1:14" ht="11.25" customHeight="1">
      <c r="A4577" s="5" t="s">
        <v>12888</v>
      </c>
      <c r="B4577" s="5" t="s">
        <v>13233</v>
      </c>
      <c r="C4577" s="5" t="s">
        <v>13252</v>
      </c>
      <c r="D4577" s="5" t="s">
        <v>12891</v>
      </c>
      <c r="E4577" s="5" t="s">
        <v>75</v>
      </c>
      <c r="F4577" s="5" t="s">
        <v>12892</v>
      </c>
      <c r="G4577" s="5" t="s">
        <v>152</v>
      </c>
      <c r="H4577" s="5" t="s">
        <v>13235</v>
      </c>
      <c r="I4577" s="5" t="s">
        <v>13253</v>
      </c>
      <c r="J4577" s="5" t="s">
        <v>13254</v>
      </c>
      <c r="K4577" s="7" t="str">
        <f ca="1">IFERROR(__xludf.DUMMYFUNCTION("GOOGLETRANSLATE(H4577,""EN"",""ES"")"),"EQUIPOS DE VENTILACIÓN Y AIRE ACONDICIONADO")</f>
        <v>EQUIPOS DE VENTILACIÓN Y AIRE ACONDICIONADO</v>
      </c>
      <c r="L4577" s="5" t="str">
        <f ca="1">IFERROR(__xludf.DUMMYFUNCTION("GOOGLETRANSLATE(J4577,""EN"",""ES"")"),"Válvulas de ventilación")</f>
        <v>Válvulas de ventilación</v>
      </c>
      <c r="M4577" s="8" t="s">
        <v>76</v>
      </c>
      <c r="N4577" s="8"/>
    </row>
    <row r="4578" spans="1:14" ht="11.25" customHeight="1">
      <c r="A4578" s="5" t="s">
        <v>12888</v>
      </c>
      <c r="B4578" s="5" t="s">
        <v>13233</v>
      </c>
      <c r="C4578" s="5" t="s">
        <v>13255</v>
      </c>
      <c r="D4578" s="5" t="s">
        <v>12891</v>
      </c>
      <c r="E4578" s="5" t="s">
        <v>75</v>
      </c>
      <c r="F4578" s="5" t="s">
        <v>12892</v>
      </c>
      <c r="G4578" s="5" t="s">
        <v>152</v>
      </c>
      <c r="H4578" s="5" t="s">
        <v>13235</v>
      </c>
      <c r="I4578" s="5" t="s">
        <v>13256</v>
      </c>
      <c r="J4578" s="5" t="s">
        <v>13257</v>
      </c>
      <c r="K4578" s="7" t="str">
        <f ca="1">IFERROR(__xludf.DUMMYFUNCTION("GOOGLETRANSLATE(H4578,""EN"",""ES"")"),"EQUIPOS DE VENTILACIÓN Y AIRE ACONDICIONADO")</f>
        <v>EQUIPOS DE VENTILACIÓN Y AIRE ACONDICIONADO</v>
      </c>
      <c r="L4578" s="5" t="str">
        <f ca="1">IFERROR(__xludf.DUMMYFUNCTION("GOOGLETRANSLATE(J4578,""EN"",""ES"")"),"Aparatos de aire acondicionado")</f>
        <v>Aparatos de aire acondicionado</v>
      </c>
      <c r="M4578" s="8" t="s">
        <v>76</v>
      </c>
      <c r="N4578" s="8"/>
    </row>
    <row r="4579" spans="1:14" ht="11.25" customHeight="1">
      <c r="A4579" s="5" t="s">
        <v>12888</v>
      </c>
      <c r="B4579" s="5" t="s">
        <v>13233</v>
      </c>
      <c r="C4579" s="5" t="s">
        <v>13258</v>
      </c>
      <c r="D4579" s="5" t="s">
        <v>12891</v>
      </c>
      <c r="E4579" s="5" t="s">
        <v>75</v>
      </c>
      <c r="F4579" s="5" t="s">
        <v>12892</v>
      </c>
      <c r="G4579" s="5" t="s">
        <v>152</v>
      </c>
      <c r="H4579" s="5" t="s">
        <v>13235</v>
      </c>
      <c r="I4579" s="5" t="s">
        <v>13259</v>
      </c>
      <c r="J4579" s="5" t="s">
        <v>13260</v>
      </c>
      <c r="K4579" s="7" t="str">
        <f ca="1">IFERROR(__xludf.DUMMYFUNCTION("GOOGLETRANSLATE(H4579,""EN"",""ES"")"),"EQUIPOS DE VENTILACIÓN Y AIRE ACONDICIONADO")</f>
        <v>EQUIPOS DE VENTILACIÓN Y AIRE ACONDICIONADO</v>
      </c>
      <c r="L4579" s="5" t="str">
        <f ca="1">IFERROR(__xludf.DUMMYFUNCTION("GOOGLETRANSLATE(J4579,""EN"",""ES"")"),"Humidificadores de aire")</f>
        <v>Humidificadores de aire</v>
      </c>
      <c r="M4579" s="8" t="s">
        <v>76</v>
      </c>
      <c r="N4579" s="8"/>
    </row>
    <row r="4580" spans="1:14" ht="11.25" customHeight="1">
      <c r="A4580" s="5" t="s">
        <v>12888</v>
      </c>
      <c r="B4580" s="5" t="s">
        <v>13233</v>
      </c>
      <c r="C4580" s="5" t="s">
        <v>13261</v>
      </c>
      <c r="D4580" s="5" t="s">
        <v>12891</v>
      </c>
      <c r="E4580" s="5" t="s">
        <v>75</v>
      </c>
      <c r="F4580" s="5" t="s">
        <v>12892</v>
      </c>
      <c r="G4580" s="5" t="s">
        <v>152</v>
      </c>
      <c r="H4580" s="5" t="s">
        <v>13235</v>
      </c>
      <c r="I4580" s="5" t="s">
        <v>13262</v>
      </c>
      <c r="J4580" s="5" t="s">
        <v>13263</v>
      </c>
      <c r="K4580" s="7" t="str">
        <f ca="1">IFERROR(__xludf.DUMMYFUNCTION("GOOGLETRANSLATE(H4580,""EN"",""ES"")"),"EQUIPOS DE VENTILACIÓN Y AIRE ACONDICIONADO")</f>
        <v>EQUIPOS DE VENTILACIÓN Y AIRE ACONDICIONADO</v>
      </c>
      <c r="L4580" s="5" t="str">
        <f ca="1">IFERROR(__xludf.DUMMYFUNCTION("GOOGLETRANSLATE(J4580,""EN"",""ES"")"),"Aparato de esterilización de aire.")</f>
        <v>Aparato de esterilización de aire.</v>
      </c>
      <c r="M4580" s="8" t="s">
        <v>76</v>
      </c>
      <c r="N4580" s="8"/>
    </row>
    <row r="4581" spans="1:14" ht="11.25" customHeight="1">
      <c r="A4581" s="5" t="s">
        <v>12888</v>
      </c>
      <c r="B4581" s="5" t="s">
        <v>13233</v>
      </c>
      <c r="C4581" s="5" t="s">
        <v>13261</v>
      </c>
      <c r="D4581" s="5" t="s">
        <v>12891</v>
      </c>
      <c r="E4581" s="5" t="s">
        <v>75</v>
      </c>
      <c r="F4581" s="5" t="s">
        <v>12892</v>
      </c>
      <c r="G4581" s="5" t="s">
        <v>152</v>
      </c>
      <c r="H4581" s="5" t="s">
        <v>13235</v>
      </c>
      <c r="I4581" s="5" t="s">
        <v>13264</v>
      </c>
      <c r="J4581" s="5" t="s">
        <v>152</v>
      </c>
      <c r="K4581" s="7" t="str">
        <f ca="1">IFERROR(__xludf.DUMMYFUNCTION("GOOGLETRANSLATE(H4581,""EN"",""ES"")"),"EQUIPOS DE VENTILACIÓN Y AIRE ACONDICIONADO")</f>
        <v>EQUIPOS DE VENTILACIÓN Y AIRE ACONDICIONADO</v>
      </c>
      <c r="L4581" s="5" t="str">
        <f ca="1">IFERROR(__xludf.DUMMYFUNCTION("GOOGLETRANSLATE(J4581,""EN"",""ES"")"),"Aparato para esterilización del aire.")</f>
        <v>Aparato para esterilización del aire.</v>
      </c>
      <c r="M4581" s="8" t="s">
        <v>76</v>
      </c>
      <c r="N4581" s="8"/>
    </row>
    <row r="4582" spans="1:14" ht="11.25" customHeight="1">
      <c r="A4582" s="5" t="s">
        <v>12888</v>
      </c>
      <c r="B4582" s="5" t="s">
        <v>13233</v>
      </c>
      <c r="C4582" s="5" t="s">
        <v>13265</v>
      </c>
      <c r="D4582" s="5" t="s">
        <v>12891</v>
      </c>
      <c r="E4582" s="5" t="s">
        <v>75</v>
      </c>
      <c r="F4582" s="5" t="s">
        <v>12892</v>
      </c>
      <c r="G4582" s="5" t="s">
        <v>152</v>
      </c>
      <c r="H4582" s="5" t="s">
        <v>13235</v>
      </c>
      <c r="I4582" s="5" t="s">
        <v>13266</v>
      </c>
      <c r="J4582" s="5" t="s">
        <v>13267</v>
      </c>
      <c r="K4582" s="7" t="str">
        <f ca="1">IFERROR(__xludf.DUMMYFUNCTION("GOOGLETRANSLATE(H4582,""EN"",""ES"")"),"EQUIPOS DE VENTILACIÓN Y AIRE ACONDICIONADO")</f>
        <v>EQUIPOS DE VENTILACIÓN Y AIRE ACONDICIONADO</v>
      </c>
      <c r="L4582" s="5" t="str">
        <f ca="1">IFERROR(__xludf.DUMMYFUNCTION("GOOGLETRANSLATE(J4582,""EN"",""ES"")"),"Salidas de aire")</f>
        <v>Salidas de aire</v>
      </c>
      <c r="M4582" s="8" t="s">
        <v>76</v>
      </c>
      <c r="N4582" s="8"/>
    </row>
    <row r="4583" spans="1:14" ht="11.25" customHeight="1">
      <c r="A4583" s="5" t="s">
        <v>12888</v>
      </c>
      <c r="B4583" s="5" t="s">
        <v>13233</v>
      </c>
      <c r="C4583" s="5" t="s">
        <v>13268</v>
      </c>
      <c r="D4583" s="5" t="s">
        <v>12891</v>
      </c>
      <c r="E4583" s="5" t="s">
        <v>75</v>
      </c>
      <c r="F4583" s="5" t="s">
        <v>12892</v>
      </c>
      <c r="G4583" s="5" t="s">
        <v>152</v>
      </c>
      <c r="H4583" s="5" t="s">
        <v>13235</v>
      </c>
      <c r="I4583" s="5" t="s">
        <v>13269</v>
      </c>
      <c r="J4583" s="5" t="s">
        <v>13270</v>
      </c>
      <c r="K4583" s="7" t="str">
        <f ca="1">IFERROR(__xludf.DUMMYFUNCTION("GOOGLETRANSLATE(H4583,""EN"",""ES"")"),"EQUIPOS DE VENTILACIÓN Y AIRE ACONDICIONADO")</f>
        <v>EQUIPOS DE VENTILACIÓN Y AIRE ACONDICIONADO</v>
      </c>
      <c r="L4583" s="5" t="str">
        <f ca="1">IFERROR(__xludf.DUMMYFUNCTION("GOOGLETRANSLATE(J4583,""EN"",""ES"")"),"Rejillas de ventilación")</f>
        <v>Rejillas de ventilación</v>
      </c>
      <c r="M4583" s="8" t="s">
        <v>76</v>
      </c>
      <c r="N4583" s="8"/>
    </row>
    <row r="4584" spans="1:14" ht="11.25" customHeight="1">
      <c r="A4584" s="5" t="s">
        <v>12888</v>
      </c>
      <c r="B4584" s="5" t="s">
        <v>13233</v>
      </c>
      <c r="C4584" s="5" t="s">
        <v>13271</v>
      </c>
      <c r="D4584" s="5" t="s">
        <v>12891</v>
      </c>
      <c r="E4584" s="5" t="s">
        <v>75</v>
      </c>
      <c r="F4584" s="5" t="s">
        <v>12892</v>
      </c>
      <c r="G4584" s="5" t="s">
        <v>152</v>
      </c>
      <c r="H4584" s="5" t="s">
        <v>13235</v>
      </c>
      <c r="I4584" s="5" t="s">
        <v>13272</v>
      </c>
      <c r="J4584" s="5" t="s">
        <v>13273</v>
      </c>
      <c r="K4584" s="7" t="str">
        <f ca="1">IFERROR(__xludf.DUMMYFUNCTION("GOOGLETRANSLATE(H4584,""EN"",""ES"")"),"EQUIPOS DE VENTILACIÓN Y AIRE ACONDICIONADO")</f>
        <v>EQUIPOS DE VENTILACIÓN Y AIRE ACONDICIONADO</v>
      </c>
      <c r="L4584" s="5" t="str">
        <f ca="1">IFERROR(__xludf.DUMMYFUNCTION("GOOGLETRANSLATE(J4584,""EN"",""ES"")"),"Conductos de ventilación")</f>
        <v>Conductos de ventilación</v>
      </c>
      <c r="M4584" s="8" t="s">
        <v>76</v>
      </c>
      <c r="N4584" s="8"/>
    </row>
    <row r="4585" spans="1:14" ht="11.25" customHeight="1">
      <c r="A4585" s="5" t="s">
        <v>12888</v>
      </c>
      <c r="B4585" s="5" t="s">
        <v>13233</v>
      </c>
      <c r="C4585" s="5" t="s">
        <v>13274</v>
      </c>
      <c r="D4585" s="5" t="s">
        <v>12891</v>
      </c>
      <c r="E4585" s="5" t="s">
        <v>75</v>
      </c>
      <c r="F4585" s="5" t="s">
        <v>12892</v>
      </c>
      <c r="G4585" s="5" t="s">
        <v>152</v>
      </c>
      <c r="H4585" s="5" t="s">
        <v>13235</v>
      </c>
      <c r="I4585" s="5" t="s">
        <v>13275</v>
      </c>
      <c r="J4585" s="5" t="s">
        <v>13276</v>
      </c>
      <c r="K4585" s="7" t="str">
        <f ca="1">IFERROR(__xludf.DUMMYFUNCTION("GOOGLETRANSLATE(H4585,""EN"",""ES"")"),"EQUIPOS DE VENTILACIÓN Y AIRE ACONDICIONADO")</f>
        <v>EQUIPOS DE VENTILACIÓN Y AIRE ACONDICIONADO</v>
      </c>
      <c r="L4585" s="5" t="str">
        <f ca="1">IFERROR(__xludf.DUMMYFUNCTION("GOOGLETRANSLATE(J4585,""EN"",""ES"")"),"Aspas del ventilador")</f>
        <v>Aspas del ventilador</v>
      </c>
      <c r="M4585" s="8" t="s">
        <v>76</v>
      </c>
      <c r="N4585" s="8"/>
    </row>
    <row r="4586" spans="1:14" ht="11.25" customHeight="1">
      <c r="A4586" s="5" t="s">
        <v>12888</v>
      </c>
      <c r="B4586" s="5" t="s">
        <v>13233</v>
      </c>
      <c r="C4586" s="5" t="s">
        <v>13277</v>
      </c>
      <c r="D4586" s="5" t="s">
        <v>12891</v>
      </c>
      <c r="E4586" s="5" t="s">
        <v>75</v>
      </c>
      <c r="F4586" s="5" t="s">
        <v>12892</v>
      </c>
      <c r="G4586" s="5" t="s">
        <v>152</v>
      </c>
      <c r="H4586" s="5" t="s">
        <v>13235</v>
      </c>
      <c r="I4586" s="5" t="s">
        <v>13278</v>
      </c>
      <c r="J4586" s="5" t="s">
        <v>13279</v>
      </c>
      <c r="K4586" s="7" t="str">
        <f ca="1">IFERROR(__xludf.DUMMYFUNCTION("GOOGLETRANSLATE(H4586,""EN"",""ES"")"),"EQUIPOS DE VENTILACIÓN Y AIRE ACONDICIONADO")</f>
        <v>EQUIPOS DE VENTILACIÓN Y AIRE ACONDICIONADO</v>
      </c>
      <c r="L4586" s="5" t="str">
        <f ca="1">IFERROR(__xludf.DUMMYFUNCTION("GOOGLETRANSLATE(J4586,""EN"",""ES"")"),"Aires acondicionados")</f>
        <v>Aires acondicionados</v>
      </c>
      <c r="M4586" s="8" t="s">
        <v>76</v>
      </c>
      <c r="N4586" s="8"/>
    </row>
    <row r="4587" spans="1:14" ht="11.25" customHeight="1">
      <c r="A4587" s="5" t="s">
        <v>12888</v>
      </c>
      <c r="B4587" s="5" t="s">
        <v>13233</v>
      </c>
      <c r="C4587" s="5" t="s">
        <v>13280</v>
      </c>
      <c r="D4587" s="5" t="s">
        <v>12891</v>
      </c>
      <c r="E4587" s="5" t="s">
        <v>75</v>
      </c>
      <c r="F4587" s="5" t="s">
        <v>12892</v>
      </c>
      <c r="G4587" s="5" t="s">
        <v>152</v>
      </c>
      <c r="H4587" s="5" t="s">
        <v>13235</v>
      </c>
      <c r="I4587" s="5" t="s">
        <v>13281</v>
      </c>
      <c r="J4587" s="5" t="s">
        <v>13282</v>
      </c>
      <c r="K4587" s="7" t="str">
        <f ca="1">IFERROR(__xludf.DUMMYFUNCTION("GOOGLETRANSLATE(H4587,""EN"",""ES"")"),"EQUIPOS DE VENTILACIÓN Y AIRE ACONDICIONADO")</f>
        <v>EQUIPOS DE VENTILACIÓN Y AIRE ACONDICIONADO</v>
      </c>
      <c r="L4587" s="5" t="str">
        <f ca="1">IFERROR(__xludf.DUMMYFUNCTION("GOOGLETRANSLATE(J4587,""EN"",""ES"")"),"Deshumidificadores de aire")</f>
        <v>Deshumidificadores de aire</v>
      </c>
      <c r="M4587" s="8" t="s">
        <v>76</v>
      </c>
      <c r="N4587" s="8"/>
    </row>
    <row r="4588" spans="1:14" ht="11.25" customHeight="1">
      <c r="A4588" s="5" t="s">
        <v>12888</v>
      </c>
      <c r="B4588" s="5" t="s">
        <v>13283</v>
      </c>
      <c r="C4588" s="5" t="s">
        <v>13284</v>
      </c>
      <c r="D4588" s="5" t="s">
        <v>12891</v>
      </c>
      <c r="E4588" s="5" t="s">
        <v>75</v>
      </c>
      <c r="F4588" s="5" t="s">
        <v>12892</v>
      </c>
      <c r="G4588" s="5" t="s">
        <v>152</v>
      </c>
      <c r="H4588" s="5" t="s">
        <v>13285</v>
      </c>
      <c r="I4588" s="5" t="s">
        <v>13286</v>
      </c>
      <c r="J4588" s="5" t="s">
        <v>13287</v>
      </c>
      <c r="K4588" s="7" t="str">
        <f ca="1">IFERROR(__xludf.DUMMYFUNCTION("GOOGLETRANSLATE(H4588,""EN"",""ES"")"),"COMBUSTIBLE SÓLIDO")</f>
        <v>COMBUSTIBLE SÓLIDO</v>
      </c>
      <c r="L4588" s="5" t="str">
        <f ca="1">IFERROR(__xludf.DUMMYFUNCTION("GOOGLETRANSLATE(J4588,""EN"",""ES"")"),"briquetas de carbón")</f>
        <v>briquetas de carbón</v>
      </c>
      <c r="M4588" s="8" t="s">
        <v>76</v>
      </c>
      <c r="N4588" s="8"/>
    </row>
    <row r="4589" spans="1:14" ht="11.25" customHeight="1">
      <c r="A4589" s="5" t="s">
        <v>12888</v>
      </c>
      <c r="B4589" s="5" t="s">
        <v>13283</v>
      </c>
      <c r="C4589" s="5" t="s">
        <v>13288</v>
      </c>
      <c r="D4589" s="5" t="s">
        <v>12891</v>
      </c>
      <c r="E4589" s="5" t="s">
        <v>75</v>
      </c>
      <c r="F4589" s="5" t="s">
        <v>12892</v>
      </c>
      <c r="G4589" s="5" t="s">
        <v>152</v>
      </c>
      <c r="H4589" s="5" t="s">
        <v>13285</v>
      </c>
      <c r="I4589" s="5" t="s">
        <v>13289</v>
      </c>
      <c r="J4589" s="5" t="s">
        <v>13290</v>
      </c>
      <c r="K4589" s="7" t="str">
        <f ca="1">IFERROR(__xludf.DUMMYFUNCTION("GOOGLETRANSLATE(H4589,""EN"",""ES"")"),"COMBUSTIBLE SÓLIDO")</f>
        <v>COMBUSTIBLE SÓLIDO</v>
      </c>
      <c r="L4589" s="5" t="str">
        <f ca="1">IFERROR(__xludf.DUMMYFUNCTION("GOOGLETRANSLATE(J4589,""EN"",""ES"")"),"iniciadores de fuego")</f>
        <v>iniciadores de fuego</v>
      </c>
      <c r="M4589" s="8" t="s">
        <v>76</v>
      </c>
      <c r="N4589" s="8"/>
    </row>
    <row r="4590" spans="1:14" ht="11.25" customHeight="1">
      <c r="A4590" s="5" t="s">
        <v>12888</v>
      </c>
      <c r="B4590" s="5" t="s">
        <v>13283</v>
      </c>
      <c r="C4590" s="5" t="s">
        <v>13291</v>
      </c>
      <c r="D4590" s="5" t="s">
        <v>12891</v>
      </c>
      <c r="E4590" s="5" t="s">
        <v>75</v>
      </c>
      <c r="F4590" s="5" t="s">
        <v>12892</v>
      </c>
      <c r="G4590" s="5" t="s">
        <v>152</v>
      </c>
      <c r="H4590" s="5" t="s">
        <v>13285</v>
      </c>
      <c r="I4590" s="5" t="s">
        <v>13292</v>
      </c>
      <c r="J4590" s="5" t="s">
        <v>13293</v>
      </c>
      <c r="K4590" s="7" t="str">
        <f ca="1">IFERROR(__xludf.DUMMYFUNCTION("GOOGLETRANSLATE(H4590,""EN"",""ES"")"),"COMBUSTIBLE SÓLIDO")</f>
        <v>COMBUSTIBLE SÓLIDO</v>
      </c>
      <c r="L4590" s="5" t="str">
        <f ca="1">IFERROR(__xludf.DUMMYFUNCTION("GOOGLETRANSLATE(J4590,""EN"",""ES"")"),"Nueces [combustible]")</f>
        <v>Nueces [combustible]</v>
      </c>
      <c r="M4590" s="8" t="s">
        <v>76</v>
      </c>
      <c r="N4590" s="8"/>
    </row>
    <row r="4591" spans="1:14" ht="11.25" customHeight="1">
      <c r="A4591" s="5" t="s">
        <v>12888</v>
      </c>
      <c r="B4591" s="5" t="s">
        <v>13283</v>
      </c>
      <c r="C4591" s="5" t="s">
        <v>13294</v>
      </c>
      <c r="D4591" s="5" t="s">
        <v>12891</v>
      </c>
      <c r="E4591" s="5" t="s">
        <v>75</v>
      </c>
      <c r="F4591" s="5" t="s">
        <v>12892</v>
      </c>
      <c r="G4591" s="5" t="s">
        <v>152</v>
      </c>
      <c r="H4591" s="5" t="s">
        <v>13285</v>
      </c>
      <c r="I4591" s="5" t="s">
        <v>13295</v>
      </c>
      <c r="J4591" s="5" t="s">
        <v>13296</v>
      </c>
      <c r="K4591" s="7" t="str">
        <f ca="1">IFERROR(__xludf.DUMMYFUNCTION("GOOGLETRANSLATE(H4591,""EN"",""ES"")"),"COMBUSTIBLE SÓLIDO")</f>
        <v>COMBUSTIBLE SÓLIDO</v>
      </c>
      <c r="L4591" s="5" t="str">
        <f ca="1">IFERROR(__xludf.DUMMYFUNCTION("GOOGLETRANSLATE(J4591,""EN"",""ES"")"),"Briquetas [combustible]")</f>
        <v>Briquetas [combustible]</v>
      </c>
      <c r="M4591" s="8" t="s">
        <v>76</v>
      </c>
      <c r="N4591" s="8"/>
    </row>
    <row r="4592" spans="1:14" ht="11.25" customHeight="1">
      <c r="A4592" s="5" t="s">
        <v>12888</v>
      </c>
      <c r="B4592" s="5" t="s">
        <v>13283</v>
      </c>
      <c r="C4592" s="5" t="s">
        <v>13297</v>
      </c>
      <c r="D4592" s="5" t="s">
        <v>12891</v>
      </c>
      <c r="E4592" s="5" t="s">
        <v>75</v>
      </c>
      <c r="F4592" s="5" t="s">
        <v>12892</v>
      </c>
      <c r="G4592" s="5" t="s">
        <v>152</v>
      </c>
      <c r="H4592" s="5" t="s">
        <v>13285</v>
      </c>
      <c r="I4592" s="5" t="s">
        <v>13298</v>
      </c>
      <c r="J4592" s="5" t="s">
        <v>13299</v>
      </c>
      <c r="K4592" s="7" t="str">
        <f ca="1">IFERROR(__xludf.DUMMYFUNCTION("GOOGLETRANSLATE(H4592,""EN"",""ES"")"),"COMBUSTIBLE SÓLIDO")</f>
        <v>COMBUSTIBLE SÓLIDO</v>
      </c>
      <c r="L4592" s="5" t="str">
        <f ca="1">IFERROR(__xludf.DUMMYFUNCTION("GOOGLETRANSLATE(J4592,""EN"",""ES"")"),"Carbón")</f>
        <v>Carbón</v>
      </c>
      <c r="M4592" s="8" t="s">
        <v>76</v>
      </c>
      <c r="N4592" s="8"/>
    </row>
    <row r="4593" spans="1:14" ht="11.25" customHeight="1">
      <c r="A4593" s="5" t="s">
        <v>12888</v>
      </c>
      <c r="B4593" s="5" t="s">
        <v>13283</v>
      </c>
      <c r="C4593" s="5" t="s">
        <v>13300</v>
      </c>
      <c r="D4593" s="5" t="s">
        <v>12891</v>
      </c>
      <c r="E4593" s="5" t="s">
        <v>75</v>
      </c>
      <c r="F4593" s="5" t="s">
        <v>12892</v>
      </c>
      <c r="G4593" s="5" t="s">
        <v>152</v>
      </c>
      <c r="H4593" s="5" t="s">
        <v>13285</v>
      </c>
      <c r="I4593" s="5" t="s">
        <v>13301</v>
      </c>
      <c r="J4593" s="5" t="s">
        <v>13302</v>
      </c>
      <c r="K4593" s="7" t="str">
        <f ca="1">IFERROR(__xludf.DUMMYFUNCTION("GOOGLETRANSLATE(H4593,""EN"",""ES"")"),"COMBUSTIBLE SÓLIDO")</f>
        <v>COMBUSTIBLE SÓLIDO</v>
      </c>
      <c r="L4593" s="5" t="str">
        <f ca="1">IFERROR(__xludf.DUMMYFUNCTION("GOOGLETRANSLATE(J4593,""EN"",""ES"")"),"Carbón")</f>
        <v>Carbón</v>
      </c>
      <c r="M4593" s="8" t="s">
        <v>76</v>
      </c>
      <c r="N4593" s="8"/>
    </row>
    <row r="4594" spans="1:14" ht="11.25" customHeight="1">
      <c r="A4594" s="5" t="s">
        <v>12888</v>
      </c>
      <c r="B4594" s="5" t="s">
        <v>13283</v>
      </c>
      <c r="C4594" s="5" t="s">
        <v>13303</v>
      </c>
      <c r="D4594" s="5" t="s">
        <v>12891</v>
      </c>
      <c r="E4594" s="5" t="s">
        <v>75</v>
      </c>
      <c r="F4594" s="5" t="s">
        <v>12892</v>
      </c>
      <c r="G4594" s="5" t="s">
        <v>152</v>
      </c>
      <c r="H4594" s="5" t="s">
        <v>13285</v>
      </c>
      <c r="I4594" s="5" t="s">
        <v>13304</v>
      </c>
      <c r="J4594" s="5" t="s">
        <v>13305</v>
      </c>
      <c r="K4594" s="7" t="str">
        <f ca="1">IFERROR(__xludf.DUMMYFUNCTION("GOOGLETRANSLATE(H4594,""EN"",""ES"")"),"COMBUSTIBLE SÓLIDO")</f>
        <v>COMBUSTIBLE SÓLIDO</v>
      </c>
      <c r="L4594" s="5" t="str">
        <f ca="1">IFERROR(__xludf.DUMMYFUNCTION("GOOGLETRANSLATE(J4594,""EN"",""ES"")"),"Combustibles sólidos")</f>
        <v>Combustibles sólidos</v>
      </c>
      <c r="M4594" s="8" t="s">
        <v>76</v>
      </c>
      <c r="N4594" s="8"/>
    </row>
    <row r="4595" spans="1:14" ht="11.25" customHeight="1">
      <c r="A4595" s="5" t="s">
        <v>12888</v>
      </c>
      <c r="B4595" s="5" t="s">
        <v>13306</v>
      </c>
      <c r="C4595" s="5" t="s">
        <v>13307</v>
      </c>
      <c r="D4595" s="5" t="s">
        <v>12891</v>
      </c>
      <c r="E4595" s="5" t="s">
        <v>75</v>
      </c>
      <c r="F4595" s="5" t="s">
        <v>12892</v>
      </c>
      <c r="G4595" s="5" t="s">
        <v>152</v>
      </c>
      <c r="H4595" s="5" t="s">
        <v>13308</v>
      </c>
      <c r="I4595" s="5" t="s">
        <v>13309</v>
      </c>
      <c r="J4595" s="5" t="s">
        <v>13310</v>
      </c>
      <c r="K4595" s="7" t="str">
        <f ca="1">IFERROR(__xludf.DUMMYFUNCTION("GOOGLETRANSLATE(H4595,""EN"",""ES"")"),"Aparatos sanitarios para FINES HIGIÉNICOS")</f>
        <v>Aparatos sanitarios para FINES HIGIÉNICOS</v>
      </c>
      <c r="L4595" s="5" t="str">
        <f ca="1">IFERROR(__xludf.DUMMYFUNCTION("GOOGLETRANSLATE(J4595,""EN"",""ES"")"),"Baños para bebes")</f>
        <v>Baños para bebes</v>
      </c>
      <c r="M4595" s="8" t="s">
        <v>74</v>
      </c>
      <c r="N4595" s="8"/>
    </row>
    <row r="4596" spans="1:14" ht="11.25" customHeight="1">
      <c r="A4596" s="5" t="s">
        <v>12888</v>
      </c>
      <c r="B4596" s="5" t="s">
        <v>13306</v>
      </c>
      <c r="C4596" s="5" t="s">
        <v>13311</v>
      </c>
      <c r="D4596" s="5" t="s">
        <v>12891</v>
      </c>
      <c r="E4596" s="5" t="s">
        <v>75</v>
      </c>
      <c r="F4596" s="5" t="s">
        <v>12892</v>
      </c>
      <c r="G4596" s="5" t="s">
        <v>152</v>
      </c>
      <c r="H4596" s="5" t="s">
        <v>13308</v>
      </c>
      <c r="I4596" s="5" t="s">
        <v>13312</v>
      </c>
      <c r="J4596" s="5" t="s">
        <v>13313</v>
      </c>
      <c r="K4596" s="7" t="str">
        <f ca="1">IFERROR(__xludf.DUMMYFUNCTION("GOOGLETRANSLATE(H4596,""EN"",""ES"")"),"Aparatos sanitarios para FINES HIGIÉNICOS")</f>
        <v>Aparatos sanitarios para FINES HIGIÉNICOS</v>
      </c>
      <c r="L4596" s="5" t="str">
        <f ca="1">IFERROR(__xludf.DUMMYFUNCTION("GOOGLETRANSLATE(J4596,""EN"",""ES"")"),"Bañeras")</f>
        <v>Bañeras</v>
      </c>
      <c r="M4596" s="8" t="s">
        <v>74</v>
      </c>
      <c r="N4596" s="8"/>
    </row>
    <row r="4597" spans="1:14" ht="11.25" customHeight="1">
      <c r="A4597" s="5" t="s">
        <v>12888</v>
      </c>
      <c r="B4597" s="5" t="s">
        <v>13306</v>
      </c>
      <c r="C4597" s="5" t="s">
        <v>13314</v>
      </c>
      <c r="D4597" s="5" t="s">
        <v>12891</v>
      </c>
      <c r="E4597" s="5" t="s">
        <v>75</v>
      </c>
      <c r="F4597" s="5" t="s">
        <v>12892</v>
      </c>
      <c r="G4597" s="5" t="s">
        <v>152</v>
      </c>
      <c r="H4597" s="5" t="s">
        <v>13308</v>
      </c>
      <c r="I4597" s="5" t="s">
        <v>13315</v>
      </c>
      <c r="J4597" s="5" t="s">
        <v>13316</v>
      </c>
      <c r="K4597" s="7" t="str">
        <f ca="1">IFERROR(__xludf.DUMMYFUNCTION("GOOGLETRANSLATE(H4597,""EN"",""ES"")"),"Aparatos sanitarios para FINES HIGIÉNICOS")</f>
        <v>Aparatos sanitarios para FINES HIGIÉNICOS</v>
      </c>
      <c r="L4597" s="5" t="str">
        <f ca="1">IFERROR(__xludf.DUMMYFUNCTION("GOOGLETRANSLATE(J4597,""EN"",""ES"")"),"Bañeras para baños de asiento")</f>
        <v>Bañeras para baños de asiento</v>
      </c>
      <c r="M4597" s="8" t="s">
        <v>74</v>
      </c>
      <c r="N4597" s="8"/>
    </row>
    <row r="4598" spans="1:14" ht="11.25" customHeight="1">
      <c r="A4598" s="5" t="s">
        <v>12888</v>
      </c>
      <c r="B4598" s="5" t="s">
        <v>13306</v>
      </c>
      <c r="C4598" s="5" t="s">
        <v>13317</v>
      </c>
      <c r="D4598" s="5" t="s">
        <v>12891</v>
      </c>
      <c r="E4598" s="5" t="s">
        <v>75</v>
      </c>
      <c r="F4598" s="5" t="s">
        <v>12892</v>
      </c>
      <c r="G4598" s="5" t="s">
        <v>152</v>
      </c>
      <c r="H4598" s="5" t="s">
        <v>13308</v>
      </c>
      <c r="I4598" s="5" t="s">
        <v>13318</v>
      </c>
      <c r="J4598" s="5" t="s">
        <v>13319</v>
      </c>
      <c r="K4598" s="7" t="str">
        <f ca="1">IFERROR(__xludf.DUMMYFUNCTION("GOOGLETRANSLATE(H4598,""EN"",""ES"")"),"Aparatos sanitarios para FINES HIGIÉNICOS")</f>
        <v>Aparatos sanitarios para FINES HIGIÉNICOS</v>
      </c>
      <c r="L4598" s="5" t="str">
        <f ca="1">IFERROR(__xludf.DUMMYFUNCTION("GOOGLETRANSLATE(J4598,""EN"",""ES"")"),"Aparatos para baños de aire caliente.")</f>
        <v>Aparatos para baños de aire caliente.</v>
      </c>
      <c r="M4598" s="8" t="s">
        <v>74</v>
      </c>
      <c r="N4598" s="8"/>
    </row>
    <row r="4599" spans="1:14" ht="11.25" customHeight="1">
      <c r="A4599" s="5" t="s">
        <v>12888</v>
      </c>
      <c r="B4599" s="5" t="s">
        <v>13306</v>
      </c>
      <c r="C4599" s="5" t="s">
        <v>13320</v>
      </c>
      <c r="D4599" s="5" t="s">
        <v>12891</v>
      </c>
      <c r="E4599" s="5" t="s">
        <v>75</v>
      </c>
      <c r="F4599" s="5" t="s">
        <v>12892</v>
      </c>
      <c r="G4599" s="5" t="s">
        <v>152</v>
      </c>
      <c r="H4599" s="5" t="s">
        <v>13308</v>
      </c>
      <c r="I4599" s="5" t="s">
        <v>13321</v>
      </c>
      <c r="J4599" s="5" t="s">
        <v>13322</v>
      </c>
      <c r="K4599" s="7" t="str">
        <f ca="1">IFERROR(__xludf.DUMMYFUNCTION("GOOGLETRANSLATE(H4599,""EN"",""ES"")"),"Aparatos sanitarios para FINES HIGIÉNICOS")</f>
        <v>Aparatos sanitarios para FINES HIGIÉNICOS</v>
      </c>
      <c r="L4599" s="5" t="str">
        <f ca="1">IFERROR(__xludf.DUMMYFUNCTION("GOOGLETRANSLATE(J4599,""EN"",""ES"")"),"Tanques de aislamiento [para relajación]")</f>
        <v>Tanques de aislamiento [para relajación]</v>
      </c>
      <c r="M4599" s="8" t="s">
        <v>74</v>
      </c>
      <c r="N4599" s="8"/>
    </row>
    <row r="4600" spans="1:14" ht="11.25" customHeight="1">
      <c r="A4600" s="5" t="s">
        <v>12888</v>
      </c>
      <c r="B4600" s="5" t="s">
        <v>13306</v>
      </c>
      <c r="C4600" s="5" t="s">
        <v>13323</v>
      </c>
      <c r="D4600" s="5" t="s">
        <v>12891</v>
      </c>
      <c r="E4600" s="5" t="s">
        <v>75</v>
      </c>
      <c r="F4600" s="5" t="s">
        <v>12892</v>
      </c>
      <c r="G4600" s="5" t="s">
        <v>152</v>
      </c>
      <c r="H4600" s="5" t="s">
        <v>13308</v>
      </c>
      <c r="I4600" s="5" t="s">
        <v>13324</v>
      </c>
      <c r="J4600" s="5" t="s">
        <v>13324</v>
      </c>
      <c r="K4600" s="7" t="str">
        <f ca="1">IFERROR(__xludf.DUMMYFUNCTION("GOOGLETRANSLATE(H4600,""EN"",""ES"")"),"Aparatos sanitarios para FINES HIGIÉNICOS")</f>
        <v>Aparatos sanitarios para FINES HIGIÉNICOS</v>
      </c>
      <c r="L4600" s="5" t="str">
        <f ca="1">IFERROR(__xludf.DUMMYFUNCTION("GOOGLETRANSLATE(J4600,""EN"",""ES"")"),"saunas")</f>
        <v>saunas</v>
      </c>
      <c r="M4600" s="8" t="s">
        <v>74</v>
      </c>
      <c r="N4600" s="8"/>
    </row>
    <row r="4601" spans="1:14" ht="11.25" customHeight="1">
      <c r="A4601" s="5" t="s">
        <v>12888</v>
      </c>
      <c r="B4601" s="5" t="s">
        <v>13306</v>
      </c>
      <c r="C4601" s="5" t="s">
        <v>13325</v>
      </c>
      <c r="D4601" s="5" t="s">
        <v>12891</v>
      </c>
      <c r="E4601" s="5" t="s">
        <v>75</v>
      </c>
      <c r="F4601" s="5" t="s">
        <v>12892</v>
      </c>
      <c r="G4601" s="5" t="s">
        <v>152</v>
      </c>
      <c r="H4601" s="5" t="s">
        <v>13308</v>
      </c>
      <c r="I4601" s="5" t="s">
        <v>13326</v>
      </c>
      <c r="J4601" s="5" t="s">
        <v>13327</v>
      </c>
      <c r="K4601" s="7" t="str">
        <f ca="1">IFERROR(__xludf.DUMMYFUNCTION("GOOGLETRANSLATE(H4601,""EN"",""ES"")"),"Aparatos sanitarios para FINES HIGIÉNICOS")</f>
        <v>Aparatos sanitarios para FINES HIGIÉNICOS</v>
      </c>
      <c r="L4601" s="5" t="str">
        <f ca="1">IFERROR(__xludf.DUMMYFUNCTION("GOOGLETRANSLATE(J4601,""EN"",""ES"")"),"Cabinas de ducha")</f>
        <v>Cabinas de ducha</v>
      </c>
      <c r="M4601" s="8" t="s">
        <v>74</v>
      </c>
      <c r="N4601" s="8"/>
    </row>
    <row r="4602" spans="1:14" ht="11.25" customHeight="1">
      <c r="A4602" s="5" t="s">
        <v>12888</v>
      </c>
      <c r="B4602" s="5" t="s">
        <v>13306</v>
      </c>
      <c r="C4602" s="5" t="s">
        <v>13328</v>
      </c>
      <c r="D4602" s="5" t="s">
        <v>12891</v>
      </c>
      <c r="E4602" s="5" t="s">
        <v>75</v>
      </c>
      <c r="F4602" s="5" t="s">
        <v>12892</v>
      </c>
      <c r="G4602" s="5" t="s">
        <v>152</v>
      </c>
      <c r="H4602" s="5" t="s">
        <v>13308</v>
      </c>
      <c r="I4602" s="5" t="s">
        <v>13329</v>
      </c>
      <c r="J4602" s="5" t="s">
        <v>13330</v>
      </c>
      <c r="K4602" s="7" t="str">
        <f ca="1">IFERROR(__xludf.DUMMYFUNCTION("GOOGLETRANSLATE(H4602,""EN"",""ES"")"),"Aparatos sanitarios para FINES HIGIÉNICOS")</f>
        <v>Aparatos sanitarios para FINES HIGIÉNICOS</v>
      </c>
      <c r="L4602" s="5" t="str">
        <f ca="1">IFERROR(__xludf.DUMMYFUNCTION("GOOGLETRANSLATE(J4602,""EN"",""ES"")"),"Platos de ducha")</f>
        <v>Platos de ducha</v>
      </c>
      <c r="M4602" s="8" t="s">
        <v>74</v>
      </c>
      <c r="N4602" s="8"/>
    </row>
    <row r="4603" spans="1:14" ht="11.25" customHeight="1">
      <c r="A4603" s="5" t="s">
        <v>12888</v>
      </c>
      <c r="B4603" s="5" t="s">
        <v>13306</v>
      </c>
      <c r="C4603" s="5" t="s">
        <v>13331</v>
      </c>
      <c r="D4603" s="5" t="s">
        <v>12891</v>
      </c>
      <c r="E4603" s="5" t="s">
        <v>75</v>
      </c>
      <c r="F4603" s="5" t="s">
        <v>12892</v>
      </c>
      <c r="G4603" s="5" t="s">
        <v>152</v>
      </c>
      <c r="H4603" s="5" t="s">
        <v>13308</v>
      </c>
      <c r="I4603" s="5" t="s">
        <v>13332</v>
      </c>
      <c r="J4603" s="5" t="s">
        <v>13333</v>
      </c>
      <c r="K4603" s="7" t="str">
        <f ca="1">IFERROR(__xludf.DUMMYFUNCTION("GOOGLETRANSLATE(H4603,""EN"",""ES"")"),"Aparatos sanitarios para FINES HIGIÉNICOS")</f>
        <v>Aparatos sanitarios para FINES HIGIÉNICOS</v>
      </c>
      <c r="L4603" s="5" t="str">
        <f ca="1">IFERROR(__xludf.DUMMYFUNCTION("GOOGLETRANSLATE(J4603,""EN"",""ES"")"),"Duchas")</f>
        <v>Duchas</v>
      </c>
      <c r="M4603" s="8" t="s">
        <v>74</v>
      </c>
      <c r="N4603" s="8"/>
    </row>
    <row r="4604" spans="1:14" ht="11.25" customHeight="1">
      <c r="A4604" s="5" t="s">
        <v>12888</v>
      </c>
      <c r="B4604" s="5" t="s">
        <v>13306</v>
      </c>
      <c r="C4604" s="5" t="s">
        <v>13334</v>
      </c>
      <c r="D4604" s="5" t="s">
        <v>12891</v>
      </c>
      <c r="E4604" s="5" t="s">
        <v>75</v>
      </c>
      <c r="F4604" s="5" t="s">
        <v>12892</v>
      </c>
      <c r="G4604" s="5" t="s">
        <v>152</v>
      </c>
      <c r="H4604" s="5" t="s">
        <v>13308</v>
      </c>
      <c r="I4604" s="5" t="s">
        <v>13335</v>
      </c>
      <c r="J4604" s="5" t="s">
        <v>13336</v>
      </c>
      <c r="K4604" s="7" t="str">
        <f ca="1">IFERROR(__xludf.DUMMYFUNCTION("GOOGLETRANSLATE(H4604,""EN"",""ES"")"),"Aparatos sanitarios para FINES HIGIÉNICOS")</f>
        <v>Aparatos sanitarios para FINES HIGIÉNICOS</v>
      </c>
      <c r="L4604" s="5" t="str">
        <f ca="1">IFERROR(__xludf.DUMMYFUNCTION("GOOGLETRANSLATE(J4604,""EN"",""ES"")"),"Rociadores para duchas")</f>
        <v>Rociadores para duchas</v>
      </c>
      <c r="M4604" s="8" t="s">
        <v>74</v>
      </c>
      <c r="N4604" s="8"/>
    </row>
    <row r="4605" spans="1:14" ht="11.25" customHeight="1">
      <c r="A4605" s="5" t="s">
        <v>12888</v>
      </c>
      <c r="B4605" s="5" t="s">
        <v>13306</v>
      </c>
      <c r="C4605" s="5" t="s">
        <v>13337</v>
      </c>
      <c r="D4605" s="5" t="s">
        <v>12891</v>
      </c>
      <c r="E4605" s="5" t="s">
        <v>75</v>
      </c>
      <c r="F4605" s="5" t="s">
        <v>12892</v>
      </c>
      <c r="G4605" s="5" t="s">
        <v>152</v>
      </c>
      <c r="H4605" s="5" t="s">
        <v>13308</v>
      </c>
      <c r="I4605" s="5" t="s">
        <v>13338</v>
      </c>
      <c r="J4605" s="5" t="s">
        <v>13339</v>
      </c>
      <c r="K4605" s="7" t="str">
        <f ca="1">IFERROR(__xludf.DUMMYFUNCTION("GOOGLETRANSLATE(H4605,""EN"",""ES"")"),"Aparatos sanitarios para FINES HIGIÉNICOS")</f>
        <v>Aparatos sanitarios para FINES HIGIÉNICOS</v>
      </c>
      <c r="L4605" s="5" t="str">
        <f ca="1">IFERROR(__xludf.DUMMYFUNCTION("GOOGLETRANSLATE(J4605,""EN"",""ES"")"),"Equipos para baños de vapor.")</f>
        <v>Equipos para baños de vapor.</v>
      </c>
      <c r="M4605" s="8" t="s">
        <v>74</v>
      </c>
      <c r="N4605" s="8"/>
    </row>
    <row r="4606" spans="1:14" ht="11.25" customHeight="1">
      <c r="A4606" s="5" t="s">
        <v>12888</v>
      </c>
      <c r="B4606" s="5" t="s">
        <v>13306</v>
      </c>
      <c r="C4606" s="5" t="s">
        <v>13340</v>
      </c>
      <c r="D4606" s="5" t="s">
        <v>12891</v>
      </c>
      <c r="E4606" s="5" t="s">
        <v>75</v>
      </c>
      <c r="F4606" s="5" t="s">
        <v>12892</v>
      </c>
      <c r="G4606" s="5" t="s">
        <v>152</v>
      </c>
      <c r="H4606" s="5" t="s">
        <v>13308</v>
      </c>
      <c r="I4606" s="5" t="s">
        <v>13341</v>
      </c>
      <c r="J4606" s="5" t="s">
        <v>13342</v>
      </c>
      <c r="K4606" s="7" t="str">
        <f ca="1">IFERROR(__xludf.DUMMYFUNCTION("GOOGLETRANSLATE(H4606,""EN"",""ES"")"),"Aparatos sanitarios para FINES HIGIÉNICOS")</f>
        <v>Aparatos sanitarios para FINES HIGIÉNICOS</v>
      </c>
      <c r="L4606" s="5" t="str">
        <f ca="1">IFERROR(__xludf.DUMMYFUNCTION("GOOGLETRANSLATE(J4606,""EN"",""ES"")"),"Aparato de sudación, no médico.")</f>
        <v>Aparato de sudación, no médico.</v>
      </c>
      <c r="M4606" s="8" t="s">
        <v>74</v>
      </c>
      <c r="N4606" s="8"/>
    </row>
    <row r="4607" spans="1:14" ht="11.25" customHeight="1">
      <c r="A4607" s="5" t="s">
        <v>12888</v>
      </c>
      <c r="B4607" s="5" t="s">
        <v>13306</v>
      </c>
      <c r="C4607" s="5" t="s">
        <v>13343</v>
      </c>
      <c r="D4607" s="5" t="s">
        <v>12891</v>
      </c>
      <c r="E4607" s="5" t="s">
        <v>75</v>
      </c>
      <c r="F4607" s="5" t="s">
        <v>12892</v>
      </c>
      <c r="G4607" s="5" t="s">
        <v>152</v>
      </c>
      <c r="H4607" s="5" t="s">
        <v>13308</v>
      </c>
      <c r="I4607" s="5" t="s">
        <v>13344</v>
      </c>
      <c r="J4607" s="5" t="s">
        <v>13345</v>
      </c>
      <c r="K4607" s="7" t="str">
        <f ca="1">IFERROR(__xludf.DUMMYFUNCTION("GOOGLETRANSLATE(H4607,""EN"",""ES"")"),"Aparatos sanitarios para FINES HIGIÉNICOS")</f>
        <v>Aparatos sanitarios para FINES HIGIÉNICOS</v>
      </c>
      <c r="L4607" s="5" t="str">
        <f ca="1">IFERROR(__xludf.DUMMYFUNCTION("GOOGLETRANSLATE(J4607,""EN"",""ES"")"),"Muebles de baño turco, portátiles.")</f>
        <v>Muebles de baño turco, portátiles.</v>
      </c>
      <c r="M4607" s="8" t="s">
        <v>74</v>
      </c>
      <c r="N4607" s="8"/>
    </row>
    <row r="4608" spans="1:14" ht="11.25" customHeight="1">
      <c r="A4608" s="5" t="s">
        <v>12888</v>
      </c>
      <c r="B4608" s="5" t="s">
        <v>13306</v>
      </c>
      <c r="C4608" s="5" t="s">
        <v>13346</v>
      </c>
      <c r="D4608" s="5" t="s">
        <v>12891</v>
      </c>
      <c r="E4608" s="5" t="s">
        <v>75</v>
      </c>
      <c r="F4608" s="5" t="s">
        <v>12892</v>
      </c>
      <c r="G4608" s="5" t="s">
        <v>152</v>
      </c>
      <c r="H4608" s="5" t="s">
        <v>13308</v>
      </c>
      <c r="I4608" s="5" t="s">
        <v>13347</v>
      </c>
      <c r="J4608" s="5" t="s">
        <v>13347</v>
      </c>
      <c r="K4608" s="7" t="str">
        <f ca="1">IFERROR(__xludf.DUMMYFUNCTION("GOOGLETRANSLATE(H4608,""EN"",""ES"")"),"Aparatos sanitarios para FINES HIGIÉNICOS")</f>
        <v>Aparatos sanitarios para FINES HIGIÉNICOS</v>
      </c>
      <c r="L4608" s="5" t="str">
        <f ca="1">IFERROR(__xludf.DUMMYFUNCTION("GOOGLETRANSLATE(J4608,""EN"",""ES"")"),"Bidés")</f>
        <v>Bidés</v>
      </c>
      <c r="M4608" s="8" t="s">
        <v>74</v>
      </c>
      <c r="N4608" s="8"/>
    </row>
    <row r="4609" spans="1:14" ht="11.25" customHeight="1">
      <c r="A4609" s="5" t="s">
        <v>12888</v>
      </c>
      <c r="B4609" s="5" t="s">
        <v>13306</v>
      </c>
      <c r="C4609" s="5" t="s">
        <v>13348</v>
      </c>
      <c r="D4609" s="5" t="s">
        <v>12891</v>
      </c>
      <c r="E4609" s="5" t="s">
        <v>75</v>
      </c>
      <c r="F4609" s="5" t="s">
        <v>12892</v>
      </c>
      <c r="G4609" s="5" t="s">
        <v>152</v>
      </c>
      <c r="H4609" s="5" t="s">
        <v>13308</v>
      </c>
      <c r="I4609" s="5" t="s">
        <v>13349</v>
      </c>
      <c r="J4609" s="5" t="s">
        <v>13350</v>
      </c>
      <c r="K4609" s="7" t="str">
        <f ca="1">IFERROR(__xludf.DUMMYFUNCTION("GOOGLETRANSLATE(H4609,""EN"",""ES"")"),"Aparatos sanitarios para FINES HIGIÉNICOS")</f>
        <v>Aparatos sanitarios para FINES HIGIÉNICOS</v>
      </c>
      <c r="L4609" s="5" t="str">
        <f ca="1">IFERROR(__xludf.DUMMYFUNCTION("GOOGLETRANSLATE(J4609,""EN"",""ES"")"),"lavabos")</f>
        <v>lavabos</v>
      </c>
      <c r="M4609" s="8" t="s">
        <v>74</v>
      </c>
      <c r="N4609" s="8"/>
    </row>
    <row r="4610" spans="1:14" ht="11.25" customHeight="1">
      <c r="A4610" s="5" t="s">
        <v>12888</v>
      </c>
      <c r="B4610" s="5" t="s">
        <v>13306</v>
      </c>
      <c r="C4610" s="5" t="s">
        <v>13351</v>
      </c>
      <c r="D4610" s="5" t="s">
        <v>12891</v>
      </c>
      <c r="E4610" s="5" t="s">
        <v>75</v>
      </c>
      <c r="F4610" s="5" t="s">
        <v>12892</v>
      </c>
      <c r="G4610" s="5" t="s">
        <v>152</v>
      </c>
      <c r="H4610" s="5" t="s">
        <v>13308</v>
      </c>
      <c r="I4610" s="5" t="s">
        <v>13352</v>
      </c>
      <c r="J4610" s="5" t="s">
        <v>13349</v>
      </c>
      <c r="K4610" s="7" t="str">
        <f ca="1">IFERROR(__xludf.DUMMYFUNCTION("GOOGLETRANSLATE(H4610,""EN"",""ES"")"),"Aparatos sanitarios para FINES HIGIÉNICOS")</f>
        <v>Aparatos sanitarios para FINES HIGIÉNICOS</v>
      </c>
      <c r="L4610" s="5" t="str">
        <f ca="1">IFERROR(__xludf.DUMMYFUNCTION("GOOGLETRANSLATE(J4610,""EN"",""ES"")"),"Lavabos")</f>
        <v>Lavabos</v>
      </c>
      <c r="M4610" s="8" t="s">
        <v>74</v>
      </c>
      <c r="N4610" s="8"/>
    </row>
    <row r="4611" spans="1:14" ht="11.25" customHeight="1">
      <c r="A4611" s="5" t="s">
        <v>12888</v>
      </c>
      <c r="B4611" s="5" t="s">
        <v>13306</v>
      </c>
      <c r="C4611" s="5" t="s">
        <v>13351</v>
      </c>
      <c r="D4611" s="5" t="s">
        <v>12891</v>
      </c>
      <c r="E4611" s="5" t="s">
        <v>75</v>
      </c>
      <c r="F4611" s="5" t="s">
        <v>12892</v>
      </c>
      <c r="G4611" s="5" t="s">
        <v>152</v>
      </c>
      <c r="H4611" s="5" t="s">
        <v>13308</v>
      </c>
      <c r="I4611" s="5" t="s">
        <v>13353</v>
      </c>
      <c r="J4611" s="5" t="s">
        <v>152</v>
      </c>
      <c r="K4611" s="7" t="str">
        <f ca="1">IFERROR(__xludf.DUMMYFUNCTION("GOOGLETRANSLATE(H4611,""EN"",""ES"")"),"Aparatos sanitarios para FINES HIGIÉNICOS")</f>
        <v>Aparatos sanitarios para FINES HIGIÉNICOS</v>
      </c>
      <c r="L4611" s="5" t="str">
        <f ca="1">IFERROR(__xludf.DUMMYFUNCTION("GOOGLETRANSLATE(J4611,""EN"",""ES"")"),"Lavabos")</f>
        <v>Lavabos</v>
      </c>
      <c r="M4611" s="8" t="s">
        <v>74</v>
      </c>
      <c r="N4611" s="8"/>
    </row>
    <row r="4612" spans="1:14" ht="11.25" customHeight="1">
      <c r="A4612" s="5" t="s">
        <v>12888</v>
      </c>
      <c r="B4612" s="5" t="s">
        <v>13306</v>
      </c>
      <c r="C4612" s="5" t="s">
        <v>13354</v>
      </c>
      <c r="D4612" s="5" t="s">
        <v>12891</v>
      </c>
      <c r="E4612" s="5" t="s">
        <v>75</v>
      </c>
      <c r="F4612" s="5" t="s">
        <v>12892</v>
      </c>
      <c r="G4612" s="5" t="s">
        <v>152</v>
      </c>
      <c r="H4612" s="5" t="s">
        <v>13308</v>
      </c>
      <c r="I4612" s="5" t="s">
        <v>13355</v>
      </c>
      <c r="J4612" s="5" t="s">
        <v>13356</v>
      </c>
      <c r="K4612" s="7" t="str">
        <f ca="1">IFERROR(__xludf.DUMMYFUNCTION("GOOGLETRANSLATE(H4612,""EN"",""ES"")"),"Aparatos sanitarios para FINES HIGIÉNICOS")</f>
        <v>Aparatos sanitarios para FINES HIGIÉNICOS</v>
      </c>
      <c r="L4612" s="5" t="str">
        <f ca="1">IFERROR(__xludf.DUMMYFUNCTION("GOOGLETRANSLATE(J4612,""EN"",""ES"")"),"Se desborda")</f>
        <v>Se desborda</v>
      </c>
      <c r="M4612" s="8" t="s">
        <v>74</v>
      </c>
      <c r="N4612" s="8"/>
    </row>
    <row r="4613" spans="1:14" ht="11.25" customHeight="1">
      <c r="A4613" s="5" t="s">
        <v>12888</v>
      </c>
      <c r="B4613" s="5" t="s">
        <v>13306</v>
      </c>
      <c r="C4613" s="5" t="s">
        <v>13357</v>
      </c>
      <c r="D4613" s="5" t="s">
        <v>12891</v>
      </c>
      <c r="E4613" s="5" t="s">
        <v>75</v>
      </c>
      <c r="F4613" s="5" t="s">
        <v>12892</v>
      </c>
      <c r="G4613" s="5" t="s">
        <v>152</v>
      </c>
      <c r="H4613" s="5" t="s">
        <v>13308</v>
      </c>
      <c r="I4613" s="5" t="s">
        <v>13358</v>
      </c>
      <c r="J4613" s="5" t="s">
        <v>13359</v>
      </c>
      <c r="K4613" s="7" t="str">
        <f ca="1">IFERROR(__xludf.DUMMYFUNCTION("GOOGLETRANSLATE(H4613,""EN"",""ES"")"),"Aparatos sanitarios para FINES HIGIÉNICOS")</f>
        <v>Aparatos sanitarios para FINES HIGIÉNICOS</v>
      </c>
      <c r="L4613" s="5" t="str">
        <f ca="1">IFERROR(__xludf.DUMMYFUNCTION("GOOGLETRANSLATE(J4613,""EN"",""ES"")"),"Tapones para lavabos")</f>
        <v>Tapones para lavabos</v>
      </c>
      <c r="M4613" s="8" t="s">
        <v>74</v>
      </c>
      <c r="N4613" s="8"/>
    </row>
    <row r="4614" spans="1:14" ht="11.25" customHeight="1">
      <c r="A4614" s="5" t="s">
        <v>12888</v>
      </c>
      <c r="B4614" s="5" t="s">
        <v>13306</v>
      </c>
      <c r="C4614" s="5" t="s">
        <v>13360</v>
      </c>
      <c r="D4614" s="5" t="s">
        <v>12891</v>
      </c>
      <c r="E4614" s="5" t="s">
        <v>75</v>
      </c>
      <c r="F4614" s="5" t="s">
        <v>12892</v>
      </c>
      <c r="G4614" s="5" t="s">
        <v>152</v>
      </c>
      <c r="H4614" s="5" t="s">
        <v>13308</v>
      </c>
      <c r="I4614" s="5" t="s">
        <v>13361</v>
      </c>
      <c r="J4614" s="5" t="s">
        <v>13362</v>
      </c>
      <c r="K4614" s="7" t="str">
        <f ca="1">IFERROR(__xludf.DUMMYFUNCTION("GOOGLETRANSLATE(H4614,""EN"",""ES"")"),"Aparatos sanitarios para FINES HIGIÉNICOS")</f>
        <v>Aparatos sanitarios para FINES HIGIÉNICOS</v>
      </c>
      <c r="L4614" s="5" t="str">
        <f ca="1">IFERROR(__xludf.DUMMYFUNCTION("GOOGLETRANSLATE(J4614,""EN"",""ES"")"),"Desagües del fregadero")</f>
        <v>Desagües del fregadero</v>
      </c>
      <c r="M4614" s="8" t="s">
        <v>74</v>
      </c>
      <c r="N4614" s="8"/>
    </row>
    <row r="4615" spans="1:14" ht="11.25" customHeight="1">
      <c r="A4615" s="5" t="s">
        <v>12888</v>
      </c>
      <c r="B4615" s="5" t="s">
        <v>13306</v>
      </c>
      <c r="C4615" s="5" t="s">
        <v>13363</v>
      </c>
      <c r="D4615" s="5" t="s">
        <v>12891</v>
      </c>
      <c r="E4615" s="5" t="s">
        <v>75</v>
      </c>
      <c r="F4615" s="5" t="s">
        <v>12892</v>
      </c>
      <c r="G4615" s="5" t="s">
        <v>152</v>
      </c>
      <c r="H4615" s="5" t="s">
        <v>13308</v>
      </c>
      <c r="I4615" s="5" t="s">
        <v>13364</v>
      </c>
      <c r="J4615" s="5" t="s">
        <v>13365</v>
      </c>
      <c r="K4615" s="7" t="str">
        <f ca="1">IFERROR(__xludf.DUMMYFUNCTION("GOOGLETRANSLATE(H4615,""EN"",""ES"")"),"Aparatos sanitarios para FINES HIGIÉNICOS")</f>
        <v>Aparatos sanitarios para FINES HIGIÉNICOS</v>
      </c>
      <c r="L4615" s="5" t="str">
        <f ca="1">IFERROR(__xludf.DUMMYFUNCTION("GOOGLETRANSLATE(J4615,""EN"",""ES"")"),"coladores de fregadero")</f>
        <v>coladores de fregadero</v>
      </c>
      <c r="M4615" s="8" t="s">
        <v>74</v>
      </c>
      <c r="N4615" s="8"/>
    </row>
    <row r="4616" spans="1:14" ht="11.25" customHeight="1">
      <c r="A4616" s="5" t="s">
        <v>12888</v>
      </c>
      <c r="B4616" s="5" t="s">
        <v>13306</v>
      </c>
      <c r="C4616" s="5" t="s">
        <v>13366</v>
      </c>
      <c r="D4616" s="5" t="s">
        <v>12891</v>
      </c>
      <c r="E4616" s="5" t="s">
        <v>75</v>
      </c>
      <c r="F4616" s="5" t="s">
        <v>12892</v>
      </c>
      <c r="G4616" s="5" t="s">
        <v>152</v>
      </c>
      <c r="H4616" s="5" t="s">
        <v>13308</v>
      </c>
      <c r="I4616" s="5" t="s">
        <v>13367</v>
      </c>
      <c r="J4616" s="5" t="s">
        <v>13368</v>
      </c>
      <c r="K4616" s="7" t="str">
        <f ca="1">IFERROR(__xludf.DUMMYFUNCTION("GOOGLETRANSLATE(H4616,""EN"",""ES"")"),"Aparatos sanitarios para FINES HIGIÉNICOS")</f>
        <v>Aparatos sanitarios para FINES HIGIÉNICOS</v>
      </c>
      <c r="L4616" s="5" t="str">
        <f ca="1">IFERROR(__xludf.DUMMYFUNCTION("GOOGLETRANSLATE(J4616,""EN"",""ES"")"),"Unidades de fregadero")</f>
        <v>Unidades de fregadero</v>
      </c>
      <c r="M4616" s="8" t="s">
        <v>74</v>
      </c>
      <c r="N4616" s="8"/>
    </row>
    <row r="4617" spans="1:14" ht="11.25" customHeight="1">
      <c r="A4617" s="5" t="s">
        <v>12888</v>
      </c>
      <c r="B4617" s="5" t="s">
        <v>13306</v>
      </c>
      <c r="C4617" s="5" t="s">
        <v>13369</v>
      </c>
      <c r="D4617" s="5" t="s">
        <v>12891</v>
      </c>
      <c r="E4617" s="5" t="s">
        <v>75</v>
      </c>
      <c r="F4617" s="5" t="s">
        <v>12892</v>
      </c>
      <c r="G4617" s="5" t="s">
        <v>152</v>
      </c>
      <c r="H4617" s="5" t="s">
        <v>13308</v>
      </c>
      <c r="I4617" s="5" t="s">
        <v>13370</v>
      </c>
      <c r="J4617" s="5" t="s">
        <v>13371</v>
      </c>
      <c r="K4617" s="7" t="str">
        <f ca="1">IFERROR(__xludf.DUMMYFUNCTION("GOOGLETRANSLATE(H4617,""EN"",""ES"")"),"Aparatos sanitarios para FINES HIGIÉNICOS")</f>
        <v>Aparatos sanitarios para FINES HIGIÉNICOS</v>
      </c>
      <c r="L4617" s="5" t="str">
        <f ca="1">IFERROR(__xludf.DUMMYFUNCTION("GOOGLETRANSLATE(J4617,""EN"",""ES"")"),"Fregaderos")</f>
        <v>Fregaderos</v>
      </c>
      <c r="M4617" s="8" t="s">
        <v>74</v>
      </c>
      <c r="N4617" s="8"/>
    </row>
    <row r="4618" spans="1:14" ht="11.25" customHeight="1">
      <c r="A4618" s="5" t="s">
        <v>12888</v>
      </c>
      <c r="B4618" s="5" t="s">
        <v>13306</v>
      </c>
      <c r="C4618" s="5" t="s">
        <v>13372</v>
      </c>
      <c r="D4618" s="5" t="s">
        <v>12891</v>
      </c>
      <c r="E4618" s="5" t="s">
        <v>75</v>
      </c>
      <c r="F4618" s="5" t="s">
        <v>12892</v>
      </c>
      <c r="G4618" s="5" t="s">
        <v>152</v>
      </c>
      <c r="H4618" s="5" t="s">
        <v>13308</v>
      </c>
      <c r="I4618" s="5" t="s">
        <v>13373</v>
      </c>
      <c r="J4618" s="5" t="s">
        <v>13374</v>
      </c>
      <c r="K4618" s="7" t="str">
        <f ca="1">IFERROR(__xludf.DUMMYFUNCTION("GOOGLETRANSLATE(H4618,""EN"",""ES"")"),"Aparatos sanitarios para FINES HIGIÉNICOS")</f>
        <v>Aparatos sanitarios para FINES HIGIÉNICOS</v>
      </c>
      <c r="L4618" s="5" t="str">
        <f ca="1">IFERROR(__xludf.DUMMYFUNCTION("GOOGLETRANSLATE(J4618,""EN"",""ES"")"),"Lavabos")</f>
        <v>Lavabos</v>
      </c>
      <c r="M4618" s="8" t="s">
        <v>74</v>
      </c>
      <c r="N4618" s="8"/>
    </row>
    <row r="4619" spans="1:14" ht="11.25" customHeight="1">
      <c r="A4619" s="5" t="s">
        <v>12888</v>
      </c>
      <c r="B4619" s="5" t="s">
        <v>13306</v>
      </c>
      <c r="C4619" s="5" t="s">
        <v>13375</v>
      </c>
      <c r="D4619" s="5" t="s">
        <v>12891</v>
      </c>
      <c r="E4619" s="5" t="s">
        <v>75</v>
      </c>
      <c r="F4619" s="5" t="s">
        <v>12892</v>
      </c>
      <c r="G4619" s="5" t="s">
        <v>152</v>
      </c>
      <c r="H4619" s="5" t="s">
        <v>13308</v>
      </c>
      <c r="I4619" s="5" t="s">
        <v>13376</v>
      </c>
      <c r="J4619" s="5" t="s">
        <v>13377</v>
      </c>
      <c r="K4619" s="7" t="str">
        <f ca="1">IFERROR(__xludf.DUMMYFUNCTION("GOOGLETRANSLATE(H4619,""EN"",""ES"")"),"Aparatos sanitarios para FINES HIGIÉNICOS")</f>
        <v>Aparatos sanitarios para FINES HIGIÉNICOS</v>
      </c>
      <c r="L4619" s="5" t="str">
        <f ca="1">IFERROR(__xludf.DUMMYFUNCTION("GOOGLETRANSLATE(J4619,""EN"",""ES"")"),"Lavabos para el cabello")</f>
        <v>Lavabos para el cabello</v>
      </c>
      <c r="M4619" s="8" t="s">
        <v>74</v>
      </c>
      <c r="N4619" s="8"/>
    </row>
    <row r="4620" spans="1:14" ht="11.25" customHeight="1">
      <c r="A4620" s="5" t="s">
        <v>12888</v>
      </c>
      <c r="B4620" s="5" t="s">
        <v>13378</v>
      </c>
      <c r="C4620" s="5" t="s">
        <v>13379</v>
      </c>
      <c r="D4620" s="5" t="s">
        <v>12891</v>
      </c>
      <c r="E4620" s="5" t="s">
        <v>75</v>
      </c>
      <c r="F4620" s="5" t="s">
        <v>12892</v>
      </c>
      <c r="G4620" s="5" t="s">
        <v>152</v>
      </c>
      <c r="H4620" s="5" t="s">
        <v>13380</v>
      </c>
      <c r="I4620" s="5" t="s">
        <v>13381</v>
      </c>
      <c r="J4620" s="5" t="s">
        <v>13382</v>
      </c>
      <c r="K4620" s="7" t="str">
        <f ca="1">IFERROR(__xludf.DUMMYFUNCTION("GOOGLETRANSLATE(H4620,""EN"",""ES"")"),"Equipo para orinar y defecar.")</f>
        <v>Equipo para orinar y defecar.</v>
      </c>
      <c r="L4620" s="5" t="str">
        <f ca="1">IFERROR(__xludf.DUMMYFUNCTION("GOOGLETRANSLATE(J4620,""EN"",""ES"")"),"Sillas cómoda")</f>
        <v>Sillas cómoda</v>
      </c>
      <c r="M4620" s="8" t="s">
        <v>74</v>
      </c>
      <c r="N4620" s="8"/>
    </row>
    <row r="4621" spans="1:14" ht="11.25" customHeight="1">
      <c r="A4621" s="5" t="s">
        <v>12888</v>
      </c>
      <c r="B4621" s="5" t="s">
        <v>13378</v>
      </c>
      <c r="C4621" s="5" t="s">
        <v>13383</v>
      </c>
      <c r="D4621" s="5" t="s">
        <v>12891</v>
      </c>
      <c r="E4621" s="5" t="s">
        <v>75</v>
      </c>
      <c r="F4621" s="5" t="s">
        <v>12892</v>
      </c>
      <c r="G4621" s="5" t="s">
        <v>152</v>
      </c>
      <c r="H4621" s="5" t="s">
        <v>13380</v>
      </c>
      <c r="I4621" s="5" t="s">
        <v>13384</v>
      </c>
      <c r="J4621" s="5" t="s">
        <v>13385</v>
      </c>
      <c r="K4621" s="7" t="str">
        <f ca="1">IFERROR(__xludf.DUMMYFUNCTION("GOOGLETRANSLATE(H4621,""EN"",""ES"")"),"Equipo para orinar y defecar.")</f>
        <v>Equipo para orinar y defecar.</v>
      </c>
      <c r="L4621" s="5" t="str">
        <f ca="1">IFERROR(__xludf.DUMMYFUNCTION("GOOGLETRANSLATE(J4621,""EN"",""ES"")"),"cisternas de descarga")</f>
        <v>cisternas de descarga</v>
      </c>
      <c r="M4621" s="8" t="s">
        <v>74</v>
      </c>
      <c r="N4621" s="8"/>
    </row>
    <row r="4622" spans="1:14" ht="11.25" customHeight="1">
      <c r="A4622" s="5" t="s">
        <v>12888</v>
      </c>
      <c r="B4622" s="5" t="s">
        <v>13378</v>
      </c>
      <c r="C4622" s="5" t="s">
        <v>13386</v>
      </c>
      <c r="D4622" s="5" t="s">
        <v>12891</v>
      </c>
      <c r="E4622" s="5" t="s">
        <v>75</v>
      </c>
      <c r="F4622" s="5" t="s">
        <v>12892</v>
      </c>
      <c r="G4622" s="5" t="s">
        <v>152</v>
      </c>
      <c r="H4622" s="5" t="s">
        <v>13380</v>
      </c>
      <c r="I4622" s="5" t="s">
        <v>13387</v>
      </c>
      <c r="J4622" s="5" t="s">
        <v>13388</v>
      </c>
      <c r="K4622" s="7" t="str">
        <f ca="1">IFERROR(__xludf.DUMMYFUNCTION("GOOGLETRANSLATE(H4622,""EN"",""ES"")"),"Equipo para orinar y defecar.")</f>
        <v>Equipo para orinar y defecar.</v>
      </c>
      <c r="L4622" s="5" t="str">
        <f ca="1">IFERROR(__xludf.DUMMYFUNCTION("GOOGLETRANSLATE(J4622,""EN"",""ES"")"),"Dispositivos de descarga para inodoros.")</f>
        <v>Dispositivos de descarga para inodoros.</v>
      </c>
      <c r="M4622" s="8" t="s">
        <v>74</v>
      </c>
      <c r="N4622" s="8"/>
    </row>
    <row r="4623" spans="1:14" ht="11.25" customHeight="1">
      <c r="A4623" s="5" t="s">
        <v>12888</v>
      </c>
      <c r="B4623" s="5" t="s">
        <v>13378</v>
      </c>
      <c r="C4623" s="5" t="s">
        <v>13389</v>
      </c>
      <c r="D4623" s="5" t="s">
        <v>12891</v>
      </c>
      <c r="E4623" s="5" t="s">
        <v>75</v>
      </c>
      <c r="F4623" s="5" t="s">
        <v>12892</v>
      </c>
      <c r="G4623" s="5" t="s">
        <v>152</v>
      </c>
      <c r="H4623" s="5" t="s">
        <v>13380</v>
      </c>
      <c r="I4623" s="5" t="s">
        <v>13390</v>
      </c>
      <c r="J4623" s="5" t="s">
        <v>13390</v>
      </c>
      <c r="K4623" s="7" t="str">
        <f ca="1">IFERROR(__xludf.DUMMYFUNCTION("GOOGLETRANSLATE(H4623,""EN"",""ES"")"),"Equipo para orinar y defecar.")</f>
        <v>Equipo para orinar y defecar.</v>
      </c>
      <c r="L4623" s="5" t="str">
        <f ca="1">IFERROR(__xludf.DUMMYFUNCTION("GOOGLETRANSLATE(J4623,""EN"",""ES"")"),"letrinas")</f>
        <v>letrinas</v>
      </c>
      <c r="M4623" s="8" t="s">
        <v>74</v>
      </c>
      <c r="N4623" s="8"/>
    </row>
    <row r="4624" spans="1:14" ht="11.25" customHeight="1">
      <c r="A4624" s="5" t="s">
        <v>12888</v>
      </c>
      <c r="B4624" s="5" t="s">
        <v>13378</v>
      </c>
      <c r="C4624" s="5" t="s">
        <v>13391</v>
      </c>
      <c r="D4624" s="5" t="s">
        <v>12891</v>
      </c>
      <c r="E4624" s="5" t="s">
        <v>75</v>
      </c>
      <c r="F4624" s="5" t="s">
        <v>12892</v>
      </c>
      <c r="G4624" s="5" t="s">
        <v>152</v>
      </c>
      <c r="H4624" s="5" t="s">
        <v>13380</v>
      </c>
      <c r="I4624" s="5" t="s">
        <v>13392</v>
      </c>
      <c r="J4624" s="5" t="s">
        <v>13393</v>
      </c>
      <c r="K4624" s="7" t="str">
        <f ca="1">IFERROR(__xludf.DUMMYFUNCTION("GOOGLETRANSLATE(H4624,""EN"",""ES"")"),"Equipo para orinar y defecar.")</f>
        <v>Equipo para orinar y defecar.</v>
      </c>
      <c r="L4624" s="5" t="str">
        <f ca="1">IFERROR(__xludf.DUMMYFUNCTION("GOOGLETRANSLATE(J4624,""EN"",""ES"")"),"Adaptadores de asiento de inodoro para bebés")</f>
        <v>Adaptadores de asiento de inodoro para bebés</v>
      </c>
      <c r="M4624" s="8" t="s">
        <v>74</v>
      </c>
      <c r="N4624" s="8"/>
    </row>
    <row r="4625" spans="1:14" ht="11.25" customHeight="1">
      <c r="A4625" s="5" t="s">
        <v>12888</v>
      </c>
      <c r="B4625" s="5" t="s">
        <v>13378</v>
      </c>
      <c r="C4625" s="5" t="s">
        <v>13394</v>
      </c>
      <c r="D4625" s="5" t="s">
        <v>12891</v>
      </c>
      <c r="E4625" s="5" t="s">
        <v>75</v>
      </c>
      <c r="F4625" s="5" t="s">
        <v>12892</v>
      </c>
      <c r="G4625" s="5" t="s">
        <v>152</v>
      </c>
      <c r="H4625" s="5" t="s">
        <v>13380</v>
      </c>
      <c r="I4625" s="5" t="s">
        <v>13395</v>
      </c>
      <c r="J4625" s="5" t="s">
        <v>13396</v>
      </c>
      <c r="K4625" s="7" t="str">
        <f ca="1">IFERROR(__xludf.DUMMYFUNCTION("GOOGLETRANSLATE(H4625,""EN"",""ES"")"),"Equipo para orinar y defecar.")</f>
        <v>Equipo para orinar y defecar.</v>
      </c>
      <c r="L4625" s="5" t="str">
        <f ca="1">IFERROR(__xludf.DUMMYFUNCTION("GOOGLETRANSLATE(J4625,""EN"",""ES"")"),"Fundas para asientos de inodoro")</f>
        <v>Fundas para asientos de inodoro</v>
      </c>
      <c r="M4625" s="8" t="s">
        <v>74</v>
      </c>
      <c r="N4625" s="8"/>
    </row>
    <row r="4626" spans="1:14" ht="11.25" customHeight="1">
      <c r="A4626" s="5" t="s">
        <v>12888</v>
      </c>
      <c r="B4626" s="5" t="s">
        <v>13378</v>
      </c>
      <c r="C4626" s="5" t="s">
        <v>13397</v>
      </c>
      <c r="D4626" s="5" t="s">
        <v>12891</v>
      </c>
      <c r="E4626" s="5" t="s">
        <v>75</v>
      </c>
      <c r="F4626" s="5" t="s">
        <v>12892</v>
      </c>
      <c r="G4626" s="5" t="s">
        <v>152</v>
      </c>
      <c r="H4626" s="5" t="s">
        <v>13380</v>
      </c>
      <c r="I4626" s="5" t="s">
        <v>13398</v>
      </c>
      <c r="J4626" s="5" t="s">
        <v>13399</v>
      </c>
      <c r="K4626" s="7" t="str">
        <f ca="1">IFERROR(__xludf.DUMMYFUNCTION("GOOGLETRANSLATE(H4626,""EN"",""ES"")"),"Equipo para orinar y defecar.")</f>
        <v>Equipo para orinar y defecar.</v>
      </c>
      <c r="L4626" s="5" t="str">
        <f ca="1">IFERROR(__xludf.DUMMYFUNCTION("GOOGLETRANSLATE(J4626,""EN"",""ES"")"),"Asientos de inodoro")</f>
        <v>Asientos de inodoro</v>
      </c>
      <c r="M4626" s="8" t="s">
        <v>74</v>
      </c>
      <c r="N4626" s="8"/>
    </row>
    <row r="4627" spans="1:14" ht="11.25" customHeight="1">
      <c r="A4627" s="5" t="s">
        <v>12888</v>
      </c>
      <c r="B4627" s="5" t="s">
        <v>13378</v>
      </c>
      <c r="C4627" s="5" t="s">
        <v>13397</v>
      </c>
      <c r="D4627" s="5" t="s">
        <v>12891</v>
      </c>
      <c r="E4627" s="5" t="s">
        <v>75</v>
      </c>
      <c r="F4627" s="5" t="s">
        <v>12892</v>
      </c>
      <c r="G4627" s="5" t="s">
        <v>152</v>
      </c>
      <c r="H4627" s="5" t="s">
        <v>13380</v>
      </c>
      <c r="I4627" s="5" t="s">
        <v>152</v>
      </c>
      <c r="J4627" s="5" t="s">
        <v>13400</v>
      </c>
      <c r="K4627" s="7" t="str">
        <f ca="1">IFERROR(__xludf.DUMMYFUNCTION("GOOGLETRANSLATE(H4627,""EN"",""ES"")"),"Equipo para orinar y defecar.")</f>
        <v>Equipo para orinar y defecar.</v>
      </c>
      <c r="L4627" s="5" t="str">
        <f ca="1">IFERROR(__xludf.DUMMYFUNCTION("GOOGLETRANSLATE(J4627,""EN"",""ES"")"),"N / A")</f>
        <v>N / A</v>
      </c>
      <c r="M4627" s="8" t="s">
        <v>74</v>
      </c>
      <c r="N4627" s="8"/>
    </row>
    <row r="4628" spans="1:14" ht="11.25" customHeight="1">
      <c r="A4628" s="5" t="s">
        <v>12888</v>
      </c>
      <c r="B4628" s="5" t="s">
        <v>13378</v>
      </c>
      <c r="C4628" s="5" t="s">
        <v>13397</v>
      </c>
      <c r="D4628" s="5" t="s">
        <v>12891</v>
      </c>
      <c r="E4628" s="5" t="s">
        <v>75</v>
      </c>
      <c r="F4628" s="5" t="s">
        <v>12892</v>
      </c>
      <c r="G4628" s="5" t="s">
        <v>152</v>
      </c>
      <c r="H4628" s="5" t="s">
        <v>13380</v>
      </c>
      <c r="I4628" s="5" t="s">
        <v>152</v>
      </c>
      <c r="J4628" s="5" t="s">
        <v>13401</v>
      </c>
      <c r="K4628" s="7" t="str">
        <f ca="1">IFERROR(__xludf.DUMMYFUNCTION("GOOGLETRANSLATE(H4628,""EN"",""ES"")"),"Equipo para orinar y defecar.")</f>
        <v>Equipo para orinar y defecar.</v>
      </c>
      <c r="L4628" s="5" t="str">
        <f ca="1">IFERROR(__xludf.DUMMYFUNCTION("GOOGLETRANSLATE(J4628,""EN"",""ES"")"),"N / A")</f>
        <v>N / A</v>
      </c>
      <c r="M4628" s="8" t="s">
        <v>74</v>
      </c>
      <c r="N4628" s="8"/>
    </row>
    <row r="4629" spans="1:14" ht="11.25" customHeight="1">
      <c r="A4629" s="5" t="s">
        <v>12888</v>
      </c>
      <c r="B4629" s="5" t="s">
        <v>13378</v>
      </c>
      <c r="C4629" s="5" t="s">
        <v>13402</v>
      </c>
      <c r="D4629" s="5" t="s">
        <v>12891</v>
      </c>
      <c r="E4629" s="5" t="s">
        <v>75</v>
      </c>
      <c r="F4629" s="5" t="s">
        <v>12892</v>
      </c>
      <c r="G4629" s="5" t="s">
        <v>152</v>
      </c>
      <c r="H4629" s="5" t="s">
        <v>13380</v>
      </c>
      <c r="I4629" s="5" t="s">
        <v>13403</v>
      </c>
      <c r="J4629" s="5" t="s">
        <v>13404</v>
      </c>
      <c r="K4629" s="7" t="str">
        <f ca="1">IFERROR(__xludf.DUMMYFUNCTION("GOOGLETRANSLATE(H4629,""EN"",""ES"")"),"Equipo para orinar y defecar.")</f>
        <v>Equipo para orinar y defecar.</v>
      </c>
      <c r="L4629" s="5" t="str">
        <f ca="1">IFERROR(__xludf.DUMMYFUNCTION("GOOGLETRANSLATE(J4629,""EN"",""ES"")"),"Urinarios [públicos]")</f>
        <v>Urinarios [públicos]</v>
      </c>
      <c r="M4629" s="8" t="s">
        <v>74</v>
      </c>
      <c r="N4629" s="8"/>
    </row>
    <row r="4630" spans="1:14" ht="11.25" customHeight="1">
      <c r="A4630" s="5" t="s">
        <v>12888</v>
      </c>
      <c r="B4630" s="5" t="s">
        <v>13378</v>
      </c>
      <c r="C4630" s="5" t="s">
        <v>13405</v>
      </c>
      <c r="D4630" s="5" t="s">
        <v>12891</v>
      </c>
      <c r="E4630" s="5" t="s">
        <v>75</v>
      </c>
      <c r="F4630" s="5" t="s">
        <v>12892</v>
      </c>
      <c r="G4630" s="5" t="s">
        <v>152</v>
      </c>
      <c r="H4630" s="5" t="s">
        <v>13380</v>
      </c>
      <c r="I4630" s="5" t="s">
        <v>13406</v>
      </c>
      <c r="J4630" s="5" t="s">
        <v>13407</v>
      </c>
      <c r="K4630" s="7" t="str">
        <f ca="1">IFERROR(__xludf.DUMMYFUNCTION("GOOGLETRANSLATE(H4630,""EN"",""ES"")"),"Equipo para orinar y defecar.")</f>
        <v>Equipo para orinar y defecar.</v>
      </c>
      <c r="L4630" s="5" t="str">
        <f ca="1">IFERROR(__xludf.DUMMYFUNCTION("GOOGLETRANSLATE(J4630,""EN"",""ES"")"),"Inodoros")</f>
        <v>Inodoros</v>
      </c>
      <c r="M4630" s="8" t="s">
        <v>74</v>
      </c>
      <c r="N4630" s="8"/>
    </row>
    <row r="4631" spans="1:14" ht="11.25" customHeight="1">
      <c r="A4631" s="5" t="s">
        <v>12888</v>
      </c>
      <c r="B4631" s="5" t="s">
        <v>13378</v>
      </c>
      <c r="C4631" s="5" t="s">
        <v>13408</v>
      </c>
      <c r="D4631" s="5" t="s">
        <v>12891</v>
      </c>
      <c r="E4631" s="5" t="s">
        <v>75</v>
      </c>
      <c r="F4631" s="5" t="s">
        <v>12892</v>
      </c>
      <c r="G4631" s="5" t="s">
        <v>152</v>
      </c>
      <c r="H4631" s="5" t="s">
        <v>13380</v>
      </c>
      <c r="I4631" s="5" t="s">
        <v>13409</v>
      </c>
      <c r="J4631" s="5" t="s">
        <v>13410</v>
      </c>
      <c r="K4631" s="7" t="str">
        <f ca="1">IFERROR(__xludf.DUMMYFUNCTION("GOOGLETRANSLATE(H4631,""EN"",""ES"")"),"Equipo para orinar y defecar.")</f>
        <v>Equipo para orinar y defecar.</v>
      </c>
      <c r="L4631" s="5" t="str">
        <f ca="1">IFERROR(__xludf.DUMMYFUNCTION("GOOGLETRANSLATE(J4631,""EN"",""ES"")"),"Flotadores de salida de inodoro")</f>
        <v>Flotadores de salida de inodoro</v>
      </c>
      <c r="M4631" s="8" t="s">
        <v>74</v>
      </c>
      <c r="N4631" s="8"/>
    </row>
    <row r="4632" spans="1:14" ht="11.25" customHeight="1">
      <c r="A4632" s="5" t="s">
        <v>12888</v>
      </c>
      <c r="B4632" s="5" t="s">
        <v>13378</v>
      </c>
      <c r="C4632" s="5" t="s">
        <v>13411</v>
      </c>
      <c r="D4632" s="5" t="s">
        <v>12891</v>
      </c>
      <c r="E4632" s="5" t="s">
        <v>75</v>
      </c>
      <c r="F4632" s="5" t="s">
        <v>12892</v>
      </c>
      <c r="G4632" s="5" t="s">
        <v>152</v>
      </c>
      <c r="H4632" s="5" t="s">
        <v>13380</v>
      </c>
      <c r="I4632" s="5" t="s">
        <v>13412</v>
      </c>
      <c r="J4632" s="5" t="s">
        <v>13413</v>
      </c>
      <c r="K4632" s="7" t="str">
        <f ca="1">IFERROR(__xludf.DUMMYFUNCTION("GOOGLETRANSLATE(H4632,""EN"",""ES"")"),"Equipo para orinar y defecar.")</f>
        <v>Equipo para orinar y defecar.</v>
      </c>
      <c r="L4632" s="5" t="str">
        <f ca="1">IFERROR(__xludf.DUMMYFUNCTION("GOOGLETRANSLATE(J4632,""EN"",""ES"")"),"Recipientes para inodoro")</f>
        <v>Recipientes para inodoro</v>
      </c>
      <c r="M4632" s="8" t="s">
        <v>74</v>
      </c>
      <c r="N4632" s="8"/>
    </row>
    <row r="4633" spans="1:14" ht="11.25" customHeight="1">
      <c r="A4633" s="5" t="s">
        <v>12888</v>
      </c>
      <c r="B4633" s="5" t="s">
        <v>13378</v>
      </c>
      <c r="C4633" s="5" t="s">
        <v>13414</v>
      </c>
      <c r="D4633" s="5" t="s">
        <v>12891</v>
      </c>
      <c r="E4633" s="5" t="s">
        <v>75</v>
      </c>
      <c r="F4633" s="5" t="s">
        <v>12892</v>
      </c>
      <c r="G4633" s="5" t="s">
        <v>152</v>
      </c>
      <c r="H4633" s="5" t="s">
        <v>13380</v>
      </c>
      <c r="I4633" s="5" t="s">
        <v>13415</v>
      </c>
      <c r="J4633" s="5" t="s">
        <v>13416</v>
      </c>
      <c r="K4633" s="7" t="str">
        <f ca="1">IFERROR(__xludf.DUMMYFUNCTION("GOOGLETRANSLATE(H4633,""EN"",""ES"")"),"Equipo para orinar y defecar.")</f>
        <v>Equipo para orinar y defecar.</v>
      </c>
      <c r="L4633" s="5" t="str">
        <f ca="1">IFERROR(__xludf.DUMMYFUNCTION("GOOGLETRANSLATE(J4633,""EN"",""ES"")"),"Fosas sépticas")</f>
        <v>Fosas sépticas</v>
      </c>
      <c r="M4633" s="8" t="s">
        <v>74</v>
      </c>
      <c r="N4633" s="8"/>
    </row>
    <row r="4634" spans="1:14" ht="11.25" customHeight="1">
      <c r="A4634" s="5" t="s">
        <v>12888</v>
      </c>
      <c r="B4634" s="5" t="s">
        <v>13378</v>
      </c>
      <c r="C4634" s="5" t="s">
        <v>13417</v>
      </c>
      <c r="D4634" s="5" t="s">
        <v>12891</v>
      </c>
      <c r="E4634" s="5" t="s">
        <v>75</v>
      </c>
      <c r="F4634" s="5" t="s">
        <v>12892</v>
      </c>
      <c r="G4634" s="5" t="s">
        <v>152</v>
      </c>
      <c r="H4634" s="5" t="s">
        <v>13380</v>
      </c>
      <c r="I4634" s="5" t="s">
        <v>13418</v>
      </c>
      <c r="J4634" s="5" t="s">
        <v>13419</v>
      </c>
      <c r="K4634" s="7" t="str">
        <f ca="1">IFERROR(__xludf.DUMMYFUNCTION("GOOGLETRANSLATE(H4634,""EN"",""ES"")"),"Equipo para orinar y defecar.")</f>
        <v>Equipo para orinar y defecar.</v>
      </c>
      <c r="L4634" s="5" t="str">
        <f ca="1">IFERROR(__xludf.DUMMYFUNCTION("GOOGLETRANSLATE(J4634,""EN"",""ES"")"),"Pozos negros, fijos o móviles")</f>
        <v>Pozos negros, fijos o móviles</v>
      </c>
      <c r="M4634" s="8" t="s">
        <v>74</v>
      </c>
      <c r="N4634" s="8"/>
    </row>
    <row r="4635" spans="1:14" ht="11.25" customHeight="1">
      <c r="A4635" s="5" t="s">
        <v>12888</v>
      </c>
      <c r="B4635" s="5" t="s">
        <v>13378</v>
      </c>
      <c r="C4635" s="5" t="s">
        <v>13420</v>
      </c>
      <c r="D4635" s="5" t="s">
        <v>12891</v>
      </c>
      <c r="E4635" s="5" t="s">
        <v>75</v>
      </c>
      <c r="F4635" s="5" t="s">
        <v>12892</v>
      </c>
      <c r="G4635" s="5" t="s">
        <v>152</v>
      </c>
      <c r="H4635" s="5" t="s">
        <v>13380</v>
      </c>
      <c r="I4635" s="5" t="s">
        <v>13421</v>
      </c>
      <c r="J4635" s="5" t="s">
        <v>13422</v>
      </c>
      <c r="K4635" s="7" t="str">
        <f ca="1">IFERROR(__xludf.DUMMYFUNCTION("GOOGLETRANSLATE(H4635,""EN"",""ES"")"),"Equipo para orinar y defecar.")</f>
        <v>Equipo para orinar y defecar.</v>
      </c>
      <c r="L4635" s="5" t="str">
        <f ca="1">IFERROR(__xludf.DUMMYFUNCTION("GOOGLETRANSLATE(J4635,""EN"",""ES"")"),"Orinales para bebes")</f>
        <v>Orinales para bebes</v>
      </c>
      <c r="M4635" s="8" t="s">
        <v>74</v>
      </c>
      <c r="N4635" s="8"/>
    </row>
    <row r="4636" spans="1:14" ht="11.25" customHeight="1">
      <c r="A4636" s="5" t="s">
        <v>12888</v>
      </c>
      <c r="B4636" s="5" t="s">
        <v>13378</v>
      </c>
      <c r="C4636" s="5" t="s">
        <v>13423</v>
      </c>
      <c r="D4636" s="5" t="s">
        <v>12891</v>
      </c>
      <c r="E4636" s="5" t="s">
        <v>75</v>
      </c>
      <c r="F4636" s="5" t="s">
        <v>12892</v>
      </c>
      <c r="G4636" s="5" t="s">
        <v>152</v>
      </c>
      <c r="H4636" s="5" t="s">
        <v>13380</v>
      </c>
      <c r="I4636" s="5" t="s">
        <v>13424</v>
      </c>
      <c r="J4636" s="5" t="s">
        <v>13425</v>
      </c>
      <c r="K4636" s="7" t="str">
        <f ca="1">IFERROR(__xludf.DUMMYFUNCTION("GOOGLETRANSLATE(H4636,""EN"",""ES"")"),"Equipo para orinar y defecar.")</f>
        <v>Equipo para orinar y defecar.</v>
      </c>
      <c r="L4636" s="5" t="str">
        <f ca="1">IFERROR(__xludf.DUMMYFUNCTION("GOOGLETRANSLATE(J4636,""EN"",""ES"")"),"Orinal")</f>
        <v>Orinal</v>
      </c>
      <c r="M4636" s="8" t="s">
        <v>74</v>
      </c>
      <c r="N4636" s="8"/>
    </row>
    <row r="4637" spans="1:14" ht="11.25" customHeight="1">
      <c r="A4637" s="5" t="s">
        <v>12888</v>
      </c>
      <c r="B4637" s="5" t="s">
        <v>13378</v>
      </c>
      <c r="C4637" s="5" t="s">
        <v>13426</v>
      </c>
      <c r="D4637" s="5" t="s">
        <v>12891</v>
      </c>
      <c r="E4637" s="5" t="s">
        <v>75</v>
      </c>
      <c r="F4637" s="5" t="s">
        <v>12892</v>
      </c>
      <c r="G4637" s="5" t="s">
        <v>152</v>
      </c>
      <c r="H4637" s="5" t="s">
        <v>13380</v>
      </c>
      <c r="I4637" s="5" t="s">
        <v>13427</v>
      </c>
      <c r="J4637" s="5" t="s">
        <v>13428</v>
      </c>
      <c r="K4637" s="7" t="str">
        <f ca="1">IFERROR(__xludf.DUMMYFUNCTION("GOOGLETRANSLATE(H4637,""EN"",""ES"")"),"Equipo para orinar y defecar.")</f>
        <v>Equipo para orinar y defecar.</v>
      </c>
      <c r="L4637" s="5" t="str">
        <f ca="1">IFERROR(__xludf.DUMMYFUNCTION("GOOGLETRANSLATE(J4637,""EN"",""ES"")"),"Letrinas de cubo")</f>
        <v>Letrinas de cubo</v>
      </c>
      <c r="M4637" s="8" t="s">
        <v>74</v>
      </c>
      <c r="N4637" s="8"/>
    </row>
    <row r="4638" spans="1:14" ht="11.25" customHeight="1">
      <c r="A4638" s="5" t="s">
        <v>12888</v>
      </c>
      <c r="B4638" s="5" t="s">
        <v>13429</v>
      </c>
      <c r="C4638" s="5" t="s">
        <v>13430</v>
      </c>
      <c r="D4638" s="5" t="s">
        <v>12891</v>
      </c>
      <c r="E4638" s="5" t="s">
        <v>75</v>
      </c>
      <c r="F4638" s="5" t="s">
        <v>12892</v>
      </c>
      <c r="G4638" s="5" t="s">
        <v>152</v>
      </c>
      <c r="H4638" s="5" t="s">
        <v>13431</v>
      </c>
      <c r="I4638" s="5" t="s">
        <v>13432</v>
      </c>
      <c r="J4638" s="5" t="s">
        <v>13433</v>
      </c>
      <c r="K4638" s="7" t="str">
        <f ca="1">IFERROR(__xludf.DUMMYFUNCTION("GOOGLETRANSLATE(H4638,""EN"",""ES"")"),"Otros equipos y accesorios sanitarios, no comprendidos en otras clases o subclases")</f>
        <v>Otros equipos y accesorios sanitarios, no comprendidos en otras clases o subclases</v>
      </c>
      <c r="L4638" s="5" t="str">
        <f ca="1">IFERROR(__xludf.DUMMYFUNCTION("GOOGLETRANSLATE(J4638,""EN"",""ES"")"),"Unidades sanitarias [incluso para hospitales]")</f>
        <v>Unidades sanitarias [incluso para hospitales]</v>
      </c>
      <c r="M4638" s="8" t="s">
        <v>74</v>
      </c>
      <c r="N4638" s="8"/>
    </row>
    <row r="4639" spans="1:14" ht="11.25" customHeight="1">
      <c r="A4639" s="5" t="s">
        <v>12888</v>
      </c>
      <c r="B4639" s="5" t="s">
        <v>13429</v>
      </c>
      <c r="C4639" s="5" t="s">
        <v>13434</v>
      </c>
      <c r="D4639" s="5" t="s">
        <v>12891</v>
      </c>
      <c r="E4639" s="5" t="s">
        <v>75</v>
      </c>
      <c r="F4639" s="5" t="s">
        <v>12892</v>
      </c>
      <c r="G4639" s="5" t="s">
        <v>152</v>
      </c>
      <c r="H4639" s="5" t="s">
        <v>13431</v>
      </c>
      <c r="I4639" s="5" t="s">
        <v>13435</v>
      </c>
      <c r="J4639" s="5" t="s">
        <v>13436</v>
      </c>
      <c r="K4639" s="7" t="str">
        <f ca="1">IFERROR(__xludf.DUMMYFUNCTION("GOOGLETRANSLATE(H4639,""EN"",""ES"")"),"Otros equipos y accesorios sanitarios, no comprendidos en otras clases o subclases")</f>
        <v>Otros equipos y accesorios sanitarios, no comprendidos en otras clases o subclases</v>
      </c>
      <c r="L4639" s="5" t="str">
        <f ca="1">IFERROR(__xludf.DUMMYFUNCTION("GOOGLETRANSLATE(J4639,""EN"",""ES"")"),"Estantes de baño [excepto muebles]")</f>
        <v>Estantes de baño [excepto muebles]</v>
      </c>
      <c r="M4639" s="8" t="s">
        <v>74</v>
      </c>
      <c r="N4639" s="8"/>
    </row>
    <row r="4640" spans="1:14" ht="11.25" customHeight="1">
      <c r="A4640" s="5" t="s">
        <v>12888</v>
      </c>
      <c r="B4640" s="5" t="s">
        <v>13429</v>
      </c>
      <c r="C4640" s="5" t="s">
        <v>13437</v>
      </c>
      <c r="D4640" s="5" t="s">
        <v>12891</v>
      </c>
      <c r="E4640" s="5" t="s">
        <v>75</v>
      </c>
      <c r="F4640" s="5" t="s">
        <v>12892</v>
      </c>
      <c r="G4640" s="5" t="s">
        <v>152</v>
      </c>
      <c r="H4640" s="5" t="s">
        <v>13431</v>
      </c>
      <c r="I4640" s="5" t="s">
        <v>13438</v>
      </c>
      <c r="J4640" s="5" t="s">
        <v>13439</v>
      </c>
      <c r="K4640" s="7" t="str">
        <f ca="1">IFERROR(__xludf.DUMMYFUNCTION("GOOGLETRANSLATE(H4640,""EN"",""ES"")"),"Otros equipos y accesorios sanitarios, no comprendidos en otras clases o subclases")</f>
        <v>Otros equipos y accesorios sanitarios, no comprendidos en otras clases o subclases</v>
      </c>
      <c r="L4640" s="5" t="str">
        <f ca="1">IFERROR(__xludf.DUMMYFUNCTION("GOOGLETRANSLATE(J4640,""EN"",""ES"")"),"Aparato decantador de aguas residuales.")</f>
        <v>Aparato decantador de aguas residuales.</v>
      </c>
      <c r="M4640" s="8" t="s">
        <v>74</v>
      </c>
      <c r="N4640" s="8"/>
    </row>
    <row r="4641" spans="1:14" ht="11.25" customHeight="1">
      <c r="A4641" s="5" t="s">
        <v>12888</v>
      </c>
      <c r="B4641" s="5" t="s">
        <v>13429</v>
      </c>
      <c r="C4641" s="5" t="s">
        <v>13440</v>
      </c>
      <c r="D4641" s="5" t="s">
        <v>12891</v>
      </c>
      <c r="E4641" s="5" t="s">
        <v>75</v>
      </c>
      <c r="F4641" s="5" t="s">
        <v>12892</v>
      </c>
      <c r="G4641" s="5" t="s">
        <v>152</v>
      </c>
      <c r="H4641" s="5" t="s">
        <v>13431</v>
      </c>
      <c r="I4641" s="5" t="s">
        <v>13441</v>
      </c>
      <c r="J4641" s="5" t="s">
        <v>13442</v>
      </c>
      <c r="K4641" s="7" t="str">
        <f ca="1">IFERROR(__xludf.DUMMYFUNCTION("GOOGLETRANSLATE(H4641,""EN"",""ES"")"),"Otros equipos y accesorios sanitarios, no comprendidos en otras clases o subclases")</f>
        <v>Otros equipos y accesorios sanitarios, no comprendidos en otras clases o subclases</v>
      </c>
      <c r="L4641" s="5" t="str">
        <f ca="1">IFERROR(__xludf.DUMMYFUNCTION("GOOGLETRANSLATE(J4641,""EN"",""ES"")"),"Portadesodorantes [para equipos sanitarios]")</f>
        <v>Portadesodorantes [para equipos sanitarios]</v>
      </c>
      <c r="M4641" s="8" t="s">
        <v>74</v>
      </c>
      <c r="N4641" s="8"/>
    </row>
    <row r="4642" spans="1:14" ht="11.25" customHeight="1">
      <c r="A4642" s="5" t="s">
        <v>12888</v>
      </c>
      <c r="B4642" s="5" t="s">
        <v>13429</v>
      </c>
      <c r="C4642" s="5" t="s">
        <v>13443</v>
      </c>
      <c r="D4642" s="5" t="s">
        <v>12891</v>
      </c>
      <c r="E4642" s="5" t="s">
        <v>75</v>
      </c>
      <c r="F4642" s="5" t="s">
        <v>12892</v>
      </c>
      <c r="G4642" s="5" t="s">
        <v>152</v>
      </c>
      <c r="H4642" s="5" t="s">
        <v>13431</v>
      </c>
      <c r="I4642" s="5" t="s">
        <v>13444</v>
      </c>
      <c r="J4642" s="5" t="s">
        <v>13445</v>
      </c>
      <c r="K4642" s="7" t="str">
        <f ca="1">IFERROR(__xludf.DUMMYFUNCTION("GOOGLETRANSLATE(H4642,""EN"",""ES"")"),"Otros equipos y accesorios sanitarios, no comprendidos en otras clases o subclases")</f>
        <v>Otros equipos y accesorios sanitarios, no comprendidos en otras clases o subclases</v>
      </c>
      <c r="L4642" s="5" t="str">
        <f ca="1">IFERROR(__xludf.DUMMYFUNCTION("GOOGLETRANSLATE(J4642,""EN"",""ES"")"),"Portavasos [para baño]")</f>
        <v>Portavasos [para baño]</v>
      </c>
      <c r="M4642" s="8" t="s">
        <v>74</v>
      </c>
      <c r="N4642" s="8"/>
    </row>
    <row r="4643" spans="1:14" ht="11.25" customHeight="1">
      <c r="A4643" s="5" t="s">
        <v>12888</v>
      </c>
      <c r="B4643" s="5" t="s">
        <v>13429</v>
      </c>
      <c r="C4643" s="5" t="s">
        <v>13446</v>
      </c>
      <c r="D4643" s="5" t="s">
        <v>12891</v>
      </c>
      <c r="E4643" s="5" t="s">
        <v>75</v>
      </c>
      <c r="F4643" s="5" t="s">
        <v>12892</v>
      </c>
      <c r="G4643" s="5" t="s">
        <v>152</v>
      </c>
      <c r="H4643" s="5" t="s">
        <v>13431</v>
      </c>
      <c r="I4643" s="5" t="s">
        <v>13447</v>
      </c>
      <c r="J4643" s="5" t="s">
        <v>13448</v>
      </c>
      <c r="K4643" s="7" t="str">
        <f ca="1">IFERROR(__xludf.DUMMYFUNCTION("GOOGLETRANSLATE(H4643,""EN"",""ES"")"),"Otros equipos y accesorios sanitarios, no comprendidos en otras clases o subclases")</f>
        <v>Otros equipos y accesorios sanitarios, no comprendidos en otras clases o subclases</v>
      </c>
      <c r="L4643" s="5" t="str">
        <f ca="1">IFERROR(__xludf.DUMMYFUNCTION("GOOGLETRANSLATE(J4643,""EN"",""ES"")"),"Portaescobillas de lavabo")</f>
        <v>Portaescobillas de lavabo</v>
      </c>
      <c r="M4643" s="8" t="s">
        <v>74</v>
      </c>
      <c r="N4643" s="8"/>
    </row>
    <row r="4644" spans="1:14" ht="11.25" customHeight="1">
      <c r="A4644" s="5" t="s">
        <v>12888</v>
      </c>
      <c r="B4644" s="5" t="s">
        <v>13429</v>
      </c>
      <c r="C4644" s="5" t="s">
        <v>13449</v>
      </c>
      <c r="D4644" s="5" t="s">
        <v>12891</v>
      </c>
      <c r="E4644" s="5" t="s">
        <v>75</v>
      </c>
      <c r="F4644" s="5" t="s">
        <v>12892</v>
      </c>
      <c r="G4644" s="5" t="s">
        <v>152</v>
      </c>
      <c r="H4644" s="5" t="s">
        <v>13431</v>
      </c>
      <c r="I4644" s="5" t="s">
        <v>13450</v>
      </c>
      <c r="J4644" s="5" t="s">
        <v>13451</v>
      </c>
      <c r="K4644" s="7" t="str">
        <f ca="1">IFERROR(__xludf.DUMMYFUNCTION("GOOGLETRANSLATE(H4644,""EN"",""ES"")"),"Otros equipos y accesorios sanitarios, no comprendidos en otras clases o subclases")</f>
        <v>Otros equipos y accesorios sanitarios, no comprendidos en otras clases o subclases</v>
      </c>
      <c r="L4644" s="5" t="str">
        <f ca="1">IFERROR(__xludf.DUMMYFUNCTION("GOOGLETRANSLATE(J4644,""EN"",""ES"")"),"Dispensadores de jabón líquido")</f>
        <v>Dispensadores de jabón líquido</v>
      </c>
      <c r="M4644" s="8" t="s">
        <v>74</v>
      </c>
      <c r="N4644" s="8"/>
    </row>
    <row r="4645" spans="1:14" ht="11.25" customHeight="1">
      <c r="A4645" s="5" t="s">
        <v>12888</v>
      </c>
      <c r="B4645" s="5" t="s">
        <v>13429</v>
      </c>
      <c r="C4645" s="5" t="s">
        <v>13452</v>
      </c>
      <c r="D4645" s="5" t="s">
        <v>12891</v>
      </c>
      <c r="E4645" s="5" t="s">
        <v>75</v>
      </c>
      <c r="F4645" s="5" t="s">
        <v>12892</v>
      </c>
      <c r="G4645" s="5" t="s">
        <v>152</v>
      </c>
      <c r="H4645" s="5" t="s">
        <v>13431</v>
      </c>
      <c r="I4645" s="5" t="s">
        <v>13453</v>
      </c>
      <c r="J4645" s="5" t="s">
        <v>13454</v>
      </c>
      <c r="K4645" s="7" t="str">
        <f ca="1">IFERROR(__xludf.DUMMYFUNCTION("GOOGLETRANSLATE(H4645,""EN"",""ES"")"),"Otros equipos y accesorios sanitarios, no comprendidos en otras clases o subclases")</f>
        <v>Otros equipos y accesorios sanitarios, no comprendidos en otras clases o subclases</v>
      </c>
      <c r="L4645" s="5" t="str">
        <f ca="1">IFERROR(__xludf.DUMMYFUNCTION("GOOGLETRANSLATE(J4645,""EN"",""ES"")"),"Toalleros [equipo sanitario]")</f>
        <v>Toalleros [equipo sanitario]</v>
      </c>
      <c r="M4645" s="8" t="s">
        <v>74</v>
      </c>
      <c r="N4645" s="8"/>
    </row>
    <row r="4646" spans="1:14" ht="11.25" customHeight="1">
      <c r="A4646" s="5" t="s">
        <v>12888</v>
      </c>
      <c r="B4646" s="5" t="s">
        <v>13429</v>
      </c>
      <c r="C4646" s="5" t="s">
        <v>13455</v>
      </c>
      <c r="D4646" s="5" t="s">
        <v>12891</v>
      </c>
      <c r="E4646" s="5" t="s">
        <v>75</v>
      </c>
      <c r="F4646" s="5" t="s">
        <v>12892</v>
      </c>
      <c r="G4646" s="5" t="s">
        <v>152</v>
      </c>
      <c r="H4646" s="5" t="s">
        <v>13431</v>
      </c>
      <c r="I4646" s="5" t="s">
        <v>13456</v>
      </c>
      <c r="J4646" s="5" t="s">
        <v>13457</v>
      </c>
      <c r="K4646" s="7" t="str">
        <f ca="1">IFERROR(__xludf.DUMMYFUNCTION("GOOGLETRANSLATE(H4646,""EN"",""ES"")"),"Otros equipos y accesorios sanitarios, no comprendidos en otras clases o subclases")</f>
        <v>Otros equipos y accesorios sanitarios, no comprendidos en otras clases o subclases</v>
      </c>
      <c r="L4646" s="5" t="str">
        <f ca="1">IFERROR(__xludf.DUMMYFUNCTION("GOOGLETRANSLATE(J4646,""EN"",""ES"")"),"Trampas de alcantarillado")</f>
        <v>Trampas de alcantarillado</v>
      </c>
      <c r="M4646" s="8" t="s">
        <v>74</v>
      </c>
      <c r="N4646" s="8"/>
    </row>
    <row r="4647" spans="1:14" ht="11.25" customHeight="1">
      <c r="A4647" s="5" t="s">
        <v>12888</v>
      </c>
      <c r="B4647" s="5" t="s">
        <v>13429</v>
      </c>
      <c r="C4647" s="5" t="s">
        <v>13458</v>
      </c>
      <c r="D4647" s="5" t="s">
        <v>12891</v>
      </c>
      <c r="E4647" s="5" t="s">
        <v>75</v>
      </c>
      <c r="F4647" s="5" t="s">
        <v>12892</v>
      </c>
      <c r="G4647" s="5" t="s">
        <v>152</v>
      </c>
      <c r="H4647" s="5" t="s">
        <v>13431</v>
      </c>
      <c r="I4647" s="5" t="s">
        <v>13459</v>
      </c>
      <c r="J4647" s="5" t="s">
        <v>13460</v>
      </c>
      <c r="K4647" s="7" t="str">
        <f ca="1">IFERROR(__xludf.DUMMYFUNCTION("GOOGLETRANSLATE(H4647,""EN"",""ES"")"),"Otros equipos y accesorios sanitarios, no comprendidos en otras clases o subclases")</f>
        <v>Otros equipos y accesorios sanitarios, no comprendidos en otras clases o subclases</v>
      </c>
      <c r="L4647" s="5" t="str">
        <f ca="1">IFERROR(__xludf.DUMMYFUNCTION("GOOGLETRANSLATE(J4647,""EN"",""ES"")"),"Dispensadores de jabón")</f>
        <v>Dispensadores de jabón</v>
      </c>
      <c r="M4647" s="8" t="s">
        <v>74</v>
      </c>
      <c r="N4647" s="8"/>
    </row>
    <row r="4648" spans="1:14" ht="11.25" customHeight="1">
      <c r="A4648" s="5" t="s">
        <v>12888</v>
      </c>
      <c r="B4648" s="5" t="s">
        <v>13429</v>
      </c>
      <c r="C4648" s="5" t="s">
        <v>13461</v>
      </c>
      <c r="D4648" s="5" t="s">
        <v>12891</v>
      </c>
      <c r="E4648" s="5" t="s">
        <v>75</v>
      </c>
      <c r="F4648" s="5" t="s">
        <v>12892</v>
      </c>
      <c r="G4648" s="5" t="s">
        <v>152</v>
      </c>
      <c r="H4648" s="5" t="s">
        <v>13431</v>
      </c>
      <c r="I4648" s="5" t="s">
        <v>13462</v>
      </c>
      <c r="J4648" s="5" t="s">
        <v>13463</v>
      </c>
      <c r="K4648" s="7" t="str">
        <f ca="1">IFERROR(__xludf.DUMMYFUNCTION("GOOGLETRANSLATE(H4648,""EN"",""ES"")"),"Otros equipos y accesorios sanitarios, no comprendidos en otras clases o subclases")</f>
        <v>Otros equipos y accesorios sanitarios, no comprendidos en otras clases o subclases</v>
      </c>
      <c r="L4648" s="5" t="str">
        <f ca="1">IFERROR(__xludf.DUMMYFUNCTION("GOOGLETRANSLATE(J4648,""EN"",""ES"")"),"Jaboneras")</f>
        <v>Jaboneras</v>
      </c>
      <c r="M4648" s="8" t="s">
        <v>74</v>
      </c>
      <c r="N4648" s="8"/>
    </row>
    <row r="4649" spans="1:14" ht="11.25" customHeight="1">
      <c r="A4649" s="5" t="s">
        <v>12888</v>
      </c>
      <c r="B4649" s="5" t="s">
        <v>13429</v>
      </c>
      <c r="C4649" s="5" t="s">
        <v>13461</v>
      </c>
      <c r="D4649" s="5" t="s">
        <v>12891</v>
      </c>
      <c r="E4649" s="5" t="s">
        <v>75</v>
      </c>
      <c r="F4649" s="5" t="s">
        <v>12892</v>
      </c>
      <c r="G4649" s="5" t="s">
        <v>152</v>
      </c>
      <c r="H4649" s="5" t="s">
        <v>13431</v>
      </c>
      <c r="I4649" s="5" t="s">
        <v>13464</v>
      </c>
      <c r="J4649" s="5" t="s">
        <v>152</v>
      </c>
      <c r="K4649" s="7" t="str">
        <f ca="1">IFERROR(__xludf.DUMMYFUNCTION("GOOGLETRANSLATE(H4649,""EN"",""ES"")"),"Otros equipos y accesorios sanitarios, no comprendidos en otras clases o subclases")</f>
        <v>Otros equipos y accesorios sanitarios, no comprendidos en otras clases o subclases</v>
      </c>
      <c r="L4649" s="5" t="str">
        <f ca="1">IFERROR(__xludf.DUMMYFUNCTION("GOOGLETRANSLATE(J4649,""EN"",""ES"")"),"jaboneras")</f>
        <v>jaboneras</v>
      </c>
      <c r="M4649" s="8" t="s">
        <v>74</v>
      </c>
      <c r="N4649" s="8"/>
    </row>
    <row r="4650" spans="1:14" ht="11.25" customHeight="1">
      <c r="A4650" s="5" t="s">
        <v>12888</v>
      </c>
      <c r="B4650" s="5" t="s">
        <v>13429</v>
      </c>
      <c r="C4650" s="5" t="s">
        <v>13465</v>
      </c>
      <c r="D4650" s="5" t="s">
        <v>12891</v>
      </c>
      <c r="E4650" s="5" t="s">
        <v>75</v>
      </c>
      <c r="F4650" s="5" t="s">
        <v>12892</v>
      </c>
      <c r="G4650" s="5" t="s">
        <v>152</v>
      </c>
      <c r="H4650" s="5" t="s">
        <v>13431</v>
      </c>
      <c r="I4650" s="5" t="s">
        <v>13466</v>
      </c>
      <c r="J4650" s="5" t="s">
        <v>13467</v>
      </c>
      <c r="K4650" s="7" t="str">
        <f ca="1">IFERROR(__xludf.DUMMYFUNCTION("GOOGLETRANSLATE(H4650,""EN"",""ES"")"),"Otros equipos y accesorios sanitarios, no comprendidos en otras clases o subclases")</f>
        <v>Otros equipos y accesorios sanitarios, no comprendidos en otras clases o subclases</v>
      </c>
      <c r="L4650" s="5" t="str">
        <f ca="1">IFERROR(__xludf.DUMMYFUNCTION("GOOGLETRANSLATE(J4650,""EN"",""ES"")"),"Dispensadores de papel higiénico")</f>
        <v>Dispensadores de papel higiénico</v>
      </c>
      <c r="M4650" s="8" t="s">
        <v>74</v>
      </c>
      <c r="N4650" s="8"/>
    </row>
    <row r="4651" spans="1:14" ht="11.25" customHeight="1">
      <c r="A4651" s="5" t="s">
        <v>12888</v>
      </c>
      <c r="B4651" s="5" t="s">
        <v>13429</v>
      </c>
      <c r="C4651" s="5" t="s">
        <v>13468</v>
      </c>
      <c r="D4651" s="5" t="s">
        <v>12891</v>
      </c>
      <c r="E4651" s="5" t="s">
        <v>75</v>
      </c>
      <c r="F4651" s="5" t="s">
        <v>12892</v>
      </c>
      <c r="G4651" s="5" t="s">
        <v>152</v>
      </c>
      <c r="H4651" s="5" t="s">
        <v>13431</v>
      </c>
      <c r="I4651" s="5" t="s">
        <v>13469</v>
      </c>
      <c r="J4651" s="5" t="s">
        <v>13470</v>
      </c>
      <c r="K4651" s="7" t="str">
        <f ca="1">IFERROR(__xludf.DUMMYFUNCTION("GOOGLETRANSLATE(H4651,""EN"",""ES"")"),"Otros equipos y accesorios sanitarios, no comprendidos en otras clases o subclases")</f>
        <v>Otros equipos y accesorios sanitarios, no comprendidos en otras clases o subclases</v>
      </c>
      <c r="L4651" s="5" t="str">
        <f ca="1">IFERROR(__xludf.DUMMYFUNCTION("GOOGLETRANSLATE(J4651,""EN"",""ES"")"),"Portarrollos de papel higiénico")</f>
        <v>Portarrollos de papel higiénico</v>
      </c>
      <c r="M4651" s="8" t="s">
        <v>74</v>
      </c>
      <c r="N4651" s="8"/>
    </row>
    <row r="4652" spans="1:14" ht="11.25" customHeight="1">
      <c r="A4652" s="5" t="s">
        <v>12888</v>
      </c>
      <c r="B4652" s="5" t="s">
        <v>13429</v>
      </c>
      <c r="C4652" s="5" t="s">
        <v>13468</v>
      </c>
      <c r="D4652" s="5" t="s">
        <v>12891</v>
      </c>
      <c r="E4652" s="5" t="s">
        <v>75</v>
      </c>
      <c r="F4652" s="5" t="s">
        <v>12892</v>
      </c>
      <c r="G4652" s="5" t="s">
        <v>152</v>
      </c>
      <c r="H4652" s="5" t="s">
        <v>13431</v>
      </c>
      <c r="I4652" s="5" t="s">
        <v>152</v>
      </c>
      <c r="J4652" s="5" t="s">
        <v>13471</v>
      </c>
      <c r="K4652" s="7" t="str">
        <f ca="1">IFERROR(__xludf.DUMMYFUNCTION("GOOGLETRANSLATE(H4652,""EN"",""ES"")"),"Otros equipos y accesorios sanitarios, no comprendidos en otras clases o subclases")</f>
        <v>Otros equipos y accesorios sanitarios, no comprendidos en otras clases o subclases</v>
      </c>
      <c r="L4652" s="5" t="str">
        <f ca="1">IFERROR(__xludf.DUMMYFUNCTION("GOOGLETRANSLATE(J4652,""EN"",""ES"")"),"N / A")</f>
        <v>N / A</v>
      </c>
      <c r="M4652" s="8" t="s">
        <v>74</v>
      </c>
      <c r="N4652" s="8"/>
    </row>
    <row r="4653" spans="1:14" ht="11.25" customHeight="1">
      <c r="A4653" s="5" t="s">
        <v>12888</v>
      </c>
      <c r="B4653" s="5" t="s">
        <v>13429</v>
      </c>
      <c r="C4653" s="5" t="s">
        <v>13472</v>
      </c>
      <c r="D4653" s="5" t="s">
        <v>12891</v>
      </c>
      <c r="E4653" s="5" t="s">
        <v>75</v>
      </c>
      <c r="F4653" s="5" t="s">
        <v>12892</v>
      </c>
      <c r="G4653" s="5" t="s">
        <v>152</v>
      </c>
      <c r="H4653" s="5" t="s">
        <v>13431</v>
      </c>
      <c r="I4653" s="5" t="s">
        <v>13473</v>
      </c>
      <c r="J4653" s="5" t="s">
        <v>13474</v>
      </c>
      <c r="K4653" s="7" t="str">
        <f ca="1">IFERROR(__xludf.DUMMYFUNCTION("GOOGLETRANSLATE(H4653,""EN"",""ES"")"),"Otros equipos y accesorios sanitarios, no comprendidos en otras clases o subclases")</f>
        <v>Otros equipos y accesorios sanitarios, no comprendidos en otras clases o subclases</v>
      </c>
      <c r="L4653" s="5" t="str">
        <f ca="1">IFERROR(__xludf.DUMMYFUNCTION("GOOGLETRANSLATE(J4653,""EN"",""ES"")"),"Dispensadores de toallas")</f>
        <v>Dispensadores de toallas</v>
      </c>
      <c r="M4653" s="8" t="s">
        <v>74</v>
      </c>
      <c r="N4653" s="8"/>
    </row>
    <row r="4654" spans="1:14" ht="11.25" customHeight="1">
      <c r="A4654" s="5" t="s">
        <v>12888</v>
      </c>
      <c r="B4654" s="5" t="s">
        <v>13429</v>
      </c>
      <c r="C4654" s="5" t="s">
        <v>13475</v>
      </c>
      <c r="D4654" s="5" t="s">
        <v>12891</v>
      </c>
      <c r="E4654" s="5" t="s">
        <v>75</v>
      </c>
      <c r="F4654" s="5" t="s">
        <v>12892</v>
      </c>
      <c r="G4654" s="5" t="s">
        <v>152</v>
      </c>
      <c r="H4654" s="5" t="s">
        <v>13431</v>
      </c>
      <c r="I4654" s="5" t="s">
        <v>13476</v>
      </c>
      <c r="J4654" s="5" t="s">
        <v>13477</v>
      </c>
      <c r="K4654" s="7" t="str">
        <f ca="1">IFERROR(__xludf.DUMMYFUNCTION("GOOGLETRANSLATE(H4654,""EN"",""ES"")"),"Otros equipos y accesorios sanitarios, no comprendidos en otras clases o subclases")</f>
        <v>Otros equipos y accesorios sanitarios, no comprendidos en otras clases o subclases</v>
      </c>
      <c r="L4654" s="5" t="str">
        <f ca="1">IFERROR(__xludf.DUMMYFUNCTION("GOOGLETRANSLATE(J4654,""EN"",""ES"")"),"Toalleros")</f>
        <v>Toalleros</v>
      </c>
      <c r="M4654" s="8" t="s">
        <v>74</v>
      </c>
      <c r="N4654" s="8"/>
    </row>
    <row r="4655" spans="1:14" ht="11.25" customHeight="1">
      <c r="A4655" s="5" t="s">
        <v>12888</v>
      </c>
      <c r="B4655" s="5" t="s">
        <v>13429</v>
      </c>
      <c r="C4655" s="5" t="s">
        <v>13478</v>
      </c>
      <c r="D4655" s="5" t="s">
        <v>12891</v>
      </c>
      <c r="E4655" s="5" t="s">
        <v>75</v>
      </c>
      <c r="F4655" s="5" t="s">
        <v>12892</v>
      </c>
      <c r="G4655" s="5" t="s">
        <v>152</v>
      </c>
      <c r="H4655" s="5" t="s">
        <v>13431</v>
      </c>
      <c r="I4655" s="5" t="s">
        <v>13479</v>
      </c>
      <c r="J4655" s="5" t="s">
        <v>13480</v>
      </c>
      <c r="K4655" s="7" t="str">
        <f ca="1">IFERROR(__xludf.DUMMYFUNCTION("GOOGLETRANSLATE(H4655,""EN"",""ES"")"),"Otros equipos y accesorios sanitarios, no comprendidos en otras clases o subclases")</f>
        <v>Otros equipos y accesorios sanitarios, no comprendidos en otras clases o subclases</v>
      </c>
      <c r="L4655" s="5" t="str">
        <f ca="1">IFERROR(__xludf.DUMMYFUNCTION("GOOGLETRANSLATE(J4655,""EN"",""ES"")"),"Trampas para aparatos sanitarios.")</f>
        <v>Trampas para aparatos sanitarios.</v>
      </c>
      <c r="M4655" s="8" t="s">
        <v>74</v>
      </c>
      <c r="N4655" s="8"/>
    </row>
    <row r="4656" spans="1:14" ht="11.25" customHeight="1">
      <c r="A4656" s="5" t="s">
        <v>12888</v>
      </c>
      <c r="B4656" s="5" t="s">
        <v>13429</v>
      </c>
      <c r="C4656" s="5" t="s">
        <v>13481</v>
      </c>
      <c r="D4656" s="5" t="s">
        <v>12891</v>
      </c>
      <c r="E4656" s="5" t="s">
        <v>75</v>
      </c>
      <c r="F4656" s="5" t="s">
        <v>12892</v>
      </c>
      <c r="G4656" s="5" t="s">
        <v>152</v>
      </c>
      <c r="H4656" s="5" t="s">
        <v>13431</v>
      </c>
      <c r="I4656" s="5" t="s">
        <v>13482</v>
      </c>
      <c r="J4656" s="5" t="s">
        <v>13483</v>
      </c>
      <c r="K4656" s="7" t="str">
        <f ca="1">IFERROR(__xludf.DUMMYFUNCTION("GOOGLETRANSLATE(H4656,""EN"",""ES"")"),"Otros equipos y accesorios sanitarios, no comprendidos en otras clases o subclases")</f>
        <v>Otros equipos y accesorios sanitarios, no comprendidos en otras clases o subclases</v>
      </c>
      <c r="L4656" s="5" t="str">
        <f ca="1">IFERROR(__xludf.DUMMYFUNCTION("GOOGLETRANSLATE(J4656,""EN"",""ES"")"),"Soportes para bloques de borde de inodoro")</f>
        <v>Soportes para bloques de borde de inodoro</v>
      </c>
      <c r="M4656" s="8" t="s">
        <v>74</v>
      </c>
      <c r="N4656" s="8"/>
    </row>
    <row r="4657" spans="1:14" ht="11.25" customHeight="1">
      <c r="A4657" s="5" t="s">
        <v>12888</v>
      </c>
      <c r="B4657" s="5" t="s">
        <v>13429</v>
      </c>
      <c r="C4657" s="5" t="s">
        <v>13484</v>
      </c>
      <c r="D4657" s="5" t="s">
        <v>12891</v>
      </c>
      <c r="E4657" s="5" t="s">
        <v>75</v>
      </c>
      <c r="F4657" s="5" t="s">
        <v>12892</v>
      </c>
      <c r="G4657" s="5" t="s">
        <v>152</v>
      </c>
      <c r="H4657" s="5" t="s">
        <v>13431</v>
      </c>
      <c r="I4657" s="5" t="s">
        <v>13485</v>
      </c>
      <c r="J4657" s="5" t="s">
        <v>13486</v>
      </c>
      <c r="K4657" s="7" t="str">
        <f ca="1">IFERROR(__xludf.DUMMYFUNCTION("GOOGLETRANSLATE(H4657,""EN"",""ES"")"),"Otros equipos y accesorios sanitarios, no comprendidos en otras clases o subclases")</f>
        <v>Otros equipos y accesorios sanitarios, no comprendidos en otras clases o subclases</v>
      </c>
      <c r="L4657" s="5" t="str">
        <f ca="1">IFERROR(__xludf.DUMMYFUNCTION("GOOGLETRANSLATE(J4657,""EN"",""ES"")"),"Aplicadores de gel limpiador para inodoros")</f>
        <v>Aplicadores de gel limpiador para inodoros</v>
      </c>
      <c r="M4657" s="8" t="s">
        <v>74</v>
      </c>
      <c r="N4657" s="8"/>
    </row>
    <row r="4658" spans="1:14" ht="11.25" customHeight="1">
      <c r="A4658" s="5" t="s">
        <v>12888</v>
      </c>
      <c r="B4658" s="5" t="s">
        <v>13429</v>
      </c>
      <c r="C4658" s="5" t="s">
        <v>13487</v>
      </c>
      <c r="D4658" s="5" t="s">
        <v>12891</v>
      </c>
      <c r="E4658" s="5" t="s">
        <v>75</v>
      </c>
      <c r="F4658" s="5" t="s">
        <v>12892</v>
      </c>
      <c r="G4658" s="5" t="s">
        <v>152</v>
      </c>
      <c r="H4658" s="5" t="s">
        <v>13431</v>
      </c>
      <c r="I4658" s="5" t="s">
        <v>13488</v>
      </c>
      <c r="J4658" s="5" t="s">
        <v>13489</v>
      </c>
      <c r="K4658" s="7" t="str">
        <f ca="1">IFERROR(__xludf.DUMMYFUNCTION("GOOGLETRANSLATE(H4658,""EN"",""ES"")"),"Otros equipos y accesorios sanitarios, no comprendidos en otras clases o subclases")</f>
        <v>Otros equipos y accesorios sanitarios, no comprendidos en otras clases o subclases</v>
      </c>
      <c r="L4658" s="5" t="str">
        <f ca="1">IFERROR(__xludf.DUMMYFUNCTION("GOOGLETRANSLATE(J4658,""EN"",""ES"")"),"Dispensadores de pasta de dientes")</f>
        <v>Dispensadores de pasta de dientes</v>
      </c>
      <c r="M4658" s="8" t="s">
        <v>74</v>
      </c>
      <c r="N4658" s="8"/>
    </row>
    <row r="4659" spans="1:14" ht="11.25" customHeight="1">
      <c r="A4659" s="5" t="s">
        <v>12888</v>
      </c>
      <c r="B4659" s="5" t="s">
        <v>13429</v>
      </c>
      <c r="C4659" s="5" t="s">
        <v>13490</v>
      </c>
      <c r="D4659" s="5" t="s">
        <v>12891</v>
      </c>
      <c r="E4659" s="5" t="s">
        <v>75</v>
      </c>
      <c r="F4659" s="5" t="s">
        <v>12892</v>
      </c>
      <c r="G4659" s="5" t="s">
        <v>152</v>
      </c>
      <c r="H4659" s="5" t="s">
        <v>13431</v>
      </c>
      <c r="I4659" s="5" t="s">
        <v>13491</v>
      </c>
      <c r="J4659" s="5" t="s">
        <v>13492</v>
      </c>
      <c r="K4659" s="7" t="str">
        <f ca="1">IFERROR(__xludf.DUMMYFUNCTION("GOOGLETRANSLATE(H4659,""EN"",""ES"")"),"Otros equipos y accesorios sanitarios, no comprendidos en otras clases o subclases")</f>
        <v>Otros equipos y accesorios sanitarios, no comprendidos en otras clases o subclases</v>
      </c>
      <c r="L4659" s="5" t="str">
        <f ca="1">IFERROR(__xludf.DUMMYFUNCTION("GOOGLETRANSLATE(J4659,""EN"",""ES"")"),"Secadores de manos")</f>
        <v>Secadores de manos</v>
      </c>
      <c r="M4659" s="8" t="s">
        <v>74</v>
      </c>
      <c r="N4659" s="8"/>
    </row>
    <row r="4660" spans="1:14" ht="11.25" customHeight="1">
      <c r="A4660" s="5" t="s">
        <v>12888</v>
      </c>
      <c r="B4660" s="5" t="s">
        <v>13429</v>
      </c>
      <c r="C4660" s="5" t="s">
        <v>13493</v>
      </c>
      <c r="D4660" s="5" t="s">
        <v>12891</v>
      </c>
      <c r="E4660" s="5" t="s">
        <v>75</v>
      </c>
      <c r="F4660" s="5" t="s">
        <v>12892</v>
      </c>
      <c r="G4660" s="5" t="s">
        <v>152</v>
      </c>
      <c r="H4660" s="5" t="s">
        <v>13431</v>
      </c>
      <c r="I4660" s="5" t="s">
        <v>13494</v>
      </c>
      <c r="J4660" s="5" t="s">
        <v>13495</v>
      </c>
      <c r="K4660" s="7" t="str">
        <f ca="1">IFERROR(__xludf.DUMMYFUNCTION("GOOGLETRANSLATE(H4660,""EN"",""ES"")"),"Otros equipos y accesorios sanitarios, no comprendidos en otras clases o subclases")</f>
        <v>Otros equipos y accesorios sanitarios, no comprendidos en otras clases o subclases</v>
      </c>
      <c r="L4660" s="5" t="str">
        <f ca="1">IFERROR(__xludf.DUMMYFUNCTION("GOOGLETRANSLATE(J4660,""EN"",""ES"")"),"Dispensadores de desinfectante para manos")</f>
        <v>Dispensadores de desinfectante para manos</v>
      </c>
      <c r="M4660" s="8" t="s">
        <v>74</v>
      </c>
      <c r="N4660" s="8"/>
    </row>
    <row r="4661" spans="1:14" ht="11.25" customHeight="1">
      <c r="A4661" s="5" t="s">
        <v>12888</v>
      </c>
      <c r="B4661" s="5" t="s">
        <v>13429</v>
      </c>
      <c r="C4661" s="5" t="s">
        <v>13496</v>
      </c>
      <c r="D4661" s="5" t="s">
        <v>12891</v>
      </c>
      <c r="E4661" s="5" t="s">
        <v>75</v>
      </c>
      <c r="F4661" s="5" t="s">
        <v>12892</v>
      </c>
      <c r="G4661" s="5" t="s">
        <v>152</v>
      </c>
      <c r="H4661" s="5" t="s">
        <v>13431</v>
      </c>
      <c r="I4661" s="5" t="s">
        <v>13497</v>
      </c>
      <c r="J4661" s="5" t="s">
        <v>13498</v>
      </c>
      <c r="K4661" s="7" t="str">
        <f ca="1">IFERROR(__xludf.DUMMYFUNCTION("GOOGLETRANSLATE(H4661,""EN"",""ES"")"),"Otros equipos y accesorios sanitarios, no comprendidos en otras clases o subclases")</f>
        <v>Otros equipos y accesorios sanitarios, no comprendidos en otras clases o subclases</v>
      </c>
      <c r="L4661" s="5" t="str">
        <f ca="1">IFERROR(__xludf.DUMMYFUNCTION("GOOGLETRANSLATE(J4661,""EN"",""ES"")"),"Dispensadores de desinfectante para manos montados en la muñeca")</f>
        <v>Dispensadores de desinfectante para manos montados en la muñeca</v>
      </c>
      <c r="M4661" s="8" t="s">
        <v>74</v>
      </c>
      <c r="N4661" s="8"/>
    </row>
    <row r="4662" spans="1:14" ht="11.25" customHeight="1">
      <c r="A4662" s="5" t="s">
        <v>12888</v>
      </c>
      <c r="B4662" s="5" t="s">
        <v>13429</v>
      </c>
      <c r="C4662" s="5" t="s">
        <v>13499</v>
      </c>
      <c r="D4662" s="5" t="s">
        <v>12891</v>
      </c>
      <c r="E4662" s="5" t="s">
        <v>75</v>
      </c>
      <c r="F4662" s="5" t="s">
        <v>12892</v>
      </c>
      <c r="G4662" s="5" t="s">
        <v>152</v>
      </c>
      <c r="H4662" s="5" t="s">
        <v>13431</v>
      </c>
      <c r="I4662" s="5" t="s">
        <v>13500</v>
      </c>
      <c r="J4662" s="5" t="s">
        <v>13501</v>
      </c>
      <c r="K4662" s="7" t="str">
        <f ca="1">IFERROR(__xludf.DUMMYFUNCTION("GOOGLETRANSLATE(H4662,""EN"",""ES"")"),"Otros equipos y accesorios sanitarios, no comprendidos en otras clases o subclases")</f>
        <v>Otros equipos y accesorios sanitarios, no comprendidos en otras clases o subclases</v>
      </c>
      <c r="L4662" s="5" t="str">
        <f ca="1">IFERROR(__xludf.DUMMYFUNCTION("GOOGLETRANSLATE(J4662,""EN"",""ES"")"),"Humedecedores de papel higiénico")</f>
        <v>Humedecedores de papel higiénico</v>
      </c>
      <c r="M4662" s="8" t="s">
        <v>74</v>
      </c>
      <c r="N4662" s="8"/>
    </row>
    <row r="4663" spans="1:14" ht="11.25" customHeight="1">
      <c r="A4663" s="5" t="s">
        <v>12888</v>
      </c>
      <c r="B4663" s="5" t="s">
        <v>13502</v>
      </c>
      <c r="C4663" s="5" t="s">
        <v>13503</v>
      </c>
      <c r="D4663" s="5" t="s">
        <v>12891</v>
      </c>
      <c r="E4663" s="5" t="s">
        <v>75</v>
      </c>
      <c r="F4663" s="5" t="s">
        <v>12892</v>
      </c>
      <c r="G4663" s="5" t="s">
        <v>152</v>
      </c>
      <c r="H4663" s="5" t="s">
        <v>330</v>
      </c>
      <c r="I4663" s="5" t="s">
        <v>13504</v>
      </c>
      <c r="J4663" s="5" t="s">
        <v>13505</v>
      </c>
      <c r="K4663" s="7" t="str">
        <f ca="1">IFERROR(__xludf.DUMMYFUNCTION("GOOGLETRANSLATE(H4663,""EN"",""ES"")"),"MISCELÁNEAS")</f>
        <v>MISCELÁNEAS</v>
      </c>
      <c r="L4663" s="5" t="str">
        <f ca="1">IFERROR(__xludf.DUMMYFUNCTION("GOOGLETRANSLATE(J4663,""EN"",""ES"")"),"Aparato de destilación de agua")</f>
        <v>Aparato de destilación de agua</v>
      </c>
      <c r="M4663" s="8" t="s">
        <v>74</v>
      </c>
      <c r="N4663" s="8"/>
    </row>
    <row r="4664" spans="1:14" ht="11.25" customHeight="1">
      <c r="A4664" s="5" t="s">
        <v>12888</v>
      </c>
      <c r="B4664" s="5" t="s">
        <v>13502</v>
      </c>
      <c r="C4664" s="5" t="s">
        <v>13503</v>
      </c>
      <c r="D4664" s="5" t="s">
        <v>12891</v>
      </c>
      <c r="E4664" s="5" t="s">
        <v>75</v>
      </c>
      <c r="F4664" s="5" t="s">
        <v>12892</v>
      </c>
      <c r="G4664" s="5" t="s">
        <v>152</v>
      </c>
      <c r="H4664" s="5" t="s">
        <v>330</v>
      </c>
      <c r="I4664" s="5" t="s">
        <v>152</v>
      </c>
      <c r="J4664" s="5" t="s">
        <v>13506</v>
      </c>
      <c r="K4664" s="7" t="str">
        <f ca="1">IFERROR(__xludf.DUMMYFUNCTION("GOOGLETRANSLATE(H4664,""EN"",""ES"")"),"MISCELÁNEAS")</f>
        <v>MISCELÁNEAS</v>
      </c>
      <c r="L4664" s="5" t="str">
        <f ca="1">IFERROR(__xludf.DUMMYFUNCTION("GOOGLETRANSLATE(J4664,""EN"",""ES"")"),"N / A")</f>
        <v>N / A</v>
      </c>
      <c r="M4664" s="8" t="s">
        <v>74</v>
      </c>
      <c r="N4664" s="8"/>
    </row>
    <row r="4665" spans="1:14" ht="11.25" customHeight="1">
      <c r="A4665" s="5" t="s">
        <v>12888</v>
      </c>
      <c r="B4665" s="5" t="s">
        <v>13502</v>
      </c>
      <c r="C4665" s="5" t="s">
        <v>13507</v>
      </c>
      <c r="D4665" s="5" t="s">
        <v>12891</v>
      </c>
      <c r="E4665" s="5" t="s">
        <v>75</v>
      </c>
      <c r="F4665" s="5" t="s">
        <v>12892</v>
      </c>
      <c r="G4665" s="5" t="s">
        <v>152</v>
      </c>
      <c r="H4665" s="5" t="s">
        <v>330</v>
      </c>
      <c r="I4665" s="5" t="s">
        <v>13508</v>
      </c>
      <c r="J4665" s="5" t="s">
        <v>13509</v>
      </c>
      <c r="K4665" s="7" t="str">
        <f ca="1">IFERROR(__xludf.DUMMYFUNCTION("GOOGLETRANSLATE(H4665,""EN"",""ES"")"),"MISCELÁNEAS")</f>
        <v>MISCELÁNEAS</v>
      </c>
      <c r="L4665" s="5" t="str">
        <f ca="1">IFERROR(__xludf.DUMMYFUNCTION("GOOGLETRANSLATE(J4665,""EN"",""ES"")"),"Quemadores de basura")</f>
        <v>Quemadores de basura</v>
      </c>
      <c r="M4665" s="8" t="s">
        <v>74</v>
      </c>
      <c r="N4665" s="8"/>
    </row>
    <row r="4666" spans="1:14" ht="11.25" customHeight="1">
      <c r="A4666" s="5" t="s">
        <v>12888</v>
      </c>
      <c r="B4666" s="5" t="s">
        <v>13502</v>
      </c>
      <c r="C4666" s="5" t="s">
        <v>13510</v>
      </c>
      <c r="D4666" s="5" t="s">
        <v>12891</v>
      </c>
      <c r="E4666" s="5" t="s">
        <v>75</v>
      </c>
      <c r="F4666" s="5" t="s">
        <v>12892</v>
      </c>
      <c r="G4666" s="5" t="s">
        <v>152</v>
      </c>
      <c r="H4666" s="5" t="s">
        <v>330</v>
      </c>
      <c r="I4666" s="5" t="s">
        <v>13511</v>
      </c>
      <c r="J4666" s="5" t="s">
        <v>13512</v>
      </c>
      <c r="K4666" s="7" t="str">
        <f ca="1">IFERROR(__xludf.DUMMYFUNCTION("GOOGLETRANSLATE(H4666,""EN"",""ES"")"),"MISCELÁNEAS")</f>
        <v>MISCELÁNEAS</v>
      </c>
      <c r="L4666" s="5" t="str">
        <f ca="1">IFERROR(__xludf.DUMMYFUNCTION("GOOGLETRANSLATE(J4666,""EN"",""ES"")"),"Incineradores de basura")</f>
        <v>Incineradores de basura</v>
      </c>
      <c r="M4666" s="8" t="s">
        <v>74</v>
      </c>
      <c r="N4666" s="8"/>
    </row>
    <row r="4667" spans="1:14" ht="11.25" customHeight="1">
      <c r="A4667" s="5" t="s">
        <v>12888</v>
      </c>
      <c r="B4667" s="5" t="s">
        <v>13502</v>
      </c>
      <c r="C4667" s="5" t="s">
        <v>13513</v>
      </c>
      <c r="D4667" s="5" t="s">
        <v>12891</v>
      </c>
      <c r="E4667" s="5" t="s">
        <v>75</v>
      </c>
      <c r="F4667" s="5" t="s">
        <v>12892</v>
      </c>
      <c r="G4667" s="5" t="s">
        <v>152</v>
      </c>
      <c r="H4667" s="5" t="s">
        <v>330</v>
      </c>
      <c r="I4667" s="5" t="s">
        <v>13514</v>
      </c>
      <c r="J4667" s="5" t="s">
        <v>13515</v>
      </c>
      <c r="K4667" s="7" t="str">
        <f ca="1">IFERROR(__xludf.DUMMYFUNCTION("GOOGLETRANSLATE(H4667,""EN"",""ES"")"),"MISCELÁNEAS")</f>
        <v>MISCELÁNEAS</v>
      </c>
      <c r="L4667" s="5" t="str">
        <f ca="1">IFERROR(__xludf.DUMMYFUNCTION("GOOGLETRANSLATE(J4667,""EN"",""ES"")"),"Atomizadores esterilizadores [manuales]")</f>
        <v>Atomizadores esterilizadores [manuales]</v>
      </c>
      <c r="M4667" s="8" t="s">
        <v>74</v>
      </c>
      <c r="N4667" s="8"/>
    </row>
    <row r="4668" spans="1:14" ht="11.25" customHeight="1">
      <c r="A4668" s="5" t="s">
        <v>12888</v>
      </c>
      <c r="B4668" s="5" t="s">
        <v>13502</v>
      </c>
      <c r="C4668" s="5" t="s">
        <v>13516</v>
      </c>
      <c r="D4668" s="5" t="s">
        <v>12891</v>
      </c>
      <c r="E4668" s="5" t="s">
        <v>75</v>
      </c>
      <c r="F4668" s="5" t="s">
        <v>12892</v>
      </c>
      <c r="G4668" s="5" t="s">
        <v>152</v>
      </c>
      <c r="H4668" s="5" t="s">
        <v>330</v>
      </c>
      <c r="I4668" s="5" t="s">
        <v>13517</v>
      </c>
      <c r="J4668" s="5" t="s">
        <v>13518</v>
      </c>
      <c r="K4668" s="7" t="str">
        <f ca="1">IFERROR(__xludf.DUMMYFUNCTION("GOOGLETRANSLATE(H4668,""EN"",""ES"")"),"MISCELÁNEAS")</f>
        <v>MISCELÁNEAS</v>
      </c>
      <c r="L4668" s="5" t="str">
        <f ca="1">IFERROR(__xludf.DUMMYFUNCTION("GOOGLETRANSLATE(J4668,""EN"",""ES"")"),"Cámaras de desinfección humana [excepto para fines médicos]")</f>
        <v>Cámaras de desinfección humana [excepto para fines médicos]</v>
      </c>
      <c r="M4668" s="8" t="s">
        <v>74</v>
      </c>
      <c r="N4668" s="8"/>
    </row>
    <row r="4669" spans="1:14" ht="11.25" customHeight="1">
      <c r="A4669" s="5" t="s">
        <v>12888</v>
      </c>
      <c r="B4669" s="5" t="s">
        <v>13502</v>
      </c>
      <c r="C4669" s="5" t="s">
        <v>13519</v>
      </c>
      <c r="D4669" s="5" t="s">
        <v>12891</v>
      </c>
      <c r="E4669" s="5" t="s">
        <v>75</v>
      </c>
      <c r="F4669" s="5" t="s">
        <v>12892</v>
      </c>
      <c r="G4669" s="5" t="s">
        <v>152</v>
      </c>
      <c r="H4669" s="5" t="s">
        <v>330</v>
      </c>
      <c r="I4669" s="5" t="s">
        <v>13520</v>
      </c>
      <c r="J4669" s="5" t="s">
        <v>13521</v>
      </c>
      <c r="K4669" s="7" t="str">
        <f ca="1">IFERROR(__xludf.DUMMYFUNCTION("GOOGLETRANSLATE(H4669,""EN"",""ES"")"),"MISCELÁNEAS")</f>
        <v>MISCELÁNEAS</v>
      </c>
      <c r="L4669" s="5" t="str">
        <f ca="1">IFERROR(__xludf.DUMMYFUNCTION("GOOGLETRANSLATE(J4669,""EN"",""ES"")"),"Nebulizadores desinfectantes [eléctricos] [excepto para uso agrícola]")</f>
        <v>Nebulizadores desinfectantes [eléctricos] [excepto para uso agrícola]</v>
      </c>
      <c r="M4669" s="8" t="s">
        <v>74</v>
      </c>
      <c r="N4669" s="8"/>
    </row>
    <row r="4670" spans="1:14" ht="11.25" customHeight="1">
      <c r="A4670" s="5" t="s">
        <v>12888</v>
      </c>
      <c r="B4670" s="5" t="s">
        <v>13502</v>
      </c>
      <c r="C4670" s="5" t="s">
        <v>13522</v>
      </c>
      <c r="D4670" s="5" t="s">
        <v>12891</v>
      </c>
      <c r="E4670" s="5" t="s">
        <v>75</v>
      </c>
      <c r="F4670" s="5" t="s">
        <v>12892</v>
      </c>
      <c r="G4670" s="5" t="s">
        <v>152</v>
      </c>
      <c r="H4670" s="5" t="s">
        <v>330</v>
      </c>
      <c r="I4670" s="5" t="s">
        <v>13523</v>
      </c>
      <c r="J4670" s="5" t="s">
        <v>13524</v>
      </c>
      <c r="K4670" s="7" t="str">
        <f ca="1">IFERROR(__xludf.DUMMYFUNCTION("GOOGLETRANSLATE(H4670,""EN"",""ES"")"),"MISCELÁNEAS")</f>
        <v>MISCELÁNEAS</v>
      </c>
      <c r="L4670" s="5" t="str">
        <f ca="1">IFERROR(__xludf.DUMMYFUNCTION("GOOGLETRANSLATE(J4670,""EN"",""ES"")"),"Robots de desinfección ultravioleta")</f>
        <v>Robots de desinfección ultravioleta</v>
      </c>
      <c r="M4670" s="8" t="s">
        <v>74</v>
      </c>
      <c r="N4670" s="8"/>
    </row>
    <row r="4671" spans="1:14" ht="11.25" customHeight="1">
      <c r="A4671" s="5" t="s">
        <v>13525</v>
      </c>
      <c r="B4671" s="5" t="s">
        <v>13526</v>
      </c>
      <c r="C4671" s="5" t="s">
        <v>13527</v>
      </c>
      <c r="D4671" s="5" t="s">
        <v>13528</v>
      </c>
      <c r="E4671" s="5" t="s">
        <v>32</v>
      </c>
      <c r="F4671" s="5" t="s">
        <v>13529</v>
      </c>
      <c r="G4671" s="5" t="s">
        <v>13530</v>
      </c>
      <c r="H4671" s="5" t="s">
        <v>13531</v>
      </c>
      <c r="I4671" s="5" t="s">
        <v>13532</v>
      </c>
      <c r="J4671" s="5" t="s">
        <v>13533</v>
      </c>
      <c r="K4671" s="7" t="str">
        <f ca="1">IFERROR(__xludf.DUMMYFUNCTION("GOOGLETRANSLATE(H4671,""EN"",""ES"")"),"APARATOS Y EQUIPOS PARA MÉDICOS, HOSPITALES Y LABORATORIOS")</f>
        <v>APARATOS Y EQUIPOS PARA MÉDICOS, HOSPITALES Y LABORATORIOS</v>
      </c>
      <c r="L4671" s="5" t="str">
        <f ca="1">IFERROR(__xludf.DUMMYFUNCTION("GOOGLETRANSLATE(J4671,""EN"",""ES"")"),"Aceleradores de partículas")</f>
        <v>Aceleradores de partículas</v>
      </c>
      <c r="M4671" s="8" t="s">
        <v>79</v>
      </c>
      <c r="N4671" s="8"/>
    </row>
    <row r="4672" spans="1:14" ht="11.25" customHeight="1">
      <c r="A4672" s="5" t="s">
        <v>13525</v>
      </c>
      <c r="B4672" s="5" t="s">
        <v>13526</v>
      </c>
      <c r="C4672" s="5" t="s">
        <v>13534</v>
      </c>
      <c r="D4672" s="5" t="s">
        <v>13528</v>
      </c>
      <c r="E4672" s="5" t="s">
        <v>32</v>
      </c>
      <c r="F4672" s="5" t="s">
        <v>13529</v>
      </c>
      <c r="G4672" s="5" t="s">
        <v>13530</v>
      </c>
      <c r="H4672" s="5" t="s">
        <v>13531</v>
      </c>
      <c r="I4672" s="5" t="s">
        <v>13535</v>
      </c>
      <c r="J4672" s="5" t="s">
        <v>13536</v>
      </c>
      <c r="K4672" s="7" t="str">
        <f ca="1">IFERROR(__xludf.DUMMYFUNCTION("GOOGLETRANSLATE(H4672,""EN"",""ES"")"),"APARATOS Y EQUIPOS PARA MÉDICOS, HOSPITALES Y LABORATORIOS")</f>
        <v>APARATOS Y EQUIPOS PARA MÉDICOS, HOSPITALES Y LABORATORIOS</v>
      </c>
      <c r="L4672" s="5" t="str">
        <f ca="1">IFERROR(__xludf.DUMMYFUNCTION("GOOGLETRANSLATE(J4672,""EN"",""ES"")"),"Aparato de análisis de sangre")</f>
        <v>Aparato de análisis de sangre</v>
      </c>
      <c r="M4672" s="8" t="s">
        <v>79</v>
      </c>
      <c r="N4672" s="8"/>
    </row>
    <row r="4673" spans="1:14" ht="11.25" customHeight="1">
      <c r="A4673" s="5" t="s">
        <v>13525</v>
      </c>
      <c r="B4673" s="5" t="s">
        <v>13526</v>
      </c>
      <c r="C4673" s="5" t="s">
        <v>13537</v>
      </c>
      <c r="D4673" s="5" t="s">
        <v>13528</v>
      </c>
      <c r="E4673" s="5" t="s">
        <v>32</v>
      </c>
      <c r="F4673" s="5" t="s">
        <v>13529</v>
      </c>
      <c r="G4673" s="5" t="s">
        <v>13530</v>
      </c>
      <c r="H4673" s="5" t="s">
        <v>13531</v>
      </c>
      <c r="I4673" s="5" t="s">
        <v>13538</v>
      </c>
      <c r="J4673" s="5" t="s">
        <v>13539</v>
      </c>
      <c r="K4673" s="7" t="str">
        <f ca="1">IFERROR(__xludf.DUMMYFUNCTION("GOOGLETRANSLATE(H4673,""EN"",""ES"")"),"APARATOS Y EQUIPOS PARA MÉDICOS, HOSPITALES Y LABORATORIOS")</f>
        <v>APARATOS Y EQUIPOS PARA MÉDICOS, HOSPITALES Y LABORATORIOS</v>
      </c>
      <c r="L4673" s="5" t="str">
        <f ca="1">IFERROR(__xludf.DUMMYFUNCTION("GOOGLETRANSLATE(J4673,""EN"",""ES"")"),"Aparato anestésico")</f>
        <v>Aparato anestésico</v>
      </c>
      <c r="M4673" s="8" t="s">
        <v>79</v>
      </c>
      <c r="N4673" s="8"/>
    </row>
    <row r="4674" spans="1:14" ht="11.25" customHeight="1">
      <c r="A4674" s="5" t="s">
        <v>13525</v>
      </c>
      <c r="B4674" s="5" t="s">
        <v>13526</v>
      </c>
      <c r="C4674" s="5" t="s">
        <v>13540</v>
      </c>
      <c r="D4674" s="5" t="s">
        <v>13528</v>
      </c>
      <c r="E4674" s="5" t="s">
        <v>32</v>
      </c>
      <c r="F4674" s="5" t="s">
        <v>13529</v>
      </c>
      <c r="G4674" s="5" t="s">
        <v>13530</v>
      </c>
      <c r="H4674" s="5" t="s">
        <v>13531</v>
      </c>
      <c r="I4674" s="5" t="s">
        <v>13541</v>
      </c>
      <c r="J4674" s="5" t="s">
        <v>13542</v>
      </c>
      <c r="K4674" s="7" t="str">
        <f ca="1">IFERROR(__xludf.DUMMYFUNCTION("GOOGLETRANSLATE(H4674,""EN"",""ES"")"),"APARATOS Y EQUIPOS PARA MÉDICOS, HOSPITALES Y LABORATORIOS")</f>
        <v>APARATOS Y EQUIPOS PARA MÉDICOS, HOSPITALES Y LABORATORIOS</v>
      </c>
      <c r="L4674" s="5" t="str">
        <f ca="1">IFERROR(__xludf.DUMMYFUNCTION("GOOGLETRANSLATE(J4674,""EN"",""ES"")"),"Equipos de desinfección para locales.")</f>
        <v>Equipos de desinfección para locales.</v>
      </c>
      <c r="M4674" s="8" t="s">
        <v>79</v>
      </c>
      <c r="N4674" s="8"/>
    </row>
    <row r="4675" spans="1:14" ht="11.25" customHeight="1">
      <c r="A4675" s="5" t="s">
        <v>13525</v>
      </c>
      <c r="B4675" s="5" t="s">
        <v>13526</v>
      </c>
      <c r="C4675" s="5" t="s">
        <v>13543</v>
      </c>
      <c r="D4675" s="5" t="s">
        <v>13528</v>
      </c>
      <c r="E4675" s="5" t="s">
        <v>32</v>
      </c>
      <c r="F4675" s="5" t="s">
        <v>13529</v>
      </c>
      <c r="G4675" s="5" t="s">
        <v>13530</v>
      </c>
      <c r="H4675" s="5" t="s">
        <v>13531</v>
      </c>
      <c r="I4675" s="5" t="s">
        <v>13544</v>
      </c>
      <c r="J4675" s="5" t="s">
        <v>13545</v>
      </c>
      <c r="K4675" s="7" t="str">
        <f ca="1">IFERROR(__xludf.DUMMYFUNCTION("GOOGLETRANSLATE(H4675,""EN"",""ES"")"),"APARATOS Y EQUIPOS PARA MÉDICOS, HOSPITALES Y LABORATORIOS")</f>
        <v>APARATOS Y EQUIPOS PARA MÉDICOS, HOSPITALES Y LABORATORIOS</v>
      </c>
      <c r="L4675" s="5" t="str">
        <f ca="1">IFERROR(__xludf.DUMMYFUNCTION("GOOGLETRANSLATE(J4675,""EN"",""ES"")"),"Audiómetros")</f>
        <v>Audiómetros</v>
      </c>
      <c r="M4675" s="8" t="s">
        <v>79</v>
      </c>
      <c r="N4675" s="8"/>
    </row>
    <row r="4676" spans="1:14" ht="11.25" customHeight="1">
      <c r="A4676" s="5" t="s">
        <v>13525</v>
      </c>
      <c r="B4676" s="5" t="s">
        <v>13526</v>
      </c>
      <c r="C4676" s="5" t="s">
        <v>13546</v>
      </c>
      <c r="D4676" s="5" t="s">
        <v>13528</v>
      </c>
      <c r="E4676" s="5" t="s">
        <v>32</v>
      </c>
      <c r="F4676" s="5" t="s">
        <v>13529</v>
      </c>
      <c r="G4676" s="5" t="s">
        <v>13530</v>
      </c>
      <c r="H4676" s="5" t="s">
        <v>13531</v>
      </c>
      <c r="I4676" s="5" t="s">
        <v>13547</v>
      </c>
      <c r="J4676" s="5" t="s">
        <v>13548</v>
      </c>
      <c r="K4676" s="7" t="str">
        <f ca="1">IFERROR(__xludf.DUMMYFUNCTION("GOOGLETRANSLATE(H4676,""EN"",""ES"")"),"APARATOS Y EQUIPOS PARA MÉDICOS, HOSPITALES Y LABORATORIOS")</f>
        <v>APARATOS Y EQUIPOS PARA MÉDICOS, HOSPITALES Y LABORATORIOS</v>
      </c>
      <c r="L4676" s="5" t="str">
        <f ca="1">IFERROR(__xludf.DUMMYFUNCTION("GOOGLETRANSLATE(J4676,""EN"",""ES"")"),"Autoclaves [medicina]")</f>
        <v>Autoclaves [medicina]</v>
      </c>
      <c r="M4676" s="8" t="s">
        <v>79</v>
      </c>
      <c r="N4676" s="8"/>
    </row>
    <row r="4677" spans="1:14" ht="11.25" customHeight="1">
      <c r="A4677" s="5" t="s">
        <v>13525</v>
      </c>
      <c r="B4677" s="5" t="s">
        <v>13526</v>
      </c>
      <c r="C4677" s="5" t="s">
        <v>13549</v>
      </c>
      <c r="D4677" s="5" t="s">
        <v>13528</v>
      </c>
      <c r="E4677" s="5" t="s">
        <v>32</v>
      </c>
      <c r="F4677" s="5" t="s">
        <v>13529</v>
      </c>
      <c r="G4677" s="5" t="s">
        <v>13530</v>
      </c>
      <c r="H4677" s="5" t="s">
        <v>13531</v>
      </c>
      <c r="I4677" s="5" t="s">
        <v>13550</v>
      </c>
      <c r="J4677" s="5" t="s">
        <v>13551</v>
      </c>
      <c r="K4677" s="7" t="str">
        <f ca="1">IFERROR(__xludf.DUMMYFUNCTION("GOOGLETRANSLATE(H4677,""EN"",""ES"")"),"APARATOS Y EQUIPOS PARA MÉDICOS, HOSPITALES Y LABORATORIOS")</f>
        <v>APARATOS Y EQUIPOS PARA MÉDICOS, HOSPITALES Y LABORATORIOS</v>
      </c>
      <c r="L4677" s="5" t="str">
        <f ca="1">IFERROR(__xludf.DUMMYFUNCTION("GOOGLETRANSLATE(J4677,""EN"",""ES"")"),"Aparatos y equipos para pruebas oculares.")</f>
        <v>Aparatos y equipos para pruebas oculares.</v>
      </c>
      <c r="M4677" s="8" t="s">
        <v>79</v>
      </c>
      <c r="N4677" s="8"/>
    </row>
    <row r="4678" spans="1:14" ht="11.25" customHeight="1">
      <c r="A4678" s="5" t="s">
        <v>13525</v>
      </c>
      <c r="B4678" s="5" t="s">
        <v>13526</v>
      </c>
      <c r="C4678" s="5" t="s">
        <v>13552</v>
      </c>
      <c r="D4678" s="5" t="s">
        <v>13528</v>
      </c>
      <c r="E4678" s="5" t="s">
        <v>32</v>
      </c>
      <c r="F4678" s="5" t="s">
        <v>13529</v>
      </c>
      <c r="G4678" s="5" t="s">
        <v>13530</v>
      </c>
      <c r="H4678" s="5" t="s">
        <v>13531</v>
      </c>
      <c r="I4678" s="5" t="s">
        <v>13553</v>
      </c>
      <c r="J4678" s="5" t="s">
        <v>13554</v>
      </c>
      <c r="K4678" s="7" t="str">
        <f ca="1">IFERROR(__xludf.DUMMYFUNCTION("GOOGLETRANSLATE(H4678,""EN"",""ES"")"),"APARATOS Y EQUIPOS PARA MÉDICOS, HOSPITALES Y LABORATORIOS")</f>
        <v>APARATOS Y EQUIPOS PARA MÉDICOS, HOSPITALES Y LABORATORIOS</v>
      </c>
      <c r="L4678" s="5" t="str">
        <f ca="1">IFERROR(__xludf.DUMMYFUNCTION("GOOGLETRANSLATE(J4678,""EN"",""ES"")"),"Incubadoras para recién nacidos")</f>
        <v>Incubadoras para recién nacidos</v>
      </c>
      <c r="M4678" s="8" t="s">
        <v>79</v>
      </c>
      <c r="N4678" s="8"/>
    </row>
    <row r="4679" spans="1:14" ht="11.25" customHeight="1">
      <c r="A4679" s="5" t="s">
        <v>13525</v>
      </c>
      <c r="B4679" s="5" t="s">
        <v>13526</v>
      </c>
      <c r="C4679" s="5" t="s">
        <v>13555</v>
      </c>
      <c r="D4679" s="5" t="s">
        <v>13528</v>
      </c>
      <c r="E4679" s="5" t="s">
        <v>32</v>
      </c>
      <c r="F4679" s="5" t="s">
        <v>13529</v>
      </c>
      <c r="G4679" s="5" t="s">
        <v>13530</v>
      </c>
      <c r="H4679" s="5" t="s">
        <v>13531</v>
      </c>
      <c r="I4679" s="5" t="s">
        <v>13556</v>
      </c>
      <c r="J4679" s="5" t="s">
        <v>13557</v>
      </c>
      <c r="K4679" s="7" t="str">
        <f ca="1">IFERROR(__xludf.DUMMYFUNCTION("GOOGLETRANSLATE(H4679,""EN"",""ES"")"),"APARATOS Y EQUIPOS PARA MÉDICOS, HOSPITALES Y LABORATORIOS")</f>
        <v>APARATOS Y EQUIPOS PARA MÉDICOS, HOSPITALES Y LABORATORIOS</v>
      </c>
      <c r="L4679" s="5" t="str">
        <f ca="1">IFERROR(__xludf.DUMMYFUNCTION("GOOGLETRANSLATE(J4679,""EN"",""ES"")"),"Aparatos de relajación muscular para uso médico.")</f>
        <v>Aparatos de relajación muscular para uso médico.</v>
      </c>
      <c r="M4679" s="8" t="s">
        <v>79</v>
      </c>
      <c r="N4679" s="8"/>
    </row>
    <row r="4680" spans="1:14" ht="11.25" customHeight="1">
      <c r="A4680" s="5" t="s">
        <v>13525</v>
      </c>
      <c r="B4680" s="5" t="s">
        <v>13526</v>
      </c>
      <c r="C4680" s="5" t="s">
        <v>13558</v>
      </c>
      <c r="D4680" s="5" t="s">
        <v>13528</v>
      </c>
      <c r="E4680" s="5" t="s">
        <v>32</v>
      </c>
      <c r="F4680" s="5" t="s">
        <v>13529</v>
      </c>
      <c r="G4680" s="5" t="s">
        <v>13530</v>
      </c>
      <c r="H4680" s="5" t="s">
        <v>13531</v>
      </c>
      <c r="I4680" s="5" t="s">
        <v>13559</v>
      </c>
      <c r="J4680" s="5" t="s">
        <v>13560</v>
      </c>
      <c r="K4680" s="7" t="str">
        <f ca="1">IFERROR(__xludf.DUMMYFUNCTION("GOOGLETRANSLATE(H4680,""EN"",""ES"")"),"APARATOS Y EQUIPOS PARA MÉDICOS, HOSPITALES Y LABORATORIOS")</f>
        <v>APARATOS Y EQUIPOS PARA MÉDICOS, HOSPITALES Y LABORATORIOS</v>
      </c>
      <c r="L4680" s="5" t="str">
        <f ca="1">IFERROR(__xludf.DUMMYFUNCTION("GOOGLETRANSLATE(J4680,""EN"",""ES"")"),"Aparatos dentales [fijos]")</f>
        <v>Aparatos dentales [fijos]</v>
      </c>
      <c r="M4680" s="8" t="s">
        <v>79</v>
      </c>
      <c r="N4680" s="8"/>
    </row>
    <row r="4681" spans="1:14" ht="11.25" customHeight="1">
      <c r="A4681" s="5" t="s">
        <v>13525</v>
      </c>
      <c r="B4681" s="5" t="s">
        <v>13526</v>
      </c>
      <c r="C4681" s="5" t="s">
        <v>13561</v>
      </c>
      <c r="D4681" s="5" t="s">
        <v>13528</v>
      </c>
      <c r="E4681" s="5" t="s">
        <v>32</v>
      </c>
      <c r="F4681" s="5" t="s">
        <v>13529</v>
      </c>
      <c r="G4681" s="5" t="s">
        <v>13530</v>
      </c>
      <c r="H4681" s="5" t="s">
        <v>13531</v>
      </c>
      <c r="I4681" s="5" t="s">
        <v>13562</v>
      </c>
      <c r="J4681" s="5" t="s">
        <v>13563</v>
      </c>
      <c r="K4681" s="7" t="str">
        <f ca="1">IFERROR(__xludf.DUMMYFUNCTION("GOOGLETRANSLATE(H4681,""EN"",""ES"")"),"APARATOS Y EQUIPOS PARA MÉDICOS, HOSPITALES Y LABORATORIOS")</f>
        <v>APARATOS Y EQUIPOS PARA MÉDICOS, HOSPITALES Y LABORATORIOS</v>
      </c>
      <c r="L4681" s="5" t="str">
        <f ca="1">IFERROR(__xludf.DUMMYFUNCTION("GOOGLETRANSLATE(J4681,""EN"",""ES"")"),"Diafragmas de compresión [aparatos de Roentgen]")</f>
        <v>Diafragmas de compresión [aparatos de Roentgen]</v>
      </c>
      <c r="M4681" s="8" t="s">
        <v>79</v>
      </c>
      <c r="N4681" s="8"/>
    </row>
    <row r="4682" spans="1:14" ht="11.25" customHeight="1">
      <c r="A4682" s="5" t="s">
        <v>13525</v>
      </c>
      <c r="B4682" s="5" t="s">
        <v>13526</v>
      </c>
      <c r="C4682" s="5" t="s">
        <v>13564</v>
      </c>
      <c r="D4682" s="5" t="s">
        <v>13528</v>
      </c>
      <c r="E4682" s="5" t="s">
        <v>32</v>
      </c>
      <c r="F4682" s="5" t="s">
        <v>13529</v>
      </c>
      <c r="G4682" s="5" t="s">
        <v>13530</v>
      </c>
      <c r="H4682" s="5" t="s">
        <v>13531</v>
      </c>
      <c r="I4682" s="5" t="s">
        <v>13565</v>
      </c>
      <c r="J4682" s="5" t="s">
        <v>13566</v>
      </c>
      <c r="K4682" s="7" t="str">
        <f ca="1">IFERROR(__xludf.DUMMYFUNCTION("GOOGLETRANSLATE(H4682,""EN"",""ES"")"),"APARATOS Y EQUIPOS PARA MÉDICOS, HOSPITALES Y LABORATORIOS")</f>
        <v>APARATOS Y EQUIPOS PARA MÉDICOS, HOSPITALES Y LABORATORIOS</v>
      </c>
      <c r="L4682" s="5" t="str">
        <f ca="1">IFERROR(__xludf.DUMMYFUNCTION("GOOGLETRANSLATE(J4682,""EN"",""ES"")"),"Aparato de diatermia")</f>
        <v>Aparato de diatermia</v>
      </c>
      <c r="M4682" s="8" t="s">
        <v>79</v>
      </c>
      <c r="N4682" s="8"/>
    </row>
    <row r="4683" spans="1:14" ht="11.25" customHeight="1">
      <c r="A4683" s="5" t="s">
        <v>13525</v>
      </c>
      <c r="B4683" s="5" t="s">
        <v>13526</v>
      </c>
      <c r="C4683" s="5" t="s">
        <v>13567</v>
      </c>
      <c r="D4683" s="5" t="s">
        <v>13528</v>
      </c>
      <c r="E4683" s="5" t="s">
        <v>32</v>
      </c>
      <c r="F4683" s="5" t="s">
        <v>13529</v>
      </c>
      <c r="G4683" s="5" t="s">
        <v>13530</v>
      </c>
      <c r="H4683" s="5" t="s">
        <v>13531</v>
      </c>
      <c r="I4683" s="5" t="s">
        <v>13568</v>
      </c>
      <c r="J4683" s="5" t="s">
        <v>13569</v>
      </c>
      <c r="K4683" s="7" t="str">
        <f ca="1">IFERROR(__xludf.DUMMYFUNCTION("GOOGLETRANSLATE(H4683,""EN"",""ES"")"),"APARATOS Y EQUIPOS PARA MÉDICOS, HOSPITALES Y LABORATORIOS")</f>
        <v>APARATOS Y EQUIPOS PARA MÉDICOS, HOSPITALES Y LABORATORIOS</v>
      </c>
      <c r="L4683" s="5" t="str">
        <f ca="1">IFERROR(__xludf.DUMMYFUNCTION("GOOGLETRANSLATE(J4683,""EN"",""ES"")"),"Taladros [dentales]")</f>
        <v>Taladros [dentales]</v>
      </c>
      <c r="M4683" s="8" t="s">
        <v>79</v>
      </c>
      <c r="N4683" s="8"/>
    </row>
    <row r="4684" spans="1:14" ht="11.25" customHeight="1">
      <c r="A4684" s="5" t="s">
        <v>13525</v>
      </c>
      <c r="B4684" s="5" t="s">
        <v>13526</v>
      </c>
      <c r="C4684" s="5" t="s">
        <v>13570</v>
      </c>
      <c r="D4684" s="5" t="s">
        <v>13528</v>
      </c>
      <c r="E4684" s="5" t="s">
        <v>32</v>
      </c>
      <c r="F4684" s="5" t="s">
        <v>13529</v>
      </c>
      <c r="G4684" s="5" t="s">
        <v>13530</v>
      </c>
      <c r="H4684" s="5" t="s">
        <v>13531</v>
      </c>
      <c r="I4684" s="5" t="s">
        <v>13571</v>
      </c>
      <c r="J4684" s="5" t="s">
        <v>13572</v>
      </c>
      <c r="K4684" s="7" t="str">
        <f ca="1">IFERROR(__xludf.DUMMYFUNCTION("GOOGLETRANSLATE(H4684,""EN"",""ES"")"),"APARATOS Y EQUIPOS PARA MÉDICOS, HOSPITALES Y LABORATORIOS")</f>
        <v>APARATOS Y EQUIPOS PARA MÉDICOS, HOSPITALES Y LABORATORIOS</v>
      </c>
      <c r="L4684" s="5" t="str">
        <f ca="1">IFERROR(__xludf.DUMMYFUNCTION("GOOGLETRANSLATE(J4684,""EN"",""ES"")"),"Aparatos y equipos fijos para hospitales.")</f>
        <v>Aparatos y equipos fijos para hospitales.</v>
      </c>
      <c r="M4684" s="8" t="s">
        <v>79</v>
      </c>
      <c r="N4684" s="8"/>
    </row>
    <row r="4685" spans="1:14" ht="11.25" customHeight="1">
      <c r="A4685" s="5" t="s">
        <v>13525</v>
      </c>
      <c r="B4685" s="5" t="s">
        <v>13526</v>
      </c>
      <c r="C4685" s="5" t="s">
        <v>13573</v>
      </c>
      <c r="D4685" s="5" t="s">
        <v>13528</v>
      </c>
      <c r="E4685" s="5" t="s">
        <v>32</v>
      </c>
      <c r="F4685" s="5" t="s">
        <v>13529</v>
      </c>
      <c r="G4685" s="5" t="s">
        <v>13530</v>
      </c>
      <c r="H4685" s="5" t="s">
        <v>13531</v>
      </c>
      <c r="I4685" s="5" t="s">
        <v>13574</v>
      </c>
      <c r="J4685" s="5" t="s">
        <v>13575</v>
      </c>
      <c r="K4685" s="7" t="str">
        <f ca="1">IFERROR(__xludf.DUMMYFUNCTION("GOOGLETRANSLATE(H4685,""EN"",""ES"")"),"APARATOS Y EQUIPOS PARA MÉDICOS, HOSPITALES Y LABORATORIOS")</f>
        <v>APARATOS Y EQUIPOS PARA MÉDICOS, HOSPITALES Y LABORATORIOS</v>
      </c>
      <c r="L4685" s="5" t="str">
        <f ca="1">IFERROR(__xludf.DUMMYFUNCTION("GOOGLETRANSLATE(J4685,""EN"",""ES"")"),"Aparato de irradiación")</f>
        <v>Aparato de irradiación</v>
      </c>
      <c r="M4685" s="8" t="s">
        <v>79</v>
      </c>
      <c r="N4685" s="8"/>
    </row>
    <row r="4686" spans="1:14" ht="11.25" customHeight="1">
      <c r="A4686" s="5" t="s">
        <v>13525</v>
      </c>
      <c r="B4686" s="5" t="s">
        <v>13526</v>
      </c>
      <c r="C4686" s="5" t="s">
        <v>13576</v>
      </c>
      <c r="D4686" s="5" t="s">
        <v>13528</v>
      </c>
      <c r="E4686" s="5" t="s">
        <v>32</v>
      </c>
      <c r="F4686" s="5" t="s">
        <v>13529</v>
      </c>
      <c r="G4686" s="5" t="s">
        <v>13530</v>
      </c>
      <c r="H4686" s="5" t="s">
        <v>13531</v>
      </c>
      <c r="I4686" s="5" t="s">
        <v>13577</v>
      </c>
      <c r="J4686" s="5" t="s">
        <v>13578</v>
      </c>
      <c r="K4686" s="7" t="str">
        <f ca="1">IFERROR(__xludf.DUMMYFUNCTION("GOOGLETRANSLATE(H4686,""EN"",""ES"")"),"APARATOS Y EQUIPOS PARA MÉDICOS, HOSPITALES Y LABORATORIOS")</f>
        <v>APARATOS Y EQUIPOS PARA MÉDICOS, HOSPITALES Y LABORATORIOS</v>
      </c>
      <c r="L4686" s="5" t="str">
        <f ca="1">IFERROR(__xludf.DUMMYFUNCTION("GOOGLETRANSLATE(J4686,""EN"",""ES"")"),"Aparatos y equipos fijos para laboratorios.")</f>
        <v>Aparatos y equipos fijos para laboratorios.</v>
      </c>
      <c r="M4686" s="8" t="s">
        <v>79</v>
      </c>
      <c r="N4686" s="8"/>
    </row>
    <row r="4687" spans="1:14" ht="11.25" customHeight="1">
      <c r="A4687" s="5" t="s">
        <v>13525</v>
      </c>
      <c r="B4687" s="5" t="s">
        <v>13526</v>
      </c>
      <c r="C4687" s="5" t="s">
        <v>13579</v>
      </c>
      <c r="D4687" s="5" t="s">
        <v>13528</v>
      </c>
      <c r="E4687" s="5" t="s">
        <v>32</v>
      </c>
      <c r="F4687" s="5" t="s">
        <v>13529</v>
      </c>
      <c r="G4687" s="5" t="s">
        <v>13530</v>
      </c>
      <c r="H4687" s="5" t="s">
        <v>13531</v>
      </c>
      <c r="I4687" s="5" t="s">
        <v>13580</v>
      </c>
      <c r="J4687" s="5" t="s">
        <v>13581</v>
      </c>
      <c r="K4687" s="7" t="str">
        <f ca="1">IFERROR(__xludf.DUMMYFUNCTION("GOOGLETRANSLATE(H4687,""EN"",""ES"")"),"APARATOS Y EQUIPOS PARA MÉDICOS, HOSPITALES Y LABORATORIOS")</f>
        <v>APARATOS Y EQUIPOS PARA MÉDICOS, HOSPITALES Y LABORATORIOS</v>
      </c>
      <c r="L4687" s="5" t="str">
        <f ca="1">IFERROR(__xludf.DUMMYFUNCTION("GOOGLETRANSLATE(J4687,""EN"",""ES"")"),"Aparatos y equipos médicos [fijos]")</f>
        <v>Aparatos y equipos médicos [fijos]</v>
      </c>
      <c r="M4687" s="8" t="s">
        <v>79</v>
      </c>
      <c r="N4687" s="8"/>
    </row>
    <row r="4688" spans="1:14" ht="11.25" customHeight="1">
      <c r="A4688" s="5" t="s">
        <v>13525</v>
      </c>
      <c r="B4688" s="5" t="s">
        <v>13526</v>
      </c>
      <c r="C4688" s="5" t="s">
        <v>13582</v>
      </c>
      <c r="D4688" s="5" t="s">
        <v>13528</v>
      </c>
      <c r="E4688" s="5" t="s">
        <v>32</v>
      </c>
      <c r="F4688" s="5" t="s">
        <v>13529</v>
      </c>
      <c r="G4688" s="5" t="s">
        <v>13530</v>
      </c>
      <c r="H4688" s="5" t="s">
        <v>13531</v>
      </c>
      <c r="I4688" s="5" t="s">
        <v>13583</v>
      </c>
      <c r="J4688" s="5" t="s">
        <v>13584</v>
      </c>
      <c r="K4688" s="7" t="str">
        <f ca="1">IFERROR(__xludf.DUMMYFUNCTION("GOOGLETRANSLATE(H4688,""EN"",""ES"")"),"APARATOS Y EQUIPOS PARA MÉDICOS, HOSPITALES Y LABORATORIOS")</f>
        <v>APARATOS Y EQUIPOS PARA MÉDICOS, HOSPITALES Y LABORATORIOS</v>
      </c>
      <c r="L4688" s="5" t="str">
        <f ca="1">IFERROR(__xludf.DUMMYFUNCTION("GOOGLETRANSLATE(J4688,""EN"",""ES"")"),"Aparatos y equipos fijos para médicos.")</f>
        <v>Aparatos y equipos fijos para médicos.</v>
      </c>
      <c r="M4688" s="8" t="s">
        <v>79</v>
      </c>
      <c r="N4688" s="8"/>
    </row>
    <row r="4689" spans="1:14" ht="11.25" customHeight="1">
      <c r="A4689" s="5" t="s">
        <v>13525</v>
      </c>
      <c r="B4689" s="5" t="s">
        <v>13526</v>
      </c>
      <c r="C4689" s="5" t="s">
        <v>13585</v>
      </c>
      <c r="D4689" s="5" t="s">
        <v>13528</v>
      </c>
      <c r="E4689" s="5" t="s">
        <v>32</v>
      </c>
      <c r="F4689" s="5" t="s">
        <v>13529</v>
      </c>
      <c r="G4689" s="5" t="s">
        <v>13530</v>
      </c>
      <c r="H4689" s="5" t="s">
        <v>13531</v>
      </c>
      <c r="I4689" s="5" t="s">
        <v>13586</v>
      </c>
      <c r="J4689" s="5" t="s">
        <v>13586</v>
      </c>
      <c r="K4689" s="7" t="str">
        <f ca="1">IFERROR(__xludf.DUMMYFUNCTION("GOOGLETRANSLATE(H4689,""EN"",""ES"")"),"APARATOS Y EQUIPOS PARA MÉDICOS, HOSPITALES Y LABORATORIOS")</f>
        <v>APARATOS Y EQUIPOS PARA MÉDICOS, HOSPITALES Y LABORATORIOS</v>
      </c>
      <c r="L4689" s="5" t="str">
        <f ca="1">IFERROR(__xludf.DUMMYFUNCTION("GOOGLETRANSLATE(J4689,""EN"",""ES"")"),"Microtomos")</f>
        <v>Microtomos</v>
      </c>
      <c r="M4689" s="8" t="s">
        <v>79</v>
      </c>
      <c r="N4689" s="8"/>
    </row>
    <row r="4690" spans="1:14" ht="11.25" customHeight="1">
      <c r="A4690" s="5" t="s">
        <v>13525</v>
      </c>
      <c r="B4690" s="5" t="s">
        <v>13526</v>
      </c>
      <c r="C4690" s="5" t="s">
        <v>13587</v>
      </c>
      <c r="D4690" s="5" t="s">
        <v>13528</v>
      </c>
      <c r="E4690" s="5" t="s">
        <v>32</v>
      </c>
      <c r="F4690" s="5" t="s">
        <v>13529</v>
      </c>
      <c r="G4690" s="5" t="s">
        <v>13530</v>
      </c>
      <c r="H4690" s="5" t="s">
        <v>13531</v>
      </c>
      <c r="I4690" s="5" t="s">
        <v>13588</v>
      </c>
      <c r="J4690" s="5" t="s">
        <v>13589</v>
      </c>
      <c r="K4690" s="7" t="str">
        <f ca="1">IFERROR(__xludf.DUMMYFUNCTION("GOOGLETRANSLATE(H4690,""EN"",""ES"")"),"APARATOS Y EQUIPOS PARA MÉDICOS, HOSPITALES Y LABORATORIOS")</f>
        <v>APARATOS Y EQUIPOS PARA MÉDICOS, HOSPITALES Y LABORATORIOS</v>
      </c>
      <c r="L4690" s="5" t="str">
        <f ca="1">IFERROR(__xludf.DUMMYFUNCTION("GOOGLETRANSLATE(J4690,""EN"",""ES"")"),"Tiendas de oxígeno")</f>
        <v>Tiendas de oxígeno</v>
      </c>
      <c r="M4690" s="8" t="s">
        <v>79</v>
      </c>
      <c r="N4690" s="8"/>
    </row>
    <row r="4691" spans="1:14" ht="11.25" customHeight="1">
      <c r="A4691" s="5" t="s">
        <v>13525</v>
      </c>
      <c r="B4691" s="5" t="s">
        <v>13526</v>
      </c>
      <c r="C4691" s="5" t="s">
        <v>13590</v>
      </c>
      <c r="D4691" s="5" t="s">
        <v>13528</v>
      </c>
      <c r="E4691" s="5" t="s">
        <v>32</v>
      </c>
      <c r="F4691" s="5" t="s">
        <v>13529</v>
      </c>
      <c r="G4691" s="5" t="s">
        <v>13530</v>
      </c>
      <c r="H4691" s="5" t="s">
        <v>13531</v>
      </c>
      <c r="I4691" s="5" t="s">
        <v>13591</v>
      </c>
      <c r="J4691" s="5" t="s">
        <v>13592</v>
      </c>
      <c r="K4691" s="7" t="str">
        <f ca="1">IFERROR(__xludf.DUMMYFUNCTION("GOOGLETRANSLATE(H4691,""EN"",""ES"")"),"APARATOS Y EQUIPOS PARA MÉDICOS, HOSPITALES Y LABORATORIOS")</f>
        <v>APARATOS Y EQUIPOS PARA MÉDICOS, HOSPITALES Y LABORATORIOS</v>
      </c>
      <c r="L4691" s="5" t="str">
        <f ca="1">IFERROR(__xludf.DUMMYFUNCTION("GOOGLETRANSLATE(J4691,""EN"",""ES"")"),"Ozonizadores para uso médico.")</f>
        <v>Ozonizadores para uso médico.</v>
      </c>
      <c r="M4691" s="8" t="s">
        <v>79</v>
      </c>
      <c r="N4691" s="8"/>
    </row>
    <row r="4692" spans="1:14" ht="11.25" customHeight="1">
      <c r="A4692" s="5" t="s">
        <v>13525</v>
      </c>
      <c r="B4692" s="5" t="s">
        <v>13526</v>
      </c>
      <c r="C4692" s="5" t="s">
        <v>13593</v>
      </c>
      <c r="D4692" s="5" t="s">
        <v>13528</v>
      </c>
      <c r="E4692" s="5" t="s">
        <v>32</v>
      </c>
      <c r="F4692" s="5" t="s">
        <v>13529</v>
      </c>
      <c r="G4692" s="5" t="s">
        <v>13530</v>
      </c>
      <c r="H4692" s="5" t="s">
        <v>13531</v>
      </c>
      <c r="I4692" s="5" t="s">
        <v>13594</v>
      </c>
      <c r="J4692" s="5" t="s">
        <v>13595</v>
      </c>
      <c r="K4692" s="7" t="str">
        <f ca="1">IFERROR(__xludf.DUMMYFUNCTION("GOOGLETRANSLATE(H4692,""EN"",""ES"")"),"APARATOS Y EQUIPOS PARA MÉDICOS, HOSPITALES Y LABORATORIOS")</f>
        <v>APARATOS Y EQUIPOS PARA MÉDICOS, HOSPITALES Y LABORATORIOS</v>
      </c>
      <c r="L4692" s="5" t="str">
        <f ca="1">IFERROR(__xludf.DUMMYFUNCTION("GOOGLETRANSLATE(J4692,""EN"",""ES"")"),"Pistolas pulverizadoras para dentistas")</f>
        <v>Pistolas pulverizadoras para dentistas</v>
      </c>
      <c r="M4692" s="8" t="s">
        <v>79</v>
      </c>
      <c r="N4692" s="8"/>
    </row>
    <row r="4693" spans="1:14" ht="11.25" customHeight="1">
      <c r="A4693" s="5" t="s">
        <v>13525</v>
      </c>
      <c r="B4693" s="5" t="s">
        <v>13526</v>
      </c>
      <c r="C4693" s="5" t="s">
        <v>13596</v>
      </c>
      <c r="D4693" s="5" t="s">
        <v>13528</v>
      </c>
      <c r="E4693" s="5" t="s">
        <v>32</v>
      </c>
      <c r="F4693" s="5" t="s">
        <v>13529</v>
      </c>
      <c r="G4693" s="5" t="s">
        <v>13530</v>
      </c>
      <c r="H4693" s="5" t="s">
        <v>13531</v>
      </c>
      <c r="I4693" s="5" t="s">
        <v>13597</v>
      </c>
      <c r="J4693" s="5" t="s">
        <v>13598</v>
      </c>
      <c r="K4693" s="7" t="str">
        <f ca="1">IFERROR(__xludf.DUMMYFUNCTION("GOOGLETRANSLATE(H4693,""EN"",""ES"")"),"APARATOS Y EQUIPOS PARA MÉDICOS, HOSPITALES Y LABORATORIOS")</f>
        <v>APARATOS Y EQUIPOS PARA MÉDICOS, HOSPITALES Y LABORATORIOS</v>
      </c>
      <c r="L4693" s="5" t="str">
        <f ca="1">IFERROR(__xludf.DUMMYFUNCTION("GOOGLETRANSLATE(J4693,""EN"",""ES"")"),"Aspiradores de saliva [dentales]")</f>
        <v>Aspiradores de saliva [dentales]</v>
      </c>
      <c r="M4693" s="8" t="s">
        <v>79</v>
      </c>
      <c r="N4693" s="8"/>
    </row>
    <row r="4694" spans="1:14" ht="11.25" customHeight="1">
      <c r="A4694" s="5" t="s">
        <v>13525</v>
      </c>
      <c r="B4694" s="5" t="s">
        <v>13526</v>
      </c>
      <c r="C4694" s="5" t="s">
        <v>13599</v>
      </c>
      <c r="D4694" s="5" t="s">
        <v>13528</v>
      </c>
      <c r="E4694" s="5" t="s">
        <v>32</v>
      </c>
      <c r="F4694" s="5" t="s">
        <v>13529</v>
      </c>
      <c r="G4694" s="5" t="s">
        <v>13530</v>
      </c>
      <c r="H4694" s="5" t="s">
        <v>13531</v>
      </c>
      <c r="I4694" s="5" t="s">
        <v>13600</v>
      </c>
      <c r="J4694" s="5" t="s">
        <v>13601</v>
      </c>
      <c r="K4694" s="7" t="str">
        <f ca="1">IFERROR(__xludf.DUMMYFUNCTION("GOOGLETRANSLATE(H4694,""EN"",""ES"")"),"APARATOS Y EQUIPOS PARA MÉDICOS, HOSPITALES Y LABORATORIOS")</f>
        <v>APARATOS Y EQUIPOS PARA MÉDICOS, HOSPITALES Y LABORATORIOS</v>
      </c>
      <c r="L4694" s="5" t="str">
        <f ca="1">IFERROR(__xludf.DUMMYFUNCTION("GOOGLETRANSLATE(J4694,""EN"",""ES"")"),"Aparato de producción de rayos X.")</f>
        <v>Aparato de producción de rayos X.</v>
      </c>
      <c r="M4694" s="8" t="s">
        <v>79</v>
      </c>
      <c r="N4694" s="8"/>
    </row>
    <row r="4695" spans="1:14" ht="11.25" customHeight="1">
      <c r="A4695" s="5" t="s">
        <v>13525</v>
      </c>
      <c r="B4695" s="5" t="s">
        <v>13526</v>
      </c>
      <c r="C4695" s="5" t="s">
        <v>13602</v>
      </c>
      <c r="D4695" s="5" t="s">
        <v>13528</v>
      </c>
      <c r="E4695" s="5" t="s">
        <v>32</v>
      </c>
      <c r="F4695" s="5" t="s">
        <v>13529</v>
      </c>
      <c r="G4695" s="5" t="s">
        <v>13530</v>
      </c>
      <c r="H4695" s="5" t="s">
        <v>13531</v>
      </c>
      <c r="I4695" s="5" t="s">
        <v>13603</v>
      </c>
      <c r="J4695" s="5" t="s">
        <v>13604</v>
      </c>
      <c r="K4695" s="7" t="str">
        <f ca="1">IFERROR(__xludf.DUMMYFUNCTION("GOOGLETRANSLATE(H4695,""EN"",""ES"")"),"APARATOS Y EQUIPOS PARA MÉDICOS, HOSPITALES Y LABORATORIOS")</f>
        <v>APARATOS Y EQUIPOS PARA MÉDICOS, HOSPITALES Y LABORATORIOS</v>
      </c>
      <c r="L4695" s="5" t="str">
        <f ca="1">IFERROR(__xludf.DUMMYFUNCTION("GOOGLETRANSLATE(J4695,""EN"",""ES"")"),"tubos de rayos x")</f>
        <v>tubos de rayos x</v>
      </c>
      <c r="M4695" s="8" t="s">
        <v>79</v>
      </c>
      <c r="N4695" s="8"/>
    </row>
    <row r="4696" spans="1:14" ht="11.25" customHeight="1">
      <c r="A4696" s="5" t="s">
        <v>13525</v>
      </c>
      <c r="B4696" s="5" t="s">
        <v>13526</v>
      </c>
      <c r="C4696" s="5" t="s">
        <v>13605</v>
      </c>
      <c r="D4696" s="5" t="s">
        <v>13528</v>
      </c>
      <c r="E4696" s="5" t="s">
        <v>32</v>
      </c>
      <c r="F4696" s="5" t="s">
        <v>13529</v>
      </c>
      <c r="G4696" s="5" t="s">
        <v>13530</v>
      </c>
      <c r="H4696" s="5" t="s">
        <v>13531</v>
      </c>
      <c r="I4696" s="5" t="s">
        <v>13606</v>
      </c>
      <c r="J4696" s="5" t="s">
        <v>13607</v>
      </c>
      <c r="K4696" s="7" t="str">
        <f ca="1">IFERROR(__xludf.DUMMYFUNCTION("GOOGLETRANSLATE(H4696,""EN"",""ES"")"),"APARATOS Y EQUIPOS PARA MÉDICOS, HOSPITALES Y LABORATORIOS")</f>
        <v>APARATOS Y EQUIPOS PARA MÉDICOS, HOSPITALES Y LABORATORIOS</v>
      </c>
      <c r="L4696" s="5" t="str">
        <f ca="1">IFERROR(__xludf.DUMMYFUNCTION("GOOGLETRANSLATE(J4696,""EN"",""ES"")"),"Resucitadores")</f>
        <v>Resucitadores</v>
      </c>
      <c r="M4696" s="8" t="s">
        <v>79</v>
      </c>
      <c r="N4696" s="8"/>
    </row>
    <row r="4697" spans="1:14" ht="11.25" customHeight="1">
      <c r="A4697" s="5" t="s">
        <v>13525</v>
      </c>
      <c r="B4697" s="5" t="s">
        <v>13526</v>
      </c>
      <c r="C4697" s="5" t="s">
        <v>13608</v>
      </c>
      <c r="D4697" s="5" t="s">
        <v>13528</v>
      </c>
      <c r="E4697" s="5" t="s">
        <v>32</v>
      </c>
      <c r="F4697" s="5" t="s">
        <v>13529</v>
      </c>
      <c r="G4697" s="5" t="s">
        <v>13530</v>
      </c>
      <c r="H4697" s="5" t="s">
        <v>13531</v>
      </c>
      <c r="I4697" s="5" t="s">
        <v>13609</v>
      </c>
      <c r="J4697" s="5" t="s">
        <v>13610</v>
      </c>
      <c r="K4697" s="7" t="str">
        <f ca="1">IFERROR(__xludf.DUMMYFUNCTION("GOOGLETRANSLATE(H4697,""EN"",""ES"")"),"APARATOS Y EQUIPOS PARA MÉDICOS, HOSPITALES Y LABORATORIOS")</f>
        <v>APARATOS Y EQUIPOS PARA MÉDICOS, HOSPITALES Y LABORATORIOS</v>
      </c>
      <c r="L4697" s="5" t="str">
        <f ca="1">IFERROR(__xludf.DUMMYFUNCTION("GOOGLETRANSLATE(J4697,""EN"",""ES"")"),"Esterilizadores para uso médico.")</f>
        <v>Esterilizadores para uso médico.</v>
      </c>
      <c r="M4697" s="8" t="s">
        <v>79</v>
      </c>
      <c r="N4697" s="8"/>
    </row>
    <row r="4698" spans="1:14" ht="11.25" customHeight="1">
      <c r="A4698" s="5" t="s">
        <v>13525</v>
      </c>
      <c r="B4698" s="5" t="s">
        <v>13526</v>
      </c>
      <c r="C4698" s="5" t="s">
        <v>13611</v>
      </c>
      <c r="D4698" s="5" t="s">
        <v>13528</v>
      </c>
      <c r="E4698" s="5" t="s">
        <v>32</v>
      </c>
      <c r="F4698" s="5" t="s">
        <v>13529</v>
      </c>
      <c r="G4698" s="5" t="s">
        <v>13530</v>
      </c>
      <c r="H4698" s="5" t="s">
        <v>13531</v>
      </c>
      <c r="I4698" s="5" t="s">
        <v>13612</v>
      </c>
      <c r="J4698" s="5" t="s">
        <v>13613</v>
      </c>
      <c r="K4698" s="7" t="str">
        <f ca="1">IFERROR(__xludf.DUMMYFUNCTION("GOOGLETRANSLATE(H4698,""EN"",""ES"")"),"APARATOS Y EQUIPOS PARA MÉDICOS, HOSPITALES Y LABORATORIOS")</f>
        <v>APARATOS Y EQUIPOS PARA MÉDICOS, HOSPITALES Y LABORATORIOS</v>
      </c>
      <c r="L4698" s="5" t="str">
        <f ca="1">IFERROR(__xludf.DUMMYFUNCTION("GOOGLETRANSLATE(J4698,""EN"",""ES"")"),"Aparato de sudación para uso médico.")</f>
        <v>Aparato de sudación para uso médico.</v>
      </c>
      <c r="M4698" s="8" t="s">
        <v>79</v>
      </c>
      <c r="N4698" s="8"/>
    </row>
    <row r="4699" spans="1:14" ht="11.25" customHeight="1">
      <c r="A4699" s="5" t="s">
        <v>13525</v>
      </c>
      <c r="B4699" s="5" t="s">
        <v>13526</v>
      </c>
      <c r="C4699" s="5" t="s">
        <v>13614</v>
      </c>
      <c r="D4699" s="5" t="s">
        <v>13528</v>
      </c>
      <c r="E4699" s="5" t="s">
        <v>32</v>
      </c>
      <c r="F4699" s="5" t="s">
        <v>13529</v>
      </c>
      <c r="G4699" s="5" t="s">
        <v>13530</v>
      </c>
      <c r="H4699" s="5" t="s">
        <v>13531</v>
      </c>
      <c r="I4699" s="5" t="s">
        <v>13615</v>
      </c>
      <c r="J4699" s="5" t="s">
        <v>13616</v>
      </c>
      <c r="K4699" s="7" t="str">
        <f ca="1">IFERROR(__xludf.DUMMYFUNCTION("GOOGLETRANSLATE(H4699,""EN"",""ES"")"),"APARATOS Y EQUIPOS PARA MÉDICOS, HOSPITALES Y LABORATORIOS")</f>
        <v>APARATOS Y EQUIPOS PARA MÉDICOS, HOSPITALES Y LABORATORIOS</v>
      </c>
      <c r="L4699" s="5" t="str">
        <f ca="1">IFERROR(__xludf.DUMMYFUNCTION("GOOGLETRANSLATE(J4699,""EN"",""ES"")"),"Aparato de ureterotomía")</f>
        <v>Aparato de ureterotomía</v>
      </c>
      <c r="M4699" s="8" t="s">
        <v>79</v>
      </c>
      <c r="N4699" s="8"/>
    </row>
    <row r="4700" spans="1:14" ht="11.25" customHeight="1">
      <c r="A4700" s="5" t="s">
        <v>13525</v>
      </c>
      <c r="B4700" s="5" t="s">
        <v>13526</v>
      </c>
      <c r="C4700" s="5" t="s">
        <v>13617</v>
      </c>
      <c r="D4700" s="5" t="s">
        <v>13528</v>
      </c>
      <c r="E4700" s="5" t="s">
        <v>32</v>
      </c>
      <c r="F4700" s="5" t="s">
        <v>13529</v>
      </c>
      <c r="G4700" s="5" t="s">
        <v>13530</v>
      </c>
      <c r="H4700" s="5" t="s">
        <v>13531</v>
      </c>
      <c r="I4700" s="5" t="s">
        <v>13618</v>
      </c>
      <c r="J4700" s="5" t="s">
        <v>13619</v>
      </c>
      <c r="K4700" s="7" t="str">
        <f ca="1">IFERROR(__xludf.DUMMYFUNCTION("GOOGLETRANSLATE(H4700,""EN"",""ES"")"),"APARATOS Y EQUIPOS PARA MÉDICOS, HOSPITALES Y LABORATORIOS")</f>
        <v>APARATOS Y EQUIPOS PARA MÉDICOS, HOSPITALES Y LABORATORIOS</v>
      </c>
      <c r="L4700" s="5" t="str">
        <f ca="1">IFERROR(__xludf.DUMMYFUNCTION("GOOGLETRANSLATE(J4700,""EN"",""ES"")"),"Vibradores para dentistas")</f>
        <v>Vibradores para dentistas</v>
      </c>
      <c r="M4700" s="8" t="s">
        <v>79</v>
      </c>
      <c r="N4700" s="8"/>
    </row>
    <row r="4701" spans="1:14" ht="11.25" customHeight="1">
      <c r="A4701" s="5" t="s">
        <v>13525</v>
      </c>
      <c r="B4701" s="5" t="s">
        <v>13526</v>
      </c>
      <c r="C4701" s="5" t="s">
        <v>13620</v>
      </c>
      <c r="D4701" s="5" t="s">
        <v>13528</v>
      </c>
      <c r="E4701" s="5" t="s">
        <v>32</v>
      </c>
      <c r="F4701" s="5" t="s">
        <v>13529</v>
      </c>
      <c r="G4701" s="5" t="s">
        <v>13530</v>
      </c>
      <c r="H4701" s="5" t="s">
        <v>13531</v>
      </c>
      <c r="I4701" s="5" t="s">
        <v>13621</v>
      </c>
      <c r="J4701" s="5" t="s">
        <v>13622</v>
      </c>
      <c r="K4701" s="7" t="str">
        <f ca="1">IFERROR(__xludf.DUMMYFUNCTION("GOOGLETRANSLATE(H4701,""EN"",""ES"")"),"APARATOS Y EQUIPOS PARA MÉDICOS, HOSPITALES Y LABORATORIOS")</f>
        <v>APARATOS Y EQUIPOS PARA MÉDICOS, HOSPITALES Y LABORATORIOS</v>
      </c>
      <c r="L4701" s="5" t="str">
        <f ca="1">IFERROR(__xludf.DUMMYFUNCTION("GOOGLETRANSLATE(J4701,""EN"",""ES"")"),"Desinfección y esterilización de cámaras.")</f>
        <v>Desinfección y esterilización de cámaras.</v>
      </c>
      <c r="M4701" s="8" t="s">
        <v>79</v>
      </c>
      <c r="N4701" s="8"/>
    </row>
    <row r="4702" spans="1:14" ht="11.25" customHeight="1">
      <c r="A4702" s="5" t="s">
        <v>13525</v>
      </c>
      <c r="B4702" s="5" t="s">
        <v>13526</v>
      </c>
      <c r="C4702" s="5" t="s">
        <v>13620</v>
      </c>
      <c r="D4702" s="5" t="s">
        <v>13528</v>
      </c>
      <c r="E4702" s="5" t="s">
        <v>32</v>
      </c>
      <c r="F4702" s="5" t="s">
        <v>13529</v>
      </c>
      <c r="G4702" s="5" t="s">
        <v>13530</v>
      </c>
      <c r="H4702" s="5" t="s">
        <v>13531</v>
      </c>
      <c r="I4702" s="5" t="s">
        <v>13623</v>
      </c>
      <c r="J4702" s="5" t="s">
        <v>152</v>
      </c>
      <c r="K4702" s="7" t="str">
        <f ca="1">IFERROR(__xludf.DUMMYFUNCTION("GOOGLETRANSLATE(H4702,""EN"",""ES"")"),"APARATOS Y EQUIPOS PARA MÉDICOS, HOSPITALES Y LABORATORIOS")</f>
        <v>APARATOS Y EQUIPOS PARA MÉDICOS, HOSPITALES Y LABORATORIOS</v>
      </c>
      <c r="L4702" s="5" t="str">
        <f ca="1">IFERROR(__xludf.DUMMYFUNCTION("GOOGLETRANSLATE(J4702,""EN"",""ES"")"),"Cámaras de esterilización y desinfección.")</f>
        <v>Cámaras de esterilización y desinfección.</v>
      </c>
      <c r="M4702" s="8" t="s">
        <v>79</v>
      </c>
      <c r="N4702" s="8"/>
    </row>
    <row r="4703" spans="1:14" ht="11.25" customHeight="1">
      <c r="A4703" s="5" t="s">
        <v>13525</v>
      </c>
      <c r="B4703" s="5" t="s">
        <v>13526</v>
      </c>
      <c r="C4703" s="5" t="s">
        <v>13624</v>
      </c>
      <c r="D4703" s="5" t="s">
        <v>13528</v>
      </c>
      <c r="E4703" s="5" t="s">
        <v>32</v>
      </c>
      <c r="F4703" s="5" t="s">
        <v>13529</v>
      </c>
      <c r="G4703" s="5" t="s">
        <v>13530</v>
      </c>
      <c r="H4703" s="5" t="s">
        <v>13531</v>
      </c>
      <c r="I4703" s="5" t="s">
        <v>13625</v>
      </c>
      <c r="J4703" s="5" t="s">
        <v>13626</v>
      </c>
      <c r="K4703" s="7" t="str">
        <f ca="1">IFERROR(__xludf.DUMMYFUNCTION("GOOGLETRANSLATE(H4703,""EN"",""ES"")"),"APARATOS Y EQUIPOS PARA MÉDICOS, HOSPITALES Y LABORATORIOS")</f>
        <v>APARATOS Y EQUIPOS PARA MÉDICOS, HOSPITALES Y LABORATORIOS</v>
      </c>
      <c r="L4703" s="5" t="str">
        <f ca="1">IFERROR(__xludf.DUMMYFUNCTION("GOOGLETRANSLATE(J4703,""EN"",""ES"")"),"Máscaras anestésicas")</f>
        <v>Máscaras anestésicas</v>
      </c>
      <c r="M4703" s="8" t="s">
        <v>79</v>
      </c>
      <c r="N4703" s="8"/>
    </row>
    <row r="4704" spans="1:14" ht="11.25" customHeight="1">
      <c r="A4704" s="5" t="s">
        <v>13525</v>
      </c>
      <c r="B4704" s="5" t="s">
        <v>13526</v>
      </c>
      <c r="C4704" s="5" t="s">
        <v>13627</v>
      </c>
      <c r="D4704" s="5" t="s">
        <v>13528</v>
      </c>
      <c r="E4704" s="5" t="s">
        <v>32</v>
      </c>
      <c r="F4704" s="5" t="s">
        <v>13529</v>
      </c>
      <c r="G4704" s="5" t="s">
        <v>13530</v>
      </c>
      <c r="H4704" s="5" t="s">
        <v>13531</v>
      </c>
      <c r="I4704" s="5" t="s">
        <v>13628</v>
      </c>
      <c r="J4704" s="5" t="s">
        <v>13629</v>
      </c>
      <c r="K4704" s="7" t="str">
        <f ca="1">IFERROR(__xludf.DUMMYFUNCTION("GOOGLETRANSLATE(H4704,""EN"",""ES"")"),"APARATOS Y EQUIPOS PARA MÉDICOS, HOSPITALES Y LABORATORIOS")</f>
        <v>APARATOS Y EQUIPOS PARA MÉDICOS, HOSPITALES Y LABORATORIOS</v>
      </c>
      <c r="L4704" s="5" t="str">
        <f ca="1">IFERROR(__xludf.DUMMYFUNCTION("GOOGLETRANSLATE(J4704,""EN"",""ES"")"),"Microtornos portátiles para cirugía dental y ósea")</f>
        <v>Microtornos portátiles para cirugía dental y ósea</v>
      </c>
      <c r="M4704" s="8" t="s">
        <v>79</v>
      </c>
      <c r="N4704" s="8"/>
    </row>
    <row r="4705" spans="1:14" ht="11.25" customHeight="1">
      <c r="A4705" s="5" t="s">
        <v>13525</v>
      </c>
      <c r="B4705" s="5" t="s">
        <v>13526</v>
      </c>
      <c r="C4705" s="5" t="s">
        <v>13630</v>
      </c>
      <c r="D4705" s="5" t="s">
        <v>13528</v>
      </c>
      <c r="E4705" s="5" t="s">
        <v>32</v>
      </c>
      <c r="F4705" s="5" t="s">
        <v>13529</v>
      </c>
      <c r="G4705" s="5" t="s">
        <v>13530</v>
      </c>
      <c r="H4705" s="5" t="s">
        <v>13531</v>
      </c>
      <c r="I4705" s="5" t="s">
        <v>13631</v>
      </c>
      <c r="J4705" s="5" t="s">
        <v>13632</v>
      </c>
      <c r="K4705" s="7" t="str">
        <f ca="1">IFERROR(__xludf.DUMMYFUNCTION("GOOGLETRANSLATE(H4705,""EN"",""ES"")"),"APARATOS Y EQUIPOS PARA MÉDICOS, HOSPITALES Y LABORATORIOS")</f>
        <v>APARATOS Y EQUIPOS PARA MÉDICOS, HOSPITALES Y LABORATORIOS</v>
      </c>
      <c r="L4705" s="5" t="str">
        <f ca="1">IFERROR(__xludf.DUMMYFUNCTION("GOOGLETRANSLATE(J4705,""EN"",""ES"")"),"Aparato de insuflación para neumotórax.")</f>
        <v>Aparato de insuflación para neumotórax.</v>
      </c>
      <c r="M4705" s="8" t="s">
        <v>79</v>
      </c>
      <c r="N4705" s="8"/>
    </row>
    <row r="4706" spans="1:14" ht="11.25" customHeight="1">
      <c r="A4706" s="5" t="s">
        <v>13525</v>
      </c>
      <c r="B4706" s="5" t="s">
        <v>13526</v>
      </c>
      <c r="C4706" s="5" t="s">
        <v>13633</v>
      </c>
      <c r="D4706" s="5" t="s">
        <v>13528</v>
      </c>
      <c r="E4706" s="5" t="s">
        <v>32</v>
      </c>
      <c r="F4706" s="5" t="s">
        <v>13529</v>
      </c>
      <c r="G4706" s="5" t="s">
        <v>13530</v>
      </c>
      <c r="H4706" s="5" t="s">
        <v>13531</v>
      </c>
      <c r="I4706" s="5" t="s">
        <v>13634</v>
      </c>
      <c r="J4706" s="5" t="s">
        <v>13635</v>
      </c>
      <c r="K4706" s="7" t="str">
        <f ca="1">IFERROR(__xludf.DUMMYFUNCTION("GOOGLETRANSLATE(H4706,""EN"",""ES"")"),"APARATOS Y EQUIPOS PARA MÉDICOS, HOSPITALES Y LABORATORIOS")</f>
        <v>APARATOS Y EQUIPOS PARA MÉDICOS, HOSPITALES Y LABORATORIOS</v>
      </c>
      <c r="L4706" s="5" t="str">
        <f ca="1">IFERROR(__xludf.DUMMYFUNCTION("GOOGLETRANSLATE(J4706,""EN"",""ES"")"),"espectrógrafos de masas")</f>
        <v>espectrógrafos de masas</v>
      </c>
      <c r="M4706" s="8" t="s">
        <v>79</v>
      </c>
      <c r="N4706" s="8"/>
    </row>
    <row r="4707" spans="1:14" ht="11.25" customHeight="1">
      <c r="A4707" s="5" t="s">
        <v>13525</v>
      </c>
      <c r="B4707" s="5" t="s">
        <v>13526</v>
      </c>
      <c r="C4707" s="5" t="s">
        <v>13636</v>
      </c>
      <c r="D4707" s="5" t="s">
        <v>13528</v>
      </c>
      <c r="E4707" s="5" t="s">
        <v>32</v>
      </c>
      <c r="F4707" s="5" t="s">
        <v>13529</v>
      </c>
      <c r="G4707" s="5" t="s">
        <v>13530</v>
      </c>
      <c r="H4707" s="5" t="s">
        <v>13531</v>
      </c>
      <c r="I4707" s="5" t="s">
        <v>13637</v>
      </c>
      <c r="J4707" s="5" t="s">
        <v>13638</v>
      </c>
      <c r="K4707" s="7" t="str">
        <f ca="1">IFERROR(__xludf.DUMMYFUNCTION("GOOGLETRANSLATE(H4707,""EN"",""ES"")"),"APARATOS Y EQUIPOS PARA MÉDICOS, HOSPITALES Y LABORATORIOS")</f>
        <v>APARATOS Y EQUIPOS PARA MÉDICOS, HOSPITALES Y LABORATORIOS</v>
      </c>
      <c r="L4707" s="5" t="str">
        <f ca="1">IFERROR(__xludf.DUMMYFUNCTION("GOOGLETRANSLATE(J4707,""EN"",""ES"")"),"Mesas de operaciones")</f>
        <v>Mesas de operaciones</v>
      </c>
      <c r="M4707" s="8" t="s">
        <v>79</v>
      </c>
      <c r="N4707" s="8"/>
    </row>
    <row r="4708" spans="1:14" ht="11.25" customHeight="1">
      <c r="A4708" s="5" t="s">
        <v>13525</v>
      </c>
      <c r="B4708" s="5" t="s">
        <v>13526</v>
      </c>
      <c r="C4708" s="5" t="s">
        <v>13639</v>
      </c>
      <c r="D4708" s="5" t="s">
        <v>13528</v>
      </c>
      <c r="E4708" s="5" t="s">
        <v>32</v>
      </c>
      <c r="F4708" s="5" t="s">
        <v>13529</v>
      </c>
      <c r="G4708" s="5" t="s">
        <v>13530</v>
      </c>
      <c r="H4708" s="5" t="s">
        <v>13531</v>
      </c>
      <c r="I4708" s="5" t="s">
        <v>13640</v>
      </c>
      <c r="J4708" s="5" t="s">
        <v>13641</v>
      </c>
      <c r="K4708" s="7" t="str">
        <f ca="1">IFERROR(__xludf.DUMMYFUNCTION("GOOGLETRANSLATE(H4708,""EN"",""ES"")"),"APARATOS Y EQUIPOS PARA MÉDICOS, HOSPITALES Y LABORATORIOS")</f>
        <v>APARATOS Y EQUIPOS PARA MÉDICOS, HOSPITALES Y LABORATORIOS</v>
      </c>
      <c r="L4708" s="5" t="str">
        <f ca="1">IFERROR(__xludf.DUMMYFUNCTION("GOOGLETRANSLATE(J4708,""EN"",""ES"")"),"Aparato para termoterapia")</f>
        <v>Aparato para termoterapia</v>
      </c>
      <c r="M4708" s="8" t="s">
        <v>79</v>
      </c>
      <c r="N4708" s="8"/>
    </row>
    <row r="4709" spans="1:14" ht="11.25" customHeight="1">
      <c r="A4709" s="5" t="s">
        <v>13525</v>
      </c>
      <c r="B4709" s="5" t="s">
        <v>13526</v>
      </c>
      <c r="C4709" s="5" t="s">
        <v>13642</v>
      </c>
      <c r="D4709" s="5" t="s">
        <v>13528</v>
      </c>
      <c r="E4709" s="5" t="s">
        <v>32</v>
      </c>
      <c r="F4709" s="5" t="s">
        <v>13529</v>
      </c>
      <c r="G4709" s="5" t="s">
        <v>13530</v>
      </c>
      <c r="H4709" s="5" t="s">
        <v>13531</v>
      </c>
      <c r="I4709" s="5" t="s">
        <v>13643</v>
      </c>
      <c r="J4709" s="5" t="s">
        <v>13644</v>
      </c>
      <c r="K4709" s="7" t="str">
        <f ca="1">IFERROR(__xludf.DUMMYFUNCTION("GOOGLETRANSLATE(H4709,""EN"",""ES"")"),"APARATOS Y EQUIPOS PARA MÉDICOS, HOSPITALES Y LABORATORIOS")</f>
        <v>APARATOS Y EQUIPOS PARA MÉDICOS, HOSPITALES Y LABORATORIOS</v>
      </c>
      <c r="L4709" s="5" t="str">
        <f ca="1">IFERROR(__xludf.DUMMYFUNCTION("GOOGLETRANSLATE(J4709,""EN"",""ES"")"),"Aparatos de transfusión y muestreo de sangre.")</f>
        <v>Aparatos de transfusión y muestreo de sangre.</v>
      </c>
      <c r="M4709" s="8" t="s">
        <v>79</v>
      </c>
      <c r="N4709" s="8"/>
    </row>
    <row r="4710" spans="1:14" ht="11.25" customHeight="1">
      <c r="A4710" s="5" t="s">
        <v>13525</v>
      </c>
      <c r="B4710" s="5" t="s">
        <v>13526</v>
      </c>
      <c r="C4710" s="5" t="s">
        <v>13642</v>
      </c>
      <c r="D4710" s="5" t="s">
        <v>13528</v>
      </c>
      <c r="E4710" s="5" t="s">
        <v>32</v>
      </c>
      <c r="F4710" s="5" t="s">
        <v>13529</v>
      </c>
      <c r="G4710" s="5" t="s">
        <v>13530</v>
      </c>
      <c r="H4710" s="5" t="s">
        <v>13531</v>
      </c>
      <c r="I4710" s="5" t="s">
        <v>152</v>
      </c>
      <c r="J4710" s="5" t="s">
        <v>13645</v>
      </c>
      <c r="K4710" s="7" t="str">
        <f ca="1">IFERROR(__xludf.DUMMYFUNCTION("GOOGLETRANSLATE(H4710,""EN"",""ES"")"),"APARATOS Y EQUIPOS PARA MÉDICOS, HOSPITALES Y LABORATORIOS")</f>
        <v>APARATOS Y EQUIPOS PARA MÉDICOS, HOSPITALES Y LABORATORIOS</v>
      </c>
      <c r="L4710" s="5" t="str">
        <f ca="1">IFERROR(__xludf.DUMMYFUNCTION("GOOGLETRANSLATE(J4710,""EN"",""ES"")"),"N / A")</f>
        <v>N / A</v>
      </c>
      <c r="M4710" s="8" t="s">
        <v>79</v>
      </c>
      <c r="N4710" s="8"/>
    </row>
    <row r="4711" spans="1:14" ht="11.25" customHeight="1">
      <c r="A4711" s="5" t="s">
        <v>13525</v>
      </c>
      <c r="B4711" s="5" t="s">
        <v>13526</v>
      </c>
      <c r="C4711" s="5" t="s">
        <v>13646</v>
      </c>
      <c r="D4711" s="5" t="s">
        <v>13528</v>
      </c>
      <c r="E4711" s="5" t="s">
        <v>32</v>
      </c>
      <c r="F4711" s="5" t="s">
        <v>13529</v>
      </c>
      <c r="G4711" s="5" t="s">
        <v>13530</v>
      </c>
      <c r="H4711" s="5" t="s">
        <v>13531</v>
      </c>
      <c r="I4711" s="5" t="s">
        <v>13647</v>
      </c>
      <c r="J4711" s="5" t="s">
        <v>13648</v>
      </c>
      <c r="K4711" s="7" t="str">
        <f ca="1">IFERROR(__xludf.DUMMYFUNCTION("GOOGLETRANSLATE(H4711,""EN"",""ES"")"),"APARATOS Y EQUIPOS PARA MÉDICOS, HOSPITALES Y LABORATORIOS")</f>
        <v>APARATOS Y EQUIPOS PARA MÉDICOS, HOSPITALES Y LABORATORIOS</v>
      </c>
      <c r="L4711" s="5" t="str">
        <f ca="1">IFERROR(__xludf.DUMMYFUNCTION("GOOGLETRANSLATE(J4711,""EN"",""ES"")"),"Cromatógrafos")</f>
        <v>Cromatógrafos</v>
      </c>
      <c r="M4711" s="8" t="s">
        <v>79</v>
      </c>
      <c r="N4711" s="8"/>
    </row>
    <row r="4712" spans="1:14" ht="11.25" customHeight="1">
      <c r="A4712" s="5" t="s">
        <v>13525</v>
      </c>
      <c r="B4712" s="5" t="s">
        <v>13526</v>
      </c>
      <c r="C4712" s="5" t="s">
        <v>13649</v>
      </c>
      <c r="D4712" s="5" t="s">
        <v>13528</v>
      </c>
      <c r="E4712" s="5" t="s">
        <v>32</v>
      </c>
      <c r="F4712" s="5" t="s">
        <v>13529</v>
      </c>
      <c r="G4712" s="5" t="s">
        <v>13530</v>
      </c>
      <c r="H4712" s="5" t="s">
        <v>13531</v>
      </c>
      <c r="I4712" s="5" t="s">
        <v>13650</v>
      </c>
      <c r="J4712" s="5" t="s">
        <v>13651</v>
      </c>
      <c r="K4712" s="7" t="str">
        <f ca="1">IFERROR(__xludf.DUMMYFUNCTION("GOOGLETRANSLATE(H4712,""EN"",""ES"")"),"APARATOS Y EQUIPOS PARA MÉDICOS, HOSPITALES Y LABORATORIOS")</f>
        <v>APARATOS Y EQUIPOS PARA MÉDICOS, HOSPITALES Y LABORATORIOS</v>
      </c>
      <c r="L4712" s="5" t="str">
        <f ca="1">IFERROR(__xludf.DUMMYFUNCTION("GOOGLETRANSLATE(J4712,""EN"",""ES"")"),"Aparatos e instalaciones para diagnóstico médico o de laboratorio.")</f>
        <v>Aparatos e instalaciones para diagnóstico médico o de laboratorio.</v>
      </c>
      <c r="M4712" s="8" t="s">
        <v>79</v>
      </c>
      <c r="N4712" s="8"/>
    </row>
    <row r="4713" spans="1:14" ht="11.25" customHeight="1">
      <c r="A4713" s="5" t="s">
        <v>13525</v>
      </c>
      <c r="B4713" s="5" t="s">
        <v>13526</v>
      </c>
      <c r="C4713" s="5" t="s">
        <v>13652</v>
      </c>
      <c r="D4713" s="5" t="s">
        <v>13528</v>
      </c>
      <c r="E4713" s="5" t="s">
        <v>32</v>
      </c>
      <c r="F4713" s="5" t="s">
        <v>13529</v>
      </c>
      <c r="G4713" s="5" t="s">
        <v>13530</v>
      </c>
      <c r="H4713" s="5" t="s">
        <v>13531</v>
      </c>
      <c r="I4713" s="5" t="s">
        <v>13653</v>
      </c>
      <c r="J4713" s="5" t="s">
        <v>13654</v>
      </c>
      <c r="K4713" s="7" t="str">
        <f ca="1">IFERROR(__xludf.DUMMYFUNCTION("GOOGLETRANSLATE(H4713,""EN"",""ES"")"),"APARATOS Y EQUIPOS PARA MÉDICOS, HOSPITALES Y LABORATORIOS")</f>
        <v>APARATOS Y EQUIPOS PARA MÉDICOS, HOSPITALES Y LABORATORIOS</v>
      </c>
      <c r="L4713" s="5" t="str">
        <f ca="1">IFERROR(__xludf.DUMMYFUNCTION("GOOGLETRANSLATE(J4713,""EN"",""ES"")"),"Espirómetros para uso médico")</f>
        <v>Espirómetros para uso médico</v>
      </c>
      <c r="M4713" s="8" t="s">
        <v>79</v>
      </c>
      <c r="N4713" s="8"/>
    </row>
    <row r="4714" spans="1:14" ht="11.25" customHeight="1">
      <c r="A4714" s="5" t="s">
        <v>13525</v>
      </c>
      <c r="B4714" s="5" t="s">
        <v>13526</v>
      </c>
      <c r="C4714" s="5" t="s">
        <v>13655</v>
      </c>
      <c r="D4714" s="5" t="s">
        <v>13528</v>
      </c>
      <c r="E4714" s="5" t="s">
        <v>32</v>
      </c>
      <c r="F4714" s="5" t="s">
        <v>13529</v>
      </c>
      <c r="G4714" s="5" t="s">
        <v>13530</v>
      </c>
      <c r="H4714" s="5" t="s">
        <v>13531</v>
      </c>
      <c r="I4714" s="5" t="s">
        <v>13656</v>
      </c>
      <c r="J4714" s="5" t="s">
        <v>13657</v>
      </c>
      <c r="K4714" s="7" t="str">
        <f ca="1">IFERROR(__xludf.DUMMYFUNCTION("GOOGLETRANSLATE(H4714,""EN"",""ES"")"),"APARATOS Y EQUIPOS PARA MÉDICOS, HOSPITALES Y LABORATORIOS")</f>
        <v>APARATOS Y EQUIPOS PARA MÉDICOS, HOSPITALES Y LABORATORIOS</v>
      </c>
      <c r="L4714" s="5" t="str">
        <f ca="1">IFERROR(__xludf.DUMMYFUNCTION("GOOGLETRANSLATE(J4714,""EN"",""ES"")"),"Dispositivos de ejercicio para personas discapacitadas.")</f>
        <v>Dispositivos de ejercicio para personas discapacitadas.</v>
      </c>
      <c r="M4714" s="8" t="s">
        <v>79</v>
      </c>
      <c r="N4714" s="8"/>
    </row>
    <row r="4715" spans="1:14" ht="11.25" customHeight="1">
      <c r="A4715" s="5" t="s">
        <v>13525</v>
      </c>
      <c r="B4715" s="5" t="s">
        <v>13526</v>
      </c>
      <c r="C4715" s="5" t="s">
        <v>13658</v>
      </c>
      <c r="D4715" s="5" t="s">
        <v>13528</v>
      </c>
      <c r="E4715" s="5" t="s">
        <v>32</v>
      </c>
      <c r="F4715" s="5" t="s">
        <v>13529</v>
      </c>
      <c r="G4715" s="5" t="s">
        <v>13530</v>
      </c>
      <c r="H4715" s="5" t="s">
        <v>13531</v>
      </c>
      <c r="I4715" s="5" t="s">
        <v>13659</v>
      </c>
      <c r="J4715" s="5" t="s">
        <v>13660</v>
      </c>
      <c r="K4715" s="7" t="str">
        <f ca="1">IFERROR(__xludf.DUMMYFUNCTION("GOOGLETRANSLATE(H4715,""EN"",""ES"")"),"APARATOS Y EQUIPOS PARA MÉDICOS, HOSPITALES Y LABORATORIOS")</f>
        <v>APARATOS Y EQUIPOS PARA MÉDICOS, HOSPITALES Y LABORATORIOS</v>
      </c>
      <c r="L4715" s="5" t="str">
        <f ca="1">IFERROR(__xludf.DUMMYFUNCTION("GOOGLETRANSLATE(J4715,""EN"",""ES"")"),"Aparato de fisioterapia")</f>
        <v>Aparato de fisioterapia</v>
      </c>
      <c r="M4715" s="8" t="s">
        <v>79</v>
      </c>
      <c r="N4715" s="8"/>
    </row>
    <row r="4716" spans="1:14" ht="11.25" customHeight="1">
      <c r="A4716" s="5" t="s">
        <v>13525</v>
      </c>
      <c r="B4716" s="5" t="s">
        <v>13526</v>
      </c>
      <c r="C4716" s="5" t="s">
        <v>13661</v>
      </c>
      <c r="D4716" s="5" t="s">
        <v>13528</v>
      </c>
      <c r="E4716" s="5" t="s">
        <v>32</v>
      </c>
      <c r="F4716" s="5" t="s">
        <v>13529</v>
      </c>
      <c r="G4716" s="5" t="s">
        <v>13530</v>
      </c>
      <c r="H4716" s="5" t="s">
        <v>13531</v>
      </c>
      <c r="I4716" s="5" t="s">
        <v>13662</v>
      </c>
      <c r="J4716" s="5" t="s">
        <v>13663</v>
      </c>
      <c r="K4716" s="7" t="str">
        <f ca="1">IFERROR(__xludf.DUMMYFUNCTION("GOOGLETRANSLATE(H4716,""EN"",""ES"")"),"APARATOS Y EQUIPOS PARA MÉDICOS, HOSPITALES Y LABORATORIOS")</f>
        <v>APARATOS Y EQUIPOS PARA MÉDICOS, HOSPITALES Y LABORATORIOS</v>
      </c>
      <c r="L4716" s="5" t="str">
        <f ca="1">IFERROR(__xludf.DUMMYFUNCTION("GOOGLETRANSLATE(J4716,""EN"",""ES"")"),"Incubadoras [aparatos médicos]")</f>
        <v>Incubadoras [aparatos médicos]</v>
      </c>
      <c r="M4716" s="8" t="s">
        <v>79</v>
      </c>
      <c r="N4716" s="8"/>
    </row>
    <row r="4717" spans="1:14" ht="11.25" customHeight="1">
      <c r="A4717" s="5" t="s">
        <v>13525</v>
      </c>
      <c r="B4717" s="5" t="s">
        <v>13526</v>
      </c>
      <c r="C4717" s="5" t="s">
        <v>13664</v>
      </c>
      <c r="D4717" s="5" t="s">
        <v>13528</v>
      </c>
      <c r="E4717" s="5" t="s">
        <v>32</v>
      </c>
      <c r="F4717" s="5" t="s">
        <v>13529</v>
      </c>
      <c r="G4717" s="5" t="s">
        <v>13530</v>
      </c>
      <c r="H4717" s="5" t="s">
        <v>13531</v>
      </c>
      <c r="I4717" s="5" t="s">
        <v>13665</v>
      </c>
      <c r="J4717" s="5" t="s">
        <v>13666</v>
      </c>
      <c r="K4717" s="7" t="str">
        <f ca="1">IFERROR(__xludf.DUMMYFUNCTION("GOOGLETRANSLATE(H4717,""EN"",""ES"")"),"APARATOS Y EQUIPOS PARA MÉDICOS, HOSPITALES Y LABORATORIOS")</f>
        <v>APARATOS Y EQUIPOS PARA MÉDICOS, HOSPITALES Y LABORATORIOS</v>
      </c>
      <c r="L4717" s="5" t="str">
        <f ca="1">IFERROR(__xludf.DUMMYFUNCTION("GOOGLETRANSLATE(J4717,""EN"",""ES"")"),"Aparato de fototerapia")</f>
        <v>Aparato de fototerapia</v>
      </c>
      <c r="M4717" s="8" t="s">
        <v>79</v>
      </c>
      <c r="N4717" s="8"/>
    </row>
    <row r="4718" spans="1:14" ht="11.25" customHeight="1">
      <c r="A4718" s="5" t="s">
        <v>13525</v>
      </c>
      <c r="B4718" s="5" t="s">
        <v>13526</v>
      </c>
      <c r="C4718" s="5" t="s">
        <v>13667</v>
      </c>
      <c r="D4718" s="5" t="s">
        <v>13528</v>
      </c>
      <c r="E4718" s="5" t="s">
        <v>32</v>
      </c>
      <c r="F4718" s="5" t="s">
        <v>13529</v>
      </c>
      <c r="G4718" s="5" t="s">
        <v>13530</v>
      </c>
      <c r="H4718" s="5" t="s">
        <v>13531</v>
      </c>
      <c r="I4718" s="5" t="s">
        <v>13668</v>
      </c>
      <c r="J4718" s="5" t="s">
        <v>13669</v>
      </c>
      <c r="K4718" s="7" t="str">
        <f ca="1">IFERROR(__xludf.DUMMYFUNCTION("GOOGLETRANSLATE(H4718,""EN"",""ES"")"),"APARATOS Y EQUIPOS PARA MÉDICOS, HOSPITALES Y LABORATORIOS")</f>
        <v>APARATOS Y EQUIPOS PARA MÉDICOS, HOSPITALES Y LABORATORIOS</v>
      </c>
      <c r="L4718" s="5" t="str">
        <f ca="1">IFERROR(__xludf.DUMMYFUNCTION("GOOGLETRANSLATE(J4718,""EN"",""ES"")"),"Aparatos de hidroterapia [aparatos médicos]")</f>
        <v>Aparatos de hidroterapia [aparatos médicos]</v>
      </c>
      <c r="M4718" s="8" t="s">
        <v>79</v>
      </c>
      <c r="N4718" s="8"/>
    </row>
    <row r="4719" spans="1:14" ht="11.25" customHeight="1">
      <c r="A4719" s="5" t="s">
        <v>13525</v>
      </c>
      <c r="B4719" s="5" t="s">
        <v>13526</v>
      </c>
      <c r="C4719" s="5" t="s">
        <v>13670</v>
      </c>
      <c r="D4719" s="5" t="s">
        <v>13528</v>
      </c>
      <c r="E4719" s="5" t="s">
        <v>32</v>
      </c>
      <c r="F4719" s="5" t="s">
        <v>13529</v>
      </c>
      <c r="G4719" s="5" t="s">
        <v>13530</v>
      </c>
      <c r="H4719" s="5" t="s">
        <v>13531</v>
      </c>
      <c r="I4719" s="5" t="s">
        <v>13671</v>
      </c>
      <c r="J4719" s="5" t="s">
        <v>13672</v>
      </c>
      <c r="K4719" s="7" t="str">
        <f ca="1">IFERROR(__xludf.DUMMYFUNCTION("GOOGLETRANSLATE(H4719,""EN"",""ES"")"),"APARATOS Y EQUIPOS PARA MÉDICOS, HOSPITALES Y LABORATORIOS")</f>
        <v>APARATOS Y EQUIPOS PARA MÉDICOS, HOSPITALES Y LABORATORIOS</v>
      </c>
      <c r="L4719" s="5" t="str">
        <f ca="1">IFERROR(__xludf.DUMMYFUNCTION("GOOGLETRANSLATE(J4719,""EN"",""ES"")"),"Aparato de rehabilitación médica")</f>
        <v>Aparato de rehabilitación médica</v>
      </c>
      <c r="M4719" s="8" t="s">
        <v>79</v>
      </c>
      <c r="N4719" s="8"/>
    </row>
    <row r="4720" spans="1:14" ht="11.25" customHeight="1">
      <c r="A4720" s="5" t="s">
        <v>13525</v>
      </c>
      <c r="B4720" s="5" t="s">
        <v>13526</v>
      </c>
      <c r="C4720" s="5" t="s">
        <v>13673</v>
      </c>
      <c r="D4720" s="5" t="s">
        <v>13528</v>
      </c>
      <c r="E4720" s="5" t="s">
        <v>32</v>
      </c>
      <c r="F4720" s="5" t="s">
        <v>13529</v>
      </c>
      <c r="G4720" s="5" t="s">
        <v>13530</v>
      </c>
      <c r="H4720" s="5" t="s">
        <v>13531</v>
      </c>
      <c r="I4720" s="5" t="s">
        <v>13674</v>
      </c>
      <c r="J4720" s="5" t="s">
        <v>13675</v>
      </c>
      <c r="K4720" s="7" t="str">
        <f ca="1">IFERROR(__xludf.DUMMYFUNCTION("GOOGLETRANSLATE(H4720,""EN"",""ES"")"),"APARATOS Y EQUIPOS PARA MÉDICOS, HOSPITALES Y LABORATORIOS")</f>
        <v>APARATOS Y EQUIPOS PARA MÉDICOS, HOSPITALES Y LABORATORIOS</v>
      </c>
      <c r="L4720" s="5" t="str">
        <f ca="1">IFERROR(__xludf.DUMMYFUNCTION("GOOGLETRANSLATE(J4720,""EN"",""ES"")"),"Microscopios quirúrgicos")</f>
        <v>Microscopios quirúrgicos</v>
      </c>
      <c r="M4720" s="8" t="s">
        <v>79</v>
      </c>
      <c r="N4720" s="8"/>
    </row>
    <row r="4721" spans="1:14" ht="11.25" customHeight="1">
      <c r="A4721" s="5" t="s">
        <v>13525</v>
      </c>
      <c r="B4721" s="5" t="s">
        <v>13526</v>
      </c>
      <c r="C4721" s="5" t="s">
        <v>13676</v>
      </c>
      <c r="D4721" s="5" t="s">
        <v>13528</v>
      </c>
      <c r="E4721" s="5" t="s">
        <v>32</v>
      </c>
      <c r="F4721" s="5" t="s">
        <v>13529</v>
      </c>
      <c r="G4721" s="5" t="s">
        <v>13530</v>
      </c>
      <c r="H4721" s="5" t="s">
        <v>13531</v>
      </c>
      <c r="I4721" s="5" t="s">
        <v>13677</v>
      </c>
      <c r="J4721" s="5" t="s">
        <v>13678</v>
      </c>
      <c r="K4721" s="7" t="str">
        <f ca="1">IFERROR(__xludf.DUMMYFUNCTION("GOOGLETRANSLATE(H4721,""EN"",""ES"")"),"APARATOS Y EQUIPOS PARA MÉDICOS, HOSPITALES Y LABORATORIOS")</f>
        <v>APARATOS Y EQUIPOS PARA MÉDICOS, HOSPITALES Y LABORATORIOS</v>
      </c>
      <c r="L4721" s="5" t="str">
        <f ca="1">IFERROR(__xludf.DUMMYFUNCTION("GOOGLETRANSLATE(J4721,""EN"",""ES"")"),"Aparato de ventilación pulmonar artificial.")</f>
        <v>Aparato de ventilación pulmonar artificial.</v>
      </c>
      <c r="M4721" s="8" t="s">
        <v>79</v>
      </c>
      <c r="N4721" s="8"/>
    </row>
    <row r="4722" spans="1:14" ht="11.25" customHeight="1">
      <c r="A4722" s="5" t="s">
        <v>13525</v>
      </c>
      <c r="B4722" s="5" t="s">
        <v>13526</v>
      </c>
      <c r="C4722" s="5" t="s">
        <v>13679</v>
      </c>
      <c r="D4722" s="5" t="s">
        <v>13528</v>
      </c>
      <c r="E4722" s="5" t="s">
        <v>32</v>
      </c>
      <c r="F4722" s="5" t="s">
        <v>13529</v>
      </c>
      <c r="G4722" s="5" t="s">
        <v>13530</v>
      </c>
      <c r="H4722" s="5" t="s">
        <v>13531</v>
      </c>
      <c r="I4722" s="5" t="s">
        <v>13680</v>
      </c>
      <c r="J4722" s="5" t="s">
        <v>13681</v>
      </c>
      <c r="K4722" s="7" t="str">
        <f ca="1">IFERROR(__xludf.DUMMYFUNCTION("GOOGLETRANSLATE(H4722,""EN"",""ES"")"),"APARATOS Y EQUIPOS PARA MÉDICOS, HOSPITALES Y LABORATORIOS")</f>
        <v>APARATOS Y EQUIPOS PARA MÉDICOS, HOSPITALES Y LABORATORIOS</v>
      </c>
      <c r="L4722" s="5" t="str">
        <f ca="1">IFERROR(__xludf.DUMMYFUNCTION("GOOGLETRANSLATE(J4722,""EN"",""ES"")"),"Desfibriladores")</f>
        <v>Desfibriladores</v>
      </c>
      <c r="M4722" s="8" t="s">
        <v>79</v>
      </c>
      <c r="N4722" s="8"/>
    </row>
    <row r="4723" spans="1:14" ht="11.25" customHeight="1">
      <c r="A4723" s="5" t="s">
        <v>13525</v>
      </c>
      <c r="B4723" s="5" t="s">
        <v>13526</v>
      </c>
      <c r="C4723" s="5" t="s">
        <v>13682</v>
      </c>
      <c r="D4723" s="5" t="s">
        <v>13528</v>
      </c>
      <c r="E4723" s="5" t="s">
        <v>32</v>
      </c>
      <c r="F4723" s="5" t="s">
        <v>13529</v>
      </c>
      <c r="G4723" s="5" t="s">
        <v>13530</v>
      </c>
      <c r="H4723" s="5" t="s">
        <v>13531</v>
      </c>
      <c r="I4723" s="5" t="s">
        <v>13683</v>
      </c>
      <c r="J4723" s="5" t="s">
        <v>13684</v>
      </c>
      <c r="K4723" s="7" t="str">
        <f ca="1">IFERROR(__xludf.DUMMYFUNCTION("GOOGLETRANSLATE(H4723,""EN"",""ES"")"),"APARATOS Y EQUIPOS PARA MÉDICOS, HOSPITALES Y LABORATORIOS")</f>
        <v>APARATOS Y EQUIPOS PARA MÉDICOS, HOSPITALES Y LABORATORIOS</v>
      </c>
      <c r="L4723" s="5" t="str">
        <f ca="1">IFERROR(__xludf.DUMMYFUNCTION("GOOGLETRANSLATE(J4723,""EN"",""ES"")"),"Electrocardiógrafos")</f>
        <v>Electrocardiógrafos</v>
      </c>
      <c r="M4723" s="8" t="s">
        <v>79</v>
      </c>
      <c r="N4723" s="8"/>
    </row>
    <row r="4724" spans="1:14" ht="11.25" customHeight="1">
      <c r="A4724" s="5" t="s">
        <v>13525</v>
      </c>
      <c r="B4724" s="5" t="s">
        <v>13526</v>
      </c>
      <c r="C4724" s="5" t="s">
        <v>13685</v>
      </c>
      <c r="D4724" s="5" t="s">
        <v>13528</v>
      </c>
      <c r="E4724" s="5" t="s">
        <v>32</v>
      </c>
      <c r="F4724" s="5" t="s">
        <v>13529</v>
      </c>
      <c r="G4724" s="5" t="s">
        <v>13530</v>
      </c>
      <c r="H4724" s="5" t="s">
        <v>13531</v>
      </c>
      <c r="I4724" s="5" t="s">
        <v>13686</v>
      </c>
      <c r="J4724" s="5" t="s">
        <v>13687</v>
      </c>
      <c r="K4724" s="7" t="str">
        <f ca="1">IFERROR(__xludf.DUMMYFUNCTION("GOOGLETRANSLATE(H4724,""EN"",""ES"")"),"APARATOS Y EQUIPOS PARA MÉDICOS, HOSPITALES Y LABORATORIOS")</f>
        <v>APARATOS Y EQUIPOS PARA MÉDICOS, HOSPITALES Y LABORATORIOS</v>
      </c>
      <c r="L4724" s="5" t="str">
        <f ca="1">IFERROR(__xludf.DUMMYFUNCTION("GOOGLETRANSLATE(J4724,""EN"",""ES"")"),"medidores de glucosa en sangre")</f>
        <v>medidores de glucosa en sangre</v>
      </c>
      <c r="M4724" s="8" t="s">
        <v>79</v>
      </c>
      <c r="N4724" s="8"/>
    </row>
    <row r="4725" spans="1:14" ht="11.25" customHeight="1">
      <c r="A4725" s="5" t="s">
        <v>13525</v>
      </c>
      <c r="B4725" s="5" t="s">
        <v>13526</v>
      </c>
      <c r="C4725" s="5" t="s">
        <v>13688</v>
      </c>
      <c r="D4725" s="5" t="s">
        <v>13528</v>
      </c>
      <c r="E4725" s="5" t="s">
        <v>32</v>
      </c>
      <c r="F4725" s="5" t="s">
        <v>13529</v>
      </c>
      <c r="G4725" s="5" t="s">
        <v>13530</v>
      </c>
      <c r="H4725" s="5" t="s">
        <v>13531</v>
      </c>
      <c r="I4725" s="5" t="s">
        <v>13689</v>
      </c>
      <c r="J4725" s="5" t="s">
        <v>13690</v>
      </c>
      <c r="K4725" s="7" t="str">
        <f ca="1">IFERROR(__xludf.DUMMYFUNCTION("GOOGLETRANSLATE(H4725,""EN"",""ES"")"),"APARATOS Y EQUIPOS PARA MÉDICOS, HOSPITALES Y LABORATORIOS")</f>
        <v>APARATOS Y EQUIPOS PARA MÉDICOS, HOSPITALES Y LABORATORIOS</v>
      </c>
      <c r="L4725" s="5" t="str">
        <f ca="1">IFERROR(__xludf.DUMMYFUNCTION("GOOGLETRANSLATE(J4725,""EN"",""ES"")"),"Aparato electroquirúrgico")</f>
        <v>Aparato electroquirúrgico</v>
      </c>
      <c r="M4725" s="8" t="s">
        <v>79</v>
      </c>
      <c r="N4725" s="8"/>
    </row>
    <row r="4726" spans="1:14" ht="11.25" customHeight="1">
      <c r="A4726" s="5" t="s">
        <v>13525</v>
      </c>
      <c r="B4726" s="5" t="s">
        <v>13526</v>
      </c>
      <c r="C4726" s="5" t="s">
        <v>13691</v>
      </c>
      <c r="D4726" s="5" t="s">
        <v>13528</v>
      </c>
      <c r="E4726" s="5" t="s">
        <v>32</v>
      </c>
      <c r="F4726" s="5" t="s">
        <v>13529</v>
      </c>
      <c r="G4726" s="5" t="s">
        <v>13530</v>
      </c>
      <c r="H4726" s="5" t="s">
        <v>13531</v>
      </c>
      <c r="I4726" s="5" t="s">
        <v>13692</v>
      </c>
      <c r="J4726" s="5" t="s">
        <v>13693</v>
      </c>
      <c r="K4726" s="7" t="str">
        <f ca="1">IFERROR(__xludf.DUMMYFUNCTION("GOOGLETRANSLATE(H4726,""EN"",""ES"")"),"APARATOS Y EQUIPOS PARA MÉDICOS, HOSPITALES Y LABORATORIOS")</f>
        <v>APARATOS Y EQUIPOS PARA MÉDICOS, HOSPITALES Y LABORATORIOS</v>
      </c>
      <c r="L4726" s="5" t="str">
        <f ca="1">IFERROR(__xludf.DUMMYFUNCTION("GOOGLETRANSLATE(J4726,""EN"",""ES"")"),"bisturíes láser")</f>
        <v>bisturíes láser</v>
      </c>
      <c r="M4726" s="8" t="s">
        <v>79</v>
      </c>
      <c r="N4726" s="8"/>
    </row>
    <row r="4727" spans="1:14" ht="11.25" customHeight="1">
      <c r="A4727" s="5" t="s">
        <v>13525</v>
      </c>
      <c r="B4727" s="5" t="s">
        <v>13526</v>
      </c>
      <c r="C4727" s="5" t="s">
        <v>13694</v>
      </c>
      <c r="D4727" s="5" t="s">
        <v>13528</v>
      </c>
      <c r="E4727" s="5" t="s">
        <v>32</v>
      </c>
      <c r="F4727" s="5" t="s">
        <v>13529</v>
      </c>
      <c r="G4727" s="5" t="s">
        <v>13530</v>
      </c>
      <c r="H4727" s="5" t="s">
        <v>13531</v>
      </c>
      <c r="I4727" s="5" t="s">
        <v>13695</v>
      </c>
      <c r="J4727" s="5" t="s">
        <v>13696</v>
      </c>
      <c r="K4727" s="7" t="str">
        <f ca="1">IFERROR(__xludf.DUMMYFUNCTION("GOOGLETRANSLATE(H4727,""EN"",""ES"")"),"APARATOS Y EQUIPOS PARA MÉDICOS, HOSPITALES Y LABORATORIOS")</f>
        <v>APARATOS Y EQUIPOS PARA MÉDICOS, HOSPITALES Y LABORATORIOS</v>
      </c>
      <c r="L4727" s="5" t="str">
        <f ca="1">IFERROR(__xludf.DUMMYFUNCTION("GOOGLETRANSLATE(J4727,""EN"",""ES"")"),"Aparatos de desinfección mediante lámparas ultravioleta.")</f>
        <v>Aparatos de desinfección mediante lámparas ultravioleta.</v>
      </c>
      <c r="M4727" s="8" t="s">
        <v>79</v>
      </c>
      <c r="N4727" s="8"/>
    </row>
    <row r="4728" spans="1:14" ht="11.25" customHeight="1">
      <c r="A4728" s="5" t="s">
        <v>13525</v>
      </c>
      <c r="B4728" s="5" t="s">
        <v>13526</v>
      </c>
      <c r="C4728" s="5" t="s">
        <v>13697</v>
      </c>
      <c r="D4728" s="5" t="s">
        <v>13528</v>
      </c>
      <c r="E4728" s="5" t="s">
        <v>32</v>
      </c>
      <c r="F4728" s="5" t="s">
        <v>13529</v>
      </c>
      <c r="G4728" s="5" t="s">
        <v>13530</v>
      </c>
      <c r="H4728" s="5" t="s">
        <v>13531</v>
      </c>
      <c r="I4728" s="5" t="s">
        <v>13698</v>
      </c>
      <c r="J4728" s="5" t="s">
        <v>13699</v>
      </c>
      <c r="K4728" s="7" t="str">
        <f ca="1">IFERROR(__xludf.DUMMYFUNCTION("GOOGLETRANSLATE(H4728,""EN"",""ES"")"),"APARATOS Y EQUIPOS PARA MÉDICOS, HOSPITALES Y LABORATORIOS")</f>
        <v>APARATOS Y EQUIPOS PARA MÉDICOS, HOSPITALES Y LABORATORIOS</v>
      </c>
      <c r="L4728" s="5" t="str">
        <f ca="1">IFERROR(__xludf.DUMMYFUNCTION("GOOGLETRANSLATE(J4728,""EN"",""ES"")"),"Estimuladores musculares electrónicos para uso médico.")</f>
        <v>Estimuladores musculares electrónicos para uso médico.</v>
      </c>
      <c r="M4728" s="8" t="s">
        <v>79</v>
      </c>
      <c r="N4728" s="8"/>
    </row>
    <row r="4729" spans="1:14" ht="11.25" customHeight="1">
      <c r="A4729" s="5" t="s">
        <v>13525</v>
      </c>
      <c r="B4729" s="5" t="s">
        <v>13526</v>
      </c>
      <c r="C4729" s="5" t="s">
        <v>13700</v>
      </c>
      <c r="D4729" s="5" t="s">
        <v>13528</v>
      </c>
      <c r="E4729" s="5" t="s">
        <v>32</v>
      </c>
      <c r="F4729" s="5" t="s">
        <v>13529</v>
      </c>
      <c r="G4729" s="5" t="s">
        <v>13530</v>
      </c>
      <c r="H4729" s="5" t="s">
        <v>13531</v>
      </c>
      <c r="I4729" s="5" t="s">
        <v>13701</v>
      </c>
      <c r="J4729" s="5" t="s">
        <v>13702</v>
      </c>
      <c r="K4729" s="7" t="str">
        <f ca="1">IFERROR(__xludf.DUMMYFUNCTION("GOOGLETRANSLATE(H4729,""EN"",""ES"")"),"APARATOS Y EQUIPOS PARA MÉDICOS, HOSPITALES Y LABORATORIOS")</f>
        <v>APARATOS Y EQUIPOS PARA MÉDICOS, HOSPITALES Y LABORATORIOS</v>
      </c>
      <c r="L4729" s="5" t="str">
        <f ca="1">IFERROR(__xludf.DUMMYFUNCTION("GOOGLETRANSLATE(J4729,""EN"",""ES"")"),"Sondas ultrasónicas para uso médico.")</f>
        <v>Sondas ultrasónicas para uso médico.</v>
      </c>
      <c r="M4729" s="8" t="s">
        <v>79</v>
      </c>
      <c r="N4729" s="8"/>
    </row>
    <row r="4730" spans="1:14" ht="11.25" customHeight="1">
      <c r="A4730" s="5" t="s">
        <v>13525</v>
      </c>
      <c r="B4730" s="5" t="s">
        <v>13526</v>
      </c>
      <c r="C4730" s="5" t="s">
        <v>13703</v>
      </c>
      <c r="D4730" s="5" t="s">
        <v>13528</v>
      </c>
      <c r="E4730" s="5" t="s">
        <v>32</v>
      </c>
      <c r="F4730" s="5" t="s">
        <v>13529</v>
      </c>
      <c r="G4730" s="5" t="s">
        <v>13530</v>
      </c>
      <c r="H4730" s="5" t="s">
        <v>13531</v>
      </c>
      <c r="I4730" s="5" t="s">
        <v>13704</v>
      </c>
      <c r="J4730" s="5" t="s">
        <v>13705</v>
      </c>
      <c r="K4730" s="7" t="str">
        <f ca="1">IFERROR(__xludf.DUMMYFUNCTION("GOOGLETRANSLATE(H4730,""EN"",""ES"")"),"APARATOS Y EQUIPOS PARA MÉDICOS, HOSPITALES Y LABORATORIOS")</f>
        <v>APARATOS Y EQUIPOS PARA MÉDICOS, HOSPITALES Y LABORATORIOS</v>
      </c>
      <c r="L4730" s="5" t="str">
        <f ca="1">IFERROR(__xludf.DUMMYFUNCTION("GOOGLETRANSLATE(J4730,""EN"",""ES"")"),"Aparato de diagnóstico ultrasónico")</f>
        <v>Aparato de diagnóstico ultrasónico</v>
      </c>
      <c r="M4730" s="8" t="s">
        <v>79</v>
      </c>
      <c r="N4730" s="8"/>
    </row>
    <row r="4731" spans="1:14" ht="11.25" customHeight="1">
      <c r="A4731" s="5" t="s">
        <v>13525</v>
      </c>
      <c r="B4731" s="5" t="s">
        <v>13526</v>
      </c>
      <c r="C4731" s="5" t="s">
        <v>13706</v>
      </c>
      <c r="D4731" s="5" t="s">
        <v>13528</v>
      </c>
      <c r="E4731" s="5" t="s">
        <v>32</v>
      </c>
      <c r="F4731" s="5" t="s">
        <v>13529</v>
      </c>
      <c r="G4731" s="5" t="s">
        <v>13530</v>
      </c>
      <c r="H4731" s="5" t="s">
        <v>13531</v>
      </c>
      <c r="I4731" s="5" t="s">
        <v>13707</v>
      </c>
      <c r="J4731" s="5" t="s">
        <v>13708</v>
      </c>
      <c r="K4731" s="7" t="str">
        <f ca="1">IFERROR(__xludf.DUMMYFUNCTION("GOOGLETRANSLATE(H4731,""EN"",""ES"")"),"APARATOS Y EQUIPOS PARA MÉDICOS, HOSPITALES Y LABORATORIOS")</f>
        <v>APARATOS Y EQUIPOS PARA MÉDICOS, HOSPITALES Y LABORATORIOS</v>
      </c>
      <c r="L4731" s="5" t="str">
        <f ca="1">IFERROR(__xludf.DUMMYFUNCTION("GOOGLETRANSLATE(J4731,""EN"",""ES"")"),"Aparato de resonancia magnética [MRI]")</f>
        <v>Aparato de resonancia magnética [MRI]</v>
      </c>
      <c r="M4731" s="8" t="s">
        <v>79</v>
      </c>
      <c r="N4731" s="8"/>
    </row>
    <row r="4732" spans="1:14" ht="11.25" customHeight="1">
      <c r="A4732" s="5" t="s">
        <v>13525</v>
      </c>
      <c r="B4732" s="5" t="s">
        <v>13526</v>
      </c>
      <c r="C4732" s="5" t="s">
        <v>13709</v>
      </c>
      <c r="D4732" s="5" t="s">
        <v>13528</v>
      </c>
      <c r="E4732" s="5" t="s">
        <v>32</v>
      </c>
      <c r="F4732" s="5" t="s">
        <v>13529</v>
      </c>
      <c r="G4732" s="5" t="s">
        <v>13530</v>
      </c>
      <c r="H4732" s="5" t="s">
        <v>13531</v>
      </c>
      <c r="I4732" s="5" t="s">
        <v>13710</v>
      </c>
      <c r="J4732" s="5" t="s">
        <v>13711</v>
      </c>
      <c r="K4732" s="7" t="str">
        <f ca="1">IFERROR(__xludf.DUMMYFUNCTION("GOOGLETRANSLATE(H4732,""EN"",""ES"")"),"APARATOS Y EQUIPOS PARA MÉDICOS, HOSPITALES Y LABORATORIOS")</f>
        <v>APARATOS Y EQUIPOS PARA MÉDICOS, HOSPITALES Y LABORATORIOS</v>
      </c>
      <c r="L4732" s="5" t="str">
        <f ca="1">IFERROR(__xludf.DUMMYFUNCTION("GOOGLETRANSLATE(J4732,""EN"",""ES"")"),"Electroencefalogramas")</f>
        <v>Electroencefalogramas</v>
      </c>
      <c r="M4732" s="8" t="s">
        <v>79</v>
      </c>
      <c r="N4732" s="8"/>
    </row>
    <row r="4733" spans="1:14" ht="11.25" customHeight="1">
      <c r="A4733" s="5" t="s">
        <v>13525</v>
      </c>
      <c r="B4733" s="5" t="s">
        <v>13526</v>
      </c>
      <c r="C4733" s="5" t="s">
        <v>13712</v>
      </c>
      <c r="D4733" s="5" t="s">
        <v>13528</v>
      </c>
      <c r="E4733" s="5" t="s">
        <v>32</v>
      </c>
      <c r="F4733" s="5" t="s">
        <v>13529</v>
      </c>
      <c r="G4733" s="5" t="s">
        <v>13530</v>
      </c>
      <c r="H4733" s="5" t="s">
        <v>13531</v>
      </c>
      <c r="I4733" s="5" t="s">
        <v>13713</v>
      </c>
      <c r="J4733" s="5" t="s">
        <v>13714</v>
      </c>
      <c r="K4733" s="7" t="str">
        <f ca="1">IFERROR(__xludf.DUMMYFUNCTION("GOOGLETRANSLATE(H4733,""EN"",""ES"")"),"APARATOS Y EQUIPOS PARA MÉDICOS, HOSPITALES Y LABORATORIOS")</f>
        <v>APARATOS Y EQUIPOS PARA MÉDICOS, HOSPITALES Y LABORATORIOS</v>
      </c>
      <c r="L4733" s="5" t="str">
        <f ca="1">IFERROR(__xludf.DUMMYFUNCTION("GOOGLETRANSLATE(J4733,""EN"",""ES"")"),"Cascos de electrodos para electroencefalógrafos.")</f>
        <v>Cascos de electrodos para electroencefalógrafos.</v>
      </c>
      <c r="M4733" s="8" t="s">
        <v>79</v>
      </c>
      <c r="N4733" s="8"/>
    </row>
    <row r="4734" spans="1:14" ht="11.25" customHeight="1">
      <c r="A4734" s="5" t="s">
        <v>13525</v>
      </c>
      <c r="B4734" s="5" t="s">
        <v>13526</v>
      </c>
      <c r="C4734" s="5" t="s">
        <v>13715</v>
      </c>
      <c r="D4734" s="5" t="s">
        <v>13528</v>
      </c>
      <c r="E4734" s="5" t="s">
        <v>32</v>
      </c>
      <c r="F4734" s="5" t="s">
        <v>13529</v>
      </c>
      <c r="G4734" s="5" t="s">
        <v>13530</v>
      </c>
      <c r="H4734" s="5" t="s">
        <v>13531</v>
      </c>
      <c r="I4734" s="5" t="s">
        <v>13716</v>
      </c>
      <c r="J4734" s="5" t="s">
        <v>13717</v>
      </c>
      <c r="K4734" s="7" t="str">
        <f ca="1">IFERROR(__xludf.DUMMYFUNCTION("GOOGLETRANSLATE(H4734,""EN"",""ES"")"),"APARATOS Y EQUIPOS PARA MÉDICOS, HOSPITALES Y LABORATORIOS")</f>
        <v>APARATOS Y EQUIPOS PARA MÉDICOS, HOSPITALES Y LABORATORIOS</v>
      </c>
      <c r="L4734" s="5" t="str">
        <f ca="1">IFERROR(__xludf.DUMMYFUNCTION("GOOGLETRANSLATE(J4734,""EN"",""ES"")"),"Electrodos para electrocardiógrafos.")</f>
        <v>Electrodos para electrocardiógrafos.</v>
      </c>
      <c r="M4734" s="8" t="s">
        <v>79</v>
      </c>
      <c r="N4734" s="8"/>
    </row>
    <row r="4735" spans="1:14" ht="11.25" customHeight="1">
      <c r="A4735" s="5" t="s">
        <v>13525</v>
      </c>
      <c r="B4735" s="5" t="s">
        <v>13718</v>
      </c>
      <c r="C4735" s="5" t="s">
        <v>13719</v>
      </c>
      <c r="D4735" s="5" t="s">
        <v>13528</v>
      </c>
      <c r="E4735" s="5" t="s">
        <v>32</v>
      </c>
      <c r="F4735" s="5" t="s">
        <v>13529</v>
      </c>
      <c r="G4735" s="5" t="s">
        <v>13530</v>
      </c>
      <c r="H4735" s="5" t="s">
        <v>13720</v>
      </c>
      <c r="I4735" s="5" t="s">
        <v>13721</v>
      </c>
      <c r="J4735" s="5" t="s">
        <v>13722</v>
      </c>
      <c r="K4735" s="7" t="str">
        <f ca="1">IFERROR(__xludf.DUMMYFUNCTION("GOOGLETRANSLATE(H4735,""EN"",""ES"")"),"INSTRUMENTOS MÉDICOS, INSTRUMENTOS Y HERRAMIENTAS PARA USO DE LABORATORIO")</f>
        <v>INSTRUMENTOS MÉDICOS, INSTRUMENTOS Y HERRAMIENTAS PARA USO DE LABORATORIO</v>
      </c>
      <c r="L4735" s="5" t="str">
        <f ca="1">IFERROR(__xludf.DUMMYFUNCTION("GOOGLETRANSLATE(J4735,""EN"",""ES"")"),"Duchas para inyecciones")</f>
        <v>Duchas para inyecciones</v>
      </c>
      <c r="M4735" s="8" t="s">
        <v>79</v>
      </c>
      <c r="N4735" s="8"/>
    </row>
    <row r="4736" spans="1:14" ht="11.25" customHeight="1">
      <c r="A4736" s="5" t="s">
        <v>13525</v>
      </c>
      <c r="B4736" s="5" t="s">
        <v>13718</v>
      </c>
      <c r="C4736" s="5" t="s">
        <v>13723</v>
      </c>
      <c r="D4736" s="5" t="s">
        <v>13528</v>
      </c>
      <c r="E4736" s="5" t="s">
        <v>32</v>
      </c>
      <c r="F4736" s="5" t="s">
        <v>13529</v>
      </c>
      <c r="G4736" s="5" t="s">
        <v>13530</v>
      </c>
      <c r="H4736" s="5" t="s">
        <v>13720</v>
      </c>
      <c r="I4736" s="5" t="s">
        <v>13724</v>
      </c>
      <c r="J4736" s="5" t="s">
        <v>13725</v>
      </c>
      <c r="K4736" s="7" t="str">
        <f ca="1">IFERROR(__xludf.DUMMYFUNCTION("GOOGLETRANSLATE(H4736,""EN"",""ES"")"),"INSTRUMENTOS MÉDICOS, INSTRUMENTOS Y HERRAMIENTAS PARA USO DE LABORATORIO")</f>
        <v>INSTRUMENTOS MÉDICOS, INSTRUMENTOS Y HERRAMIENTAS PARA USO DE LABORATORIO</v>
      </c>
      <c r="L4736" s="5" t="str">
        <f ca="1">IFERROR(__xludf.DUMMYFUNCTION("GOOGLETRANSLATE(J4736,""EN"",""ES"")"),"Dilatadores [instrumentos médicos]")</f>
        <v>Dilatadores [instrumentos médicos]</v>
      </c>
      <c r="M4736" s="8" t="s">
        <v>79</v>
      </c>
      <c r="N4736" s="8"/>
    </row>
    <row r="4737" spans="1:14" ht="11.25" customHeight="1">
      <c r="A4737" s="5" t="s">
        <v>13525</v>
      </c>
      <c r="B4737" s="5" t="s">
        <v>13718</v>
      </c>
      <c r="C4737" s="5" t="s">
        <v>13726</v>
      </c>
      <c r="D4737" s="5" t="s">
        <v>13528</v>
      </c>
      <c r="E4737" s="5" t="s">
        <v>32</v>
      </c>
      <c r="F4737" s="5" t="s">
        <v>13529</v>
      </c>
      <c r="G4737" s="5" t="s">
        <v>13530</v>
      </c>
      <c r="H4737" s="5" t="s">
        <v>13720</v>
      </c>
      <c r="I4737" s="5" t="s">
        <v>13727</v>
      </c>
      <c r="J4737" s="5" t="s">
        <v>13728</v>
      </c>
      <c r="K4737" s="7" t="str">
        <f ca="1">IFERROR(__xludf.DUMMYFUNCTION("GOOGLETRANSLATE(H4737,""EN"",""ES"")"),"INSTRUMENTOS MÉDICOS, INSTRUMENTOS Y HERRAMIENTAS PARA USO DE LABORATORIO")</f>
        <v>INSTRUMENTOS MÉDICOS, INSTRUMENTOS Y HERRAMIENTAS PARA USO DE LABORATORIO</v>
      </c>
      <c r="L4737" s="5" t="str">
        <f ca="1">IFERROR(__xludf.DUMMYFUNCTION("GOOGLETRANSLATE(J4737,""EN"",""ES"")"),"agujas hipodérmicas")</f>
        <v>agujas hipodérmicas</v>
      </c>
      <c r="M4737" s="8" t="s">
        <v>79</v>
      </c>
      <c r="N4737" s="8"/>
    </row>
    <row r="4738" spans="1:14" ht="11.25" customHeight="1">
      <c r="A4738" s="5" t="s">
        <v>13525</v>
      </c>
      <c r="B4738" s="5" t="s">
        <v>13718</v>
      </c>
      <c r="C4738" s="5" t="s">
        <v>13729</v>
      </c>
      <c r="D4738" s="5" t="s">
        <v>13528</v>
      </c>
      <c r="E4738" s="5" t="s">
        <v>32</v>
      </c>
      <c r="F4738" s="5" t="s">
        <v>13529</v>
      </c>
      <c r="G4738" s="5" t="s">
        <v>13530</v>
      </c>
      <c r="H4738" s="5" t="s">
        <v>13720</v>
      </c>
      <c r="I4738" s="5" t="s">
        <v>13730</v>
      </c>
      <c r="J4738" s="5" t="s">
        <v>13731</v>
      </c>
      <c r="K4738" s="7" t="str">
        <f ca="1">IFERROR(__xludf.DUMMYFUNCTION("GOOGLETRANSLATE(H4738,""EN"",""ES"")"),"INSTRUMENTOS MÉDICOS, INSTRUMENTOS Y HERRAMIENTAS PARA USO DE LABORATORIO")</f>
        <v>INSTRUMENTOS MÉDICOS, INSTRUMENTOS Y HERRAMIENTAS PARA USO DE LABORATORIO</v>
      </c>
      <c r="L4738" s="5" t="str">
        <f ca="1">IFERROR(__xludf.DUMMYFUNCTION("GOOGLETRANSLATE(J4738,""EN"",""ES"")"),"Agujas para uso médico.")</f>
        <v>Agujas para uso médico.</v>
      </c>
      <c r="M4738" s="8" t="s">
        <v>79</v>
      </c>
      <c r="N4738" s="8"/>
    </row>
    <row r="4739" spans="1:14" ht="11.25" customHeight="1">
      <c r="A4739" s="5" t="s">
        <v>13525</v>
      </c>
      <c r="B4739" s="5" t="s">
        <v>13718</v>
      </c>
      <c r="C4739" s="5" t="s">
        <v>13732</v>
      </c>
      <c r="D4739" s="5" t="s">
        <v>13528</v>
      </c>
      <c r="E4739" s="5" t="s">
        <v>32</v>
      </c>
      <c r="F4739" s="5" t="s">
        <v>13529</v>
      </c>
      <c r="G4739" s="5" t="s">
        <v>13530</v>
      </c>
      <c r="H4739" s="5" t="s">
        <v>13720</v>
      </c>
      <c r="I4739" s="5" t="s">
        <v>13733</v>
      </c>
      <c r="J4739" s="5" t="s">
        <v>13734</v>
      </c>
      <c r="K4739" s="7" t="str">
        <f ca="1">IFERROR(__xludf.DUMMYFUNCTION("GOOGLETRANSLATE(H4739,""EN"",""ES"")"),"INSTRUMENTOS MÉDICOS, INSTRUMENTOS Y HERRAMIENTAS PARA USO DE LABORATORIO")</f>
        <v>INSTRUMENTOS MÉDICOS, INSTRUMENTOS Y HERRAMIENTAS PARA USO DE LABORATORIO</v>
      </c>
      <c r="L4739" s="5" t="str">
        <f ca="1">IFERROR(__xludf.DUMMYFUNCTION("GOOGLETRANSLATE(J4739,""EN"",""ES"")"),"Réplicas")</f>
        <v>Réplicas</v>
      </c>
      <c r="M4739" s="8" t="s">
        <v>79</v>
      </c>
      <c r="N4739" s="8"/>
    </row>
    <row r="4740" spans="1:14" ht="11.25" customHeight="1">
      <c r="A4740" s="5" t="s">
        <v>13525</v>
      </c>
      <c r="B4740" s="5" t="s">
        <v>13718</v>
      </c>
      <c r="C4740" s="5" t="s">
        <v>13732</v>
      </c>
      <c r="D4740" s="5" t="s">
        <v>13528</v>
      </c>
      <c r="E4740" s="5" t="s">
        <v>32</v>
      </c>
      <c r="F4740" s="5" t="s">
        <v>13529</v>
      </c>
      <c r="G4740" s="5" t="s">
        <v>13530</v>
      </c>
      <c r="H4740" s="5" t="s">
        <v>13720</v>
      </c>
      <c r="I4740" s="5" t="s">
        <v>152</v>
      </c>
      <c r="J4740" s="5" t="s">
        <v>13735</v>
      </c>
      <c r="K4740" s="7" t="str">
        <f ca="1">IFERROR(__xludf.DUMMYFUNCTION("GOOGLETRANSLATE(H4740,""EN"",""ES"")"),"INSTRUMENTOS MÉDICOS, INSTRUMENTOS Y HERRAMIENTAS PARA USO DE LABORATORIO")</f>
        <v>INSTRUMENTOS MÉDICOS, INSTRUMENTOS Y HERRAMIENTAS PARA USO DE LABORATORIO</v>
      </c>
      <c r="L4740" s="5" t="str">
        <f ca="1">IFERROR(__xludf.DUMMYFUNCTION("GOOGLETRANSLATE(J4740,""EN"",""ES"")"),"N / A")</f>
        <v>N / A</v>
      </c>
      <c r="M4740" s="8" t="s">
        <v>79</v>
      </c>
      <c r="N4740" s="8"/>
    </row>
    <row r="4741" spans="1:14" ht="11.25" customHeight="1">
      <c r="A4741" s="5" t="s">
        <v>13525</v>
      </c>
      <c r="B4741" s="5" t="s">
        <v>13718</v>
      </c>
      <c r="C4741" s="5" t="s">
        <v>13736</v>
      </c>
      <c r="D4741" s="5" t="s">
        <v>13528</v>
      </c>
      <c r="E4741" s="5" t="s">
        <v>32</v>
      </c>
      <c r="F4741" s="5" t="s">
        <v>13529</v>
      </c>
      <c r="G4741" s="5" t="s">
        <v>13530</v>
      </c>
      <c r="H4741" s="5" t="s">
        <v>13720</v>
      </c>
      <c r="I4741" s="5" t="s">
        <v>13737</v>
      </c>
      <c r="J4741" s="5" t="s">
        <v>13738</v>
      </c>
      <c r="K4741" s="7" t="str">
        <f ca="1">IFERROR(__xludf.DUMMYFUNCTION("GOOGLETRANSLATE(H4741,""EN"",""ES"")"),"INSTRUMENTOS MÉDICOS, INSTRUMENTOS Y HERRAMIENTAS PARA USO DE LABORATORIO")</f>
        <v>INSTRUMENTOS MÉDICOS, INSTRUMENTOS Y HERRAMIENTAS PARA USO DE LABORATORIO</v>
      </c>
      <c r="L4741" s="5" t="str">
        <f ca="1">IFERROR(__xludf.DUMMYFUNCTION("GOOGLETRANSLATE(J4741,""EN"",""ES"")"),"Aparato para mantener la boca abierta [odontología]")</f>
        <v>Aparato para mantener la boca abierta [odontología]</v>
      </c>
      <c r="M4741" s="8" t="s">
        <v>79</v>
      </c>
      <c r="N4741" s="8"/>
    </row>
    <row r="4742" spans="1:14" ht="11.25" customHeight="1">
      <c r="A4742" s="5" t="s">
        <v>13525</v>
      </c>
      <c r="B4742" s="5" t="s">
        <v>13718</v>
      </c>
      <c r="C4742" s="5" t="s">
        <v>13739</v>
      </c>
      <c r="D4742" s="5" t="s">
        <v>13528</v>
      </c>
      <c r="E4742" s="5" t="s">
        <v>32</v>
      </c>
      <c r="F4742" s="5" t="s">
        <v>13529</v>
      </c>
      <c r="G4742" s="5" t="s">
        <v>13530</v>
      </c>
      <c r="H4742" s="5" t="s">
        <v>13720</v>
      </c>
      <c r="I4742" s="5" t="s">
        <v>13740</v>
      </c>
      <c r="J4742" s="5" t="s">
        <v>13741</v>
      </c>
      <c r="K4742" s="7" t="str">
        <f ca="1">IFERROR(__xludf.DUMMYFUNCTION("GOOGLETRANSLATE(H4742,""EN"",""ES"")"),"INSTRUMENTOS MÉDICOS, INSTRUMENTOS Y HERRAMIENTAS PARA USO DE LABORATORIO")</f>
        <v>INSTRUMENTOS MÉDICOS, INSTRUMENTOS Y HERRAMIENTAS PARA USO DE LABORATORIO</v>
      </c>
      <c r="L4742" s="5" t="str">
        <f ca="1">IFERROR(__xludf.DUMMYFUNCTION("GOOGLETRANSLATE(J4742,""EN"",""ES"")"),"Tubos de inyección")</f>
        <v>Tubos de inyección</v>
      </c>
      <c r="M4742" s="8" t="s">
        <v>79</v>
      </c>
      <c r="N4742" s="8"/>
    </row>
    <row r="4743" spans="1:14" ht="11.25" customHeight="1">
      <c r="A4743" s="5" t="s">
        <v>13525</v>
      </c>
      <c r="B4743" s="5" t="s">
        <v>13718</v>
      </c>
      <c r="C4743" s="5" t="s">
        <v>13742</v>
      </c>
      <c r="D4743" s="5" t="s">
        <v>13528</v>
      </c>
      <c r="E4743" s="5" t="s">
        <v>32</v>
      </c>
      <c r="F4743" s="5" t="s">
        <v>13529</v>
      </c>
      <c r="G4743" s="5" t="s">
        <v>13530</v>
      </c>
      <c r="H4743" s="5" t="s">
        <v>13720</v>
      </c>
      <c r="I4743" s="5" t="s">
        <v>13743</v>
      </c>
      <c r="J4743" s="5" t="s">
        <v>13744</v>
      </c>
      <c r="K4743" s="7" t="str">
        <f ca="1">IFERROR(__xludf.DUMMYFUNCTION("GOOGLETRANSLATE(H4743,""EN"",""ES"")"),"INSTRUMENTOS MÉDICOS, INSTRUMENTOS Y HERRAMIENTAS PARA USO DE LABORATORIO")</f>
        <v>INSTRUMENTOS MÉDICOS, INSTRUMENTOS Y HERRAMIENTAS PARA USO DE LABORATORIO</v>
      </c>
      <c r="L4743" s="5" t="str">
        <f ca="1">IFERROR(__xludf.DUMMYFUNCTION("GOOGLETRANSLATE(J4743,""EN"",""ES"")"),"Instrumentos quirúrgicos")</f>
        <v>Instrumentos quirúrgicos</v>
      </c>
      <c r="M4743" s="8" t="s">
        <v>79</v>
      </c>
      <c r="N4743" s="8"/>
    </row>
    <row r="4744" spans="1:14" ht="11.25" customHeight="1">
      <c r="A4744" s="5" t="s">
        <v>13525</v>
      </c>
      <c r="B4744" s="5" t="s">
        <v>13718</v>
      </c>
      <c r="C4744" s="5" t="s">
        <v>13745</v>
      </c>
      <c r="D4744" s="5" t="s">
        <v>13528</v>
      </c>
      <c r="E4744" s="5" t="s">
        <v>32</v>
      </c>
      <c r="F4744" s="5" t="s">
        <v>13529</v>
      </c>
      <c r="G4744" s="5" t="s">
        <v>13530</v>
      </c>
      <c r="H4744" s="5" t="s">
        <v>13720</v>
      </c>
      <c r="I4744" s="5" t="s">
        <v>13746</v>
      </c>
      <c r="J4744" s="5" t="s">
        <v>13747</v>
      </c>
      <c r="K4744" s="7" t="str">
        <f ca="1">IFERROR(__xludf.DUMMYFUNCTION("GOOGLETRANSLATE(H4744,""EN"",""ES"")"),"INSTRUMENTOS MÉDICOS, INSTRUMENTOS Y HERRAMIENTAS PARA USO DE LABORATORIO")</f>
        <v>INSTRUMENTOS MÉDICOS, INSTRUMENTOS Y HERRAMIENTAS PARA USO DE LABORATORIO</v>
      </c>
      <c r="L4744" s="5" t="str">
        <f ca="1">IFERROR(__xludf.DUMMYFUNCTION("GOOGLETRANSLATE(J4744,""EN"",""ES"")"),"Goteros para uso médico o de laboratorio.")</f>
        <v>Goteros para uso médico o de laboratorio.</v>
      </c>
      <c r="M4744" s="8" t="s">
        <v>79</v>
      </c>
      <c r="N4744" s="8"/>
    </row>
    <row r="4745" spans="1:14" ht="11.25" customHeight="1">
      <c r="A4745" s="5" t="s">
        <v>13525</v>
      </c>
      <c r="B4745" s="5" t="s">
        <v>13718</v>
      </c>
      <c r="C4745" s="5" t="s">
        <v>13748</v>
      </c>
      <c r="D4745" s="5" t="s">
        <v>13528</v>
      </c>
      <c r="E4745" s="5" t="s">
        <v>32</v>
      </c>
      <c r="F4745" s="5" t="s">
        <v>13529</v>
      </c>
      <c r="G4745" s="5" t="s">
        <v>13530</v>
      </c>
      <c r="H4745" s="5" t="s">
        <v>13720</v>
      </c>
      <c r="I4745" s="5" t="s">
        <v>13749</v>
      </c>
      <c r="J4745" s="5" t="s">
        <v>13750</v>
      </c>
      <c r="K4745" s="7" t="str">
        <f ca="1">IFERROR(__xludf.DUMMYFUNCTION("GOOGLETRANSLATE(H4745,""EN"",""ES"")"),"INSTRUMENTOS MÉDICOS, INSTRUMENTOS Y HERRAMIENTAS PARA USO DE LABORATORIO")</f>
        <v>INSTRUMENTOS MÉDICOS, INSTRUMENTOS Y HERRAMIENTAS PARA USO DE LABORATORIO</v>
      </c>
      <c r="L4745" s="5" t="str">
        <f ca="1">IFERROR(__xludf.DUMMYFUNCTION("GOOGLETRANSLATE(J4745,""EN"",""ES"")"),"Cuchillos para uso quirúrgico.")</f>
        <v>Cuchillos para uso quirúrgico.</v>
      </c>
      <c r="M4745" s="8" t="s">
        <v>79</v>
      </c>
      <c r="N4745" s="8"/>
    </row>
    <row r="4746" spans="1:14" ht="11.25" customHeight="1">
      <c r="A4746" s="5" t="s">
        <v>13525</v>
      </c>
      <c r="B4746" s="5" t="s">
        <v>13718</v>
      </c>
      <c r="C4746" s="5" t="s">
        <v>13748</v>
      </c>
      <c r="D4746" s="5" t="s">
        <v>13528</v>
      </c>
      <c r="E4746" s="5" t="s">
        <v>32</v>
      </c>
      <c r="F4746" s="5" t="s">
        <v>13529</v>
      </c>
      <c r="G4746" s="5" t="s">
        <v>13530</v>
      </c>
      <c r="H4746" s="5" t="s">
        <v>13720</v>
      </c>
      <c r="I4746" s="5" t="s">
        <v>152</v>
      </c>
      <c r="J4746" s="5" t="s">
        <v>13751</v>
      </c>
      <c r="K4746" s="7" t="str">
        <f ca="1">IFERROR(__xludf.DUMMYFUNCTION("GOOGLETRANSLATE(H4746,""EN"",""ES"")"),"INSTRUMENTOS MÉDICOS, INSTRUMENTOS Y HERRAMIENTAS PARA USO DE LABORATORIO")</f>
        <v>INSTRUMENTOS MÉDICOS, INSTRUMENTOS Y HERRAMIENTAS PARA USO DE LABORATORIO</v>
      </c>
      <c r="L4746" s="5" t="str">
        <f ca="1">IFERROR(__xludf.DUMMYFUNCTION("GOOGLETRANSLATE(J4746,""EN"",""ES"")"),"N / A")</f>
        <v>N / A</v>
      </c>
      <c r="M4746" s="8" t="s">
        <v>79</v>
      </c>
      <c r="N4746" s="8"/>
    </row>
    <row r="4747" spans="1:14" ht="11.25" customHeight="1">
      <c r="A4747" s="5" t="s">
        <v>13525</v>
      </c>
      <c r="B4747" s="5" t="s">
        <v>13718</v>
      </c>
      <c r="C4747" s="5" t="s">
        <v>13752</v>
      </c>
      <c r="D4747" s="5" t="s">
        <v>13528</v>
      </c>
      <c r="E4747" s="5" t="s">
        <v>32</v>
      </c>
      <c r="F4747" s="5" t="s">
        <v>13529</v>
      </c>
      <c r="G4747" s="5" t="s">
        <v>13530</v>
      </c>
      <c r="H4747" s="5" t="s">
        <v>13720</v>
      </c>
      <c r="I4747" s="5" t="s">
        <v>13753</v>
      </c>
      <c r="J4747" s="5" t="s">
        <v>13754</v>
      </c>
      <c r="K4747" s="7" t="str">
        <f ca="1">IFERROR(__xludf.DUMMYFUNCTION("GOOGLETRANSLATE(H4747,""EN"",""ES"")"),"INSTRUMENTOS MÉDICOS, INSTRUMENTOS Y HERRAMIENTAS PARA USO DE LABORATORIO")</f>
        <v>INSTRUMENTOS MÉDICOS, INSTRUMENTOS Y HERRAMIENTAS PARA USO DE LABORATORIO</v>
      </c>
      <c r="L4747" s="5" t="str">
        <f ca="1">IFERROR(__xludf.DUMMYFUNCTION("GOOGLETRANSLATE(J4747,""EN"",""ES"")"),"Crisoles [para laboratorios]")</f>
        <v>Crisoles [para laboratorios]</v>
      </c>
      <c r="M4747" s="8" t="s">
        <v>79</v>
      </c>
      <c r="N4747" s="8"/>
    </row>
    <row r="4748" spans="1:14" ht="11.25" customHeight="1">
      <c r="A4748" s="5" t="s">
        <v>13525</v>
      </c>
      <c r="B4748" s="5" t="s">
        <v>13718</v>
      </c>
      <c r="C4748" s="5" t="s">
        <v>13755</v>
      </c>
      <c r="D4748" s="5" t="s">
        <v>13528</v>
      </c>
      <c r="E4748" s="5" t="s">
        <v>32</v>
      </c>
      <c r="F4748" s="5" t="s">
        <v>13529</v>
      </c>
      <c r="G4748" s="5" t="s">
        <v>13530</v>
      </c>
      <c r="H4748" s="5" t="s">
        <v>13720</v>
      </c>
      <c r="I4748" s="5" t="s">
        <v>13756</v>
      </c>
      <c r="J4748" s="5" t="s">
        <v>13757</v>
      </c>
      <c r="K4748" s="7" t="str">
        <f ca="1">IFERROR(__xludf.DUMMYFUNCTION("GOOGLETRANSLATE(H4748,""EN"",""ES"")"),"INSTRUMENTOS MÉDICOS, INSTRUMENTOS Y HERRAMIENTAS PARA USO DE LABORATORIO")</f>
        <v>INSTRUMENTOS MÉDICOS, INSTRUMENTOS Y HERRAMIENTAS PARA USO DE LABORATORIO</v>
      </c>
      <c r="L4748" s="5" t="str">
        <f ca="1">IFERROR(__xludf.DUMMYFUNCTION("GOOGLETRANSLATE(J4748,""EN"",""ES"")"),"Curetas [medicina]")</f>
        <v>Curetas [medicina]</v>
      </c>
      <c r="M4748" s="8" t="s">
        <v>79</v>
      </c>
      <c r="N4748" s="8"/>
    </row>
    <row r="4749" spans="1:14" ht="11.25" customHeight="1">
      <c r="A4749" s="5" t="s">
        <v>13525</v>
      </c>
      <c r="B4749" s="5" t="s">
        <v>13718</v>
      </c>
      <c r="C4749" s="5" t="s">
        <v>13758</v>
      </c>
      <c r="D4749" s="5" t="s">
        <v>13528</v>
      </c>
      <c r="E4749" s="5" t="s">
        <v>32</v>
      </c>
      <c r="F4749" s="5" t="s">
        <v>13529</v>
      </c>
      <c r="G4749" s="5" t="s">
        <v>13530</v>
      </c>
      <c r="H4749" s="5" t="s">
        <v>13720</v>
      </c>
      <c r="I4749" s="5" t="s">
        <v>13759</v>
      </c>
      <c r="J4749" s="5" t="s">
        <v>13759</v>
      </c>
      <c r="K4749" s="7" t="str">
        <f ca="1">IFERROR(__xludf.DUMMYFUNCTION("GOOGLETRANSLATE(H4749,""EN"",""ES"")"),"INSTRUMENTOS MÉDICOS, INSTRUMENTOS Y HERRAMIENTAS PARA USO DE LABORATORIO")</f>
        <v>INSTRUMENTOS MÉDICOS, INSTRUMENTOS Y HERRAMIENTAS PARA USO DE LABORATORIO</v>
      </c>
      <c r="L4749" s="5" t="str">
        <f ca="1">IFERROR(__xludf.DUMMYFUNCTION("GOOGLETRANSLATE(J4749,""EN"",""ES"")"),"cistoscopios")</f>
        <v>cistoscopios</v>
      </c>
      <c r="M4749" s="8" t="s">
        <v>79</v>
      </c>
      <c r="N4749" s="8"/>
    </row>
    <row r="4750" spans="1:14" ht="11.25" customHeight="1">
      <c r="A4750" s="5" t="s">
        <v>13525</v>
      </c>
      <c r="B4750" s="5" t="s">
        <v>13718</v>
      </c>
      <c r="C4750" s="5" t="s">
        <v>13760</v>
      </c>
      <c r="D4750" s="5" t="s">
        <v>13528</v>
      </c>
      <c r="E4750" s="5" t="s">
        <v>32</v>
      </c>
      <c r="F4750" s="5" t="s">
        <v>13529</v>
      </c>
      <c r="G4750" s="5" t="s">
        <v>13530</v>
      </c>
      <c r="H4750" s="5" t="s">
        <v>13720</v>
      </c>
      <c r="I4750" s="5" t="s">
        <v>13761</v>
      </c>
      <c r="J4750" s="5" t="s">
        <v>13762</v>
      </c>
      <c r="K4750" s="7" t="str">
        <f ca="1">IFERROR(__xludf.DUMMYFUNCTION("GOOGLETRANSLATE(H4750,""EN"",""ES"")"),"INSTRUMENTOS MÉDICOS, INSTRUMENTOS Y HERRAMIENTAS PARA USO DE LABORATORIO")</f>
        <v>INSTRUMENTOS MÉDICOS, INSTRUMENTOS Y HERRAMIENTAS PARA USO DE LABORATORIO</v>
      </c>
      <c r="L4750" s="5" t="str">
        <f ca="1">IFERROR(__xludf.DUMMYFUNCTION("GOOGLETRANSLATE(J4750,""EN"",""ES"")"),"pinzas dentales")</f>
        <v>pinzas dentales</v>
      </c>
      <c r="M4750" s="8" t="s">
        <v>79</v>
      </c>
      <c r="N4750" s="8"/>
    </row>
    <row r="4751" spans="1:14" ht="11.25" customHeight="1">
      <c r="A4751" s="5" t="s">
        <v>13525</v>
      </c>
      <c r="B4751" s="5" t="s">
        <v>13718</v>
      </c>
      <c r="C4751" s="5" t="s">
        <v>13763</v>
      </c>
      <c r="D4751" s="5" t="s">
        <v>13528</v>
      </c>
      <c r="E4751" s="5" t="s">
        <v>32</v>
      </c>
      <c r="F4751" s="5" t="s">
        <v>13529</v>
      </c>
      <c r="G4751" s="5" t="s">
        <v>13530</v>
      </c>
      <c r="H4751" s="5" t="s">
        <v>13720</v>
      </c>
      <c r="I4751" s="5" t="s">
        <v>13764</v>
      </c>
      <c r="J4751" s="5" t="s">
        <v>13765</v>
      </c>
      <c r="K4751" s="7" t="str">
        <f ca="1">IFERROR(__xludf.DUMMYFUNCTION("GOOGLETRANSLATE(H4751,""EN"",""ES"")"),"INSTRUMENTOS MÉDICOS, INSTRUMENTOS Y HERRAMIENTAS PARA USO DE LABORATORIO")</f>
        <v>INSTRUMENTOS MÉDICOS, INSTRUMENTOS Y HERRAMIENTAS PARA USO DE LABORATORIO</v>
      </c>
      <c r="L4751" s="5" t="str">
        <f ca="1">IFERROR(__xludf.DUMMYFUNCTION("GOOGLETRANSLATE(J4751,""EN"",""ES"")"),"Instrumentos dentales")</f>
        <v>Instrumentos dentales</v>
      </c>
      <c r="M4751" s="8" t="s">
        <v>79</v>
      </c>
      <c r="N4751" s="8"/>
    </row>
    <row r="4752" spans="1:14" ht="11.25" customHeight="1">
      <c r="A4752" s="5" t="s">
        <v>13525</v>
      </c>
      <c r="B4752" s="5" t="s">
        <v>13718</v>
      </c>
      <c r="C4752" s="5" t="s">
        <v>13766</v>
      </c>
      <c r="D4752" s="5" t="s">
        <v>13528</v>
      </c>
      <c r="E4752" s="5" t="s">
        <v>32</v>
      </c>
      <c r="F4752" s="5" t="s">
        <v>13529</v>
      </c>
      <c r="G4752" s="5" t="s">
        <v>13530</v>
      </c>
      <c r="H4752" s="5" t="s">
        <v>13720</v>
      </c>
      <c r="I4752" s="5" t="s">
        <v>13767</v>
      </c>
      <c r="J4752" s="5" t="s">
        <v>13768</v>
      </c>
      <c r="K4752" s="7" t="str">
        <f ca="1">IFERROR(__xludf.DUMMYFUNCTION("GOOGLETRANSLATE(H4752,""EN"",""ES"")"),"INSTRUMENTOS MÉDICOS, INSTRUMENTOS Y HERRAMIENTAS PARA USO DE LABORATORIO")</f>
        <v>INSTRUMENTOS MÉDICOS, INSTRUMENTOS Y HERRAMIENTAS PARA USO DE LABORATORIO</v>
      </c>
      <c r="L4752" s="5" t="str">
        <f ca="1">IFERROR(__xludf.DUMMYFUNCTION("GOOGLETRANSLATE(J4752,""EN"",""ES"")"),"Hisopos para tomar frotis de moco")</f>
        <v>Hisopos para tomar frotis de moco</v>
      </c>
      <c r="M4752" s="8" t="s">
        <v>79</v>
      </c>
      <c r="N4752" s="8"/>
    </row>
    <row r="4753" spans="1:14" ht="11.25" customHeight="1">
      <c r="A4753" s="5" t="s">
        <v>13525</v>
      </c>
      <c r="B4753" s="5" t="s">
        <v>13718</v>
      </c>
      <c r="C4753" s="5" t="s">
        <v>13769</v>
      </c>
      <c r="D4753" s="5" t="s">
        <v>13528</v>
      </c>
      <c r="E4753" s="5" t="s">
        <v>32</v>
      </c>
      <c r="F4753" s="5" t="s">
        <v>13529</v>
      </c>
      <c r="G4753" s="5" t="s">
        <v>13530</v>
      </c>
      <c r="H4753" s="5" t="s">
        <v>13720</v>
      </c>
      <c r="I4753" s="5" t="s">
        <v>13770</v>
      </c>
      <c r="J4753" s="5" t="s">
        <v>13771</v>
      </c>
      <c r="K4753" s="7" t="str">
        <f ca="1">IFERROR(__xludf.DUMMYFUNCTION("GOOGLETRANSLATE(H4753,""EN"",""ES"")"),"INSTRUMENTOS MÉDICOS, INSTRUMENTOS Y HERRAMIENTAS PARA USO DE LABORATORIO")</f>
        <v>INSTRUMENTOS MÉDICOS, INSTRUMENTOS Y HERRAMIENTAS PARA USO DE LABORATORIO</v>
      </c>
      <c r="L4753" s="5" t="str">
        <f ca="1">IFERROR(__xludf.DUMMYFUNCTION("GOOGLETRANSLATE(J4753,""EN"",""ES"")"),"Boquillas de jeringa")</f>
        <v>Boquillas de jeringa</v>
      </c>
      <c r="M4753" s="8" t="s">
        <v>79</v>
      </c>
      <c r="N4753" s="8"/>
    </row>
    <row r="4754" spans="1:14" ht="11.25" customHeight="1">
      <c r="A4754" s="5" t="s">
        <v>13525</v>
      </c>
      <c r="B4754" s="5" t="s">
        <v>13718</v>
      </c>
      <c r="C4754" s="5" t="s">
        <v>13772</v>
      </c>
      <c r="D4754" s="5" t="s">
        <v>13528</v>
      </c>
      <c r="E4754" s="5" t="s">
        <v>32</v>
      </c>
      <c r="F4754" s="5" t="s">
        <v>13529</v>
      </c>
      <c r="G4754" s="5" t="s">
        <v>13530</v>
      </c>
      <c r="H4754" s="5" t="s">
        <v>13720</v>
      </c>
      <c r="I4754" s="5" t="s">
        <v>13773</v>
      </c>
      <c r="J4754" s="5" t="s">
        <v>13774</v>
      </c>
      <c r="K4754" s="7" t="str">
        <f ca="1">IFERROR(__xludf.DUMMYFUNCTION("GOOGLETRANSLATE(H4754,""EN"",""ES"")"),"INSTRUMENTOS MÉDICOS, INSTRUMENTOS Y HERRAMIENTAS PARA USO DE LABORATORIO")</f>
        <v>INSTRUMENTOS MÉDICOS, INSTRUMENTOS Y HERRAMIENTAS PARA USO DE LABORATORIO</v>
      </c>
      <c r="L4754" s="5" t="str">
        <f ca="1">IFERROR(__xludf.DUMMYFUNCTION("GOOGLETRANSLATE(J4754,""EN"",""ES"")"),"tubos de ensayo")</f>
        <v>tubos de ensayo</v>
      </c>
      <c r="M4754" s="8" t="s">
        <v>79</v>
      </c>
      <c r="N4754" s="8"/>
    </row>
    <row r="4755" spans="1:14" ht="11.25" customHeight="1">
      <c r="A4755" s="5" t="s">
        <v>13525</v>
      </c>
      <c r="B4755" s="5" t="s">
        <v>13718</v>
      </c>
      <c r="C4755" s="5" t="s">
        <v>13775</v>
      </c>
      <c r="D4755" s="5" t="s">
        <v>13528</v>
      </c>
      <c r="E4755" s="5" t="s">
        <v>32</v>
      </c>
      <c r="F4755" s="5" t="s">
        <v>13529</v>
      </c>
      <c r="G4755" s="5" t="s">
        <v>13530</v>
      </c>
      <c r="H4755" s="5" t="s">
        <v>13720</v>
      </c>
      <c r="I4755" s="5" t="s">
        <v>13776</v>
      </c>
      <c r="J4755" s="5" t="s">
        <v>13776</v>
      </c>
      <c r="K4755" s="7" t="str">
        <f ca="1">IFERROR(__xludf.DUMMYFUNCTION("GOOGLETRANSLATE(H4755,""EN"",""ES"")"),"INSTRUMENTOS MÉDICOS, INSTRUMENTOS Y HERRAMIENTAS PARA USO DE LABORATORIO")</f>
        <v>INSTRUMENTOS MÉDICOS, INSTRUMENTOS Y HERRAMIENTAS PARA USO DE LABORATORIO</v>
      </c>
      <c r="L4755" s="5" t="str">
        <f ca="1">IFERROR(__xludf.DUMMYFUNCTION("GOOGLETRANSLATE(J4755,""EN"",""ES"")"),"Fórceps")</f>
        <v>Fórceps</v>
      </c>
      <c r="M4755" s="8" t="s">
        <v>79</v>
      </c>
      <c r="N4755" s="8"/>
    </row>
    <row r="4756" spans="1:14" ht="11.25" customHeight="1">
      <c r="A4756" s="5" t="s">
        <v>13525</v>
      </c>
      <c r="B4756" s="5" t="s">
        <v>13718</v>
      </c>
      <c r="C4756" s="5" t="s">
        <v>13777</v>
      </c>
      <c r="D4756" s="5" t="s">
        <v>13528</v>
      </c>
      <c r="E4756" s="5" t="s">
        <v>32</v>
      </c>
      <c r="F4756" s="5" t="s">
        <v>13529</v>
      </c>
      <c r="G4756" s="5" t="s">
        <v>13530</v>
      </c>
      <c r="H4756" s="5" t="s">
        <v>13720</v>
      </c>
      <c r="I4756" s="5" t="s">
        <v>13778</v>
      </c>
      <c r="J4756" s="5" t="s">
        <v>13778</v>
      </c>
      <c r="K4756" s="7" t="str">
        <f ca="1">IFERROR(__xludf.DUMMYFUNCTION("GOOGLETRANSLATE(H4756,""EN"",""ES"")"),"INSTRUMENTOS MÉDICOS, INSTRUMENTOS Y HERRAMIENTAS PARA USO DE LABORATORIO")</f>
        <v>INSTRUMENTOS MÉDICOS, INSTRUMENTOS Y HERRAMIENTAS PARA USO DE LABORATORIO</v>
      </c>
      <c r="L4756" s="5" t="str">
        <f ca="1">IFERROR(__xludf.DUMMYFUNCTION("GOOGLETRANSLATE(J4756,""EN"",""ES"")"),"Gastroscopios")</f>
        <v>Gastroscopios</v>
      </c>
      <c r="M4756" s="8" t="s">
        <v>79</v>
      </c>
      <c r="N4756" s="8"/>
    </row>
    <row r="4757" spans="1:14" ht="11.25" customHeight="1">
      <c r="A4757" s="5" t="s">
        <v>13525</v>
      </c>
      <c r="B4757" s="5" t="s">
        <v>13718</v>
      </c>
      <c r="C4757" s="5" t="s">
        <v>13779</v>
      </c>
      <c r="D4757" s="5" t="s">
        <v>13528</v>
      </c>
      <c r="E4757" s="5" t="s">
        <v>32</v>
      </c>
      <c r="F4757" s="5" t="s">
        <v>13529</v>
      </c>
      <c r="G4757" s="5" t="s">
        <v>13530</v>
      </c>
      <c r="H4757" s="5" t="s">
        <v>13720</v>
      </c>
      <c r="I4757" s="5" t="s">
        <v>13780</v>
      </c>
      <c r="J4757" s="5" t="s">
        <v>13781</v>
      </c>
      <c r="K4757" s="7" t="str">
        <f ca="1">IFERROR(__xludf.DUMMYFUNCTION("GOOGLETRANSLATE(H4757,""EN"",""ES"")"),"INSTRUMENTOS MÉDICOS, INSTRUMENTOS Y HERRAMIENTAS PARA USO DE LABORATORIO")</f>
        <v>INSTRUMENTOS MÉDICOS, INSTRUMENTOS Y HERRAMIENTAS PARA USO DE LABORATORIO</v>
      </c>
      <c r="L4757" s="5" t="str">
        <f ca="1">IFERROR(__xludf.DUMMYFUNCTION("GOOGLETRANSLATE(J4757,""EN"",""ES"")"),"Inyectores de medicamentos")</f>
        <v>Inyectores de medicamentos</v>
      </c>
      <c r="M4757" s="8" t="s">
        <v>79</v>
      </c>
      <c r="N4757" s="8"/>
    </row>
    <row r="4758" spans="1:14" ht="11.25" customHeight="1">
      <c r="A4758" s="5" t="s">
        <v>13525</v>
      </c>
      <c r="B4758" s="5" t="s">
        <v>13718</v>
      </c>
      <c r="C4758" s="5" t="s">
        <v>13782</v>
      </c>
      <c r="D4758" s="5" t="s">
        <v>13528</v>
      </c>
      <c r="E4758" s="5" t="s">
        <v>32</v>
      </c>
      <c r="F4758" s="5" t="s">
        <v>13529</v>
      </c>
      <c r="G4758" s="5" t="s">
        <v>13530</v>
      </c>
      <c r="H4758" s="5" t="s">
        <v>13720</v>
      </c>
      <c r="I4758" s="5" t="s">
        <v>13783</v>
      </c>
      <c r="J4758" s="5" t="s">
        <v>13784</v>
      </c>
      <c r="K4758" s="7" t="str">
        <f ca="1">IFERROR(__xludf.DUMMYFUNCTION("GOOGLETRANSLATE(H4758,""EN"",""ES"")"),"INSTRUMENTOS MÉDICOS, INSTRUMENTOS Y HERRAMIENTAS PARA USO DE LABORATORIO")</f>
        <v>INSTRUMENTOS MÉDICOS, INSTRUMENTOS Y HERRAMIENTAS PARA USO DE LABORATORIO</v>
      </c>
      <c r="L4758" s="5" t="str">
        <f ca="1">IFERROR(__xludf.DUMMYFUNCTION("GOOGLETRANSLATE(J4758,""EN"",""ES"")"),"Instrumentos castradores")</f>
        <v>Instrumentos castradores</v>
      </c>
      <c r="M4758" s="8" t="s">
        <v>79</v>
      </c>
      <c r="N4758" s="8"/>
    </row>
    <row r="4759" spans="1:14" ht="11.25" customHeight="1">
      <c r="A4759" s="5" t="s">
        <v>13525</v>
      </c>
      <c r="B4759" s="5" t="s">
        <v>13718</v>
      </c>
      <c r="C4759" s="5" t="s">
        <v>13785</v>
      </c>
      <c r="D4759" s="5" t="s">
        <v>13528</v>
      </c>
      <c r="E4759" s="5" t="s">
        <v>32</v>
      </c>
      <c r="F4759" s="5" t="s">
        <v>13529</v>
      </c>
      <c r="G4759" s="5" t="s">
        <v>13530</v>
      </c>
      <c r="H4759" s="5" t="s">
        <v>13720</v>
      </c>
      <c r="I4759" s="5" t="s">
        <v>13786</v>
      </c>
      <c r="J4759" s="5" t="s">
        <v>13787</v>
      </c>
      <c r="K4759" s="7" t="str">
        <f ca="1">IFERROR(__xludf.DUMMYFUNCTION("GOOGLETRANSLATE(H4759,""EN"",""ES"")"),"INSTRUMENTOS MÉDICOS, INSTRUMENTOS Y HERRAMIENTAS PARA USO DE LABORATORIO")</f>
        <v>INSTRUMENTOS MÉDICOS, INSTRUMENTOS Y HERRAMIENTAS PARA USO DE LABORATORIO</v>
      </c>
      <c r="L4759" s="5" t="str">
        <f ca="1">IFERROR(__xludf.DUMMYFUNCTION("GOOGLETRANSLATE(J4759,""EN"",""ES"")"),"Instrumentos y herramientas manuales para laboratorios.")</f>
        <v>Instrumentos y herramientas manuales para laboratorios.</v>
      </c>
      <c r="M4759" s="8" t="s">
        <v>79</v>
      </c>
      <c r="N4759" s="8"/>
    </row>
    <row r="4760" spans="1:14" ht="11.25" customHeight="1">
      <c r="A4760" s="5" t="s">
        <v>13525</v>
      </c>
      <c r="B4760" s="5" t="s">
        <v>13718</v>
      </c>
      <c r="C4760" s="5" t="s">
        <v>13788</v>
      </c>
      <c r="D4760" s="5" t="s">
        <v>13528</v>
      </c>
      <c r="E4760" s="5" t="s">
        <v>32</v>
      </c>
      <c r="F4760" s="5" t="s">
        <v>13529</v>
      </c>
      <c r="G4760" s="5" t="s">
        <v>13530</v>
      </c>
      <c r="H4760" s="5" t="s">
        <v>13720</v>
      </c>
      <c r="I4760" s="5" t="s">
        <v>13789</v>
      </c>
      <c r="J4760" s="5" t="s">
        <v>13790</v>
      </c>
      <c r="K4760" s="7" t="str">
        <f ca="1">IFERROR(__xludf.DUMMYFUNCTION("GOOGLETRANSLATE(H4760,""EN"",""ES"")"),"INSTRUMENTOS MÉDICOS, INSTRUMENTOS Y HERRAMIENTAS PARA USO DE LABORATORIO")</f>
        <v>INSTRUMENTOS MÉDICOS, INSTRUMENTOS Y HERRAMIENTAS PARA USO DE LABORATORIO</v>
      </c>
      <c r="L4760" s="5" t="str">
        <f ca="1">IFERROR(__xludf.DUMMYFUNCTION("GOOGLETRANSLATE(J4760,""EN"",""ES"")"),"Lancetas")</f>
        <v>Lancetas</v>
      </c>
      <c r="M4760" s="8" t="s">
        <v>79</v>
      </c>
      <c r="N4760" s="8"/>
    </row>
    <row r="4761" spans="1:14" ht="11.25" customHeight="1">
      <c r="A4761" s="5" t="s">
        <v>13525</v>
      </c>
      <c r="B4761" s="5" t="s">
        <v>13718</v>
      </c>
      <c r="C4761" s="5" t="s">
        <v>13791</v>
      </c>
      <c r="D4761" s="5" t="s">
        <v>13528</v>
      </c>
      <c r="E4761" s="5" t="s">
        <v>32</v>
      </c>
      <c r="F4761" s="5" t="s">
        <v>13529</v>
      </c>
      <c r="G4761" s="5" t="s">
        <v>13530</v>
      </c>
      <c r="H4761" s="5" t="s">
        <v>13720</v>
      </c>
      <c r="I4761" s="5" t="s">
        <v>13792</v>
      </c>
      <c r="J4761" s="5" t="s">
        <v>13792</v>
      </c>
      <c r="K4761" s="7" t="str">
        <f ca="1">IFERROR(__xludf.DUMMYFUNCTION("GOOGLETRANSLATE(H4761,""EN"",""ES"")"),"INSTRUMENTOS MÉDICOS, INSTRUMENTOS Y HERRAMIENTAS PARA USO DE LABORATORIO")</f>
        <v>INSTRUMENTOS MÉDICOS, INSTRUMENTOS Y HERRAMIENTAS PARA USO DE LABORATORIO</v>
      </c>
      <c r="L4761" s="5" t="str">
        <f ca="1">IFERROR(__xludf.DUMMYFUNCTION("GOOGLETRANSLATE(J4761,""EN"",""ES"")"),"Laringoscopios")</f>
        <v>Laringoscopios</v>
      </c>
      <c r="M4761" s="8" t="s">
        <v>79</v>
      </c>
      <c r="N4761" s="8"/>
    </row>
    <row r="4762" spans="1:14" ht="11.25" customHeight="1">
      <c r="A4762" s="5" t="s">
        <v>13525</v>
      </c>
      <c r="B4762" s="5" t="s">
        <v>13718</v>
      </c>
      <c r="C4762" s="5" t="s">
        <v>13793</v>
      </c>
      <c r="D4762" s="5" t="s">
        <v>13528</v>
      </c>
      <c r="E4762" s="5" t="s">
        <v>32</v>
      </c>
      <c r="F4762" s="5" t="s">
        <v>13529</v>
      </c>
      <c r="G4762" s="5" t="s">
        <v>13530</v>
      </c>
      <c r="H4762" s="5" t="s">
        <v>13720</v>
      </c>
      <c r="I4762" s="5" t="s">
        <v>13794</v>
      </c>
      <c r="J4762" s="5" t="s">
        <v>13795</v>
      </c>
      <c r="K4762" s="7" t="str">
        <f ca="1">IFERROR(__xludf.DUMMYFUNCTION("GOOGLETRANSLATE(H4762,""EN"",""ES"")"),"INSTRUMENTOS MÉDICOS, INSTRUMENTOS Y HERRAMIENTAS PARA USO DE LABORATORIO")</f>
        <v>INSTRUMENTOS MÉDICOS, INSTRUMENTOS Y HERRAMIENTAS PARA USO DE LABORATORIO</v>
      </c>
      <c r="L4762" s="5" t="str">
        <f ca="1">IFERROR(__xludf.DUMMYFUNCTION("GOOGLETRANSLATE(J4762,""EN"",""ES"")"),"Instrumentos médicos manuales")</f>
        <v>Instrumentos médicos manuales</v>
      </c>
      <c r="M4762" s="8" t="s">
        <v>79</v>
      </c>
      <c r="N4762" s="8"/>
    </row>
    <row r="4763" spans="1:14" ht="11.25" customHeight="1">
      <c r="A4763" s="5" t="s">
        <v>13525</v>
      </c>
      <c r="B4763" s="5" t="s">
        <v>13718</v>
      </c>
      <c r="C4763" s="5" t="s">
        <v>13796</v>
      </c>
      <c r="D4763" s="5" t="s">
        <v>13528</v>
      </c>
      <c r="E4763" s="5" t="s">
        <v>32</v>
      </c>
      <c r="F4763" s="5" t="s">
        <v>13529</v>
      </c>
      <c r="G4763" s="5" t="s">
        <v>13530</v>
      </c>
      <c r="H4763" s="5" t="s">
        <v>13720</v>
      </c>
      <c r="I4763" s="5" t="s">
        <v>13797</v>
      </c>
      <c r="J4763" s="5" t="s">
        <v>13798</v>
      </c>
      <c r="K4763" s="7" t="str">
        <f ca="1">IFERROR(__xludf.DUMMYFUNCTION("GOOGLETRANSLATE(H4763,""EN"",""ES"")"),"INSTRUMENTOS MÉDICOS, INSTRUMENTOS Y HERRAMIENTAS PARA USO DE LABORATORIO")</f>
        <v>INSTRUMENTOS MÉDICOS, INSTRUMENTOS Y HERRAMIENTAS PARA USO DE LABORATORIO</v>
      </c>
      <c r="L4763" s="5" t="str">
        <f ca="1">IFERROR(__xludf.DUMMYFUNCTION("GOOGLETRANSLATE(J4763,""EN"",""ES"")"),"Instrumentos medicos")</f>
        <v>Instrumentos medicos</v>
      </c>
      <c r="M4763" s="8" t="s">
        <v>79</v>
      </c>
      <c r="N4763" s="8"/>
    </row>
    <row r="4764" spans="1:14" ht="11.25" customHeight="1">
      <c r="A4764" s="5" t="s">
        <v>13525</v>
      </c>
      <c r="B4764" s="5" t="s">
        <v>13718</v>
      </c>
      <c r="C4764" s="5" t="s">
        <v>13799</v>
      </c>
      <c r="D4764" s="5" t="s">
        <v>13528</v>
      </c>
      <c r="E4764" s="5" t="s">
        <v>32</v>
      </c>
      <c r="F4764" s="5" t="s">
        <v>13529</v>
      </c>
      <c r="G4764" s="5" t="s">
        <v>13530</v>
      </c>
      <c r="H4764" s="5" t="s">
        <v>13720</v>
      </c>
      <c r="I4764" s="5" t="s">
        <v>13800</v>
      </c>
      <c r="J4764" s="5" t="s">
        <v>13801</v>
      </c>
      <c r="K4764" s="7" t="str">
        <f ca="1">IFERROR(__xludf.DUMMYFUNCTION("GOOGLETRANSLATE(H4764,""EN"",""ES"")"),"INSTRUMENTOS MÉDICOS, INSTRUMENTOS Y HERRAMIENTAS PARA USO DE LABORATORIO")</f>
        <v>INSTRUMENTOS MÉDICOS, INSTRUMENTOS Y HERRAMIENTAS PARA USO DE LABORATORIO</v>
      </c>
      <c r="L4764" s="5" t="str">
        <f ca="1">IFERROR(__xludf.DUMMYFUNCTION("GOOGLETRANSLATE(J4764,""EN"",""ES"")"),"Espejos para médicos y dentistas.")</f>
        <v>Espejos para médicos y dentistas.</v>
      </c>
      <c r="M4764" s="8" t="s">
        <v>79</v>
      </c>
      <c r="N4764" s="8"/>
    </row>
    <row r="4765" spans="1:14" ht="11.25" customHeight="1">
      <c r="A4765" s="5" t="s">
        <v>13525</v>
      </c>
      <c r="B4765" s="5" t="s">
        <v>13718</v>
      </c>
      <c r="C4765" s="5" t="s">
        <v>13802</v>
      </c>
      <c r="D4765" s="5" t="s">
        <v>13528</v>
      </c>
      <c r="E4765" s="5" t="s">
        <v>32</v>
      </c>
      <c r="F4765" s="5" t="s">
        <v>13529</v>
      </c>
      <c r="G4765" s="5" t="s">
        <v>13530</v>
      </c>
      <c r="H4765" s="5" t="s">
        <v>13720</v>
      </c>
      <c r="I4765" s="5" t="s">
        <v>13803</v>
      </c>
      <c r="J4765" s="5" t="s">
        <v>13803</v>
      </c>
      <c r="K4765" s="7" t="str">
        <f ca="1">IFERROR(__xludf.DUMMYFUNCTION("GOOGLETRANSLATE(H4765,""EN"",""ES"")"),"INSTRUMENTOS MÉDICOS, INSTRUMENTOS Y HERRAMIENTAS PARA USO DE LABORATORIO")</f>
        <v>INSTRUMENTOS MÉDICOS, INSTRUMENTOS Y HERRAMIENTAS PARA USO DE LABORATORIO</v>
      </c>
      <c r="L4765" s="5" t="str">
        <f ca="1">IFERROR(__xludf.DUMMYFUNCTION("GOOGLETRANSLATE(J4765,""EN"",""ES"")"),"Pipetas")</f>
        <v>Pipetas</v>
      </c>
      <c r="M4765" s="8" t="s">
        <v>79</v>
      </c>
      <c r="N4765" s="8"/>
    </row>
    <row r="4766" spans="1:14" ht="11.25" customHeight="1">
      <c r="A4766" s="5" t="s">
        <v>13525</v>
      </c>
      <c r="B4766" s="5" t="s">
        <v>13718</v>
      </c>
      <c r="C4766" s="5" t="s">
        <v>13804</v>
      </c>
      <c r="D4766" s="5" t="s">
        <v>13528</v>
      </c>
      <c r="E4766" s="5" t="s">
        <v>32</v>
      </c>
      <c r="F4766" s="5" t="s">
        <v>13529</v>
      </c>
      <c r="G4766" s="5" t="s">
        <v>13530</v>
      </c>
      <c r="H4766" s="5" t="s">
        <v>13720</v>
      </c>
      <c r="I4766" s="5" t="s">
        <v>13805</v>
      </c>
      <c r="J4766" s="5" t="s">
        <v>13806</v>
      </c>
      <c r="K4766" s="7" t="str">
        <f ca="1">IFERROR(__xludf.DUMMYFUNCTION("GOOGLETRANSLATE(H4766,""EN"",""ES"")"),"INSTRUMENTOS MÉDICOS, INSTRUMENTOS Y HERRAMIENTAS PARA USO DE LABORATORIO")</f>
        <v>INSTRUMENTOS MÉDICOS, INSTRUMENTOS Y HERRAMIENTAS PARA USO DE LABORATORIO</v>
      </c>
      <c r="L4766" s="5" t="str">
        <f ca="1">IFERROR(__xludf.DUMMYFUNCTION("GOOGLETRANSLATE(J4766,""EN"",""ES"")"),"Botellas de lavado [para laboratorios]")</f>
        <v>Botellas de lavado [para laboratorios]</v>
      </c>
      <c r="M4766" s="8" t="s">
        <v>79</v>
      </c>
      <c r="N4766" s="8"/>
    </row>
    <row r="4767" spans="1:14" ht="11.25" customHeight="1">
      <c r="A4767" s="5" t="s">
        <v>13525</v>
      </c>
      <c r="B4767" s="5" t="s">
        <v>13718</v>
      </c>
      <c r="C4767" s="5" t="s">
        <v>13807</v>
      </c>
      <c r="D4767" s="5" t="s">
        <v>13528</v>
      </c>
      <c r="E4767" s="5" t="s">
        <v>32</v>
      </c>
      <c r="F4767" s="5" t="s">
        <v>13529</v>
      </c>
      <c r="G4767" s="5" t="s">
        <v>13530</v>
      </c>
      <c r="H4767" s="5" t="s">
        <v>13720</v>
      </c>
      <c r="I4767" s="5" t="s">
        <v>13808</v>
      </c>
      <c r="J4767" s="5" t="s">
        <v>13809</v>
      </c>
      <c r="K4767" s="7" t="str">
        <f ca="1">IFERROR(__xludf.DUMMYFUNCTION("GOOGLETRANSLATE(H4767,""EN"",""ES"")"),"INSTRUMENTOS MÉDICOS, INSTRUMENTOS Y HERRAMIENTAS PARA USO DE LABORATORIO")</f>
        <v>INSTRUMENTOS MÉDICOS, INSTRUMENTOS Y HERRAMIENTAS PARA USO DE LABORATORIO</v>
      </c>
      <c r="L4767" s="5" t="str">
        <f ca="1">IFERROR(__xludf.DUMMYFUNCTION("GOOGLETRANSLATE(J4767,""EN"",""ES"")"),"Aparato para tomar muestras de sangre.")</f>
        <v>Aparato para tomar muestras de sangre.</v>
      </c>
      <c r="M4767" s="8" t="s">
        <v>79</v>
      </c>
      <c r="N4767" s="8"/>
    </row>
    <row r="4768" spans="1:14" ht="11.25" customHeight="1">
      <c r="A4768" s="5" t="s">
        <v>13525</v>
      </c>
      <c r="B4768" s="5" t="s">
        <v>13718</v>
      </c>
      <c r="C4768" s="5" t="s">
        <v>13810</v>
      </c>
      <c r="D4768" s="5" t="s">
        <v>13528</v>
      </c>
      <c r="E4768" s="5" t="s">
        <v>32</v>
      </c>
      <c r="F4768" s="5" t="s">
        <v>13529</v>
      </c>
      <c r="G4768" s="5" t="s">
        <v>13530</v>
      </c>
      <c r="H4768" s="5" t="s">
        <v>13720</v>
      </c>
      <c r="I4768" s="5" t="s">
        <v>13811</v>
      </c>
      <c r="J4768" s="5" t="s">
        <v>13812</v>
      </c>
      <c r="K4768" s="7" t="str">
        <f ca="1">IFERROR(__xludf.DUMMYFUNCTION("GOOGLETRANSLATE(H4768,""EN"",""ES"")"),"INSTRUMENTOS MÉDICOS, INSTRUMENTOS Y HERRAMIENTAS PARA USO DE LABORATORIO")</f>
        <v>INSTRUMENTOS MÉDICOS, INSTRUMENTOS Y HERRAMIENTAS PARA USO DE LABORATORIO</v>
      </c>
      <c r="L4768" s="5" t="str">
        <f ca="1">IFERROR(__xludf.DUMMYFUNCTION("GOOGLETRANSLATE(J4768,""EN"",""ES"")"),"Retractores")</f>
        <v>Retractores</v>
      </c>
      <c r="M4768" s="8" t="s">
        <v>79</v>
      </c>
      <c r="N4768" s="8"/>
    </row>
    <row r="4769" spans="1:14" ht="11.25" customHeight="1">
      <c r="A4769" s="5" t="s">
        <v>13525</v>
      </c>
      <c r="B4769" s="5" t="s">
        <v>13718</v>
      </c>
      <c r="C4769" s="5" t="s">
        <v>13813</v>
      </c>
      <c r="D4769" s="5" t="s">
        <v>13528</v>
      </c>
      <c r="E4769" s="5" t="s">
        <v>32</v>
      </c>
      <c r="F4769" s="5" t="s">
        <v>13529</v>
      </c>
      <c r="G4769" s="5" t="s">
        <v>13530</v>
      </c>
      <c r="H4769" s="5" t="s">
        <v>13720</v>
      </c>
      <c r="I4769" s="5" t="s">
        <v>13814</v>
      </c>
      <c r="J4769" s="5" t="s">
        <v>13814</v>
      </c>
      <c r="K4769" s="7" t="str">
        <f ca="1">IFERROR(__xludf.DUMMYFUNCTION("GOOGLETRANSLATE(H4769,""EN"",""ES"")"),"INSTRUMENTOS MÉDICOS, INSTRUMENTOS Y HERRAMIENTAS PARA USO DE LABORATORIO")</f>
        <v>INSTRUMENTOS MÉDICOS, INSTRUMENTOS Y HERRAMIENTAS PARA USO DE LABORATORIO</v>
      </c>
      <c r="L4769" s="5" t="str">
        <f ca="1">IFERROR(__xludf.DUMMYFUNCTION("GOOGLETRANSLATE(J4769,""EN"",""ES"")"),"Bisturíes")</f>
        <v>Bisturíes</v>
      </c>
      <c r="M4769" s="8" t="s">
        <v>79</v>
      </c>
      <c r="N4769" s="8"/>
    </row>
    <row r="4770" spans="1:14" ht="11.25" customHeight="1">
      <c r="A4770" s="5" t="s">
        <v>13525</v>
      </c>
      <c r="B4770" s="5" t="s">
        <v>13718</v>
      </c>
      <c r="C4770" s="5" t="s">
        <v>13815</v>
      </c>
      <c r="D4770" s="5" t="s">
        <v>13528</v>
      </c>
      <c r="E4770" s="5" t="s">
        <v>32</v>
      </c>
      <c r="F4770" s="5" t="s">
        <v>13529</v>
      </c>
      <c r="G4770" s="5" t="s">
        <v>13530</v>
      </c>
      <c r="H4770" s="5" t="s">
        <v>13720</v>
      </c>
      <c r="I4770" s="5" t="s">
        <v>13816</v>
      </c>
      <c r="J4770" s="5" t="s">
        <v>13817</v>
      </c>
      <c r="K4770" s="7" t="str">
        <f ca="1">IFERROR(__xludf.DUMMYFUNCTION("GOOGLETRANSLATE(H4770,""EN"",""ES"")"),"INSTRUMENTOS MÉDICOS, INSTRUMENTOS Y HERRAMIENTAS PARA USO DE LABORATORIO")</f>
        <v>INSTRUMENTOS MÉDICOS, INSTRUMENTOS Y HERRAMIENTAS PARA USO DE LABORATORIO</v>
      </c>
      <c r="L4770" s="5" t="str">
        <f ca="1">IFERROR(__xludf.DUMMYFUNCTION("GOOGLETRANSLATE(J4770,""EN"",""ES"")"),"jeringas medicas")</f>
        <v>jeringas medicas</v>
      </c>
      <c r="M4770" s="8" t="s">
        <v>79</v>
      </c>
      <c r="N4770" s="8"/>
    </row>
    <row r="4771" spans="1:14" ht="11.25" customHeight="1">
      <c r="A4771" s="5" t="s">
        <v>13525</v>
      </c>
      <c r="B4771" s="5" t="s">
        <v>13718</v>
      </c>
      <c r="C4771" s="5" t="s">
        <v>13818</v>
      </c>
      <c r="D4771" s="5" t="s">
        <v>13528</v>
      </c>
      <c r="E4771" s="5" t="s">
        <v>32</v>
      </c>
      <c r="F4771" s="5" t="s">
        <v>13529</v>
      </c>
      <c r="G4771" s="5" t="s">
        <v>13530</v>
      </c>
      <c r="H4771" s="5" t="s">
        <v>13720</v>
      </c>
      <c r="I4771" s="5" t="s">
        <v>13819</v>
      </c>
      <c r="J4771" s="5" t="s">
        <v>13820</v>
      </c>
      <c r="K4771" s="7" t="str">
        <f ca="1">IFERROR(__xludf.DUMMYFUNCTION("GOOGLETRANSLATE(H4771,""EN"",""ES"")"),"INSTRUMENTOS MÉDICOS, INSTRUMENTOS Y HERRAMIENTAS PARA USO DE LABORATORIO")</f>
        <v>INSTRUMENTOS MÉDICOS, INSTRUMENTOS Y HERRAMIENTAS PARA USO DE LABORATORIO</v>
      </c>
      <c r="L4771" s="5" t="str">
        <f ca="1">IFERROR(__xludf.DUMMYFUNCTION("GOOGLETRANSLATE(J4771,""EN"",""ES"")"),"Sifones de laboratorio")</f>
        <v>Sifones de laboratorio</v>
      </c>
      <c r="M4771" s="8" t="s">
        <v>79</v>
      </c>
      <c r="N4771" s="8"/>
    </row>
    <row r="4772" spans="1:14" ht="11.25" customHeight="1">
      <c r="A4772" s="5" t="s">
        <v>13525</v>
      </c>
      <c r="B4772" s="5" t="s">
        <v>13718</v>
      </c>
      <c r="C4772" s="5" t="s">
        <v>13821</v>
      </c>
      <c r="D4772" s="5" t="s">
        <v>13528</v>
      </c>
      <c r="E4772" s="5" t="s">
        <v>32</v>
      </c>
      <c r="F4772" s="5" t="s">
        <v>13529</v>
      </c>
      <c r="G4772" s="5" t="s">
        <v>13530</v>
      </c>
      <c r="H4772" s="5" t="s">
        <v>13720</v>
      </c>
      <c r="I4772" s="5" t="s">
        <v>13822</v>
      </c>
      <c r="J4772" s="5" t="s">
        <v>13823</v>
      </c>
      <c r="K4772" s="7" t="str">
        <f ca="1">IFERROR(__xludf.DUMMYFUNCTION("GOOGLETRANSLATE(H4772,""EN"",""ES"")"),"INSTRUMENTOS MÉDICOS, INSTRUMENTOS Y HERRAMIENTAS PARA USO DE LABORATORIO")</f>
        <v>INSTRUMENTOS MÉDICOS, INSTRUMENTOS Y HERRAMIENTAS PARA USO DE LABORATORIO</v>
      </c>
      <c r="L4772" s="5" t="str">
        <f ca="1">IFERROR(__xludf.DUMMYFUNCTION("GOOGLETRANSLATE(J4772,""EN"",""ES"")"),"Sondas médicas")</f>
        <v>Sondas médicas</v>
      </c>
      <c r="M4772" s="8" t="s">
        <v>79</v>
      </c>
      <c r="N4772" s="8"/>
    </row>
    <row r="4773" spans="1:14" ht="11.25" customHeight="1">
      <c r="A4773" s="5" t="s">
        <v>13525</v>
      </c>
      <c r="B4773" s="5" t="s">
        <v>13718</v>
      </c>
      <c r="C4773" s="5" t="s">
        <v>13824</v>
      </c>
      <c r="D4773" s="5" t="s">
        <v>13528</v>
      </c>
      <c r="E4773" s="5" t="s">
        <v>32</v>
      </c>
      <c r="F4773" s="5" t="s">
        <v>13529</v>
      </c>
      <c r="G4773" s="5" t="s">
        <v>13530</v>
      </c>
      <c r="H4773" s="5" t="s">
        <v>13720</v>
      </c>
      <c r="I4773" s="5" t="s">
        <v>13825</v>
      </c>
      <c r="J4773" s="5" t="s">
        <v>13826</v>
      </c>
      <c r="K4773" s="7" t="str">
        <f ca="1">IFERROR(__xludf.DUMMYFUNCTION("GOOGLETRANSLATE(H4773,""EN"",""ES"")"),"INSTRUMENTOS MÉDICOS, INSTRUMENTOS Y HERRAMIENTAS PARA USO DE LABORATORIO")</f>
        <v>INSTRUMENTOS MÉDICOS, INSTRUMENTOS Y HERRAMIENTAS PARA USO DE LABORATORIO</v>
      </c>
      <c r="L4773" s="5" t="str">
        <f ca="1">IFERROR(__xludf.DUMMYFUNCTION("GOOGLETRANSLATE(J4773,""EN"",""ES"")"),"Espátulas de dentista")</f>
        <v>Espátulas de dentista</v>
      </c>
      <c r="M4773" s="8" t="s">
        <v>79</v>
      </c>
      <c r="N4773" s="8"/>
    </row>
    <row r="4774" spans="1:14" ht="11.25" customHeight="1">
      <c r="A4774" s="5" t="s">
        <v>13525</v>
      </c>
      <c r="B4774" s="5" t="s">
        <v>13718</v>
      </c>
      <c r="C4774" s="5" t="s">
        <v>13827</v>
      </c>
      <c r="D4774" s="5" t="s">
        <v>13528</v>
      </c>
      <c r="E4774" s="5" t="s">
        <v>32</v>
      </c>
      <c r="F4774" s="5" t="s">
        <v>13529</v>
      </c>
      <c r="G4774" s="5" t="s">
        <v>13530</v>
      </c>
      <c r="H4774" s="5" t="s">
        <v>13720</v>
      </c>
      <c r="I4774" s="5" t="s">
        <v>13828</v>
      </c>
      <c r="J4774" s="5" t="s">
        <v>13829</v>
      </c>
      <c r="K4774" s="7" t="str">
        <f ca="1">IFERROR(__xludf.DUMMYFUNCTION("GOOGLETRANSLATE(H4774,""EN"",""ES"")"),"INSTRUMENTOS MÉDICOS, INSTRUMENTOS Y HERRAMIENTAS PARA USO DE LABORATORIO")</f>
        <v>INSTRUMENTOS MÉDICOS, INSTRUMENTOS Y HERRAMIENTAS PARA USO DE LABORATORIO</v>
      </c>
      <c r="L4774" s="5" t="str">
        <f ca="1">IFERROR(__xludf.DUMMYFUNCTION("GOOGLETRANSLATE(J4774,""EN"",""ES"")"),"Espéculos")</f>
        <v>Espéculos</v>
      </c>
      <c r="M4774" s="8" t="s">
        <v>79</v>
      </c>
      <c r="N4774" s="8"/>
    </row>
    <row r="4775" spans="1:14" ht="11.25" customHeight="1">
      <c r="A4775" s="5" t="s">
        <v>13525</v>
      </c>
      <c r="B4775" s="5" t="s">
        <v>13718</v>
      </c>
      <c r="C4775" s="5" t="s">
        <v>13830</v>
      </c>
      <c r="D4775" s="5" t="s">
        <v>13528</v>
      </c>
      <c r="E4775" s="5" t="s">
        <v>32</v>
      </c>
      <c r="F4775" s="5" t="s">
        <v>13529</v>
      </c>
      <c r="G4775" s="5" t="s">
        <v>13530</v>
      </c>
      <c r="H4775" s="5" t="s">
        <v>13720</v>
      </c>
      <c r="I4775" s="5" t="s">
        <v>13831</v>
      </c>
      <c r="J4775" s="5" t="s">
        <v>13832</v>
      </c>
      <c r="K4775" s="7" t="str">
        <f ca="1">IFERROR(__xludf.DUMMYFUNCTION("GOOGLETRANSLATE(H4775,""EN"",""ES"")"),"INSTRUMENTOS MÉDICOS, INSTRUMENTOS Y HERRAMIENTAS PARA USO DE LABORATORIO")</f>
        <v>INSTRUMENTOS MÉDICOS, INSTRUMENTOS Y HERRAMIENTAS PARA USO DE LABORATORIO</v>
      </c>
      <c r="L4775" s="5" t="str">
        <f ca="1">IFERROR(__xludf.DUMMYFUNCTION("GOOGLETRANSLATE(J4775,""EN"",""ES"")"),"Esfigmómetros")</f>
        <v>Esfigmómetros</v>
      </c>
      <c r="M4775" s="8" t="s">
        <v>79</v>
      </c>
      <c r="N4775" s="8"/>
    </row>
    <row r="4776" spans="1:14" ht="11.25" customHeight="1">
      <c r="A4776" s="5" t="s">
        <v>13525</v>
      </c>
      <c r="B4776" s="5" t="s">
        <v>13718</v>
      </c>
      <c r="C4776" s="5" t="s">
        <v>13833</v>
      </c>
      <c r="D4776" s="5" t="s">
        <v>13528</v>
      </c>
      <c r="E4776" s="5" t="s">
        <v>32</v>
      </c>
      <c r="F4776" s="5" t="s">
        <v>13529</v>
      </c>
      <c r="G4776" s="5" t="s">
        <v>13530</v>
      </c>
      <c r="H4776" s="5" t="s">
        <v>13720</v>
      </c>
      <c r="I4776" s="5" t="s">
        <v>13834</v>
      </c>
      <c r="J4776" s="5" t="s">
        <v>13835</v>
      </c>
      <c r="K4776" s="7" t="str">
        <f ca="1">IFERROR(__xludf.DUMMYFUNCTION("GOOGLETRANSLATE(H4776,""EN"",""ES"")"),"INSTRUMENTOS MÉDICOS, INSTRUMENTOS Y HERRAMIENTAS PARA USO DE LABORATORIO")</f>
        <v>INSTRUMENTOS MÉDICOS, INSTRUMENTOS Y HERRAMIENTAS PARA USO DE LABORATORIO</v>
      </c>
      <c r="L4776" s="5" t="str">
        <f ca="1">IFERROR(__xludf.DUMMYFUNCTION("GOOGLETRANSLATE(J4776,""EN"",""ES"")"),"estetoscopios")</f>
        <v>estetoscopios</v>
      </c>
      <c r="M4776" s="8" t="s">
        <v>79</v>
      </c>
      <c r="N4776" s="8"/>
    </row>
    <row r="4777" spans="1:14" ht="11.25" customHeight="1">
      <c r="A4777" s="5" t="s">
        <v>13525</v>
      </c>
      <c r="B4777" s="5" t="s">
        <v>13718</v>
      </c>
      <c r="C4777" s="5" t="s">
        <v>13836</v>
      </c>
      <c r="D4777" s="5" t="s">
        <v>13528</v>
      </c>
      <c r="E4777" s="5" t="s">
        <v>32</v>
      </c>
      <c r="F4777" s="5" t="s">
        <v>13529</v>
      </c>
      <c r="G4777" s="5" t="s">
        <v>13530</v>
      </c>
      <c r="H4777" s="5" t="s">
        <v>13720</v>
      </c>
      <c r="I4777" s="5" t="s">
        <v>13837</v>
      </c>
      <c r="J4777" s="5" t="s">
        <v>13838</v>
      </c>
      <c r="K4777" s="7" t="str">
        <f ca="1">IFERROR(__xludf.DUMMYFUNCTION("GOOGLETRANSLATE(H4777,""EN"",""ES"")"),"INSTRUMENTOS MÉDICOS, INSTRUMENTOS Y HERRAMIENTAS PARA USO DE LABORATORIO")</f>
        <v>INSTRUMENTOS MÉDICOS, INSTRUMENTOS Y HERRAMIENTAS PARA USO DE LABORATORIO</v>
      </c>
      <c r="L4777" s="5" t="str">
        <f ca="1">IFERROR(__xludf.DUMMYFUNCTION("GOOGLETRANSLATE(J4777,""EN"",""ES"")"),"tubos de caída")</f>
        <v>tubos de caída</v>
      </c>
      <c r="M4777" s="8" t="s">
        <v>79</v>
      </c>
      <c r="N4777" s="8"/>
    </row>
    <row r="4778" spans="1:14" ht="11.25" customHeight="1">
      <c r="A4778" s="5" t="s">
        <v>13525</v>
      </c>
      <c r="B4778" s="5" t="s">
        <v>13718</v>
      </c>
      <c r="C4778" s="5" t="s">
        <v>13839</v>
      </c>
      <c r="D4778" s="5" t="s">
        <v>13528</v>
      </c>
      <c r="E4778" s="5" t="s">
        <v>32</v>
      </c>
      <c r="F4778" s="5" t="s">
        <v>13529</v>
      </c>
      <c r="G4778" s="5" t="s">
        <v>13530</v>
      </c>
      <c r="H4778" s="5" t="s">
        <v>13720</v>
      </c>
      <c r="I4778" s="5" t="s">
        <v>13840</v>
      </c>
      <c r="J4778" s="5" t="s">
        <v>13841</v>
      </c>
      <c r="K4778" s="7" t="str">
        <f ca="1">IFERROR(__xludf.DUMMYFUNCTION("GOOGLETRANSLATE(H4778,""EN"",""ES"")"),"INSTRUMENTOS MÉDICOS, INSTRUMENTOS Y HERRAMIENTAS PARA USO DE LABORATORIO")</f>
        <v>INSTRUMENTOS MÉDICOS, INSTRUMENTOS Y HERRAMIENTAS PARA USO DE LABORATORIO</v>
      </c>
      <c r="L4778" s="5" t="str">
        <f ca="1">IFERROR(__xludf.DUMMYFUNCTION("GOOGLETRANSLATE(J4778,""EN"",""ES"")"),"Termocauterios médicos")</f>
        <v>Termocauterios médicos</v>
      </c>
      <c r="M4778" s="8" t="s">
        <v>79</v>
      </c>
      <c r="N4778" s="8"/>
    </row>
    <row r="4779" spans="1:14" ht="11.25" customHeight="1">
      <c r="A4779" s="5" t="s">
        <v>13525</v>
      </c>
      <c r="B4779" s="5" t="s">
        <v>13718</v>
      </c>
      <c r="C4779" s="5" t="s">
        <v>13842</v>
      </c>
      <c r="D4779" s="5" t="s">
        <v>13528</v>
      </c>
      <c r="E4779" s="5" t="s">
        <v>32</v>
      </c>
      <c r="F4779" s="5" t="s">
        <v>13529</v>
      </c>
      <c r="G4779" s="5" t="s">
        <v>13530</v>
      </c>
      <c r="H4779" s="5" t="s">
        <v>13720</v>
      </c>
      <c r="I4779" s="5" t="s">
        <v>13843</v>
      </c>
      <c r="J4779" s="5" t="s">
        <v>13844</v>
      </c>
      <c r="K4779" s="7" t="str">
        <f ca="1">IFERROR(__xludf.DUMMYFUNCTION("GOOGLETRANSLATE(H4779,""EN"",""ES"")"),"INSTRUMENTOS MÉDICOS, INSTRUMENTOS Y HERRAMIENTAS PARA USO DE LABORATORIO")</f>
        <v>INSTRUMENTOS MÉDICOS, INSTRUMENTOS Y HERRAMIENTAS PARA USO DE LABORATORIO</v>
      </c>
      <c r="L4779" s="5" t="str">
        <f ca="1">IFERROR(__xludf.DUMMYFUNCTION("GOOGLETRANSLATE(J4779,""EN"",""ES"")"),"Trepanos [cirugía]")</f>
        <v>Trepanos [cirugía]</v>
      </c>
      <c r="M4779" s="8" t="s">
        <v>79</v>
      </c>
      <c r="N4779" s="8"/>
    </row>
    <row r="4780" spans="1:14" ht="11.25" customHeight="1">
      <c r="A4780" s="5" t="s">
        <v>13525</v>
      </c>
      <c r="B4780" s="5" t="s">
        <v>13718</v>
      </c>
      <c r="C4780" s="5" t="s">
        <v>13845</v>
      </c>
      <c r="D4780" s="5" t="s">
        <v>13528</v>
      </c>
      <c r="E4780" s="5" t="s">
        <v>32</v>
      </c>
      <c r="F4780" s="5" t="s">
        <v>13529</v>
      </c>
      <c r="G4780" s="5" t="s">
        <v>13530</v>
      </c>
      <c r="H4780" s="5" t="s">
        <v>13720</v>
      </c>
      <c r="I4780" s="5" t="s">
        <v>13846</v>
      </c>
      <c r="J4780" s="5" t="s">
        <v>13847</v>
      </c>
      <c r="K4780" s="7" t="str">
        <f ca="1">IFERROR(__xludf.DUMMYFUNCTION("GOOGLETRANSLATE(H4780,""EN"",""ES"")"),"INSTRUMENTOS MÉDICOS, INSTRUMENTOS Y HERRAMIENTAS PARA USO DE LABORATORIO")</f>
        <v>INSTRUMENTOS MÉDICOS, INSTRUMENTOS Y HERRAMIENTAS PARA USO DE LABORATORIO</v>
      </c>
      <c r="L4780" s="5" t="str">
        <f ca="1">IFERROR(__xludf.DUMMYFUNCTION("GOOGLETRANSLATE(J4780,""EN"",""ES"")"),"Trocares")</f>
        <v>Trocares</v>
      </c>
      <c r="M4780" s="8" t="s">
        <v>79</v>
      </c>
      <c r="N4780" s="8"/>
    </row>
    <row r="4781" spans="1:14" ht="11.25" customHeight="1">
      <c r="A4781" s="5" t="s">
        <v>13525</v>
      </c>
      <c r="B4781" s="5" t="s">
        <v>13718</v>
      </c>
      <c r="C4781" s="5" t="s">
        <v>13848</v>
      </c>
      <c r="D4781" s="5" t="s">
        <v>13528</v>
      </c>
      <c r="E4781" s="5" t="s">
        <v>32</v>
      </c>
      <c r="F4781" s="5" t="s">
        <v>13529</v>
      </c>
      <c r="G4781" s="5" t="s">
        <v>13530</v>
      </c>
      <c r="H4781" s="5" t="s">
        <v>13720</v>
      </c>
      <c r="I4781" s="5" t="s">
        <v>13849</v>
      </c>
      <c r="J4781" s="5" t="s">
        <v>13850</v>
      </c>
      <c r="K4781" s="7" t="str">
        <f ca="1">IFERROR(__xludf.DUMMYFUNCTION("GOOGLETRANSLATE(H4781,""EN"",""ES"")"),"INSTRUMENTOS MÉDICOS, INSTRUMENTOS Y HERRAMIENTAS PARA USO DE LABORATORIO")</f>
        <v>INSTRUMENTOS MÉDICOS, INSTRUMENTOS Y HERRAMIENTAS PARA USO DE LABORATORIO</v>
      </c>
      <c r="L4781" s="5" t="str">
        <f ca="1">IFERROR(__xludf.DUMMYFUNCTION("GOOGLETRANSLATE(J4781,""EN"",""ES"")"),"Urinómetros")</f>
        <v>Urinómetros</v>
      </c>
      <c r="M4781" s="8" t="s">
        <v>79</v>
      </c>
      <c r="N4781" s="8"/>
    </row>
    <row r="4782" spans="1:14" ht="11.25" customHeight="1">
      <c r="A4782" s="5" t="s">
        <v>13525</v>
      </c>
      <c r="B4782" s="5" t="s">
        <v>13718</v>
      </c>
      <c r="C4782" s="5" t="s">
        <v>13851</v>
      </c>
      <c r="D4782" s="5" t="s">
        <v>13528</v>
      </c>
      <c r="E4782" s="5" t="s">
        <v>32</v>
      </c>
      <c r="F4782" s="5" t="s">
        <v>13529</v>
      </c>
      <c r="G4782" s="5" t="s">
        <v>13530</v>
      </c>
      <c r="H4782" s="5" t="s">
        <v>13720</v>
      </c>
      <c r="I4782" s="5" t="s">
        <v>13852</v>
      </c>
      <c r="J4782" s="5" t="s">
        <v>13853</v>
      </c>
      <c r="K4782" s="7" t="str">
        <f ca="1">IFERROR(__xludf.DUMMYFUNCTION("GOOGLETRANSLATE(H4782,""EN"",""ES"")"),"INSTRUMENTOS MÉDICOS, INSTRUMENTOS Y HERRAMIENTAS PARA USO DE LABORATORIO")</f>
        <v>INSTRUMENTOS MÉDICOS, INSTRUMENTOS Y HERRAMIENTAS PARA USO DE LABORATORIO</v>
      </c>
      <c r="L4782" s="5" t="str">
        <f ca="1">IFERROR(__xludf.DUMMYFUNCTION("GOOGLETRANSLATE(J4782,""EN"",""ES"")"),"Cadenas para ganado vacuno al parto.")</f>
        <v>Cadenas para ganado vacuno al parto.</v>
      </c>
      <c r="M4782" s="8" t="s">
        <v>79</v>
      </c>
      <c r="N4782" s="8"/>
    </row>
    <row r="4783" spans="1:14" ht="11.25" customHeight="1">
      <c r="A4783" s="5" t="s">
        <v>13525</v>
      </c>
      <c r="B4783" s="5" t="s">
        <v>13718</v>
      </c>
      <c r="C4783" s="5" t="s">
        <v>13854</v>
      </c>
      <c r="D4783" s="5" t="s">
        <v>13528</v>
      </c>
      <c r="E4783" s="5" t="s">
        <v>32</v>
      </c>
      <c r="F4783" s="5" t="s">
        <v>13529</v>
      </c>
      <c r="G4783" s="5" t="s">
        <v>13530</v>
      </c>
      <c r="H4783" s="5" t="s">
        <v>13720</v>
      </c>
      <c r="I4783" s="5" t="s">
        <v>13855</v>
      </c>
      <c r="J4783" s="5" t="s">
        <v>13856</v>
      </c>
      <c r="K4783" s="7" t="str">
        <f ca="1">IFERROR(__xludf.DUMMYFUNCTION("GOOGLETRANSLATE(H4783,""EN"",""ES"")"),"INSTRUMENTOS MÉDICOS, INSTRUMENTOS Y HERRAMIENTAS PARA USO DE LABORATORIO")</f>
        <v>INSTRUMENTOS MÉDICOS, INSTRUMENTOS Y HERRAMIENTAS PARA USO DE LABORATORIO</v>
      </c>
      <c r="L4783" s="5" t="str">
        <f ca="1">IFERROR(__xludf.DUMMYFUNCTION("GOOGLETRANSLATE(J4783,""EN"",""ES"")"),"extractores de dientes")</f>
        <v>extractores de dientes</v>
      </c>
      <c r="M4783" s="8" t="s">
        <v>79</v>
      </c>
      <c r="N4783" s="8"/>
    </row>
    <row r="4784" spans="1:14" ht="11.25" customHeight="1">
      <c r="A4784" s="5" t="s">
        <v>13525</v>
      </c>
      <c r="B4784" s="5" t="s">
        <v>13718</v>
      </c>
      <c r="C4784" s="5" t="s">
        <v>13857</v>
      </c>
      <c r="D4784" s="5" t="s">
        <v>13528</v>
      </c>
      <c r="E4784" s="5" t="s">
        <v>32</v>
      </c>
      <c r="F4784" s="5" t="s">
        <v>13529</v>
      </c>
      <c r="G4784" s="5" t="s">
        <v>13530</v>
      </c>
      <c r="H4784" s="5" t="s">
        <v>13720</v>
      </c>
      <c r="I4784" s="5" t="s">
        <v>13858</v>
      </c>
      <c r="J4784" s="5" t="s">
        <v>13859</v>
      </c>
      <c r="K4784" s="7" t="str">
        <f ca="1">IFERROR(__xludf.DUMMYFUNCTION("GOOGLETRANSLATE(H4784,""EN"",""ES"")"),"INSTRUMENTOS MÉDICOS, INSTRUMENTOS Y HERRAMIENTAS PARA USO DE LABORATORIO")</f>
        <v>INSTRUMENTOS MÉDICOS, INSTRUMENTOS Y HERRAMIENTAS PARA USO DE LABORATORIO</v>
      </c>
      <c r="L4784" s="5" t="str">
        <f ca="1">IFERROR(__xludf.DUMMYFUNCTION("GOOGLETRANSLATE(J4784,""EN"",""ES"")"),"Muelas abrasivas para dentistas")</f>
        <v>Muelas abrasivas para dentistas</v>
      </c>
      <c r="M4784" s="8" t="s">
        <v>79</v>
      </c>
      <c r="N4784" s="8"/>
    </row>
    <row r="4785" spans="1:14" ht="11.25" customHeight="1">
      <c r="A4785" s="5" t="s">
        <v>13525</v>
      </c>
      <c r="B4785" s="5" t="s">
        <v>13718</v>
      </c>
      <c r="C4785" s="5" t="s">
        <v>13860</v>
      </c>
      <c r="D4785" s="5" t="s">
        <v>13528</v>
      </c>
      <c r="E4785" s="5" t="s">
        <v>32</v>
      </c>
      <c r="F4785" s="5" t="s">
        <v>13529</v>
      </c>
      <c r="G4785" s="5" t="s">
        <v>13530</v>
      </c>
      <c r="H4785" s="5" t="s">
        <v>13720</v>
      </c>
      <c r="I4785" s="5" t="s">
        <v>13861</v>
      </c>
      <c r="J4785" s="5" t="s">
        <v>13862</v>
      </c>
      <c r="K4785" s="7" t="str">
        <f ca="1">IFERROR(__xludf.DUMMYFUNCTION("GOOGLETRANSLATE(H4785,""EN"",""ES"")"),"INSTRUMENTOS MÉDICOS, INSTRUMENTOS Y HERRAMIENTAS PARA USO DE LABORATORIO")</f>
        <v>INSTRUMENTOS MÉDICOS, INSTRUMENTOS Y HERRAMIENTAS PARA USO DE LABORATORIO</v>
      </c>
      <c r="L4785" s="5" t="str">
        <f ca="1">IFERROR(__xludf.DUMMYFUNCTION("GOOGLETRANSLATE(J4785,""EN"",""ES"")"),"Limpiadores de oídos [médicos]")</f>
        <v>Limpiadores de oídos [médicos]</v>
      </c>
      <c r="M4785" s="8" t="s">
        <v>79</v>
      </c>
      <c r="N4785" s="8"/>
    </row>
    <row r="4786" spans="1:14" ht="11.25" customHeight="1">
      <c r="A4786" s="5" t="s">
        <v>13525</v>
      </c>
      <c r="B4786" s="5" t="s">
        <v>13718</v>
      </c>
      <c r="C4786" s="5" t="s">
        <v>13863</v>
      </c>
      <c r="D4786" s="5" t="s">
        <v>13528</v>
      </c>
      <c r="E4786" s="5" t="s">
        <v>32</v>
      </c>
      <c r="F4786" s="5" t="s">
        <v>13529</v>
      </c>
      <c r="G4786" s="5" t="s">
        <v>13530</v>
      </c>
      <c r="H4786" s="5" t="s">
        <v>13720</v>
      </c>
      <c r="I4786" s="5" t="s">
        <v>13864</v>
      </c>
      <c r="J4786" s="5" t="s">
        <v>13865</v>
      </c>
      <c r="K4786" s="7" t="str">
        <f ca="1">IFERROR(__xludf.DUMMYFUNCTION("GOOGLETRANSLATE(H4786,""EN"",""ES"")"),"INSTRUMENTOS MÉDICOS, INSTRUMENTOS Y HERRAMIENTAS PARA USO DE LABORATORIO")</f>
        <v>INSTRUMENTOS MÉDICOS, INSTRUMENTOS Y HERRAMIENTAS PARA USO DE LABORATORIO</v>
      </c>
      <c r="L4786" s="5" t="str">
        <f ca="1">IFERROR(__xludf.DUMMYFUNCTION("GOOGLETRANSLATE(J4786,""EN"",""ES"")"),"Máscaras de oxígeno")</f>
        <v>Máscaras de oxígeno</v>
      </c>
      <c r="M4786" s="8" t="s">
        <v>79</v>
      </c>
      <c r="N4786" s="8"/>
    </row>
    <row r="4787" spans="1:14" ht="11.25" customHeight="1">
      <c r="A4787" s="5" t="s">
        <v>13525</v>
      </c>
      <c r="B4787" s="5" t="s">
        <v>13718</v>
      </c>
      <c r="C4787" s="5" t="s">
        <v>13866</v>
      </c>
      <c r="D4787" s="5" t="s">
        <v>13528</v>
      </c>
      <c r="E4787" s="5" t="s">
        <v>32</v>
      </c>
      <c r="F4787" s="5" t="s">
        <v>13529</v>
      </c>
      <c r="G4787" s="5" t="s">
        <v>13530</v>
      </c>
      <c r="H4787" s="5" t="s">
        <v>13720</v>
      </c>
      <c r="I4787" s="5" t="s">
        <v>13867</v>
      </c>
      <c r="J4787" s="5" t="s">
        <v>13868</v>
      </c>
      <c r="K4787" s="7" t="str">
        <f ca="1">IFERROR(__xludf.DUMMYFUNCTION("GOOGLETRANSLATE(H4787,""EN"",""ES"")"),"INSTRUMENTOS MÉDICOS, INSTRUMENTOS Y HERRAMIENTAS PARA USO DE LABORATORIO")</f>
        <v>INSTRUMENTOS MÉDICOS, INSTRUMENTOS Y HERRAMIENTAS PARA USO DE LABORATORIO</v>
      </c>
      <c r="L4787" s="5" t="str">
        <f ca="1">IFERROR(__xludf.DUMMYFUNCTION("GOOGLETRANSLATE(J4787,""EN"",""ES"")"),"Pinzas hemostáticas")</f>
        <v>Pinzas hemostáticas</v>
      </c>
      <c r="M4787" s="8" t="s">
        <v>79</v>
      </c>
      <c r="N4787" s="8"/>
    </row>
    <row r="4788" spans="1:14" ht="11.25" customHeight="1">
      <c r="A4788" s="5" t="s">
        <v>13525</v>
      </c>
      <c r="B4788" s="5" t="s">
        <v>13718</v>
      </c>
      <c r="C4788" s="5" t="s">
        <v>13869</v>
      </c>
      <c r="D4788" s="5" t="s">
        <v>13528</v>
      </c>
      <c r="E4788" s="5" t="s">
        <v>32</v>
      </c>
      <c r="F4788" s="5" t="s">
        <v>13529</v>
      </c>
      <c r="G4788" s="5" t="s">
        <v>13530</v>
      </c>
      <c r="H4788" s="5" t="s">
        <v>13720</v>
      </c>
      <c r="I4788" s="5" t="s">
        <v>13870</v>
      </c>
      <c r="J4788" s="5" t="s">
        <v>13871</v>
      </c>
      <c r="K4788" s="7" t="str">
        <f ca="1">IFERROR(__xludf.DUMMYFUNCTION("GOOGLETRANSLATE(H4788,""EN"",""ES"")"),"INSTRUMENTOS MÉDICOS, INSTRUMENTOS Y HERRAMIENTAS PARA USO DE LABORATORIO")</f>
        <v>INSTRUMENTOS MÉDICOS, INSTRUMENTOS Y HERRAMIENTAS PARA USO DE LABORATORIO</v>
      </c>
      <c r="L4788" s="5" t="str">
        <f ca="1">IFERROR(__xludf.DUMMYFUNCTION("GOOGLETRANSLATE(J4788,""EN"",""ES"")"),"Sierras para uso quirúrgico")</f>
        <v>Sierras para uso quirúrgico</v>
      </c>
      <c r="M4788" s="8" t="s">
        <v>79</v>
      </c>
      <c r="N4788" s="8"/>
    </row>
    <row r="4789" spans="1:14" ht="11.25" customHeight="1">
      <c r="A4789" s="5" t="s">
        <v>13525</v>
      </c>
      <c r="B4789" s="5" t="s">
        <v>13718</v>
      </c>
      <c r="C4789" s="5" t="s">
        <v>13872</v>
      </c>
      <c r="D4789" s="5" t="s">
        <v>13528</v>
      </c>
      <c r="E4789" s="5" t="s">
        <v>32</v>
      </c>
      <c r="F4789" s="5" t="s">
        <v>13529</v>
      </c>
      <c r="G4789" s="5" t="s">
        <v>13530</v>
      </c>
      <c r="H4789" s="5" t="s">
        <v>13720</v>
      </c>
      <c r="I4789" s="5" t="s">
        <v>13873</v>
      </c>
      <c r="J4789" s="5" t="s">
        <v>13874</v>
      </c>
      <c r="K4789" s="7" t="str">
        <f ca="1">IFERROR(__xludf.DUMMYFUNCTION("GOOGLETRANSLATE(H4789,""EN"",""ES"")"),"INSTRUMENTOS MÉDICOS, INSTRUMENTOS Y HERRAMIENTAS PARA USO DE LABORATORIO")</f>
        <v>INSTRUMENTOS MÉDICOS, INSTRUMENTOS Y HERRAMIENTAS PARA USO DE LABORATORIO</v>
      </c>
      <c r="L4789" s="5" t="str">
        <f ca="1">IFERROR(__xludf.DUMMYFUNCTION("GOOGLETRANSLATE(J4789,""EN"",""ES"")"),"Dispositivos para calcular la velocidad de sedimentación sanguínea.")</f>
        <v>Dispositivos para calcular la velocidad de sedimentación sanguínea.</v>
      </c>
      <c r="M4789" s="8" t="s">
        <v>79</v>
      </c>
      <c r="N4789" s="8"/>
    </row>
    <row r="4790" spans="1:14" ht="11.25" customHeight="1">
      <c r="A4790" s="5" t="s">
        <v>13525</v>
      </c>
      <c r="B4790" s="5" t="s">
        <v>13718</v>
      </c>
      <c r="C4790" s="5" t="s">
        <v>13875</v>
      </c>
      <c r="D4790" s="5" t="s">
        <v>13528</v>
      </c>
      <c r="E4790" s="5" t="s">
        <v>32</v>
      </c>
      <c r="F4790" s="5" t="s">
        <v>13529</v>
      </c>
      <c r="G4790" s="5" t="s">
        <v>13530</v>
      </c>
      <c r="H4790" s="5" t="s">
        <v>13720</v>
      </c>
      <c r="I4790" s="5" t="s">
        <v>13876</v>
      </c>
      <c r="J4790" s="5" t="s">
        <v>13877</v>
      </c>
      <c r="K4790" s="7" t="str">
        <f ca="1">IFERROR(__xludf.DUMMYFUNCTION("GOOGLETRANSLATE(H4790,""EN"",""ES"")"),"INSTRUMENTOS MÉDICOS, INSTRUMENTOS Y HERRAMIENTAS PARA USO DE LABORATORIO")</f>
        <v>INSTRUMENTOS MÉDICOS, INSTRUMENTOS Y HERRAMIENTAS PARA USO DE LABORATORIO</v>
      </c>
      <c r="L4790" s="5" t="str">
        <f ca="1">IFERROR(__xludf.DUMMYFUNCTION("GOOGLETRANSLATE(J4790,""EN"",""ES"")"),"jeringas para los oídos")</f>
        <v>jeringas para los oídos</v>
      </c>
      <c r="M4790" s="8" t="s">
        <v>79</v>
      </c>
      <c r="N4790" s="8"/>
    </row>
    <row r="4791" spans="1:14" ht="11.25" customHeight="1">
      <c r="A4791" s="5" t="s">
        <v>13525</v>
      </c>
      <c r="B4791" s="5" t="s">
        <v>13718</v>
      </c>
      <c r="C4791" s="5" t="s">
        <v>13878</v>
      </c>
      <c r="D4791" s="5" t="s">
        <v>13528</v>
      </c>
      <c r="E4791" s="5" t="s">
        <v>32</v>
      </c>
      <c r="F4791" s="5" t="s">
        <v>13529</v>
      </c>
      <c r="G4791" s="5" t="s">
        <v>13530</v>
      </c>
      <c r="H4791" s="5" t="s">
        <v>13720</v>
      </c>
      <c r="I4791" s="5" t="s">
        <v>13879</v>
      </c>
      <c r="J4791" s="5" t="s">
        <v>13880</v>
      </c>
      <c r="K4791" s="7" t="str">
        <f ca="1">IFERROR(__xludf.DUMMYFUNCTION("GOOGLETRANSLATE(H4791,""EN"",""ES"")"),"INSTRUMENTOS MÉDICOS, INSTRUMENTOS Y HERRAMIENTAS PARA USO DE LABORATORIO")</f>
        <v>INSTRUMENTOS MÉDICOS, INSTRUMENTOS Y HERRAMIENTAS PARA USO DE LABORATORIO</v>
      </c>
      <c r="L4791" s="5" t="str">
        <f ca="1">IFERROR(__xludf.DUMMYFUNCTION("GOOGLETRANSLATE(J4791,""EN"",""ES"")"),"Serpentines de refrigeración [para laboratorios]")</f>
        <v>Serpentines de refrigeración [para laboratorios]</v>
      </c>
      <c r="M4791" s="8" t="s">
        <v>79</v>
      </c>
      <c r="N4791" s="8"/>
    </row>
    <row r="4792" spans="1:14" ht="11.25" customHeight="1">
      <c r="A4792" s="5" t="s">
        <v>13525</v>
      </c>
      <c r="B4792" s="5" t="s">
        <v>13718</v>
      </c>
      <c r="C4792" s="5" t="s">
        <v>13881</v>
      </c>
      <c r="D4792" s="5" t="s">
        <v>13528</v>
      </c>
      <c r="E4792" s="5" t="s">
        <v>32</v>
      </c>
      <c r="F4792" s="5" t="s">
        <v>13529</v>
      </c>
      <c r="G4792" s="5" t="s">
        <v>13530</v>
      </c>
      <c r="H4792" s="5" t="s">
        <v>13720</v>
      </c>
      <c r="I4792" s="5" t="s">
        <v>13882</v>
      </c>
      <c r="J4792" s="5" t="s">
        <v>13883</v>
      </c>
      <c r="K4792" s="7" t="str">
        <f ca="1">IFERROR(__xludf.DUMMYFUNCTION("GOOGLETRANSLATE(H4792,""EN"",""ES"")"),"INSTRUMENTOS MÉDICOS, INSTRUMENTOS Y HERRAMIENTAS PARA USO DE LABORATORIO")</f>
        <v>INSTRUMENTOS MÉDICOS, INSTRUMENTOS Y HERRAMIENTAS PARA USO DE LABORATORIO</v>
      </c>
      <c r="L4792" s="5" t="str">
        <f ca="1">IFERROR(__xludf.DUMMYFUNCTION("GOOGLETRANSLATE(J4792,""EN"",""ES"")"),"Aparato para medir la presión arterial")</f>
        <v>Aparato para medir la presión arterial</v>
      </c>
      <c r="M4792" s="8" t="s">
        <v>79</v>
      </c>
      <c r="N4792" s="8"/>
    </row>
    <row r="4793" spans="1:14" ht="11.25" customHeight="1">
      <c r="A4793" s="5" t="s">
        <v>13525</v>
      </c>
      <c r="B4793" s="5" t="s">
        <v>13718</v>
      </c>
      <c r="C4793" s="5" t="s">
        <v>13884</v>
      </c>
      <c r="D4793" s="5" t="s">
        <v>13528</v>
      </c>
      <c r="E4793" s="5" t="s">
        <v>32</v>
      </c>
      <c r="F4793" s="5" t="s">
        <v>13529</v>
      </c>
      <c r="G4793" s="5" t="s">
        <v>13530</v>
      </c>
      <c r="H4793" s="5" t="s">
        <v>13720</v>
      </c>
      <c r="I4793" s="5" t="s">
        <v>13885</v>
      </c>
      <c r="J4793" s="5" t="s">
        <v>13886</v>
      </c>
      <c r="K4793" s="7" t="str">
        <f ca="1">IFERROR(__xludf.DUMMYFUNCTION("GOOGLETRANSLATE(H4793,""EN"",""ES"")"),"INSTRUMENTOS MÉDICOS, INSTRUMENTOS Y HERRAMIENTAS PARA USO DE LABORATORIO")</f>
        <v>INSTRUMENTOS MÉDICOS, INSTRUMENTOS Y HERRAMIENTAS PARA USO DE LABORATORIO</v>
      </c>
      <c r="L4793" s="5" t="str">
        <f ca="1">IFERROR(__xludf.DUMMYFUNCTION("GOOGLETRANSLATE(J4793,""EN"",""ES"")"),"Extractores de leche para madres lactantes")</f>
        <v>Extractores de leche para madres lactantes</v>
      </c>
      <c r="M4793" s="8" t="s">
        <v>79</v>
      </c>
      <c r="N4793" s="8"/>
    </row>
    <row r="4794" spans="1:14" ht="11.25" customHeight="1">
      <c r="A4794" s="5" t="s">
        <v>13525</v>
      </c>
      <c r="B4794" s="5" t="s">
        <v>13718</v>
      </c>
      <c r="C4794" s="5" t="s">
        <v>13887</v>
      </c>
      <c r="D4794" s="5" t="s">
        <v>13528</v>
      </c>
      <c r="E4794" s="5" t="s">
        <v>32</v>
      </c>
      <c r="F4794" s="5" t="s">
        <v>13529</v>
      </c>
      <c r="G4794" s="5" t="s">
        <v>13530</v>
      </c>
      <c r="H4794" s="5" t="s">
        <v>13720</v>
      </c>
      <c r="I4794" s="5" t="s">
        <v>13888</v>
      </c>
      <c r="J4794" s="5" t="s">
        <v>13889</v>
      </c>
      <c r="K4794" s="7" t="str">
        <f ca="1">IFERROR(__xludf.DUMMYFUNCTION("GOOGLETRANSLATE(H4794,""EN"",""ES"")"),"INSTRUMENTOS MÉDICOS, INSTRUMENTOS Y HERRAMIENTAS PARA USO DE LABORATORIO")</f>
        <v>INSTRUMENTOS MÉDICOS, INSTRUMENTOS Y HERRAMIENTAS PARA USO DE LABORATORIO</v>
      </c>
      <c r="L4794" s="5" t="str">
        <f ca="1">IFERROR(__xludf.DUMMYFUNCTION("GOOGLETRANSLATE(J4794,""EN"",""ES"")"),"cristalería de laboratorio")</f>
        <v>cristalería de laboratorio</v>
      </c>
      <c r="M4794" s="8" t="s">
        <v>79</v>
      </c>
      <c r="N4794" s="8"/>
    </row>
    <row r="4795" spans="1:14" ht="11.25" customHeight="1">
      <c r="A4795" s="5" t="s">
        <v>13525</v>
      </c>
      <c r="B4795" s="5" t="s">
        <v>13718</v>
      </c>
      <c r="C4795" s="5" t="s">
        <v>13890</v>
      </c>
      <c r="D4795" s="5" t="s">
        <v>13528</v>
      </c>
      <c r="E4795" s="5" t="s">
        <v>32</v>
      </c>
      <c r="F4795" s="5" t="s">
        <v>13529</v>
      </c>
      <c r="G4795" s="5" t="s">
        <v>13530</v>
      </c>
      <c r="H4795" s="5" t="s">
        <v>13720</v>
      </c>
      <c r="I4795" s="5" t="s">
        <v>13891</v>
      </c>
      <c r="J4795" s="5" t="s">
        <v>13892</v>
      </c>
      <c r="K4795" s="7" t="str">
        <f ca="1">IFERROR(__xludf.DUMMYFUNCTION("GOOGLETRANSLATE(H4795,""EN"",""ES"")"),"INSTRUMENTOS MÉDICOS, INSTRUMENTOS Y HERRAMIENTAS PARA USO DE LABORATORIO")</f>
        <v>INSTRUMENTOS MÉDICOS, INSTRUMENTOS Y HERRAMIENTAS PARA USO DE LABORATORIO</v>
      </c>
      <c r="L4795" s="5" t="str">
        <f ca="1">IFERROR(__xludf.DUMMYFUNCTION("GOOGLETRANSLATE(J4795,""EN"",""ES"")"),"cristalería graduada")</f>
        <v>cristalería graduada</v>
      </c>
      <c r="M4795" s="8" t="s">
        <v>79</v>
      </c>
      <c r="N4795" s="8"/>
    </row>
    <row r="4796" spans="1:14" ht="11.25" customHeight="1">
      <c r="A4796" s="5" t="s">
        <v>13525</v>
      </c>
      <c r="B4796" s="5" t="s">
        <v>13718</v>
      </c>
      <c r="C4796" s="5" t="s">
        <v>13893</v>
      </c>
      <c r="D4796" s="5" t="s">
        <v>13528</v>
      </c>
      <c r="E4796" s="5" t="s">
        <v>32</v>
      </c>
      <c r="F4796" s="5" t="s">
        <v>13529</v>
      </c>
      <c r="G4796" s="5" t="s">
        <v>13530</v>
      </c>
      <c r="H4796" s="5" t="s">
        <v>13720</v>
      </c>
      <c r="I4796" s="5" t="s">
        <v>13894</v>
      </c>
      <c r="J4796" s="5" t="s">
        <v>13895</v>
      </c>
      <c r="K4796" s="7" t="str">
        <f ca="1">IFERROR(__xludf.DUMMYFUNCTION("GOOGLETRANSLATE(H4796,""EN"",""ES"")"),"INSTRUMENTOS MÉDICOS, INSTRUMENTOS Y HERRAMIENTAS PARA USO DE LABORATORIO")</f>
        <v>INSTRUMENTOS MÉDICOS, INSTRUMENTOS Y HERRAMIENTAS PARA USO DE LABORATORIO</v>
      </c>
      <c r="L4796" s="5" t="str">
        <f ca="1">IFERROR(__xludf.DUMMYFUNCTION("GOOGLETRANSLATE(J4796,""EN"",""ES"")"),"Clips para uso quirúrgico")</f>
        <v>Clips para uso quirúrgico</v>
      </c>
      <c r="M4796" s="8" t="s">
        <v>79</v>
      </c>
      <c r="N4796" s="8"/>
    </row>
    <row r="4797" spans="1:14" ht="11.25" customHeight="1">
      <c r="A4797" s="5" t="s">
        <v>13525</v>
      </c>
      <c r="B4797" s="5" t="s">
        <v>13718</v>
      </c>
      <c r="C4797" s="5" t="s">
        <v>13896</v>
      </c>
      <c r="D4797" s="5" t="s">
        <v>13528</v>
      </c>
      <c r="E4797" s="5" t="s">
        <v>32</v>
      </c>
      <c r="F4797" s="5" t="s">
        <v>13529</v>
      </c>
      <c r="G4797" s="5" t="s">
        <v>13530</v>
      </c>
      <c r="H4797" s="5" t="s">
        <v>13720</v>
      </c>
      <c r="I4797" s="5" t="s">
        <v>13897</v>
      </c>
      <c r="J4797" s="5" t="s">
        <v>13898</v>
      </c>
      <c r="K4797" s="7" t="str">
        <f ca="1">IFERROR(__xludf.DUMMYFUNCTION("GOOGLETRANSLATE(H4797,""EN"",""ES"")"),"INSTRUMENTOS MÉDICOS, INSTRUMENTOS Y HERRAMIENTAS PARA USO DE LABORATORIO")</f>
        <v>INSTRUMENTOS MÉDICOS, INSTRUMENTOS Y HERRAMIENTAS PARA USO DE LABORATORIO</v>
      </c>
      <c r="L4797" s="5" t="str">
        <f ca="1">IFERROR(__xludf.DUMMYFUNCTION("GOOGLETRANSLATE(J4797,""EN"",""ES"")"),"Instrumentos y utensilios para diagnóstico médico o de laboratorio.")</f>
        <v>Instrumentos y utensilios para diagnóstico médico o de laboratorio.</v>
      </c>
      <c r="M4797" s="8" t="s">
        <v>79</v>
      </c>
      <c r="N4797" s="8"/>
    </row>
    <row r="4798" spans="1:14" ht="11.25" customHeight="1">
      <c r="A4798" s="5" t="s">
        <v>13525</v>
      </c>
      <c r="B4798" s="5" t="s">
        <v>13718</v>
      </c>
      <c r="C4798" s="5" t="s">
        <v>13899</v>
      </c>
      <c r="D4798" s="5" t="s">
        <v>13528</v>
      </c>
      <c r="E4798" s="5" t="s">
        <v>32</v>
      </c>
      <c r="F4798" s="5" t="s">
        <v>13529</v>
      </c>
      <c r="G4798" s="5" t="s">
        <v>13530</v>
      </c>
      <c r="H4798" s="5" t="s">
        <v>13720</v>
      </c>
      <c r="I4798" s="5" t="s">
        <v>13900</v>
      </c>
      <c r="J4798" s="5" t="s">
        <v>13901</v>
      </c>
      <c r="K4798" s="7" t="str">
        <f ca="1">IFERROR(__xludf.DUMMYFUNCTION("GOOGLETRANSLATE(H4798,""EN"",""ES"")"),"INSTRUMENTOS MÉDICOS, INSTRUMENTOS Y HERRAMIENTAS PARA USO DE LABORATORIO")</f>
        <v>INSTRUMENTOS MÉDICOS, INSTRUMENTOS Y HERRAMIENTAS PARA USO DE LABORATORIO</v>
      </c>
      <c r="L4798" s="5" t="str">
        <f ca="1">IFERROR(__xludf.DUMMYFUNCTION("GOOGLETRANSLATE(J4798,""EN"",""ES"")"),"Grapadoras quirúrgicas")</f>
        <v>Grapadoras quirúrgicas</v>
      </c>
      <c r="M4798" s="8" t="s">
        <v>79</v>
      </c>
      <c r="N4798" s="8"/>
    </row>
    <row r="4799" spans="1:14" ht="11.25" customHeight="1">
      <c r="A4799" s="5" t="s">
        <v>13525</v>
      </c>
      <c r="B4799" s="5" t="s">
        <v>13718</v>
      </c>
      <c r="C4799" s="5" t="s">
        <v>13902</v>
      </c>
      <c r="D4799" s="5" t="s">
        <v>13528</v>
      </c>
      <c r="E4799" s="5" t="s">
        <v>32</v>
      </c>
      <c r="F4799" s="5" t="s">
        <v>13529</v>
      </c>
      <c r="G4799" s="5" t="s">
        <v>13530</v>
      </c>
      <c r="H4799" s="5" t="s">
        <v>13720</v>
      </c>
      <c r="I4799" s="5" t="s">
        <v>13903</v>
      </c>
      <c r="J4799" s="5" t="s">
        <v>13904</v>
      </c>
      <c r="K4799" s="7" t="str">
        <f ca="1">IFERROR(__xludf.DUMMYFUNCTION("GOOGLETRANSLATE(H4799,""EN"",""ES"")"),"INSTRUMENTOS MÉDICOS, INSTRUMENTOS Y HERRAMIENTAS PARA USO DE LABORATORIO")</f>
        <v>INSTRUMENTOS MÉDICOS, INSTRUMENTOS Y HERRAMIENTAS PARA USO DE LABORATORIO</v>
      </c>
      <c r="L4799" s="5" t="str">
        <f ca="1">IFERROR(__xludf.DUMMYFUNCTION("GOOGLETRANSLATE(J4799,""EN"",""ES"")"),"Instrumentos de acupuntura")</f>
        <v>Instrumentos de acupuntura</v>
      </c>
      <c r="M4799" s="8" t="s">
        <v>79</v>
      </c>
      <c r="N4799" s="8"/>
    </row>
    <row r="4800" spans="1:14" ht="11.25" customHeight="1">
      <c r="A4800" s="5" t="s">
        <v>13525</v>
      </c>
      <c r="B4800" s="5" t="s">
        <v>13718</v>
      </c>
      <c r="C4800" s="5" t="s">
        <v>13905</v>
      </c>
      <c r="D4800" s="5" t="s">
        <v>13528</v>
      </c>
      <c r="E4800" s="5" t="s">
        <v>32</v>
      </c>
      <c r="F4800" s="5" t="s">
        <v>13529</v>
      </c>
      <c r="G4800" s="5" t="s">
        <v>13530</v>
      </c>
      <c r="H4800" s="5" t="s">
        <v>13720</v>
      </c>
      <c r="I4800" s="5" t="s">
        <v>13906</v>
      </c>
      <c r="J4800" s="5" t="s">
        <v>13907</v>
      </c>
      <c r="K4800" s="7" t="str">
        <f ca="1">IFERROR(__xludf.DUMMYFUNCTION("GOOGLETRANSLATE(H4800,""EN"",""ES"")"),"INSTRUMENTOS MÉDICOS, INSTRUMENTOS Y HERRAMIENTAS PARA USO DE LABORATORIO")</f>
        <v>INSTRUMENTOS MÉDICOS, INSTRUMENTOS Y HERRAMIENTAS PARA USO DE LABORATORIO</v>
      </c>
      <c r="L4800" s="5" t="str">
        <f ca="1">IFERROR(__xludf.DUMMYFUNCTION("GOOGLETRANSLATE(J4800,""EN"",""ES"")"),"Morteros [para laboratorios]")</f>
        <v>Morteros [para laboratorios]</v>
      </c>
      <c r="M4800" s="8" t="s">
        <v>79</v>
      </c>
      <c r="N4800" s="8"/>
    </row>
    <row r="4801" spans="1:14" ht="11.25" customHeight="1">
      <c r="A4801" s="5" t="s">
        <v>13525</v>
      </c>
      <c r="B4801" s="5" t="s">
        <v>13718</v>
      </c>
      <c r="C4801" s="5" t="s">
        <v>13908</v>
      </c>
      <c r="D4801" s="5" t="s">
        <v>13528</v>
      </c>
      <c r="E4801" s="5" t="s">
        <v>32</v>
      </c>
      <c r="F4801" s="5" t="s">
        <v>13529</v>
      </c>
      <c r="G4801" s="5" t="s">
        <v>13530</v>
      </c>
      <c r="H4801" s="5" t="s">
        <v>13720</v>
      </c>
      <c r="I4801" s="5" t="s">
        <v>13909</v>
      </c>
      <c r="J4801" s="5" t="s">
        <v>13910</v>
      </c>
      <c r="K4801" s="7" t="str">
        <f ca="1">IFERROR(__xludf.DUMMYFUNCTION("GOOGLETRANSLATE(H4801,""EN"",""ES"")"),"INSTRUMENTOS MÉDICOS, INSTRUMENTOS Y HERRAMIENTAS PARA USO DE LABORATORIO")</f>
        <v>INSTRUMENTOS MÉDICOS, INSTRUMENTOS Y HERRAMIENTAS PARA USO DE LABORATORIO</v>
      </c>
      <c r="L4801" s="5" t="str">
        <f ca="1">IFERROR(__xludf.DUMMYFUNCTION("GOOGLETRANSLATE(J4801,""EN"",""ES"")"),"Tiras reactivas para uso médico o de laboratorio.")</f>
        <v>Tiras reactivas para uso médico o de laboratorio.</v>
      </c>
      <c r="M4801" s="8" t="s">
        <v>79</v>
      </c>
      <c r="N4801" s="8"/>
    </row>
    <row r="4802" spans="1:14" ht="11.25" customHeight="1">
      <c r="A4802" s="5" t="s">
        <v>13525</v>
      </c>
      <c r="B4802" s="5" t="s">
        <v>13718</v>
      </c>
      <c r="C4802" s="5" t="s">
        <v>13911</v>
      </c>
      <c r="D4802" s="5" t="s">
        <v>13528</v>
      </c>
      <c r="E4802" s="5" t="s">
        <v>32</v>
      </c>
      <c r="F4802" s="5" t="s">
        <v>13529</v>
      </c>
      <c r="G4802" s="5" t="s">
        <v>13530</v>
      </c>
      <c r="H4802" s="5" t="s">
        <v>13720</v>
      </c>
      <c r="I4802" s="5" t="s">
        <v>13912</v>
      </c>
      <c r="J4802" s="5" t="s">
        <v>13913</v>
      </c>
      <c r="K4802" s="7" t="str">
        <f ca="1">IFERROR(__xludf.DUMMYFUNCTION("GOOGLETRANSLATE(H4802,""EN"",""ES"")"),"INSTRUMENTOS MÉDICOS, INSTRUMENTOS Y HERRAMIENTAS PARA USO DE LABORATORIO")</f>
        <v>INSTRUMENTOS MÉDICOS, INSTRUMENTOS Y HERRAMIENTAS PARA USO DE LABORATORIO</v>
      </c>
      <c r="L4802" s="5" t="str">
        <f ca="1">IFERROR(__xludf.DUMMYFUNCTION("GOOGLETRANSLATE(J4802,""EN"",""ES"")"),"Rascadores gua sha")</f>
        <v>Rascadores gua sha</v>
      </c>
      <c r="M4802" s="8" t="s">
        <v>79</v>
      </c>
      <c r="N4802" s="8"/>
    </row>
    <row r="4803" spans="1:14" ht="11.25" customHeight="1">
      <c r="A4803" s="5" t="s">
        <v>13525</v>
      </c>
      <c r="B4803" s="5" t="s">
        <v>13718</v>
      </c>
      <c r="C4803" s="5" t="s">
        <v>13914</v>
      </c>
      <c r="D4803" s="5" t="s">
        <v>13528</v>
      </c>
      <c r="E4803" s="5" t="s">
        <v>32</v>
      </c>
      <c r="F4803" s="5" t="s">
        <v>13529</v>
      </c>
      <c r="G4803" s="5" t="s">
        <v>13530</v>
      </c>
      <c r="H4803" s="5" t="s">
        <v>13720</v>
      </c>
      <c r="I4803" s="5" t="s">
        <v>13915</v>
      </c>
      <c r="J4803" s="5" t="s">
        <v>13916</v>
      </c>
      <c r="K4803" s="7" t="str">
        <f ca="1">IFERROR(__xludf.DUMMYFUNCTION("GOOGLETRANSLATE(H4803,""EN"",""ES"")"),"INSTRUMENTOS MÉDICOS, INSTRUMENTOS Y HERRAMIENTAS PARA USO DE LABORATORIO")</f>
        <v>INSTRUMENTOS MÉDICOS, INSTRUMENTOS Y HERRAMIENTAS PARA USO DE LABORATORIO</v>
      </c>
      <c r="L4803" s="5" t="str">
        <f ca="1">IFERROR(__xludf.DUMMYFUNCTION("GOOGLETRANSLATE(J4803,""EN"",""ES"")"),"Instrumentos de moxibustión")</f>
        <v>Instrumentos de moxibustión</v>
      </c>
      <c r="M4803" s="8" t="s">
        <v>79</v>
      </c>
      <c r="N4803" s="8"/>
    </row>
    <row r="4804" spans="1:14" ht="11.25" customHeight="1">
      <c r="A4804" s="5" t="s">
        <v>13525</v>
      </c>
      <c r="B4804" s="5" t="s">
        <v>13718</v>
      </c>
      <c r="C4804" s="5" t="s">
        <v>13917</v>
      </c>
      <c r="D4804" s="5" t="s">
        <v>13528</v>
      </c>
      <c r="E4804" s="5" t="s">
        <v>32</v>
      </c>
      <c r="F4804" s="5" t="s">
        <v>13529</v>
      </c>
      <c r="G4804" s="5" t="s">
        <v>13530</v>
      </c>
      <c r="H4804" s="5" t="s">
        <v>13720</v>
      </c>
      <c r="I4804" s="5" t="s">
        <v>13918</v>
      </c>
      <c r="J4804" s="5" t="s">
        <v>13919</v>
      </c>
      <c r="K4804" s="7" t="str">
        <f ca="1">IFERROR(__xludf.DUMMYFUNCTION("GOOGLETRANSLATE(H4804,""EN"",""ES"")"),"INSTRUMENTOS MÉDICOS, INSTRUMENTOS Y HERRAMIENTAS PARA USO DE LABORATORIO")</f>
        <v>INSTRUMENTOS MÉDICOS, INSTRUMENTOS Y HERRAMIENTAS PARA USO DE LABORATORIO</v>
      </c>
      <c r="L4804" s="5" t="str">
        <f ca="1">IFERROR(__xludf.DUMMYFUNCTION("GOOGLETRANSLATE(J4804,""EN"",""ES"")"),"Agujas para acupuntura")</f>
        <v>Agujas para acupuntura</v>
      </c>
      <c r="M4804" s="8" t="s">
        <v>79</v>
      </c>
      <c r="N4804" s="8"/>
    </row>
    <row r="4805" spans="1:14" ht="11.25" customHeight="1">
      <c r="A4805" s="5" t="s">
        <v>13525</v>
      </c>
      <c r="B4805" s="5" t="s">
        <v>13718</v>
      </c>
      <c r="C4805" s="5" t="s">
        <v>13920</v>
      </c>
      <c r="D4805" s="5" t="s">
        <v>13528</v>
      </c>
      <c r="E4805" s="5" t="s">
        <v>32</v>
      </c>
      <c r="F4805" s="5" t="s">
        <v>13529</v>
      </c>
      <c r="G4805" s="5" t="s">
        <v>13530</v>
      </c>
      <c r="H4805" s="5" t="s">
        <v>13720</v>
      </c>
      <c r="I4805" s="5" t="s">
        <v>13921</v>
      </c>
      <c r="J4805" s="5" t="s">
        <v>13922</v>
      </c>
      <c r="K4805" s="7" t="str">
        <f ca="1">IFERROR(__xludf.DUMMYFUNCTION("GOOGLETRANSLATE(H4805,""EN"",""ES"")"),"INSTRUMENTOS MÉDICOS, INSTRUMENTOS Y HERRAMIENTAS PARA USO DE LABORATORIO")</f>
        <v>INSTRUMENTOS MÉDICOS, INSTRUMENTOS Y HERRAMIENTAS PARA USO DE LABORATORIO</v>
      </c>
      <c r="L4805" s="5" t="str">
        <f ca="1">IFERROR(__xludf.DUMMYFUNCTION("GOOGLETRANSLATE(J4805,""EN"",""ES"")"),"Vasos para muestras con tapa")</f>
        <v>Vasos para muestras con tapa</v>
      </c>
      <c r="M4805" s="8" t="s">
        <v>79</v>
      </c>
      <c r="N4805" s="8"/>
    </row>
    <row r="4806" spans="1:14" ht="11.25" customHeight="1">
      <c r="A4806" s="5" t="s">
        <v>13525</v>
      </c>
      <c r="B4806" s="5" t="s">
        <v>13718</v>
      </c>
      <c r="C4806" s="5" t="s">
        <v>13923</v>
      </c>
      <c r="D4806" s="5" t="s">
        <v>13528</v>
      </c>
      <c r="E4806" s="5" t="s">
        <v>32</v>
      </c>
      <c r="F4806" s="5" t="s">
        <v>13529</v>
      </c>
      <c r="G4806" s="5" t="s">
        <v>13530</v>
      </c>
      <c r="H4806" s="5" t="s">
        <v>13720</v>
      </c>
      <c r="I4806" s="5" t="s">
        <v>13924</v>
      </c>
      <c r="J4806" s="5" t="s">
        <v>13925</v>
      </c>
      <c r="K4806" s="7" t="str">
        <f ca="1">IFERROR(__xludf.DUMMYFUNCTION("GOOGLETRANSLATE(H4806,""EN"",""ES"")"),"INSTRUMENTOS MÉDICOS, INSTRUMENTOS Y HERRAMIENTAS PARA USO DE LABORATORIO")</f>
        <v>INSTRUMENTOS MÉDICOS, INSTRUMENTOS Y HERRAMIENTAS PARA USO DE LABORATORIO</v>
      </c>
      <c r="L4806" s="5" t="str">
        <f ca="1">IFERROR(__xludf.DUMMYFUNCTION("GOOGLETRANSLATE(J4806,""EN"",""ES"")"),"Dispositivos anti-ronquidos")</f>
        <v>Dispositivos anti-ronquidos</v>
      </c>
      <c r="M4806" s="8" t="s">
        <v>79</v>
      </c>
      <c r="N4806" s="8"/>
    </row>
    <row r="4807" spans="1:14" ht="11.25" customHeight="1">
      <c r="A4807" s="5" t="s">
        <v>13525</v>
      </c>
      <c r="B4807" s="5" t="s">
        <v>13718</v>
      </c>
      <c r="C4807" s="5" t="s">
        <v>13926</v>
      </c>
      <c r="D4807" s="5" t="s">
        <v>13528</v>
      </c>
      <c r="E4807" s="5" t="s">
        <v>32</v>
      </c>
      <c r="F4807" s="5" t="s">
        <v>13529</v>
      </c>
      <c r="G4807" s="5" t="s">
        <v>13530</v>
      </c>
      <c r="H4807" s="5" t="s">
        <v>13720</v>
      </c>
      <c r="I4807" s="5" t="s">
        <v>13927</v>
      </c>
      <c r="J4807" s="5" t="s">
        <v>13928</v>
      </c>
      <c r="K4807" s="7" t="str">
        <f ca="1">IFERROR(__xludf.DUMMYFUNCTION("GOOGLETRANSLATE(H4807,""EN"",""ES"")"),"INSTRUMENTOS MÉDICOS, INSTRUMENTOS Y HERRAMIENTAS PARA USO DE LABORATORIO")</f>
        <v>INSTRUMENTOS MÉDICOS, INSTRUMENTOS Y HERRAMIENTAS PARA USO DE LABORATORIO</v>
      </c>
      <c r="L4807" s="5" t="str">
        <f ca="1">IFERROR(__xludf.DUMMYFUNCTION("GOOGLETRANSLATE(J4807,""EN"",""ES"")"),"Pinzas para quitar garrapatas.")</f>
        <v>Pinzas para quitar garrapatas.</v>
      </c>
      <c r="M4807" s="8" t="s">
        <v>79</v>
      </c>
      <c r="N4807" s="8"/>
    </row>
    <row r="4808" spans="1:14" ht="11.25" customHeight="1">
      <c r="A4808" s="5" t="s">
        <v>13525</v>
      </c>
      <c r="B4808" s="5" t="s">
        <v>13929</v>
      </c>
      <c r="C4808" s="5" t="s">
        <v>13930</v>
      </c>
      <c r="D4808" s="5" t="s">
        <v>13528</v>
      </c>
      <c r="E4808" s="5" t="s">
        <v>32</v>
      </c>
      <c r="F4808" s="5" t="s">
        <v>13529</v>
      </c>
      <c r="G4808" s="5" t="s">
        <v>13530</v>
      </c>
      <c r="H4808" s="5" t="s">
        <v>13931</v>
      </c>
      <c r="I4808" s="5" t="s">
        <v>13932</v>
      </c>
      <c r="J4808" s="5" t="s">
        <v>13933</v>
      </c>
      <c r="K4808" s="7" t="str">
        <f ca="1">IFERROR(__xludf.DUMMYFUNCTION("GOOGLETRANSLATE(H4808,""EN"",""ES"")"),"ARTÍCULOS PROTÉSICO")</f>
        <v>ARTÍCULOS PROTÉSICO</v>
      </c>
      <c r="L4808" s="5" t="str">
        <f ca="1">IFERROR(__xludf.DUMMYFUNCTION("GOOGLETRANSLATE(J4808,""EN"",""ES"")"),"Puentes [dentales]")</f>
        <v>Puentes [dentales]</v>
      </c>
      <c r="M4808" s="8" t="s">
        <v>77</v>
      </c>
      <c r="N4808" s="8"/>
    </row>
    <row r="4809" spans="1:14" ht="11.25" customHeight="1">
      <c r="A4809" s="5" t="s">
        <v>13525</v>
      </c>
      <c r="B4809" s="5" t="s">
        <v>13929</v>
      </c>
      <c r="C4809" s="5" t="s">
        <v>13934</v>
      </c>
      <c r="D4809" s="5" t="s">
        <v>13528</v>
      </c>
      <c r="E4809" s="5" t="s">
        <v>32</v>
      </c>
      <c r="F4809" s="5" t="s">
        <v>13529</v>
      </c>
      <c r="G4809" s="5" t="s">
        <v>13530</v>
      </c>
      <c r="H4809" s="5" t="s">
        <v>13931</v>
      </c>
      <c r="I4809" s="5" t="s">
        <v>13935</v>
      </c>
      <c r="J4809" s="5" t="s">
        <v>13936</v>
      </c>
      <c r="K4809" s="7" t="str">
        <f ca="1">IFERROR(__xludf.DUMMYFUNCTION("GOOGLETRANSLATE(H4809,""EN"",""ES"")"),"ARTÍCULOS PROTÉSICO")</f>
        <v>ARTÍCULOS PROTÉSICO</v>
      </c>
      <c r="L4809" s="5" t="str">
        <f ca="1">IFERROR(__xludf.DUMMYFUNCTION("GOOGLETRANSLATE(J4809,""EN"",""ES"")"),"placas dentales")</f>
        <v>placas dentales</v>
      </c>
      <c r="M4809" s="8" t="s">
        <v>77</v>
      </c>
      <c r="N4809" s="8"/>
    </row>
    <row r="4810" spans="1:14" ht="11.25" customHeight="1">
      <c r="A4810" s="5" t="s">
        <v>13525</v>
      </c>
      <c r="B4810" s="5" t="s">
        <v>13929</v>
      </c>
      <c r="C4810" s="5" t="s">
        <v>13937</v>
      </c>
      <c r="D4810" s="5" t="s">
        <v>13528</v>
      </c>
      <c r="E4810" s="5" t="s">
        <v>32</v>
      </c>
      <c r="F4810" s="5" t="s">
        <v>13529</v>
      </c>
      <c r="G4810" s="5" t="s">
        <v>13530</v>
      </c>
      <c r="H4810" s="5" t="s">
        <v>13931</v>
      </c>
      <c r="I4810" s="5" t="s">
        <v>13938</v>
      </c>
      <c r="J4810" s="5" t="s">
        <v>13939</v>
      </c>
      <c r="K4810" s="7" t="str">
        <f ca="1">IFERROR(__xludf.DUMMYFUNCTION("GOOGLETRANSLATE(H4810,""EN"",""ES"")"),"ARTÍCULOS PROTÉSICO")</f>
        <v>ARTÍCULOS PROTÉSICO</v>
      </c>
      <c r="L4810" s="5" t="str">
        <f ca="1">IFERROR(__xludf.DUMMYFUNCTION("GOOGLETRANSLATE(J4810,""EN"",""ES"")"),"dientes artificiales")</f>
        <v>dientes artificiales</v>
      </c>
      <c r="M4810" s="8" t="s">
        <v>77</v>
      </c>
      <c r="N4810" s="8"/>
    </row>
    <row r="4811" spans="1:14" ht="11.25" customHeight="1">
      <c r="A4811" s="5" t="s">
        <v>13525</v>
      </c>
      <c r="B4811" s="5" t="s">
        <v>13929</v>
      </c>
      <c r="C4811" s="5" t="s">
        <v>13940</v>
      </c>
      <c r="D4811" s="5" t="s">
        <v>13528</v>
      </c>
      <c r="E4811" s="5" t="s">
        <v>32</v>
      </c>
      <c r="F4811" s="5" t="s">
        <v>13529</v>
      </c>
      <c r="G4811" s="5" t="s">
        <v>13530</v>
      </c>
      <c r="H4811" s="5" t="s">
        <v>13931</v>
      </c>
      <c r="I4811" s="5" t="s">
        <v>13941</v>
      </c>
      <c r="J4811" s="5" t="s">
        <v>13942</v>
      </c>
      <c r="K4811" s="7" t="str">
        <f ca="1">IFERROR(__xludf.DUMMYFUNCTION("GOOGLETRANSLATE(H4811,""EN"",""ES"")"),"ARTÍCULOS PROTÉSICO")</f>
        <v>ARTÍCULOS PROTÉSICO</v>
      </c>
      <c r="L4811" s="5" t="str">
        <f ca="1">IFERROR(__xludf.DUMMYFUNCTION("GOOGLETRANSLATE(J4811,""EN"",""ES"")"),"Miembros artificiales")</f>
        <v>Miembros artificiales</v>
      </c>
      <c r="M4811" s="8" t="s">
        <v>77</v>
      </c>
      <c r="N4811" s="8"/>
    </row>
    <row r="4812" spans="1:14" ht="11.25" customHeight="1">
      <c r="A4812" s="5" t="s">
        <v>13525</v>
      </c>
      <c r="B4812" s="5" t="s">
        <v>13929</v>
      </c>
      <c r="C4812" s="5" t="s">
        <v>13943</v>
      </c>
      <c r="D4812" s="5" t="s">
        <v>13528</v>
      </c>
      <c r="E4812" s="5" t="s">
        <v>32</v>
      </c>
      <c r="F4812" s="5" t="s">
        <v>13529</v>
      </c>
      <c r="G4812" s="5" t="s">
        <v>13530</v>
      </c>
      <c r="H4812" s="5" t="s">
        <v>13931</v>
      </c>
      <c r="I4812" s="5" t="s">
        <v>13944</v>
      </c>
      <c r="J4812" s="5" t="s">
        <v>13945</v>
      </c>
      <c r="K4812" s="7" t="str">
        <f ca="1">IFERROR(__xludf.DUMMYFUNCTION("GOOGLETRANSLATE(H4812,""EN"",""ES"")"),"ARTÍCULOS PROTÉSICO")</f>
        <v>ARTÍCULOS PROTÉSICO</v>
      </c>
      <c r="L4812" s="5" t="str">
        <f ca="1">IFERROR(__xludf.DUMMYFUNCTION("GOOGLETRANSLATE(J4812,""EN"",""ES"")"),"Alfileres para dientes artificiales")</f>
        <v>Alfileres para dientes artificiales</v>
      </c>
      <c r="M4812" s="8" t="s">
        <v>77</v>
      </c>
      <c r="N4812" s="8"/>
    </row>
    <row r="4813" spans="1:14" ht="11.25" customHeight="1">
      <c r="A4813" s="5" t="s">
        <v>13525</v>
      </c>
      <c r="B4813" s="5" t="s">
        <v>13929</v>
      </c>
      <c r="C4813" s="5" t="s">
        <v>13946</v>
      </c>
      <c r="D4813" s="5" t="s">
        <v>13528</v>
      </c>
      <c r="E4813" s="5" t="s">
        <v>32</v>
      </c>
      <c r="F4813" s="5" t="s">
        <v>13529</v>
      </c>
      <c r="G4813" s="5" t="s">
        <v>13530</v>
      </c>
      <c r="H4813" s="5" t="s">
        <v>13931</v>
      </c>
      <c r="I4813" s="5" t="s">
        <v>13947</v>
      </c>
      <c r="J4813" s="5" t="s">
        <v>13948</v>
      </c>
      <c r="K4813" s="7" t="str">
        <f ca="1">IFERROR(__xludf.DUMMYFUNCTION("GOOGLETRANSLATE(H4813,""EN"",""ES"")"),"ARTÍCULOS PROTÉSICO")</f>
        <v>ARTÍCULOS PROTÉSICO</v>
      </c>
      <c r="L4813" s="5" t="str">
        <f ca="1">IFERROR(__xludf.DUMMYFUNCTION("GOOGLETRANSLATE(J4813,""EN"",""ES"")"),"Prótesis")</f>
        <v>Prótesis</v>
      </c>
      <c r="M4813" s="8" t="s">
        <v>77</v>
      </c>
      <c r="N4813" s="8"/>
    </row>
    <row r="4814" spans="1:14" ht="11.25" customHeight="1">
      <c r="A4814" s="5" t="s">
        <v>13525</v>
      </c>
      <c r="B4814" s="5" t="s">
        <v>13929</v>
      </c>
      <c r="C4814" s="5" t="s">
        <v>13949</v>
      </c>
      <c r="D4814" s="5" t="s">
        <v>13528</v>
      </c>
      <c r="E4814" s="5" t="s">
        <v>32</v>
      </c>
      <c r="F4814" s="5" t="s">
        <v>13529</v>
      </c>
      <c r="G4814" s="5" t="s">
        <v>13530</v>
      </c>
      <c r="H4814" s="5" t="s">
        <v>13931</v>
      </c>
      <c r="I4814" s="5" t="s">
        <v>13950</v>
      </c>
      <c r="J4814" s="5" t="s">
        <v>13951</v>
      </c>
      <c r="K4814" s="7" t="str">
        <f ca="1">IFERROR(__xludf.DUMMYFUNCTION("GOOGLETRANSLATE(H4814,""EN"",""ES"")"),"ARTÍCULOS PROTÉSICO")</f>
        <v>ARTÍCULOS PROTÉSICO</v>
      </c>
      <c r="L4814" s="5" t="str">
        <f ca="1">IFERROR(__xludf.DUMMYFUNCTION("GOOGLETRANSLATE(J4814,""EN"",""ES"")"),"ojos artificiales")</f>
        <v>ojos artificiales</v>
      </c>
      <c r="M4814" s="8" t="s">
        <v>77</v>
      </c>
      <c r="N4814" s="8"/>
    </row>
    <row r="4815" spans="1:14" ht="11.25" customHeight="1">
      <c r="A4815" s="5" t="s">
        <v>13525</v>
      </c>
      <c r="B4815" s="5" t="s">
        <v>13929</v>
      </c>
      <c r="C4815" s="5" t="s">
        <v>13952</v>
      </c>
      <c r="D4815" s="5" t="s">
        <v>13528</v>
      </c>
      <c r="E4815" s="5" t="s">
        <v>32</v>
      </c>
      <c r="F4815" s="5" t="s">
        <v>13529</v>
      </c>
      <c r="G4815" s="5" t="s">
        <v>13530</v>
      </c>
      <c r="H4815" s="5" t="s">
        <v>13931</v>
      </c>
      <c r="I4815" s="5" t="s">
        <v>13953</v>
      </c>
      <c r="J4815" s="5" t="s">
        <v>13954</v>
      </c>
      <c r="K4815" s="7" t="str">
        <f ca="1">IFERROR(__xludf.DUMMYFUNCTION("GOOGLETRANSLATE(H4815,""EN"",""ES"")"),"ARTÍCULOS PROTÉSICO")</f>
        <v>ARTÍCULOS PROTÉSICO</v>
      </c>
      <c r="L4815" s="5" t="str">
        <f ca="1">IFERROR(__xludf.DUMMYFUNCTION("GOOGLETRANSLATE(J4815,""EN"",""ES"")"),"Dispositivos de fijación de dentaduras postizas")</f>
        <v>Dispositivos de fijación de dentaduras postizas</v>
      </c>
      <c r="M4815" s="8" t="s">
        <v>77</v>
      </c>
      <c r="N4815" s="8"/>
    </row>
    <row r="4816" spans="1:14" ht="11.25" customHeight="1">
      <c r="A4816" s="5" t="s">
        <v>13525</v>
      </c>
      <c r="B4816" s="5" t="s">
        <v>13929</v>
      </c>
      <c r="C4816" s="5" t="s">
        <v>13955</v>
      </c>
      <c r="D4816" s="5" t="s">
        <v>13528</v>
      </c>
      <c r="E4816" s="5" t="s">
        <v>32</v>
      </c>
      <c r="F4816" s="5" t="s">
        <v>13529</v>
      </c>
      <c r="G4816" s="5" t="s">
        <v>13530</v>
      </c>
      <c r="H4816" s="5" t="s">
        <v>13931</v>
      </c>
      <c r="I4816" s="5" t="s">
        <v>13956</v>
      </c>
      <c r="J4816" s="5" t="s">
        <v>13957</v>
      </c>
      <c r="K4816" s="7" t="str">
        <f ca="1">IFERROR(__xludf.DUMMYFUNCTION("GOOGLETRANSLATE(H4816,""EN"",""ES"")"),"ARTÍCULOS PROTÉSICO")</f>
        <v>ARTÍCULOS PROTÉSICO</v>
      </c>
      <c r="L4816" s="5" t="str">
        <f ca="1">IFERROR(__xludf.DUMMYFUNCTION("GOOGLETRANSLATE(J4816,""EN"",""ES"")"),"uñas quirurgicas")</f>
        <v>uñas quirurgicas</v>
      </c>
      <c r="M4816" s="8" t="s">
        <v>77</v>
      </c>
      <c r="N4816" s="8"/>
    </row>
    <row r="4817" spans="1:14" ht="11.25" customHeight="1">
      <c r="A4817" s="5" t="s">
        <v>13525</v>
      </c>
      <c r="B4817" s="5" t="s">
        <v>13929</v>
      </c>
      <c r="C4817" s="5" t="s">
        <v>13958</v>
      </c>
      <c r="D4817" s="5" t="s">
        <v>13528</v>
      </c>
      <c r="E4817" s="5" t="s">
        <v>32</v>
      </c>
      <c r="F4817" s="5" t="s">
        <v>13529</v>
      </c>
      <c r="G4817" s="5" t="s">
        <v>13530</v>
      </c>
      <c r="H4817" s="5" t="s">
        <v>13931</v>
      </c>
      <c r="I4817" s="5" t="s">
        <v>13959</v>
      </c>
      <c r="J4817" s="5" t="s">
        <v>13960</v>
      </c>
      <c r="K4817" s="7" t="str">
        <f ca="1">IFERROR(__xludf.DUMMYFUNCTION("GOOGLETRANSLATE(H4817,""EN"",""ES"")"),"ARTÍCULOS PROTÉSICO")</f>
        <v>ARTÍCULOS PROTÉSICO</v>
      </c>
      <c r="L4817" s="5" t="str">
        <f ca="1">IFERROR(__xludf.DUMMYFUNCTION("GOOGLETRANSLATE(J4817,""EN"",""ES"")"),"válvulas cardíacas artificiales")</f>
        <v>válvulas cardíacas artificiales</v>
      </c>
      <c r="M4817" s="8" t="s">
        <v>77</v>
      </c>
      <c r="N4817" s="8"/>
    </row>
    <row r="4818" spans="1:14" ht="11.25" customHeight="1">
      <c r="A4818" s="5" t="s">
        <v>13525</v>
      </c>
      <c r="B4818" s="5" t="s">
        <v>13929</v>
      </c>
      <c r="C4818" s="5" t="s">
        <v>13961</v>
      </c>
      <c r="D4818" s="5" t="s">
        <v>13528</v>
      </c>
      <c r="E4818" s="5" t="s">
        <v>32</v>
      </c>
      <c r="F4818" s="5" t="s">
        <v>13529</v>
      </c>
      <c r="G4818" s="5" t="s">
        <v>13530</v>
      </c>
      <c r="H4818" s="5" t="s">
        <v>13931</v>
      </c>
      <c r="I4818" s="5" t="s">
        <v>13962</v>
      </c>
      <c r="J4818" s="5" t="s">
        <v>13962</v>
      </c>
      <c r="K4818" s="7" t="str">
        <f ca="1">IFERROR(__xludf.DUMMYFUNCTION("GOOGLETRANSLATE(H4818,""EN"",""ES"")"),"ARTÍCULOS PROTÉSICO")</f>
        <v>ARTÍCULOS PROTÉSICO</v>
      </c>
      <c r="L4818" s="5" t="str">
        <f ca="1">IFERROR(__xludf.DUMMYFUNCTION("GOOGLETRANSLATE(J4818,""EN"",""ES"")"),"Stents")</f>
        <v>Stents</v>
      </c>
      <c r="M4818" s="8" t="s">
        <v>77</v>
      </c>
      <c r="N4818" s="8"/>
    </row>
    <row r="4819" spans="1:14" ht="11.25" customHeight="1">
      <c r="A4819" s="5" t="s">
        <v>13525</v>
      </c>
      <c r="B4819" s="5" t="s">
        <v>13929</v>
      </c>
      <c r="C4819" s="5" t="s">
        <v>13963</v>
      </c>
      <c r="D4819" s="5" t="s">
        <v>13528</v>
      </c>
      <c r="E4819" s="5" t="s">
        <v>32</v>
      </c>
      <c r="F4819" s="5" t="s">
        <v>13529</v>
      </c>
      <c r="G4819" s="5" t="s">
        <v>13530</v>
      </c>
      <c r="H4819" s="5" t="s">
        <v>13931</v>
      </c>
      <c r="I4819" s="5" t="s">
        <v>13964</v>
      </c>
      <c r="J4819" s="5" t="s">
        <v>13965</v>
      </c>
      <c r="K4819" s="7" t="str">
        <f ca="1">IFERROR(__xludf.DUMMYFUNCTION("GOOGLETRANSLATE(H4819,""EN"",""ES"")"),"ARTÍCULOS PROTÉSICO")</f>
        <v>ARTÍCULOS PROTÉSICO</v>
      </c>
      <c r="L4819" s="5" t="str">
        <f ca="1">IFERROR(__xludf.DUMMYFUNCTION("GOOGLETRANSLATE(J4819,""EN"",""ES"")"),"Injertos de stent")</f>
        <v>Injertos de stent</v>
      </c>
      <c r="M4819" s="8" t="s">
        <v>77</v>
      </c>
      <c r="N4819" s="8"/>
    </row>
    <row r="4820" spans="1:14" ht="11.25" customHeight="1">
      <c r="A4820" s="5" t="s">
        <v>13525</v>
      </c>
      <c r="B4820" s="5" t="s">
        <v>13929</v>
      </c>
      <c r="C4820" s="5" t="s">
        <v>13966</v>
      </c>
      <c r="D4820" s="5" t="s">
        <v>13528</v>
      </c>
      <c r="E4820" s="5" t="s">
        <v>32</v>
      </c>
      <c r="F4820" s="5" t="s">
        <v>13529</v>
      </c>
      <c r="G4820" s="5" t="s">
        <v>13530</v>
      </c>
      <c r="H4820" s="5" t="s">
        <v>13931</v>
      </c>
      <c r="I4820" s="5" t="s">
        <v>13967</v>
      </c>
      <c r="J4820" s="5" t="s">
        <v>13968</v>
      </c>
      <c r="K4820" s="7" t="str">
        <f ca="1">IFERROR(__xludf.DUMMYFUNCTION("GOOGLETRANSLATE(H4820,""EN"",""ES"")"),"ARTÍCULOS PROTÉSICO")</f>
        <v>ARTÍCULOS PROTÉSICO</v>
      </c>
      <c r="L4820" s="5" t="str">
        <f ca="1">IFERROR(__xludf.DUMMYFUNCTION("GOOGLETRANSLATE(J4820,""EN"",""ES"")"),"Marcapasos implantables")</f>
        <v>Marcapasos implantables</v>
      </c>
      <c r="M4820" s="8" t="s">
        <v>77</v>
      </c>
      <c r="N4820" s="8"/>
    </row>
    <row r="4821" spans="1:14" ht="11.25" customHeight="1">
      <c r="A4821" s="5" t="s">
        <v>13525</v>
      </c>
      <c r="B4821" s="5" t="s">
        <v>13969</v>
      </c>
      <c r="C4821" s="5" t="s">
        <v>13970</v>
      </c>
      <c r="D4821" s="5" t="s">
        <v>13528</v>
      </c>
      <c r="E4821" s="5" t="s">
        <v>32</v>
      </c>
      <c r="F4821" s="5" t="s">
        <v>13529</v>
      </c>
      <c r="G4821" s="5" t="s">
        <v>13530</v>
      </c>
      <c r="H4821" s="5" t="s">
        <v>13971</v>
      </c>
      <c r="I4821" s="5" t="s">
        <v>13972</v>
      </c>
      <c r="J4821" s="5" t="s">
        <v>13973</v>
      </c>
      <c r="K4821" s="7" t="str">
        <f ca="1">IFERROR(__xludf.DUMMYFUNCTION("GOOGLETRANSLATE(H4821,""EN"",""ES"")"),"MATERIALES PARA VESTIR HERIDAS, ENFERMERÍA Y ATENCIÓN MÉDICA")</f>
        <v>MATERIALES PARA VESTIR HERIDAS, ENFERMERÍA Y ATENCIÓN MÉDICA</v>
      </c>
      <c r="L4821" s="5" t="str">
        <f ca="1">IFERROR(__xludf.DUMMYFUNCTION("GOOGLETRANSLATE(J4821,""EN"",""ES"")"),"anillos de dentición")</f>
        <v>anillos de dentición</v>
      </c>
      <c r="M4821" s="8" t="s">
        <v>86</v>
      </c>
      <c r="N4821" s="8"/>
    </row>
    <row r="4822" spans="1:14" ht="11.25" customHeight="1">
      <c r="A4822" s="5" t="s">
        <v>13525</v>
      </c>
      <c r="B4822" s="5" t="s">
        <v>13969</v>
      </c>
      <c r="C4822" s="5" t="s">
        <v>13974</v>
      </c>
      <c r="D4822" s="5" t="s">
        <v>13528</v>
      </c>
      <c r="E4822" s="5" t="s">
        <v>32</v>
      </c>
      <c r="F4822" s="5" t="s">
        <v>13529</v>
      </c>
      <c r="G4822" s="5" t="s">
        <v>13530</v>
      </c>
      <c r="H4822" s="5" t="s">
        <v>13971</v>
      </c>
      <c r="I4822" s="5" t="s">
        <v>13975</v>
      </c>
      <c r="J4822" s="5" t="s">
        <v>13976</v>
      </c>
      <c r="K4822" s="7" t="str">
        <f ca="1">IFERROR(__xludf.DUMMYFUNCTION("GOOGLETRANSLATE(H4822,""EN"",""ES"")"),"MATERIALES PARA VESTIR HERIDAS, ENFERMERÍA Y ATENCIÓN MÉDICA")</f>
        <v>MATERIALES PARA VESTIR HERIDAS, ENFERMERÍA Y ATENCIÓN MÉDICA</v>
      </c>
      <c r="L4822" s="5" t="str">
        <f ca="1">IFERROR(__xludf.DUMMYFUNCTION("GOOGLETRANSLATE(J4822,""EN"",""ES"")"),"Edredones")</f>
        <v>Edredones</v>
      </c>
      <c r="M4822" s="8" t="s">
        <v>86</v>
      </c>
      <c r="N4822" s="8"/>
    </row>
    <row r="4823" spans="1:14" ht="11.25" customHeight="1">
      <c r="A4823" s="5" t="s">
        <v>13525</v>
      </c>
      <c r="B4823" s="5" t="s">
        <v>13969</v>
      </c>
      <c r="C4823" s="5" t="s">
        <v>13974</v>
      </c>
      <c r="D4823" s="5" t="s">
        <v>13528</v>
      </c>
      <c r="E4823" s="5" t="s">
        <v>32</v>
      </c>
      <c r="F4823" s="5" t="s">
        <v>13529</v>
      </c>
      <c r="G4823" s="5" t="s">
        <v>13530</v>
      </c>
      <c r="H4823" s="5" t="s">
        <v>13971</v>
      </c>
      <c r="I4823" s="5" t="s">
        <v>13977</v>
      </c>
      <c r="J4823" s="5" t="s">
        <v>152</v>
      </c>
      <c r="K4823" s="7" t="str">
        <f ca="1">IFERROR(__xludf.DUMMYFUNCTION("GOOGLETRANSLATE(H4823,""EN"",""ES"")"),"MATERIALES PARA VESTIR HERIDAS, ENFERMERÍA Y ATENCIÓN MÉDICA")</f>
        <v>MATERIALES PARA VESTIR HERIDAS, ENFERMERÍA Y ATENCIÓN MÉDICA</v>
      </c>
      <c r="L4823" s="5" t="str">
        <f ca="1">IFERROR(__xludf.DUMMYFUNCTION("GOOGLETRANSLATE(J4823,""EN"",""ES"")"),"Chupetes para bebes")</f>
        <v>Chupetes para bebes</v>
      </c>
      <c r="M4823" s="8" t="s">
        <v>86</v>
      </c>
      <c r="N4823" s="8"/>
    </row>
    <row r="4824" spans="1:14" ht="11.25" customHeight="1">
      <c r="A4824" s="5" t="s">
        <v>13525</v>
      </c>
      <c r="B4824" s="5" t="s">
        <v>13969</v>
      </c>
      <c r="C4824" s="5" t="s">
        <v>13978</v>
      </c>
      <c r="D4824" s="5" t="s">
        <v>13528</v>
      </c>
      <c r="E4824" s="5" t="s">
        <v>32</v>
      </c>
      <c r="F4824" s="5" t="s">
        <v>13529</v>
      </c>
      <c r="G4824" s="5" t="s">
        <v>13530</v>
      </c>
      <c r="H4824" s="5" t="s">
        <v>13971</v>
      </c>
      <c r="I4824" s="5" t="s">
        <v>13979</v>
      </c>
      <c r="J4824" s="5" t="s">
        <v>13980</v>
      </c>
      <c r="K4824" s="7" t="str">
        <f ca="1">IFERROR(__xludf.DUMMYFUNCTION("GOOGLETRANSLATE(H4824,""EN"",""ES"")"),"MATERIALES PARA VESTIR HERIDAS, ENFERMERÍA Y ATENCIÓN MÉDICA")</f>
        <v>MATERIALES PARA VESTIR HERIDAS, ENFERMERÍA Y ATENCIÓN MÉDICA</v>
      </c>
      <c r="L4824" s="5" t="str">
        <f ca="1">IFERROR(__xludf.DUMMYFUNCTION("GOOGLETRANSLATE(J4824,""EN"",""ES"")"),"Vendas absorbentes")</f>
        <v>Vendas absorbentes</v>
      </c>
      <c r="M4824" s="8" t="s">
        <v>86</v>
      </c>
      <c r="N4824" s="8"/>
    </row>
    <row r="4825" spans="1:14" ht="11.25" customHeight="1">
      <c r="A4825" s="5" t="s">
        <v>13525</v>
      </c>
      <c r="B4825" s="5" t="s">
        <v>13969</v>
      </c>
      <c r="C4825" s="5" t="s">
        <v>13981</v>
      </c>
      <c r="D4825" s="5" t="s">
        <v>13528</v>
      </c>
      <c r="E4825" s="5" t="s">
        <v>32</v>
      </c>
      <c r="F4825" s="5" t="s">
        <v>13529</v>
      </c>
      <c r="G4825" s="5" t="s">
        <v>13530</v>
      </c>
      <c r="H4825" s="5" t="s">
        <v>13971</v>
      </c>
      <c r="I4825" s="5" t="s">
        <v>13982</v>
      </c>
      <c r="J4825" s="5" t="s">
        <v>13983</v>
      </c>
      <c r="K4825" s="7" t="str">
        <f ca="1">IFERROR(__xludf.DUMMYFUNCTION("GOOGLETRANSLATE(H4825,""EN"",""ES"")"),"MATERIALES PARA VESTIR HERIDAS, ENFERMERÍA Y ATENCIÓN MÉDICA")</f>
        <v>MATERIALES PARA VESTIR HERIDAS, ENFERMERÍA Y ATENCIÓN MÉDICA</v>
      </c>
      <c r="L4825" s="5" t="str">
        <f ca="1">IFERROR(__xludf.DUMMYFUNCTION("GOOGLETRANSLATE(J4825,""EN"",""ES"")"),"Aparato para cortar vendajes de yeso de París.")</f>
        <v>Aparato para cortar vendajes de yeso de París.</v>
      </c>
      <c r="M4825" s="8" t="s">
        <v>86</v>
      </c>
      <c r="N4825" s="8"/>
    </row>
    <row r="4826" spans="1:14" ht="11.25" customHeight="1">
      <c r="A4826" s="5" t="s">
        <v>13525</v>
      </c>
      <c r="B4826" s="5" t="s">
        <v>13969</v>
      </c>
      <c r="C4826" s="5" t="s">
        <v>13984</v>
      </c>
      <c r="D4826" s="5" t="s">
        <v>13528</v>
      </c>
      <c r="E4826" s="5" t="s">
        <v>32</v>
      </c>
      <c r="F4826" s="5" t="s">
        <v>13529</v>
      </c>
      <c r="G4826" s="5" t="s">
        <v>13530</v>
      </c>
      <c r="H4826" s="5" t="s">
        <v>13971</v>
      </c>
      <c r="I4826" s="5" t="s">
        <v>13985</v>
      </c>
      <c r="J4826" s="5" t="s">
        <v>13986</v>
      </c>
      <c r="K4826" s="7" t="str">
        <f ca="1">IFERROR(__xludf.DUMMYFUNCTION("GOOGLETRANSLATE(H4826,""EN"",""ES"")"),"MATERIALES PARA VESTIR HERIDAS, ENFERMERÍA Y ATENCIÓN MÉDICA")</f>
        <v>MATERIALES PARA VESTIR HERIDAS, ENFERMERÍA Y ATENCIÓN MÉDICA</v>
      </c>
      <c r="L4826" s="5" t="str">
        <f ca="1">IFERROR(__xludf.DUMMYFUNCTION("GOOGLETRANSLATE(J4826,""EN"",""ES"")"),"vendajes quirurgicos")</f>
        <v>vendajes quirurgicos</v>
      </c>
      <c r="M4826" s="8" t="s">
        <v>86</v>
      </c>
      <c r="N4826" s="8"/>
    </row>
    <row r="4827" spans="1:14" ht="11.25" customHeight="1">
      <c r="A4827" s="5" t="s">
        <v>13525</v>
      </c>
      <c r="B4827" s="5" t="s">
        <v>13969</v>
      </c>
      <c r="C4827" s="5" t="s">
        <v>13987</v>
      </c>
      <c r="D4827" s="5" t="s">
        <v>13528</v>
      </c>
      <c r="E4827" s="5" t="s">
        <v>32</v>
      </c>
      <c r="F4827" s="5" t="s">
        <v>13529</v>
      </c>
      <c r="G4827" s="5" t="s">
        <v>13530</v>
      </c>
      <c r="H4827" s="5" t="s">
        <v>13971</v>
      </c>
      <c r="I4827" s="5" t="s">
        <v>13988</v>
      </c>
      <c r="J4827" s="5" t="s">
        <v>13989</v>
      </c>
      <c r="K4827" s="7" t="str">
        <f ca="1">IFERROR(__xludf.DUMMYFUNCTION("GOOGLETRANSLATE(H4827,""EN"",""ES"")"),"MATERIALES PARA VESTIR HERIDAS, ENFERMERÍA Y ATENCIÓN MÉDICA")</f>
        <v>MATERIALES PARA VESTIR HERIDAS, ENFERMERÍA Y ATENCIÓN MÉDICA</v>
      </c>
      <c r="L4827" s="5" t="str">
        <f ca="1">IFERROR(__xludf.DUMMYFUNCTION("GOOGLETRANSLATE(J4827,""EN"",""ES"")"),"cintas umbilicales")</f>
        <v>cintas umbilicales</v>
      </c>
      <c r="M4827" s="8" t="s">
        <v>86</v>
      </c>
      <c r="N4827" s="8"/>
    </row>
    <row r="4828" spans="1:14" ht="11.25" customHeight="1">
      <c r="A4828" s="5" t="s">
        <v>13525</v>
      </c>
      <c r="B4828" s="5" t="s">
        <v>13969</v>
      </c>
      <c r="C4828" s="5" t="s">
        <v>13990</v>
      </c>
      <c r="D4828" s="5" t="s">
        <v>13528</v>
      </c>
      <c r="E4828" s="5" t="s">
        <v>32</v>
      </c>
      <c r="F4828" s="5" t="s">
        <v>13529</v>
      </c>
      <c r="G4828" s="5" t="s">
        <v>13530</v>
      </c>
      <c r="H4828" s="5" t="s">
        <v>13971</v>
      </c>
      <c r="I4828" s="5" t="s">
        <v>13991</v>
      </c>
      <c r="J4828" s="5" t="s">
        <v>13992</v>
      </c>
      <c r="K4828" s="7" t="str">
        <f ca="1">IFERROR(__xludf.DUMMYFUNCTION("GOOGLETRANSLATE(H4828,""EN"",""ES"")"),"MATERIALES PARA VESTIR HERIDAS, ENFERMERÍA Y ATENCIÓN MÉDICA")</f>
        <v>MATERIALES PARA VESTIR HERIDAS, ENFERMERÍA Y ATENCIÓN MÉDICA</v>
      </c>
      <c r="L4828" s="5" t="str">
        <f ca="1">IFERROR(__xludf.DUMMYFUNCTION("GOOGLETRANSLATE(J4828,""EN"",""ES"")"),"Cinturones [vendas]")</f>
        <v>Cinturones [vendas]</v>
      </c>
      <c r="M4828" s="8" t="s">
        <v>86</v>
      </c>
      <c r="N4828" s="8"/>
    </row>
    <row r="4829" spans="1:14" ht="11.25" customHeight="1">
      <c r="A4829" s="5" t="s">
        <v>13525</v>
      </c>
      <c r="B4829" s="5" t="s">
        <v>13969</v>
      </c>
      <c r="C4829" s="5" t="s">
        <v>13993</v>
      </c>
      <c r="D4829" s="5" t="s">
        <v>13528</v>
      </c>
      <c r="E4829" s="5" t="s">
        <v>32</v>
      </c>
      <c r="F4829" s="5" t="s">
        <v>13529</v>
      </c>
      <c r="G4829" s="5" t="s">
        <v>13530</v>
      </c>
      <c r="H4829" s="5" t="s">
        <v>13971</v>
      </c>
      <c r="I4829" s="5" t="s">
        <v>13994</v>
      </c>
      <c r="J4829" s="5" t="s">
        <v>13995</v>
      </c>
      <c r="K4829" s="7" t="str">
        <f ca="1">IFERROR(__xludf.DUMMYFUNCTION("GOOGLETRANSLATE(H4829,""EN"",""ES"")"),"MATERIALES PARA VESTIR HERIDAS, ENFERMERÍA Y ATENCIÓN MÉDICA")</f>
        <v>MATERIALES PARA VESTIR HERIDAS, ENFERMERÍA Y ATENCIÓN MÉDICA</v>
      </c>
      <c r="L4829" s="5" t="str">
        <f ca="1">IFERROR(__xludf.DUMMYFUNCTION("GOOGLETRANSLATE(J4829,""EN"",""ES"")"),"Compresas medicas")</f>
        <v>Compresas medicas</v>
      </c>
      <c r="M4829" s="8" t="s">
        <v>86</v>
      </c>
      <c r="N4829" s="8"/>
    </row>
    <row r="4830" spans="1:14" ht="11.25" customHeight="1">
      <c r="A4830" s="5" t="s">
        <v>13525</v>
      </c>
      <c r="B4830" s="5" t="s">
        <v>13969</v>
      </c>
      <c r="C4830" s="5" t="s">
        <v>13996</v>
      </c>
      <c r="D4830" s="5" t="s">
        <v>13528</v>
      </c>
      <c r="E4830" s="5" t="s">
        <v>32</v>
      </c>
      <c r="F4830" s="5" t="s">
        <v>13529</v>
      </c>
      <c r="G4830" s="5" t="s">
        <v>13530</v>
      </c>
      <c r="H4830" s="5" t="s">
        <v>13971</v>
      </c>
      <c r="I4830" s="5" t="s">
        <v>13997</v>
      </c>
      <c r="J4830" s="5" t="s">
        <v>13998</v>
      </c>
      <c r="K4830" s="7" t="str">
        <f ca="1">IFERROR(__xludf.DUMMYFUNCTION("GOOGLETRANSLATE(H4830,""EN"",""ES"")"),"MATERIALES PARA VESTIR HERIDAS, ENFERMERÍA Y ATENCIÓN MÉDICA")</f>
        <v>MATERIALES PARA VESTIR HERIDAS, ENFERMERÍA Y ATENCIÓN MÉDICA</v>
      </c>
      <c r="L4830" s="5" t="str">
        <f ca="1">IFERROR(__xludf.DUMMYFUNCTION("GOOGLETRANSLATE(J4830,""EN"",""ES"")"),"Dispositivos de destete")</f>
        <v>Dispositivos de destete</v>
      </c>
      <c r="M4830" s="8" t="s">
        <v>86</v>
      </c>
      <c r="N4830" s="8"/>
    </row>
    <row r="4831" spans="1:14" ht="11.25" customHeight="1">
      <c r="A4831" s="5" t="s">
        <v>13525</v>
      </c>
      <c r="B4831" s="5" t="s">
        <v>13969</v>
      </c>
      <c r="C4831" s="5" t="s">
        <v>13999</v>
      </c>
      <c r="D4831" s="5" t="s">
        <v>13528</v>
      </c>
      <c r="E4831" s="5" t="s">
        <v>32</v>
      </c>
      <c r="F4831" s="5" t="s">
        <v>13529</v>
      </c>
      <c r="G4831" s="5" t="s">
        <v>13530</v>
      </c>
      <c r="H4831" s="5" t="s">
        <v>13971</v>
      </c>
      <c r="I4831" s="5" t="s">
        <v>14000</v>
      </c>
      <c r="J4831" s="5" t="s">
        <v>14001</v>
      </c>
      <c r="K4831" s="7" t="str">
        <f ca="1">IFERROR(__xludf.DUMMYFUNCTION("GOOGLETRANSLATE(H4831,""EN"",""ES"")"),"MATERIALES PARA VESTIR HERIDAS, ENFERMERÍA Y ATENCIÓN MÉDICA")</f>
        <v>MATERIALES PARA VESTIR HERIDAS, ENFERMERÍA Y ATENCIÓN MÉDICA</v>
      </c>
      <c r="L4831" s="5" t="str">
        <f ca="1">IFERROR(__xludf.DUMMYFUNCTION("GOOGLETRANSLATE(J4831,""EN"",""ES"")"),"Tubos de drenaje para uso médico.")</f>
        <v>Tubos de drenaje para uso médico.</v>
      </c>
      <c r="M4831" s="8" t="s">
        <v>86</v>
      </c>
      <c r="N4831" s="8"/>
    </row>
    <row r="4832" spans="1:14" ht="11.25" customHeight="1">
      <c r="A4832" s="5" t="s">
        <v>13525</v>
      </c>
      <c r="B4832" s="5" t="s">
        <v>13969</v>
      </c>
      <c r="C4832" s="5" t="s">
        <v>14002</v>
      </c>
      <c r="D4832" s="5" t="s">
        <v>13528</v>
      </c>
      <c r="E4832" s="5" t="s">
        <v>32</v>
      </c>
      <c r="F4832" s="5" t="s">
        <v>13529</v>
      </c>
      <c r="G4832" s="5" t="s">
        <v>13530</v>
      </c>
      <c r="H4832" s="5" t="s">
        <v>13971</v>
      </c>
      <c r="I4832" s="5" t="s">
        <v>14003</v>
      </c>
      <c r="J4832" s="5" t="s">
        <v>14004</v>
      </c>
      <c r="K4832" s="7" t="str">
        <f ca="1">IFERROR(__xludf.DUMMYFUNCTION("GOOGLETRANSLATE(H4832,""EN"",""ES"")"),"MATERIALES PARA VESTIR HERIDAS, ENFERMERÍA Y ATENCIÓN MÉDICA")</f>
        <v>MATERIALES PARA VESTIR HERIDAS, ENFERMERÍA Y ATENCIÓN MÉDICA</v>
      </c>
      <c r="L4832" s="5" t="str">
        <f ca="1">IFERROR(__xludf.DUMMYFUNCTION("GOOGLETRANSLATE(J4832,""EN"",""ES"")"),"Eslingas [quirúrgicas]")</f>
        <v>Eslingas [quirúrgicas]</v>
      </c>
      <c r="M4832" s="8" t="s">
        <v>86</v>
      </c>
      <c r="N4832" s="8"/>
    </row>
    <row r="4833" spans="1:14" ht="11.25" customHeight="1">
      <c r="A4833" s="5" t="s">
        <v>13525</v>
      </c>
      <c r="B4833" s="5" t="s">
        <v>13969</v>
      </c>
      <c r="C4833" s="5" t="s">
        <v>14005</v>
      </c>
      <c r="D4833" s="5" t="s">
        <v>13528</v>
      </c>
      <c r="E4833" s="5" t="s">
        <v>32</v>
      </c>
      <c r="F4833" s="5" t="s">
        <v>13529</v>
      </c>
      <c r="G4833" s="5" t="s">
        <v>13530</v>
      </c>
      <c r="H4833" s="5" t="s">
        <v>13971</v>
      </c>
      <c r="I4833" s="5" t="s">
        <v>14006</v>
      </c>
      <c r="J4833" s="5" t="s">
        <v>14007</v>
      </c>
      <c r="K4833" s="7" t="str">
        <f ca="1">IFERROR(__xludf.DUMMYFUNCTION("GOOGLETRANSLATE(H4833,""EN"",""ES"")"),"MATERIALES PARA VESTIR HERIDAS, ENFERMERÍA Y ATENCIÓN MÉDICA")</f>
        <v>MATERIALES PARA VESTIR HERIDAS, ENFERMERÍA Y ATENCIÓN MÉDICA</v>
      </c>
      <c r="L4833" s="5" t="str">
        <f ca="1">IFERROR(__xludf.DUMMYFUNCTION("GOOGLETRANSLATE(J4833,""EN"",""ES"")"),"Férulas [quirúrgicas]")</f>
        <v>Férulas [quirúrgicas]</v>
      </c>
      <c r="M4833" s="8" t="s">
        <v>86</v>
      </c>
      <c r="N4833" s="8"/>
    </row>
    <row r="4834" spans="1:14" ht="11.25" customHeight="1">
      <c r="A4834" s="5" t="s">
        <v>13525</v>
      </c>
      <c r="B4834" s="5" t="s">
        <v>13969</v>
      </c>
      <c r="C4834" s="5" t="s">
        <v>14005</v>
      </c>
      <c r="D4834" s="5" t="s">
        <v>13528</v>
      </c>
      <c r="E4834" s="5" t="s">
        <v>32</v>
      </c>
      <c r="F4834" s="5" t="s">
        <v>13529</v>
      </c>
      <c r="G4834" s="5" t="s">
        <v>13530</v>
      </c>
      <c r="H4834" s="5" t="s">
        <v>13971</v>
      </c>
      <c r="I4834" s="5" t="s">
        <v>152</v>
      </c>
      <c r="J4834" s="5" t="s">
        <v>14008</v>
      </c>
      <c r="K4834" s="7" t="str">
        <f ca="1">IFERROR(__xludf.DUMMYFUNCTION("GOOGLETRANSLATE(H4834,""EN"",""ES"")"),"MATERIALES PARA VESTIR HERIDAS, ENFERMERÍA Y ATENCIÓN MÉDICA")</f>
        <v>MATERIALES PARA VESTIR HERIDAS, ENFERMERÍA Y ATENCIÓN MÉDICA</v>
      </c>
      <c r="L4834" s="5" t="str">
        <f ca="1">IFERROR(__xludf.DUMMYFUNCTION("GOOGLETRANSLATE(J4834,""EN"",""ES"")"),"N / A")</f>
        <v>N / A</v>
      </c>
      <c r="M4834" s="8" t="s">
        <v>86</v>
      </c>
      <c r="N4834" s="8"/>
    </row>
    <row r="4835" spans="1:14" ht="11.25" customHeight="1">
      <c r="A4835" s="5" t="s">
        <v>13525</v>
      </c>
      <c r="B4835" s="5" t="s">
        <v>13969</v>
      </c>
      <c r="C4835" s="5" t="s">
        <v>14009</v>
      </c>
      <c r="D4835" s="5" t="s">
        <v>13528</v>
      </c>
      <c r="E4835" s="5" t="s">
        <v>32</v>
      </c>
      <c r="F4835" s="5" t="s">
        <v>13529</v>
      </c>
      <c r="G4835" s="5" t="s">
        <v>13530</v>
      </c>
      <c r="H4835" s="5" t="s">
        <v>13971</v>
      </c>
      <c r="I4835" s="5" t="s">
        <v>14010</v>
      </c>
      <c r="J4835" s="5" t="s">
        <v>14011</v>
      </c>
      <c r="K4835" s="7" t="str">
        <f ca="1">IFERROR(__xludf.DUMMYFUNCTION("GOOGLETRANSLATE(H4835,""EN"",""ES"")"),"MATERIALES PARA VESTIR HERIDAS, ENFERMERÍA Y ATENCIÓN MÉDICA")</f>
        <v>MATERIALES PARA VESTIR HERIDAS, ENFERMERÍA Y ATENCIÓN MÉDICA</v>
      </c>
      <c r="L4835" s="5" t="str">
        <f ca="1">IFERROR(__xludf.DUMMYFUNCTION("GOOGLETRANSLATE(J4835,""EN"",""ES"")"),"Apósitos para reumatismo, ciática.")</f>
        <v>Apósitos para reumatismo, ciática.</v>
      </c>
      <c r="M4835" s="8" t="s">
        <v>86</v>
      </c>
      <c r="N4835" s="8"/>
    </row>
    <row r="4836" spans="1:14" ht="11.25" customHeight="1">
      <c r="A4836" s="5" t="s">
        <v>13525</v>
      </c>
      <c r="B4836" s="5" t="s">
        <v>13969</v>
      </c>
      <c r="C4836" s="5" t="s">
        <v>14012</v>
      </c>
      <c r="D4836" s="5" t="s">
        <v>13528</v>
      </c>
      <c r="E4836" s="5" t="s">
        <v>32</v>
      </c>
      <c r="F4836" s="5" t="s">
        <v>13529</v>
      </c>
      <c r="G4836" s="5" t="s">
        <v>13530</v>
      </c>
      <c r="H4836" s="5" t="s">
        <v>13971</v>
      </c>
      <c r="I4836" s="5" t="s">
        <v>14013</v>
      </c>
      <c r="J4836" s="5" t="s">
        <v>14014</v>
      </c>
      <c r="K4836" s="7" t="str">
        <f ca="1">IFERROR(__xludf.DUMMYFUNCTION("GOOGLETRANSLATE(H4836,""EN"",""ES"")"),"MATERIALES PARA VESTIR HERIDAS, ENFERMERÍA Y ATENCIÓN MÉDICA")</f>
        <v>MATERIALES PARA VESTIR HERIDAS, ENFERMERÍA Y ATENCIÓN MÉDICA</v>
      </c>
      <c r="L4836" s="5" t="str">
        <f ca="1">IFERROR(__xludf.DUMMYFUNCTION("GOOGLETRANSLATE(J4836,""EN"",""ES"")"),"Fumigadores")</f>
        <v>Fumigadores</v>
      </c>
      <c r="M4836" s="8" t="s">
        <v>86</v>
      </c>
      <c r="N4836" s="8"/>
    </row>
    <row r="4837" spans="1:14" ht="11.25" customHeight="1">
      <c r="A4837" s="5" t="s">
        <v>13525</v>
      </c>
      <c r="B4837" s="5" t="s">
        <v>13969</v>
      </c>
      <c r="C4837" s="5" t="s">
        <v>14015</v>
      </c>
      <c r="D4837" s="5" t="s">
        <v>13528</v>
      </c>
      <c r="E4837" s="5" t="s">
        <v>32</v>
      </c>
      <c r="F4837" s="5" t="s">
        <v>13529</v>
      </c>
      <c r="G4837" s="5" t="s">
        <v>13530</v>
      </c>
      <c r="H4837" s="5" t="s">
        <v>13971</v>
      </c>
      <c r="I4837" s="5" t="s">
        <v>14016</v>
      </c>
      <c r="J4837" s="5" t="s">
        <v>14017</v>
      </c>
      <c r="K4837" s="7" t="str">
        <f ca="1">IFERROR(__xludf.DUMMYFUNCTION("GOOGLETRANSLATE(H4837,""EN"",""ES"")"),"MATERIALES PARA VESTIR HERIDAS, ENFERMERÍA Y ATENCIÓN MÉDICA")</f>
        <v>MATERIALES PARA VESTIR HERIDAS, ENFERMERÍA Y ATENCIÓN MÉDICA</v>
      </c>
      <c r="L4837" s="5" t="str">
        <f ca="1">IFERROR(__xludf.DUMMYFUNCTION("GOOGLETRANSLATE(J4837,""EN"",""ES"")"),"Férulas de cuna para miembros lesionados")</f>
        <v>Férulas de cuna para miembros lesionados</v>
      </c>
      <c r="M4837" s="8" t="s">
        <v>86</v>
      </c>
      <c r="N4837" s="8"/>
    </row>
    <row r="4838" spans="1:14" ht="11.25" customHeight="1">
      <c r="A4838" s="5" t="s">
        <v>13525</v>
      </c>
      <c r="B4838" s="5" t="s">
        <v>13969</v>
      </c>
      <c r="C4838" s="5" t="s">
        <v>14018</v>
      </c>
      <c r="D4838" s="5" t="s">
        <v>13528</v>
      </c>
      <c r="E4838" s="5" t="s">
        <v>32</v>
      </c>
      <c r="F4838" s="5" t="s">
        <v>13529</v>
      </c>
      <c r="G4838" s="5" t="s">
        <v>13530</v>
      </c>
      <c r="H4838" s="5" t="s">
        <v>13971</v>
      </c>
      <c r="I4838" s="5" t="s">
        <v>14019</v>
      </c>
      <c r="J4838" s="5" t="s">
        <v>14020</v>
      </c>
      <c r="K4838" s="7" t="str">
        <f ca="1">IFERROR(__xludf.DUMMYFUNCTION("GOOGLETRANSLATE(H4838,""EN"",""ES"")"),"MATERIALES PARA VESTIR HERIDAS, ENFERMERÍA Y ATENCIÓN MÉDICA")</f>
        <v>MATERIALES PARA VESTIR HERIDAS, ENFERMERÍA Y ATENCIÓN MÉDICA</v>
      </c>
      <c r="L4838" s="5" t="str">
        <f ca="1">IFERROR(__xludf.DUMMYFUNCTION("GOOGLETRANSLATE(J4838,""EN"",""ES"")"),"Inhaladores")</f>
        <v>Inhaladores</v>
      </c>
      <c r="M4838" s="8" t="s">
        <v>86</v>
      </c>
      <c r="N4838" s="8"/>
    </row>
    <row r="4839" spans="1:14" ht="11.25" customHeight="1">
      <c r="A4839" s="5" t="s">
        <v>13525</v>
      </c>
      <c r="B4839" s="5" t="s">
        <v>13969</v>
      </c>
      <c r="C4839" s="5" t="s">
        <v>14021</v>
      </c>
      <c r="D4839" s="5" t="s">
        <v>13528</v>
      </c>
      <c r="E4839" s="5" t="s">
        <v>32</v>
      </c>
      <c r="F4839" s="5" t="s">
        <v>13529</v>
      </c>
      <c r="G4839" s="5" t="s">
        <v>13530</v>
      </c>
      <c r="H4839" s="5" t="s">
        <v>13971</v>
      </c>
      <c r="I4839" s="5" t="s">
        <v>14022</v>
      </c>
      <c r="J4839" s="5" t="s">
        <v>14023</v>
      </c>
      <c r="K4839" s="7" t="str">
        <f ca="1">IFERROR(__xludf.DUMMYFUNCTION("GOOGLETRANSLATE(H4839,""EN"",""ES"")"),"MATERIALES PARA VESTIR HERIDAS, ENFERMERÍA Y ATENCIÓN MÉDICA")</f>
        <v>MATERIALES PARA VESTIR HERIDAS, ENFERMERÍA Y ATENCIÓN MÉDICA</v>
      </c>
      <c r="L4839" s="5" t="str">
        <f ca="1">IFERROR(__xludf.DUMMYFUNCTION("GOOGLETRANSLATE(J4839,""EN"",""ES"")"),"Irrigadores [médicos]")</f>
        <v>Irrigadores [médicos]</v>
      </c>
      <c r="M4839" s="8" t="s">
        <v>86</v>
      </c>
      <c r="N4839" s="8"/>
    </row>
    <row r="4840" spans="1:14" ht="11.25" customHeight="1">
      <c r="A4840" s="5" t="s">
        <v>13525</v>
      </c>
      <c r="B4840" s="5" t="s">
        <v>13969</v>
      </c>
      <c r="C4840" s="5" t="s">
        <v>14024</v>
      </c>
      <c r="D4840" s="5" t="s">
        <v>13528</v>
      </c>
      <c r="E4840" s="5" t="s">
        <v>32</v>
      </c>
      <c r="F4840" s="5" t="s">
        <v>13529</v>
      </c>
      <c r="G4840" s="5" t="s">
        <v>13530</v>
      </c>
      <c r="H4840" s="5" t="s">
        <v>13971</v>
      </c>
      <c r="I4840" s="5" t="s">
        <v>14025</v>
      </c>
      <c r="J4840" s="5" t="s">
        <v>14026</v>
      </c>
      <c r="K4840" s="7" t="str">
        <f ca="1">IFERROR(__xludf.DUMMYFUNCTION("GOOGLETRANSLATE(H4840,""EN"",""ES"")"),"MATERIALES PARA VESTIR HERIDAS, ENFERMERÍA Y ATENCIÓN MÉDICA")</f>
        <v>MATERIALES PARA VESTIR HERIDAS, ENFERMERÍA Y ATENCIÓN MÉDICA</v>
      </c>
      <c r="L4840" s="5" t="str">
        <f ca="1">IFERROR(__xludf.DUMMYFUNCTION("GOOGLETRANSLATE(J4840,""EN"",""ES"")"),"Equipo médico para enemas.")</f>
        <v>Equipo médico para enemas.</v>
      </c>
      <c r="M4840" s="8" t="s">
        <v>86</v>
      </c>
      <c r="N4840" s="8"/>
    </row>
    <row r="4841" spans="1:14" ht="11.25" customHeight="1">
      <c r="A4841" s="5" t="s">
        <v>13525</v>
      </c>
      <c r="B4841" s="5" t="s">
        <v>13969</v>
      </c>
      <c r="C4841" s="5" t="s">
        <v>14027</v>
      </c>
      <c r="D4841" s="5" t="s">
        <v>13528</v>
      </c>
      <c r="E4841" s="5" t="s">
        <v>32</v>
      </c>
      <c r="F4841" s="5" t="s">
        <v>13529</v>
      </c>
      <c r="G4841" s="5" t="s">
        <v>13530</v>
      </c>
      <c r="H4841" s="5" t="s">
        <v>13971</v>
      </c>
      <c r="I4841" s="5" t="s">
        <v>14028</v>
      </c>
      <c r="J4841" s="5" t="s">
        <v>14029</v>
      </c>
      <c r="K4841" s="7" t="str">
        <f ca="1">IFERROR(__xludf.DUMMYFUNCTION("GOOGLETRANSLATE(H4841,""EN"",""ES"")"),"MATERIALES PARA VESTIR HERIDAS, ENFERMERÍA Y ATENCIÓN MÉDICA")</f>
        <v>MATERIALES PARA VESTIR HERIDAS, ENFERMERÍA Y ATENCIÓN MÉDICA</v>
      </c>
      <c r="L4841" s="5" t="str">
        <f ca="1">IFERROR(__xludf.DUMMYFUNCTION("GOOGLETRANSLATE(J4841,""EN"",""ES"")"),"tapones para los oidos")</f>
        <v>tapones para los oidos</v>
      </c>
      <c r="M4841" s="8" t="s">
        <v>86</v>
      </c>
      <c r="N4841" s="8"/>
    </row>
    <row r="4842" spans="1:14" ht="11.25" customHeight="1">
      <c r="A4842" s="5" t="s">
        <v>13525</v>
      </c>
      <c r="B4842" s="5" t="s">
        <v>13969</v>
      </c>
      <c r="C4842" s="5" t="s">
        <v>14027</v>
      </c>
      <c r="D4842" s="5" t="s">
        <v>13528</v>
      </c>
      <c r="E4842" s="5" t="s">
        <v>32</v>
      </c>
      <c r="F4842" s="5" t="s">
        <v>13529</v>
      </c>
      <c r="G4842" s="5" t="s">
        <v>13530</v>
      </c>
      <c r="H4842" s="5" t="s">
        <v>13971</v>
      </c>
      <c r="I4842" s="5" t="s">
        <v>14030</v>
      </c>
      <c r="J4842" s="5" t="s">
        <v>14031</v>
      </c>
      <c r="K4842" s="7" t="str">
        <f ca="1">IFERROR(__xludf.DUMMYFUNCTION("GOOGLETRANSLATE(H4842,""EN"",""ES"")"),"MATERIALES PARA VESTIR HERIDAS, ENFERMERÍA Y ATENCIÓN MÉDICA")</f>
        <v>MATERIALES PARA VESTIR HERIDAS, ENFERMERÍA Y ATENCIÓN MÉDICA</v>
      </c>
      <c r="L4842" s="5" t="str">
        <f ca="1">IFERROR(__xludf.DUMMYFUNCTION("GOOGLETRANSLATE(J4842,""EN"",""ES"")"),"Tapones para los oídos")</f>
        <v>Tapones para los oídos</v>
      </c>
      <c r="M4842" s="8" t="s">
        <v>86</v>
      </c>
      <c r="N4842" s="8"/>
    </row>
    <row r="4843" spans="1:14" ht="11.25" customHeight="1">
      <c r="A4843" s="5" t="s">
        <v>13525</v>
      </c>
      <c r="B4843" s="5" t="s">
        <v>13969</v>
      </c>
      <c r="C4843" s="5" t="s">
        <v>14032</v>
      </c>
      <c r="D4843" s="5" t="s">
        <v>13528</v>
      </c>
      <c r="E4843" s="5" t="s">
        <v>32</v>
      </c>
      <c r="F4843" s="5" t="s">
        <v>13529</v>
      </c>
      <c r="G4843" s="5" t="s">
        <v>13530</v>
      </c>
      <c r="H4843" s="5" t="s">
        <v>13971</v>
      </c>
      <c r="I4843" s="5" t="s">
        <v>14033</v>
      </c>
      <c r="J4843" s="5" t="s">
        <v>14034</v>
      </c>
      <c r="K4843" s="7" t="str">
        <f ca="1">IFERROR(__xludf.DUMMYFUNCTION("GOOGLETRANSLATE(H4843,""EN"",""ES"")"),"MATERIALES PARA VESTIR HERIDAS, ENFERMERÍA Y ATENCIÓN MÉDICA")</f>
        <v>MATERIALES PARA VESTIR HERIDAS, ENFERMERÍA Y ATENCIÓN MÉDICA</v>
      </c>
      <c r="L4843" s="5" t="str">
        <f ca="1">IFERROR(__xludf.DUMMYFUNCTION("GOOGLETRANSLATE(J4843,""EN"",""ES"")"),"Apósitos")</f>
        <v>Apósitos</v>
      </c>
      <c r="M4843" s="8" t="s">
        <v>86</v>
      </c>
      <c r="N4843" s="8"/>
    </row>
    <row r="4844" spans="1:14" ht="11.25" customHeight="1">
      <c r="A4844" s="5" t="s">
        <v>13525</v>
      </c>
      <c r="B4844" s="5" t="s">
        <v>13969</v>
      </c>
      <c r="C4844" s="5" t="s">
        <v>14035</v>
      </c>
      <c r="D4844" s="5" t="s">
        <v>13528</v>
      </c>
      <c r="E4844" s="5" t="s">
        <v>32</v>
      </c>
      <c r="F4844" s="5" t="s">
        <v>13529</v>
      </c>
      <c r="G4844" s="5" t="s">
        <v>13530</v>
      </c>
      <c r="H4844" s="5" t="s">
        <v>13971</v>
      </c>
      <c r="I4844" s="5" t="s">
        <v>14036</v>
      </c>
      <c r="J4844" s="5" t="s">
        <v>14037</v>
      </c>
      <c r="K4844" s="7" t="str">
        <f ca="1">IFERROR(__xludf.DUMMYFUNCTION("GOOGLETRANSLATE(H4844,""EN"",""ES"")"),"MATERIALES PARA VESTIR HERIDAS, ENFERMERÍA Y ATENCIÓN MÉDICA")</f>
        <v>MATERIALES PARA VESTIR HERIDAS, ENFERMERÍA Y ATENCIÓN MÉDICA</v>
      </c>
      <c r="L4844" s="5" t="str">
        <f ca="1">IFERROR(__xludf.DUMMYFUNCTION("GOOGLETRANSLATE(J4844,""EN"",""ES"")"),"pesarios")</f>
        <v>pesarios</v>
      </c>
      <c r="M4844" s="8" t="s">
        <v>86</v>
      </c>
      <c r="N4844" s="8"/>
    </row>
    <row r="4845" spans="1:14" ht="11.25" customHeight="1">
      <c r="A4845" s="5" t="s">
        <v>13525</v>
      </c>
      <c r="B4845" s="5" t="s">
        <v>13969</v>
      </c>
      <c r="C4845" s="5" t="s">
        <v>14038</v>
      </c>
      <c r="D4845" s="5" t="s">
        <v>13528</v>
      </c>
      <c r="E4845" s="5" t="s">
        <v>32</v>
      </c>
      <c r="F4845" s="5" t="s">
        <v>13529</v>
      </c>
      <c r="G4845" s="5" t="s">
        <v>13530</v>
      </c>
      <c r="H4845" s="5" t="s">
        <v>13971</v>
      </c>
      <c r="I4845" s="5" t="s">
        <v>14039</v>
      </c>
      <c r="J4845" s="5" t="s">
        <v>14040</v>
      </c>
      <c r="K4845" s="7" t="str">
        <f ca="1">IFERROR(__xludf.DUMMYFUNCTION("GOOGLETRANSLATE(H4845,""EN"",""ES"")"),"MATERIALES PARA VESTIR HERIDAS, ENFERMERÍA Y ATENCIÓN MÉDICA")</f>
        <v>MATERIALES PARA VESTIR HERIDAS, ENFERMERÍA Y ATENCIÓN MÉDICA</v>
      </c>
      <c r="L4845" s="5" t="str">
        <f ca="1">IFERROR(__xludf.DUMMYFUNCTION("GOOGLETRANSLATE(J4845,""EN"",""ES"")"),"Atomizadores para medicamentos [excepto dispensadores de aerosol]")</f>
        <v>Atomizadores para medicamentos [excepto dispensadores de aerosol]</v>
      </c>
      <c r="M4845" s="8" t="s">
        <v>86</v>
      </c>
      <c r="N4845" s="8"/>
    </row>
    <row r="4846" spans="1:14" ht="11.25" customHeight="1">
      <c r="A4846" s="5" t="s">
        <v>13525</v>
      </c>
      <c r="B4846" s="5" t="s">
        <v>13969</v>
      </c>
      <c r="C4846" s="5" t="s">
        <v>14038</v>
      </c>
      <c r="D4846" s="5" t="s">
        <v>13528</v>
      </c>
      <c r="E4846" s="5" t="s">
        <v>32</v>
      </c>
      <c r="F4846" s="5" t="s">
        <v>13529</v>
      </c>
      <c r="G4846" s="5" t="s">
        <v>13530</v>
      </c>
      <c r="H4846" s="5" t="s">
        <v>13971</v>
      </c>
      <c r="I4846" s="5" t="s">
        <v>152</v>
      </c>
      <c r="J4846" s="5" t="s">
        <v>14041</v>
      </c>
      <c r="K4846" s="7" t="str">
        <f ca="1">IFERROR(__xludf.DUMMYFUNCTION("GOOGLETRANSLATE(H4846,""EN"",""ES"")"),"MATERIALES PARA VESTIR HERIDAS, ENFERMERÍA Y ATENCIÓN MÉDICA")</f>
        <v>MATERIALES PARA VESTIR HERIDAS, ENFERMERÍA Y ATENCIÓN MÉDICA</v>
      </c>
      <c r="L4846" s="5" t="str">
        <f ca="1">IFERROR(__xludf.DUMMYFUNCTION("GOOGLETRANSLATE(J4846,""EN"",""ES"")"),"N / A")</f>
        <v>N / A</v>
      </c>
      <c r="M4846" s="8" t="s">
        <v>86</v>
      </c>
      <c r="N4846" s="8"/>
    </row>
    <row r="4847" spans="1:14" ht="11.25" customHeight="1">
      <c r="A4847" s="5" t="s">
        <v>13525</v>
      </c>
      <c r="B4847" s="5" t="s">
        <v>13969</v>
      </c>
      <c r="C4847" s="5" t="s">
        <v>14042</v>
      </c>
      <c r="D4847" s="5" t="s">
        <v>13528</v>
      </c>
      <c r="E4847" s="5" t="s">
        <v>32</v>
      </c>
      <c r="F4847" s="5" t="s">
        <v>13529</v>
      </c>
      <c r="G4847" s="5" t="s">
        <v>13530</v>
      </c>
      <c r="H4847" s="5" t="s">
        <v>13971</v>
      </c>
      <c r="I4847" s="5" t="s">
        <v>14043</v>
      </c>
      <c r="J4847" s="5" t="s">
        <v>14044</v>
      </c>
      <c r="K4847" s="7" t="str">
        <f ca="1">IFERROR(__xludf.DUMMYFUNCTION("GOOGLETRANSLATE(H4847,""EN"",""ES"")"),"MATERIALES PARA VESTIR HERIDAS, ENFERMERÍA Y ATENCIÓN MÉDICA")</f>
        <v>MATERIALES PARA VESTIR HERIDAS, ENFERMERÍA Y ATENCIÓN MÉDICA</v>
      </c>
      <c r="L4847" s="5" t="str">
        <f ca="1">IFERROR(__xludf.DUMMYFUNCTION("GOOGLETRANSLATE(J4847,""EN"",""ES"")"),"Tiritas para uso médico")</f>
        <v>Tiritas para uso médico</v>
      </c>
      <c r="M4847" s="8" t="s">
        <v>86</v>
      </c>
      <c r="N4847" s="8"/>
    </row>
    <row r="4848" spans="1:14" ht="11.25" customHeight="1">
      <c r="A4848" s="5" t="s">
        <v>13525</v>
      </c>
      <c r="B4848" s="5" t="s">
        <v>13969</v>
      </c>
      <c r="C4848" s="5" t="s">
        <v>14045</v>
      </c>
      <c r="D4848" s="5" t="s">
        <v>13528</v>
      </c>
      <c r="E4848" s="5" t="s">
        <v>32</v>
      </c>
      <c r="F4848" s="5" t="s">
        <v>13529</v>
      </c>
      <c r="G4848" s="5" t="s">
        <v>13530</v>
      </c>
      <c r="H4848" s="5" t="s">
        <v>13971</v>
      </c>
      <c r="I4848" s="5" t="s">
        <v>14046</v>
      </c>
      <c r="J4848" s="5" t="s">
        <v>14047</v>
      </c>
      <c r="K4848" s="7" t="str">
        <f ca="1">IFERROR(__xludf.DUMMYFUNCTION("GOOGLETRANSLATE(H4848,""EN"",""ES"")"),"MATERIALES PARA VESTIR HERIDAS, ENFERMERÍA Y ATENCIÓN MÉDICA")</f>
        <v>MATERIALES PARA VESTIR HERIDAS, ENFERMERÍA Y ATENCIÓN MÉDICA</v>
      </c>
      <c r="L4848" s="5" t="str">
        <f ca="1">IFERROR(__xludf.DUMMYFUNCTION("GOOGLETRANSLATE(J4848,""EN"",""ES"")"),"Vendajes suspensorios")</f>
        <v>Vendajes suspensorios</v>
      </c>
      <c r="M4848" s="8" t="s">
        <v>86</v>
      </c>
      <c r="N4848" s="8"/>
    </row>
    <row r="4849" spans="1:14" ht="11.25" customHeight="1">
      <c r="A4849" s="5" t="s">
        <v>13525</v>
      </c>
      <c r="B4849" s="5" t="s">
        <v>13969</v>
      </c>
      <c r="C4849" s="5" t="s">
        <v>14045</v>
      </c>
      <c r="D4849" s="5" t="s">
        <v>13528</v>
      </c>
      <c r="E4849" s="5" t="s">
        <v>32</v>
      </c>
      <c r="F4849" s="5" t="s">
        <v>13529</v>
      </c>
      <c r="G4849" s="5" t="s">
        <v>13530</v>
      </c>
      <c r="H4849" s="5" t="s">
        <v>13971</v>
      </c>
      <c r="I4849" s="5" t="s">
        <v>14048</v>
      </c>
      <c r="J4849" s="5" t="s">
        <v>152</v>
      </c>
      <c r="K4849" s="7" t="str">
        <f ca="1">IFERROR(__xludf.DUMMYFUNCTION("GOOGLETRANSLATE(H4849,""EN"",""ES"")"),"MATERIALES PARA VESTIR HERIDAS, ENFERMERÍA Y ATENCIÓN MÉDICA")</f>
        <v>MATERIALES PARA VESTIR HERIDAS, ENFERMERÍA Y ATENCIÓN MÉDICA</v>
      </c>
      <c r="L4849" s="5" t="str">
        <f ca="1">IFERROR(__xludf.DUMMYFUNCTION("GOOGLETRANSLATE(J4849,""EN"",""ES"")"),"Suspensorios")</f>
        <v>Suspensorios</v>
      </c>
      <c r="M4849" s="8" t="s">
        <v>86</v>
      </c>
      <c r="N4849" s="8"/>
    </row>
    <row r="4850" spans="1:14" ht="11.25" customHeight="1">
      <c r="A4850" s="5" t="s">
        <v>13525</v>
      </c>
      <c r="B4850" s="5" t="s">
        <v>13969</v>
      </c>
      <c r="C4850" s="5" t="s">
        <v>14049</v>
      </c>
      <c r="D4850" s="5" t="s">
        <v>13528</v>
      </c>
      <c r="E4850" s="5" t="s">
        <v>32</v>
      </c>
      <c r="F4850" s="5" t="s">
        <v>13529</v>
      </c>
      <c r="G4850" s="5" t="s">
        <v>13530</v>
      </c>
      <c r="H4850" s="5" t="s">
        <v>13971</v>
      </c>
      <c r="I4850" s="5" t="s">
        <v>14050</v>
      </c>
      <c r="J4850" s="5" t="s">
        <v>14051</v>
      </c>
      <c r="K4850" s="7" t="str">
        <f ca="1">IFERROR(__xludf.DUMMYFUNCTION("GOOGLETRANSLATE(H4850,""EN"",""ES"")"),"MATERIALES PARA VESTIR HERIDAS, ENFERMERÍA Y ATENCIÓN MÉDICA")</f>
        <v>MATERIALES PARA VESTIR HERIDAS, ENFERMERÍA Y ATENCIÓN MÉDICA</v>
      </c>
      <c r="L4850" s="5" t="str">
        <f ca="1">IFERROR(__xludf.DUMMYFUNCTION("GOOGLETRANSLATE(J4850,""EN"",""ES"")"),"tampones sanitarios")</f>
        <v>tampones sanitarios</v>
      </c>
      <c r="M4850" s="8" t="s">
        <v>86</v>
      </c>
      <c r="N4850" s="8"/>
    </row>
    <row r="4851" spans="1:14" ht="11.25" customHeight="1">
      <c r="A4851" s="5" t="s">
        <v>13525</v>
      </c>
      <c r="B4851" s="5" t="s">
        <v>13969</v>
      </c>
      <c r="C4851" s="5" t="s">
        <v>14049</v>
      </c>
      <c r="D4851" s="5" t="s">
        <v>13528</v>
      </c>
      <c r="E4851" s="5" t="s">
        <v>32</v>
      </c>
      <c r="F4851" s="5" t="s">
        <v>13529</v>
      </c>
      <c r="G4851" s="5" t="s">
        <v>13530</v>
      </c>
      <c r="H4851" s="5" t="s">
        <v>13971</v>
      </c>
      <c r="I4851" s="5" t="s">
        <v>14052</v>
      </c>
      <c r="J4851" s="5" t="s">
        <v>14053</v>
      </c>
      <c r="K4851" s="7" t="str">
        <f ca="1">IFERROR(__xludf.DUMMYFUNCTION("GOOGLETRANSLATE(H4851,""EN"",""ES"")"),"MATERIALES PARA VESTIR HERIDAS, ENFERMERÍA Y ATENCIÓN MÉDICA")</f>
        <v>MATERIALES PARA VESTIR HERIDAS, ENFERMERÍA Y ATENCIÓN MÉDICA</v>
      </c>
      <c r="L4851" s="5" t="str">
        <f ca="1">IFERROR(__xludf.DUMMYFUNCTION("GOOGLETRANSLATE(J4851,""EN"",""ES"")"),"tampones de menstruación")</f>
        <v>tampones de menstruación</v>
      </c>
      <c r="M4851" s="8" t="s">
        <v>86</v>
      </c>
      <c r="N4851" s="8"/>
    </row>
    <row r="4852" spans="1:14" ht="11.25" customHeight="1">
      <c r="A4852" s="5" t="s">
        <v>13525</v>
      </c>
      <c r="B4852" s="5" t="s">
        <v>13969</v>
      </c>
      <c r="C4852" s="5" t="s">
        <v>14054</v>
      </c>
      <c r="D4852" s="5" t="s">
        <v>13528</v>
      </c>
      <c r="E4852" s="5" t="s">
        <v>32</v>
      </c>
      <c r="F4852" s="5" t="s">
        <v>13529</v>
      </c>
      <c r="G4852" s="5" t="s">
        <v>13530</v>
      </c>
      <c r="H4852" s="5" t="s">
        <v>13971</v>
      </c>
      <c r="I4852" s="5" t="s">
        <v>14055</v>
      </c>
      <c r="J4852" s="5" t="s">
        <v>14056</v>
      </c>
      <c r="K4852" s="7" t="str">
        <f ca="1">IFERROR(__xludf.DUMMYFUNCTION("GOOGLETRANSLATE(H4852,""EN"",""ES"")"),"MATERIALES PARA VESTIR HERIDAS, ENFERMERÍA Y ATENCIÓN MÉDICA")</f>
        <v>MATERIALES PARA VESTIR HERIDAS, ENFERMERÍA Y ATENCIÓN MÉDICA</v>
      </c>
      <c r="L4852" s="5" t="str">
        <f ca="1">IFERROR(__xludf.DUMMYFUNCTION("GOOGLETRANSLATE(J4852,""EN"",""ES"")"),"Urinarios [receptáculos]")</f>
        <v>Urinarios [receptáculos]</v>
      </c>
      <c r="M4852" s="8" t="s">
        <v>86</v>
      </c>
      <c r="N4852" s="8"/>
    </row>
    <row r="4853" spans="1:14" ht="11.25" customHeight="1">
      <c r="A4853" s="5" t="s">
        <v>13525</v>
      </c>
      <c r="B4853" s="5" t="s">
        <v>13969</v>
      </c>
      <c r="C4853" s="5" t="s">
        <v>14057</v>
      </c>
      <c r="D4853" s="5" t="s">
        <v>13528</v>
      </c>
      <c r="E4853" s="5" t="s">
        <v>32</v>
      </c>
      <c r="F4853" s="5" t="s">
        <v>13529</v>
      </c>
      <c r="G4853" s="5" t="s">
        <v>13530</v>
      </c>
      <c r="H4853" s="5" t="s">
        <v>13971</v>
      </c>
      <c r="I4853" s="5" t="s">
        <v>14058</v>
      </c>
      <c r="J4853" s="5" t="s">
        <v>14059</v>
      </c>
      <c r="K4853" s="7" t="str">
        <f ca="1">IFERROR(__xludf.DUMMYFUNCTION("GOOGLETRANSLATE(H4853,""EN"",""ES"")"),"MATERIALES PARA VESTIR HERIDAS, ENFERMERÍA Y ATENCIÓN MÉDICA")</f>
        <v>MATERIALES PARA VESTIR HERIDAS, ENFERMERÍA Y ATENCIÓN MÉDICA</v>
      </c>
      <c r="L4853" s="5" t="str">
        <f ca="1">IFERROR(__xludf.DUMMYFUNCTION("GOOGLETRANSLATE(J4853,""EN"",""ES"")"),"Cucharas")</f>
        <v>Cucharas</v>
      </c>
      <c r="M4853" s="8" t="s">
        <v>86</v>
      </c>
      <c r="N4853" s="8"/>
    </row>
    <row r="4854" spans="1:14" ht="11.25" customHeight="1">
      <c r="A4854" s="5" t="s">
        <v>13525</v>
      </c>
      <c r="B4854" s="5" t="s">
        <v>13969</v>
      </c>
      <c r="C4854" s="5" t="s">
        <v>14060</v>
      </c>
      <c r="D4854" s="5" t="s">
        <v>13528</v>
      </c>
      <c r="E4854" s="5" t="s">
        <v>32</v>
      </c>
      <c r="F4854" s="5" t="s">
        <v>13529</v>
      </c>
      <c r="G4854" s="5" t="s">
        <v>13530</v>
      </c>
      <c r="H4854" s="5" t="s">
        <v>13971</v>
      </c>
      <c r="I4854" s="5" t="s">
        <v>14061</v>
      </c>
      <c r="J4854" s="5" t="s">
        <v>14062</v>
      </c>
      <c r="K4854" s="7" t="str">
        <f ca="1">IFERROR(__xludf.DUMMYFUNCTION("GOOGLETRANSLATE(H4854,""EN"",""ES"")"),"MATERIALES PARA VESTIR HERIDAS, ENFERMERÍA Y ATENCIÓN MÉDICA")</f>
        <v>MATERIALES PARA VESTIR HERIDAS, ENFERMERÍA Y ATENCIÓN MÉDICA</v>
      </c>
      <c r="L4854" s="5" t="str">
        <f ca="1">IFERROR(__xludf.DUMMYFUNCTION("GOOGLETRANSLATE(J4854,""EN"",""ES"")"),"Ventosas [médicas]")</f>
        <v>Ventosas [médicas]</v>
      </c>
      <c r="M4854" s="8" t="s">
        <v>86</v>
      </c>
      <c r="N4854" s="8"/>
    </row>
    <row r="4855" spans="1:14" ht="11.25" customHeight="1">
      <c r="A4855" s="5" t="s">
        <v>13525</v>
      </c>
      <c r="B4855" s="5" t="s">
        <v>13969</v>
      </c>
      <c r="C4855" s="5" t="s">
        <v>14060</v>
      </c>
      <c r="D4855" s="5" t="s">
        <v>13528</v>
      </c>
      <c r="E4855" s="5" t="s">
        <v>32</v>
      </c>
      <c r="F4855" s="5" t="s">
        <v>13529</v>
      </c>
      <c r="G4855" s="5" t="s">
        <v>13530</v>
      </c>
      <c r="H4855" s="5" t="s">
        <v>13971</v>
      </c>
      <c r="I4855" s="5" t="s">
        <v>14063</v>
      </c>
      <c r="J4855" s="5" t="s">
        <v>152</v>
      </c>
      <c r="K4855" s="7" t="str">
        <f ca="1">IFERROR(__xludf.DUMMYFUNCTION("GOOGLETRANSLATE(H4855,""EN"",""ES"")"),"MATERIALES PARA VESTIR HERIDAS, ENFERMERÍA Y ATENCIÓN MÉDICA")</f>
        <v>MATERIALES PARA VESTIR HERIDAS, ENFERMERÍA Y ATENCIÓN MÉDICA</v>
      </c>
      <c r="L4855" s="5" t="str">
        <f ca="1">IFERROR(__xludf.DUMMYFUNCTION("GOOGLETRANSLATE(J4855,""EN"",""ES"")"),"Ventosas [médicas]")</f>
        <v>Ventosas [médicas]</v>
      </c>
      <c r="M4855" s="8" t="s">
        <v>86</v>
      </c>
      <c r="N4855" s="8"/>
    </row>
    <row r="4856" spans="1:14" ht="11.25" customHeight="1">
      <c r="A4856" s="5" t="s">
        <v>13525</v>
      </c>
      <c r="B4856" s="5" t="s">
        <v>13969</v>
      </c>
      <c r="C4856" s="5" t="s">
        <v>14064</v>
      </c>
      <c r="D4856" s="5" t="s">
        <v>13528</v>
      </c>
      <c r="E4856" s="5" t="s">
        <v>32</v>
      </c>
      <c r="F4856" s="5" t="s">
        <v>13529</v>
      </c>
      <c r="G4856" s="5" t="s">
        <v>13530</v>
      </c>
      <c r="H4856" s="5" t="s">
        <v>13971</v>
      </c>
      <c r="I4856" s="5" t="s">
        <v>14065</v>
      </c>
      <c r="J4856" s="5" t="s">
        <v>14066</v>
      </c>
      <c r="K4856" s="7" t="str">
        <f ca="1">IFERROR(__xludf.DUMMYFUNCTION("GOOGLETRANSLATE(H4856,""EN"",""ES"")"),"MATERIALES PARA VESTIR HERIDAS, ENFERMERÍA Y ATENCIÓN MÉDICA")</f>
        <v>MATERIALES PARA VESTIR HERIDAS, ENFERMERÍA Y ATENCIÓN MÉDICA</v>
      </c>
      <c r="L4856" s="5" t="str">
        <f ca="1">IFERROR(__xludf.DUMMYFUNCTION("GOOGLETRANSLATE(J4856,""EN"",""ES"")"),"Apósitos para callosidades")</f>
        <v>Apósitos para callosidades</v>
      </c>
      <c r="M4856" s="8" t="s">
        <v>86</v>
      </c>
      <c r="N4856" s="8"/>
    </row>
    <row r="4857" spans="1:14" ht="11.25" customHeight="1">
      <c r="A4857" s="5" t="s">
        <v>13525</v>
      </c>
      <c r="B4857" s="5" t="s">
        <v>13969</v>
      </c>
      <c r="C4857" s="5" t="s">
        <v>14067</v>
      </c>
      <c r="D4857" s="5" t="s">
        <v>13528</v>
      </c>
      <c r="E4857" s="5" t="s">
        <v>32</v>
      </c>
      <c r="F4857" s="5" t="s">
        <v>13529</v>
      </c>
      <c r="G4857" s="5" t="s">
        <v>13530</v>
      </c>
      <c r="H4857" s="5" t="s">
        <v>13971</v>
      </c>
      <c r="I4857" s="5" t="s">
        <v>14068</v>
      </c>
      <c r="J4857" s="5" t="s">
        <v>14069</v>
      </c>
      <c r="K4857" s="7" t="str">
        <f ca="1">IFERROR(__xludf.DUMMYFUNCTION("GOOGLETRANSLATE(H4857,""EN"",""ES"")"),"MATERIALES PARA VESTIR HERIDAS, ENFERMERÍA Y ATENCIÓN MÉDICA")</f>
        <v>MATERIALES PARA VESTIR HERIDAS, ENFERMERÍA Y ATENCIÓN MÉDICA</v>
      </c>
      <c r="L4857" s="5" t="str">
        <f ca="1">IFERROR(__xludf.DUMMYFUNCTION("GOOGLETRANSLATE(J4857,""EN"",""ES"")"),"vendajes para hernias")</f>
        <v>vendajes para hernias</v>
      </c>
      <c r="M4857" s="8" t="s">
        <v>86</v>
      </c>
      <c r="N4857" s="8"/>
    </row>
    <row r="4858" spans="1:14" ht="11.25" customHeight="1">
      <c r="A4858" s="5" t="s">
        <v>13525</v>
      </c>
      <c r="B4858" s="5" t="s">
        <v>13969</v>
      </c>
      <c r="C4858" s="5" t="s">
        <v>14070</v>
      </c>
      <c r="D4858" s="5" t="s">
        <v>13528</v>
      </c>
      <c r="E4858" s="5" t="s">
        <v>32</v>
      </c>
      <c r="F4858" s="5" t="s">
        <v>13529</v>
      </c>
      <c r="G4858" s="5" t="s">
        <v>13530</v>
      </c>
      <c r="H4858" s="5" t="s">
        <v>13971</v>
      </c>
      <c r="I4858" s="5" t="s">
        <v>14071</v>
      </c>
      <c r="J4858" s="5" t="s">
        <v>14072</v>
      </c>
      <c r="K4858" s="7" t="str">
        <f ca="1">IFERROR(__xludf.DUMMYFUNCTION("GOOGLETRANSLATE(H4858,""EN"",""ES"")"),"MATERIALES PARA VESTIR HERIDAS, ENFERMERÍA Y ATENCIÓN MÉDICA")</f>
        <v>MATERIALES PARA VESTIR HERIDAS, ENFERMERÍA Y ATENCIÓN MÉDICA</v>
      </c>
      <c r="L4858" s="5" t="str">
        <f ca="1">IFERROR(__xludf.DUMMYFUNCTION("GOOGLETRANSLATE(J4858,""EN"",""ES"")"),"Dispositivos de alimentación para inválidos")</f>
        <v>Dispositivos de alimentación para inválidos</v>
      </c>
      <c r="M4858" s="8" t="s">
        <v>86</v>
      </c>
      <c r="N4858" s="8"/>
    </row>
    <row r="4859" spans="1:14" ht="11.25" customHeight="1">
      <c r="A4859" s="5" t="s">
        <v>13525</v>
      </c>
      <c r="B4859" s="5" t="s">
        <v>13969</v>
      </c>
      <c r="C4859" s="5" t="s">
        <v>14073</v>
      </c>
      <c r="D4859" s="5" t="s">
        <v>13528</v>
      </c>
      <c r="E4859" s="5" t="s">
        <v>32</v>
      </c>
      <c r="F4859" s="5" t="s">
        <v>13529</v>
      </c>
      <c r="G4859" s="5" t="s">
        <v>13530</v>
      </c>
      <c r="H4859" s="5" t="s">
        <v>13971</v>
      </c>
      <c r="I4859" s="5" t="s">
        <v>14074</v>
      </c>
      <c r="J4859" s="5" t="s">
        <v>14075</v>
      </c>
      <c r="K4859" s="7" t="str">
        <f ca="1">IFERROR(__xludf.DUMMYFUNCTION("GOOGLETRANSLATE(H4859,""EN"",""ES"")"),"MATERIALES PARA VESTIR HERIDAS, ENFERMERÍA Y ATENCIÓN MÉDICA")</f>
        <v>MATERIALES PARA VESTIR HERIDAS, ENFERMERÍA Y ATENCIÓN MÉDICA</v>
      </c>
      <c r="L4859" s="5" t="str">
        <f ca="1">IFERROR(__xludf.DUMMYFUNCTION("GOOGLETRANSLATE(J4859,""EN"",""ES"")"),"Bolsas de hielo para uso médico.")</f>
        <v>Bolsas de hielo para uso médico.</v>
      </c>
      <c r="M4859" s="8" t="s">
        <v>86</v>
      </c>
      <c r="N4859" s="8"/>
    </row>
    <row r="4860" spans="1:14" ht="11.25" customHeight="1">
      <c r="A4860" s="5" t="s">
        <v>13525</v>
      </c>
      <c r="B4860" s="5" t="s">
        <v>13969</v>
      </c>
      <c r="C4860" s="5" t="s">
        <v>14076</v>
      </c>
      <c r="D4860" s="5" t="s">
        <v>13528</v>
      </c>
      <c r="E4860" s="5" t="s">
        <v>32</v>
      </c>
      <c r="F4860" s="5" t="s">
        <v>13529</v>
      </c>
      <c r="G4860" s="5" t="s">
        <v>13530</v>
      </c>
      <c r="H4860" s="5" t="s">
        <v>13971</v>
      </c>
      <c r="I4860" s="5" t="s">
        <v>14077</v>
      </c>
      <c r="J4860" s="5" t="s">
        <v>14078</v>
      </c>
      <c r="K4860" s="7" t="str">
        <f ca="1">IFERROR(__xludf.DUMMYFUNCTION("GOOGLETRANSLATE(H4860,""EN"",""ES"")"),"MATERIALES PARA VESTIR HERIDAS, ENFERMERÍA Y ATENCIÓN MÉDICA")</f>
        <v>MATERIALES PARA VESTIR HERIDAS, ENFERMERÍA Y ATENCIÓN MÉDICA</v>
      </c>
      <c r="L4860" s="5" t="str">
        <f ca="1">IFERROR(__xludf.DUMMYFUNCTION("GOOGLETRANSLATE(J4860,""EN"",""ES"")"),"Jeringas para enema rectal")</f>
        <v>Jeringas para enema rectal</v>
      </c>
      <c r="M4860" s="8" t="s">
        <v>86</v>
      </c>
      <c r="N4860" s="8"/>
    </row>
    <row r="4861" spans="1:14" ht="11.25" customHeight="1">
      <c r="A4861" s="5" t="s">
        <v>13525</v>
      </c>
      <c r="B4861" s="5" t="s">
        <v>13969</v>
      </c>
      <c r="C4861" s="5" t="s">
        <v>14079</v>
      </c>
      <c r="D4861" s="5" t="s">
        <v>13528</v>
      </c>
      <c r="E4861" s="5" t="s">
        <v>32</v>
      </c>
      <c r="F4861" s="5" t="s">
        <v>13529</v>
      </c>
      <c r="G4861" s="5" t="s">
        <v>13530</v>
      </c>
      <c r="H4861" s="5" t="s">
        <v>13971</v>
      </c>
      <c r="I4861" s="5" t="s">
        <v>14080</v>
      </c>
      <c r="J4861" s="5" t="s">
        <v>14081</v>
      </c>
      <c r="K4861" s="7" t="str">
        <f ca="1">IFERROR(__xludf.DUMMYFUNCTION("GOOGLETRANSLATE(H4861,""EN"",""ES"")"),"MATERIALES PARA VESTIR HERIDAS, ENFERMERÍA Y ATENCIÓN MÉDICA")</f>
        <v>MATERIALES PARA VESTIR HERIDAS, ENFERMERÍA Y ATENCIÓN MÉDICA</v>
      </c>
      <c r="L4861" s="5" t="str">
        <f ca="1">IFERROR(__xludf.DUMMYFUNCTION("GOOGLETRANSLATE(J4861,""EN"",""ES"")"),"Tobilleras y aparatos ortopédicos")</f>
        <v>Tobilleras y aparatos ortopédicos</v>
      </c>
      <c r="M4861" s="8" t="s">
        <v>86</v>
      </c>
      <c r="N4861" s="8"/>
    </row>
    <row r="4862" spans="1:14" ht="11.25" customHeight="1">
      <c r="A4862" s="5" t="s">
        <v>13525</v>
      </c>
      <c r="B4862" s="5" t="s">
        <v>13969</v>
      </c>
      <c r="C4862" s="5" t="s">
        <v>14079</v>
      </c>
      <c r="D4862" s="5" t="s">
        <v>13528</v>
      </c>
      <c r="E4862" s="5" t="s">
        <v>32</v>
      </c>
      <c r="F4862" s="5" t="s">
        <v>13529</v>
      </c>
      <c r="G4862" s="5" t="s">
        <v>13530</v>
      </c>
      <c r="H4862" s="5" t="s">
        <v>13971</v>
      </c>
      <c r="I4862" s="5" t="s">
        <v>14082</v>
      </c>
      <c r="J4862" s="5" t="s">
        <v>152</v>
      </c>
      <c r="K4862" s="7" t="str">
        <f ca="1">IFERROR(__xludf.DUMMYFUNCTION("GOOGLETRANSLATE(H4862,""EN"",""ES"")"),"MATERIALES PARA VESTIR HERIDAS, ENFERMERÍA Y ATENCIÓN MÉDICA")</f>
        <v>MATERIALES PARA VESTIR HERIDAS, ENFERMERÍA Y ATENCIÓN MÉDICA</v>
      </c>
      <c r="L4862" s="5" t="str">
        <f ca="1">IFERROR(__xludf.DUMMYFUNCTION("GOOGLETRANSLATE(J4862,""EN"",""ES"")"),"Tobilleras y aparatos ortopédicos")</f>
        <v>Tobilleras y aparatos ortopédicos</v>
      </c>
      <c r="M4862" s="8" t="s">
        <v>86</v>
      </c>
      <c r="N4862" s="8"/>
    </row>
    <row r="4863" spans="1:14" ht="11.25" customHeight="1">
      <c r="A4863" s="5" t="s">
        <v>13525</v>
      </c>
      <c r="B4863" s="5" t="s">
        <v>13969</v>
      </c>
      <c r="C4863" s="5" t="s">
        <v>14083</v>
      </c>
      <c r="D4863" s="5" t="s">
        <v>13528</v>
      </c>
      <c r="E4863" s="5" t="s">
        <v>32</v>
      </c>
      <c r="F4863" s="5" t="s">
        <v>13529</v>
      </c>
      <c r="G4863" s="5" t="s">
        <v>13530</v>
      </c>
      <c r="H4863" s="5" t="s">
        <v>13971</v>
      </c>
      <c r="I4863" s="5" t="s">
        <v>14084</v>
      </c>
      <c r="J4863" s="5" t="s">
        <v>14085</v>
      </c>
      <c r="K4863" s="7" t="str">
        <f ca="1">IFERROR(__xludf.DUMMYFUNCTION("GOOGLETRANSLATE(H4863,""EN"",""ES"")"),"MATERIALES PARA VESTIR HERIDAS, ENFERMERÍA Y ATENCIÓN MÉDICA")</f>
        <v>MATERIALES PARA VESTIR HERIDAS, ENFERMERÍA Y ATENCIÓN MÉDICA</v>
      </c>
      <c r="L4863" s="5" t="str">
        <f ca="1">IFERROR(__xludf.DUMMYFUNCTION("GOOGLETRANSLATE(J4863,""EN"",""ES"")"),"toallas sanitarias")</f>
        <v>toallas sanitarias</v>
      </c>
      <c r="M4863" s="8" t="s">
        <v>86</v>
      </c>
      <c r="N4863" s="8"/>
    </row>
    <row r="4864" spans="1:14" ht="11.25" customHeight="1">
      <c r="A4864" s="5" t="s">
        <v>13525</v>
      </c>
      <c r="B4864" s="5" t="s">
        <v>13969</v>
      </c>
      <c r="C4864" s="5" t="s">
        <v>14086</v>
      </c>
      <c r="D4864" s="5" t="s">
        <v>13528</v>
      </c>
      <c r="E4864" s="5" t="s">
        <v>32</v>
      </c>
      <c r="F4864" s="5" t="s">
        <v>13529</v>
      </c>
      <c r="G4864" s="5" t="s">
        <v>13530</v>
      </c>
      <c r="H4864" s="5" t="s">
        <v>13971</v>
      </c>
      <c r="I4864" s="5" t="s">
        <v>14087</v>
      </c>
      <c r="J4864" s="5" t="s">
        <v>14088</v>
      </c>
      <c r="K4864" s="7" t="str">
        <f ca="1">IFERROR(__xludf.DUMMYFUNCTION("GOOGLETRANSLATE(H4864,""EN"",""ES"")"),"MATERIALES PARA VESTIR HERIDAS, ENFERMERÍA Y ATENCIÓN MÉDICA")</f>
        <v>MATERIALES PARA VESTIR HERIDAS, ENFERMERÍA Y ATENCIÓN MÉDICA</v>
      </c>
      <c r="L4864" s="5" t="str">
        <f ca="1">IFERROR(__xludf.DUMMYFUNCTION("GOOGLETRANSLATE(J4864,""EN"",""ES"")"),"Dispositivos de corte para esparadrapo")</f>
        <v>Dispositivos de corte para esparadrapo</v>
      </c>
      <c r="M4864" s="8" t="s">
        <v>86</v>
      </c>
      <c r="N4864" s="8"/>
    </row>
    <row r="4865" spans="1:14" ht="11.25" customHeight="1">
      <c r="A4865" s="5" t="s">
        <v>13525</v>
      </c>
      <c r="B4865" s="5" t="s">
        <v>13969</v>
      </c>
      <c r="C4865" s="5" t="s">
        <v>14089</v>
      </c>
      <c r="D4865" s="5" t="s">
        <v>13528</v>
      </c>
      <c r="E4865" s="5" t="s">
        <v>32</v>
      </c>
      <c r="F4865" s="5" t="s">
        <v>13529</v>
      </c>
      <c r="G4865" s="5" t="s">
        <v>13530</v>
      </c>
      <c r="H4865" s="5" t="s">
        <v>13971</v>
      </c>
      <c r="I4865" s="5" t="s">
        <v>14090</v>
      </c>
      <c r="J4865" s="5" t="s">
        <v>14091</v>
      </c>
      <c r="K4865" s="7" t="str">
        <f ca="1">IFERROR(__xludf.DUMMYFUNCTION("GOOGLETRANSLATE(H4865,""EN"",""ES"")"),"MATERIALES PARA VESTIR HERIDAS, ENFERMERÍA Y ATENCIÓN MÉDICA")</f>
        <v>MATERIALES PARA VESTIR HERIDAS, ENFERMERÍA Y ATENCIÓN MÉDICA</v>
      </c>
      <c r="L4865" s="5" t="str">
        <f ca="1">IFERROR(__xludf.DUMMYFUNCTION("GOOGLETRANSLATE(J4865,""EN"",""ES"")"),"Soportes de arco ortopédicos")</f>
        <v>Soportes de arco ortopédicos</v>
      </c>
      <c r="M4865" s="8" t="s">
        <v>86</v>
      </c>
      <c r="N4865" s="8"/>
    </row>
    <row r="4866" spans="1:14" ht="11.25" customHeight="1">
      <c r="A4866" s="5" t="s">
        <v>13525</v>
      </c>
      <c r="B4866" s="5" t="s">
        <v>13969</v>
      </c>
      <c r="C4866" s="5" t="s">
        <v>14089</v>
      </c>
      <c r="D4866" s="5" t="s">
        <v>13528</v>
      </c>
      <c r="E4866" s="5" t="s">
        <v>32</v>
      </c>
      <c r="F4866" s="5" t="s">
        <v>13529</v>
      </c>
      <c r="G4866" s="5" t="s">
        <v>13530</v>
      </c>
      <c r="H4866" s="5" t="s">
        <v>13971</v>
      </c>
      <c r="I4866" s="5" t="s">
        <v>14092</v>
      </c>
      <c r="J4866" s="5" t="s">
        <v>152</v>
      </c>
      <c r="K4866" s="7" t="str">
        <f ca="1">IFERROR(__xludf.DUMMYFUNCTION("GOOGLETRANSLATE(H4866,""EN"",""ES"")"),"MATERIALES PARA VESTIR HERIDAS, ENFERMERÍA Y ATENCIÓN MÉDICA")</f>
        <v>MATERIALES PARA VESTIR HERIDAS, ENFERMERÍA Y ATENCIÓN MÉDICA</v>
      </c>
      <c r="L4866" s="5" t="str">
        <f ca="1">IFERROR(__xludf.DUMMYFUNCTION("GOOGLETRANSLATE(J4866,""EN"",""ES"")"),"Soportes de arco ortopédicos")</f>
        <v>Soportes de arco ortopédicos</v>
      </c>
      <c r="M4866" s="8" t="s">
        <v>86</v>
      </c>
      <c r="N4866" s="8"/>
    </row>
    <row r="4867" spans="1:14" ht="11.25" customHeight="1">
      <c r="A4867" s="5" t="s">
        <v>13525</v>
      </c>
      <c r="B4867" s="5" t="s">
        <v>13969</v>
      </c>
      <c r="C4867" s="5" t="s">
        <v>14093</v>
      </c>
      <c r="D4867" s="5" t="s">
        <v>13528</v>
      </c>
      <c r="E4867" s="5" t="s">
        <v>32</v>
      </c>
      <c r="F4867" s="5" t="s">
        <v>13529</v>
      </c>
      <c r="G4867" s="5" t="s">
        <v>13530</v>
      </c>
      <c r="H4867" s="5" t="s">
        <v>13971</v>
      </c>
      <c r="I4867" s="5" t="s">
        <v>14094</v>
      </c>
      <c r="J4867" s="5" t="s">
        <v>14095</v>
      </c>
      <c r="K4867" s="7" t="str">
        <f ca="1">IFERROR(__xludf.DUMMYFUNCTION("GOOGLETRANSLATE(H4867,""EN"",""ES"")"),"MATERIALES PARA VESTIR HERIDAS, ENFERMERÍA Y ATENCIÓN MÉDICA")</f>
        <v>MATERIALES PARA VESTIR HERIDAS, ENFERMERÍA Y ATENCIÓN MÉDICA</v>
      </c>
      <c r="L4867" s="5" t="str">
        <f ca="1">IFERROR(__xludf.DUMMYFUNCTION("GOOGLETRANSLATE(J4867,""EN"",""ES"")"),"Cojines para apoyo de la pelvis.")</f>
        <v>Cojines para apoyo de la pelvis.</v>
      </c>
      <c r="M4867" s="8" t="s">
        <v>86</v>
      </c>
      <c r="N4867" s="8"/>
    </row>
    <row r="4868" spans="1:14" ht="11.25" customHeight="1">
      <c r="A4868" s="5" t="s">
        <v>13525</v>
      </c>
      <c r="B4868" s="5" t="s">
        <v>13969</v>
      </c>
      <c r="C4868" s="5" t="s">
        <v>14096</v>
      </c>
      <c r="D4868" s="5" t="s">
        <v>13528</v>
      </c>
      <c r="E4868" s="5" t="s">
        <v>32</v>
      </c>
      <c r="F4868" s="5" t="s">
        <v>13529</v>
      </c>
      <c r="G4868" s="5" t="s">
        <v>13530</v>
      </c>
      <c r="H4868" s="5" t="s">
        <v>13971</v>
      </c>
      <c r="I4868" s="5" t="s">
        <v>14097</v>
      </c>
      <c r="J4868" s="5" t="s">
        <v>14098</v>
      </c>
      <c r="K4868" s="7" t="str">
        <f ca="1">IFERROR(__xludf.DUMMYFUNCTION("GOOGLETRANSLATE(H4868,""EN"",""ES"")"),"MATERIALES PARA VESTIR HERIDAS, ENFERMERÍA Y ATENCIÓN MÉDICA")</f>
        <v>MATERIALES PARA VESTIR HERIDAS, ENFERMERÍA Y ATENCIÓN MÉDICA</v>
      </c>
      <c r="L4868" s="5" t="str">
        <f ca="1">IFERROR(__xludf.DUMMYFUNCTION("GOOGLETRANSLATE(J4868,""EN"",""ES"")"),"Condones")</f>
        <v>Condones</v>
      </c>
      <c r="M4868" s="8" t="s">
        <v>86</v>
      </c>
      <c r="N4868" s="8"/>
    </row>
    <row r="4869" spans="1:14" ht="11.25" customHeight="1">
      <c r="A4869" s="5" t="s">
        <v>13525</v>
      </c>
      <c r="B4869" s="5" t="s">
        <v>13969</v>
      </c>
      <c r="C4869" s="5" t="s">
        <v>14099</v>
      </c>
      <c r="D4869" s="5" t="s">
        <v>13528</v>
      </c>
      <c r="E4869" s="5" t="s">
        <v>32</v>
      </c>
      <c r="F4869" s="5" t="s">
        <v>13529</v>
      </c>
      <c r="G4869" s="5" t="s">
        <v>13530</v>
      </c>
      <c r="H4869" s="5" t="s">
        <v>13971</v>
      </c>
      <c r="I4869" s="5" t="s">
        <v>14100</v>
      </c>
      <c r="J4869" s="5" t="s">
        <v>14101</v>
      </c>
      <c r="K4869" s="7" t="str">
        <f ca="1">IFERROR(__xludf.DUMMYFUNCTION("GOOGLETRANSLATE(H4869,""EN"",""ES"")"),"MATERIALES PARA VESTIR HERIDAS, ENFERMERÍA Y ATENCIÓN MÉDICA")</f>
        <v>MATERIALES PARA VESTIR HERIDAS, ENFERMERÍA Y ATENCIÓN MÉDICA</v>
      </c>
      <c r="L4869" s="5" t="str">
        <f ca="1">IFERROR(__xludf.DUMMYFUNCTION("GOOGLETRANSLATE(J4869,""EN"",""ES"")"),"compresas para incontinencia")</f>
        <v>compresas para incontinencia</v>
      </c>
      <c r="M4869" s="8" t="s">
        <v>86</v>
      </c>
      <c r="N4869" s="8"/>
    </row>
    <row r="4870" spans="1:14" ht="11.25" customHeight="1">
      <c r="A4870" s="5" t="s">
        <v>13525</v>
      </c>
      <c r="B4870" s="5" t="s">
        <v>13969</v>
      </c>
      <c r="C4870" s="5" t="s">
        <v>14102</v>
      </c>
      <c r="D4870" s="5" t="s">
        <v>13528</v>
      </c>
      <c r="E4870" s="5" t="s">
        <v>32</v>
      </c>
      <c r="F4870" s="5" t="s">
        <v>13529</v>
      </c>
      <c r="G4870" s="5" t="s">
        <v>13530</v>
      </c>
      <c r="H4870" s="5" t="s">
        <v>13971</v>
      </c>
      <c r="I4870" s="5" t="s">
        <v>14103</v>
      </c>
      <c r="J4870" s="5" t="s">
        <v>14104</v>
      </c>
      <c r="K4870" s="7" t="str">
        <f ca="1">IFERROR(__xludf.DUMMYFUNCTION("GOOGLETRANSLATE(H4870,""EN"",""ES"")"),"MATERIALES PARA VESTIR HERIDAS, ENFERMERÍA Y ATENCIÓN MÉDICA")</f>
        <v>MATERIALES PARA VESTIR HERIDAS, ENFERMERÍA Y ATENCIÓN MÉDICA</v>
      </c>
      <c r="L4870" s="5" t="str">
        <f ca="1">IFERROR(__xludf.DUMMYFUNCTION("GOOGLETRANSLATE(J4870,""EN"",""ES"")"),"Dispositivos intrauterinos [DIU]")</f>
        <v>Dispositivos intrauterinos [DIU]</v>
      </c>
      <c r="M4870" s="8" t="s">
        <v>86</v>
      </c>
      <c r="N4870" s="8"/>
    </row>
    <row r="4871" spans="1:14" ht="11.25" customHeight="1">
      <c r="A4871" s="5" t="s">
        <v>13525</v>
      </c>
      <c r="B4871" s="5" t="s">
        <v>13969</v>
      </c>
      <c r="C4871" s="5" t="s">
        <v>14105</v>
      </c>
      <c r="D4871" s="5" t="s">
        <v>13528</v>
      </c>
      <c r="E4871" s="5" t="s">
        <v>32</v>
      </c>
      <c r="F4871" s="5" t="s">
        <v>13529</v>
      </c>
      <c r="G4871" s="5" t="s">
        <v>13530</v>
      </c>
      <c r="H4871" s="5" t="s">
        <v>13971</v>
      </c>
      <c r="I4871" s="5" t="s">
        <v>14106</v>
      </c>
      <c r="J4871" s="5" t="s">
        <v>14107</v>
      </c>
      <c r="K4871" s="7" t="str">
        <f ca="1">IFERROR(__xludf.DUMMYFUNCTION("GOOGLETRANSLATE(H4871,""EN"",""ES"")"),"MATERIALES PARA VESTIR HERIDAS, ENFERMERÍA Y ATENCIÓN MÉDICA")</f>
        <v>MATERIALES PARA VESTIR HERIDAS, ENFERMERÍA Y ATENCIÓN MÉDICA</v>
      </c>
      <c r="L4871" s="5" t="str">
        <f ca="1">IFERROR(__xludf.DUMMYFUNCTION("GOOGLETRANSLATE(J4871,""EN"",""ES"")"),"Bolsas de infusión médica")</f>
        <v>Bolsas de infusión médica</v>
      </c>
      <c r="M4871" s="8" t="s">
        <v>86</v>
      </c>
      <c r="N4871" s="8"/>
    </row>
    <row r="4872" spans="1:14" ht="11.25" customHeight="1">
      <c r="A4872" s="5" t="s">
        <v>13525</v>
      </c>
      <c r="B4872" s="5" t="s">
        <v>13969</v>
      </c>
      <c r="C4872" s="5" t="s">
        <v>14108</v>
      </c>
      <c r="D4872" s="5" t="s">
        <v>13528</v>
      </c>
      <c r="E4872" s="5" t="s">
        <v>32</v>
      </c>
      <c r="F4872" s="5" t="s">
        <v>13529</v>
      </c>
      <c r="G4872" s="5" t="s">
        <v>13530</v>
      </c>
      <c r="H4872" s="5" t="s">
        <v>13971</v>
      </c>
      <c r="I4872" s="5" t="s">
        <v>14109</v>
      </c>
      <c r="J4872" s="5" t="s">
        <v>14110</v>
      </c>
      <c r="K4872" s="7" t="str">
        <f ca="1">IFERROR(__xludf.DUMMYFUNCTION("GOOGLETRANSLATE(H4872,""EN"",""ES"")"),"MATERIALES PARA VESTIR HERIDAS, ENFERMERÍA Y ATENCIÓN MÉDICA")</f>
        <v>MATERIALES PARA VESTIR HERIDAS, ENFERMERÍA Y ATENCIÓN MÉDICA</v>
      </c>
      <c r="L4872" s="5" t="str">
        <f ca="1">IFERROR(__xludf.DUMMYFUNCTION("GOOGLETRANSLATE(J4872,""EN"",""ES"")"),"Clips para chupete")</f>
        <v>Clips para chupete</v>
      </c>
      <c r="M4872" s="8" t="s">
        <v>86</v>
      </c>
      <c r="N4872" s="8"/>
    </row>
    <row r="4873" spans="1:14" ht="11.25" customHeight="1">
      <c r="A4873" s="5" t="s">
        <v>13525</v>
      </c>
      <c r="B4873" s="5" t="s">
        <v>13969</v>
      </c>
      <c r="C4873" s="5" t="s">
        <v>14108</v>
      </c>
      <c r="D4873" s="5" t="s">
        <v>13528</v>
      </c>
      <c r="E4873" s="5" t="s">
        <v>32</v>
      </c>
      <c r="F4873" s="5" t="s">
        <v>13529</v>
      </c>
      <c r="G4873" s="5" t="s">
        <v>13530</v>
      </c>
      <c r="H4873" s="5" t="s">
        <v>13971</v>
      </c>
      <c r="I4873" s="5" t="s">
        <v>14111</v>
      </c>
      <c r="J4873" s="5" t="s">
        <v>14112</v>
      </c>
      <c r="K4873" s="7" t="str">
        <f ca="1">IFERROR(__xludf.DUMMYFUNCTION("GOOGLETRANSLATE(H4873,""EN"",""ES"")"),"MATERIALES PARA VESTIR HERIDAS, ENFERMERÍA Y ATENCIÓN MÉDICA")</f>
        <v>MATERIALES PARA VESTIR HERIDAS, ENFERMERÍA Y ATENCIÓN MÉDICA</v>
      </c>
      <c r="L4873" s="5" t="str">
        <f ca="1">IFERROR(__xludf.DUMMYFUNCTION("GOOGLETRANSLATE(J4873,""EN"",""ES"")"),"Porta chupetes")</f>
        <v>Porta chupetes</v>
      </c>
      <c r="M4873" s="8" t="s">
        <v>86</v>
      </c>
      <c r="N4873" s="8"/>
    </row>
    <row r="4874" spans="1:14" ht="11.25" customHeight="1">
      <c r="A4874" s="5" t="s">
        <v>13525</v>
      </c>
      <c r="B4874" s="5" t="s">
        <v>13969</v>
      </c>
      <c r="C4874" s="5" t="s">
        <v>14113</v>
      </c>
      <c r="D4874" s="5" t="s">
        <v>13528</v>
      </c>
      <c r="E4874" s="5" t="s">
        <v>32</v>
      </c>
      <c r="F4874" s="5" t="s">
        <v>13529</v>
      </c>
      <c r="G4874" s="5" t="s">
        <v>13530</v>
      </c>
      <c r="H4874" s="5" t="s">
        <v>13971</v>
      </c>
      <c r="I4874" s="5" t="s">
        <v>14114</v>
      </c>
      <c r="J4874" s="5" t="s">
        <v>14115</v>
      </c>
      <c r="K4874" s="7" t="str">
        <f ca="1">IFERROR(__xludf.DUMMYFUNCTION("GOOGLETRANSLATE(H4874,""EN"",""ES"")"),"MATERIALES PARA VESTIR HERIDAS, ENFERMERÍA Y ATENCIÓN MÉDICA")</f>
        <v>MATERIALES PARA VESTIR HERIDAS, ENFERMERÍA Y ATENCIÓN MÉDICA</v>
      </c>
      <c r="L4874" s="5" t="str">
        <f ca="1">IFERROR(__xludf.DUMMYFUNCTION("GOOGLETRANSLATE(J4874,""EN"",""ES"")"),"copas menstruales")</f>
        <v>copas menstruales</v>
      </c>
      <c r="M4874" s="8" t="s">
        <v>86</v>
      </c>
      <c r="N4874" s="8"/>
    </row>
    <row r="4875" spans="1:14" ht="11.25" customHeight="1">
      <c r="A4875" s="5" t="s">
        <v>13525</v>
      </c>
      <c r="B4875" s="5" t="s">
        <v>13969</v>
      </c>
      <c r="C4875" s="5" t="s">
        <v>14116</v>
      </c>
      <c r="D4875" s="5" t="s">
        <v>13528</v>
      </c>
      <c r="E4875" s="5" t="s">
        <v>32</v>
      </c>
      <c r="F4875" s="5" t="s">
        <v>13529</v>
      </c>
      <c r="G4875" s="5" t="s">
        <v>13530</v>
      </c>
      <c r="H4875" s="5" t="s">
        <v>13971</v>
      </c>
      <c r="I4875" s="5" t="s">
        <v>14117</v>
      </c>
      <c r="J4875" s="5" t="s">
        <v>14118</v>
      </c>
      <c r="K4875" s="7" t="str">
        <f ca="1">IFERROR(__xludf.DUMMYFUNCTION("GOOGLETRANSLATE(H4875,""EN"",""ES"")"),"MATERIALES PARA VESTIR HERIDAS, ENFERMERÍA Y ATENCIÓN MÉDICA")</f>
        <v>MATERIALES PARA VESTIR HERIDAS, ENFERMERÍA Y ATENCIÓN MÉDICA</v>
      </c>
      <c r="L4875" s="5" t="str">
        <f ca="1">IFERROR(__xludf.DUMMYFUNCTION("GOOGLETRANSLATE(J4875,""EN"",""ES"")"),"Almohadillas de lactancia")</f>
        <v>Almohadillas de lactancia</v>
      </c>
      <c r="M4875" s="8" t="s">
        <v>86</v>
      </c>
      <c r="N4875" s="8"/>
    </row>
    <row r="4876" spans="1:14" ht="11.25" customHeight="1">
      <c r="A4876" s="5" t="s">
        <v>13525</v>
      </c>
      <c r="B4876" s="5" t="s">
        <v>13969</v>
      </c>
      <c r="C4876" s="5" t="s">
        <v>14119</v>
      </c>
      <c r="D4876" s="5" t="s">
        <v>13528</v>
      </c>
      <c r="E4876" s="5" t="s">
        <v>32</v>
      </c>
      <c r="F4876" s="5" t="s">
        <v>13529</v>
      </c>
      <c r="G4876" s="5" t="s">
        <v>13530</v>
      </c>
      <c r="H4876" s="5" t="s">
        <v>13971</v>
      </c>
      <c r="I4876" s="5" t="s">
        <v>14120</v>
      </c>
      <c r="J4876" s="5" t="s">
        <v>14121</v>
      </c>
      <c r="K4876" s="7" t="str">
        <f ca="1">IFERROR(__xludf.DUMMYFUNCTION("GOOGLETRANSLATE(H4876,""EN"",""ES"")"),"MATERIALES PARA VESTIR HERIDAS, ENFERMERÍA Y ATENCIÓN MÉDICA")</f>
        <v>MATERIALES PARA VESTIR HERIDAS, ENFERMERÍA Y ATENCIÓN MÉDICA</v>
      </c>
      <c r="L4876" s="5" t="str">
        <f ca="1">IFERROR(__xludf.DUMMYFUNCTION("GOOGLETRANSLATE(J4876,""EN"",""ES"")"),"almohadillas interlabiales")</f>
        <v>almohadillas interlabiales</v>
      </c>
      <c r="M4876" s="8" t="s">
        <v>86</v>
      </c>
      <c r="N4876" s="8"/>
    </row>
    <row r="4877" spans="1:14" ht="11.25" customHeight="1">
      <c r="A4877" s="5" t="s">
        <v>13525</v>
      </c>
      <c r="B4877" s="5" t="s">
        <v>13969</v>
      </c>
      <c r="C4877" s="5" t="s">
        <v>14122</v>
      </c>
      <c r="D4877" s="5" t="s">
        <v>13528</v>
      </c>
      <c r="E4877" s="5" t="s">
        <v>32</v>
      </c>
      <c r="F4877" s="5" t="s">
        <v>13529</v>
      </c>
      <c r="G4877" s="5" t="s">
        <v>13530</v>
      </c>
      <c r="H4877" s="5" t="s">
        <v>13971</v>
      </c>
      <c r="I4877" s="5" t="s">
        <v>14123</v>
      </c>
      <c r="J4877" s="5" t="s">
        <v>14124</v>
      </c>
      <c r="K4877" s="7" t="str">
        <f ca="1">IFERROR(__xludf.DUMMYFUNCTION("GOOGLETRANSLATE(H4877,""EN"",""ES"")"),"MATERIALES PARA VESTIR HERIDAS, ENFERMERÍA Y ATENCIÓN MÉDICA")</f>
        <v>MATERIALES PARA VESTIR HERIDAS, ENFERMERÍA Y ATENCIÓN MÉDICA</v>
      </c>
      <c r="L4877" s="5" t="str">
        <f ca="1">IFERROR(__xludf.DUMMYFUNCTION("GOOGLETRANSLATE(J4877,""EN"",""ES"")"),"Protectores de bragas")</f>
        <v>Protectores de bragas</v>
      </c>
      <c r="M4877" s="8" t="s">
        <v>86</v>
      </c>
      <c r="N4877" s="8"/>
    </row>
    <row r="4878" spans="1:14" ht="11.25" customHeight="1">
      <c r="A4878" s="5" t="s">
        <v>13525</v>
      </c>
      <c r="B4878" s="5" t="s">
        <v>14125</v>
      </c>
      <c r="C4878" s="5" t="s">
        <v>14126</v>
      </c>
      <c r="D4878" s="5" t="s">
        <v>13528</v>
      </c>
      <c r="E4878" s="5" t="s">
        <v>32</v>
      </c>
      <c r="F4878" s="5" t="s">
        <v>13529</v>
      </c>
      <c r="G4878" s="5" t="s">
        <v>13530</v>
      </c>
      <c r="H4878" s="5" t="s">
        <v>14127</v>
      </c>
      <c r="I4878" s="5" t="s">
        <v>14128</v>
      </c>
      <c r="J4878" s="5" t="s">
        <v>14129</v>
      </c>
      <c r="K4878" s="7" t="str">
        <f ca="1">IFERROR(__xludf.DUMMYFUNCTION("GOOGLETRANSLATE(H4878,""EN"",""ES"")"),"AYUDAS PARA CAMINAR")</f>
        <v>AYUDAS PARA CAMINAR</v>
      </c>
      <c r="L4878" s="5" t="str">
        <f ca="1">IFERROR(__xludf.DUMMYFUNCTION("GOOGLETRANSLATE(J4878,""EN"",""ES"")"),"muletas")</f>
        <v>muletas</v>
      </c>
      <c r="M4878" s="8" t="s">
        <v>78</v>
      </c>
      <c r="N4878" s="8"/>
    </row>
    <row r="4879" spans="1:14" ht="11.25" customHeight="1">
      <c r="A4879" s="5" t="s">
        <v>13525</v>
      </c>
      <c r="B4879" s="5" t="s">
        <v>14125</v>
      </c>
      <c r="C4879" s="5" t="s">
        <v>14130</v>
      </c>
      <c r="D4879" s="5" t="s">
        <v>13528</v>
      </c>
      <c r="E4879" s="5" t="s">
        <v>32</v>
      </c>
      <c r="F4879" s="5" t="s">
        <v>13529</v>
      </c>
      <c r="G4879" s="5" t="s">
        <v>13530</v>
      </c>
      <c r="H4879" s="5" t="s">
        <v>14127</v>
      </c>
      <c r="I4879" s="5" t="s">
        <v>14131</v>
      </c>
      <c r="J4879" s="5" t="s">
        <v>14132</v>
      </c>
      <c r="K4879" s="7" t="str">
        <f ca="1">IFERROR(__xludf.DUMMYFUNCTION("GOOGLETRANSLATE(H4879,""EN"",""ES"")"),"AYUDAS PARA CAMINAR")</f>
        <v>AYUDAS PARA CAMINAR</v>
      </c>
      <c r="L4879" s="5" t="str">
        <f ca="1">IFERROR(__xludf.DUMMYFUNCTION("GOOGLETRANSLATE(J4879,""EN"",""ES"")"),"Apoyabrazos de muleta")</f>
        <v>Apoyabrazos de muleta</v>
      </c>
      <c r="M4879" s="8" t="s">
        <v>78</v>
      </c>
      <c r="N4879" s="8"/>
    </row>
    <row r="4880" spans="1:14" ht="11.25" customHeight="1">
      <c r="A4880" s="5" t="s">
        <v>13525</v>
      </c>
      <c r="B4880" s="5" t="s">
        <v>14125</v>
      </c>
      <c r="C4880" s="5" t="s">
        <v>14133</v>
      </c>
      <c r="D4880" s="5" t="s">
        <v>13528</v>
      </c>
      <c r="E4880" s="5" t="s">
        <v>32</v>
      </c>
      <c r="F4880" s="5" t="s">
        <v>13529</v>
      </c>
      <c r="G4880" s="5" t="s">
        <v>13530</v>
      </c>
      <c r="H4880" s="5" t="s">
        <v>14127</v>
      </c>
      <c r="I4880" s="5" t="s">
        <v>14134</v>
      </c>
      <c r="J4880" s="5" t="s">
        <v>14135</v>
      </c>
      <c r="K4880" s="7" t="str">
        <f ca="1">IFERROR(__xludf.DUMMYFUNCTION("GOOGLETRANSLATE(H4880,""EN"",""ES"")"),"AYUDAS PARA CAMINAR")</f>
        <v>AYUDAS PARA CAMINAR</v>
      </c>
      <c r="L4880" s="5" t="str">
        <f ca="1">IFERROR(__xludf.DUMMYFUNCTION("GOOGLETRANSLATE(J4880,""EN"",""ES"")"),"Consejos para muletas")</f>
        <v>Consejos para muletas</v>
      </c>
      <c r="M4880" s="8" t="s">
        <v>78</v>
      </c>
      <c r="N4880" s="8"/>
    </row>
    <row r="4881" spans="1:14" ht="11.25" customHeight="1">
      <c r="A4881" s="5" t="s">
        <v>13525</v>
      </c>
      <c r="B4881" s="5" t="s">
        <v>14125</v>
      </c>
      <c r="C4881" s="5" t="s">
        <v>14136</v>
      </c>
      <c r="D4881" s="5" t="s">
        <v>13528</v>
      </c>
      <c r="E4881" s="5" t="s">
        <v>32</v>
      </c>
      <c r="F4881" s="5" t="s">
        <v>13529</v>
      </c>
      <c r="G4881" s="5" t="s">
        <v>13530</v>
      </c>
      <c r="H4881" s="5" t="s">
        <v>14127</v>
      </c>
      <c r="I4881" s="5" t="s">
        <v>14137</v>
      </c>
      <c r="J4881" s="5" t="s">
        <v>14138</v>
      </c>
      <c r="K4881" s="7" t="str">
        <f ca="1">IFERROR(__xludf.DUMMYFUNCTION("GOOGLETRANSLATE(H4881,""EN"",""ES"")"),"AYUDAS PARA CAMINAR")</f>
        <v>AYUDAS PARA CAMINAR</v>
      </c>
      <c r="L4881" s="5" t="str">
        <f ca="1">IFERROR(__xludf.DUMMYFUNCTION("GOOGLETRANSLATE(J4881,""EN"",""ES"")"),"Andadores")</f>
        <v>Andadores</v>
      </c>
      <c r="M4881" s="8" t="s">
        <v>78</v>
      </c>
      <c r="N4881" s="8"/>
    </row>
    <row r="4882" spans="1:14" ht="11.25" customHeight="1">
      <c r="A4882" s="5" t="s">
        <v>13525</v>
      </c>
      <c r="B4882" s="5" t="s">
        <v>14125</v>
      </c>
      <c r="C4882" s="5" t="s">
        <v>14139</v>
      </c>
      <c r="D4882" s="5" t="s">
        <v>13528</v>
      </c>
      <c r="E4882" s="5" t="s">
        <v>32</v>
      </c>
      <c r="F4882" s="5" t="s">
        <v>13529</v>
      </c>
      <c r="G4882" s="5" t="s">
        <v>13530</v>
      </c>
      <c r="H4882" s="5" t="s">
        <v>14127</v>
      </c>
      <c r="I4882" s="5" t="s">
        <v>14140</v>
      </c>
      <c r="J4882" s="5" t="s">
        <v>14141</v>
      </c>
      <c r="K4882" s="7" t="str">
        <f ca="1">IFERROR(__xludf.DUMMYFUNCTION("GOOGLETRANSLATE(H4882,""EN"",""ES"")"),"AYUDAS PARA CAMINAR")</f>
        <v>AYUDAS PARA CAMINAR</v>
      </c>
      <c r="L4882" s="5" t="str">
        <f ca="1">IFERROR(__xludf.DUMMYFUNCTION("GOOGLETRANSLATE(J4882,""EN"",""ES"")"),"Mangos para andadores")</f>
        <v>Mangos para andadores</v>
      </c>
      <c r="M4882" s="8" t="s">
        <v>78</v>
      </c>
      <c r="N4882" s="8"/>
    </row>
    <row r="4883" spans="1:14" ht="11.25" customHeight="1">
      <c r="A4883" s="5" t="s">
        <v>13525</v>
      </c>
      <c r="B4883" s="5" t="s">
        <v>14125</v>
      </c>
      <c r="C4883" s="5" t="s">
        <v>14142</v>
      </c>
      <c r="D4883" s="5" t="s">
        <v>13528</v>
      </c>
      <c r="E4883" s="5" t="s">
        <v>32</v>
      </c>
      <c r="F4883" s="5" t="s">
        <v>13529</v>
      </c>
      <c r="G4883" s="5" t="s">
        <v>13530</v>
      </c>
      <c r="H4883" s="5" t="s">
        <v>14127</v>
      </c>
      <c r="I4883" s="5" t="s">
        <v>14143</v>
      </c>
      <c r="J4883" s="5" t="s">
        <v>14144</v>
      </c>
      <c r="K4883" s="7" t="str">
        <f ca="1">IFERROR(__xludf.DUMMYFUNCTION("GOOGLETRANSLATE(H4883,""EN"",""ES"")"),"AYUDAS PARA CAMINAR")</f>
        <v>AYUDAS PARA CAMINAR</v>
      </c>
      <c r="L4883" s="5" t="str">
        <f ca="1">IFERROR(__xludf.DUMMYFUNCTION("GOOGLETRANSLATE(J4883,""EN"",""ES"")"),"Andadores con ruedas")</f>
        <v>Andadores con ruedas</v>
      </c>
      <c r="M4883" s="8" t="s">
        <v>78</v>
      </c>
      <c r="N4883" s="8"/>
    </row>
    <row r="4884" spans="1:14" ht="11.25" customHeight="1">
      <c r="A4884" s="5" t="s">
        <v>13525</v>
      </c>
      <c r="B4884" s="5" t="s">
        <v>14125</v>
      </c>
      <c r="C4884" s="5" t="s">
        <v>14145</v>
      </c>
      <c r="D4884" s="5" t="s">
        <v>13528</v>
      </c>
      <c r="E4884" s="5" t="s">
        <v>32</v>
      </c>
      <c r="F4884" s="5" t="s">
        <v>13529</v>
      </c>
      <c r="G4884" s="5" t="s">
        <v>13530</v>
      </c>
      <c r="H4884" s="5" t="s">
        <v>14127</v>
      </c>
      <c r="I4884" s="5" t="s">
        <v>14146</v>
      </c>
      <c r="J4884" s="5" t="s">
        <v>14147</v>
      </c>
      <c r="K4884" s="7" t="str">
        <f ca="1">IFERROR(__xludf.DUMMYFUNCTION("GOOGLETRANSLATE(H4884,""EN"",""ES"")"),"AYUDAS PARA CAMINAR")</f>
        <v>AYUDAS PARA CAMINAR</v>
      </c>
      <c r="L4884" s="5" t="str">
        <f ca="1">IFERROR(__xludf.DUMMYFUNCTION("GOOGLETRANSLATE(J4884,""EN"",""ES"")"),"Trajes de exoesqueleto robóticos [ayudas para caminar]")</f>
        <v>Trajes de exoesqueleto robóticos [ayudas para caminar]</v>
      </c>
      <c r="M4884" s="8" t="s">
        <v>78</v>
      </c>
      <c r="N4884" s="8"/>
    </row>
    <row r="4885" spans="1:14" ht="11.25" customHeight="1">
      <c r="A4885" s="5" t="s">
        <v>13525</v>
      </c>
      <c r="B4885" s="5" t="s">
        <v>14148</v>
      </c>
      <c r="C4885" s="5" t="s">
        <v>14149</v>
      </c>
      <c r="D4885" s="5" t="s">
        <v>13528</v>
      </c>
      <c r="E4885" s="5" t="s">
        <v>32</v>
      </c>
      <c r="F4885" s="5" t="s">
        <v>13529</v>
      </c>
      <c r="G4885" s="5" t="s">
        <v>13530</v>
      </c>
      <c r="H4885" s="5" t="s">
        <v>330</v>
      </c>
      <c r="I4885" s="5" t="s">
        <v>14150</v>
      </c>
      <c r="J4885" s="5" t="s">
        <v>14151</v>
      </c>
      <c r="K4885" s="7" t="str">
        <f ca="1">IFERROR(__xludf.DUMMYFUNCTION("GOOGLETRANSLATE(H4885,""EN"",""ES"")"),"MISCELÁNEAS")</f>
        <v>MISCELÁNEAS</v>
      </c>
      <c r="L4885" s="5" t="str">
        <f ca="1">IFERROR(__xludf.DUMMYFUNCTION("GOOGLETRANSLATE(J4885,""EN"",""ES"")"),"Audífonos para sordos")</f>
        <v>Audífonos para sordos</v>
      </c>
      <c r="M4885" s="8" t="s">
        <v>79</v>
      </c>
      <c r="N4885" s="8"/>
    </row>
    <row r="4886" spans="1:14" ht="11.25" customHeight="1">
      <c r="A4886" s="5" t="s">
        <v>13525</v>
      </c>
      <c r="B4886" s="5" t="s">
        <v>14148</v>
      </c>
      <c r="C4886" s="5" t="s">
        <v>14152</v>
      </c>
      <c r="D4886" s="5" t="s">
        <v>13528</v>
      </c>
      <c r="E4886" s="5" t="s">
        <v>32</v>
      </c>
      <c r="F4886" s="5" t="s">
        <v>13529</v>
      </c>
      <c r="G4886" s="5" t="s">
        <v>13530</v>
      </c>
      <c r="H4886" s="5" t="s">
        <v>330</v>
      </c>
      <c r="I4886" s="5" t="s">
        <v>14153</v>
      </c>
      <c r="J4886" s="5" t="s">
        <v>14154</v>
      </c>
      <c r="K4886" s="7" t="str">
        <f ca="1">IFERROR(__xludf.DUMMYFUNCTION("GOOGLETRANSLATE(H4886,""EN"",""ES"")"),"MISCELÁNEAS")</f>
        <v>MISCELÁNEAS</v>
      </c>
      <c r="L4886" s="5" t="str">
        <f ca="1">IFERROR(__xludf.DUMMYFUNCTION("GOOGLETRANSLATE(J4886,""EN"",""ES"")"),"Porta hilo dental")</f>
        <v>Porta hilo dental</v>
      </c>
      <c r="M4886" s="8" t="s">
        <v>79</v>
      </c>
      <c r="N4886" s="8"/>
    </row>
    <row r="4887" spans="1:14" ht="11.25" customHeight="1">
      <c r="A4887" s="5" t="s">
        <v>13525</v>
      </c>
      <c r="B4887" s="5" t="s">
        <v>14148</v>
      </c>
      <c r="C4887" s="5" t="s">
        <v>14155</v>
      </c>
      <c r="D4887" s="5" t="s">
        <v>13528</v>
      </c>
      <c r="E4887" s="5" t="s">
        <v>32</v>
      </c>
      <c r="F4887" s="5" t="s">
        <v>13529</v>
      </c>
      <c r="G4887" s="5" t="s">
        <v>13530</v>
      </c>
      <c r="H4887" s="5" t="s">
        <v>330</v>
      </c>
      <c r="I4887" s="5" t="s">
        <v>14156</v>
      </c>
      <c r="J4887" s="5" t="s">
        <v>14157</v>
      </c>
      <c r="K4887" s="7" t="str">
        <f ca="1">IFERROR(__xludf.DUMMYFUNCTION("GOOGLETRANSLATE(H4887,""EN"",""ES"")"),"MISCELÁNEAS")</f>
        <v>MISCELÁNEAS</v>
      </c>
      <c r="L4887" s="5" t="str">
        <f ca="1">IFERROR(__xludf.DUMMYFUNCTION("GOOGLETRANSLATE(J4887,""EN"",""ES"")"),"aparatos dentales")</f>
        <v>aparatos dentales</v>
      </c>
      <c r="M4887" s="8" t="s">
        <v>79</v>
      </c>
      <c r="N4887" s="8"/>
    </row>
    <row r="4888" spans="1:14" ht="11.25" customHeight="1">
      <c r="A4888" s="5" t="s">
        <v>13525</v>
      </c>
      <c r="B4888" s="5" t="s">
        <v>14148</v>
      </c>
      <c r="C4888" s="5" t="s">
        <v>14158</v>
      </c>
      <c r="D4888" s="5" t="s">
        <v>13528</v>
      </c>
      <c r="E4888" s="5" t="s">
        <v>32</v>
      </c>
      <c r="F4888" s="5" t="s">
        <v>13529</v>
      </c>
      <c r="G4888" s="5" t="s">
        <v>13530</v>
      </c>
      <c r="H4888" s="5" t="s">
        <v>330</v>
      </c>
      <c r="I4888" s="5" t="s">
        <v>14159</v>
      </c>
      <c r="J4888" s="5" t="s">
        <v>14160</v>
      </c>
      <c r="K4888" s="7" t="str">
        <f ca="1">IFERROR(__xludf.DUMMYFUNCTION("GOOGLETRANSLATE(H4888,""EN"",""ES"")"),"MISCELÁNEAS")</f>
        <v>MISCELÁNEAS</v>
      </c>
      <c r="L4888" s="5" t="str">
        <f ca="1">IFERROR(__xludf.DUMMYFUNCTION("GOOGLETRANSLATE(J4888,""EN"",""ES"")"),"Esteras de acupresión")</f>
        <v>Esteras de acupresión</v>
      </c>
      <c r="M4888" s="8" t="s">
        <v>79</v>
      </c>
      <c r="N4888" s="8"/>
    </row>
    <row r="4889" spans="1:14" ht="11.25" customHeight="1">
      <c r="A4889" s="5" t="s">
        <v>13525</v>
      </c>
      <c r="B4889" s="5" t="s">
        <v>14148</v>
      </c>
      <c r="C4889" s="5" t="s">
        <v>14161</v>
      </c>
      <c r="D4889" s="5" t="s">
        <v>13528</v>
      </c>
      <c r="E4889" s="5" t="s">
        <v>32</v>
      </c>
      <c r="F4889" s="5" t="s">
        <v>13529</v>
      </c>
      <c r="G4889" s="5" t="s">
        <v>13530</v>
      </c>
      <c r="H4889" s="5" t="s">
        <v>330</v>
      </c>
      <c r="I4889" s="5" t="s">
        <v>14162</v>
      </c>
      <c r="J4889" s="5" t="s">
        <v>14163</v>
      </c>
      <c r="K4889" s="7" t="str">
        <f ca="1">IFERROR(__xludf.DUMMYFUNCTION("GOOGLETRANSLATE(H4889,""EN"",""ES"")"),"MISCELÁNEAS")</f>
        <v>MISCELÁNEAS</v>
      </c>
      <c r="L4889" s="5" t="str">
        <f ca="1">IFERROR(__xludf.DUMMYFUNCTION("GOOGLETRANSLATE(J4889,""EN"",""ES"")"),"Dispositivos de corrección de postura.")</f>
        <v>Dispositivos de corrección de postura.</v>
      </c>
      <c r="M4889" s="8" t="s">
        <v>79</v>
      </c>
      <c r="N4889" s="8"/>
    </row>
    <row r="4890" spans="1:14" ht="11.25" customHeight="1">
      <c r="A4890" s="5" t="s">
        <v>13525</v>
      </c>
      <c r="B4890" s="5" t="s">
        <v>14148</v>
      </c>
      <c r="C4890" s="5" t="s">
        <v>14164</v>
      </c>
      <c r="D4890" s="5" t="s">
        <v>13528</v>
      </c>
      <c r="E4890" s="5" t="s">
        <v>32</v>
      </c>
      <c r="F4890" s="5" t="s">
        <v>13529</v>
      </c>
      <c r="G4890" s="5" t="s">
        <v>13530</v>
      </c>
      <c r="H4890" s="5" t="s">
        <v>330</v>
      </c>
      <c r="I4890" s="5" t="s">
        <v>14165</v>
      </c>
      <c r="J4890" s="5" t="s">
        <v>14166</v>
      </c>
      <c r="K4890" s="7" t="str">
        <f ca="1">IFERROR(__xludf.DUMMYFUNCTION("GOOGLETRANSLATE(H4890,""EN"",""ES"")"),"MISCELÁNEAS")</f>
        <v>MISCELÁNEAS</v>
      </c>
      <c r="L4890" s="5" t="str">
        <f ca="1">IFERROR(__xludf.DUMMYFUNCTION("GOOGLETRANSLATE(J4890,""EN"",""ES"")"),"Dispositivos para terapia magnética.")</f>
        <v>Dispositivos para terapia magnética.</v>
      </c>
      <c r="M4890" s="8" t="s">
        <v>79</v>
      </c>
      <c r="N4890" s="8"/>
    </row>
    <row r="4891" spans="1:14" ht="11.25" customHeight="1">
      <c r="A4891" s="5" t="s">
        <v>13525</v>
      </c>
      <c r="B4891" s="5" t="s">
        <v>14148</v>
      </c>
      <c r="C4891" s="5" t="s">
        <v>14167</v>
      </c>
      <c r="D4891" s="5" t="s">
        <v>13528</v>
      </c>
      <c r="E4891" s="5" t="s">
        <v>32</v>
      </c>
      <c r="F4891" s="5" t="s">
        <v>13529</v>
      </c>
      <c r="G4891" s="5" t="s">
        <v>13530</v>
      </c>
      <c r="H4891" s="5" t="s">
        <v>330</v>
      </c>
      <c r="I4891" s="5" t="s">
        <v>14168</v>
      </c>
      <c r="J4891" s="5" t="s">
        <v>14169</v>
      </c>
      <c r="K4891" s="7" t="str">
        <f ca="1">IFERROR(__xludf.DUMMYFUNCTION("GOOGLETRANSLATE(H4891,""EN"",""ES"")"),"MISCELÁNEAS")</f>
        <v>MISCELÁNEAS</v>
      </c>
      <c r="L4891" s="5" t="str">
        <f ca="1">IFERROR(__xludf.DUMMYFUNCTION("GOOGLETRANSLATE(J4891,""EN"",""ES"")"),"Lentes de ortoqueratología")</f>
        <v>Lentes de ortoqueratología</v>
      </c>
      <c r="M4891" s="8" t="s">
        <v>79</v>
      </c>
      <c r="N4891" s="8"/>
    </row>
    <row r="4892" spans="1:14" ht="11.25" customHeight="1">
      <c r="A4892" s="5" t="s">
        <v>14170</v>
      </c>
      <c r="B4892" s="5" t="s">
        <v>14171</v>
      </c>
      <c r="C4892" s="5" t="s">
        <v>14172</v>
      </c>
      <c r="D4892" s="5" t="s">
        <v>14173</v>
      </c>
      <c r="E4892" s="5" t="s">
        <v>81</v>
      </c>
      <c r="F4892" s="5" t="s">
        <v>14174</v>
      </c>
      <c r="G4892" s="5" t="s">
        <v>152</v>
      </c>
      <c r="H4892" s="5" t="s">
        <v>14175</v>
      </c>
      <c r="I4892" s="5" t="s">
        <v>14176</v>
      </c>
      <c r="J4892" s="5" t="s">
        <v>14177</v>
      </c>
      <c r="K4892" s="7" t="str">
        <f ca="1">IFERROR(__xludf.DUMMYFUNCTION("GOOGLETRANSLATE(H4892,""EN"",""ES"")"),"MATERIALES DE CONSTRUCCIÓN")</f>
        <v>MATERIALES DE CONSTRUCCIÓN</v>
      </c>
      <c r="L4892" s="5" t="str">
        <f ca="1">IFERROR(__xludf.DUMMYFUNCTION("GOOGLETRANSLATE(J4892,""EN"",""ES"")"),"Platos de pescado [carril]")</f>
        <v>Platos de pescado [carril]</v>
      </c>
      <c r="M4892" s="8" t="s">
        <v>82</v>
      </c>
      <c r="N4892" s="8"/>
    </row>
    <row r="4893" spans="1:14" ht="11.25" customHeight="1">
      <c r="A4893" s="5" t="s">
        <v>14170</v>
      </c>
      <c r="B4893" s="5" t="s">
        <v>14171</v>
      </c>
      <c r="C4893" s="5" t="s">
        <v>14178</v>
      </c>
      <c r="D4893" s="5" t="s">
        <v>14173</v>
      </c>
      <c r="E4893" s="5" t="s">
        <v>81</v>
      </c>
      <c r="F4893" s="5" t="s">
        <v>14174</v>
      </c>
      <c r="G4893" s="5" t="s">
        <v>152</v>
      </c>
      <c r="H4893" s="5" t="s">
        <v>14175</v>
      </c>
      <c r="I4893" s="5" t="s">
        <v>14179</v>
      </c>
      <c r="J4893" s="5" t="s">
        <v>14180</v>
      </c>
      <c r="K4893" s="7" t="str">
        <f ca="1">IFERROR(__xludf.DUMMYFUNCTION("GOOGLETRANSLATE(H4893,""EN"",""ES"")"),"MATERIALES DE CONSTRUCCIÓN")</f>
        <v>MATERIALES DE CONSTRUCCIÓN</v>
      </c>
      <c r="L4893" s="5" t="str">
        <f ca="1">IFERROR(__xludf.DUMMYFUNCTION("GOOGLETRANSLATE(J4893,""EN"",""ES"")"),"pizarras para la construccion")</f>
        <v>pizarras para la construccion</v>
      </c>
      <c r="M4893" s="8" t="s">
        <v>82</v>
      </c>
      <c r="N4893" s="8"/>
    </row>
    <row r="4894" spans="1:14" ht="11.25" customHeight="1">
      <c r="A4894" s="5" t="s">
        <v>14170</v>
      </c>
      <c r="B4894" s="5" t="s">
        <v>14171</v>
      </c>
      <c r="C4894" s="5" t="s">
        <v>14181</v>
      </c>
      <c r="D4894" s="5" t="s">
        <v>14173</v>
      </c>
      <c r="E4894" s="5" t="s">
        <v>81</v>
      </c>
      <c r="F4894" s="5" t="s">
        <v>14174</v>
      </c>
      <c r="G4894" s="5" t="s">
        <v>152</v>
      </c>
      <c r="H4894" s="5" t="s">
        <v>14175</v>
      </c>
      <c r="I4894" s="5" t="s">
        <v>14182</v>
      </c>
      <c r="J4894" s="5" t="s">
        <v>14183</v>
      </c>
      <c r="K4894" s="7" t="str">
        <f ca="1">IFERROR(__xludf.DUMMYFUNCTION("GOOGLETRANSLATE(H4894,""EN"",""ES"")"),"MATERIALES DE CONSTRUCCIÓN")</f>
        <v>MATERIALES DE CONSTRUCCIÓN</v>
      </c>
      <c r="L4894" s="5" t="str">
        <f ca="1">IFERROR(__xludf.DUMMYFUNCTION("GOOGLETRANSLATE(J4894,""EN"",""ES"")"),"Tablas de tejas")</f>
        <v>Tablas de tejas</v>
      </c>
      <c r="M4894" s="8" t="s">
        <v>82</v>
      </c>
      <c r="N4894" s="8"/>
    </row>
    <row r="4895" spans="1:14" ht="11.25" customHeight="1">
      <c r="A4895" s="5" t="s">
        <v>14170</v>
      </c>
      <c r="B4895" s="5" t="s">
        <v>14171</v>
      </c>
      <c r="C4895" s="5" t="s">
        <v>14181</v>
      </c>
      <c r="D4895" s="5" t="s">
        <v>14173</v>
      </c>
      <c r="E4895" s="5" t="s">
        <v>81</v>
      </c>
      <c r="F4895" s="5" t="s">
        <v>14174</v>
      </c>
      <c r="G4895" s="5" t="s">
        <v>152</v>
      </c>
      <c r="H4895" s="5" t="s">
        <v>14175</v>
      </c>
      <c r="I4895" s="5" t="s">
        <v>14184</v>
      </c>
      <c r="J4895" s="5" t="s">
        <v>152</v>
      </c>
      <c r="K4895" s="7" t="str">
        <f ca="1">IFERROR(__xludf.DUMMYFUNCTION("GOOGLETRANSLATE(H4895,""EN"",""ES"")"),"MATERIALES DE CONSTRUCCIÓN")</f>
        <v>MATERIALES DE CONSTRUCCIÓN</v>
      </c>
      <c r="L4895" s="5" t="str">
        <f ca="1">IFERROR(__xludf.DUMMYFUNCTION("GOOGLETRANSLATE(J4895,""EN"",""ES"")"),"tablillas")</f>
        <v>tablillas</v>
      </c>
      <c r="M4895" s="8" t="s">
        <v>82</v>
      </c>
      <c r="N4895" s="8"/>
    </row>
    <row r="4896" spans="1:14" ht="11.25" customHeight="1">
      <c r="A4896" s="5" t="s">
        <v>14170</v>
      </c>
      <c r="B4896" s="5" t="s">
        <v>14171</v>
      </c>
      <c r="C4896" s="5" t="s">
        <v>14185</v>
      </c>
      <c r="D4896" s="5" t="s">
        <v>14173</v>
      </c>
      <c r="E4896" s="5" t="s">
        <v>81</v>
      </c>
      <c r="F4896" s="5" t="s">
        <v>14174</v>
      </c>
      <c r="G4896" s="5" t="s">
        <v>152</v>
      </c>
      <c r="H4896" s="5" t="s">
        <v>14175</v>
      </c>
      <c r="I4896" s="5" t="s">
        <v>14186</v>
      </c>
      <c r="J4896" s="5" t="s">
        <v>14187</v>
      </c>
      <c r="K4896" s="7" t="str">
        <f ca="1">IFERROR(__xludf.DUMMYFUNCTION("GOOGLETRANSLATE(H4896,""EN"",""ES"")"),"MATERIALES DE CONSTRUCCIÓN")</f>
        <v>MATERIALES DE CONSTRUCCIÓN</v>
      </c>
      <c r="L4896" s="5" t="str">
        <f ca="1">IFERROR(__xludf.DUMMYFUNCTION("GOOGLETRANSLATE(J4896,""EN"",""ES"")"),"Bordillos para aceras")</f>
        <v>Bordillos para aceras</v>
      </c>
      <c r="M4896" s="8" t="s">
        <v>82</v>
      </c>
      <c r="N4896" s="8"/>
    </row>
    <row r="4897" spans="1:14" ht="11.25" customHeight="1">
      <c r="A4897" s="5" t="s">
        <v>14170</v>
      </c>
      <c r="B4897" s="5" t="s">
        <v>14171</v>
      </c>
      <c r="C4897" s="5" t="s">
        <v>14185</v>
      </c>
      <c r="D4897" s="5" t="s">
        <v>14173</v>
      </c>
      <c r="E4897" s="5" t="s">
        <v>81</v>
      </c>
      <c r="F4897" s="5" t="s">
        <v>14174</v>
      </c>
      <c r="G4897" s="5" t="s">
        <v>152</v>
      </c>
      <c r="H4897" s="5" t="s">
        <v>14175</v>
      </c>
      <c r="I4897" s="5" t="s">
        <v>14188</v>
      </c>
      <c r="J4897" s="5" t="s">
        <v>152</v>
      </c>
      <c r="K4897" s="7" t="str">
        <f ca="1">IFERROR(__xludf.DUMMYFUNCTION("GOOGLETRANSLATE(H4897,""EN"",""ES"")"),"MATERIALES DE CONSTRUCCIÓN")</f>
        <v>MATERIALES DE CONSTRUCCIÓN</v>
      </c>
      <c r="L4897" s="5" t="str">
        <f ca="1">IFERROR(__xludf.DUMMYFUNCTION("GOOGLETRANSLATE(J4897,""EN"",""ES"")"),"Bordillos para aceras")</f>
        <v>Bordillos para aceras</v>
      </c>
      <c r="M4897" s="8" t="s">
        <v>82</v>
      </c>
      <c r="N4897" s="8"/>
    </row>
    <row r="4898" spans="1:14" ht="11.25" customHeight="1">
      <c r="A4898" s="5" t="s">
        <v>14170</v>
      </c>
      <c r="B4898" s="5" t="s">
        <v>14171</v>
      </c>
      <c r="C4898" s="5" t="s">
        <v>14189</v>
      </c>
      <c r="D4898" s="5" t="s">
        <v>14173</v>
      </c>
      <c r="E4898" s="5" t="s">
        <v>81</v>
      </c>
      <c r="F4898" s="5" t="s">
        <v>14174</v>
      </c>
      <c r="G4898" s="5" t="s">
        <v>152</v>
      </c>
      <c r="H4898" s="5" t="s">
        <v>14175</v>
      </c>
      <c r="I4898" s="5" t="s">
        <v>14190</v>
      </c>
      <c r="J4898" s="5" t="s">
        <v>14191</v>
      </c>
      <c r="K4898" s="7" t="str">
        <f ca="1">IFERROR(__xludf.DUMMYFUNCTION("GOOGLETRANSLATE(H4898,""EN"",""ES"")"),"MATERIALES DE CONSTRUCCIÓN")</f>
        <v>MATERIALES DE CONSTRUCCIÓN</v>
      </c>
      <c r="L4898" s="5" t="str">
        <f ca="1">IFERROR(__xludf.DUMMYFUNCTION("GOOGLETRANSLATE(J4898,""EN"",""ES"")"),"piedras fronterizas")</f>
        <v>piedras fronterizas</v>
      </c>
      <c r="M4898" s="8" t="s">
        <v>82</v>
      </c>
      <c r="N4898" s="8"/>
    </row>
    <row r="4899" spans="1:14" ht="11.25" customHeight="1">
      <c r="A4899" s="5" t="s">
        <v>14170</v>
      </c>
      <c r="B4899" s="5" t="s">
        <v>14171</v>
      </c>
      <c r="C4899" s="5" t="s">
        <v>14192</v>
      </c>
      <c r="D4899" s="5" t="s">
        <v>14173</v>
      </c>
      <c r="E4899" s="5" t="s">
        <v>81</v>
      </c>
      <c r="F4899" s="5" t="s">
        <v>14174</v>
      </c>
      <c r="G4899" s="5" t="s">
        <v>152</v>
      </c>
      <c r="H4899" s="5" t="s">
        <v>14175</v>
      </c>
      <c r="I4899" s="5" t="s">
        <v>14193</v>
      </c>
      <c r="J4899" s="5" t="s">
        <v>14194</v>
      </c>
      <c r="K4899" s="7" t="str">
        <f ca="1">IFERROR(__xludf.DUMMYFUNCTION("GOOGLETRANSLATE(H4899,""EN"",""ES"")"),"MATERIALES DE CONSTRUCCIÓN")</f>
        <v>MATERIALES DE CONSTRUCCIÓN</v>
      </c>
      <c r="L4899" s="5" t="str">
        <f ca="1">IFERROR(__xludf.DUMMYFUNCTION("GOOGLETRANSLATE(J4899,""EN"",""ES"")"),"Ladrillos")</f>
        <v>Ladrillos</v>
      </c>
      <c r="M4899" s="8" t="s">
        <v>82</v>
      </c>
      <c r="N4899" s="8"/>
    </row>
    <row r="4900" spans="1:14" ht="11.25" customHeight="1">
      <c r="A4900" s="5" t="s">
        <v>14170</v>
      </c>
      <c r="B4900" s="5" t="s">
        <v>14171</v>
      </c>
      <c r="C4900" s="5" t="s">
        <v>14195</v>
      </c>
      <c r="D4900" s="5" t="s">
        <v>14173</v>
      </c>
      <c r="E4900" s="5" t="s">
        <v>81</v>
      </c>
      <c r="F4900" s="5" t="s">
        <v>14174</v>
      </c>
      <c r="G4900" s="5" t="s">
        <v>152</v>
      </c>
      <c r="H4900" s="5" t="s">
        <v>14175</v>
      </c>
      <c r="I4900" s="5" t="s">
        <v>14196</v>
      </c>
      <c r="J4900" s="5" t="s">
        <v>14197</v>
      </c>
      <c r="K4900" s="7" t="str">
        <f ca="1">IFERROR(__xludf.DUMMYFUNCTION("GOOGLETRANSLATE(H4900,""EN"",""ES"")"),"MATERIALES DE CONSTRUCCIÓN")</f>
        <v>MATERIALES DE CONSTRUCCIÓN</v>
      </c>
      <c r="L4900" s="5" t="str">
        <f ca="1">IFERROR(__xludf.DUMMYFUNCTION("GOOGLETRANSLATE(J4900,""EN"",""ES"")"),"Materiales refractarios")</f>
        <v>Materiales refractarios</v>
      </c>
      <c r="M4900" s="8" t="s">
        <v>82</v>
      </c>
      <c r="N4900" s="8"/>
    </row>
    <row r="4901" spans="1:14" ht="11.25" customHeight="1">
      <c r="A4901" s="5" t="s">
        <v>14170</v>
      </c>
      <c r="B4901" s="5" t="s">
        <v>14171</v>
      </c>
      <c r="C4901" s="5" t="s">
        <v>14198</v>
      </c>
      <c r="D4901" s="5" t="s">
        <v>14173</v>
      </c>
      <c r="E4901" s="5" t="s">
        <v>81</v>
      </c>
      <c r="F4901" s="5" t="s">
        <v>14174</v>
      </c>
      <c r="G4901" s="5" t="s">
        <v>152</v>
      </c>
      <c r="H4901" s="5" t="s">
        <v>14175</v>
      </c>
      <c r="I4901" s="5" t="s">
        <v>14199</v>
      </c>
      <c r="J4901" s="5" t="s">
        <v>14200</v>
      </c>
      <c r="K4901" s="7" t="str">
        <f ca="1">IFERROR(__xludf.DUMMYFUNCTION("GOOGLETRANSLATE(H4901,""EN"",""ES"")"),"MATERIALES DE CONSTRUCCIÓN")</f>
        <v>MATERIALES DE CONSTRUCCIÓN</v>
      </c>
      <c r="L4901" s="5" t="str">
        <f ca="1">IFERROR(__xludf.DUMMYFUNCTION("GOOGLETRANSLATE(J4901,""EN"",""ES"")"),"Materiales de construcción")</f>
        <v>Materiales de construcción</v>
      </c>
      <c r="M4901" s="8" t="s">
        <v>82</v>
      </c>
      <c r="N4901" s="8"/>
    </row>
    <row r="4902" spans="1:14" ht="11.25" customHeight="1">
      <c r="A4902" s="5" t="s">
        <v>14170</v>
      </c>
      <c r="B4902" s="5" t="s">
        <v>14171</v>
      </c>
      <c r="C4902" s="5" t="s">
        <v>14201</v>
      </c>
      <c r="D4902" s="5" t="s">
        <v>14173</v>
      </c>
      <c r="E4902" s="5" t="s">
        <v>81</v>
      </c>
      <c r="F4902" s="5" t="s">
        <v>14174</v>
      </c>
      <c r="G4902" s="5" t="s">
        <v>152</v>
      </c>
      <c r="H4902" s="5" t="s">
        <v>14175</v>
      </c>
      <c r="I4902" s="5" t="s">
        <v>14202</v>
      </c>
      <c r="J4902" s="5" t="s">
        <v>14203</v>
      </c>
      <c r="K4902" s="7" t="str">
        <f ca="1">IFERROR(__xludf.DUMMYFUNCTION("GOOGLETRANSLATE(H4902,""EN"",""ES"")"),"MATERIALES DE CONSTRUCCIÓN")</f>
        <v>MATERIALES DE CONSTRUCCIÓN</v>
      </c>
      <c r="L4902" s="5" t="str">
        <f ca="1">IFERROR(__xludf.DUMMYFUNCTION("GOOGLETRANSLATE(J4902,""EN"",""ES"")"),"Hierros angulares")</f>
        <v>Hierros angulares</v>
      </c>
      <c r="M4902" s="8" t="s">
        <v>82</v>
      </c>
      <c r="N4902" s="8"/>
    </row>
    <row r="4903" spans="1:14" ht="11.25" customHeight="1">
      <c r="A4903" s="5" t="s">
        <v>14170</v>
      </c>
      <c r="B4903" s="5" t="s">
        <v>14171</v>
      </c>
      <c r="C4903" s="5" t="s">
        <v>14204</v>
      </c>
      <c r="D4903" s="5" t="s">
        <v>14173</v>
      </c>
      <c r="E4903" s="5" t="s">
        <v>81</v>
      </c>
      <c r="F4903" s="5" t="s">
        <v>14174</v>
      </c>
      <c r="G4903" s="5" t="s">
        <v>152</v>
      </c>
      <c r="H4903" s="5" t="s">
        <v>14175</v>
      </c>
      <c r="I4903" s="5" t="s">
        <v>14205</v>
      </c>
      <c r="J4903" s="5" t="s">
        <v>14206</v>
      </c>
      <c r="K4903" s="7" t="str">
        <f ca="1">IFERROR(__xludf.DUMMYFUNCTION("GOOGLETRANSLATE(H4903,""EN"",""ES"")"),"MATERIALES DE CONSTRUCCIÓN")</f>
        <v>MATERIALES DE CONSTRUCCIÓN</v>
      </c>
      <c r="L4903" s="5" t="str">
        <f ca="1">IFERROR(__xludf.DUMMYFUNCTION("GOOGLETRANSLATE(J4903,""EN"",""ES"")"),"Listones [carpintería]")</f>
        <v>Listones [carpintería]</v>
      </c>
      <c r="M4903" s="8" t="s">
        <v>82</v>
      </c>
      <c r="N4903" s="8"/>
    </row>
    <row r="4904" spans="1:14" ht="11.25" customHeight="1">
      <c r="A4904" s="5" t="s">
        <v>14170</v>
      </c>
      <c r="B4904" s="5" t="s">
        <v>14171</v>
      </c>
      <c r="C4904" s="5" t="s">
        <v>14207</v>
      </c>
      <c r="D4904" s="5" t="s">
        <v>14173</v>
      </c>
      <c r="E4904" s="5" t="s">
        <v>81</v>
      </c>
      <c r="F4904" s="5" t="s">
        <v>14174</v>
      </c>
      <c r="G4904" s="5" t="s">
        <v>152</v>
      </c>
      <c r="H4904" s="5" t="s">
        <v>14175</v>
      </c>
      <c r="I4904" s="5" t="s">
        <v>14208</v>
      </c>
      <c r="J4904" s="5" t="s">
        <v>14209</v>
      </c>
      <c r="K4904" s="7" t="str">
        <f ca="1">IFERROR(__xludf.DUMMYFUNCTION("GOOGLETRANSLATE(H4904,""EN"",""ES"")"),"MATERIALES DE CONSTRUCCIÓN")</f>
        <v>MATERIALES DE CONSTRUCCIÓN</v>
      </c>
      <c r="L4904" s="5" t="str">
        <f ca="1">IFERROR(__xludf.DUMMYFUNCTION("GOOGLETRANSLATE(J4904,""EN"",""ES"")"),"Soportes [accesorios]")</f>
        <v>Soportes [accesorios]</v>
      </c>
      <c r="M4904" s="8" t="s">
        <v>82</v>
      </c>
      <c r="N4904" s="8"/>
    </row>
    <row r="4905" spans="1:14" ht="11.25" customHeight="1">
      <c r="A4905" s="5" t="s">
        <v>14170</v>
      </c>
      <c r="B4905" s="5" t="s">
        <v>14171</v>
      </c>
      <c r="C4905" s="5" t="s">
        <v>14210</v>
      </c>
      <c r="D4905" s="5" t="s">
        <v>14173</v>
      </c>
      <c r="E4905" s="5" t="s">
        <v>81</v>
      </c>
      <c r="F4905" s="5" t="s">
        <v>14174</v>
      </c>
      <c r="G4905" s="5" t="s">
        <v>152</v>
      </c>
      <c r="H4905" s="5" t="s">
        <v>14175</v>
      </c>
      <c r="I4905" s="5" t="s">
        <v>14211</v>
      </c>
      <c r="J4905" s="5" t="s">
        <v>14212</v>
      </c>
      <c r="K4905" s="7" t="str">
        <f ca="1">IFERROR(__xludf.DUMMYFUNCTION("GOOGLETRANSLATE(H4905,""EN"",""ES"")"),"MATERIALES DE CONSTRUCCIÓN")</f>
        <v>MATERIALES DE CONSTRUCCIÓN</v>
      </c>
      <c r="L4905" s="5" t="str">
        <f ca="1">IFERROR(__xludf.DUMMYFUNCTION("GOOGLETRANSLATE(J4905,""EN"",""ES"")"),"viguetas")</f>
        <v>viguetas</v>
      </c>
      <c r="M4905" s="8" t="s">
        <v>82</v>
      </c>
      <c r="N4905" s="8"/>
    </row>
    <row r="4906" spans="1:14" ht="11.25" customHeight="1">
      <c r="A4906" s="5" t="s">
        <v>14170</v>
      </c>
      <c r="B4906" s="5" t="s">
        <v>14171</v>
      </c>
      <c r="C4906" s="5" t="s">
        <v>14213</v>
      </c>
      <c r="D4906" s="5" t="s">
        <v>14173</v>
      </c>
      <c r="E4906" s="5" t="s">
        <v>81</v>
      </c>
      <c r="F4906" s="5" t="s">
        <v>14174</v>
      </c>
      <c r="G4906" s="5" t="s">
        <v>152</v>
      </c>
      <c r="H4906" s="5" t="s">
        <v>14175</v>
      </c>
      <c r="I4906" s="5" t="s">
        <v>14214</v>
      </c>
      <c r="J4906" s="5" t="s">
        <v>14215</v>
      </c>
      <c r="K4906" s="7" t="str">
        <f ca="1">IFERROR(__xludf.DUMMYFUNCTION("GOOGLETRANSLATE(H4906,""EN"",""ES"")"),"MATERIALES DE CONSTRUCCIÓN")</f>
        <v>MATERIALES DE CONSTRUCCIÓN</v>
      </c>
      <c r="L4906" s="5" t="str">
        <f ca="1">IFERROR(__xludf.DUMMYFUNCTION("GOOGLETRANSLATE(J4906,""EN"",""ES"")"),"Revestimiento de madera")</f>
        <v>Revestimiento de madera</v>
      </c>
      <c r="M4906" s="8" t="s">
        <v>82</v>
      </c>
      <c r="N4906" s="8"/>
    </row>
    <row r="4907" spans="1:14" ht="11.25" customHeight="1">
      <c r="A4907" s="5" t="s">
        <v>14170</v>
      </c>
      <c r="B4907" s="5" t="s">
        <v>14171</v>
      </c>
      <c r="C4907" s="5" t="s">
        <v>14216</v>
      </c>
      <c r="D4907" s="5" t="s">
        <v>14173</v>
      </c>
      <c r="E4907" s="5" t="s">
        <v>81</v>
      </c>
      <c r="F4907" s="5" t="s">
        <v>14174</v>
      </c>
      <c r="G4907" s="5" t="s">
        <v>152</v>
      </c>
      <c r="H4907" s="5" t="s">
        <v>14175</v>
      </c>
      <c r="I4907" s="5" t="s">
        <v>14217</v>
      </c>
      <c r="J4907" s="5" t="s">
        <v>14218</v>
      </c>
      <c r="K4907" s="7" t="str">
        <f ca="1">IFERROR(__xludf.DUMMYFUNCTION("GOOGLETRANSLATE(H4907,""EN"",""ES"")"),"MATERIALES DE CONSTRUCCIÓN")</f>
        <v>MATERIALES DE CONSTRUCCIÓN</v>
      </c>
      <c r="L4907" s="5" t="str">
        <f ca="1">IFERROR(__xludf.DUMMYFUNCTION("GOOGLETRANSLATE(J4907,""EN"",""ES"")"),"listones")</f>
        <v>listones</v>
      </c>
      <c r="M4907" s="8" t="s">
        <v>82</v>
      </c>
      <c r="N4907" s="8"/>
    </row>
    <row r="4908" spans="1:14" ht="11.25" customHeight="1">
      <c r="A4908" s="5" t="s">
        <v>14170</v>
      </c>
      <c r="B4908" s="5" t="s">
        <v>14171</v>
      </c>
      <c r="C4908" s="5" t="s">
        <v>14219</v>
      </c>
      <c r="D4908" s="5" t="s">
        <v>14173</v>
      </c>
      <c r="E4908" s="5" t="s">
        <v>81</v>
      </c>
      <c r="F4908" s="5" t="s">
        <v>14174</v>
      </c>
      <c r="G4908" s="5" t="s">
        <v>152</v>
      </c>
      <c r="H4908" s="5" t="s">
        <v>14175</v>
      </c>
      <c r="I4908" s="5" t="s">
        <v>14220</v>
      </c>
      <c r="J4908" s="5" t="s">
        <v>14221</v>
      </c>
      <c r="K4908" s="7" t="str">
        <f ca="1">IFERROR(__xludf.DUMMYFUNCTION("GOOGLETRANSLATE(H4908,""EN"",""ES"")"),"MATERIALES DE CONSTRUCCIÓN")</f>
        <v>MATERIALES DE CONSTRUCCIÓN</v>
      </c>
      <c r="L4908" s="5" t="str">
        <f ca="1">IFERROR(__xludf.DUMMYFUNCTION("GOOGLETRANSLATE(J4908,""EN"",""ES"")"),"Láminas de corcho [construcción]")</f>
        <v>Láminas de corcho [construcción]</v>
      </c>
      <c r="M4908" s="8" t="s">
        <v>82</v>
      </c>
      <c r="N4908" s="8"/>
    </row>
    <row r="4909" spans="1:14" ht="11.25" customHeight="1">
      <c r="A4909" s="5" t="s">
        <v>14170</v>
      </c>
      <c r="B4909" s="5" t="s">
        <v>14171</v>
      </c>
      <c r="C4909" s="5" t="s">
        <v>14222</v>
      </c>
      <c r="D4909" s="5" t="s">
        <v>14173</v>
      </c>
      <c r="E4909" s="5" t="s">
        <v>81</v>
      </c>
      <c r="F4909" s="5" t="s">
        <v>14174</v>
      </c>
      <c r="G4909" s="5" t="s">
        <v>152</v>
      </c>
      <c r="H4909" s="5" t="s">
        <v>14175</v>
      </c>
      <c r="I4909" s="5" t="s">
        <v>14223</v>
      </c>
      <c r="J4909" s="5" t="s">
        <v>14224</v>
      </c>
      <c r="K4909" s="7" t="str">
        <f ca="1">IFERROR(__xludf.DUMMYFUNCTION("GOOGLETRANSLATE(H4909,""EN"",""ES"")"),"MATERIALES DE CONSTRUCCIÓN")</f>
        <v>MATERIALES DE CONSTRUCCIÓN</v>
      </c>
      <c r="L4909" s="5" t="str">
        <f ca="1">IFERROR(__xludf.DUMMYFUNCTION("GOOGLETRANSLATE(J4909,""EN"",""ES"")"),"Soportes [carpintería]")</f>
        <v>Soportes [carpintería]</v>
      </c>
      <c r="M4909" s="8" t="s">
        <v>82</v>
      </c>
      <c r="N4909" s="8"/>
    </row>
    <row r="4910" spans="1:14" ht="11.25" customHeight="1">
      <c r="A4910" s="5" t="s">
        <v>14170</v>
      </c>
      <c r="B4910" s="5" t="s">
        <v>14171</v>
      </c>
      <c r="C4910" s="5" t="s">
        <v>14225</v>
      </c>
      <c r="D4910" s="5" t="s">
        <v>14173</v>
      </c>
      <c r="E4910" s="5" t="s">
        <v>81</v>
      </c>
      <c r="F4910" s="5" t="s">
        <v>14174</v>
      </c>
      <c r="G4910" s="5" t="s">
        <v>152</v>
      </c>
      <c r="H4910" s="5" t="s">
        <v>14175</v>
      </c>
      <c r="I4910" s="5" t="s">
        <v>14226</v>
      </c>
      <c r="J4910" s="5" t="s">
        <v>14227</v>
      </c>
      <c r="K4910" s="7" t="str">
        <f ca="1">IFERROR(__xludf.DUMMYFUNCTION("GOOGLETRANSLATE(H4910,""EN"",""ES"")"),"MATERIALES DE CONSTRUCCIÓN")</f>
        <v>MATERIALES DE CONSTRUCCIÓN</v>
      </c>
      <c r="L4910" s="5" t="str">
        <f ca="1">IFERROR(__xludf.DUMMYFUNCTION("GOOGLETRANSLATE(J4910,""EN"",""ES"")"),"vigas longitudinales")</f>
        <v>vigas longitudinales</v>
      </c>
      <c r="M4910" s="8" t="s">
        <v>82</v>
      </c>
      <c r="N4910" s="8"/>
    </row>
    <row r="4911" spans="1:14" ht="11.25" customHeight="1">
      <c r="A4911" s="5" t="s">
        <v>14170</v>
      </c>
      <c r="B4911" s="5" t="s">
        <v>14171</v>
      </c>
      <c r="C4911" s="5" t="s">
        <v>14228</v>
      </c>
      <c r="D4911" s="5" t="s">
        <v>14173</v>
      </c>
      <c r="E4911" s="5" t="s">
        <v>81</v>
      </c>
      <c r="F4911" s="5" t="s">
        <v>14174</v>
      </c>
      <c r="G4911" s="5" t="s">
        <v>152</v>
      </c>
      <c r="H4911" s="5" t="s">
        <v>14175</v>
      </c>
      <c r="I4911" s="5" t="s">
        <v>14229</v>
      </c>
      <c r="J4911" s="5" t="s">
        <v>14230</v>
      </c>
      <c r="K4911" s="7" t="str">
        <f ca="1">IFERROR(__xludf.DUMMYFUNCTION("GOOGLETRANSLATE(H4911,""EN"",""ES"")"),"MATERIALES DE CONSTRUCCIÓN")</f>
        <v>MATERIALES DE CONSTRUCCIÓN</v>
      </c>
      <c r="L4911" s="5" t="str">
        <f ca="1">IFERROR(__xludf.DUMMYFUNCTION("GOOGLETRANSLATE(J4911,""EN"",""ES"")"),"Montones de láminas")</f>
        <v>Montones de láminas</v>
      </c>
      <c r="M4911" s="8" t="s">
        <v>82</v>
      </c>
      <c r="N4911" s="8"/>
    </row>
    <row r="4912" spans="1:14" ht="11.25" customHeight="1">
      <c r="A4912" s="5" t="s">
        <v>14170</v>
      </c>
      <c r="B4912" s="5" t="s">
        <v>14171</v>
      </c>
      <c r="C4912" s="5" t="s">
        <v>14231</v>
      </c>
      <c r="D4912" s="5" t="s">
        <v>14173</v>
      </c>
      <c r="E4912" s="5" t="s">
        <v>81</v>
      </c>
      <c r="F4912" s="5" t="s">
        <v>14174</v>
      </c>
      <c r="G4912" s="5" t="s">
        <v>152</v>
      </c>
      <c r="H4912" s="5" t="s">
        <v>14175</v>
      </c>
      <c r="I4912" s="5" t="s">
        <v>14232</v>
      </c>
      <c r="J4912" s="5" t="s">
        <v>14233</v>
      </c>
      <c r="K4912" s="7" t="str">
        <f ca="1">IFERROR(__xludf.DUMMYFUNCTION("GOOGLETRANSLATE(H4912,""EN"",""ES"")"),"MATERIALES DE CONSTRUCCIÓN")</f>
        <v>MATERIALES DE CONSTRUCCIÓN</v>
      </c>
      <c r="L4912" s="5" t="str">
        <f ca="1">IFERROR(__xludf.DUMMYFUNCTION("GOOGLETRANSLATE(J4912,""EN"",""ES"")"),"Paneles [edificio]")</f>
        <v>Paneles [edificio]</v>
      </c>
      <c r="M4912" s="8" t="s">
        <v>82</v>
      </c>
      <c r="N4912" s="8"/>
    </row>
    <row r="4913" spans="1:14" ht="11.25" customHeight="1">
      <c r="A4913" s="5" t="s">
        <v>14170</v>
      </c>
      <c r="B4913" s="5" t="s">
        <v>14171</v>
      </c>
      <c r="C4913" s="5" t="s">
        <v>14234</v>
      </c>
      <c r="D4913" s="5" t="s">
        <v>14173</v>
      </c>
      <c r="E4913" s="5" t="s">
        <v>81</v>
      </c>
      <c r="F4913" s="5" t="s">
        <v>14174</v>
      </c>
      <c r="G4913" s="5" t="s">
        <v>152</v>
      </c>
      <c r="H4913" s="5" t="s">
        <v>14175</v>
      </c>
      <c r="I4913" s="5" t="s">
        <v>14235</v>
      </c>
      <c r="J4913" s="5" t="s">
        <v>14236</v>
      </c>
      <c r="K4913" s="7" t="str">
        <f ca="1">IFERROR(__xludf.DUMMYFUNCTION("GOOGLETRANSLATE(H4913,""EN"",""ES"")"),"MATERIALES DE CONSTRUCCIÓN")</f>
        <v>MATERIALES DE CONSTRUCCIÓN</v>
      </c>
      <c r="L4913" s="5" t="str">
        <f ca="1">IFERROR(__xludf.DUMMYFUNCTION("GOOGLETRANSLATE(J4913,""EN"",""ES"")"),"Adoquines")</f>
        <v>Adoquines</v>
      </c>
      <c r="M4913" s="8" t="s">
        <v>82</v>
      </c>
      <c r="N4913" s="8"/>
    </row>
    <row r="4914" spans="1:14" ht="11.25" customHeight="1">
      <c r="A4914" s="5" t="s">
        <v>14170</v>
      </c>
      <c r="B4914" s="5" t="s">
        <v>14171</v>
      </c>
      <c r="C4914" s="5" t="s">
        <v>14234</v>
      </c>
      <c r="D4914" s="5" t="s">
        <v>14173</v>
      </c>
      <c r="E4914" s="5" t="s">
        <v>81</v>
      </c>
      <c r="F4914" s="5" t="s">
        <v>14174</v>
      </c>
      <c r="G4914" s="5" t="s">
        <v>152</v>
      </c>
      <c r="H4914" s="5" t="s">
        <v>14175</v>
      </c>
      <c r="I4914" s="5" t="s">
        <v>152</v>
      </c>
      <c r="J4914" s="5" t="s">
        <v>14237</v>
      </c>
      <c r="K4914" s="7" t="str">
        <f ca="1">IFERROR(__xludf.DUMMYFUNCTION("GOOGLETRANSLATE(H4914,""EN"",""ES"")"),"MATERIALES DE CONSTRUCCIÓN")</f>
        <v>MATERIALES DE CONSTRUCCIÓN</v>
      </c>
      <c r="L4914" s="5" t="str">
        <f ca="1">IFERROR(__xludf.DUMMYFUNCTION("GOOGLETRANSLATE(J4914,""EN"",""ES"")"),"N / A")</f>
        <v>N / A</v>
      </c>
      <c r="M4914" s="8" t="s">
        <v>82</v>
      </c>
      <c r="N4914" s="8"/>
    </row>
    <row r="4915" spans="1:14" ht="11.25" customHeight="1">
      <c r="A4915" s="5" t="s">
        <v>14170</v>
      </c>
      <c r="B4915" s="5" t="s">
        <v>14171</v>
      </c>
      <c r="C4915" s="5" t="s">
        <v>14238</v>
      </c>
      <c r="D4915" s="5" t="s">
        <v>14173</v>
      </c>
      <c r="E4915" s="5" t="s">
        <v>81</v>
      </c>
      <c r="F4915" s="5" t="s">
        <v>14174</v>
      </c>
      <c r="G4915" s="5" t="s">
        <v>152</v>
      </c>
      <c r="H4915" s="5" t="s">
        <v>14175</v>
      </c>
      <c r="I4915" s="5" t="s">
        <v>14239</v>
      </c>
      <c r="J4915" s="5" t="s">
        <v>14240</v>
      </c>
      <c r="K4915" s="7" t="str">
        <f ca="1">IFERROR(__xludf.DUMMYFUNCTION("GOOGLETRANSLATE(H4915,""EN"",""ES"")"),"MATERIALES DE CONSTRUCCIÓN")</f>
        <v>MATERIALES DE CONSTRUCCIÓN</v>
      </c>
      <c r="L4915" s="5" t="str">
        <f ca="1">IFERROR(__xludf.DUMMYFUNCTION("GOOGLETRANSLATE(J4915,""EN"",""ES"")"),"Montones [apuestas]")</f>
        <v>Montones [apuestas]</v>
      </c>
      <c r="M4915" s="8" t="s">
        <v>82</v>
      </c>
      <c r="N4915" s="8"/>
    </row>
    <row r="4916" spans="1:14" ht="11.25" customHeight="1">
      <c r="A4916" s="5" t="s">
        <v>14170</v>
      </c>
      <c r="B4916" s="5" t="s">
        <v>14171</v>
      </c>
      <c r="C4916" s="5" t="s">
        <v>14241</v>
      </c>
      <c r="D4916" s="5" t="s">
        <v>14173</v>
      </c>
      <c r="E4916" s="5" t="s">
        <v>81</v>
      </c>
      <c r="F4916" s="5" t="s">
        <v>14174</v>
      </c>
      <c r="G4916" s="5" t="s">
        <v>152</v>
      </c>
      <c r="H4916" s="5" t="s">
        <v>14175</v>
      </c>
      <c r="I4916" s="5" t="s">
        <v>14242</v>
      </c>
      <c r="J4916" s="5" t="s">
        <v>14243</v>
      </c>
      <c r="K4916" s="7" t="str">
        <f ca="1">IFERROR(__xludf.DUMMYFUNCTION("GOOGLETRANSLATE(H4916,""EN"",""ES"")"),"MATERIALES DE CONSTRUCCIÓN")</f>
        <v>MATERIALES DE CONSTRUCCIÓN</v>
      </c>
      <c r="L4916" s="5" t="str">
        <f ca="1">IFERROR(__xludf.DUMMYFUNCTION("GOOGLETRANSLATE(J4916,""EN"",""ES"")"),"Placas [edificio]")</f>
        <v>Placas [edificio]</v>
      </c>
      <c r="M4916" s="8" t="s">
        <v>82</v>
      </c>
      <c r="N4916" s="8"/>
    </row>
    <row r="4917" spans="1:14" ht="11.25" customHeight="1">
      <c r="A4917" s="5" t="s">
        <v>14170</v>
      </c>
      <c r="B4917" s="5" t="s">
        <v>14171</v>
      </c>
      <c r="C4917" s="5" t="s">
        <v>14241</v>
      </c>
      <c r="D4917" s="5" t="s">
        <v>14173</v>
      </c>
      <c r="E4917" s="5" t="s">
        <v>81</v>
      </c>
      <c r="F4917" s="5" t="s">
        <v>14174</v>
      </c>
      <c r="G4917" s="5" t="s">
        <v>152</v>
      </c>
      <c r="H4917" s="5" t="s">
        <v>14175</v>
      </c>
      <c r="I4917" s="5" t="s">
        <v>14244</v>
      </c>
      <c r="J4917" s="5" t="s">
        <v>152</v>
      </c>
      <c r="K4917" s="7" t="str">
        <f ca="1">IFERROR(__xludf.DUMMYFUNCTION("GOOGLETRANSLATE(H4917,""EN"",""ES"")"),"MATERIALES DE CONSTRUCCIÓN")</f>
        <v>MATERIALES DE CONSTRUCCIÓN</v>
      </c>
      <c r="L4917" s="5" t="str">
        <f ca="1">IFERROR(__xludf.DUMMYFUNCTION("GOOGLETRANSLATE(J4917,""EN"",""ES"")"),"Losas [construcción]")</f>
        <v>Losas [construcción]</v>
      </c>
      <c r="M4917" s="8" t="s">
        <v>82</v>
      </c>
      <c r="N4917" s="8"/>
    </row>
    <row r="4918" spans="1:14" ht="11.25" customHeight="1">
      <c r="A4918" s="5" t="s">
        <v>14170</v>
      </c>
      <c r="B4918" s="5" t="s">
        <v>14171</v>
      </c>
      <c r="C4918" s="5" t="s">
        <v>14245</v>
      </c>
      <c r="D4918" s="5" t="s">
        <v>14173</v>
      </c>
      <c r="E4918" s="5" t="s">
        <v>81</v>
      </c>
      <c r="F4918" s="5" t="s">
        <v>14174</v>
      </c>
      <c r="G4918" s="5" t="s">
        <v>152</v>
      </c>
      <c r="H4918" s="5" t="s">
        <v>14175</v>
      </c>
      <c r="I4918" s="5" t="s">
        <v>14246</v>
      </c>
      <c r="J4918" s="5" t="s">
        <v>14247</v>
      </c>
      <c r="K4918" s="7" t="str">
        <f ca="1">IFERROR(__xludf.DUMMYFUNCTION("GOOGLETRANSLATE(H4918,""EN"",""ES"")"),"MATERIALES DE CONSTRUCCIÓN")</f>
        <v>MATERIALES DE CONSTRUCCIÓN</v>
      </c>
      <c r="L4918" s="5" t="str">
        <f ca="1">IFERROR(__xludf.DUMMYFUNCTION("GOOGLETRANSLATE(J4918,""EN"",""ES"")"),"Placas para techos")</f>
        <v>Placas para techos</v>
      </c>
      <c r="M4918" s="8" t="s">
        <v>82</v>
      </c>
      <c r="N4918" s="8"/>
    </row>
    <row r="4919" spans="1:14" ht="11.25" customHeight="1">
      <c r="A4919" s="5" t="s">
        <v>14170</v>
      </c>
      <c r="B4919" s="5" t="s">
        <v>14171</v>
      </c>
      <c r="C4919" s="5" t="s">
        <v>14245</v>
      </c>
      <c r="D4919" s="5" t="s">
        <v>14173</v>
      </c>
      <c r="E4919" s="5" t="s">
        <v>81</v>
      </c>
      <c r="F4919" s="5" t="s">
        <v>14174</v>
      </c>
      <c r="G4919" s="5" t="s">
        <v>152</v>
      </c>
      <c r="H4919" s="5" t="s">
        <v>14175</v>
      </c>
      <c r="I4919" s="5" t="s">
        <v>152</v>
      </c>
      <c r="J4919" s="5" t="s">
        <v>14248</v>
      </c>
      <c r="K4919" s="7" t="str">
        <f ca="1">IFERROR(__xludf.DUMMYFUNCTION("GOOGLETRANSLATE(H4919,""EN"",""ES"")"),"MATERIALES DE CONSTRUCCIÓN")</f>
        <v>MATERIALES DE CONSTRUCCIÓN</v>
      </c>
      <c r="L4919" s="5" t="str">
        <f ca="1">IFERROR(__xludf.DUMMYFUNCTION("GOOGLETRANSLATE(J4919,""EN"",""ES"")"),"N / A")</f>
        <v>N / A</v>
      </c>
      <c r="M4919" s="8" t="s">
        <v>82</v>
      </c>
      <c r="N4919" s="8"/>
    </row>
    <row r="4920" spans="1:14" ht="11.25" customHeight="1">
      <c r="A4920" s="5" t="s">
        <v>14170</v>
      </c>
      <c r="B4920" s="5" t="s">
        <v>14171</v>
      </c>
      <c r="C4920" s="5" t="s">
        <v>14249</v>
      </c>
      <c r="D4920" s="5" t="s">
        <v>14173</v>
      </c>
      <c r="E4920" s="5" t="s">
        <v>81</v>
      </c>
      <c r="F4920" s="5" t="s">
        <v>14174</v>
      </c>
      <c r="G4920" s="5" t="s">
        <v>152</v>
      </c>
      <c r="H4920" s="5" t="s">
        <v>14175</v>
      </c>
      <c r="I4920" s="5" t="s">
        <v>14250</v>
      </c>
      <c r="J4920" s="5" t="s">
        <v>14251</v>
      </c>
      <c r="K4920" s="7" t="str">
        <f ca="1">IFERROR(__xludf.DUMMYFUNCTION("GOOGLETRANSLATE(H4920,""EN"",""ES"")"),"MATERIALES DE CONSTRUCCIÓN")</f>
        <v>MATERIALES DE CONSTRUCCIÓN</v>
      </c>
      <c r="L4920" s="5" t="str">
        <f ca="1">IFERROR(__xludf.DUMMYFUNCTION("GOOGLETRANSLATE(J4920,""EN"",""ES"")"),"Plintos")</f>
        <v>Plintos</v>
      </c>
      <c r="M4920" s="8" t="s">
        <v>82</v>
      </c>
      <c r="N4920" s="8"/>
    </row>
    <row r="4921" spans="1:14" ht="11.25" customHeight="1">
      <c r="A4921" s="5" t="s">
        <v>14170</v>
      </c>
      <c r="B4921" s="5" t="s">
        <v>14171</v>
      </c>
      <c r="C4921" s="5" t="s">
        <v>14252</v>
      </c>
      <c r="D4921" s="5" t="s">
        <v>14173</v>
      </c>
      <c r="E4921" s="5" t="s">
        <v>81</v>
      </c>
      <c r="F4921" s="5" t="s">
        <v>14174</v>
      </c>
      <c r="G4921" s="5" t="s">
        <v>152</v>
      </c>
      <c r="H4921" s="5" t="s">
        <v>14175</v>
      </c>
      <c r="I4921" s="5" t="s">
        <v>14253</v>
      </c>
      <c r="J4921" s="5" t="s">
        <v>14254</v>
      </c>
      <c r="K4921" s="7" t="str">
        <f ca="1">IFERROR(__xludf.DUMMYFUNCTION("GOOGLETRANSLATE(H4921,""EN"",""ES"")"),"MATERIALES DE CONSTRUCCIÓN")</f>
        <v>MATERIALES DE CONSTRUCCIÓN</v>
      </c>
      <c r="L4921" s="5" t="str">
        <f ca="1">IFERROR(__xludf.DUMMYFUNCTION("GOOGLETRANSLATE(J4921,""EN"",""ES"")"),"vigas")</f>
        <v>vigas</v>
      </c>
      <c r="M4921" s="8" t="s">
        <v>82</v>
      </c>
      <c r="N4921" s="8"/>
    </row>
    <row r="4922" spans="1:14" ht="11.25" customHeight="1">
      <c r="A4922" s="5" t="s">
        <v>14170</v>
      </c>
      <c r="B4922" s="5" t="s">
        <v>14171</v>
      </c>
      <c r="C4922" s="5" t="s">
        <v>14252</v>
      </c>
      <c r="D4922" s="5" t="s">
        <v>14173</v>
      </c>
      <c r="E4922" s="5" t="s">
        <v>81</v>
      </c>
      <c r="F4922" s="5" t="s">
        <v>14174</v>
      </c>
      <c r="G4922" s="5" t="s">
        <v>152</v>
      </c>
      <c r="H4922" s="5" t="s">
        <v>14175</v>
      </c>
      <c r="I4922" s="5" t="s">
        <v>14255</v>
      </c>
      <c r="J4922" s="5" t="s">
        <v>152</v>
      </c>
      <c r="K4922" s="7" t="str">
        <f ca="1">IFERROR(__xludf.DUMMYFUNCTION("GOOGLETRANSLATE(H4922,""EN"",""ES"")"),"MATERIALES DE CONSTRUCCIÓN")</f>
        <v>MATERIALES DE CONSTRUCCIÓN</v>
      </c>
      <c r="L4922" s="5" t="str">
        <f ca="1">IFERROR(__xludf.DUMMYFUNCTION("GOOGLETRANSLATE(J4922,""EN"",""ES"")"),"Vigas [construcción]")</f>
        <v>Vigas [construcción]</v>
      </c>
      <c r="M4922" s="8" t="s">
        <v>82</v>
      </c>
      <c r="N4922" s="8"/>
    </row>
    <row r="4923" spans="1:14" ht="11.25" customHeight="1">
      <c r="A4923" s="5" t="s">
        <v>14170</v>
      </c>
      <c r="B4923" s="5" t="s">
        <v>14171</v>
      </c>
      <c r="C4923" s="5" t="s">
        <v>14256</v>
      </c>
      <c r="D4923" s="5" t="s">
        <v>14173</v>
      </c>
      <c r="E4923" s="5" t="s">
        <v>81</v>
      </c>
      <c r="F4923" s="5" t="s">
        <v>14174</v>
      </c>
      <c r="G4923" s="5" t="s">
        <v>152</v>
      </c>
      <c r="H4923" s="5" t="s">
        <v>14175</v>
      </c>
      <c r="I4923" s="5" t="s">
        <v>14257</v>
      </c>
      <c r="J4923" s="5" t="s">
        <v>14258</v>
      </c>
      <c r="K4923" s="7" t="str">
        <f ca="1">IFERROR(__xludf.DUMMYFUNCTION("GOOGLETRANSLATE(H4923,""EN"",""ES"")"),"MATERIALES DE CONSTRUCCIÓN")</f>
        <v>MATERIALES DE CONSTRUCCIÓN</v>
      </c>
      <c r="L4923" s="5" t="str">
        <f ca="1">IFERROR(__xludf.DUMMYFUNCTION("GOOGLETRANSLATE(J4923,""EN"",""ES"")"),"Elementos constructivos [ángulos]")</f>
        <v>Elementos constructivos [ángulos]</v>
      </c>
      <c r="M4923" s="8" t="s">
        <v>82</v>
      </c>
      <c r="N4923" s="8"/>
    </row>
    <row r="4924" spans="1:14" ht="11.25" customHeight="1">
      <c r="A4924" s="5" t="s">
        <v>14170</v>
      </c>
      <c r="B4924" s="5" t="s">
        <v>14171</v>
      </c>
      <c r="C4924" s="5" t="s">
        <v>14259</v>
      </c>
      <c r="D4924" s="5" t="s">
        <v>14173</v>
      </c>
      <c r="E4924" s="5" t="s">
        <v>81</v>
      </c>
      <c r="F4924" s="5" t="s">
        <v>14174</v>
      </c>
      <c r="G4924" s="5" t="s">
        <v>152</v>
      </c>
      <c r="H4924" s="5" t="s">
        <v>14175</v>
      </c>
      <c r="I4924" s="5" t="s">
        <v>14260</v>
      </c>
      <c r="J4924" s="5" t="s">
        <v>14261</v>
      </c>
      <c r="K4924" s="7" t="str">
        <f ca="1">IFERROR(__xludf.DUMMYFUNCTION("GOOGLETRANSLATE(H4924,""EN"",""ES"")"),"MATERIALES DE CONSTRUCCIÓN")</f>
        <v>MATERIALES DE CONSTRUCCIÓN</v>
      </c>
      <c r="L4924" s="5" t="str">
        <f ca="1">IFERROR(__xludf.DUMMYFUNCTION("GOOGLETRANSLATE(J4924,""EN"",""ES"")"),"Revestimientos para la construcción")</f>
        <v>Revestimientos para la construcción</v>
      </c>
      <c r="M4924" s="8" t="s">
        <v>82</v>
      </c>
      <c r="N4924" s="8"/>
    </row>
    <row r="4925" spans="1:14" ht="11.25" customHeight="1">
      <c r="A4925" s="5" t="s">
        <v>14170</v>
      </c>
      <c r="B4925" s="5" t="s">
        <v>14171</v>
      </c>
      <c r="C4925" s="5" t="s">
        <v>14259</v>
      </c>
      <c r="D4925" s="5" t="s">
        <v>14173</v>
      </c>
      <c r="E4925" s="5" t="s">
        <v>81</v>
      </c>
      <c r="F4925" s="5" t="s">
        <v>14174</v>
      </c>
      <c r="G4925" s="5" t="s">
        <v>152</v>
      </c>
      <c r="H4925" s="5" t="s">
        <v>14175</v>
      </c>
      <c r="I4925" s="5" t="s">
        <v>14262</v>
      </c>
      <c r="J4925" s="5" t="s">
        <v>152</v>
      </c>
      <c r="K4925" s="7" t="str">
        <f ca="1">IFERROR(__xludf.DUMMYFUNCTION("GOOGLETRANSLATE(H4925,""EN"",""ES"")"),"MATERIALES DE CONSTRUCCIÓN")</f>
        <v>MATERIALES DE CONSTRUCCIÓN</v>
      </c>
      <c r="L4925" s="5" t="str">
        <f ca="1">IFERROR(__xludf.DUMMYFUNCTION("GOOGLETRANSLATE(J4925,""EN"",""ES"")"),"Revestimiento para la construcción")</f>
        <v>Revestimiento para la construcción</v>
      </c>
      <c r="M4925" s="8" t="s">
        <v>82</v>
      </c>
      <c r="N4925" s="8"/>
    </row>
    <row r="4926" spans="1:14" ht="11.25" customHeight="1">
      <c r="A4926" s="5" t="s">
        <v>14170</v>
      </c>
      <c r="B4926" s="5" t="s">
        <v>14171</v>
      </c>
      <c r="C4926" s="5" t="s">
        <v>14263</v>
      </c>
      <c r="D4926" s="5" t="s">
        <v>14173</v>
      </c>
      <c r="E4926" s="5" t="s">
        <v>81</v>
      </c>
      <c r="F4926" s="5" t="s">
        <v>14174</v>
      </c>
      <c r="G4926" s="5" t="s">
        <v>152</v>
      </c>
      <c r="H4926" s="5" t="s">
        <v>14175</v>
      </c>
      <c r="I4926" s="5" t="s">
        <v>14264</v>
      </c>
      <c r="J4926" s="5" t="s">
        <v>14265</v>
      </c>
      <c r="K4926" s="7" t="str">
        <f ca="1">IFERROR(__xludf.DUMMYFUNCTION("GOOGLETRANSLATE(H4926,""EN"",""ES"")"),"MATERIALES DE CONSTRUCCIÓN")</f>
        <v>MATERIALES DE CONSTRUCCIÓN</v>
      </c>
      <c r="L4926" s="5" t="str">
        <f ca="1">IFERROR(__xludf.DUMMYFUNCTION("GOOGLETRANSLATE(J4926,""EN"",""ES"")"),"Azulejos")</f>
        <v>Azulejos</v>
      </c>
      <c r="M4926" s="8" t="s">
        <v>82</v>
      </c>
      <c r="N4926" s="8"/>
    </row>
    <row r="4927" spans="1:14" ht="11.25" customHeight="1">
      <c r="A4927" s="5" t="s">
        <v>14170</v>
      </c>
      <c r="B4927" s="5" t="s">
        <v>14171</v>
      </c>
      <c r="C4927" s="5" t="s">
        <v>14266</v>
      </c>
      <c r="D4927" s="5" t="s">
        <v>14173</v>
      </c>
      <c r="E4927" s="5" t="s">
        <v>81</v>
      </c>
      <c r="F4927" s="5" t="s">
        <v>14174</v>
      </c>
      <c r="G4927" s="5" t="s">
        <v>152</v>
      </c>
      <c r="H4927" s="5" t="s">
        <v>14175</v>
      </c>
      <c r="I4927" s="5" t="s">
        <v>14267</v>
      </c>
      <c r="J4927" s="5" t="s">
        <v>14268</v>
      </c>
      <c r="K4927" s="7" t="str">
        <f ca="1">IFERROR(__xludf.DUMMYFUNCTION("GOOGLETRANSLATE(H4927,""EN"",""ES"")"),"MATERIALES DE CONSTRUCCIÓN")</f>
        <v>MATERIALES DE CONSTRUCCIÓN</v>
      </c>
      <c r="L4927" s="5" t="str">
        <f ca="1">IFERROR(__xludf.DUMMYFUNCTION("GOOGLETRANSLATE(J4927,""EN"",""ES"")"),"Bloques para la construcción")</f>
        <v>Bloques para la construcción</v>
      </c>
      <c r="M4927" s="8" t="s">
        <v>82</v>
      </c>
      <c r="N4927" s="8"/>
    </row>
    <row r="4928" spans="1:14" ht="11.25" customHeight="1">
      <c r="A4928" s="5" t="s">
        <v>14170</v>
      </c>
      <c r="B4928" s="5" t="s">
        <v>14171</v>
      </c>
      <c r="C4928" s="5" t="s">
        <v>14269</v>
      </c>
      <c r="D4928" s="5" t="s">
        <v>14173</v>
      </c>
      <c r="E4928" s="5" t="s">
        <v>81</v>
      </c>
      <c r="F4928" s="5" t="s">
        <v>14174</v>
      </c>
      <c r="G4928" s="5" t="s">
        <v>152</v>
      </c>
      <c r="H4928" s="5" t="s">
        <v>14175</v>
      </c>
      <c r="I4928" s="5" t="s">
        <v>14270</v>
      </c>
      <c r="J4928" s="5" t="s">
        <v>14271</v>
      </c>
      <c r="K4928" s="7" t="str">
        <f ca="1">IFERROR(__xludf.DUMMYFUNCTION("GOOGLETRANSLATE(H4928,""EN"",""ES"")"),"MATERIALES DE CONSTRUCCIÓN")</f>
        <v>MATERIALES DE CONSTRUCCIÓN</v>
      </c>
      <c r="L4928" s="5" t="str">
        <f ca="1">IFERROR(__xludf.DUMMYFUNCTION("GOOGLETRANSLATE(J4928,""EN"",""ES"")"),"Varillas para refuerzo de hormigón.")</f>
        <v>Varillas para refuerzo de hormigón.</v>
      </c>
      <c r="M4928" s="8" t="s">
        <v>82</v>
      </c>
      <c r="N4928" s="8"/>
    </row>
    <row r="4929" spans="1:14" ht="11.25" customHeight="1">
      <c r="A4929" s="5" t="s">
        <v>14170</v>
      </c>
      <c r="B4929" s="5" t="s">
        <v>14171</v>
      </c>
      <c r="C4929" s="5" t="s">
        <v>14272</v>
      </c>
      <c r="D4929" s="5" t="s">
        <v>14173</v>
      </c>
      <c r="E4929" s="5" t="s">
        <v>81</v>
      </c>
      <c r="F4929" s="5" t="s">
        <v>14174</v>
      </c>
      <c r="G4929" s="5" t="s">
        <v>152</v>
      </c>
      <c r="H4929" s="5" t="s">
        <v>14175</v>
      </c>
      <c r="I4929" s="5" t="s">
        <v>14273</v>
      </c>
      <c r="J4929" s="5" t="s">
        <v>14274</v>
      </c>
      <c r="K4929" s="7" t="str">
        <f ca="1">IFERROR(__xludf.DUMMYFUNCTION("GOOGLETRANSLATE(H4929,""EN"",""ES"")"),"MATERIALES DE CONSTRUCCIÓN")</f>
        <v>MATERIALES DE CONSTRUCCIÓN</v>
      </c>
      <c r="L4929" s="5" t="str">
        <f ca="1">IFERROR(__xludf.DUMMYFUNCTION("GOOGLETRANSLATE(J4929,""EN"",""ES"")"),"Traviesas de ferrocarril")</f>
        <v>Traviesas de ferrocarril</v>
      </c>
      <c r="M4929" s="8" t="s">
        <v>82</v>
      </c>
      <c r="N4929" s="8"/>
    </row>
    <row r="4930" spans="1:14" ht="11.25" customHeight="1">
      <c r="A4930" s="5" t="s">
        <v>14170</v>
      </c>
      <c r="B4930" s="5" t="s">
        <v>14171</v>
      </c>
      <c r="C4930" s="5" t="s">
        <v>14272</v>
      </c>
      <c r="D4930" s="5" t="s">
        <v>14173</v>
      </c>
      <c r="E4930" s="5" t="s">
        <v>81</v>
      </c>
      <c r="F4930" s="5" t="s">
        <v>14174</v>
      </c>
      <c r="G4930" s="5" t="s">
        <v>152</v>
      </c>
      <c r="H4930" s="5" t="s">
        <v>14175</v>
      </c>
      <c r="I4930" s="5" t="s">
        <v>14275</v>
      </c>
      <c r="J4930" s="5" t="s">
        <v>152</v>
      </c>
      <c r="K4930" s="7" t="str">
        <f ca="1">IFERROR(__xludf.DUMMYFUNCTION("GOOGLETRANSLATE(H4930,""EN"",""ES"")"),"MATERIALES DE CONSTRUCCIÓN")</f>
        <v>MATERIALES DE CONSTRUCCIÓN</v>
      </c>
      <c r="L4930" s="5" t="str">
        <f ca="1">IFERROR(__xludf.DUMMYFUNCTION("GOOGLETRANSLATE(J4930,""EN"",""ES"")"),"Traviesas de ferrocarril")</f>
        <v>Traviesas de ferrocarril</v>
      </c>
      <c r="M4930" s="8" t="s">
        <v>82</v>
      </c>
      <c r="N4930" s="8"/>
    </row>
    <row r="4931" spans="1:14" ht="11.25" customHeight="1">
      <c r="A4931" s="5" t="s">
        <v>14170</v>
      </c>
      <c r="B4931" s="5" t="s">
        <v>14171</v>
      </c>
      <c r="C4931" s="5" t="s">
        <v>14276</v>
      </c>
      <c r="D4931" s="5" t="s">
        <v>14173</v>
      </c>
      <c r="E4931" s="5" t="s">
        <v>81</v>
      </c>
      <c r="F4931" s="5" t="s">
        <v>14174</v>
      </c>
      <c r="G4931" s="5" t="s">
        <v>152</v>
      </c>
      <c r="H4931" s="5" t="s">
        <v>14175</v>
      </c>
      <c r="I4931" s="5" t="s">
        <v>14277</v>
      </c>
      <c r="J4931" s="5" t="s">
        <v>14278</v>
      </c>
      <c r="K4931" s="7" t="str">
        <f ca="1">IFERROR(__xludf.DUMMYFUNCTION("GOOGLETRANSLATE(H4931,""EN"",""ES"")"),"MATERIALES DE CONSTRUCCIÓN")</f>
        <v>MATERIALES DE CONSTRUCCIÓN</v>
      </c>
      <c r="L4931" s="5" t="str">
        <f ca="1">IFERROR(__xludf.DUMMYFUNCTION("GOOGLETRANSLATE(J4931,""EN"",""ES"")"),"Molduras arquitectónicas")</f>
        <v>Molduras arquitectónicas</v>
      </c>
      <c r="M4931" s="8" t="s">
        <v>82</v>
      </c>
      <c r="N4931" s="8"/>
    </row>
    <row r="4932" spans="1:14" ht="11.25" customHeight="1">
      <c r="A4932" s="5" t="s">
        <v>14170</v>
      </c>
      <c r="B4932" s="5" t="s">
        <v>14171</v>
      </c>
      <c r="C4932" s="5" t="s">
        <v>14276</v>
      </c>
      <c r="D4932" s="5" t="s">
        <v>14173</v>
      </c>
      <c r="E4932" s="5" t="s">
        <v>81</v>
      </c>
      <c r="F4932" s="5" t="s">
        <v>14174</v>
      </c>
      <c r="G4932" s="5" t="s">
        <v>152</v>
      </c>
      <c r="H4932" s="5" t="s">
        <v>14175</v>
      </c>
      <c r="I4932" s="5" t="s">
        <v>14279</v>
      </c>
      <c r="J4932" s="5" t="s">
        <v>152</v>
      </c>
      <c r="K4932" s="7" t="str">
        <f ca="1">IFERROR(__xludf.DUMMYFUNCTION("GOOGLETRANSLATE(H4932,""EN"",""ES"")"),"MATERIALES DE CONSTRUCCIÓN")</f>
        <v>MATERIALES DE CONSTRUCCIÓN</v>
      </c>
      <c r="L4932" s="5" t="str">
        <f ca="1">IFERROR(__xludf.DUMMYFUNCTION("GOOGLETRANSLATE(J4932,""EN"",""ES"")"),"Molduras arquitectónicas")</f>
        <v>Molduras arquitectónicas</v>
      </c>
      <c r="M4932" s="8" t="s">
        <v>82</v>
      </c>
      <c r="N4932" s="8"/>
    </row>
    <row r="4933" spans="1:14" ht="11.25" customHeight="1">
      <c r="A4933" s="5" t="s">
        <v>14170</v>
      </c>
      <c r="B4933" s="5" t="s">
        <v>14171</v>
      </c>
      <c r="C4933" s="5" t="s">
        <v>14280</v>
      </c>
      <c r="D4933" s="5" t="s">
        <v>14173</v>
      </c>
      <c r="E4933" s="5" t="s">
        <v>81</v>
      </c>
      <c r="F4933" s="5" t="s">
        <v>14174</v>
      </c>
      <c r="G4933" s="5" t="s">
        <v>152</v>
      </c>
      <c r="H4933" s="5" t="s">
        <v>14175</v>
      </c>
      <c r="I4933" s="5" t="s">
        <v>14281</v>
      </c>
      <c r="J4933" s="5" t="s">
        <v>14282</v>
      </c>
      <c r="K4933" s="7" t="str">
        <f ca="1">IFERROR(__xludf.DUMMYFUNCTION("GOOGLETRANSLATE(H4933,""EN"",""ES"")"),"MATERIALES DE CONSTRUCCIÓN")</f>
        <v>MATERIALES DE CONSTRUCCIÓN</v>
      </c>
      <c r="L4933" s="5" t="str">
        <f ca="1">IFERROR(__xludf.DUMMYFUNCTION("GOOGLETRANSLATE(J4933,""EN"",""ES"")"),"Rieles de ferrocarril")</f>
        <v>Rieles de ferrocarril</v>
      </c>
      <c r="M4933" s="8" t="s">
        <v>82</v>
      </c>
      <c r="N4933" s="8"/>
    </row>
    <row r="4934" spans="1:14" ht="11.25" customHeight="1">
      <c r="A4934" s="5" t="s">
        <v>14170</v>
      </c>
      <c r="B4934" s="5" t="s">
        <v>14171</v>
      </c>
      <c r="C4934" s="5" t="s">
        <v>14283</v>
      </c>
      <c r="D4934" s="5" t="s">
        <v>14173</v>
      </c>
      <c r="E4934" s="5" t="s">
        <v>81</v>
      </c>
      <c r="F4934" s="5" t="s">
        <v>14174</v>
      </c>
      <c r="G4934" s="5" t="s">
        <v>152</v>
      </c>
      <c r="H4934" s="5" t="s">
        <v>14175</v>
      </c>
      <c r="I4934" s="5" t="s">
        <v>14284</v>
      </c>
      <c r="J4934" s="5" t="s">
        <v>14285</v>
      </c>
      <c r="K4934" s="7" t="str">
        <f ca="1">IFERROR(__xludf.DUMMYFUNCTION("GOOGLETRANSLATE(H4934,""EN"",""ES"")"),"MATERIALES DE CONSTRUCCIÓN")</f>
        <v>MATERIALES DE CONSTRUCCIÓN</v>
      </c>
      <c r="L4934" s="5" t="str">
        <f ca="1">IFERROR(__xludf.DUMMYFUNCTION("GOOGLETRANSLATE(J4934,""EN"",""ES"")"),"Conductos para cables")</f>
        <v>Conductos para cables</v>
      </c>
      <c r="M4934" s="8" t="s">
        <v>82</v>
      </c>
      <c r="N4934" s="8"/>
    </row>
    <row r="4935" spans="1:14" ht="11.25" customHeight="1">
      <c r="A4935" s="5" t="s">
        <v>14170</v>
      </c>
      <c r="B4935" s="5" t="s">
        <v>14171</v>
      </c>
      <c r="C4935" s="5" t="s">
        <v>14286</v>
      </c>
      <c r="D4935" s="5" t="s">
        <v>14173</v>
      </c>
      <c r="E4935" s="5" t="s">
        <v>81</v>
      </c>
      <c r="F4935" s="5" t="s">
        <v>14174</v>
      </c>
      <c r="G4935" s="5" t="s">
        <v>152</v>
      </c>
      <c r="H4935" s="5" t="s">
        <v>14175</v>
      </c>
      <c r="I4935" s="5" t="s">
        <v>14287</v>
      </c>
      <c r="J4935" s="5" t="s">
        <v>14288</v>
      </c>
      <c r="K4935" s="7" t="str">
        <f ca="1">IFERROR(__xludf.DUMMYFUNCTION("GOOGLETRANSLATE(H4935,""EN"",""ES"")"),"MATERIALES DE CONSTRUCCIÓN")</f>
        <v>MATERIALES DE CONSTRUCCIÓN</v>
      </c>
      <c r="L4935" s="5" t="str">
        <f ca="1">IFERROR(__xludf.DUMMYFUNCTION("GOOGLETRANSLATE(J4935,""EN"",""ES"")"),"Baldosas cerámicas para la construcción.")</f>
        <v>Baldosas cerámicas para la construcción.</v>
      </c>
      <c r="M4935" s="8" t="s">
        <v>82</v>
      </c>
      <c r="N4935" s="8"/>
    </row>
    <row r="4936" spans="1:14" ht="11.25" customHeight="1">
      <c r="A4936" s="5" t="s">
        <v>14170</v>
      </c>
      <c r="B4936" s="5" t="s">
        <v>14171</v>
      </c>
      <c r="C4936" s="5" t="s">
        <v>14289</v>
      </c>
      <c r="D4936" s="5" t="s">
        <v>14173</v>
      </c>
      <c r="E4936" s="5" t="s">
        <v>81</v>
      </c>
      <c r="F4936" s="5" t="s">
        <v>14174</v>
      </c>
      <c r="G4936" s="5" t="s">
        <v>152</v>
      </c>
      <c r="H4936" s="5" t="s">
        <v>14175</v>
      </c>
      <c r="I4936" s="5" t="s">
        <v>14290</v>
      </c>
      <c r="J4936" s="5" t="s">
        <v>14291</v>
      </c>
      <c r="K4936" s="7" t="str">
        <f ca="1">IFERROR(__xludf.DUMMYFUNCTION("GOOGLETRANSLATE(H4936,""EN"",""ES"")"),"MATERIALES DE CONSTRUCCIÓN")</f>
        <v>MATERIALES DE CONSTRUCCIÓN</v>
      </c>
      <c r="L4936" s="5" t="str">
        <f ca="1">IFERROR(__xludf.DUMMYFUNCTION("GOOGLETRANSLATE(J4936,""EN"",""ES"")"),"Elementos acústicos de construcción.")</f>
        <v>Elementos acústicos de construcción.</v>
      </c>
      <c r="M4936" s="8" t="s">
        <v>82</v>
      </c>
      <c r="N4936" s="8"/>
    </row>
    <row r="4937" spans="1:14" ht="11.25" customHeight="1">
      <c r="A4937" s="5" t="s">
        <v>14170</v>
      </c>
      <c r="B4937" s="5" t="s">
        <v>14171</v>
      </c>
      <c r="C4937" s="5" t="s">
        <v>14292</v>
      </c>
      <c r="D4937" s="5" t="s">
        <v>14173</v>
      </c>
      <c r="E4937" s="5" t="s">
        <v>81</v>
      </c>
      <c r="F4937" s="5" t="s">
        <v>14174</v>
      </c>
      <c r="G4937" s="5" t="s">
        <v>152</v>
      </c>
      <c r="H4937" s="5" t="s">
        <v>14175</v>
      </c>
      <c r="I4937" s="5" t="s">
        <v>14293</v>
      </c>
      <c r="J4937" s="5" t="s">
        <v>14294</v>
      </c>
      <c r="K4937" s="7" t="str">
        <f ca="1">IFERROR(__xludf.DUMMYFUNCTION("GOOGLETRANSLATE(H4937,""EN"",""ES"")"),"MATERIALES DE CONSTRUCCIÓN")</f>
        <v>MATERIALES DE CONSTRUCCIÓN</v>
      </c>
      <c r="L4937" s="5" t="str">
        <f ca="1">IFERROR(__xludf.DUMMYFUNCTION("GOOGLETRANSLATE(J4937,""EN"",""ES"")"),"Hierros angulares [secciones en forma de L]")</f>
        <v>Hierros angulares [secciones en forma de L]</v>
      </c>
      <c r="M4937" s="8" t="s">
        <v>82</v>
      </c>
      <c r="N4937" s="8"/>
    </row>
    <row r="4938" spans="1:14" ht="11.25" customHeight="1">
      <c r="A4938" s="5" t="s">
        <v>14170</v>
      </c>
      <c r="B4938" s="5" t="s">
        <v>14171</v>
      </c>
      <c r="C4938" s="5" t="s">
        <v>14295</v>
      </c>
      <c r="D4938" s="5" t="s">
        <v>14173</v>
      </c>
      <c r="E4938" s="5" t="s">
        <v>81</v>
      </c>
      <c r="F4938" s="5" t="s">
        <v>14174</v>
      </c>
      <c r="G4938" s="5" t="s">
        <v>152</v>
      </c>
      <c r="H4938" s="5" t="s">
        <v>14175</v>
      </c>
      <c r="I4938" s="5" t="s">
        <v>14296</v>
      </c>
      <c r="J4938" s="5" t="s">
        <v>14297</v>
      </c>
      <c r="K4938" s="7" t="str">
        <f ca="1">IFERROR(__xludf.DUMMYFUNCTION("GOOGLETRANSLATE(H4938,""EN"",""ES"")"),"MATERIALES DE CONSTRUCCIÓN")</f>
        <v>MATERIALES DE CONSTRUCCIÓN</v>
      </c>
      <c r="L4938" s="5" t="str">
        <f ca="1">IFERROR(__xludf.DUMMYFUNCTION("GOOGLETRANSLATE(J4938,""EN"",""ES"")"),"Piedras de construcción")</f>
        <v>Piedras de construcción</v>
      </c>
      <c r="M4938" s="8" t="s">
        <v>82</v>
      </c>
      <c r="N4938" s="8"/>
    </row>
    <row r="4939" spans="1:14" ht="11.25" customHeight="1">
      <c r="A4939" s="5" t="s">
        <v>14170</v>
      </c>
      <c r="B4939" s="5" t="s">
        <v>14171</v>
      </c>
      <c r="C4939" s="5" t="s">
        <v>14298</v>
      </c>
      <c r="D4939" s="5" t="s">
        <v>14173</v>
      </c>
      <c r="E4939" s="5" t="s">
        <v>81</v>
      </c>
      <c r="F4939" s="5" t="s">
        <v>14174</v>
      </c>
      <c r="G4939" s="5" t="s">
        <v>152</v>
      </c>
      <c r="H4939" s="5" t="s">
        <v>14175</v>
      </c>
      <c r="I4939" s="5" t="s">
        <v>14299</v>
      </c>
      <c r="J4939" s="5" t="s">
        <v>14300</v>
      </c>
      <c r="K4939" s="7" t="str">
        <f ca="1">IFERROR(__xludf.DUMMYFUNCTION("GOOGLETRANSLATE(H4939,""EN"",""ES"")"),"MATERIALES DE CONSTRUCCIÓN")</f>
        <v>MATERIALES DE CONSTRUCCIÓN</v>
      </c>
      <c r="L4939" s="5" t="str">
        <f ca="1">IFERROR(__xludf.DUMMYFUNCTION("GOOGLETRANSLATE(J4939,""EN"",""ES"")"),"Piquetes de valla")</f>
        <v>Piquetes de valla</v>
      </c>
      <c r="M4939" s="8" t="s">
        <v>82</v>
      </c>
      <c r="N4939" s="8"/>
    </row>
    <row r="4940" spans="1:14" ht="11.25" customHeight="1">
      <c r="A4940" s="5" t="s">
        <v>14170</v>
      </c>
      <c r="B4940" s="5" t="s">
        <v>14171</v>
      </c>
      <c r="C4940" s="5" t="s">
        <v>14298</v>
      </c>
      <c r="D4940" s="5" t="s">
        <v>14173</v>
      </c>
      <c r="E4940" s="5" t="s">
        <v>81</v>
      </c>
      <c r="F4940" s="5" t="s">
        <v>14174</v>
      </c>
      <c r="G4940" s="5" t="s">
        <v>152</v>
      </c>
      <c r="H4940" s="5" t="s">
        <v>14175</v>
      </c>
      <c r="I4940" s="5" t="s">
        <v>14301</v>
      </c>
      <c r="J4940" s="5" t="s">
        <v>14302</v>
      </c>
      <c r="K4940" s="7" t="str">
        <f ca="1">IFERROR(__xludf.DUMMYFUNCTION("GOOGLETRANSLATE(H4940,""EN"",""ES"")"),"MATERIALES DE CONSTRUCCIÓN")</f>
        <v>MATERIALES DE CONSTRUCCIÓN</v>
      </c>
      <c r="L4940" s="5" t="str">
        <f ca="1">IFERROR(__xludf.DUMMYFUNCTION("GOOGLETRANSLATE(J4940,""EN"",""ES"")"),"postes para vallas")</f>
        <v>postes para vallas</v>
      </c>
      <c r="M4940" s="8" t="s">
        <v>82</v>
      </c>
      <c r="N4940" s="8"/>
    </row>
    <row r="4941" spans="1:14" ht="11.25" customHeight="1">
      <c r="A4941" s="5" t="s">
        <v>14170</v>
      </c>
      <c r="B4941" s="5" t="s">
        <v>14171</v>
      </c>
      <c r="C4941" s="5" t="s">
        <v>14298</v>
      </c>
      <c r="D4941" s="5" t="s">
        <v>14173</v>
      </c>
      <c r="E4941" s="5" t="s">
        <v>81</v>
      </c>
      <c r="F4941" s="5" t="s">
        <v>14174</v>
      </c>
      <c r="G4941" s="5" t="s">
        <v>152</v>
      </c>
      <c r="H4941" s="5" t="s">
        <v>14175</v>
      </c>
      <c r="I4941" s="5" t="s">
        <v>152</v>
      </c>
      <c r="J4941" s="5" t="s">
        <v>14303</v>
      </c>
      <c r="K4941" s="7" t="str">
        <f ca="1">IFERROR(__xludf.DUMMYFUNCTION("GOOGLETRANSLATE(H4941,""EN"",""ES"")"),"MATERIALES DE CONSTRUCCIÓN")</f>
        <v>MATERIALES DE CONSTRUCCIÓN</v>
      </c>
      <c r="L4941" s="5" t="str">
        <f ca="1">IFERROR(__xludf.DUMMYFUNCTION("GOOGLETRANSLATE(J4941,""EN"",""ES"")"),"N / A")</f>
        <v>N / A</v>
      </c>
      <c r="M4941" s="8" t="s">
        <v>82</v>
      </c>
      <c r="N4941" s="8"/>
    </row>
    <row r="4942" spans="1:14" ht="11.25" customHeight="1">
      <c r="A4942" s="5" t="s">
        <v>14170</v>
      </c>
      <c r="B4942" s="5" t="s">
        <v>14171</v>
      </c>
      <c r="C4942" s="5" t="s">
        <v>14304</v>
      </c>
      <c r="D4942" s="5" t="s">
        <v>14173</v>
      </c>
      <c r="E4942" s="5" t="s">
        <v>81</v>
      </c>
      <c r="F4942" s="5" t="s">
        <v>14174</v>
      </c>
      <c r="G4942" s="5" t="s">
        <v>152</v>
      </c>
      <c r="H4942" s="5" t="s">
        <v>14175</v>
      </c>
      <c r="I4942" s="5" t="s">
        <v>14305</v>
      </c>
      <c r="J4942" s="5" t="s">
        <v>14306</v>
      </c>
      <c r="K4942" s="7" t="str">
        <f ca="1">IFERROR(__xludf.DUMMYFUNCTION("GOOGLETRANSLATE(H4942,""EN"",""ES"")"),"MATERIALES DE CONSTRUCCIÓN")</f>
        <v>MATERIALES DE CONSTRUCCIÓN</v>
      </c>
      <c r="L4942" s="5" t="str">
        <f ca="1">IFERROR(__xludf.DUMMYFUNCTION("GOOGLETRANSLATE(J4942,""EN"",""ES"")"),"piedras de toba")</f>
        <v>piedras de toba</v>
      </c>
      <c r="M4942" s="8" t="s">
        <v>82</v>
      </c>
      <c r="N4942" s="8"/>
    </row>
    <row r="4943" spans="1:14" ht="11.25" customHeight="1">
      <c r="A4943" s="5" t="s">
        <v>14170</v>
      </c>
      <c r="B4943" s="5" t="s">
        <v>14171</v>
      </c>
      <c r="C4943" s="5" t="s">
        <v>14307</v>
      </c>
      <c r="D4943" s="5" t="s">
        <v>14173</v>
      </c>
      <c r="E4943" s="5" t="s">
        <v>81</v>
      </c>
      <c r="F4943" s="5" t="s">
        <v>14174</v>
      </c>
      <c r="G4943" s="5" t="s">
        <v>152</v>
      </c>
      <c r="H4943" s="5" t="s">
        <v>14175</v>
      </c>
      <c r="I4943" s="5" t="s">
        <v>14308</v>
      </c>
      <c r="J4943" s="5" t="s">
        <v>14309</v>
      </c>
      <c r="K4943" s="7" t="str">
        <f ca="1">IFERROR(__xludf.DUMMYFUNCTION("GOOGLETRANSLATE(H4943,""EN"",""ES"")"),"MATERIALES DE CONSTRUCCIÓN")</f>
        <v>MATERIALES DE CONSTRUCCIÓN</v>
      </c>
      <c r="L4943" s="5" t="str">
        <f ca="1">IFERROR(__xludf.DUMMYFUNCTION("GOOGLETRANSLATE(J4943,""EN"",""ES"")"),"Vidrio reforzado")</f>
        <v>Vidrio reforzado</v>
      </c>
      <c r="M4943" s="8" t="s">
        <v>82</v>
      </c>
      <c r="N4943" s="8"/>
    </row>
    <row r="4944" spans="1:14" ht="11.25" customHeight="1">
      <c r="A4944" s="5" t="s">
        <v>14170</v>
      </c>
      <c r="B4944" s="5" t="s">
        <v>14171</v>
      </c>
      <c r="C4944" s="5" t="s">
        <v>14310</v>
      </c>
      <c r="D4944" s="5" t="s">
        <v>14173</v>
      </c>
      <c r="E4944" s="5" t="s">
        <v>81</v>
      </c>
      <c r="F4944" s="5" t="s">
        <v>14174</v>
      </c>
      <c r="G4944" s="5" t="s">
        <v>152</v>
      </c>
      <c r="H4944" s="5" t="s">
        <v>14175</v>
      </c>
      <c r="I4944" s="5" t="s">
        <v>14311</v>
      </c>
      <c r="J4944" s="5" t="s">
        <v>14312</v>
      </c>
      <c r="K4944" s="7" t="str">
        <f ca="1">IFERROR(__xludf.DUMMYFUNCTION("GOOGLETRANSLATE(H4944,""EN"",""ES"")"),"MATERIALES DE CONSTRUCCIÓN")</f>
        <v>MATERIALES DE CONSTRUCCIÓN</v>
      </c>
      <c r="L4944" s="5" t="str">
        <f ca="1">IFERROR(__xludf.DUMMYFUNCTION("GOOGLETRANSLATE(J4944,""EN"",""ES"")"),"Listas de bordes para césped y parterres de flores")</f>
        <v>Listas de bordes para césped y parterres de flores</v>
      </c>
      <c r="M4944" s="8" t="s">
        <v>82</v>
      </c>
      <c r="N4944" s="8"/>
    </row>
    <row r="4945" spans="1:14" ht="11.25" customHeight="1">
      <c r="A4945" s="5" t="s">
        <v>14170</v>
      </c>
      <c r="B4945" s="5" t="s">
        <v>14171</v>
      </c>
      <c r="C4945" s="5" t="s">
        <v>14313</v>
      </c>
      <c r="D4945" s="5" t="s">
        <v>14173</v>
      </c>
      <c r="E4945" s="5" t="s">
        <v>81</v>
      </c>
      <c r="F4945" s="5" t="s">
        <v>14174</v>
      </c>
      <c r="G4945" s="5" t="s">
        <v>152</v>
      </c>
      <c r="H4945" s="5" t="s">
        <v>14175</v>
      </c>
      <c r="I4945" s="5" t="s">
        <v>14314</v>
      </c>
      <c r="J4945" s="5" t="s">
        <v>14315</v>
      </c>
      <c r="K4945" s="7" t="str">
        <f ca="1">IFERROR(__xludf.DUMMYFUNCTION("GOOGLETRANSLATE(H4945,""EN"",""ES"")"),"MATERIALES DE CONSTRUCCIÓN")</f>
        <v>MATERIALES DE CONSTRUCCIÓN</v>
      </c>
      <c r="L4945" s="5" t="str">
        <f ca="1">IFERROR(__xludf.DUMMYFUNCTION("GOOGLETRANSLATE(J4945,""EN"",""ES"")"),"Mamparas antirruido [materiales de construcción]")</f>
        <v>Mamparas antirruido [materiales de construcción]</v>
      </c>
      <c r="M4945" s="8" t="s">
        <v>82</v>
      </c>
      <c r="N4945" s="8"/>
    </row>
    <row r="4946" spans="1:14" ht="11.25" customHeight="1">
      <c r="A4946" s="5" t="s">
        <v>14170</v>
      </c>
      <c r="B4946" s="5" t="s">
        <v>14171</v>
      </c>
      <c r="C4946" s="5" t="s">
        <v>14316</v>
      </c>
      <c r="D4946" s="5" t="s">
        <v>14173</v>
      </c>
      <c r="E4946" s="5" t="s">
        <v>81</v>
      </c>
      <c r="F4946" s="5" t="s">
        <v>14174</v>
      </c>
      <c r="G4946" s="5" t="s">
        <v>152</v>
      </c>
      <c r="H4946" s="5" t="s">
        <v>14175</v>
      </c>
      <c r="I4946" s="5" t="s">
        <v>14317</v>
      </c>
      <c r="J4946" s="5" t="s">
        <v>14318</v>
      </c>
      <c r="K4946" s="7" t="str">
        <f ca="1">IFERROR(__xludf.DUMMYFUNCTION("GOOGLETRANSLATE(H4946,""EN"",""ES"")"),"MATERIALES DE CONSTRUCCIÓN")</f>
        <v>MATERIALES DE CONSTRUCCIÓN</v>
      </c>
      <c r="L4946" s="5" t="str">
        <f ca="1">IFERROR(__xludf.DUMMYFUNCTION("GOOGLETRANSLATE(J4946,""EN"",""ES"")"),"Paneles para conductores eléctricos.")</f>
        <v>Paneles para conductores eléctricos.</v>
      </c>
      <c r="M4946" s="8" t="s">
        <v>82</v>
      </c>
      <c r="N4946" s="8"/>
    </row>
    <row r="4947" spans="1:14" ht="11.25" customHeight="1">
      <c r="A4947" s="5" t="s">
        <v>14170</v>
      </c>
      <c r="B4947" s="5" t="s">
        <v>14171</v>
      </c>
      <c r="C4947" s="5" t="s">
        <v>14319</v>
      </c>
      <c r="D4947" s="5" t="s">
        <v>14173</v>
      </c>
      <c r="E4947" s="5" t="s">
        <v>81</v>
      </c>
      <c r="F4947" s="5" t="s">
        <v>14174</v>
      </c>
      <c r="G4947" s="5" t="s">
        <v>152</v>
      </c>
      <c r="H4947" s="5" t="s">
        <v>14175</v>
      </c>
      <c r="I4947" s="5" t="s">
        <v>14320</v>
      </c>
      <c r="J4947" s="5" t="s">
        <v>14321</v>
      </c>
      <c r="K4947" s="7" t="str">
        <f ca="1">IFERROR(__xludf.DUMMYFUNCTION("GOOGLETRANSLATE(H4947,""EN"",""ES"")"),"MATERIALES DE CONSTRUCCIÓN")</f>
        <v>MATERIALES DE CONSTRUCCIÓN</v>
      </c>
      <c r="L4947" s="5" t="str">
        <f ca="1">IFERROR(__xludf.DUMMYFUNCTION("GOOGLETRANSLATE(J4947,""EN"",""ES"")"),"Paneles decorativos para la construcción.")</f>
        <v>Paneles decorativos para la construcción.</v>
      </c>
      <c r="M4947" s="8" t="s">
        <v>82</v>
      </c>
      <c r="N4947" s="8"/>
    </row>
    <row r="4948" spans="1:14" ht="11.25" customHeight="1">
      <c r="A4948" s="5" t="s">
        <v>14170</v>
      </c>
      <c r="B4948" s="5" t="s">
        <v>14171</v>
      </c>
      <c r="C4948" s="5" t="s">
        <v>14322</v>
      </c>
      <c r="D4948" s="5" t="s">
        <v>14173</v>
      </c>
      <c r="E4948" s="5" t="s">
        <v>81</v>
      </c>
      <c r="F4948" s="5" t="s">
        <v>14174</v>
      </c>
      <c r="G4948" s="5" t="s">
        <v>152</v>
      </c>
      <c r="H4948" s="5" t="s">
        <v>14175</v>
      </c>
      <c r="I4948" s="5" t="s">
        <v>14323</v>
      </c>
      <c r="J4948" s="5" t="s">
        <v>14324</v>
      </c>
      <c r="K4948" s="7" t="str">
        <f ca="1">IFERROR(__xludf.DUMMYFUNCTION("GOOGLETRANSLATE(H4948,""EN"",""ES"")"),"MATERIALES DE CONSTRUCCIÓN")</f>
        <v>MATERIALES DE CONSTRUCCIÓN</v>
      </c>
      <c r="L4948" s="5" t="str">
        <f ca="1">IFERROR(__xludf.DUMMYFUNCTION("GOOGLETRANSLATE(J4948,""EN"",""ES"")"),"Elementos de anclaje [edificio]")</f>
        <v>Elementos de anclaje [edificio]</v>
      </c>
      <c r="M4948" s="8" t="s">
        <v>82</v>
      </c>
      <c r="N4948" s="8"/>
    </row>
    <row r="4949" spans="1:14" ht="11.25" customHeight="1">
      <c r="A4949" s="5" t="s">
        <v>14170</v>
      </c>
      <c r="B4949" s="5" t="s">
        <v>14171</v>
      </c>
      <c r="C4949" s="5" t="s">
        <v>14325</v>
      </c>
      <c r="D4949" s="5" t="s">
        <v>14173</v>
      </c>
      <c r="E4949" s="5" t="s">
        <v>81</v>
      </c>
      <c r="F4949" s="5" t="s">
        <v>14174</v>
      </c>
      <c r="G4949" s="5" t="s">
        <v>152</v>
      </c>
      <c r="H4949" s="5" t="s">
        <v>14175</v>
      </c>
      <c r="I4949" s="5" t="s">
        <v>14326</v>
      </c>
      <c r="J4949" s="5" t="s">
        <v>14327</v>
      </c>
      <c r="K4949" s="7" t="str">
        <f ca="1">IFERROR(__xludf.DUMMYFUNCTION("GOOGLETRANSLATE(H4949,""EN"",""ES"")"),"MATERIALES DE CONSTRUCCIÓN")</f>
        <v>MATERIALES DE CONSTRUCCIÓN</v>
      </c>
      <c r="L4949" s="5" t="str">
        <f ca="1">IFERROR(__xludf.DUMMYFUNCTION("GOOGLETRANSLATE(J4949,""EN"",""ES"")"),"Cuartones [carpintería]")</f>
        <v>Cuartones [carpintería]</v>
      </c>
      <c r="M4949" s="8" t="s">
        <v>82</v>
      </c>
      <c r="N4949" s="8"/>
    </row>
    <row r="4950" spans="1:14" ht="11.25" customHeight="1">
      <c r="A4950" s="5" t="s">
        <v>14170</v>
      </c>
      <c r="B4950" s="5" t="s">
        <v>14171</v>
      </c>
      <c r="C4950" s="5" t="s">
        <v>14328</v>
      </c>
      <c r="D4950" s="5" t="s">
        <v>14173</v>
      </c>
      <c r="E4950" s="5" t="s">
        <v>81</v>
      </c>
      <c r="F4950" s="5" t="s">
        <v>14174</v>
      </c>
      <c r="G4950" s="5" t="s">
        <v>152</v>
      </c>
      <c r="H4950" s="5" t="s">
        <v>14175</v>
      </c>
      <c r="I4950" s="5" t="s">
        <v>14329</v>
      </c>
      <c r="J4950" s="5" t="s">
        <v>14330</v>
      </c>
      <c r="K4950" s="7" t="str">
        <f ca="1">IFERROR(__xludf.DUMMYFUNCTION("GOOGLETRANSLATE(H4950,""EN"",""ES"")"),"MATERIALES DE CONSTRUCCIÓN")</f>
        <v>MATERIALES DE CONSTRUCCIÓN</v>
      </c>
      <c r="L4950" s="5" t="str">
        <f ca="1">IFERROR(__xludf.DUMMYFUNCTION("GOOGLETRANSLATE(J4950,""EN"",""ES"")"),"Secciones [materiales de construcción]")</f>
        <v>Secciones [materiales de construcción]</v>
      </c>
      <c r="M4950" s="8" t="s">
        <v>82</v>
      </c>
      <c r="N4950" s="8"/>
    </row>
    <row r="4951" spans="1:14" ht="11.25" customHeight="1">
      <c r="A4951" s="5" t="s">
        <v>14170</v>
      </c>
      <c r="B4951" s="5" t="s">
        <v>14171</v>
      </c>
      <c r="C4951" s="5" t="s">
        <v>14331</v>
      </c>
      <c r="D4951" s="5" t="s">
        <v>14173</v>
      </c>
      <c r="E4951" s="5" t="s">
        <v>81</v>
      </c>
      <c r="F4951" s="5" t="s">
        <v>14174</v>
      </c>
      <c r="G4951" s="5" t="s">
        <v>152</v>
      </c>
      <c r="H4951" s="5" t="s">
        <v>14175</v>
      </c>
      <c r="I4951" s="5" t="s">
        <v>14332</v>
      </c>
      <c r="J4951" s="5" t="s">
        <v>14333</v>
      </c>
      <c r="K4951" s="7" t="str">
        <f ca="1">IFERROR(__xludf.DUMMYFUNCTION("GOOGLETRANSLATE(H4951,""EN"",""ES"")"),"MATERIALES DE CONSTRUCCIÓN")</f>
        <v>MATERIALES DE CONSTRUCCIÓN</v>
      </c>
      <c r="L4951" s="5" t="str">
        <f ca="1">IFERROR(__xludf.DUMMYFUNCTION("GOOGLETRANSLATE(J4951,""EN"",""ES"")"),"Bloques para rompeolas")</f>
        <v>Bloques para rompeolas</v>
      </c>
      <c r="M4951" s="8" t="s">
        <v>82</v>
      </c>
      <c r="N4951" s="8"/>
    </row>
    <row r="4952" spans="1:14" ht="11.25" customHeight="1">
      <c r="A4952" s="5" t="s">
        <v>14170</v>
      </c>
      <c r="B4952" s="5" t="s">
        <v>14334</v>
      </c>
      <c r="C4952" s="5" t="s">
        <v>14335</v>
      </c>
      <c r="D4952" s="5" t="s">
        <v>14173</v>
      </c>
      <c r="E4952" s="5" t="s">
        <v>81</v>
      </c>
      <c r="F4952" s="5" t="s">
        <v>14174</v>
      </c>
      <c r="G4952" s="5" t="s">
        <v>152</v>
      </c>
      <c r="H4952" s="5" t="s">
        <v>14336</v>
      </c>
      <c r="I4952" s="5" t="s">
        <v>14337</v>
      </c>
      <c r="J4952" s="5" t="s">
        <v>14338</v>
      </c>
      <c r="K4952" s="7" t="str">
        <f ca="1">IFERROR(__xludf.DUMMYFUNCTION("GOOGLETRANSLATE(H4952,""EN"",""ES"")"),"PIEZAS DE CONSTRUCCIÓN PREFABRICADAS O PREENSAMBLADAS")</f>
        <v>PIEZAS DE CONSTRUCCIÓN PREFABRICADAS O PREENSAMBLADAS</v>
      </c>
      <c r="L4952" s="5" t="str">
        <f ca="1">IFERROR(__xludf.DUMMYFUNCTION("GOOGLETRANSLATE(J4952,""EN"",""ES"")"),"Tapas de alcantarilla")</f>
        <v>Tapas de alcantarilla</v>
      </c>
      <c r="M4952" s="8" t="s">
        <v>82</v>
      </c>
      <c r="N4952" s="8"/>
    </row>
    <row r="4953" spans="1:14" ht="11.25" customHeight="1">
      <c r="A4953" s="5" t="s">
        <v>14170</v>
      </c>
      <c r="B4953" s="5" t="s">
        <v>14334</v>
      </c>
      <c r="C4953" s="5" t="s">
        <v>14339</v>
      </c>
      <c r="D4953" s="5" t="s">
        <v>14173</v>
      </c>
      <c r="E4953" s="5" t="s">
        <v>81</v>
      </c>
      <c r="F4953" s="5" t="s">
        <v>14174</v>
      </c>
      <c r="G4953" s="5" t="s">
        <v>152</v>
      </c>
      <c r="H4953" s="5" t="s">
        <v>14336</v>
      </c>
      <c r="I4953" s="5" t="s">
        <v>14340</v>
      </c>
      <c r="J4953" s="5" t="s">
        <v>14341</v>
      </c>
      <c r="K4953" s="7" t="str">
        <f ca="1">IFERROR(__xludf.DUMMYFUNCTION("GOOGLETRANSLATE(H4953,""EN"",""ES"")"),"PIEZAS DE CONSTRUCCIÓN PREFABRICADAS O PREENSAMBLADAS")</f>
        <v>PIEZAS DE CONSTRUCCIÓN PREFABRICADAS O PREENSAMBLADAS</v>
      </c>
      <c r="L4953" s="5" t="str">
        <f ca="1">IFERROR(__xludf.DUMMYFUNCTION("GOOGLETRANSLATE(J4953,""EN"",""ES"")"),"Cubiertas de chimenea")</f>
        <v>Cubiertas de chimenea</v>
      </c>
      <c r="M4953" s="8" t="s">
        <v>82</v>
      </c>
      <c r="N4953" s="8"/>
    </row>
    <row r="4954" spans="1:14" ht="11.25" customHeight="1">
      <c r="A4954" s="5" t="s">
        <v>14170</v>
      </c>
      <c r="B4954" s="5" t="s">
        <v>14334</v>
      </c>
      <c r="C4954" s="5" t="s">
        <v>14339</v>
      </c>
      <c r="D4954" s="5" t="s">
        <v>14173</v>
      </c>
      <c r="E4954" s="5" t="s">
        <v>81</v>
      </c>
      <c r="F4954" s="5" t="s">
        <v>14174</v>
      </c>
      <c r="G4954" s="5" t="s">
        <v>152</v>
      </c>
      <c r="H4954" s="5" t="s">
        <v>14336</v>
      </c>
      <c r="I4954" s="5" t="s">
        <v>152</v>
      </c>
      <c r="J4954" s="5" t="s">
        <v>14342</v>
      </c>
      <c r="K4954" s="7" t="str">
        <f ca="1">IFERROR(__xludf.DUMMYFUNCTION("GOOGLETRANSLATE(H4954,""EN"",""ES"")"),"PIEZAS DE CONSTRUCCIÓN PREFABRICADAS O PREENSAMBLADAS")</f>
        <v>PIEZAS DE CONSTRUCCIÓN PREFABRICADAS O PREENSAMBLADAS</v>
      </c>
      <c r="L4954" s="5" t="str">
        <f ca="1">IFERROR(__xludf.DUMMYFUNCTION("GOOGLETRANSLATE(J4954,""EN"",""ES"")"),"N / A")</f>
        <v>N / A</v>
      </c>
      <c r="M4954" s="8" t="s">
        <v>82</v>
      </c>
      <c r="N4954" s="8"/>
    </row>
    <row r="4955" spans="1:14" ht="11.25" customHeight="1">
      <c r="A4955" s="5" t="s">
        <v>14170</v>
      </c>
      <c r="B4955" s="5" t="s">
        <v>14334</v>
      </c>
      <c r="C4955" s="5" t="s">
        <v>14343</v>
      </c>
      <c r="D4955" s="5" t="s">
        <v>14173</v>
      </c>
      <c r="E4955" s="5" t="s">
        <v>81</v>
      </c>
      <c r="F4955" s="5" t="s">
        <v>14174</v>
      </c>
      <c r="G4955" s="5" t="s">
        <v>152</v>
      </c>
      <c r="H4955" s="5" t="s">
        <v>14336</v>
      </c>
      <c r="I4955" s="5" t="s">
        <v>14344</v>
      </c>
      <c r="J4955" s="5" t="s">
        <v>14345</v>
      </c>
      <c r="K4955" s="7" t="str">
        <f ca="1">IFERROR(__xludf.DUMMYFUNCTION("GOOGLETRANSLATE(H4955,""EN"",""ES"")"),"PIEZAS DE CONSTRUCCIÓN PREFABRICADAS O PREENSAMBLADAS")</f>
        <v>PIEZAS DE CONSTRUCCIÓN PREFABRICADAS O PREENSAMBLADAS</v>
      </c>
      <c r="L4955" s="5" t="str">
        <f ca="1">IFERROR(__xludf.DUMMYFUNCTION("GOOGLETRANSLATE(J4955,""EN"",""ES"")"),"Alféizares")</f>
        <v>Alféizares</v>
      </c>
      <c r="M4955" s="8" t="s">
        <v>82</v>
      </c>
      <c r="N4955" s="8"/>
    </row>
    <row r="4956" spans="1:14" ht="11.25" customHeight="1">
      <c r="A4956" s="5" t="s">
        <v>14170</v>
      </c>
      <c r="B4956" s="5" t="s">
        <v>14334</v>
      </c>
      <c r="C4956" s="5" t="s">
        <v>14343</v>
      </c>
      <c r="D4956" s="5" t="s">
        <v>14173</v>
      </c>
      <c r="E4956" s="5" t="s">
        <v>81</v>
      </c>
      <c r="F4956" s="5" t="s">
        <v>14174</v>
      </c>
      <c r="G4956" s="5" t="s">
        <v>152</v>
      </c>
      <c r="H4956" s="5" t="s">
        <v>14336</v>
      </c>
      <c r="I4956" s="5" t="s">
        <v>14346</v>
      </c>
      <c r="J4956" s="5" t="s">
        <v>152</v>
      </c>
      <c r="K4956" s="7" t="str">
        <f ca="1">IFERROR(__xludf.DUMMYFUNCTION("GOOGLETRANSLATE(H4956,""EN"",""ES"")"),"PIEZAS DE CONSTRUCCIÓN PREFABRICADAS O PREENSAMBLADAS")</f>
        <v>PIEZAS DE CONSTRUCCIÓN PREFABRICADAS O PREENSAMBLADAS</v>
      </c>
      <c r="L4956" s="5" t="str">
        <f ca="1">IFERROR(__xludf.DUMMYFUNCTION("GOOGLETRANSLATE(J4956,""EN"",""ES"")"),"Alféizares [alféizares]")</f>
        <v>Alféizares [alféizares]</v>
      </c>
      <c r="M4956" s="8" t="s">
        <v>82</v>
      </c>
      <c r="N4956" s="8"/>
    </row>
    <row r="4957" spans="1:14" ht="11.25" customHeight="1">
      <c r="A4957" s="5" t="s">
        <v>14170</v>
      </c>
      <c r="B4957" s="5" t="s">
        <v>14334</v>
      </c>
      <c r="C4957" s="5" t="s">
        <v>14347</v>
      </c>
      <c r="D4957" s="5" t="s">
        <v>14173</v>
      </c>
      <c r="E4957" s="5" t="s">
        <v>81</v>
      </c>
      <c r="F4957" s="5" t="s">
        <v>14174</v>
      </c>
      <c r="G4957" s="5" t="s">
        <v>152</v>
      </c>
      <c r="H4957" s="5" t="s">
        <v>14336</v>
      </c>
      <c r="I4957" s="5" t="s">
        <v>14348</v>
      </c>
      <c r="J4957" s="5" t="s">
        <v>14349</v>
      </c>
      <c r="K4957" s="7" t="str">
        <f ca="1">IFERROR(__xludf.DUMMYFUNCTION("GOOGLETRANSLATE(H4957,""EN"",""ES"")"),"PIEZAS DE CONSTRUCCIÓN PREFABRICADAS O PREENSAMBLADAS")</f>
        <v>PIEZAS DE CONSTRUCCIÓN PREFABRICADAS O PREENSAMBLADAS</v>
      </c>
      <c r="L4957" s="5" t="str">
        <f ca="1">IFERROR(__xludf.DUMMYFUNCTION("GOOGLETRANSLATE(J4957,""EN"",""ES"")"),"Toldos")</f>
        <v>Toldos</v>
      </c>
      <c r="M4957" s="8" t="s">
        <v>82</v>
      </c>
      <c r="N4957" s="8"/>
    </row>
    <row r="4958" spans="1:14" ht="11.25" customHeight="1">
      <c r="A4958" s="5" t="s">
        <v>14170</v>
      </c>
      <c r="B4958" s="5" t="s">
        <v>14334</v>
      </c>
      <c r="C4958" s="5" t="s">
        <v>14350</v>
      </c>
      <c r="D4958" s="5" t="s">
        <v>14173</v>
      </c>
      <c r="E4958" s="5" t="s">
        <v>81</v>
      </c>
      <c r="F4958" s="5" t="s">
        <v>14174</v>
      </c>
      <c r="G4958" s="5" t="s">
        <v>152</v>
      </c>
      <c r="H4958" s="5" t="s">
        <v>14336</v>
      </c>
      <c r="I4958" s="5" t="s">
        <v>14351</v>
      </c>
      <c r="J4958" s="5" t="s">
        <v>14351</v>
      </c>
      <c r="K4958" s="7" t="str">
        <f ca="1">IFERROR(__xludf.DUMMYFUNCTION("GOOGLETRANSLATE(H4958,""EN"",""ES"")"),"PIEZAS DE CONSTRUCCIÓN PREFABRICADAS O PREENSAMBLADAS")</f>
        <v>PIEZAS DE CONSTRUCCIÓN PREFABRICADAS O PREENSAMBLADAS</v>
      </c>
      <c r="L4958" s="5" t="str">
        <f ca="1">IFERROR(__xludf.DUMMYFUNCTION("GOOGLETRANSLATE(J4958,""EN"",""ES"")"),"balaustradas")</f>
        <v>balaustradas</v>
      </c>
      <c r="M4958" s="8" t="s">
        <v>82</v>
      </c>
      <c r="N4958" s="8"/>
    </row>
    <row r="4959" spans="1:14" ht="11.25" customHeight="1">
      <c r="A4959" s="5" t="s">
        <v>14170</v>
      </c>
      <c r="B4959" s="5" t="s">
        <v>14334</v>
      </c>
      <c r="C4959" s="5" t="s">
        <v>14350</v>
      </c>
      <c r="D4959" s="5" t="s">
        <v>14173</v>
      </c>
      <c r="E4959" s="5" t="s">
        <v>81</v>
      </c>
      <c r="F4959" s="5" t="s">
        <v>14174</v>
      </c>
      <c r="G4959" s="5" t="s">
        <v>152</v>
      </c>
      <c r="H4959" s="5" t="s">
        <v>14336</v>
      </c>
      <c r="I4959" s="5" t="s">
        <v>14352</v>
      </c>
      <c r="J4959" s="5" t="s">
        <v>152</v>
      </c>
      <c r="K4959" s="7" t="str">
        <f ca="1">IFERROR(__xludf.DUMMYFUNCTION("GOOGLETRANSLATE(H4959,""EN"",""ES"")"),"PIEZAS DE CONSTRUCCIÓN PREFABRICADAS O PREENSAMBLADAS")</f>
        <v>PIEZAS DE CONSTRUCCIÓN PREFABRICADAS O PREENSAMBLADAS</v>
      </c>
      <c r="L4959" s="5" t="str">
        <f ca="1">IFERROR(__xludf.DUMMYFUNCTION("GOOGLETRANSLATE(J4959,""EN"",""ES"")"),"Pasamanos")</f>
        <v>Pasamanos</v>
      </c>
      <c r="M4959" s="8" t="s">
        <v>82</v>
      </c>
      <c r="N4959" s="8"/>
    </row>
    <row r="4960" spans="1:14" ht="11.25" customHeight="1">
      <c r="A4960" s="5" t="s">
        <v>14170</v>
      </c>
      <c r="B4960" s="5" t="s">
        <v>14334</v>
      </c>
      <c r="C4960" s="5" t="s">
        <v>14353</v>
      </c>
      <c r="D4960" s="5" t="s">
        <v>14173</v>
      </c>
      <c r="E4960" s="5" t="s">
        <v>81</v>
      </c>
      <c r="F4960" s="5" t="s">
        <v>14174</v>
      </c>
      <c r="G4960" s="5" t="s">
        <v>152</v>
      </c>
      <c r="H4960" s="5" t="s">
        <v>14336</v>
      </c>
      <c r="I4960" s="5" t="s">
        <v>14354</v>
      </c>
      <c r="J4960" s="5" t="s">
        <v>14355</v>
      </c>
      <c r="K4960" s="7" t="str">
        <f ca="1">IFERROR(__xludf.DUMMYFUNCTION("GOOGLETRANSLATE(H4960,""EN"",""ES"")"),"PIEZAS DE CONSTRUCCIÓN PREFABRICADAS O PREENSAMBLADAS")</f>
        <v>PIEZAS DE CONSTRUCCIÓN PREFABRICADAS O PREENSAMBLADAS</v>
      </c>
      <c r="L4960" s="5" t="str">
        <f ca="1">IFERROR(__xludf.DUMMYFUNCTION("GOOGLETRANSLATE(J4960,""EN"",""ES"")"),"balaustrada")</f>
        <v>balaustrada</v>
      </c>
      <c r="M4960" s="8" t="s">
        <v>82</v>
      </c>
      <c r="N4960" s="8"/>
    </row>
    <row r="4961" spans="1:14" ht="11.25" customHeight="1">
      <c r="A4961" s="5" t="s">
        <v>14170</v>
      </c>
      <c r="B4961" s="5" t="s">
        <v>14334</v>
      </c>
      <c r="C4961" s="5" t="s">
        <v>14356</v>
      </c>
      <c r="D4961" s="5" t="s">
        <v>14173</v>
      </c>
      <c r="E4961" s="5" t="s">
        <v>81</v>
      </c>
      <c r="F4961" s="5" t="s">
        <v>14174</v>
      </c>
      <c r="G4961" s="5" t="s">
        <v>152</v>
      </c>
      <c r="H4961" s="5" t="s">
        <v>14336</v>
      </c>
      <c r="I4961" s="5" t="s">
        <v>14357</v>
      </c>
      <c r="J4961" s="5" t="s">
        <v>14358</v>
      </c>
      <c r="K4961" s="7" t="str">
        <f ca="1">IFERROR(__xludf.DUMMYFUNCTION("GOOGLETRANSLATE(H4961,""EN"",""ES"")"),"PIEZAS DE CONSTRUCCIÓN PREFABRICADAS O PREENSAMBLADAS")</f>
        <v>PIEZAS DE CONSTRUCCIÓN PREFABRICADAS O PREENSAMBLADAS</v>
      </c>
      <c r="L4961" s="5" t="str">
        <f ca="1">IFERROR(__xludf.DUMMYFUNCTION("GOOGLETRANSLATE(J4961,""EN"",""ES"")"),"Barreras")</f>
        <v>Barreras</v>
      </c>
      <c r="M4961" s="8" t="s">
        <v>82</v>
      </c>
      <c r="N4961" s="8"/>
    </row>
    <row r="4962" spans="1:14" ht="11.25" customHeight="1">
      <c r="A4962" s="5" t="s">
        <v>14170</v>
      </c>
      <c r="B4962" s="5" t="s">
        <v>14334</v>
      </c>
      <c r="C4962" s="5" t="s">
        <v>14359</v>
      </c>
      <c r="D4962" s="5" t="s">
        <v>14173</v>
      </c>
      <c r="E4962" s="5" t="s">
        <v>81</v>
      </c>
      <c r="F4962" s="5" t="s">
        <v>14174</v>
      </c>
      <c r="G4962" s="5" t="s">
        <v>152</v>
      </c>
      <c r="H4962" s="5" t="s">
        <v>14336</v>
      </c>
      <c r="I4962" s="5" t="s">
        <v>14360</v>
      </c>
      <c r="J4962" s="5" t="s">
        <v>14361</v>
      </c>
      <c r="K4962" s="7" t="str">
        <f ca="1">IFERROR(__xludf.DUMMYFUNCTION("GOOGLETRANSLATE(H4962,""EN"",""ES"")"),"PIEZAS DE CONSTRUCCIÓN PREFABRICADAS O PREENSAMBLADAS")</f>
        <v>PIEZAS DE CONSTRUCCIÓN PREFABRICADAS O PREENSAMBLADAS</v>
      </c>
      <c r="L4962" s="5" t="str">
        <f ca="1">IFERROR(__xludf.DUMMYFUNCTION("GOOGLETRANSLATE(J4962,""EN"",""ES"")"),"Barreras de seguridad para carreteras")</f>
        <v>Barreras de seguridad para carreteras</v>
      </c>
      <c r="M4962" s="8" t="s">
        <v>82</v>
      </c>
      <c r="N4962" s="8"/>
    </row>
    <row r="4963" spans="1:14" ht="11.25" customHeight="1">
      <c r="A4963" s="5" t="s">
        <v>14170</v>
      </c>
      <c r="B4963" s="5" t="s">
        <v>14334</v>
      </c>
      <c r="C4963" s="5" t="s">
        <v>14359</v>
      </c>
      <c r="D4963" s="5" t="s">
        <v>14173</v>
      </c>
      <c r="E4963" s="5" t="s">
        <v>81</v>
      </c>
      <c r="F4963" s="5" t="s">
        <v>14174</v>
      </c>
      <c r="G4963" s="5" t="s">
        <v>152</v>
      </c>
      <c r="H4963" s="5" t="s">
        <v>14336</v>
      </c>
      <c r="I4963" s="5" t="s">
        <v>14362</v>
      </c>
      <c r="J4963" s="5" t="s">
        <v>152</v>
      </c>
      <c r="K4963" s="7" t="str">
        <f ca="1">IFERROR(__xludf.DUMMYFUNCTION("GOOGLETRANSLATE(H4963,""EN"",""ES"")"),"PIEZAS DE CONSTRUCCIÓN PREFABRICADAS O PREENSAMBLADAS")</f>
        <v>PIEZAS DE CONSTRUCCIÓN PREFABRICADAS O PREENSAMBLADAS</v>
      </c>
      <c r="L4963" s="5" t="str">
        <f ca="1">IFERROR(__xludf.DUMMYFUNCTION("GOOGLETRANSLATE(J4963,""EN"",""ES"")"),"Guardias de línea de carretera")</f>
        <v>Guardias de línea de carretera</v>
      </c>
      <c r="M4963" s="8" t="s">
        <v>82</v>
      </c>
      <c r="N4963" s="8"/>
    </row>
    <row r="4964" spans="1:14" ht="11.25" customHeight="1">
      <c r="A4964" s="5" t="s">
        <v>14170</v>
      </c>
      <c r="B4964" s="5" t="s">
        <v>14334</v>
      </c>
      <c r="C4964" s="5" t="s">
        <v>14363</v>
      </c>
      <c r="D4964" s="5" t="s">
        <v>14173</v>
      </c>
      <c r="E4964" s="5" t="s">
        <v>81</v>
      </c>
      <c r="F4964" s="5" t="s">
        <v>14174</v>
      </c>
      <c r="G4964" s="5" t="s">
        <v>152</v>
      </c>
      <c r="H4964" s="5" t="s">
        <v>14336</v>
      </c>
      <c r="I4964" s="5" t="s">
        <v>14364</v>
      </c>
      <c r="J4964" s="5" t="s">
        <v>14365</v>
      </c>
      <c r="K4964" s="7" t="str">
        <f ca="1">IFERROR(__xludf.DUMMYFUNCTION("GOOGLETRANSLATE(H4964,""EN"",""ES"")"),"PIEZAS DE CONSTRUCCIÓN PREFABRICADAS O PREENSAMBLADAS")</f>
        <v>PIEZAS DE CONSTRUCCIÓN PREFABRICADAS O PREENSAMBLADAS</v>
      </c>
      <c r="L4964" s="5" t="str">
        <f ca="1">IFERROR(__xludf.DUMMYFUNCTION("GOOGLETRANSLATE(J4964,""EN"",""ES"")"),"Puertas de paso a nivel")</f>
        <v>Puertas de paso a nivel</v>
      </c>
      <c r="M4964" s="8" t="s">
        <v>82</v>
      </c>
      <c r="N4964" s="8"/>
    </row>
    <row r="4965" spans="1:14" ht="11.25" customHeight="1">
      <c r="A4965" s="5" t="s">
        <v>14170</v>
      </c>
      <c r="B4965" s="5" t="s">
        <v>14334</v>
      </c>
      <c r="C4965" s="5" t="s">
        <v>14363</v>
      </c>
      <c r="D4965" s="5" t="s">
        <v>14173</v>
      </c>
      <c r="E4965" s="5" t="s">
        <v>81</v>
      </c>
      <c r="F4965" s="5" t="s">
        <v>14174</v>
      </c>
      <c r="G4965" s="5" t="s">
        <v>152</v>
      </c>
      <c r="H4965" s="5" t="s">
        <v>14336</v>
      </c>
      <c r="I4965" s="5" t="s">
        <v>14366</v>
      </c>
      <c r="J4965" s="5" t="s">
        <v>152</v>
      </c>
      <c r="K4965" s="7" t="str">
        <f ca="1">IFERROR(__xludf.DUMMYFUNCTION("GOOGLETRANSLATE(H4965,""EN"",""ES"")"),"PIEZAS DE CONSTRUCCIÓN PREFABRICADAS O PREENSAMBLADAS")</f>
        <v>PIEZAS DE CONSTRUCCIÓN PREFABRICADAS O PREENSAMBLADAS</v>
      </c>
      <c r="L4965" s="5" t="str">
        <f ca="1">IFERROR(__xludf.DUMMYFUNCTION("GOOGLETRANSLATE(J4965,""EN"",""ES"")"),"Puertas de paso a nivel")</f>
        <v>Puertas de paso a nivel</v>
      </c>
      <c r="M4965" s="8" t="s">
        <v>82</v>
      </c>
      <c r="N4965" s="8"/>
    </row>
    <row r="4966" spans="1:14" ht="11.25" customHeight="1">
      <c r="A4966" s="5" t="s">
        <v>14170</v>
      </c>
      <c r="B4966" s="5" t="s">
        <v>14334</v>
      </c>
      <c r="C4966" s="5" t="s">
        <v>14367</v>
      </c>
      <c r="D4966" s="5" t="s">
        <v>14173</v>
      </c>
      <c r="E4966" s="5" t="s">
        <v>81</v>
      </c>
      <c r="F4966" s="5" t="s">
        <v>14174</v>
      </c>
      <c r="G4966" s="5" t="s">
        <v>152</v>
      </c>
      <c r="H4966" s="5" t="s">
        <v>14336</v>
      </c>
      <c r="I4966" s="5" t="s">
        <v>14368</v>
      </c>
      <c r="J4966" s="5" t="s">
        <v>14369</v>
      </c>
      <c r="K4966" s="7" t="str">
        <f ca="1">IFERROR(__xludf.DUMMYFUNCTION("GOOGLETRANSLATE(H4966,""EN"",""ES"")"),"PIEZAS DE CONSTRUCCIÓN PREFABRICADAS O PREENSAMBLADAS")</f>
        <v>PIEZAS DE CONSTRUCCIÓN PREFABRICADAS O PREENSAMBLADAS</v>
      </c>
      <c r="L4966" s="5" t="str">
        <f ca="1">IFERROR(__xludf.DUMMYFUNCTION("GOOGLETRANSLATE(J4966,""EN"",""ES"")"),"Cajas fuertes")</f>
        <v>Cajas fuertes</v>
      </c>
      <c r="M4966" s="8" t="s">
        <v>82</v>
      </c>
      <c r="N4966" s="8"/>
    </row>
    <row r="4967" spans="1:14" ht="11.25" customHeight="1">
      <c r="A4967" s="5" t="s">
        <v>14170</v>
      </c>
      <c r="B4967" s="5" t="s">
        <v>14334</v>
      </c>
      <c r="C4967" s="5" t="s">
        <v>14370</v>
      </c>
      <c r="D4967" s="5" t="s">
        <v>14173</v>
      </c>
      <c r="E4967" s="5" t="s">
        <v>81</v>
      </c>
      <c r="F4967" s="5" t="s">
        <v>14174</v>
      </c>
      <c r="G4967" s="5" t="s">
        <v>152</v>
      </c>
      <c r="H4967" s="5" t="s">
        <v>14336</v>
      </c>
      <c r="I4967" s="5" t="s">
        <v>14371</v>
      </c>
      <c r="J4967" s="5" t="s">
        <v>14372</v>
      </c>
      <c r="K4967" s="7" t="str">
        <f ca="1">IFERROR(__xludf.DUMMYFUNCTION("GOOGLETRANSLATE(H4967,""EN"",""ES"")"),"PIEZAS DE CONSTRUCCIÓN PREFABRICADAS O PREENSAMBLADAS")</f>
        <v>PIEZAS DE CONSTRUCCIÓN PREFABRICADAS O PREENSAMBLADAS</v>
      </c>
      <c r="L4967" s="5" t="str">
        <f ca="1">IFERROR(__xludf.DUMMYFUNCTION("GOOGLETRANSLATE(J4967,""EN"",""ES"")"),"Tapas de chimenea")</f>
        <v>Tapas de chimenea</v>
      </c>
      <c r="M4967" s="8" t="s">
        <v>82</v>
      </c>
      <c r="N4967" s="8"/>
    </row>
    <row r="4968" spans="1:14" ht="11.25" customHeight="1">
      <c r="A4968" s="5" t="s">
        <v>14170</v>
      </c>
      <c r="B4968" s="5" t="s">
        <v>14334</v>
      </c>
      <c r="C4968" s="5" t="s">
        <v>14373</v>
      </c>
      <c r="D4968" s="5" t="s">
        <v>14173</v>
      </c>
      <c r="E4968" s="5" t="s">
        <v>81</v>
      </c>
      <c r="F4968" s="5" t="s">
        <v>14174</v>
      </c>
      <c r="G4968" s="5" t="s">
        <v>152</v>
      </c>
      <c r="H4968" s="5" t="s">
        <v>14336</v>
      </c>
      <c r="I4968" s="5" t="s">
        <v>14374</v>
      </c>
      <c r="J4968" s="5" t="s">
        <v>14375</v>
      </c>
      <c r="K4968" s="7" t="str">
        <f ca="1">IFERROR(__xludf.DUMMYFUNCTION("GOOGLETRANSLATE(H4968,""EN"",""ES"")"),"PIEZAS DE CONSTRUCCIÓN PREFABRICADAS O PREENSAMBLADAS")</f>
        <v>PIEZAS DE CONSTRUCCIÓN PREFABRICADAS O PREENSAMBLADAS</v>
      </c>
      <c r="L4968" s="5" t="str">
        <f ca="1">IFERROR(__xludf.DUMMYFUNCTION("GOOGLETRANSLATE(J4968,""EN"",""ES"")"),"Marco [edificio]")</f>
        <v>Marco [edificio]</v>
      </c>
      <c r="M4968" s="8" t="s">
        <v>82</v>
      </c>
      <c r="N4968" s="8"/>
    </row>
    <row r="4969" spans="1:14" ht="11.25" customHeight="1">
      <c r="A4969" s="5" t="s">
        <v>14170</v>
      </c>
      <c r="B4969" s="5" t="s">
        <v>14334</v>
      </c>
      <c r="C4969" s="5" t="s">
        <v>14376</v>
      </c>
      <c r="D4969" s="5" t="s">
        <v>14173</v>
      </c>
      <c r="E4969" s="5" t="s">
        <v>81</v>
      </c>
      <c r="F4969" s="5" t="s">
        <v>14174</v>
      </c>
      <c r="G4969" s="5" t="s">
        <v>152</v>
      </c>
      <c r="H4969" s="5" t="s">
        <v>14336</v>
      </c>
      <c r="I4969" s="5" t="s">
        <v>14377</v>
      </c>
      <c r="J4969" s="5" t="s">
        <v>14378</v>
      </c>
      <c r="K4969" s="7" t="str">
        <f ca="1">IFERROR(__xludf.DUMMYFUNCTION("GOOGLETRANSLATE(H4969,""EN"",""ES"")"),"PIEZAS DE CONSTRUCCIÓN PREFABRICADAS O PREENSAMBLADAS")</f>
        <v>PIEZAS DE CONSTRUCCIÓN PREFABRICADAS O PREENSAMBLADAS</v>
      </c>
      <c r="L4969" s="5" t="str">
        <f ca="1">IFERROR(__xludf.DUMMYFUNCTION("GOOGLETRANSLATE(J4969,""EN"",""ES"")"),"Marcos forzados [horticultura]")</f>
        <v>Marcos forzados [horticultura]</v>
      </c>
      <c r="M4969" s="8" t="s">
        <v>82</v>
      </c>
      <c r="N4969" s="8"/>
    </row>
    <row r="4970" spans="1:14" ht="11.25" customHeight="1">
      <c r="A4970" s="5" t="s">
        <v>14170</v>
      </c>
      <c r="B4970" s="5" t="s">
        <v>14334</v>
      </c>
      <c r="C4970" s="5" t="s">
        <v>14379</v>
      </c>
      <c r="D4970" s="5" t="s">
        <v>14173</v>
      </c>
      <c r="E4970" s="5" t="s">
        <v>81</v>
      </c>
      <c r="F4970" s="5" t="s">
        <v>14174</v>
      </c>
      <c r="G4970" s="5" t="s">
        <v>152</v>
      </c>
      <c r="H4970" s="5" t="s">
        <v>14336</v>
      </c>
      <c r="I4970" s="5" t="s">
        <v>14380</v>
      </c>
      <c r="J4970" s="5" t="s">
        <v>14381</v>
      </c>
      <c r="K4970" s="7" t="str">
        <f ca="1">IFERROR(__xludf.DUMMYFUNCTION("GOOGLETRANSLATE(H4970,""EN"",""ES"")"),"PIEZAS DE CONSTRUCCIÓN PREFABRICADAS O PREENSAMBLADAS")</f>
        <v>PIEZAS DE CONSTRUCCIÓN PREFABRICADAS O PREENSAMBLADAS</v>
      </c>
      <c r="L4970" s="5" t="str">
        <f ca="1">IFERROR(__xludf.DUMMYFUNCTION("GOOGLETRANSLATE(J4970,""EN"",""ES"")"),"Marcos de ventanas")</f>
        <v>Marcos de ventanas</v>
      </c>
      <c r="M4970" s="8" t="s">
        <v>82</v>
      </c>
      <c r="N4970" s="8"/>
    </row>
    <row r="4971" spans="1:14" ht="11.25" customHeight="1">
      <c r="A4971" s="5" t="s">
        <v>14170</v>
      </c>
      <c r="B4971" s="5" t="s">
        <v>14334</v>
      </c>
      <c r="C4971" s="5" t="s">
        <v>14382</v>
      </c>
      <c r="D4971" s="5" t="s">
        <v>14173</v>
      </c>
      <c r="E4971" s="5" t="s">
        <v>81</v>
      </c>
      <c r="F4971" s="5" t="s">
        <v>14174</v>
      </c>
      <c r="G4971" s="5" t="s">
        <v>152</v>
      </c>
      <c r="H4971" s="5" t="s">
        <v>14336</v>
      </c>
      <c r="I4971" s="5" t="s">
        <v>14383</v>
      </c>
      <c r="J4971" s="5" t="s">
        <v>14384</v>
      </c>
      <c r="K4971" s="7" t="str">
        <f ca="1">IFERROR(__xludf.DUMMYFUNCTION("GOOGLETRANSLATE(H4971,""EN"",""ES"")"),"PIEZAS DE CONSTRUCCIÓN PREFABRICADAS O PREENSAMBLADAS")</f>
        <v>PIEZAS DE CONSTRUCCIÓN PREFABRICADAS O PREENSAMBLADAS</v>
      </c>
      <c r="L4971" s="5" t="str">
        <f ca="1">IFERROR(__xludf.DUMMYFUNCTION("GOOGLETRANSLATE(J4971,""EN"",""ES"")"),"Chimeneas para edificios")</f>
        <v>Chimeneas para edificios</v>
      </c>
      <c r="M4971" s="8" t="s">
        <v>82</v>
      </c>
      <c r="N4971" s="8"/>
    </row>
    <row r="4972" spans="1:14" ht="11.25" customHeight="1">
      <c r="A4972" s="5" t="s">
        <v>14170</v>
      </c>
      <c r="B4972" s="5" t="s">
        <v>14334</v>
      </c>
      <c r="C4972" s="5" t="s">
        <v>14385</v>
      </c>
      <c r="D4972" s="5" t="s">
        <v>14173</v>
      </c>
      <c r="E4972" s="5" t="s">
        <v>81</v>
      </c>
      <c r="F4972" s="5" t="s">
        <v>14174</v>
      </c>
      <c r="G4972" s="5" t="s">
        <v>152</v>
      </c>
      <c r="H4972" s="5" t="s">
        <v>14336</v>
      </c>
      <c r="I4972" s="5" t="s">
        <v>14386</v>
      </c>
      <c r="J4972" s="5" t="s">
        <v>14387</v>
      </c>
      <c r="K4972" s="7" t="str">
        <f ca="1">IFERROR(__xludf.DUMMYFUNCTION("GOOGLETRANSLATE(H4972,""EN"",""ES"")"),"PIEZAS DE CONSTRUCCIÓN PREFABRICADAS O PREENSAMBLADAS")</f>
        <v>PIEZAS DE CONSTRUCCIÓN PREFABRICADAS O PREENSAMBLADAS</v>
      </c>
      <c r="L4972" s="5" t="str">
        <f ca="1">IFERROR(__xludf.DUMMYFUNCTION("GOOGLETRANSLATE(J4972,""EN"",""ES"")"),"Mamparas para invernaderos")</f>
        <v>Mamparas para invernaderos</v>
      </c>
      <c r="M4972" s="8" t="s">
        <v>82</v>
      </c>
      <c r="N4972" s="8"/>
    </row>
    <row r="4973" spans="1:14" ht="11.25" customHeight="1">
      <c r="A4973" s="5" t="s">
        <v>14170</v>
      </c>
      <c r="B4973" s="5" t="s">
        <v>14334</v>
      </c>
      <c r="C4973" s="5" t="s">
        <v>14388</v>
      </c>
      <c r="D4973" s="5" t="s">
        <v>14173</v>
      </c>
      <c r="E4973" s="5" t="s">
        <v>81</v>
      </c>
      <c r="F4973" s="5" t="s">
        <v>14174</v>
      </c>
      <c r="G4973" s="5" t="s">
        <v>152</v>
      </c>
      <c r="H4973" s="5" t="s">
        <v>14336</v>
      </c>
      <c r="I4973" s="5" t="s">
        <v>14389</v>
      </c>
      <c r="J4973" s="5" t="s">
        <v>14390</v>
      </c>
      <c r="K4973" s="7" t="str">
        <f ca="1">IFERROR(__xludf.DUMMYFUNCTION("GOOGLETRANSLATE(H4973,""EN"",""ES"")"),"PIEZAS DE CONSTRUCCIÓN PREFABRICADAS O PREENSAMBLADAS")</f>
        <v>PIEZAS DE CONSTRUCCIÓN PREFABRICADAS O PREENSAMBLADAS</v>
      </c>
      <c r="L4973" s="5" t="str">
        <f ca="1">IFERROR(__xludf.DUMMYFUNCTION("GOOGLETRANSLATE(J4973,""EN"",""ES"")"),"Particiones [edificio]")</f>
        <v>Particiones [edificio]</v>
      </c>
      <c r="M4973" s="8" t="s">
        <v>82</v>
      </c>
      <c r="N4973" s="8"/>
    </row>
    <row r="4974" spans="1:14" ht="11.25" customHeight="1">
      <c r="A4974" s="5" t="s">
        <v>14170</v>
      </c>
      <c r="B4974" s="5" t="s">
        <v>14334</v>
      </c>
      <c r="C4974" s="5" t="s">
        <v>14391</v>
      </c>
      <c r="D4974" s="5" t="s">
        <v>14173</v>
      </c>
      <c r="E4974" s="5" t="s">
        <v>81</v>
      </c>
      <c r="F4974" s="5" t="s">
        <v>14174</v>
      </c>
      <c r="G4974" s="5" t="s">
        <v>152</v>
      </c>
      <c r="H4974" s="5" t="s">
        <v>14336</v>
      </c>
      <c r="I4974" s="5" t="s">
        <v>14392</v>
      </c>
      <c r="J4974" s="5" t="s">
        <v>14393</v>
      </c>
      <c r="K4974" s="7" t="str">
        <f ca="1">IFERROR(__xludf.DUMMYFUNCTION("GOOGLETRANSLATE(H4974,""EN"",""ES"")"),"PIEZAS DE CONSTRUCCIÓN PREFABRICADAS O PREENSAMBLADAS")</f>
        <v>PIEZAS DE CONSTRUCCIÓN PREFABRICADAS O PREENSAMBLADAS</v>
      </c>
      <c r="L4974" s="5" t="str">
        <f ca="1">IFERROR(__xludf.DUMMYFUNCTION("GOOGLETRANSLATE(J4974,""EN"",""ES"")"),"vallas")</f>
        <v>vallas</v>
      </c>
      <c r="M4974" s="8" t="s">
        <v>82</v>
      </c>
      <c r="N4974" s="8"/>
    </row>
    <row r="4975" spans="1:14" ht="11.25" customHeight="1">
      <c r="A4975" s="5" t="s">
        <v>14170</v>
      </c>
      <c r="B4975" s="5" t="s">
        <v>14334</v>
      </c>
      <c r="C4975" s="5" t="s">
        <v>14394</v>
      </c>
      <c r="D4975" s="5" t="s">
        <v>14173</v>
      </c>
      <c r="E4975" s="5" t="s">
        <v>81</v>
      </c>
      <c r="F4975" s="5" t="s">
        <v>14174</v>
      </c>
      <c r="G4975" s="5" t="s">
        <v>152</v>
      </c>
      <c r="H4975" s="5" t="s">
        <v>14336</v>
      </c>
      <c r="I4975" s="5" t="s">
        <v>14395</v>
      </c>
      <c r="J4975" s="5" t="s">
        <v>14396</v>
      </c>
      <c r="K4975" s="7" t="str">
        <f ca="1">IFERROR(__xludf.DUMMYFUNCTION("GOOGLETRANSLATE(H4975,""EN"",""ES"")"),"PIEZAS DE CONSTRUCCIÓN PREFABRICADAS O PREENSAMBLADAS")</f>
        <v>PIEZAS DE CONSTRUCCIÓN PREFABRICADAS O PREENSAMBLADAS</v>
      </c>
      <c r="L4975" s="5" t="str">
        <f ca="1">IFERROR(__xludf.DUMMYFUNCTION("GOOGLETRANSLATE(J4975,""EN"",""ES"")"),"Columnas [edificio]")</f>
        <v>Columnas [edificio]</v>
      </c>
      <c r="M4975" s="8" t="s">
        <v>82</v>
      </c>
      <c r="N4975" s="8"/>
    </row>
    <row r="4976" spans="1:14" ht="11.25" customHeight="1">
      <c r="A4976" s="5" t="s">
        <v>14170</v>
      </c>
      <c r="B4976" s="5" t="s">
        <v>14334</v>
      </c>
      <c r="C4976" s="5" t="s">
        <v>14397</v>
      </c>
      <c r="D4976" s="5" t="s">
        <v>14173</v>
      </c>
      <c r="E4976" s="5" t="s">
        <v>81</v>
      </c>
      <c r="F4976" s="5" t="s">
        <v>14174</v>
      </c>
      <c r="G4976" s="5" t="s">
        <v>152</v>
      </c>
      <c r="H4976" s="5" t="s">
        <v>14336</v>
      </c>
      <c r="I4976" s="5" t="s">
        <v>14398</v>
      </c>
      <c r="J4976" s="5" t="s">
        <v>14399</v>
      </c>
      <c r="K4976" s="7" t="str">
        <f ca="1">IFERROR(__xludf.DUMMYFUNCTION("GOOGLETRANSLATE(H4976,""EN"",""ES"")"),"PIEZAS DE CONSTRUCCIÓN PREFABRICADAS O PREENSAMBLADAS")</f>
        <v>PIEZAS DE CONSTRUCCIÓN PREFABRICADAS O PREENSAMBLADAS</v>
      </c>
      <c r="L4976" s="5" t="str">
        <f ca="1">IFERROR(__xludf.DUMMYFUNCTION("GOOGLETRANSLATE(J4976,""EN"",""ES"")"),"Piezas de construcción prefabricadas o premontadas")</f>
        <v>Piezas de construcción prefabricadas o premontadas</v>
      </c>
      <c r="M4976" s="8" t="s">
        <v>82</v>
      </c>
      <c r="N4976" s="8"/>
    </row>
    <row r="4977" spans="1:14" ht="11.25" customHeight="1">
      <c r="A4977" s="5" t="s">
        <v>14170</v>
      </c>
      <c r="B4977" s="5" t="s">
        <v>14334</v>
      </c>
      <c r="C4977" s="5" t="s">
        <v>14400</v>
      </c>
      <c r="D4977" s="5" t="s">
        <v>14173</v>
      </c>
      <c r="E4977" s="5" t="s">
        <v>81</v>
      </c>
      <c r="F4977" s="5" t="s">
        <v>14174</v>
      </c>
      <c r="G4977" s="5" t="s">
        <v>152</v>
      </c>
      <c r="H4977" s="5" t="s">
        <v>14336</v>
      </c>
      <c r="I4977" s="5" t="s">
        <v>14401</v>
      </c>
      <c r="J4977" s="5" t="s">
        <v>14402</v>
      </c>
      <c r="K4977" s="7" t="str">
        <f ca="1">IFERROR(__xludf.DUMMYFUNCTION("GOOGLETRANSLATE(H4977,""EN"",""ES"")"),"PIEZAS DE CONSTRUCCIÓN PREFABRICADAS O PREENSAMBLADAS")</f>
        <v>PIEZAS DE CONSTRUCCIÓN PREFABRICADAS O PREENSAMBLADAS</v>
      </c>
      <c r="L4977" s="5" t="str">
        <f ca="1">IFERROR(__xludf.DUMMYFUNCTION("GOOGLETRANSLATE(J4977,""EN"",""ES"")"),"ventanas de tormenta")</f>
        <v>ventanas de tormenta</v>
      </c>
      <c r="M4977" s="8" t="s">
        <v>82</v>
      </c>
      <c r="N4977" s="8"/>
    </row>
    <row r="4978" spans="1:14" ht="11.25" customHeight="1">
      <c r="A4978" s="5" t="s">
        <v>14170</v>
      </c>
      <c r="B4978" s="5" t="s">
        <v>14334</v>
      </c>
      <c r="C4978" s="5" t="s">
        <v>14403</v>
      </c>
      <c r="D4978" s="5" t="s">
        <v>14173</v>
      </c>
      <c r="E4978" s="5" t="s">
        <v>81</v>
      </c>
      <c r="F4978" s="5" t="s">
        <v>14174</v>
      </c>
      <c r="G4978" s="5" t="s">
        <v>152</v>
      </c>
      <c r="H4978" s="5" t="s">
        <v>14336</v>
      </c>
      <c r="I4978" s="5" t="s">
        <v>14404</v>
      </c>
      <c r="J4978" s="5" t="s">
        <v>14405</v>
      </c>
      <c r="K4978" s="7" t="str">
        <f ca="1">IFERROR(__xludf.DUMMYFUNCTION("GOOGLETRANSLATE(H4978,""EN"",""ES"")"),"PIEZAS DE CONSTRUCCIÓN PREFABRICADAS O PREENSAMBLADAS")</f>
        <v>PIEZAS DE CONSTRUCCIÓN PREFABRICADAS O PREENSAMBLADAS</v>
      </c>
      <c r="L4978" s="5" t="str">
        <f ca="1">IFERROR(__xludf.DUMMYFUNCTION("GOOGLETRANSLATE(J4978,""EN"",""ES"")"),"Cornisas [edificio]")</f>
        <v>Cornisas [edificio]</v>
      </c>
      <c r="M4978" s="8" t="s">
        <v>82</v>
      </c>
      <c r="N4978" s="8"/>
    </row>
    <row r="4979" spans="1:14" ht="11.25" customHeight="1">
      <c r="A4979" s="5" t="s">
        <v>14170</v>
      </c>
      <c r="B4979" s="5" t="s">
        <v>14334</v>
      </c>
      <c r="C4979" s="5" t="s">
        <v>14406</v>
      </c>
      <c r="D4979" s="5" t="s">
        <v>14173</v>
      </c>
      <c r="E4979" s="5" t="s">
        <v>81</v>
      </c>
      <c r="F4979" s="5" t="s">
        <v>14174</v>
      </c>
      <c r="G4979" s="5" t="s">
        <v>152</v>
      </c>
      <c r="H4979" s="5" t="s">
        <v>14336</v>
      </c>
      <c r="I4979" s="5" t="s">
        <v>14407</v>
      </c>
      <c r="J4979" s="5" t="s">
        <v>14408</v>
      </c>
      <c r="K4979" s="7" t="str">
        <f ca="1">IFERROR(__xludf.DUMMYFUNCTION("GOOGLETRANSLATE(H4979,""EN"",""ES"")"),"PIEZAS DE CONSTRUCCIÓN PREFABRICADAS O PREENSAMBLADAS")</f>
        <v>PIEZAS DE CONSTRUCCIÓN PREFABRICADAS O PREENSAMBLADAS</v>
      </c>
      <c r="L4979" s="5" t="str">
        <f ca="1">IFERROR(__xludf.DUMMYFUNCTION("GOOGLETRANSLATE(J4979,""EN"",""ES"")"),"ventanas abatibles")</f>
        <v>ventanas abatibles</v>
      </c>
      <c r="M4979" s="8" t="s">
        <v>82</v>
      </c>
      <c r="N4979" s="8"/>
    </row>
    <row r="4980" spans="1:14" ht="11.25" customHeight="1">
      <c r="A4980" s="5" t="s">
        <v>14170</v>
      </c>
      <c r="B4980" s="5" t="s">
        <v>14334</v>
      </c>
      <c r="C4980" s="5" t="s">
        <v>14409</v>
      </c>
      <c r="D4980" s="5" t="s">
        <v>14173</v>
      </c>
      <c r="E4980" s="5" t="s">
        <v>81</v>
      </c>
      <c r="F4980" s="5" t="s">
        <v>14174</v>
      </c>
      <c r="G4980" s="5" t="s">
        <v>152</v>
      </c>
      <c r="H4980" s="5" t="s">
        <v>14336</v>
      </c>
      <c r="I4980" s="5" t="s">
        <v>14410</v>
      </c>
      <c r="J4980" s="5" t="s">
        <v>14411</v>
      </c>
      <c r="K4980" s="7" t="str">
        <f ca="1">IFERROR(__xludf.DUMMYFUNCTION("GOOGLETRANSLATE(H4980,""EN"",""ES"")"),"PIEZAS DE CONSTRUCCIÓN PREFABRICADAS O PREENSAMBLADAS")</f>
        <v>PIEZAS DE CONSTRUCCIÓN PREFABRICADAS O PREENSAMBLADAS</v>
      </c>
      <c r="L4980" s="5" t="str">
        <f ca="1">IFERROR(__xludf.DUMMYFUNCTION("GOOGLETRANSLATE(J4980,""EN"",""ES"")"),"Estribos para puentes")</f>
        <v>Estribos para puentes</v>
      </c>
      <c r="M4980" s="8" t="s">
        <v>82</v>
      </c>
      <c r="N4980" s="8"/>
    </row>
    <row r="4981" spans="1:14" ht="11.25" customHeight="1">
      <c r="A4981" s="5" t="s">
        <v>14170</v>
      </c>
      <c r="B4981" s="5" t="s">
        <v>14334</v>
      </c>
      <c r="C4981" s="5" t="s">
        <v>14412</v>
      </c>
      <c r="D4981" s="5" t="s">
        <v>14173</v>
      </c>
      <c r="E4981" s="5" t="s">
        <v>81</v>
      </c>
      <c r="F4981" s="5" t="s">
        <v>14174</v>
      </c>
      <c r="G4981" s="5" t="s">
        <v>152</v>
      </c>
      <c r="H4981" s="5" t="s">
        <v>14336</v>
      </c>
      <c r="I4981" s="5" t="s">
        <v>14413</v>
      </c>
      <c r="J4981" s="5" t="s">
        <v>14414</v>
      </c>
      <c r="K4981" s="7" t="str">
        <f ca="1">IFERROR(__xludf.DUMMYFUNCTION("GOOGLETRANSLATE(H4981,""EN"",""ES"")"),"PIEZAS DE CONSTRUCCIÓN PREFABRICADAS O PREENSAMBLADAS")</f>
        <v>PIEZAS DE CONSTRUCCIÓN PREFABRICADAS O PREENSAMBLADAS</v>
      </c>
      <c r="L4981" s="5" t="str">
        <f ca="1">IFERROR(__xludf.DUMMYFUNCTION("GOOGLETRANSLATE(J4981,""EN"",""ES"")"),"Adoquines")</f>
        <v>Adoquines</v>
      </c>
      <c r="M4981" s="8" t="s">
        <v>82</v>
      </c>
      <c r="N4981" s="8"/>
    </row>
    <row r="4982" spans="1:14" ht="11.25" customHeight="1">
      <c r="A4982" s="5" t="s">
        <v>14170</v>
      </c>
      <c r="B4982" s="5" t="s">
        <v>14334</v>
      </c>
      <c r="C4982" s="5" t="s">
        <v>14415</v>
      </c>
      <c r="D4982" s="5" t="s">
        <v>14173</v>
      </c>
      <c r="E4982" s="5" t="s">
        <v>81</v>
      </c>
      <c r="F4982" s="5" t="s">
        <v>14174</v>
      </c>
      <c r="G4982" s="5" t="s">
        <v>152</v>
      </c>
      <c r="H4982" s="5" t="s">
        <v>14336</v>
      </c>
      <c r="I4982" s="5" t="s">
        <v>14416</v>
      </c>
      <c r="J4982" s="5" t="s">
        <v>14417</v>
      </c>
      <c r="K4982" s="7" t="str">
        <f ca="1">IFERROR(__xludf.DUMMYFUNCTION("GOOGLETRANSLATE(H4982,""EN"",""ES"")"),"PIEZAS DE CONSTRUCCIÓN PREFABRICADAS O PREENSAMBLADAS")</f>
        <v>PIEZAS DE CONSTRUCCIÓN PREFABRICADAS O PREENSAMBLADAS</v>
      </c>
      <c r="L4982" s="5" t="str">
        <f ca="1">IFERROR(__xludf.DUMMYFUNCTION("GOOGLETRANSLATE(J4982,""EN"",""ES"")"),"Domos")</f>
        <v>Domos</v>
      </c>
      <c r="M4982" s="8" t="s">
        <v>82</v>
      </c>
      <c r="N4982" s="8"/>
    </row>
    <row r="4983" spans="1:14" ht="11.25" customHeight="1">
      <c r="A4983" s="5" t="s">
        <v>14170</v>
      </c>
      <c r="B4983" s="5" t="s">
        <v>14334</v>
      </c>
      <c r="C4983" s="5" t="s">
        <v>14418</v>
      </c>
      <c r="D4983" s="5" t="s">
        <v>14173</v>
      </c>
      <c r="E4983" s="5" t="s">
        <v>81</v>
      </c>
      <c r="F4983" s="5" t="s">
        <v>14174</v>
      </c>
      <c r="G4983" s="5" t="s">
        <v>152</v>
      </c>
      <c r="H4983" s="5" t="s">
        <v>14336</v>
      </c>
      <c r="I4983" s="5" t="s">
        <v>14419</v>
      </c>
      <c r="J4983" s="5" t="s">
        <v>14420</v>
      </c>
      <c r="K4983" s="7" t="str">
        <f ca="1">IFERROR(__xludf.DUMMYFUNCTION("GOOGLETRANSLATE(H4983,""EN"",""ES"")"),"PIEZAS DE CONSTRUCCIÓN PREFABRICADAS O PREENSAMBLADAS")</f>
        <v>PIEZAS DE CONSTRUCCIÓN PREFABRICADAS O PREENSAMBLADAS</v>
      </c>
      <c r="L4983" s="5" t="str">
        <f ca="1">IFERROR(__xludf.DUMMYFUNCTION("GOOGLETRANSLATE(J4983,""EN"",""ES"")"),"ventanas")</f>
        <v>ventanas</v>
      </c>
      <c r="M4983" s="8" t="s">
        <v>82</v>
      </c>
      <c r="N4983" s="8"/>
    </row>
    <row r="4984" spans="1:14" ht="11.25" customHeight="1">
      <c r="A4984" s="5" t="s">
        <v>14170</v>
      </c>
      <c r="B4984" s="5" t="s">
        <v>14334</v>
      </c>
      <c r="C4984" s="5" t="s">
        <v>14421</v>
      </c>
      <c r="D4984" s="5" t="s">
        <v>14173</v>
      </c>
      <c r="E4984" s="5" t="s">
        <v>81</v>
      </c>
      <c r="F4984" s="5" t="s">
        <v>14174</v>
      </c>
      <c r="G4984" s="5" t="s">
        <v>152</v>
      </c>
      <c r="H4984" s="5" t="s">
        <v>14336</v>
      </c>
      <c r="I4984" s="5" t="s">
        <v>14422</v>
      </c>
      <c r="J4984" s="5" t="s">
        <v>14423</v>
      </c>
      <c r="K4984" s="7" t="str">
        <f ca="1">IFERROR(__xludf.DUMMYFUNCTION("GOOGLETRANSLATE(H4984,""EN"",""ES"")"),"PIEZAS DE CONSTRUCCIÓN PREFABRICADAS O PREENSAMBLADAS")</f>
        <v>PIEZAS DE CONSTRUCCIÓN PREFABRICADAS O PREENSAMBLADAS</v>
      </c>
      <c r="L4984" s="5" t="str">
        <f ca="1">IFERROR(__xludf.DUMMYFUNCTION("GOOGLETRANSLATE(J4984,""EN"",""ES"")"),"Parapetos")</f>
        <v>Parapetos</v>
      </c>
      <c r="M4984" s="8" t="s">
        <v>82</v>
      </c>
      <c r="N4984" s="8"/>
    </row>
    <row r="4985" spans="1:14" ht="11.25" customHeight="1">
      <c r="A4985" s="5" t="s">
        <v>14170</v>
      </c>
      <c r="B4985" s="5" t="s">
        <v>14334</v>
      </c>
      <c r="C4985" s="5" t="s">
        <v>14424</v>
      </c>
      <c r="D4985" s="5" t="s">
        <v>14173</v>
      </c>
      <c r="E4985" s="5" t="s">
        <v>81</v>
      </c>
      <c r="F4985" s="5" t="s">
        <v>14174</v>
      </c>
      <c r="G4985" s="5" t="s">
        <v>152</v>
      </c>
      <c r="H4985" s="5" t="s">
        <v>14336</v>
      </c>
      <c r="I4985" s="5" t="s">
        <v>14425</v>
      </c>
      <c r="J4985" s="5" t="s">
        <v>14426</v>
      </c>
      <c r="K4985" s="7" t="str">
        <f ca="1">IFERROR(__xludf.DUMMYFUNCTION("GOOGLETRANSLATE(H4985,""EN"",""ES"")"),"PIEZAS DE CONSTRUCCIÓN PREFABRICADAS O PREENSAMBLADAS")</f>
        <v>PIEZAS DE CONSTRUCCIÓN PREFABRICADAS O PREENSAMBLADAS</v>
      </c>
      <c r="L4985" s="5" t="str">
        <f ca="1">IFERROR(__xludf.DUMMYFUNCTION("GOOGLETRANSLATE(J4985,""EN"",""ES"")"),"Rejas [partes de edificios]")</f>
        <v>Rejas [partes de edificios]</v>
      </c>
      <c r="M4985" s="8" t="s">
        <v>82</v>
      </c>
      <c r="N4985" s="8"/>
    </row>
    <row r="4986" spans="1:14" ht="11.25" customHeight="1">
      <c r="A4986" s="5" t="s">
        <v>14170</v>
      </c>
      <c r="B4986" s="5" t="s">
        <v>14334</v>
      </c>
      <c r="C4986" s="5" t="s">
        <v>14427</v>
      </c>
      <c r="D4986" s="5" t="s">
        <v>14173</v>
      </c>
      <c r="E4986" s="5" t="s">
        <v>81</v>
      </c>
      <c r="F4986" s="5" t="s">
        <v>14174</v>
      </c>
      <c r="G4986" s="5" t="s">
        <v>152</v>
      </c>
      <c r="H4986" s="5" t="s">
        <v>14336</v>
      </c>
      <c r="I4986" s="5" t="s">
        <v>14428</v>
      </c>
      <c r="J4986" s="5" t="s">
        <v>14429</v>
      </c>
      <c r="K4986" s="7" t="str">
        <f ca="1">IFERROR(__xludf.DUMMYFUNCTION("GOOGLETRANSLATE(H4986,""EN"",""ES"")"),"PIEZAS DE CONSTRUCCIÓN PREFABRICADAS O PREENSAMBLADAS")</f>
        <v>PIEZAS DE CONSTRUCCIÓN PREFABRICADAS O PREENSAMBLADAS</v>
      </c>
      <c r="L4986" s="5" t="str">
        <f ca="1">IFERROR(__xludf.DUMMYFUNCTION("GOOGLETRANSLATE(J4986,""EN"",""ES"")"),"Persianas venecianas [exteriores]")</f>
        <v>Persianas venecianas [exteriores]</v>
      </c>
      <c r="M4986" s="8" t="s">
        <v>82</v>
      </c>
      <c r="N4986" s="8"/>
    </row>
    <row r="4987" spans="1:14" ht="11.25" customHeight="1">
      <c r="A4987" s="5" t="s">
        <v>14170</v>
      </c>
      <c r="B4987" s="5" t="s">
        <v>14334</v>
      </c>
      <c r="C4987" s="5" t="s">
        <v>14427</v>
      </c>
      <c r="D4987" s="5" t="s">
        <v>14173</v>
      </c>
      <c r="E4987" s="5" t="s">
        <v>81</v>
      </c>
      <c r="F4987" s="5" t="s">
        <v>14174</v>
      </c>
      <c r="G4987" s="5" t="s">
        <v>152</v>
      </c>
      <c r="H4987" s="5" t="s">
        <v>14336</v>
      </c>
      <c r="I4987" s="5" t="s">
        <v>152</v>
      </c>
      <c r="J4987" s="5" t="s">
        <v>14430</v>
      </c>
      <c r="K4987" s="7" t="str">
        <f ca="1">IFERROR(__xludf.DUMMYFUNCTION("GOOGLETRANSLATE(H4987,""EN"",""ES"")"),"PIEZAS DE CONSTRUCCIÓN PREFABRICADAS O PREENSAMBLADAS")</f>
        <v>PIEZAS DE CONSTRUCCIÓN PREFABRICADAS O PREENSAMBLADAS</v>
      </c>
      <c r="L4987" s="5" t="str">
        <f ca="1">IFERROR(__xludf.DUMMYFUNCTION("GOOGLETRANSLATE(J4987,""EN"",""ES"")"),"N / A")</f>
        <v>N / A</v>
      </c>
      <c r="M4987" s="8" t="s">
        <v>82</v>
      </c>
      <c r="N4987" s="8"/>
    </row>
    <row r="4988" spans="1:14" ht="11.25" customHeight="1">
      <c r="A4988" s="5" t="s">
        <v>14170</v>
      </c>
      <c r="B4988" s="5" t="s">
        <v>14334</v>
      </c>
      <c r="C4988" s="5" t="s">
        <v>14431</v>
      </c>
      <c r="D4988" s="5" t="s">
        <v>14173</v>
      </c>
      <c r="E4988" s="5" t="s">
        <v>81</v>
      </c>
      <c r="F4988" s="5" t="s">
        <v>14174</v>
      </c>
      <c r="G4988" s="5" t="s">
        <v>152</v>
      </c>
      <c r="H4988" s="5" t="s">
        <v>14336</v>
      </c>
      <c r="I4988" s="5" t="s">
        <v>14432</v>
      </c>
      <c r="J4988" s="5" t="s">
        <v>14433</v>
      </c>
      <c r="K4988" s="7" t="str">
        <f ca="1">IFERROR(__xludf.DUMMYFUNCTION("GOOGLETRANSLATE(H4988,""EN"",""ES"")"),"PIEZAS DE CONSTRUCCIÓN PREFABRICADAS O PREENSAMBLADAS")</f>
        <v>PIEZAS DE CONSTRUCCIÓN PREFABRICADAS O PREENSAMBLADAS</v>
      </c>
      <c r="L4988" s="5" t="str">
        <f ca="1">IFERROR(__xludf.DUMMYFUNCTION("GOOGLETRANSLATE(J4988,""EN"",""ES"")"),"Lamas para persianas")</f>
        <v>Lamas para persianas</v>
      </c>
      <c r="M4988" s="8" t="s">
        <v>82</v>
      </c>
      <c r="N4988" s="8"/>
    </row>
    <row r="4989" spans="1:14" ht="11.25" customHeight="1">
      <c r="A4989" s="5" t="s">
        <v>14170</v>
      </c>
      <c r="B4989" s="5" t="s">
        <v>14334</v>
      </c>
      <c r="C4989" s="5" t="s">
        <v>14434</v>
      </c>
      <c r="D4989" s="5" t="s">
        <v>14173</v>
      </c>
      <c r="E4989" s="5" t="s">
        <v>81</v>
      </c>
      <c r="F4989" s="5" t="s">
        <v>14174</v>
      </c>
      <c r="G4989" s="5" t="s">
        <v>152</v>
      </c>
      <c r="H4989" s="5" t="s">
        <v>14336</v>
      </c>
      <c r="I4989" s="5" t="s">
        <v>14435</v>
      </c>
      <c r="J4989" s="5" t="s">
        <v>14436</v>
      </c>
      <c r="K4989" s="7" t="str">
        <f ca="1">IFERROR(__xludf.DUMMYFUNCTION("GOOGLETRANSLATE(H4989,""EN"",""ES"")"),"PIEZAS DE CONSTRUCCIÓN PREFABRICADAS O PREENSAMBLADAS")</f>
        <v>PIEZAS DE CONSTRUCCIÓN PREFABRICADAS O PREENSAMBLADAS</v>
      </c>
      <c r="L4989" s="5" t="str">
        <f ca="1">IFERROR(__xludf.DUMMYFUNCTION("GOOGLETRANSLATE(J4989,""EN"",""ES"")"),"Dispositivos para ajustar lamas de persianas.")</f>
        <v>Dispositivos para ajustar lamas de persianas.</v>
      </c>
      <c r="M4989" s="8" t="s">
        <v>82</v>
      </c>
      <c r="N4989" s="8"/>
    </row>
    <row r="4990" spans="1:14" ht="11.25" customHeight="1">
      <c r="A4990" s="5" t="s">
        <v>14170</v>
      </c>
      <c r="B4990" s="5" t="s">
        <v>14334</v>
      </c>
      <c r="C4990" s="5" t="s">
        <v>14437</v>
      </c>
      <c r="D4990" s="5" t="s">
        <v>14173</v>
      </c>
      <c r="E4990" s="5" t="s">
        <v>81</v>
      </c>
      <c r="F4990" s="5" t="s">
        <v>14174</v>
      </c>
      <c r="G4990" s="5" t="s">
        <v>152</v>
      </c>
      <c r="H4990" s="5" t="s">
        <v>14336</v>
      </c>
      <c r="I4990" s="5" t="s">
        <v>14438</v>
      </c>
      <c r="J4990" s="5" t="s">
        <v>14439</v>
      </c>
      <c r="K4990" s="7" t="str">
        <f ca="1">IFERROR(__xludf.DUMMYFUNCTION("GOOGLETRANSLATE(H4990,""EN"",""ES"")"),"PIEZAS DE CONSTRUCCIÓN PREFABRICADAS O PREENSAMBLADAS")</f>
        <v>PIEZAS DE CONSTRUCCIÓN PREFABRICADAS O PREENSAMBLADAS</v>
      </c>
      <c r="L4990" s="5" t="str">
        <f ca="1">IFERROR(__xludf.DUMMYFUNCTION("GOOGLETRANSLATE(J4990,""EN"",""ES"")"),"Linternas de cúpula")</f>
        <v>Linternas de cúpula</v>
      </c>
      <c r="M4990" s="8" t="s">
        <v>82</v>
      </c>
      <c r="N4990" s="8"/>
    </row>
    <row r="4991" spans="1:14" ht="11.25" customHeight="1">
      <c r="A4991" s="5" t="s">
        <v>14170</v>
      </c>
      <c r="B4991" s="5" t="s">
        <v>14334</v>
      </c>
      <c r="C4991" s="5" t="s">
        <v>14437</v>
      </c>
      <c r="D4991" s="5" t="s">
        <v>14173</v>
      </c>
      <c r="E4991" s="5" t="s">
        <v>81</v>
      </c>
      <c r="F4991" s="5" t="s">
        <v>14174</v>
      </c>
      <c r="G4991" s="5" t="s">
        <v>152</v>
      </c>
      <c r="H4991" s="5" t="s">
        <v>14336</v>
      </c>
      <c r="I4991" s="5" t="s">
        <v>14440</v>
      </c>
      <c r="J4991" s="5" t="s">
        <v>152</v>
      </c>
      <c r="K4991" s="7" t="str">
        <f ca="1">IFERROR(__xludf.DUMMYFUNCTION("GOOGLETRANSLATE(H4991,""EN"",""ES"")"),"PIEZAS DE CONSTRUCCIÓN PREFABRICADAS O PREENSAMBLADAS")</f>
        <v>PIEZAS DE CONSTRUCCIÓN PREFABRICADAS O PREENSAMBLADAS</v>
      </c>
      <c r="L4991" s="5" t="str">
        <f ca="1">IFERROR(__xludf.DUMMYFUNCTION("GOOGLETRANSLATE(J4991,""EN"",""ES"")"),"claraboyas")</f>
        <v>claraboyas</v>
      </c>
      <c r="M4991" s="8" t="s">
        <v>82</v>
      </c>
      <c r="N4991" s="8"/>
    </row>
    <row r="4992" spans="1:14" ht="11.25" customHeight="1">
      <c r="A4992" s="5" t="s">
        <v>14170</v>
      </c>
      <c r="B4992" s="5" t="s">
        <v>14334</v>
      </c>
      <c r="C4992" s="5" t="s">
        <v>14441</v>
      </c>
      <c r="D4992" s="5" t="s">
        <v>14173</v>
      </c>
      <c r="E4992" s="5" t="s">
        <v>81</v>
      </c>
      <c r="F4992" s="5" t="s">
        <v>14174</v>
      </c>
      <c r="G4992" s="5" t="s">
        <v>152</v>
      </c>
      <c r="H4992" s="5" t="s">
        <v>14336</v>
      </c>
      <c r="I4992" s="5" t="s">
        <v>14442</v>
      </c>
      <c r="J4992" s="5" t="s">
        <v>14443</v>
      </c>
      <c r="K4992" s="7" t="str">
        <f ca="1">IFERROR(__xludf.DUMMYFUNCTION("GOOGLETRANSLATE(H4992,""EN"",""ES"")"),"PIEZAS DE CONSTRUCCIÓN PREFABRICADAS O PREENSAMBLADAS")</f>
        <v>PIEZAS DE CONSTRUCCIÓN PREFABRICADAS O PREENSAMBLADAS</v>
      </c>
      <c r="L4992" s="5" t="str">
        <f ca="1">IFERROR(__xludf.DUMMYFUNCTION("GOOGLETRANSLATE(J4992,""EN"",""ES"")"),"Dinteles")</f>
        <v>Dinteles</v>
      </c>
      <c r="M4992" s="8" t="s">
        <v>82</v>
      </c>
      <c r="N4992" s="8"/>
    </row>
    <row r="4993" spans="1:14" ht="11.25" customHeight="1">
      <c r="A4993" s="5" t="s">
        <v>14170</v>
      </c>
      <c r="B4993" s="5" t="s">
        <v>14334</v>
      </c>
      <c r="C4993" s="5" t="s">
        <v>14444</v>
      </c>
      <c r="D4993" s="5" t="s">
        <v>14173</v>
      </c>
      <c r="E4993" s="5" t="s">
        <v>81</v>
      </c>
      <c r="F4993" s="5" t="s">
        <v>14174</v>
      </c>
      <c r="G4993" s="5" t="s">
        <v>152</v>
      </c>
      <c r="H4993" s="5" t="s">
        <v>14336</v>
      </c>
      <c r="I4993" s="5" t="s">
        <v>14445</v>
      </c>
      <c r="J4993" s="5" t="s">
        <v>14446</v>
      </c>
      <c r="K4993" s="7" t="str">
        <f ca="1">IFERROR(__xludf.DUMMYFUNCTION("GOOGLETRANSLATE(H4993,""EN"",""ES"")"),"PIEZAS DE CONSTRUCCIÓN PREFABRICADAS O PREENSAMBLADAS")</f>
        <v>PIEZAS DE CONSTRUCCIÓN PREFABRICADAS O PREENSAMBLADAS</v>
      </c>
      <c r="L4993" s="5" t="str">
        <f ca="1">IFERROR(__xludf.DUMMYFUNCTION("GOOGLETRANSLATE(J4993,""EN"",""ES"")"),"Ventanas abuhardilladas")</f>
        <v>Ventanas abuhardilladas</v>
      </c>
      <c r="M4993" s="8" t="s">
        <v>82</v>
      </c>
      <c r="N4993" s="8"/>
    </row>
    <row r="4994" spans="1:14" ht="11.25" customHeight="1">
      <c r="A4994" s="5" t="s">
        <v>14170</v>
      </c>
      <c r="B4994" s="5" t="s">
        <v>14334</v>
      </c>
      <c r="C4994" s="5" t="s">
        <v>14447</v>
      </c>
      <c r="D4994" s="5" t="s">
        <v>14173</v>
      </c>
      <c r="E4994" s="5" t="s">
        <v>81</v>
      </c>
      <c r="F4994" s="5" t="s">
        <v>14174</v>
      </c>
      <c r="G4994" s="5" t="s">
        <v>152</v>
      </c>
      <c r="H4994" s="5" t="s">
        <v>14336</v>
      </c>
      <c r="I4994" s="5" t="s">
        <v>14448</v>
      </c>
      <c r="J4994" s="5" t="s">
        <v>14449</v>
      </c>
      <c r="K4994" s="7" t="str">
        <f ca="1">IFERROR(__xludf.DUMMYFUNCTION("GOOGLETRANSLATE(H4994,""EN"",""ES"")"),"PIEZAS DE CONSTRUCCIÓN PREFABRICADAS O PREENSAMBLADAS")</f>
        <v>PIEZAS DE CONSTRUCCIÓN PREFABRICADAS O PREENSAMBLADAS</v>
      </c>
      <c r="L4994" s="5" t="str">
        <f ca="1">IFERROR(__xludf.DUMMYFUNCTION("GOOGLETRANSLATE(J4994,""EN"",""ES"")"),"Pasamanos")</f>
        <v>Pasamanos</v>
      </c>
      <c r="M4994" s="8" t="s">
        <v>82</v>
      </c>
      <c r="N4994" s="8"/>
    </row>
    <row r="4995" spans="1:14" ht="11.25" customHeight="1">
      <c r="A4995" s="5" t="s">
        <v>14170</v>
      </c>
      <c r="B4995" s="5" t="s">
        <v>14334</v>
      </c>
      <c r="C4995" s="5" t="s">
        <v>14450</v>
      </c>
      <c r="D4995" s="5" t="s">
        <v>14173</v>
      </c>
      <c r="E4995" s="5" t="s">
        <v>81</v>
      </c>
      <c r="F4995" s="5" t="s">
        <v>14174</v>
      </c>
      <c r="G4995" s="5" t="s">
        <v>152</v>
      </c>
      <c r="H4995" s="5" t="s">
        <v>14336</v>
      </c>
      <c r="I4995" s="5" t="s">
        <v>14451</v>
      </c>
      <c r="J4995" s="5" t="s">
        <v>14452</v>
      </c>
      <c r="K4995" s="7" t="str">
        <f ca="1">IFERROR(__xludf.DUMMYFUNCTION("GOOGLETRANSLATE(H4995,""EN"",""ES"")"),"PIEZAS DE CONSTRUCCIÓN PREFABRICADAS O PREENSAMBLADAS")</f>
        <v>PIEZAS DE CONSTRUCCIÓN PREFABRICADAS O PREENSAMBLADAS</v>
      </c>
      <c r="L4995" s="5" t="str">
        <f ca="1">IFERROR(__xludf.DUMMYFUNCTION("GOOGLETRANSLATE(J4995,""EN"",""ES"")"),"Marquesinas para puertas")</f>
        <v>Marquesinas para puertas</v>
      </c>
      <c r="M4995" s="8" t="s">
        <v>82</v>
      </c>
      <c r="N4995" s="8"/>
    </row>
    <row r="4996" spans="1:14" ht="11.25" customHeight="1">
      <c r="A4996" s="5" t="s">
        <v>14170</v>
      </c>
      <c r="B4996" s="5" t="s">
        <v>14334</v>
      </c>
      <c r="C4996" s="5" t="s">
        <v>14453</v>
      </c>
      <c r="D4996" s="5" t="s">
        <v>14173</v>
      </c>
      <c r="E4996" s="5" t="s">
        <v>81</v>
      </c>
      <c r="F4996" s="5" t="s">
        <v>14174</v>
      </c>
      <c r="G4996" s="5" t="s">
        <v>152</v>
      </c>
      <c r="H4996" s="5" t="s">
        <v>14336</v>
      </c>
      <c r="I4996" s="5" t="s">
        <v>14454</v>
      </c>
      <c r="J4996" s="5" t="s">
        <v>14455</v>
      </c>
      <c r="K4996" s="7" t="str">
        <f ca="1">IFERROR(__xludf.DUMMYFUNCTION("GOOGLETRANSLATE(H4996,""EN"",""ES"")"),"PIEZAS DE CONSTRUCCIÓN PREFABRICADAS O PREENSAMBLADAS")</f>
        <v>PIEZAS DE CONSTRUCCIÓN PREFABRICADAS O PREENSAMBLADAS</v>
      </c>
      <c r="L4996" s="5" t="str">
        <f ca="1">IFERROR(__xludf.DUMMYFUNCTION("GOOGLETRANSLATE(J4996,""EN"",""ES"")"),"empalizadas")</f>
        <v>empalizadas</v>
      </c>
      <c r="M4996" s="8" t="s">
        <v>82</v>
      </c>
      <c r="N4996" s="8"/>
    </row>
    <row r="4997" spans="1:14" ht="11.25" customHeight="1">
      <c r="A4997" s="5" t="s">
        <v>14170</v>
      </c>
      <c r="B4997" s="5" t="s">
        <v>14334</v>
      </c>
      <c r="C4997" s="5" t="s">
        <v>14456</v>
      </c>
      <c r="D4997" s="5" t="s">
        <v>14173</v>
      </c>
      <c r="E4997" s="5" t="s">
        <v>81</v>
      </c>
      <c r="F4997" s="5" t="s">
        <v>14174</v>
      </c>
      <c r="G4997" s="5" t="s">
        <v>152</v>
      </c>
      <c r="H4997" s="5" t="s">
        <v>14336</v>
      </c>
      <c r="I4997" s="5" t="s">
        <v>14457</v>
      </c>
      <c r="J4997" s="5" t="s">
        <v>14458</v>
      </c>
      <c r="K4997" s="7" t="str">
        <f ca="1">IFERROR(__xludf.DUMMYFUNCTION("GOOGLETRANSLATE(H4997,""EN"",""ES"")"),"PIEZAS DE CONSTRUCCIÓN PREFABRICADAS O PREENSAMBLADAS")</f>
        <v>PIEZAS DE CONSTRUCCIÓN PREFABRICADAS O PREENSAMBLADAS</v>
      </c>
      <c r="L4997" s="5" t="str">
        <f ca="1">IFERROR(__xludf.DUMMYFUNCTION("GOOGLETRANSLATE(J4997,""EN"",""ES"")"),"Paredes divisorias")</f>
        <v>Paredes divisorias</v>
      </c>
      <c r="M4997" s="8" t="s">
        <v>82</v>
      </c>
      <c r="N4997" s="8"/>
    </row>
    <row r="4998" spans="1:14" ht="11.25" customHeight="1">
      <c r="A4998" s="5" t="s">
        <v>14170</v>
      </c>
      <c r="B4998" s="5" t="s">
        <v>14334</v>
      </c>
      <c r="C4998" s="5" t="s">
        <v>14459</v>
      </c>
      <c r="D4998" s="5" t="s">
        <v>14173</v>
      </c>
      <c r="E4998" s="5" t="s">
        <v>81</v>
      </c>
      <c r="F4998" s="5" t="s">
        <v>14174</v>
      </c>
      <c r="G4998" s="5" t="s">
        <v>152</v>
      </c>
      <c r="H4998" s="5" t="s">
        <v>14336</v>
      </c>
      <c r="I4998" s="5" t="s">
        <v>14460</v>
      </c>
      <c r="J4998" s="5" t="s">
        <v>14460</v>
      </c>
      <c r="K4998" s="7" t="str">
        <f ca="1">IFERROR(__xludf.DUMMYFUNCTION("GOOGLETRANSLATE(H4998,""EN"",""ES"")"),"PIEZAS DE CONSTRUCCIÓN PREFABRICADAS O PREENSAMBLADAS")</f>
        <v>PIEZAS DE CONSTRUCCIÓN PREFABRICADAS O PREENSAMBLADAS</v>
      </c>
      <c r="L4998" s="5" t="str">
        <f ca="1">IFERROR(__xludf.DUMMYFUNCTION("GOOGLETRANSLATE(J4998,""EN"",""ES"")"),"Parquets")</f>
        <v>Parquets</v>
      </c>
      <c r="M4998" s="8" t="s">
        <v>82</v>
      </c>
      <c r="N4998" s="8"/>
    </row>
    <row r="4999" spans="1:14" ht="11.25" customHeight="1">
      <c r="A4999" s="5" t="s">
        <v>14170</v>
      </c>
      <c r="B4999" s="5" t="s">
        <v>14334</v>
      </c>
      <c r="C4999" s="5" t="s">
        <v>14461</v>
      </c>
      <c r="D4999" s="5" t="s">
        <v>14173</v>
      </c>
      <c r="E4999" s="5" t="s">
        <v>81</v>
      </c>
      <c r="F4999" s="5" t="s">
        <v>14174</v>
      </c>
      <c r="G4999" s="5" t="s">
        <v>152</v>
      </c>
      <c r="H4999" s="5" t="s">
        <v>14336</v>
      </c>
      <c r="I4999" s="5" t="s">
        <v>14462</v>
      </c>
      <c r="J4999" s="5" t="s">
        <v>14463</v>
      </c>
      <c r="K4999" s="7" t="str">
        <f ca="1">IFERROR(__xludf.DUMMYFUNCTION("GOOGLETRANSLATE(H4999,""EN"",""ES"")"),"PIEZAS DE CONSTRUCCIÓN PREFABRICADAS O PREENSAMBLADAS")</f>
        <v>PIEZAS DE CONSTRUCCIÓN PREFABRICADAS O PREENSAMBLADAS</v>
      </c>
      <c r="L4999" s="5" t="str">
        <f ca="1">IFERROR(__xludf.DUMMYFUNCTION("GOOGLETRANSLATE(J4999,""EN"",""ES"")"),"Techos")</f>
        <v>Techos</v>
      </c>
      <c r="M4999" s="8" t="s">
        <v>82</v>
      </c>
      <c r="N4999" s="8"/>
    </row>
    <row r="5000" spans="1:14" ht="11.25" customHeight="1">
      <c r="A5000" s="5" t="s">
        <v>14170</v>
      </c>
      <c r="B5000" s="5" t="s">
        <v>14334</v>
      </c>
      <c r="C5000" s="5" t="s">
        <v>14464</v>
      </c>
      <c r="D5000" s="5" t="s">
        <v>14173</v>
      </c>
      <c r="E5000" s="5" t="s">
        <v>81</v>
      </c>
      <c r="F5000" s="5" t="s">
        <v>14174</v>
      </c>
      <c r="G5000" s="5" t="s">
        <v>152</v>
      </c>
      <c r="H5000" s="5" t="s">
        <v>14336</v>
      </c>
      <c r="I5000" s="5" t="s">
        <v>14465</v>
      </c>
      <c r="J5000" s="5" t="s">
        <v>14466</v>
      </c>
      <c r="K5000" s="7" t="str">
        <f ca="1">IFERROR(__xludf.DUMMYFUNCTION("GOOGLETRANSLATE(H5000,""EN"",""ES"")"),"PIEZAS DE CONSTRUCCIÓN PREFABRICADAS O PREENSAMBLADAS")</f>
        <v>PIEZAS DE CONSTRUCCIÓN PREFABRICADAS O PREENSAMBLADAS</v>
      </c>
      <c r="L5000" s="5" t="str">
        <f ca="1">IFERROR(__xludf.DUMMYFUNCTION("GOOGLETRANSLATE(J5000,""EN"",""ES"")"),"Pisos")</f>
        <v>Pisos</v>
      </c>
      <c r="M5000" s="8" t="s">
        <v>82</v>
      </c>
      <c r="N5000" s="8"/>
    </row>
    <row r="5001" spans="1:14" ht="11.25" customHeight="1">
      <c r="A5001" s="5" t="s">
        <v>14170</v>
      </c>
      <c r="B5001" s="5" t="s">
        <v>14334</v>
      </c>
      <c r="C5001" s="5" t="s">
        <v>14467</v>
      </c>
      <c r="D5001" s="5" t="s">
        <v>14173</v>
      </c>
      <c r="E5001" s="5" t="s">
        <v>81</v>
      </c>
      <c r="F5001" s="5" t="s">
        <v>14174</v>
      </c>
      <c r="G5001" s="5" t="s">
        <v>152</v>
      </c>
      <c r="H5001" s="5" t="s">
        <v>14336</v>
      </c>
      <c r="I5001" s="5" t="s">
        <v>14468</v>
      </c>
      <c r="J5001" s="5" t="s">
        <v>14469</v>
      </c>
      <c r="K5001" s="7" t="str">
        <f ca="1">IFERROR(__xludf.DUMMYFUNCTION("GOOGLETRANSLATE(H5001,""EN"",""ES"")"),"PIEZAS DE CONSTRUCCIÓN PREFABRICADAS O PREENSAMBLADAS")</f>
        <v>PIEZAS DE CONSTRUCCIÓN PREFABRICADAS O PREENSAMBLADAS</v>
      </c>
      <c r="L5001" s="5" t="str">
        <f ca="1">IFERROR(__xludf.DUMMYFUNCTION("GOOGLETRANSLATE(J5001,""EN"",""ES"")"),"Puertas")</f>
        <v>Puertas</v>
      </c>
      <c r="M5001" s="8" t="s">
        <v>82</v>
      </c>
      <c r="N5001" s="8"/>
    </row>
    <row r="5002" spans="1:14" ht="11.25" customHeight="1">
      <c r="A5002" s="5" t="s">
        <v>14170</v>
      </c>
      <c r="B5002" s="5" t="s">
        <v>14334</v>
      </c>
      <c r="C5002" s="5" t="s">
        <v>14470</v>
      </c>
      <c r="D5002" s="5" t="s">
        <v>14173</v>
      </c>
      <c r="E5002" s="5" t="s">
        <v>81</v>
      </c>
      <c r="F5002" s="5" t="s">
        <v>14174</v>
      </c>
      <c r="G5002" s="5" t="s">
        <v>152</v>
      </c>
      <c r="H5002" s="5" t="s">
        <v>14336</v>
      </c>
      <c r="I5002" s="5" t="s">
        <v>14471</v>
      </c>
      <c r="J5002" s="5" t="s">
        <v>14472</v>
      </c>
      <c r="K5002" s="7" t="str">
        <f ca="1">IFERROR(__xludf.DUMMYFUNCTION("GOOGLETRANSLATE(H5002,""EN"",""ES"")"),"PIEZAS DE CONSTRUCCIÓN PREFABRICADAS O PREENSAMBLADAS")</f>
        <v>PIEZAS DE CONSTRUCCIÓN PREFABRICADAS O PREENSAMBLADAS</v>
      </c>
      <c r="L5002" s="5" t="str">
        <f ca="1">IFERROR(__xludf.DUMMYFUNCTION("GOOGLETRANSLATE(J5002,""EN"",""ES"")"),"puertas")</f>
        <v>puertas</v>
      </c>
      <c r="M5002" s="8" t="s">
        <v>82</v>
      </c>
      <c r="N5002" s="8"/>
    </row>
    <row r="5003" spans="1:14" ht="11.25" customHeight="1">
      <c r="A5003" s="5" t="s">
        <v>14170</v>
      </c>
      <c r="B5003" s="5" t="s">
        <v>14334</v>
      </c>
      <c r="C5003" s="5" t="s">
        <v>14473</v>
      </c>
      <c r="D5003" s="5" t="s">
        <v>14173</v>
      </c>
      <c r="E5003" s="5" t="s">
        <v>81</v>
      </c>
      <c r="F5003" s="5" t="s">
        <v>14174</v>
      </c>
      <c r="G5003" s="5" t="s">
        <v>152</v>
      </c>
      <c r="H5003" s="5" t="s">
        <v>14336</v>
      </c>
      <c r="I5003" s="5" t="s">
        <v>14474</v>
      </c>
      <c r="J5003" s="5" t="s">
        <v>14475</v>
      </c>
      <c r="K5003" s="7" t="str">
        <f ca="1">IFERROR(__xludf.DUMMYFUNCTION("GOOGLETRANSLATE(H5003,""EN"",""ES"")"),"PIEZAS DE CONSTRUCCIÓN PREFABRICADAS O PREENSAMBLADAS")</f>
        <v>PIEZAS DE CONSTRUCCIÓN PREFABRICADAS O PREENSAMBLADAS</v>
      </c>
      <c r="L5003" s="5" t="str">
        <f ca="1">IFERROR(__xludf.DUMMYFUNCTION("GOOGLETRANSLATE(J5003,""EN"",""ES"")"),"Umbrales")</f>
        <v>Umbrales</v>
      </c>
      <c r="M5003" s="8" t="s">
        <v>82</v>
      </c>
      <c r="N5003" s="8"/>
    </row>
    <row r="5004" spans="1:14" ht="11.25" customHeight="1">
      <c r="A5004" s="5" t="s">
        <v>14170</v>
      </c>
      <c r="B5004" s="5" t="s">
        <v>14334</v>
      </c>
      <c r="C5004" s="5" t="s">
        <v>14476</v>
      </c>
      <c r="D5004" s="5" t="s">
        <v>14173</v>
      </c>
      <c r="E5004" s="5" t="s">
        <v>81</v>
      </c>
      <c r="F5004" s="5" t="s">
        <v>14174</v>
      </c>
      <c r="G5004" s="5" t="s">
        <v>152</v>
      </c>
      <c r="H5004" s="5" t="s">
        <v>14336</v>
      </c>
      <c r="I5004" s="5" t="s">
        <v>14477</v>
      </c>
      <c r="J5004" s="5" t="s">
        <v>14478</v>
      </c>
      <c r="K5004" s="7" t="str">
        <f ca="1">IFERROR(__xludf.DUMMYFUNCTION("GOOGLETRANSLATE(H5004,""EN"",""ES"")"),"PIEZAS DE CONSTRUCCIÓN PREFABRICADAS O PREENSAMBLADAS")</f>
        <v>PIEZAS DE CONSTRUCCIÓN PREFABRICADAS O PREENSAMBLADAS</v>
      </c>
      <c r="L5004" s="5" t="str">
        <f ca="1">IFERROR(__xludf.DUMMYFUNCTION("GOOGLETRANSLATE(J5004,""EN"",""ES"")"),"Persianas [exteriores]")</f>
        <v>Persianas [exteriores]</v>
      </c>
      <c r="M5004" s="8" t="s">
        <v>82</v>
      </c>
      <c r="N5004" s="8"/>
    </row>
    <row r="5005" spans="1:14" ht="11.25" customHeight="1">
      <c r="A5005" s="5" t="s">
        <v>14170</v>
      </c>
      <c r="B5005" s="5" t="s">
        <v>14334</v>
      </c>
      <c r="C5005" s="5" t="s">
        <v>14479</v>
      </c>
      <c r="D5005" s="5" t="s">
        <v>14173</v>
      </c>
      <c r="E5005" s="5" t="s">
        <v>81</v>
      </c>
      <c r="F5005" s="5" t="s">
        <v>14174</v>
      </c>
      <c r="G5005" s="5" t="s">
        <v>152</v>
      </c>
      <c r="H5005" s="5" t="s">
        <v>14336</v>
      </c>
      <c r="I5005" s="5" t="s">
        <v>14480</v>
      </c>
      <c r="J5005" s="5" t="s">
        <v>14481</v>
      </c>
      <c r="K5005" s="7" t="str">
        <f ca="1">IFERROR(__xludf.DUMMYFUNCTION("GOOGLETRANSLATE(H5005,""EN"",""ES"")"),"PIEZAS DE CONSTRUCCIÓN PREFABRICADAS O PREENSAMBLADAS")</f>
        <v>PIEZAS DE CONSTRUCCIÓN PREFABRICADAS O PREENSAMBLADAS</v>
      </c>
      <c r="L5005" s="5" t="str">
        <f ca="1">IFERROR(__xludf.DUMMYFUNCTION("GOOGLETRANSLATE(J5005,""EN"",""ES"")"),"Techos")</f>
        <v>Techos</v>
      </c>
      <c r="M5005" s="8" t="s">
        <v>82</v>
      </c>
      <c r="N5005" s="8"/>
    </row>
    <row r="5006" spans="1:14" ht="11.25" customHeight="1">
      <c r="A5006" s="5" t="s">
        <v>14170</v>
      </c>
      <c r="B5006" s="5" t="s">
        <v>14334</v>
      </c>
      <c r="C5006" s="5" t="s">
        <v>14482</v>
      </c>
      <c r="D5006" s="5" t="s">
        <v>14173</v>
      </c>
      <c r="E5006" s="5" t="s">
        <v>81</v>
      </c>
      <c r="F5006" s="5" t="s">
        <v>14174</v>
      </c>
      <c r="G5006" s="5" t="s">
        <v>152</v>
      </c>
      <c r="H5006" s="5" t="s">
        <v>14336</v>
      </c>
      <c r="I5006" s="5" t="s">
        <v>14483</v>
      </c>
      <c r="J5006" s="5" t="s">
        <v>14484</v>
      </c>
      <c r="K5006" s="7" t="str">
        <f ca="1">IFERROR(__xludf.DUMMYFUNCTION("GOOGLETRANSLATE(H5006,""EN"",""ES"")"),"PIEZAS DE CONSTRUCCIÓN PREFABRICADAS O PREENSAMBLADAS")</f>
        <v>PIEZAS DE CONSTRUCCIÓN PREFABRICADAS O PREENSAMBLADAS</v>
      </c>
      <c r="L5006" s="5" t="str">
        <f ca="1">IFERROR(__xludf.DUMMYFUNCTION("GOOGLETRANSLATE(J5006,""EN"",""ES"")"),"Torniquetes")</f>
        <v>Torniquetes</v>
      </c>
      <c r="M5006" s="8" t="s">
        <v>82</v>
      </c>
      <c r="N5006" s="8"/>
    </row>
    <row r="5007" spans="1:14" ht="11.25" customHeight="1">
      <c r="A5007" s="5" t="s">
        <v>14170</v>
      </c>
      <c r="B5007" s="5" t="s">
        <v>14334</v>
      </c>
      <c r="C5007" s="5" t="s">
        <v>14485</v>
      </c>
      <c r="D5007" s="5" t="s">
        <v>14173</v>
      </c>
      <c r="E5007" s="5" t="s">
        <v>81</v>
      </c>
      <c r="F5007" s="5" t="s">
        <v>14174</v>
      </c>
      <c r="G5007" s="5" t="s">
        <v>152</v>
      </c>
      <c r="H5007" s="5" t="s">
        <v>14336</v>
      </c>
      <c r="I5007" s="5" t="s">
        <v>14486</v>
      </c>
      <c r="J5007" s="5" t="s">
        <v>14487</v>
      </c>
      <c r="K5007" s="7" t="str">
        <f ca="1">IFERROR(__xludf.DUMMYFUNCTION("GOOGLETRANSLATE(H5007,""EN"",""ES"")"),"PIEZAS DE CONSTRUCCIÓN PREFABRICADAS O PREENSAMBLADAS")</f>
        <v>PIEZAS DE CONSTRUCCIÓN PREFABRICADAS O PREENSAMBLADAS</v>
      </c>
      <c r="L5007" s="5" t="str">
        <f ca="1">IFERROR(__xludf.DUMMYFUNCTION("GOOGLETRANSLATE(J5007,""EN"",""ES"")"),"celosías")</f>
        <v>celosías</v>
      </c>
      <c r="M5007" s="8" t="s">
        <v>82</v>
      </c>
      <c r="N5007" s="8"/>
    </row>
    <row r="5008" spans="1:14" ht="11.25" customHeight="1">
      <c r="A5008" s="5" t="s">
        <v>14170</v>
      </c>
      <c r="B5008" s="5" t="s">
        <v>14334</v>
      </c>
      <c r="C5008" s="5" t="s">
        <v>14488</v>
      </c>
      <c r="D5008" s="5" t="s">
        <v>14173</v>
      </c>
      <c r="E5008" s="5" t="s">
        <v>81</v>
      </c>
      <c r="F5008" s="5" t="s">
        <v>14174</v>
      </c>
      <c r="G5008" s="5" t="s">
        <v>152</v>
      </c>
      <c r="H5008" s="5" t="s">
        <v>14336</v>
      </c>
      <c r="I5008" s="5" t="s">
        <v>14489</v>
      </c>
      <c r="J5008" s="5" t="s">
        <v>14490</v>
      </c>
      <c r="K5008" s="7" t="str">
        <f ca="1">IFERROR(__xludf.DUMMYFUNCTION("GOOGLETRANSLATE(H5008,""EN"",""ES"")"),"PIEZAS DE CONSTRUCCIÓN PREFABRICADAS O PREENSAMBLADAS")</f>
        <v>PIEZAS DE CONSTRUCCIÓN PREFABRICADAS O PREENSAMBLADAS</v>
      </c>
      <c r="L5008" s="5" t="str">
        <f ca="1">IFERROR(__xludf.DUMMYFUNCTION("GOOGLETRANSLATE(J5008,""EN"",""ES"")"),"vidrieras")</f>
        <v>vidrieras</v>
      </c>
      <c r="M5008" s="8" t="s">
        <v>82</v>
      </c>
      <c r="N5008" s="8"/>
    </row>
    <row r="5009" spans="1:14" ht="11.25" customHeight="1">
      <c r="A5009" s="5" t="s">
        <v>14170</v>
      </c>
      <c r="B5009" s="5" t="s">
        <v>14334</v>
      </c>
      <c r="C5009" s="5" t="s">
        <v>14491</v>
      </c>
      <c r="D5009" s="5" t="s">
        <v>14173</v>
      </c>
      <c r="E5009" s="5" t="s">
        <v>81</v>
      </c>
      <c r="F5009" s="5" t="s">
        <v>14174</v>
      </c>
      <c r="G5009" s="5" t="s">
        <v>152</v>
      </c>
      <c r="H5009" s="5" t="s">
        <v>14336</v>
      </c>
      <c r="I5009" s="5" t="s">
        <v>14492</v>
      </c>
      <c r="J5009" s="5" t="s">
        <v>14493</v>
      </c>
      <c r="K5009" s="7" t="str">
        <f ca="1">IFERROR(__xludf.DUMMYFUNCTION("GOOGLETRANSLATE(H5009,""EN"",""ES"")"),"PIEZAS DE CONSTRUCCIÓN PREFABRICADAS O PREENSAMBLADAS")</f>
        <v>PIEZAS DE CONSTRUCCIÓN PREFABRICADAS O PREENSAMBLADAS</v>
      </c>
      <c r="L5009" s="5" t="str">
        <f ca="1">IFERROR(__xludf.DUMMYFUNCTION("GOOGLETRANSLATE(J5009,""EN"",""ES"")"),"Persianas [venecianas]")</f>
        <v>Persianas [venecianas]</v>
      </c>
      <c r="M5009" s="8" t="s">
        <v>82</v>
      </c>
      <c r="N5009" s="8"/>
    </row>
    <row r="5010" spans="1:14" ht="11.25" customHeight="1">
      <c r="A5010" s="5" t="s">
        <v>14170</v>
      </c>
      <c r="B5010" s="5" t="s">
        <v>14334</v>
      </c>
      <c r="C5010" s="5" t="s">
        <v>14494</v>
      </c>
      <c r="D5010" s="5" t="s">
        <v>14173</v>
      </c>
      <c r="E5010" s="5" t="s">
        <v>81</v>
      </c>
      <c r="F5010" s="5" t="s">
        <v>14174</v>
      </c>
      <c r="G5010" s="5" t="s">
        <v>152</v>
      </c>
      <c r="H5010" s="5" t="s">
        <v>14336</v>
      </c>
      <c r="I5010" s="5" t="s">
        <v>14495</v>
      </c>
      <c r="J5010" s="5" t="s">
        <v>14496</v>
      </c>
      <c r="K5010" s="7" t="str">
        <f ca="1">IFERROR(__xludf.DUMMYFUNCTION("GOOGLETRANSLATE(H5010,""EN"",""ES"")"),"PIEZAS DE CONSTRUCCIÓN PREFABRICADAS O PREENSAMBLADAS")</f>
        <v>PIEZAS DE CONSTRUCCIÓN PREFABRICADAS O PREENSAMBLADAS</v>
      </c>
      <c r="L5010" s="5" t="str">
        <f ca="1">IFERROR(__xludf.DUMMYFUNCTION("GOOGLETRANSLATE(J5010,""EN"",""ES"")"),"Accesorios para minas")</f>
        <v>Accesorios para minas</v>
      </c>
      <c r="M5010" s="8" t="s">
        <v>82</v>
      </c>
      <c r="N5010" s="8"/>
    </row>
    <row r="5011" spans="1:14" ht="11.25" customHeight="1">
      <c r="A5011" s="5" t="s">
        <v>14170</v>
      </c>
      <c r="B5011" s="5" t="s">
        <v>14334</v>
      </c>
      <c r="C5011" s="5" t="s">
        <v>14494</v>
      </c>
      <c r="D5011" s="5" t="s">
        <v>14173</v>
      </c>
      <c r="E5011" s="5" t="s">
        <v>81</v>
      </c>
      <c r="F5011" s="5" t="s">
        <v>14174</v>
      </c>
      <c r="G5011" s="5" t="s">
        <v>152</v>
      </c>
      <c r="H5011" s="5" t="s">
        <v>14336</v>
      </c>
      <c r="I5011" s="5" t="s">
        <v>14497</v>
      </c>
      <c r="J5011" s="5" t="s">
        <v>152</v>
      </c>
      <c r="K5011" s="7" t="str">
        <f ca="1">IFERROR(__xludf.DUMMYFUNCTION("GOOGLETRANSLATE(H5011,""EN"",""ES"")"),"PIEZAS DE CONSTRUCCIÓN PREFABRICADAS O PREENSAMBLADAS")</f>
        <v>PIEZAS DE CONSTRUCCIÓN PREFABRICADAS O PREENSAMBLADAS</v>
      </c>
      <c r="L5011" s="5" t="str">
        <f ca="1">IFERROR(__xludf.DUMMYFUNCTION("GOOGLETRANSLATE(J5011,""EN"",""ES"")"),"Puntales para pozos [minería]")</f>
        <v>Puntales para pozos [minería]</v>
      </c>
      <c r="M5011" s="8" t="s">
        <v>82</v>
      </c>
      <c r="N5011" s="8"/>
    </row>
    <row r="5012" spans="1:14" ht="11.25" customHeight="1">
      <c r="A5012" s="5" t="s">
        <v>14170</v>
      </c>
      <c r="B5012" s="5" t="s">
        <v>14334</v>
      </c>
      <c r="C5012" s="5" t="s">
        <v>14498</v>
      </c>
      <c r="D5012" s="5" t="s">
        <v>14173</v>
      </c>
      <c r="E5012" s="5" t="s">
        <v>81</v>
      </c>
      <c r="F5012" s="5" t="s">
        <v>14174</v>
      </c>
      <c r="G5012" s="5" t="s">
        <v>152</v>
      </c>
      <c r="H5012" s="5" t="s">
        <v>14336</v>
      </c>
      <c r="I5012" s="5" t="s">
        <v>14499</v>
      </c>
      <c r="J5012" s="5" t="s">
        <v>14500</v>
      </c>
      <c r="K5012" s="7" t="str">
        <f ca="1">IFERROR(__xludf.DUMMYFUNCTION("GOOGLETRANSLATE(H5012,""EN"",""ES"")"),"PIEZAS DE CONSTRUCCIÓN PREFABRICADAS O PREENSAMBLADAS")</f>
        <v>PIEZAS DE CONSTRUCCIÓN PREFABRICADAS O PREENSAMBLADAS</v>
      </c>
      <c r="L5012" s="5" t="str">
        <f ca="1">IFERROR(__xludf.DUMMYFUNCTION("GOOGLETRANSLATE(J5012,""EN"",""ES"")"),"Tolvas de eliminación de residuos")</f>
        <v>Tolvas de eliminación de residuos</v>
      </c>
      <c r="M5012" s="8" t="s">
        <v>82</v>
      </c>
      <c r="N5012" s="8"/>
    </row>
    <row r="5013" spans="1:14" ht="11.25" customHeight="1">
      <c r="A5013" s="5" t="s">
        <v>14170</v>
      </c>
      <c r="B5013" s="5" t="s">
        <v>14334</v>
      </c>
      <c r="C5013" s="5" t="s">
        <v>14501</v>
      </c>
      <c r="D5013" s="5" t="s">
        <v>14173</v>
      </c>
      <c r="E5013" s="5" t="s">
        <v>81</v>
      </c>
      <c r="F5013" s="5" t="s">
        <v>14174</v>
      </c>
      <c r="G5013" s="5" t="s">
        <v>152</v>
      </c>
      <c r="H5013" s="5" t="s">
        <v>14336</v>
      </c>
      <c r="I5013" s="5" t="s">
        <v>14502</v>
      </c>
      <c r="J5013" s="5" t="s">
        <v>14503</v>
      </c>
      <c r="K5013" s="7" t="str">
        <f ca="1">IFERROR(__xludf.DUMMYFUNCTION("GOOGLETRANSLATE(H5013,""EN"",""ES"")"),"PIEZAS DE CONSTRUCCIÓN PREFABRICADAS O PREENSAMBLADAS")</f>
        <v>PIEZAS DE CONSTRUCCIÓN PREFABRICADAS O PREENSAMBLADAS</v>
      </c>
      <c r="L5013" s="5" t="str">
        <f ca="1">IFERROR(__xludf.DUMMYFUNCTION("GOOGLETRANSLATE(J5013,""EN"",""ES"")"),"lucernarios")</f>
        <v>lucernarios</v>
      </c>
      <c r="M5013" s="8" t="s">
        <v>82</v>
      </c>
      <c r="N5013" s="8"/>
    </row>
    <row r="5014" spans="1:14" ht="11.25" customHeight="1">
      <c r="A5014" s="5" t="s">
        <v>14170</v>
      </c>
      <c r="B5014" s="5" t="s">
        <v>14334</v>
      </c>
      <c r="C5014" s="5" t="s">
        <v>14501</v>
      </c>
      <c r="D5014" s="5" t="s">
        <v>14173</v>
      </c>
      <c r="E5014" s="5" t="s">
        <v>81</v>
      </c>
      <c r="F5014" s="5" t="s">
        <v>14174</v>
      </c>
      <c r="G5014" s="5" t="s">
        <v>152</v>
      </c>
      <c r="H5014" s="5" t="s">
        <v>14336</v>
      </c>
      <c r="I5014" s="5" t="s">
        <v>14504</v>
      </c>
      <c r="J5014" s="5" t="s">
        <v>14505</v>
      </c>
      <c r="K5014" s="7" t="str">
        <f ca="1">IFERROR(__xludf.DUMMYFUNCTION("GOOGLETRANSLATE(H5014,""EN"",""ES"")"),"PIEZAS DE CONSTRUCCIÓN PREFABRICADAS O PREENSAMBLADAS")</f>
        <v>PIEZAS DE CONSTRUCCIÓN PREFABRICADAS O PREENSAMBLADAS</v>
      </c>
      <c r="L5014" s="5" t="str">
        <f ca="1">IFERROR(__xludf.DUMMYFUNCTION("GOOGLETRANSLATE(J5014,""EN"",""ES"")"),"Travesaños")</f>
        <v>Travesaños</v>
      </c>
      <c r="M5014" s="8" t="s">
        <v>82</v>
      </c>
      <c r="N5014" s="8"/>
    </row>
    <row r="5015" spans="1:14" ht="11.25" customHeight="1">
      <c r="A5015" s="5" t="s">
        <v>14170</v>
      </c>
      <c r="B5015" s="5" t="s">
        <v>14334</v>
      </c>
      <c r="C5015" s="5" t="s">
        <v>14506</v>
      </c>
      <c r="D5015" s="5" t="s">
        <v>14173</v>
      </c>
      <c r="E5015" s="5" t="s">
        <v>81</v>
      </c>
      <c r="F5015" s="5" t="s">
        <v>14174</v>
      </c>
      <c r="G5015" s="5" t="s">
        <v>152</v>
      </c>
      <c r="H5015" s="5" t="s">
        <v>14336</v>
      </c>
      <c r="I5015" s="5" t="s">
        <v>14507</v>
      </c>
      <c r="J5015" s="5" t="s">
        <v>14508</v>
      </c>
      <c r="K5015" s="7" t="str">
        <f ca="1">IFERROR(__xludf.DUMMYFUNCTION("GOOGLETRANSLATE(H5015,""EN"",""ES"")"),"PIEZAS DE CONSTRUCCIÓN PREFABRICADAS O PREENSAMBLADAS")</f>
        <v>PIEZAS DE CONSTRUCCIÓN PREFABRICADAS O PREENSAMBLADAS</v>
      </c>
      <c r="L5015" s="5" t="str">
        <f ca="1">IFERROR(__xludf.DUMMYFUNCTION("GOOGLETRANSLATE(J5015,""EN"",""ES"")"),"puertas de bloqueo")</f>
        <v>puertas de bloqueo</v>
      </c>
      <c r="M5015" s="8" t="s">
        <v>82</v>
      </c>
      <c r="N5015" s="8"/>
    </row>
    <row r="5016" spans="1:14" ht="11.25" customHeight="1">
      <c r="A5016" s="5" t="s">
        <v>14170</v>
      </c>
      <c r="B5016" s="5" t="s">
        <v>14334</v>
      </c>
      <c r="C5016" s="5" t="s">
        <v>14509</v>
      </c>
      <c r="D5016" s="5" t="s">
        <v>14173</v>
      </c>
      <c r="E5016" s="5" t="s">
        <v>81</v>
      </c>
      <c r="F5016" s="5" t="s">
        <v>14174</v>
      </c>
      <c r="G5016" s="5" t="s">
        <v>152</v>
      </c>
      <c r="H5016" s="5" t="s">
        <v>14336</v>
      </c>
      <c r="I5016" s="5" t="s">
        <v>14510</v>
      </c>
      <c r="J5016" s="5" t="s">
        <v>14511</v>
      </c>
      <c r="K5016" s="7" t="str">
        <f ca="1">IFERROR(__xludf.DUMMYFUNCTION("GOOGLETRANSLATE(H5016,""EN"",""ES"")"),"PIEZAS DE CONSTRUCCIÓN PREFABRICADAS O PREENSAMBLADAS")</f>
        <v>PIEZAS DE CONSTRUCCIÓN PREFABRICADAS O PREENSAMBLADAS</v>
      </c>
      <c r="L5016" s="5" t="str">
        <f ca="1">IFERROR(__xludf.DUMMYFUNCTION("GOOGLETRANSLATE(J5016,""EN"",""ES"")"),"Chimeneas")</f>
        <v>Chimeneas</v>
      </c>
      <c r="M5016" s="8" t="s">
        <v>82</v>
      </c>
      <c r="N5016" s="8"/>
    </row>
    <row r="5017" spans="1:14" ht="11.25" customHeight="1">
      <c r="A5017" s="5" t="s">
        <v>14170</v>
      </c>
      <c r="B5017" s="5" t="s">
        <v>14334</v>
      </c>
      <c r="C5017" s="5" t="s">
        <v>14512</v>
      </c>
      <c r="D5017" s="5" t="s">
        <v>14173</v>
      </c>
      <c r="E5017" s="5" t="s">
        <v>81</v>
      </c>
      <c r="F5017" s="5" t="s">
        <v>14174</v>
      </c>
      <c r="G5017" s="5" t="s">
        <v>152</v>
      </c>
      <c r="H5017" s="5" t="s">
        <v>14336</v>
      </c>
      <c r="I5017" s="5" t="s">
        <v>14513</v>
      </c>
      <c r="J5017" s="5" t="s">
        <v>14514</v>
      </c>
      <c r="K5017" s="7" t="str">
        <f ca="1">IFERROR(__xludf.DUMMYFUNCTION("GOOGLETRANSLATE(H5017,""EN"",""ES"")"),"PIEZAS DE CONSTRUCCIÓN PREFABRICADAS O PREENSAMBLADAS")</f>
        <v>PIEZAS DE CONSTRUCCIÓN PREFABRICADAS O PREENSAMBLADAS</v>
      </c>
      <c r="L5017" s="5" t="str">
        <f ca="1">IFERROR(__xludf.DUMMYFUNCTION("GOOGLETRANSLATE(J5017,""EN"",""ES"")"),"falsos techos")</f>
        <v>falsos techos</v>
      </c>
      <c r="M5017" s="8" t="s">
        <v>82</v>
      </c>
      <c r="N5017" s="8"/>
    </row>
    <row r="5018" spans="1:14" ht="11.25" customHeight="1">
      <c r="A5018" s="5" t="s">
        <v>14170</v>
      </c>
      <c r="B5018" s="5" t="s">
        <v>14334</v>
      </c>
      <c r="C5018" s="5" t="s">
        <v>14515</v>
      </c>
      <c r="D5018" s="5" t="s">
        <v>14173</v>
      </c>
      <c r="E5018" s="5" t="s">
        <v>81</v>
      </c>
      <c r="F5018" s="5" t="s">
        <v>14174</v>
      </c>
      <c r="G5018" s="5" t="s">
        <v>152</v>
      </c>
      <c r="H5018" s="5" t="s">
        <v>14336</v>
      </c>
      <c r="I5018" s="5" t="s">
        <v>14516</v>
      </c>
      <c r="J5018" s="5" t="s">
        <v>14517</v>
      </c>
      <c r="K5018" s="7" t="str">
        <f ca="1">IFERROR(__xludf.DUMMYFUNCTION("GOOGLETRANSLATE(H5018,""EN"",""ES"")"),"PIEZAS DE CONSTRUCCIÓN PREFABRICADAS O PREENSAMBLADAS")</f>
        <v>PIEZAS DE CONSTRUCCIÓN PREFABRICADAS O PREENSAMBLADAS</v>
      </c>
      <c r="L5018" s="5" t="str">
        <f ca="1">IFERROR(__xludf.DUMMYFUNCTION("GOOGLETRANSLATE(J5018,""EN"",""ES"")"),"Marcos de puertas")</f>
        <v>Marcos de puertas</v>
      </c>
      <c r="M5018" s="8" t="s">
        <v>82</v>
      </c>
      <c r="N5018" s="8"/>
    </row>
    <row r="5019" spans="1:14" ht="11.25" customHeight="1">
      <c r="A5019" s="5" t="s">
        <v>14170</v>
      </c>
      <c r="B5019" s="5" t="s">
        <v>14334</v>
      </c>
      <c r="C5019" s="5" t="s">
        <v>14515</v>
      </c>
      <c r="D5019" s="5" t="s">
        <v>14173</v>
      </c>
      <c r="E5019" s="5" t="s">
        <v>81</v>
      </c>
      <c r="F5019" s="5" t="s">
        <v>14174</v>
      </c>
      <c r="G5019" s="5" t="s">
        <v>152</v>
      </c>
      <c r="H5019" s="5" t="s">
        <v>14336</v>
      </c>
      <c r="I5019" s="5" t="s">
        <v>14518</v>
      </c>
      <c r="J5019" s="5" t="s">
        <v>14519</v>
      </c>
      <c r="K5019" s="7" t="str">
        <f ca="1">IFERROR(__xludf.DUMMYFUNCTION("GOOGLETRANSLATE(H5019,""EN"",""ES"")"),"PIEZAS DE CONSTRUCCIÓN PREFABRICADAS O PREENSAMBLADAS")</f>
        <v>PIEZAS DE CONSTRUCCIÓN PREFABRICADAS O PREENSAMBLADAS</v>
      </c>
      <c r="L5019" s="5" t="str">
        <f ca="1">IFERROR(__xludf.DUMMYFUNCTION("GOOGLETRANSLATE(J5019,""EN"",""ES"")"),"Marcos de puertas")</f>
        <v>Marcos de puertas</v>
      </c>
      <c r="M5019" s="8" t="s">
        <v>82</v>
      </c>
      <c r="N5019" s="8"/>
    </row>
    <row r="5020" spans="1:14" ht="11.25" customHeight="1">
      <c r="A5020" s="5" t="s">
        <v>14170</v>
      </c>
      <c r="B5020" s="5" t="s">
        <v>14334</v>
      </c>
      <c r="C5020" s="5" t="s">
        <v>14515</v>
      </c>
      <c r="D5020" s="5" t="s">
        <v>14173</v>
      </c>
      <c r="E5020" s="5" t="s">
        <v>81</v>
      </c>
      <c r="F5020" s="5" t="s">
        <v>14174</v>
      </c>
      <c r="G5020" s="5" t="s">
        <v>152</v>
      </c>
      <c r="H5020" s="5" t="s">
        <v>14336</v>
      </c>
      <c r="I5020" s="5" t="s">
        <v>152</v>
      </c>
      <c r="J5020" s="5" t="s">
        <v>14520</v>
      </c>
      <c r="K5020" s="7" t="str">
        <f ca="1">IFERROR(__xludf.DUMMYFUNCTION("GOOGLETRANSLATE(H5020,""EN"",""ES"")"),"PIEZAS DE CONSTRUCCIÓN PREFABRICADAS O PREENSAMBLADAS")</f>
        <v>PIEZAS DE CONSTRUCCIÓN PREFABRICADAS O PREENSAMBLADAS</v>
      </c>
      <c r="L5020" s="5" t="str">
        <f ca="1">IFERROR(__xludf.DUMMYFUNCTION("GOOGLETRANSLATE(J5020,""EN"",""ES"")"),"N / A")</f>
        <v>N / A</v>
      </c>
      <c r="M5020" s="8" t="s">
        <v>82</v>
      </c>
      <c r="N5020" s="8"/>
    </row>
    <row r="5021" spans="1:14" ht="11.25" customHeight="1">
      <c r="A5021" s="5" t="s">
        <v>14170</v>
      </c>
      <c r="B5021" s="5" t="s">
        <v>14334</v>
      </c>
      <c r="C5021" s="5" t="s">
        <v>14521</v>
      </c>
      <c r="D5021" s="5" t="s">
        <v>14173</v>
      </c>
      <c r="E5021" s="5" t="s">
        <v>81</v>
      </c>
      <c r="F5021" s="5" t="s">
        <v>14174</v>
      </c>
      <c r="G5021" s="5" t="s">
        <v>152</v>
      </c>
      <c r="H5021" s="5" t="s">
        <v>14336</v>
      </c>
      <c r="I5021" s="5" t="s">
        <v>14522</v>
      </c>
      <c r="J5021" s="5" t="s">
        <v>14523</v>
      </c>
      <c r="K5021" s="7" t="str">
        <f ca="1">IFERROR(__xludf.DUMMYFUNCTION("GOOGLETRANSLATE(H5021,""EN"",""ES"")"),"PIEZAS DE CONSTRUCCIÓN PREFABRICADAS O PREENSAMBLADAS")</f>
        <v>PIEZAS DE CONSTRUCCIÓN PREFABRICADAS O PREENSAMBLADAS</v>
      </c>
      <c r="L5021" s="5" t="str">
        <f ca="1">IFERROR(__xludf.DUMMYFUNCTION("GOOGLETRANSLATE(J5021,""EN"",""ES"")"),"Paneles de puerta")</f>
        <v>Paneles de puerta</v>
      </c>
      <c r="M5021" s="8" t="s">
        <v>82</v>
      </c>
      <c r="N5021" s="8"/>
    </row>
    <row r="5022" spans="1:14" ht="11.25" customHeight="1">
      <c r="A5022" s="5" t="s">
        <v>14170</v>
      </c>
      <c r="B5022" s="5" t="s">
        <v>14334</v>
      </c>
      <c r="C5022" s="5" t="s">
        <v>14524</v>
      </c>
      <c r="D5022" s="5" t="s">
        <v>14173</v>
      </c>
      <c r="E5022" s="5" t="s">
        <v>81</v>
      </c>
      <c r="F5022" s="5" t="s">
        <v>14174</v>
      </c>
      <c r="G5022" s="5" t="s">
        <v>152</v>
      </c>
      <c r="H5022" s="5" t="s">
        <v>14336</v>
      </c>
      <c r="I5022" s="5" t="s">
        <v>14525</v>
      </c>
      <c r="J5022" s="5" t="s">
        <v>14526</v>
      </c>
      <c r="K5022" s="7" t="str">
        <f ca="1">IFERROR(__xludf.DUMMYFUNCTION("GOOGLETRANSLATE(H5022,""EN"",""ES"")"),"PIEZAS DE CONSTRUCCIÓN PREFABRICADAS O PREENSAMBLADAS")</f>
        <v>PIEZAS DE CONSTRUCCIÓN PREFABRICADAS O PREENSAMBLADAS</v>
      </c>
      <c r="L5022" s="5" t="str">
        <f ca="1">IFERROR(__xludf.DUMMYFUNCTION("GOOGLETRANSLATE(J5022,""EN"",""ES"")"),"Puertas de ascensor")</f>
        <v>Puertas de ascensor</v>
      </c>
      <c r="M5022" s="8" t="s">
        <v>82</v>
      </c>
      <c r="N5022" s="8"/>
    </row>
    <row r="5023" spans="1:14" ht="11.25" customHeight="1">
      <c r="A5023" s="5" t="s">
        <v>14170</v>
      </c>
      <c r="B5023" s="5" t="s">
        <v>14334</v>
      </c>
      <c r="C5023" s="5" t="s">
        <v>14524</v>
      </c>
      <c r="D5023" s="5" t="s">
        <v>14173</v>
      </c>
      <c r="E5023" s="5" t="s">
        <v>81</v>
      </c>
      <c r="F5023" s="5" t="s">
        <v>14174</v>
      </c>
      <c r="G5023" s="5" t="s">
        <v>152</v>
      </c>
      <c r="H5023" s="5" t="s">
        <v>14336</v>
      </c>
      <c r="I5023" s="5" t="s">
        <v>14527</v>
      </c>
      <c r="J5023" s="5" t="s">
        <v>152</v>
      </c>
      <c r="K5023" s="7" t="str">
        <f ca="1">IFERROR(__xludf.DUMMYFUNCTION("GOOGLETRANSLATE(H5023,""EN"",""ES"")"),"PIEZAS DE CONSTRUCCIÓN PREFABRICADAS O PREENSAMBLADAS")</f>
        <v>PIEZAS DE CONSTRUCCIÓN PREFABRICADAS O PREENSAMBLADAS</v>
      </c>
      <c r="L5023" s="5" t="str">
        <f ca="1">IFERROR(__xludf.DUMMYFUNCTION("GOOGLETRANSLATE(J5023,""EN"",""ES"")"),"Puertas elevadoras")</f>
        <v>Puertas elevadoras</v>
      </c>
      <c r="M5023" s="8" t="s">
        <v>82</v>
      </c>
      <c r="N5023" s="8"/>
    </row>
    <row r="5024" spans="1:14" ht="11.25" customHeight="1">
      <c r="A5024" s="5" t="s">
        <v>14170</v>
      </c>
      <c r="B5024" s="5" t="s">
        <v>14334</v>
      </c>
      <c r="C5024" s="5" t="s">
        <v>14528</v>
      </c>
      <c r="D5024" s="5" t="s">
        <v>14173</v>
      </c>
      <c r="E5024" s="5" t="s">
        <v>81</v>
      </c>
      <c r="F5024" s="5" t="s">
        <v>14174</v>
      </c>
      <c r="G5024" s="5" t="s">
        <v>152</v>
      </c>
      <c r="H5024" s="5" t="s">
        <v>14336</v>
      </c>
      <c r="I5024" s="5" t="s">
        <v>14529</v>
      </c>
      <c r="J5024" s="5" t="s">
        <v>14530</v>
      </c>
      <c r="K5024" s="7" t="str">
        <f ca="1">IFERROR(__xludf.DUMMYFUNCTION("GOOGLETRANSLATE(H5024,""EN"",""ES"")"),"PIEZAS DE CONSTRUCCIÓN PREFABRICADAS O PREENSAMBLADAS")</f>
        <v>PIEZAS DE CONSTRUCCIÓN PREFABRICADAS O PREENSAMBLADAS</v>
      </c>
      <c r="L5024" s="5" t="str">
        <f ca="1">IFERROR(__xludf.DUMMYFUNCTION("GOOGLETRANSLATE(J5024,""EN"",""ES"")"),"Persianas de tienda")</f>
        <v>Persianas de tienda</v>
      </c>
      <c r="M5024" s="8" t="s">
        <v>82</v>
      </c>
      <c r="N5024" s="8"/>
    </row>
    <row r="5025" spans="1:14" ht="11.25" customHeight="1">
      <c r="A5025" s="5" t="s">
        <v>14170</v>
      </c>
      <c r="B5025" s="5" t="s">
        <v>14334</v>
      </c>
      <c r="C5025" s="5" t="s">
        <v>14531</v>
      </c>
      <c r="D5025" s="5" t="s">
        <v>14173</v>
      </c>
      <c r="E5025" s="5" t="s">
        <v>81</v>
      </c>
      <c r="F5025" s="5" t="s">
        <v>14174</v>
      </c>
      <c r="G5025" s="5" t="s">
        <v>152</v>
      </c>
      <c r="H5025" s="5" t="s">
        <v>14336</v>
      </c>
      <c r="I5025" s="5" t="s">
        <v>14532</v>
      </c>
      <c r="J5025" s="5" t="s">
        <v>14533</v>
      </c>
      <c r="K5025" s="7" t="str">
        <f ca="1">IFERROR(__xludf.DUMMYFUNCTION("GOOGLETRANSLATE(H5025,""EN"",""ES"")"),"PIEZAS DE CONSTRUCCIÓN PREFABRICADAS O PREENSAMBLADAS")</f>
        <v>PIEZAS DE CONSTRUCCIÓN PREFABRICADAS O PREENSAMBLADAS</v>
      </c>
      <c r="L5025" s="5" t="str">
        <f ca="1">IFERROR(__xludf.DUMMYFUNCTION("GOOGLETRANSLATE(J5025,""EN"",""ES"")"),"Zócalos para postes")</f>
        <v>Zócalos para postes</v>
      </c>
      <c r="M5025" s="8" t="s">
        <v>82</v>
      </c>
      <c r="N5025" s="8"/>
    </row>
    <row r="5026" spans="1:14" ht="11.25" customHeight="1">
      <c r="A5026" s="5" t="s">
        <v>14170</v>
      </c>
      <c r="B5026" s="5" t="s">
        <v>14334</v>
      </c>
      <c r="C5026" s="5" t="s">
        <v>14531</v>
      </c>
      <c r="D5026" s="5" t="s">
        <v>14173</v>
      </c>
      <c r="E5026" s="5" t="s">
        <v>81</v>
      </c>
      <c r="F5026" s="5" t="s">
        <v>14174</v>
      </c>
      <c r="G5026" s="5" t="s">
        <v>152</v>
      </c>
      <c r="H5026" s="5" t="s">
        <v>14336</v>
      </c>
      <c r="I5026" s="5" t="s">
        <v>14534</v>
      </c>
      <c r="J5026" s="5" t="s">
        <v>152</v>
      </c>
      <c r="K5026" s="7" t="str">
        <f ca="1">IFERROR(__xludf.DUMMYFUNCTION("GOOGLETRANSLATE(H5026,""EN"",""ES"")"),"PIEZAS DE CONSTRUCCIÓN PREFABRICADAS O PREENSAMBLADAS")</f>
        <v>PIEZAS DE CONSTRUCCIÓN PREFABRICADAS O PREENSAMBLADAS</v>
      </c>
      <c r="L5026" s="5" t="str">
        <f ca="1">IFERROR(__xludf.DUMMYFUNCTION("GOOGLETRANSLATE(J5026,""EN"",""ES"")"),"Bases para postes")</f>
        <v>Bases para postes</v>
      </c>
      <c r="M5026" s="8" t="s">
        <v>82</v>
      </c>
      <c r="N5026" s="8"/>
    </row>
    <row r="5027" spans="1:14" ht="11.25" customHeight="1">
      <c r="A5027" s="5" t="s">
        <v>14170</v>
      </c>
      <c r="B5027" s="5" t="s">
        <v>14334</v>
      </c>
      <c r="C5027" s="5" t="s">
        <v>14535</v>
      </c>
      <c r="D5027" s="5" t="s">
        <v>14173</v>
      </c>
      <c r="E5027" s="5" t="s">
        <v>81</v>
      </c>
      <c r="F5027" s="5" t="s">
        <v>14174</v>
      </c>
      <c r="G5027" s="5" t="s">
        <v>152</v>
      </c>
      <c r="H5027" s="5" t="s">
        <v>14336</v>
      </c>
      <c r="I5027" s="5" t="s">
        <v>14536</v>
      </c>
      <c r="J5027" s="5" t="s">
        <v>14537</v>
      </c>
      <c r="K5027" s="7" t="str">
        <f ca="1">IFERROR(__xludf.DUMMYFUNCTION("GOOGLETRANSLATE(H5027,""EN"",""ES"")"),"PIEZAS DE CONSTRUCCIÓN PREFABRICADAS O PREENSAMBLADAS")</f>
        <v>PIEZAS DE CONSTRUCCIÓN PREFABRICADAS O PREENSAMBLADAS</v>
      </c>
      <c r="L5027" s="5" t="str">
        <f ca="1">IFERROR(__xludf.DUMMYFUNCTION("GOOGLETRANSLATE(J5027,""EN"",""ES"")"),"Persianas de ventilación")</f>
        <v>Persianas de ventilación</v>
      </c>
      <c r="M5027" s="8" t="s">
        <v>82</v>
      </c>
      <c r="N5027" s="8"/>
    </row>
    <row r="5028" spans="1:14" ht="11.25" customHeight="1">
      <c r="A5028" s="5" t="s">
        <v>14170</v>
      </c>
      <c r="B5028" s="5" t="s">
        <v>14334</v>
      </c>
      <c r="C5028" s="5" t="s">
        <v>14538</v>
      </c>
      <c r="D5028" s="5" t="s">
        <v>14173</v>
      </c>
      <c r="E5028" s="5" t="s">
        <v>81</v>
      </c>
      <c r="F5028" s="5" t="s">
        <v>14174</v>
      </c>
      <c r="G5028" s="5" t="s">
        <v>152</v>
      </c>
      <c r="H5028" s="5" t="s">
        <v>14336</v>
      </c>
      <c r="I5028" s="5" t="s">
        <v>14539</v>
      </c>
      <c r="J5028" s="5" t="s">
        <v>14540</v>
      </c>
      <c r="K5028" s="7" t="str">
        <f ca="1">IFERROR(__xludf.DUMMYFUNCTION("GOOGLETRANSLATE(H5028,""EN"",""ES"")"),"PIEZAS DE CONSTRUCCIÓN PREFABRICADAS O PREENSAMBLADAS")</f>
        <v>PIEZAS DE CONSTRUCCIÓN PREFABRICADAS O PREENSAMBLADAS</v>
      </c>
      <c r="L5028" s="5" t="str">
        <f ca="1">IFERROR(__xludf.DUMMYFUNCTION("GOOGLETRANSLATE(J5028,""EN"",""ES"")"),"Jardineras [al aire libre]")</f>
        <v>Jardineras [al aire libre]</v>
      </c>
      <c r="M5028" s="8" t="s">
        <v>82</v>
      </c>
      <c r="N5028" s="8"/>
    </row>
    <row r="5029" spans="1:14" ht="11.25" customHeight="1">
      <c r="A5029" s="5" t="s">
        <v>14170</v>
      </c>
      <c r="B5029" s="5" t="s">
        <v>14334</v>
      </c>
      <c r="C5029" s="5" t="s">
        <v>14541</v>
      </c>
      <c r="D5029" s="5" t="s">
        <v>14173</v>
      </c>
      <c r="E5029" s="5" t="s">
        <v>81</v>
      </c>
      <c r="F5029" s="5" t="s">
        <v>14174</v>
      </c>
      <c r="G5029" s="5" t="s">
        <v>152</v>
      </c>
      <c r="H5029" s="5" t="s">
        <v>14336</v>
      </c>
      <c r="I5029" s="5" t="s">
        <v>14542</v>
      </c>
      <c r="J5029" s="5" t="s">
        <v>14543</v>
      </c>
      <c r="K5029" s="7" t="str">
        <f ca="1">IFERROR(__xludf.DUMMYFUNCTION("GOOGLETRANSLATE(H5029,""EN"",""ES"")"),"PIEZAS DE CONSTRUCCIÓN PREFABRICADAS O PREENSAMBLADAS")</f>
        <v>PIEZAS DE CONSTRUCCIÓN PREFABRICADAS O PREENSAMBLADAS</v>
      </c>
      <c r="L5029" s="5" t="str">
        <f ca="1">IFERROR(__xludf.DUMMYFUNCTION("GOOGLETRANSLATE(J5029,""EN"",""ES"")"),"Vallas para nieve [para tejados]")</f>
        <v>Vallas para nieve [para tejados]</v>
      </c>
      <c r="M5029" s="8" t="s">
        <v>82</v>
      </c>
      <c r="N5029" s="8"/>
    </row>
    <row r="5030" spans="1:14" ht="11.25" customHeight="1">
      <c r="A5030" s="5" t="s">
        <v>14170</v>
      </c>
      <c r="B5030" s="5" t="s">
        <v>14334</v>
      </c>
      <c r="C5030" s="5" t="s">
        <v>14544</v>
      </c>
      <c r="D5030" s="5" t="s">
        <v>14173</v>
      </c>
      <c r="E5030" s="5" t="s">
        <v>81</v>
      </c>
      <c r="F5030" s="5" t="s">
        <v>14174</v>
      </c>
      <c r="G5030" s="5" t="s">
        <v>152</v>
      </c>
      <c r="H5030" s="5" t="s">
        <v>14336</v>
      </c>
      <c r="I5030" s="5" t="s">
        <v>14545</v>
      </c>
      <c r="J5030" s="5" t="s">
        <v>14546</v>
      </c>
      <c r="K5030" s="7" t="str">
        <f ca="1">IFERROR(__xludf.DUMMYFUNCTION("GOOGLETRANSLATE(H5030,""EN"",""ES"")"),"PIEZAS DE CONSTRUCCIÓN PREFABRICADAS O PREENSAMBLADAS")</f>
        <v>PIEZAS DE CONSTRUCCIÓN PREFABRICADAS O PREENSAMBLADAS</v>
      </c>
      <c r="L5030" s="5" t="str">
        <f ca="1">IFERROR(__xludf.DUMMYFUNCTION("GOOGLETRANSLATE(J5030,""EN"",""ES"")"),"Ventanas de piedra")</f>
        <v>Ventanas de piedra</v>
      </c>
      <c r="M5030" s="8" t="s">
        <v>82</v>
      </c>
      <c r="N5030" s="8"/>
    </row>
    <row r="5031" spans="1:14" ht="11.25" customHeight="1">
      <c r="A5031" s="5" t="s">
        <v>14170</v>
      </c>
      <c r="B5031" s="5" t="s">
        <v>14334</v>
      </c>
      <c r="C5031" s="5" t="s">
        <v>14544</v>
      </c>
      <c r="D5031" s="5" t="s">
        <v>14173</v>
      </c>
      <c r="E5031" s="5" t="s">
        <v>81</v>
      </c>
      <c r="F5031" s="5" t="s">
        <v>14174</v>
      </c>
      <c r="G5031" s="5" t="s">
        <v>152</v>
      </c>
      <c r="H5031" s="5" t="s">
        <v>14336</v>
      </c>
      <c r="I5031" s="5" t="s">
        <v>14547</v>
      </c>
      <c r="J5031" s="5" t="s">
        <v>152</v>
      </c>
      <c r="K5031" s="7" t="str">
        <f ca="1">IFERROR(__xludf.DUMMYFUNCTION("GOOGLETRANSLATE(H5031,""EN"",""ES"")"),"PIEZAS DE CONSTRUCCIÓN PREFABRICADAS O PREENSAMBLADAS")</f>
        <v>PIEZAS DE CONSTRUCCIÓN PREFABRICADAS O PREENSAMBLADAS</v>
      </c>
      <c r="L5031" s="5" t="str">
        <f ca="1">IFERROR(__xludf.DUMMYFUNCTION("GOOGLETRANSLATE(J5031,""EN"",""ES"")"),"Partición calada")</f>
        <v>Partición calada</v>
      </c>
      <c r="M5031" s="8" t="s">
        <v>82</v>
      </c>
      <c r="N5031" s="8"/>
    </row>
    <row r="5032" spans="1:14" ht="11.25" customHeight="1">
      <c r="A5032" s="5" t="s">
        <v>14170</v>
      </c>
      <c r="B5032" s="5" t="s">
        <v>14334</v>
      </c>
      <c r="C5032" s="5" t="s">
        <v>14548</v>
      </c>
      <c r="D5032" s="5" t="s">
        <v>14173</v>
      </c>
      <c r="E5032" s="5" t="s">
        <v>81</v>
      </c>
      <c r="F5032" s="5" t="s">
        <v>14174</v>
      </c>
      <c r="G5032" s="5" t="s">
        <v>152</v>
      </c>
      <c r="H5032" s="5" t="s">
        <v>14336</v>
      </c>
      <c r="I5032" s="5" t="s">
        <v>14549</v>
      </c>
      <c r="J5032" s="5" t="s">
        <v>14550</v>
      </c>
      <c r="K5032" s="7" t="str">
        <f ca="1">IFERROR(__xludf.DUMMYFUNCTION("GOOGLETRANSLATE(H5032,""EN"",""ES"")"),"PIEZAS DE CONSTRUCCIÓN PREFABRICADAS O PREENSAMBLADAS")</f>
        <v>PIEZAS DE CONSTRUCCIÓN PREFABRICADAS O PREENSAMBLADAS</v>
      </c>
      <c r="L5032" s="5" t="str">
        <f ca="1">IFERROR(__xludf.DUMMYFUNCTION("GOOGLETRANSLATE(J5032,""EN"",""ES"")"),"Embaldosado")</f>
        <v>Embaldosado</v>
      </c>
      <c r="M5032" s="8" t="s">
        <v>82</v>
      </c>
      <c r="N5032" s="8"/>
    </row>
    <row r="5033" spans="1:14" ht="11.25" customHeight="1">
      <c r="A5033" s="5" t="s">
        <v>14170</v>
      </c>
      <c r="B5033" s="5" t="s">
        <v>14334</v>
      </c>
      <c r="C5033" s="5" t="s">
        <v>14551</v>
      </c>
      <c r="D5033" s="5" t="s">
        <v>14173</v>
      </c>
      <c r="E5033" s="5" t="s">
        <v>81</v>
      </c>
      <c r="F5033" s="5" t="s">
        <v>14174</v>
      </c>
      <c r="G5033" s="5" t="s">
        <v>152</v>
      </c>
      <c r="H5033" s="5" t="s">
        <v>14336</v>
      </c>
      <c r="I5033" s="5" t="s">
        <v>14552</v>
      </c>
      <c r="J5033" s="5" t="s">
        <v>14553</v>
      </c>
      <c r="K5033" s="7" t="str">
        <f ca="1">IFERROR(__xludf.DUMMYFUNCTION("GOOGLETRANSLATE(H5033,""EN"",""ES"")"),"PIEZAS DE CONSTRUCCIÓN PREFABRICADAS O PREENSAMBLADAS")</f>
        <v>PIEZAS DE CONSTRUCCIÓN PREFABRICADAS O PREENSAMBLADAS</v>
      </c>
      <c r="L5033" s="5" t="str">
        <f ca="1">IFERROR(__xludf.DUMMYFUNCTION("GOOGLETRANSLATE(J5033,""EN"",""ES"")"),"Protectores de árboles")</f>
        <v>Protectores de árboles</v>
      </c>
      <c r="M5033" s="8" t="s">
        <v>82</v>
      </c>
      <c r="N5033" s="8"/>
    </row>
    <row r="5034" spans="1:14" ht="11.25" customHeight="1">
      <c r="A5034" s="5" t="s">
        <v>14170</v>
      </c>
      <c r="B5034" s="5" t="s">
        <v>14334</v>
      </c>
      <c r="C5034" s="5" t="s">
        <v>14554</v>
      </c>
      <c r="D5034" s="5" t="s">
        <v>14173</v>
      </c>
      <c r="E5034" s="5" t="s">
        <v>81</v>
      </c>
      <c r="F5034" s="5" t="s">
        <v>14174</v>
      </c>
      <c r="G5034" s="5" t="s">
        <v>152</v>
      </c>
      <c r="H5034" s="5" t="s">
        <v>14336</v>
      </c>
      <c r="I5034" s="5" t="s">
        <v>14555</v>
      </c>
      <c r="J5034" s="5" t="s">
        <v>14556</v>
      </c>
      <c r="K5034" s="7" t="str">
        <f ca="1">IFERROR(__xludf.DUMMYFUNCTION("GOOGLETRANSLATE(H5034,""EN"",""ES"")"),"PIEZAS DE CONSTRUCCIÓN PREFABRICADAS O PREENSAMBLADAS")</f>
        <v>PIEZAS DE CONSTRUCCIÓN PREFABRICADAS O PREENSAMBLADAS</v>
      </c>
      <c r="L5034" s="5" t="str">
        <f ca="1">IFERROR(__xludf.DUMMYFUNCTION("GOOGLETRANSLATE(J5034,""EN"",""ES"")"),"Puestos de flores [albañilería]")</f>
        <v>Puestos de flores [albañilería]</v>
      </c>
      <c r="M5034" s="8" t="s">
        <v>82</v>
      </c>
      <c r="N5034" s="8"/>
    </row>
    <row r="5035" spans="1:14" ht="11.25" customHeight="1">
      <c r="A5035" s="5" t="s">
        <v>14170</v>
      </c>
      <c r="B5035" s="5" t="s">
        <v>14334</v>
      </c>
      <c r="C5035" s="5" t="s">
        <v>14557</v>
      </c>
      <c r="D5035" s="5" t="s">
        <v>14173</v>
      </c>
      <c r="E5035" s="5" t="s">
        <v>81</v>
      </c>
      <c r="F5035" s="5" t="s">
        <v>14174</v>
      </c>
      <c r="G5035" s="5" t="s">
        <v>152</v>
      </c>
      <c r="H5035" s="5" t="s">
        <v>14336</v>
      </c>
      <c r="I5035" s="5" t="s">
        <v>14558</v>
      </c>
      <c r="J5035" s="5" t="s">
        <v>14559</v>
      </c>
      <c r="K5035" s="7" t="str">
        <f ca="1">IFERROR(__xludf.DUMMYFUNCTION("GOOGLETRANSLATE(H5035,""EN"",""ES"")"),"PIEZAS DE CONSTRUCCIÓN PREFABRICADAS O PREENSAMBLADAS")</f>
        <v>PIEZAS DE CONSTRUCCIÓN PREFABRICADAS O PREENSAMBLADAS</v>
      </c>
      <c r="L5035" s="5" t="str">
        <f ca="1">IFERROR(__xludf.DUMMYFUNCTION("GOOGLETRANSLATE(J5035,""EN"",""ES"")"),"Cuencos [albañilería]")</f>
        <v>Cuencos [albañilería]</v>
      </c>
      <c r="M5035" s="8" t="s">
        <v>82</v>
      </c>
      <c r="N5035" s="8"/>
    </row>
    <row r="5036" spans="1:14" ht="11.25" customHeight="1">
      <c r="A5036" s="5" t="s">
        <v>14170</v>
      </c>
      <c r="B5036" s="5" t="s">
        <v>14334</v>
      </c>
      <c r="C5036" s="5" t="s">
        <v>14560</v>
      </c>
      <c r="D5036" s="5" t="s">
        <v>14173</v>
      </c>
      <c r="E5036" s="5" t="s">
        <v>81</v>
      </c>
      <c r="F5036" s="5" t="s">
        <v>14174</v>
      </c>
      <c r="G5036" s="5" t="s">
        <v>152</v>
      </c>
      <c r="H5036" s="5" t="s">
        <v>14336</v>
      </c>
      <c r="I5036" s="5" t="s">
        <v>14561</v>
      </c>
      <c r="J5036" s="5" t="s">
        <v>14562</v>
      </c>
      <c r="K5036" s="7" t="str">
        <f ca="1">IFERROR(__xludf.DUMMYFUNCTION("GOOGLETRANSLATE(H5036,""EN"",""ES"")"),"PIEZAS DE CONSTRUCCIÓN PREFABRICADAS O PREENSAMBLADAS")</f>
        <v>PIEZAS DE CONSTRUCCIÓN PREFABRICADAS O PREENSAMBLADAS</v>
      </c>
      <c r="L5036" s="5" t="str">
        <f ca="1">IFERROR(__xludf.DUMMYFUNCTION("GOOGLETRANSLATE(J5036,""EN"",""ES"")"),"ventanas francesas")</f>
        <v>ventanas francesas</v>
      </c>
      <c r="M5036" s="8" t="s">
        <v>82</v>
      </c>
      <c r="N5036" s="8"/>
    </row>
    <row r="5037" spans="1:14" ht="11.25" customHeight="1">
      <c r="A5037" s="5" t="s">
        <v>14170</v>
      </c>
      <c r="B5037" s="5" t="s">
        <v>14334</v>
      </c>
      <c r="C5037" s="5" t="s">
        <v>14563</v>
      </c>
      <c r="D5037" s="5" t="s">
        <v>14173</v>
      </c>
      <c r="E5037" s="5" t="s">
        <v>81</v>
      </c>
      <c r="F5037" s="5" t="s">
        <v>14174</v>
      </c>
      <c r="G5037" s="5" t="s">
        <v>152</v>
      </c>
      <c r="H5037" s="5" t="s">
        <v>14336</v>
      </c>
      <c r="I5037" s="5" t="s">
        <v>14564</v>
      </c>
      <c r="J5037" s="5" t="s">
        <v>14564</v>
      </c>
      <c r="K5037" s="7" t="str">
        <f ca="1">IFERROR(__xludf.DUMMYFUNCTION("GOOGLETRANSLATE(H5037,""EN"",""ES"")"),"PIEZAS DE CONSTRUCCIÓN PREFABRICADAS O PREENSAMBLADAS")</f>
        <v>PIEZAS DE CONSTRUCCIÓN PREFABRICADAS O PREENSAMBLADAS</v>
      </c>
      <c r="L5037" s="5" t="str">
        <f ca="1">IFERROR(__xludf.DUMMYFUNCTION("GOOGLETRANSLATE(J5037,""EN"",""ES"")"),"Gaviones")</f>
        <v>Gaviones</v>
      </c>
      <c r="M5037" s="8" t="s">
        <v>82</v>
      </c>
      <c r="N5037" s="8"/>
    </row>
    <row r="5038" spans="1:14" ht="11.25" customHeight="1">
      <c r="A5038" s="5" t="s">
        <v>14170</v>
      </c>
      <c r="B5038" s="5" t="s">
        <v>14334</v>
      </c>
      <c r="C5038" s="5" t="s">
        <v>14565</v>
      </c>
      <c r="D5038" s="5" t="s">
        <v>14173</v>
      </c>
      <c r="E5038" s="5" t="s">
        <v>81</v>
      </c>
      <c r="F5038" s="5" t="s">
        <v>14174</v>
      </c>
      <c r="G5038" s="5" t="s">
        <v>152</v>
      </c>
      <c r="H5038" s="5" t="s">
        <v>14336</v>
      </c>
      <c r="I5038" s="5" t="s">
        <v>14566</v>
      </c>
      <c r="J5038" s="5" t="s">
        <v>14567</v>
      </c>
      <c r="K5038" s="7" t="str">
        <f ca="1">IFERROR(__xludf.DUMMYFUNCTION("GOOGLETRANSLATE(H5038,""EN"",""ES"")"),"PIEZAS DE CONSTRUCCIÓN PREFABRICADAS O PREENSAMBLADAS")</f>
        <v>PIEZAS DE CONSTRUCCIÓN PREFABRICADAS O PREENSAMBLADAS</v>
      </c>
      <c r="L5038" s="5" t="str">
        <f ca="1">IFERROR(__xludf.DUMMYFUNCTION("GOOGLETRANSLATE(J5038,""EN"",""ES"")"),"Placas de rejilla para césped")</f>
        <v>Placas de rejilla para césped</v>
      </c>
      <c r="M5038" s="8" t="s">
        <v>82</v>
      </c>
      <c r="N5038" s="8"/>
    </row>
    <row r="5039" spans="1:14" ht="11.25" customHeight="1">
      <c r="A5039" s="5" t="s">
        <v>14170</v>
      </c>
      <c r="B5039" s="5" t="s">
        <v>14334</v>
      </c>
      <c r="C5039" s="5" t="s">
        <v>14568</v>
      </c>
      <c r="D5039" s="5" t="s">
        <v>14173</v>
      </c>
      <c r="E5039" s="5" t="s">
        <v>81</v>
      </c>
      <c r="F5039" s="5" t="s">
        <v>14174</v>
      </c>
      <c r="G5039" s="5" t="s">
        <v>152</v>
      </c>
      <c r="H5039" s="5" t="s">
        <v>14336</v>
      </c>
      <c r="I5039" s="5" t="s">
        <v>14569</v>
      </c>
      <c r="J5039" s="5" t="s">
        <v>14570</v>
      </c>
      <c r="K5039" s="7" t="str">
        <f ca="1">IFERROR(__xludf.DUMMYFUNCTION("GOOGLETRANSLATE(H5039,""EN"",""ES"")"),"PIEZAS DE CONSTRUCCIÓN PREFABRICADAS O PREENSAMBLADAS")</f>
        <v>PIEZAS DE CONSTRUCCIÓN PREFABRICADAS O PREENSAMBLADAS</v>
      </c>
      <c r="L5039" s="5" t="str">
        <f ca="1">IFERROR(__xludf.DUMMYFUNCTION("GOOGLETRANSLATE(J5039,""EN"",""ES"")"),"Barreras de descanso [exteriores]")</f>
        <v>Barreras de descanso [exteriores]</v>
      </c>
      <c r="M5039" s="8" t="s">
        <v>82</v>
      </c>
      <c r="N5039" s="8"/>
    </row>
    <row r="5040" spans="1:14" ht="11.25" customHeight="1">
      <c r="A5040" s="5" t="s">
        <v>14170</v>
      </c>
      <c r="B5040" s="5" t="s">
        <v>14334</v>
      </c>
      <c r="C5040" s="5" t="s">
        <v>14571</v>
      </c>
      <c r="D5040" s="5" t="s">
        <v>14173</v>
      </c>
      <c r="E5040" s="5" t="s">
        <v>81</v>
      </c>
      <c r="F5040" s="5" t="s">
        <v>14174</v>
      </c>
      <c r="G5040" s="5" t="s">
        <v>152</v>
      </c>
      <c r="H5040" s="5" t="s">
        <v>14336</v>
      </c>
      <c r="I5040" s="5" t="s">
        <v>14572</v>
      </c>
      <c r="J5040" s="5" t="s">
        <v>14573</v>
      </c>
      <c r="K5040" s="7" t="str">
        <f ca="1">IFERROR(__xludf.DUMMYFUNCTION("GOOGLETRANSLATE(H5040,""EN"",""ES"")"),"PIEZAS DE CONSTRUCCIÓN PREFABRICADAS O PREENSAMBLADAS")</f>
        <v>PIEZAS DE CONSTRUCCIÓN PREFABRICADAS O PREENSAMBLADAS</v>
      </c>
      <c r="L5040" s="5" t="str">
        <f ca="1">IFERROR(__xludf.DUMMYFUNCTION("GOOGLETRANSLATE(J5040,""EN"",""ES"")"),"Baldosas de césped artificial")</f>
        <v>Baldosas de césped artificial</v>
      </c>
      <c r="M5040" s="8" t="s">
        <v>82</v>
      </c>
      <c r="N5040" s="8"/>
    </row>
    <row r="5041" spans="1:14" ht="11.25" customHeight="1">
      <c r="A5041" s="5" t="s">
        <v>14170</v>
      </c>
      <c r="B5041" s="5" t="s">
        <v>14334</v>
      </c>
      <c r="C5041" s="5" t="s">
        <v>14574</v>
      </c>
      <c r="D5041" s="5" t="s">
        <v>14173</v>
      </c>
      <c r="E5041" s="5" t="s">
        <v>81</v>
      </c>
      <c r="F5041" s="5" t="s">
        <v>14174</v>
      </c>
      <c r="G5041" s="5" t="s">
        <v>152</v>
      </c>
      <c r="H5041" s="5" t="s">
        <v>14336</v>
      </c>
      <c r="I5041" s="5" t="s">
        <v>14575</v>
      </c>
      <c r="J5041" s="5" t="s">
        <v>14576</v>
      </c>
      <c r="K5041" s="7" t="str">
        <f ca="1">IFERROR(__xludf.DUMMYFUNCTION("GOOGLETRANSLATE(H5041,""EN"",""ES"")"),"PIEZAS DE CONSTRUCCIÓN PREFABRICADAS O PREENSAMBLADAS")</f>
        <v>PIEZAS DE CONSTRUCCIÓN PREFABRICADAS O PREENSAMBLADAS</v>
      </c>
      <c r="L5041" s="5" t="str">
        <f ca="1">IFERROR(__xludf.DUMMYFUNCTION("GOOGLETRANSLATE(J5041,""EN"",""ES"")"),"ménsulas")</f>
        <v>ménsulas</v>
      </c>
      <c r="M5041" s="8" t="s">
        <v>82</v>
      </c>
      <c r="N5041" s="8"/>
    </row>
    <row r="5042" spans="1:14" ht="11.25" customHeight="1">
      <c r="A5042" s="5" t="s">
        <v>14170</v>
      </c>
      <c r="B5042" s="5" t="s">
        <v>14334</v>
      </c>
      <c r="C5042" s="5" t="s">
        <v>14577</v>
      </c>
      <c r="D5042" s="5" t="s">
        <v>14173</v>
      </c>
      <c r="E5042" s="5" t="s">
        <v>81</v>
      </c>
      <c r="F5042" s="5" t="s">
        <v>14174</v>
      </c>
      <c r="G5042" s="5" t="s">
        <v>152</v>
      </c>
      <c r="H5042" s="5" t="s">
        <v>14336</v>
      </c>
      <c r="I5042" s="5" t="s">
        <v>14578</v>
      </c>
      <c r="J5042" s="5" t="s">
        <v>14579</v>
      </c>
      <c r="K5042" s="7" t="str">
        <f ca="1">IFERROR(__xludf.DUMMYFUNCTION("GOOGLETRANSLATE(H5042,""EN"",""ES"")"),"PIEZAS DE CONSTRUCCIÓN PREFABRICADAS O PREENSAMBLADAS")</f>
        <v>PIEZAS DE CONSTRUCCIÓN PREFABRICADAS O PREENSAMBLADAS</v>
      </c>
      <c r="L5042" s="5" t="str">
        <f ca="1">IFERROR(__xludf.DUMMYFUNCTION("GOOGLETRANSLATE(J5042,""EN"",""ES"")"),"Puertas plegables")</f>
        <v>Puertas plegables</v>
      </c>
      <c r="M5042" s="8" t="s">
        <v>82</v>
      </c>
      <c r="N5042" s="8"/>
    </row>
    <row r="5043" spans="1:14" ht="11.25" customHeight="1">
      <c r="A5043" s="5" t="s">
        <v>14170</v>
      </c>
      <c r="B5043" s="5" t="s">
        <v>14334</v>
      </c>
      <c r="C5043" s="5" t="s">
        <v>14580</v>
      </c>
      <c r="D5043" s="5" t="s">
        <v>14173</v>
      </c>
      <c r="E5043" s="5" t="s">
        <v>81</v>
      </c>
      <c r="F5043" s="5" t="s">
        <v>14174</v>
      </c>
      <c r="G5043" s="5" t="s">
        <v>152</v>
      </c>
      <c r="H5043" s="5" t="s">
        <v>14336</v>
      </c>
      <c r="I5043" s="5" t="s">
        <v>14581</v>
      </c>
      <c r="J5043" s="5" t="s">
        <v>14582</v>
      </c>
      <c r="K5043" s="7" t="str">
        <f ca="1">IFERROR(__xludf.DUMMYFUNCTION("GOOGLETRANSLATE(H5043,""EN"",""ES"")"),"PIEZAS DE CONSTRUCCIÓN PREFABRICADAS O PREENSAMBLADAS")</f>
        <v>PIEZAS DE CONSTRUCCIÓN PREFABRICADAS O PREENSAMBLADAS</v>
      </c>
      <c r="L5043" s="5" t="str">
        <f ca="1">IFERROR(__xludf.DUMMYFUNCTION("GOOGLETRANSLATE(J5043,""EN"",""ES"")"),"Puertas de garaje")</f>
        <v>Puertas de garaje</v>
      </c>
      <c r="M5043" s="8" t="s">
        <v>82</v>
      </c>
      <c r="N5043" s="8"/>
    </row>
    <row r="5044" spans="1:14" ht="11.25" customHeight="1">
      <c r="A5044" s="5" t="s">
        <v>14170</v>
      </c>
      <c r="B5044" s="5" t="s">
        <v>14334</v>
      </c>
      <c r="C5044" s="5" t="s">
        <v>14583</v>
      </c>
      <c r="D5044" s="5" t="s">
        <v>14173</v>
      </c>
      <c r="E5044" s="5" t="s">
        <v>81</v>
      </c>
      <c r="F5044" s="5" t="s">
        <v>14174</v>
      </c>
      <c r="G5044" s="5" t="s">
        <v>152</v>
      </c>
      <c r="H5044" s="5" t="s">
        <v>14336</v>
      </c>
      <c r="I5044" s="5" t="s">
        <v>14584</v>
      </c>
      <c r="J5044" s="5" t="s">
        <v>14585</v>
      </c>
      <c r="K5044" s="7" t="str">
        <f ca="1">IFERROR(__xludf.DUMMYFUNCTION("GOOGLETRANSLATE(H5044,""EN"",""ES"")"),"PIEZAS DE CONSTRUCCIÓN PREFABRICADAS O PREENSAMBLADAS")</f>
        <v>PIEZAS DE CONSTRUCCIÓN PREFABRICADAS O PREENSAMBLADAS</v>
      </c>
      <c r="L5044" s="5" t="str">
        <f ca="1">IFERROR(__xludf.DUMMYFUNCTION("GOOGLETRANSLATE(J5044,""EN"",""ES"")"),"Cortavientos [edificio]")</f>
        <v>Cortavientos [edificio]</v>
      </c>
      <c r="M5044" s="8" t="s">
        <v>82</v>
      </c>
      <c r="N5044" s="8"/>
    </row>
    <row r="5045" spans="1:14" ht="11.25" customHeight="1">
      <c r="A5045" s="5" t="s">
        <v>14170</v>
      </c>
      <c r="B5045" s="5" t="s">
        <v>14334</v>
      </c>
      <c r="C5045" s="5" t="s">
        <v>14586</v>
      </c>
      <c r="D5045" s="5" t="s">
        <v>14173</v>
      </c>
      <c r="E5045" s="5" t="s">
        <v>81</v>
      </c>
      <c r="F5045" s="5" t="s">
        <v>14174</v>
      </c>
      <c r="G5045" s="5" t="s">
        <v>152</v>
      </c>
      <c r="H5045" s="5" t="s">
        <v>14336</v>
      </c>
      <c r="I5045" s="5" t="s">
        <v>14587</v>
      </c>
      <c r="J5045" s="5" t="s">
        <v>14588</v>
      </c>
      <c r="K5045" s="7" t="str">
        <f ca="1">IFERROR(__xludf.DUMMYFUNCTION("GOOGLETRANSLATE(H5045,""EN"",""ES"")"),"PIEZAS DE CONSTRUCCIÓN PREFABRICADAS O PREENSAMBLADAS")</f>
        <v>PIEZAS DE CONSTRUCCIÓN PREFABRICADAS O PREENSAMBLADAS</v>
      </c>
      <c r="L5045" s="5" t="str">
        <f ca="1">IFERROR(__xludf.DUMMYFUNCTION("GOOGLETRANSLATE(J5045,""EN"",""ES"")"),"Baldosas removibles para uso exterior.")</f>
        <v>Baldosas removibles para uso exterior.</v>
      </c>
      <c r="M5045" s="8" t="s">
        <v>82</v>
      </c>
      <c r="N5045" s="8"/>
    </row>
    <row r="5046" spans="1:14" ht="11.25" customHeight="1">
      <c r="A5046" s="5" t="s">
        <v>14170</v>
      </c>
      <c r="B5046" s="5" t="s">
        <v>14334</v>
      </c>
      <c r="C5046" s="5" t="s">
        <v>14589</v>
      </c>
      <c r="D5046" s="5" t="s">
        <v>14173</v>
      </c>
      <c r="E5046" s="5" t="s">
        <v>81</v>
      </c>
      <c r="F5046" s="5" t="s">
        <v>14174</v>
      </c>
      <c r="G5046" s="5" t="s">
        <v>152</v>
      </c>
      <c r="H5046" s="5" t="s">
        <v>14336</v>
      </c>
      <c r="I5046" s="5" t="s">
        <v>14590</v>
      </c>
      <c r="J5046" s="5" t="s">
        <v>14591</v>
      </c>
      <c r="K5046" s="7" t="str">
        <f ca="1">IFERROR(__xludf.DUMMYFUNCTION("GOOGLETRANSLATE(H5046,""EN"",""ES"")"),"PIEZAS DE CONSTRUCCIÓN PREFABRICADAS O PREENSAMBLADAS")</f>
        <v>PIEZAS DE CONSTRUCCIÓN PREFABRICADAS O PREENSAMBLADAS</v>
      </c>
      <c r="L5046" s="5" t="str">
        <f ca="1">IFERROR(__xludf.DUMMYFUNCTION("GOOGLETRANSLATE(J5046,""EN"",""ES"")"),"Bocas de alcantarillado")</f>
        <v>Bocas de alcantarillado</v>
      </c>
      <c r="M5046" s="8" t="s">
        <v>82</v>
      </c>
      <c r="N5046" s="8"/>
    </row>
    <row r="5047" spans="1:14" ht="11.25" customHeight="1">
      <c r="A5047" s="5" t="s">
        <v>14170</v>
      </c>
      <c r="B5047" s="5" t="s">
        <v>14334</v>
      </c>
      <c r="C5047" s="5" t="s">
        <v>14592</v>
      </c>
      <c r="D5047" s="5" t="s">
        <v>14173</v>
      </c>
      <c r="E5047" s="5" t="s">
        <v>81</v>
      </c>
      <c r="F5047" s="5" t="s">
        <v>14174</v>
      </c>
      <c r="G5047" s="5" t="s">
        <v>152</v>
      </c>
      <c r="H5047" s="5" t="s">
        <v>14336</v>
      </c>
      <c r="I5047" s="5" t="s">
        <v>14593</v>
      </c>
      <c r="J5047" s="5" t="s">
        <v>14594</v>
      </c>
      <c r="K5047" s="7" t="str">
        <f ca="1">IFERROR(__xludf.DUMMYFUNCTION("GOOGLETRANSLATE(H5047,""EN"",""ES"")"),"PIEZAS DE CONSTRUCCIÓN PREFABRICADAS O PREENSAMBLADAS")</f>
        <v>PIEZAS DE CONSTRUCCIÓN PREFABRICADAS O PREENSAMBLADAS</v>
      </c>
      <c r="L5047" s="5" t="str">
        <f ca="1">IFERROR(__xludf.DUMMYFUNCTION("GOOGLETRANSLATE(J5047,""EN"",""ES"")"),"Paneles de construcción aislados")</f>
        <v>Paneles de construcción aislados</v>
      </c>
      <c r="M5047" s="8" t="s">
        <v>82</v>
      </c>
      <c r="N5047" s="8"/>
    </row>
    <row r="5048" spans="1:14" ht="11.25" customHeight="1">
      <c r="A5048" s="5" t="s">
        <v>14170</v>
      </c>
      <c r="B5048" s="5" t="s">
        <v>14334</v>
      </c>
      <c r="C5048" s="5" t="s">
        <v>14595</v>
      </c>
      <c r="D5048" s="5" t="s">
        <v>14173</v>
      </c>
      <c r="E5048" s="5" t="s">
        <v>81</v>
      </c>
      <c r="F5048" s="5" t="s">
        <v>14174</v>
      </c>
      <c r="G5048" s="5" t="s">
        <v>152</v>
      </c>
      <c r="H5048" s="5" t="s">
        <v>14336</v>
      </c>
      <c r="I5048" s="5" t="s">
        <v>14596</v>
      </c>
      <c r="J5048" s="5" t="s">
        <v>14597</v>
      </c>
      <c r="K5048" s="7" t="str">
        <f ca="1">IFERROR(__xludf.DUMMYFUNCTION("GOOGLETRANSLATE(H5048,""EN"",""ES"")"),"PIEZAS DE CONSTRUCCIÓN PREFABRICADAS O PREENSAMBLADAS")</f>
        <v>PIEZAS DE CONSTRUCCIÓN PREFABRICADAS O PREENSAMBLADAS</v>
      </c>
      <c r="L5048" s="5" t="str">
        <f ca="1">IFERROR(__xludf.DUMMYFUNCTION("GOOGLETRANSLATE(J5048,""EN"",""ES"")"),"bolardos")</f>
        <v>bolardos</v>
      </c>
      <c r="M5048" s="8" t="s">
        <v>82</v>
      </c>
      <c r="N5048" s="8"/>
    </row>
    <row r="5049" spans="1:14" ht="11.25" customHeight="1">
      <c r="A5049" s="5" t="s">
        <v>14170</v>
      </c>
      <c r="B5049" s="5" t="s">
        <v>14334</v>
      </c>
      <c r="C5049" s="5" t="s">
        <v>14598</v>
      </c>
      <c r="D5049" s="5" t="s">
        <v>14173</v>
      </c>
      <c r="E5049" s="5" t="s">
        <v>81</v>
      </c>
      <c r="F5049" s="5" t="s">
        <v>14174</v>
      </c>
      <c r="G5049" s="5" t="s">
        <v>152</v>
      </c>
      <c r="H5049" s="5" t="s">
        <v>14336</v>
      </c>
      <c r="I5049" s="5" t="s">
        <v>14599</v>
      </c>
      <c r="J5049" s="5" t="s">
        <v>14600</v>
      </c>
      <c r="K5049" s="7" t="str">
        <f ca="1">IFERROR(__xludf.DUMMYFUNCTION("GOOGLETRANSLATE(H5049,""EN"",""ES"")"),"PIEZAS DE CONSTRUCCIÓN PREFABRICADAS O PREENSAMBLADAS")</f>
        <v>PIEZAS DE CONSTRUCCIÓN PREFABRICADAS O PREENSAMBLADAS</v>
      </c>
      <c r="L5049" s="5" t="str">
        <f ca="1">IFERROR(__xludf.DUMMYFUNCTION("GOOGLETRANSLATE(J5049,""EN"",""ES"")"),"Balcones")</f>
        <v>Balcones</v>
      </c>
      <c r="M5049" s="8" t="s">
        <v>82</v>
      </c>
      <c r="N5049" s="8"/>
    </row>
    <row r="5050" spans="1:14" ht="11.25" customHeight="1">
      <c r="A5050" s="5" t="s">
        <v>14170</v>
      </c>
      <c r="B5050" s="5" t="s">
        <v>14334</v>
      </c>
      <c r="C5050" s="5" t="s">
        <v>14601</v>
      </c>
      <c r="D5050" s="5" t="s">
        <v>14173</v>
      </c>
      <c r="E5050" s="5" t="s">
        <v>81</v>
      </c>
      <c r="F5050" s="5" t="s">
        <v>14174</v>
      </c>
      <c r="G5050" s="5" t="s">
        <v>152</v>
      </c>
      <c r="H5050" s="5" t="s">
        <v>14336</v>
      </c>
      <c r="I5050" s="5" t="s">
        <v>14602</v>
      </c>
      <c r="J5050" s="5" t="s">
        <v>14603</v>
      </c>
      <c r="K5050" s="7" t="str">
        <f ca="1">IFERROR(__xludf.DUMMYFUNCTION("GOOGLETRANSLATE(H5050,""EN"",""ES"")"),"PIEZAS DE CONSTRUCCIÓN PREFABRICADAS O PREENSAMBLADAS")</f>
        <v>PIEZAS DE CONSTRUCCIÓN PREFABRICADAS O PREENSAMBLADAS</v>
      </c>
      <c r="L5050" s="5" t="str">
        <f ca="1">IFERROR(__xludf.DUMMYFUNCTION("GOOGLETRANSLATE(J5050,""EN"",""ES"")"),"badenes")</f>
        <v>badenes</v>
      </c>
      <c r="M5050" s="8" t="s">
        <v>82</v>
      </c>
      <c r="N5050" s="8"/>
    </row>
    <row r="5051" spans="1:14" ht="11.25" customHeight="1">
      <c r="A5051" s="5" t="s">
        <v>14170</v>
      </c>
      <c r="B5051" s="5" t="s">
        <v>14604</v>
      </c>
      <c r="C5051" s="5" t="s">
        <v>14605</v>
      </c>
      <c r="D5051" s="5" t="s">
        <v>14173</v>
      </c>
      <c r="E5051" s="5" t="s">
        <v>81</v>
      </c>
      <c r="F5051" s="5" t="s">
        <v>14174</v>
      </c>
      <c r="G5051" s="5" t="s">
        <v>152</v>
      </c>
      <c r="H5051" s="5" t="s">
        <v>14606</v>
      </c>
      <c r="I5051" s="5" t="s">
        <v>14607</v>
      </c>
      <c r="J5051" s="5" t="s">
        <v>14608</v>
      </c>
      <c r="K5051" s="7" t="str">
        <f ca="1">IFERROR(__xludf.DUMMYFUNCTION("GOOGLETRANSLATE(H5051,""EN"",""ES"")"),"CASAS, GARAJES Y OTROS EDIFICIOS")</f>
        <v>CASAS, GARAJES Y OTROS EDIFICIOS</v>
      </c>
      <c r="L5051" s="5" t="str">
        <f ca="1">IFERROR(__xludf.DUMMYFUNCTION("GOOGLETRANSLATE(J5051,""EN"",""ES"")"),"Refugios antiaéreos")</f>
        <v>Refugios antiaéreos</v>
      </c>
      <c r="M5051" s="8" t="s">
        <v>80</v>
      </c>
      <c r="N5051" s="8"/>
    </row>
    <row r="5052" spans="1:14" ht="11.25" customHeight="1">
      <c r="A5052" s="5" t="s">
        <v>14170</v>
      </c>
      <c r="B5052" s="5" t="s">
        <v>14604</v>
      </c>
      <c r="C5052" s="5" t="s">
        <v>14609</v>
      </c>
      <c r="D5052" s="5" t="s">
        <v>14173</v>
      </c>
      <c r="E5052" s="5" t="s">
        <v>81</v>
      </c>
      <c r="F5052" s="5" t="s">
        <v>14174</v>
      </c>
      <c r="G5052" s="5" t="s">
        <v>152</v>
      </c>
      <c r="H5052" s="5" t="s">
        <v>14606</v>
      </c>
      <c r="I5052" s="5" t="s">
        <v>14610</v>
      </c>
      <c r="J5052" s="5" t="s">
        <v>14611</v>
      </c>
      <c r="K5052" s="7" t="str">
        <f ca="1">IFERROR(__xludf.DUMMYFUNCTION("GOOGLETRANSLATE(H5052,""EN"",""ES"")"),"CASAS, GARAJES Y OTROS EDIFICIOS")</f>
        <v>CASAS, GARAJES Y OTROS EDIFICIOS</v>
      </c>
      <c r="L5052" s="5" t="str">
        <f ca="1">IFERROR(__xludf.DUMMYFUNCTION("GOOGLETRANSLATE(J5052,""EN"",""ES"")"),"Cobertizos para animales")</f>
        <v>Cobertizos para animales</v>
      </c>
      <c r="M5052" s="8" t="s">
        <v>80</v>
      </c>
      <c r="N5052" s="8"/>
    </row>
    <row r="5053" spans="1:14" ht="11.25" customHeight="1">
      <c r="A5053" s="5" t="s">
        <v>14170</v>
      </c>
      <c r="B5053" s="5" t="s">
        <v>14604</v>
      </c>
      <c r="C5053" s="5" t="s">
        <v>14612</v>
      </c>
      <c r="D5053" s="5" t="s">
        <v>14173</v>
      </c>
      <c r="E5053" s="5" t="s">
        <v>81</v>
      </c>
      <c r="F5053" s="5" t="s">
        <v>14174</v>
      </c>
      <c r="G5053" s="5" t="s">
        <v>152</v>
      </c>
      <c r="H5053" s="5" t="s">
        <v>14606</v>
      </c>
      <c r="I5053" s="5" t="s">
        <v>14613</v>
      </c>
      <c r="J5053" s="5" t="s">
        <v>14614</v>
      </c>
      <c r="K5053" s="7" t="str">
        <f ca="1">IFERROR(__xludf.DUMMYFUNCTION("GOOGLETRANSLATE(H5053,""EN"",""ES"")"),"CASAS, GARAJES Y OTROS EDIFICIOS")</f>
        <v>CASAS, GARAJES Y OTROS EDIFICIOS</v>
      </c>
      <c r="L5053" s="5" t="str">
        <f ca="1">IFERROR(__xludf.DUMMYFUNCTION("GOOGLETRANSLATE(J5053,""EN"",""ES"")"),"Cobertizos para bicicletas")</f>
        <v>Cobertizos para bicicletas</v>
      </c>
      <c r="M5053" s="8" t="s">
        <v>80</v>
      </c>
      <c r="N5053" s="8"/>
    </row>
    <row r="5054" spans="1:14" ht="11.25" customHeight="1">
      <c r="A5054" s="5" t="s">
        <v>14170</v>
      </c>
      <c r="B5054" s="5" t="s">
        <v>14604</v>
      </c>
      <c r="C5054" s="5" t="s">
        <v>14615</v>
      </c>
      <c r="D5054" s="5" t="s">
        <v>14173</v>
      </c>
      <c r="E5054" s="5" t="s">
        <v>81</v>
      </c>
      <c r="F5054" s="5" t="s">
        <v>14174</v>
      </c>
      <c r="G5054" s="5" t="s">
        <v>152</v>
      </c>
      <c r="H5054" s="5" t="s">
        <v>14606</v>
      </c>
      <c r="I5054" s="5" t="s">
        <v>14616</v>
      </c>
      <c r="J5054" s="5" t="s">
        <v>14617</v>
      </c>
      <c r="K5054" s="7" t="str">
        <f ca="1">IFERROR(__xludf.DUMMYFUNCTION("GOOGLETRANSLATE(H5054,""EN"",""ES"")"),"CASAS, GARAJES Y OTROS EDIFICIOS")</f>
        <v>CASAS, GARAJES Y OTROS EDIFICIOS</v>
      </c>
      <c r="L5054" s="5" t="str">
        <f ca="1">IFERROR(__xludf.DUMMYFUNCTION("GOOGLETRANSLATE(J5054,""EN"",""ES"")"),"Refugios de mercado")</f>
        <v>Refugios de mercado</v>
      </c>
      <c r="M5054" s="8" t="s">
        <v>80</v>
      </c>
      <c r="N5054" s="8"/>
    </row>
    <row r="5055" spans="1:14" ht="11.25" customHeight="1">
      <c r="A5055" s="5" t="s">
        <v>14170</v>
      </c>
      <c r="B5055" s="5" t="s">
        <v>14604</v>
      </c>
      <c r="C5055" s="5" t="s">
        <v>14618</v>
      </c>
      <c r="D5055" s="5" t="s">
        <v>14173</v>
      </c>
      <c r="E5055" s="5" t="s">
        <v>81</v>
      </c>
      <c r="F5055" s="5" t="s">
        <v>14174</v>
      </c>
      <c r="G5055" s="5" t="s">
        <v>152</v>
      </c>
      <c r="H5055" s="5" t="s">
        <v>14606</v>
      </c>
      <c r="I5055" s="5" t="s">
        <v>14619</v>
      </c>
      <c r="J5055" s="5" t="s">
        <v>14620</v>
      </c>
      <c r="K5055" s="7" t="str">
        <f ca="1">IFERROR(__xludf.DUMMYFUNCTION("GOOGLETRANSLATE(H5055,""EN"",""ES"")"),"CASAS, GARAJES Y OTROS EDIFICIOS")</f>
        <v>CASAS, GARAJES Y OTROS EDIFICIOS</v>
      </c>
      <c r="L5055" s="5" t="str">
        <f ca="1">IFERROR(__xludf.DUMMYFUNCTION("GOOGLETRANSLATE(J5055,""EN"",""ES"")"),"Cocheras")</f>
        <v>Cocheras</v>
      </c>
      <c r="M5055" s="8" t="s">
        <v>80</v>
      </c>
      <c r="N5055" s="8"/>
    </row>
    <row r="5056" spans="1:14" ht="11.25" customHeight="1">
      <c r="A5056" s="5" t="s">
        <v>14170</v>
      </c>
      <c r="B5056" s="5" t="s">
        <v>14604</v>
      </c>
      <c r="C5056" s="5" t="s">
        <v>14621</v>
      </c>
      <c r="D5056" s="5" t="s">
        <v>14173</v>
      </c>
      <c r="E5056" s="5" t="s">
        <v>81</v>
      </c>
      <c r="F5056" s="5" t="s">
        <v>14174</v>
      </c>
      <c r="G5056" s="5" t="s">
        <v>152</v>
      </c>
      <c r="H5056" s="5" t="s">
        <v>14606</v>
      </c>
      <c r="I5056" s="5" t="s">
        <v>14622</v>
      </c>
      <c r="J5056" s="5" t="s">
        <v>14623</v>
      </c>
      <c r="K5056" s="7" t="str">
        <f ca="1">IFERROR(__xludf.DUMMYFUNCTION("GOOGLETRANSLATE(H5056,""EN"",""ES"")"),"CASAS, GARAJES Y OTROS EDIFICIOS")</f>
        <v>CASAS, GARAJES Y OTROS EDIFICIOS</v>
      </c>
      <c r="L5056" s="5" t="str">
        <f ca="1">IFERROR(__xludf.DUMMYFUNCTION("GOOGLETRANSLATE(J5056,""EN"",""ES"")"),"Cobertizos [edificio]")</f>
        <v>Cobertizos [edificio]</v>
      </c>
      <c r="M5056" s="8" t="s">
        <v>80</v>
      </c>
      <c r="N5056" s="8"/>
    </row>
    <row r="5057" spans="1:14" ht="11.25" customHeight="1">
      <c r="A5057" s="5" t="s">
        <v>14170</v>
      </c>
      <c r="B5057" s="5" t="s">
        <v>14604</v>
      </c>
      <c r="C5057" s="5" t="s">
        <v>14624</v>
      </c>
      <c r="D5057" s="5" t="s">
        <v>14173</v>
      </c>
      <c r="E5057" s="5" t="s">
        <v>81</v>
      </c>
      <c r="F5057" s="5" t="s">
        <v>14174</v>
      </c>
      <c r="G5057" s="5" t="s">
        <v>152</v>
      </c>
      <c r="H5057" s="5" t="s">
        <v>14606</v>
      </c>
      <c r="I5057" s="5" t="s">
        <v>14625</v>
      </c>
      <c r="J5057" s="5" t="s">
        <v>14626</v>
      </c>
      <c r="K5057" s="7" t="str">
        <f ca="1">IFERROR(__xludf.DUMMYFUNCTION("GOOGLETRANSLATE(H5057,""EN"",""ES"")"),"CASAS, GARAJES Y OTROS EDIFICIOS")</f>
        <v>CASAS, GARAJES Y OTROS EDIFICIOS</v>
      </c>
      <c r="L5057" s="5" t="str">
        <f ca="1">IFERROR(__xludf.DUMMYFUNCTION("GOOGLETRANSLATE(J5057,""EN"",""ES"")"),"Edificios")</f>
        <v>Edificios</v>
      </c>
      <c r="M5057" s="8" t="s">
        <v>80</v>
      </c>
      <c r="N5057" s="8"/>
    </row>
    <row r="5058" spans="1:14" ht="11.25" customHeight="1">
      <c r="A5058" s="5" t="s">
        <v>14170</v>
      </c>
      <c r="B5058" s="5" t="s">
        <v>14604</v>
      </c>
      <c r="C5058" s="5" t="s">
        <v>14627</v>
      </c>
      <c r="D5058" s="5" t="s">
        <v>14173</v>
      </c>
      <c r="E5058" s="5" t="s">
        <v>81</v>
      </c>
      <c r="F5058" s="5" t="s">
        <v>14174</v>
      </c>
      <c r="G5058" s="5" t="s">
        <v>152</v>
      </c>
      <c r="H5058" s="5" t="s">
        <v>14606</v>
      </c>
      <c r="I5058" s="5" t="s">
        <v>14628</v>
      </c>
      <c r="J5058" s="5" t="s">
        <v>14628</v>
      </c>
      <c r="K5058" s="7" t="str">
        <f ca="1">IFERROR(__xludf.DUMMYFUNCTION("GOOGLETRANSLATE(H5058,""EN"",""ES"")"),"CASAS, GARAJES Y OTROS EDIFICIOS")</f>
        <v>CASAS, GARAJES Y OTROS EDIFICIOS</v>
      </c>
      <c r="L5058" s="5" t="str">
        <f ca="1">IFERROR(__xludf.DUMMYFUNCTION("GOOGLETRANSLATE(J5058,""EN"",""ES"")"),"Bungalows")</f>
        <v>Bungalows</v>
      </c>
      <c r="M5058" s="8" t="s">
        <v>80</v>
      </c>
      <c r="N5058" s="8"/>
    </row>
    <row r="5059" spans="1:14" ht="11.25" customHeight="1">
      <c r="A5059" s="5" t="s">
        <v>14170</v>
      </c>
      <c r="B5059" s="5" t="s">
        <v>14604</v>
      </c>
      <c r="C5059" s="5" t="s">
        <v>14629</v>
      </c>
      <c r="D5059" s="5" t="s">
        <v>14173</v>
      </c>
      <c r="E5059" s="5" t="s">
        <v>81</v>
      </c>
      <c r="F5059" s="5" t="s">
        <v>14174</v>
      </c>
      <c r="G5059" s="5" t="s">
        <v>152</v>
      </c>
      <c r="H5059" s="5" t="s">
        <v>14606</v>
      </c>
      <c r="I5059" s="5" t="s">
        <v>14630</v>
      </c>
      <c r="J5059" s="5" t="s">
        <v>14631</v>
      </c>
      <c r="K5059" s="7" t="str">
        <f ca="1">IFERROR(__xludf.DUMMYFUNCTION("GOOGLETRANSLATE(H5059,""EN"",""ES"")"),"CASAS, GARAJES Y OTROS EDIFICIOS")</f>
        <v>CASAS, GARAJES Y OTROS EDIFICIOS</v>
      </c>
      <c r="L5059" s="5" t="str">
        <f ca="1">IFERROR(__xludf.DUMMYFUNCTION("GOOGLETRANSLATE(J5059,""EN"",""ES"")"),"Cabinas de pintura")</f>
        <v>Cabinas de pintura</v>
      </c>
      <c r="M5059" s="8" t="s">
        <v>80</v>
      </c>
      <c r="N5059" s="8"/>
    </row>
    <row r="5060" spans="1:14" ht="11.25" customHeight="1">
      <c r="A5060" s="5" t="s">
        <v>14170</v>
      </c>
      <c r="B5060" s="5" t="s">
        <v>14604</v>
      </c>
      <c r="C5060" s="5" t="s">
        <v>14632</v>
      </c>
      <c r="D5060" s="5" t="s">
        <v>14173</v>
      </c>
      <c r="E5060" s="5" t="s">
        <v>81</v>
      </c>
      <c r="F5060" s="5" t="s">
        <v>14174</v>
      </c>
      <c r="G5060" s="5" t="s">
        <v>152</v>
      </c>
      <c r="H5060" s="5" t="s">
        <v>14606</v>
      </c>
      <c r="I5060" s="5" t="s">
        <v>14633</v>
      </c>
      <c r="J5060" s="5" t="s">
        <v>14634</v>
      </c>
      <c r="K5060" s="7" t="str">
        <f ca="1">IFERROR(__xludf.DUMMYFUNCTION("GOOGLETRANSLATE(H5060,""EN"",""ES"")"),"CASAS, GARAJES Y OTROS EDIFICIOS")</f>
        <v>CASAS, GARAJES Y OTROS EDIFICIOS</v>
      </c>
      <c r="L5060" s="5" t="str">
        <f ca="1">IFERROR(__xludf.DUMMYFUNCTION("GOOGLETRANSLATE(J5060,""EN"",""ES"")"),"Cabañas de playa")</f>
        <v>Cabañas de playa</v>
      </c>
      <c r="M5060" s="8" t="s">
        <v>80</v>
      </c>
      <c r="N5060" s="8"/>
    </row>
    <row r="5061" spans="1:14" ht="11.25" customHeight="1">
      <c r="A5061" s="5" t="s">
        <v>14170</v>
      </c>
      <c r="B5061" s="5" t="s">
        <v>14604</v>
      </c>
      <c r="C5061" s="5" t="s">
        <v>14635</v>
      </c>
      <c r="D5061" s="5" t="s">
        <v>14173</v>
      </c>
      <c r="E5061" s="5" t="s">
        <v>81</v>
      </c>
      <c r="F5061" s="5" t="s">
        <v>14174</v>
      </c>
      <c r="G5061" s="5" t="s">
        <v>152</v>
      </c>
      <c r="H5061" s="5" t="s">
        <v>14606</v>
      </c>
      <c r="I5061" s="5" t="s">
        <v>14636</v>
      </c>
      <c r="J5061" s="5" t="s">
        <v>14637</v>
      </c>
      <c r="K5061" s="7" t="str">
        <f ca="1">IFERROR(__xludf.DUMMYFUNCTION("GOOGLETRANSLATE(H5061,""EN"",""ES"")"),"CASAS, GARAJES Y OTROS EDIFICIOS")</f>
        <v>CASAS, GARAJES Y OTROS EDIFICIOS</v>
      </c>
      <c r="L5061" s="5" t="str">
        <f ca="1">IFERROR(__xludf.DUMMYFUNCTION("GOOGLETRANSLATE(J5061,""EN"",""ES"")"),"Cambio de cubículos")</f>
        <v>Cambio de cubículos</v>
      </c>
      <c r="M5061" s="8" t="s">
        <v>80</v>
      </c>
      <c r="N5061" s="8"/>
    </row>
    <row r="5062" spans="1:14" ht="11.25" customHeight="1">
      <c r="A5062" s="5" t="s">
        <v>14170</v>
      </c>
      <c r="B5062" s="5" t="s">
        <v>14604</v>
      </c>
      <c r="C5062" s="5" t="s">
        <v>14638</v>
      </c>
      <c r="D5062" s="5" t="s">
        <v>14173</v>
      </c>
      <c r="E5062" s="5" t="s">
        <v>81</v>
      </c>
      <c r="F5062" s="5" t="s">
        <v>14174</v>
      </c>
      <c r="G5062" s="5" t="s">
        <v>152</v>
      </c>
      <c r="H5062" s="5" t="s">
        <v>14606</v>
      </c>
      <c r="I5062" s="5" t="s">
        <v>14639</v>
      </c>
      <c r="J5062" s="5" t="s">
        <v>14640</v>
      </c>
      <c r="K5062" s="7" t="str">
        <f ca="1">IFERROR(__xludf.DUMMYFUNCTION("GOOGLETRANSLATE(H5062,""EN"",""ES"")"),"CASAS, GARAJES Y OTROS EDIFICIOS")</f>
        <v>CASAS, GARAJES Y OTROS EDIFICIOS</v>
      </c>
      <c r="L5062" s="5" t="str">
        <f ca="1">IFERROR(__xludf.DUMMYFUNCTION("GOOGLETRANSLATE(J5062,""EN"",""ES"")"),"Cabinas telefónicas")</f>
        <v>Cabinas telefónicas</v>
      </c>
      <c r="M5062" s="8" t="s">
        <v>80</v>
      </c>
      <c r="N5062" s="8"/>
    </row>
    <row r="5063" spans="1:14" ht="11.25" customHeight="1">
      <c r="A5063" s="5" t="s">
        <v>14170</v>
      </c>
      <c r="B5063" s="5" t="s">
        <v>14604</v>
      </c>
      <c r="C5063" s="5" t="s">
        <v>14638</v>
      </c>
      <c r="D5063" s="5" t="s">
        <v>14173</v>
      </c>
      <c r="E5063" s="5" t="s">
        <v>81</v>
      </c>
      <c r="F5063" s="5" t="s">
        <v>14174</v>
      </c>
      <c r="G5063" s="5" t="s">
        <v>152</v>
      </c>
      <c r="H5063" s="5" t="s">
        <v>14606</v>
      </c>
      <c r="I5063" s="5" t="s">
        <v>14641</v>
      </c>
      <c r="J5063" s="5" t="s">
        <v>152</v>
      </c>
      <c r="K5063" s="7" t="str">
        <f ca="1">IFERROR(__xludf.DUMMYFUNCTION("GOOGLETRANSLATE(H5063,""EN"",""ES"")"),"CASAS, GARAJES Y OTROS EDIFICIOS")</f>
        <v>CASAS, GARAJES Y OTROS EDIFICIOS</v>
      </c>
      <c r="L5063" s="5" t="str">
        <f ca="1">IFERROR(__xludf.DUMMYFUNCTION("GOOGLETRANSLATE(J5063,""EN"",""ES"")"),"cabinas telefónicas")</f>
        <v>cabinas telefónicas</v>
      </c>
      <c r="M5063" s="8" t="s">
        <v>80</v>
      </c>
      <c r="N5063" s="8"/>
    </row>
    <row r="5064" spans="1:14" ht="11.25" customHeight="1">
      <c r="A5064" s="5" t="s">
        <v>14170</v>
      </c>
      <c r="B5064" s="5" t="s">
        <v>14604</v>
      </c>
      <c r="C5064" s="5" t="s">
        <v>14642</v>
      </c>
      <c r="D5064" s="5" t="s">
        <v>14173</v>
      </c>
      <c r="E5064" s="5" t="s">
        <v>81</v>
      </c>
      <c r="F5064" s="5" t="s">
        <v>14174</v>
      </c>
      <c r="G5064" s="5" t="s">
        <v>152</v>
      </c>
      <c r="H5064" s="5" t="s">
        <v>14606</v>
      </c>
      <c r="I5064" s="5" t="s">
        <v>14643</v>
      </c>
      <c r="J5064" s="5" t="s">
        <v>14644</v>
      </c>
      <c r="K5064" s="7" t="str">
        <f ca="1">IFERROR(__xludf.DUMMYFUNCTION("GOOGLETRANSLATE(H5064,""EN"",""ES"")"),"CASAS, GARAJES Y OTROS EDIFICIOS")</f>
        <v>CASAS, GARAJES Y OTROS EDIFICIOS</v>
      </c>
      <c r="L5064" s="5" t="str">
        <f ca="1">IFERROR(__xludf.DUMMYFUNCTION("GOOGLETRANSLATE(J5064,""EN"",""ES"")"),"Soportes para transportar cables")</f>
        <v>Soportes para transportar cables</v>
      </c>
      <c r="M5064" s="8" t="s">
        <v>80</v>
      </c>
      <c r="N5064" s="8"/>
    </row>
    <row r="5065" spans="1:14" ht="11.25" customHeight="1">
      <c r="A5065" s="5" t="s">
        <v>14170</v>
      </c>
      <c r="B5065" s="5" t="s">
        <v>14604</v>
      </c>
      <c r="C5065" s="5" t="s">
        <v>14645</v>
      </c>
      <c r="D5065" s="5" t="s">
        <v>14173</v>
      </c>
      <c r="E5065" s="5" t="s">
        <v>81</v>
      </c>
      <c r="F5065" s="5" t="s">
        <v>14174</v>
      </c>
      <c r="G5065" s="5" t="s">
        <v>152</v>
      </c>
      <c r="H5065" s="5" t="s">
        <v>14606</v>
      </c>
      <c r="I5065" s="5" t="s">
        <v>14646</v>
      </c>
      <c r="J5065" s="5" t="s">
        <v>14647</v>
      </c>
      <c r="K5065" s="7" t="str">
        <f ca="1">IFERROR(__xludf.DUMMYFUNCTION("GOOGLETRANSLATE(H5065,""EN"",""ES"")"),"CASAS, GARAJES Y OTROS EDIFICIOS")</f>
        <v>CASAS, GARAJES Y OTROS EDIFICIOS</v>
      </c>
      <c r="L5065" s="5" t="str">
        <f ca="1">IFERROR(__xludf.DUMMYFUNCTION("GOOGLETRANSLATE(J5065,""EN"",""ES"")"),"Bóvedas funerarias")</f>
        <v>Bóvedas funerarias</v>
      </c>
      <c r="M5065" s="8" t="s">
        <v>80</v>
      </c>
      <c r="N5065" s="8"/>
    </row>
    <row r="5066" spans="1:14" ht="11.25" customHeight="1">
      <c r="A5066" s="5" t="s">
        <v>14170</v>
      </c>
      <c r="B5066" s="5" t="s">
        <v>14604</v>
      </c>
      <c r="C5066" s="5" t="s">
        <v>14648</v>
      </c>
      <c r="D5066" s="5" t="s">
        <v>14173</v>
      </c>
      <c r="E5066" s="5" t="s">
        <v>81</v>
      </c>
      <c r="F5066" s="5" t="s">
        <v>14174</v>
      </c>
      <c r="G5066" s="5" t="s">
        <v>152</v>
      </c>
      <c r="H5066" s="5" t="s">
        <v>14606</v>
      </c>
      <c r="I5066" s="5" t="s">
        <v>14649</v>
      </c>
      <c r="J5066" s="5" t="s">
        <v>14650</v>
      </c>
      <c r="K5066" s="7" t="str">
        <f ca="1">IFERROR(__xludf.DUMMYFUNCTION("GOOGLETRANSLATE(H5066,""EN"",""ES"")"),"CASAS, GARAJES Y OTROS EDIFICIOS")</f>
        <v>CASAS, GARAJES Y OTROS EDIFICIOS</v>
      </c>
      <c r="L5066" s="5" t="str">
        <f ca="1">IFERROR(__xludf.DUMMYFUNCTION("GOOGLETRANSLATE(J5066,""EN"",""ES"")"),"Torres de agua")</f>
        <v>Torres de agua</v>
      </c>
      <c r="M5066" s="8" t="s">
        <v>80</v>
      </c>
      <c r="N5066" s="8"/>
    </row>
    <row r="5067" spans="1:14" ht="11.25" customHeight="1">
      <c r="A5067" s="5" t="s">
        <v>14170</v>
      </c>
      <c r="B5067" s="5" t="s">
        <v>14604</v>
      </c>
      <c r="C5067" s="5" t="s">
        <v>14651</v>
      </c>
      <c r="D5067" s="5" t="s">
        <v>14173</v>
      </c>
      <c r="E5067" s="5" t="s">
        <v>81</v>
      </c>
      <c r="F5067" s="5" t="s">
        <v>14174</v>
      </c>
      <c r="G5067" s="5" t="s">
        <v>152</v>
      </c>
      <c r="H5067" s="5" t="s">
        <v>14606</v>
      </c>
      <c r="I5067" s="5" t="s">
        <v>14652</v>
      </c>
      <c r="J5067" s="5" t="s">
        <v>14653</v>
      </c>
      <c r="K5067" s="7" t="str">
        <f ca="1">IFERROR(__xludf.DUMMYFUNCTION("GOOGLETRANSLATE(H5067,""EN"",""ES"")"),"CASAS, GARAJES Y OTROS EDIFICIOS")</f>
        <v>CASAS, GARAJES Y OTROS EDIFICIOS</v>
      </c>
      <c r="L5067" s="5" t="str">
        <f ca="1">IFERROR(__xludf.DUMMYFUNCTION("GOOGLETRANSLATE(J5067,""EN"",""ES"")"),"Edificios [transportables]")</f>
        <v>Edificios [transportables]</v>
      </c>
      <c r="M5067" s="8" t="s">
        <v>80</v>
      </c>
      <c r="N5067" s="8"/>
    </row>
    <row r="5068" spans="1:14" ht="11.25" customHeight="1">
      <c r="A5068" s="5" t="s">
        <v>14170</v>
      </c>
      <c r="B5068" s="5" t="s">
        <v>14604</v>
      </c>
      <c r="C5068" s="5" t="s">
        <v>14654</v>
      </c>
      <c r="D5068" s="5" t="s">
        <v>14173</v>
      </c>
      <c r="E5068" s="5" t="s">
        <v>81</v>
      </c>
      <c r="F5068" s="5" t="s">
        <v>14174</v>
      </c>
      <c r="G5068" s="5" t="s">
        <v>152</v>
      </c>
      <c r="H5068" s="5" t="s">
        <v>14606</v>
      </c>
      <c r="I5068" s="5" t="s">
        <v>14655</v>
      </c>
      <c r="J5068" s="5" t="s">
        <v>14656</v>
      </c>
      <c r="K5068" s="7" t="str">
        <f ca="1">IFERROR(__xludf.DUMMYFUNCTION("GOOGLETRANSLATE(H5068,""EN"",""ES"")"),"CASAS, GARAJES Y OTROS EDIFICIOS")</f>
        <v>CASAS, GARAJES Y OTROS EDIFICIOS</v>
      </c>
      <c r="L5068" s="5" t="str">
        <f ca="1">IFERROR(__xludf.DUMMYFUNCTION("GOOGLETRANSLATE(J5068,""EN"",""ES"")"),"criptas")</f>
        <v>criptas</v>
      </c>
      <c r="M5068" s="8" t="s">
        <v>80</v>
      </c>
      <c r="N5068" s="8"/>
    </row>
    <row r="5069" spans="1:14" ht="11.25" customHeight="1">
      <c r="A5069" s="5" t="s">
        <v>14170</v>
      </c>
      <c r="B5069" s="5" t="s">
        <v>14604</v>
      </c>
      <c r="C5069" s="5" t="s">
        <v>14657</v>
      </c>
      <c r="D5069" s="5" t="s">
        <v>14173</v>
      </c>
      <c r="E5069" s="5" t="s">
        <v>81</v>
      </c>
      <c r="F5069" s="5" t="s">
        <v>14174</v>
      </c>
      <c r="G5069" s="5" t="s">
        <v>152</v>
      </c>
      <c r="H5069" s="5" t="s">
        <v>14606</v>
      </c>
      <c r="I5069" s="5" t="s">
        <v>14658</v>
      </c>
      <c r="J5069" s="5" t="s">
        <v>14659</v>
      </c>
      <c r="K5069" s="7" t="str">
        <f ca="1">IFERROR(__xludf.DUMMYFUNCTION("GOOGLETRANSLATE(H5069,""EN"",""ES"")"),"CASAS, GARAJES Y OTROS EDIFICIOS")</f>
        <v>CASAS, GARAJES Y OTROS EDIFICIOS</v>
      </c>
      <c r="L5069" s="5" t="str">
        <f ca="1">IFERROR(__xludf.DUMMYFUNCTION("GOOGLETRANSLATE(J5069,""EN"",""ES"")"),"Esclusas [canal]")</f>
        <v>Esclusas [canal]</v>
      </c>
      <c r="M5069" s="8" t="s">
        <v>80</v>
      </c>
      <c r="N5069" s="8"/>
    </row>
    <row r="5070" spans="1:14" ht="11.25" customHeight="1">
      <c r="A5070" s="5" t="s">
        <v>14170</v>
      </c>
      <c r="B5070" s="5" t="s">
        <v>14604</v>
      </c>
      <c r="C5070" s="5" t="s">
        <v>14660</v>
      </c>
      <c r="D5070" s="5" t="s">
        <v>14173</v>
      </c>
      <c r="E5070" s="5" t="s">
        <v>81</v>
      </c>
      <c r="F5070" s="5" t="s">
        <v>14174</v>
      </c>
      <c r="G5070" s="5" t="s">
        <v>152</v>
      </c>
      <c r="H5070" s="5" t="s">
        <v>14606</v>
      </c>
      <c r="I5070" s="5" t="s">
        <v>14661</v>
      </c>
      <c r="J5070" s="5" t="s">
        <v>14661</v>
      </c>
      <c r="K5070" s="7" t="str">
        <f ca="1">IFERROR(__xludf.DUMMYFUNCTION("GOOGLETRANSLATE(H5070,""EN"",""ES"")"),"CASAS, GARAJES Y OTROS EDIFICIOS")</f>
        <v>CASAS, GARAJES Y OTROS EDIFICIOS</v>
      </c>
      <c r="L5070" s="5" t="str">
        <f ca="1">IFERROR(__xludf.DUMMYFUNCTION("GOOGLETRANSLATE(J5070,""EN"",""ES"")"),"Garajes")</f>
        <v>Garajes</v>
      </c>
      <c r="M5070" s="8" t="s">
        <v>80</v>
      </c>
      <c r="N5070" s="8"/>
    </row>
    <row r="5071" spans="1:14" ht="11.25" customHeight="1">
      <c r="A5071" s="5" t="s">
        <v>14170</v>
      </c>
      <c r="B5071" s="5" t="s">
        <v>14604</v>
      </c>
      <c r="C5071" s="5" t="s">
        <v>14662</v>
      </c>
      <c r="D5071" s="5" t="s">
        <v>14173</v>
      </c>
      <c r="E5071" s="5" t="s">
        <v>81</v>
      </c>
      <c r="F5071" s="5" t="s">
        <v>14174</v>
      </c>
      <c r="G5071" s="5" t="s">
        <v>152</v>
      </c>
      <c r="H5071" s="5" t="s">
        <v>14606</v>
      </c>
      <c r="I5071" s="5" t="s">
        <v>14663</v>
      </c>
      <c r="J5071" s="5" t="s">
        <v>14664</v>
      </c>
      <c r="K5071" s="7" t="str">
        <f ca="1">IFERROR(__xludf.DUMMYFUNCTION("GOOGLETRANSLATE(H5071,""EN"",""ES"")"),"CASAS, GARAJES Y OTROS EDIFICIOS")</f>
        <v>CASAS, GARAJES Y OTROS EDIFICIOS</v>
      </c>
      <c r="L5071" s="5" t="str">
        <f ca="1">IFERROR(__xludf.DUMMYFUNCTION("GOOGLETRANSLATE(J5071,""EN"",""ES"")"),"Gasómetros")</f>
        <v>Gasómetros</v>
      </c>
      <c r="M5071" s="8" t="s">
        <v>80</v>
      </c>
      <c r="N5071" s="8"/>
    </row>
    <row r="5072" spans="1:14" ht="11.25" customHeight="1">
      <c r="A5072" s="5" t="s">
        <v>14170</v>
      </c>
      <c r="B5072" s="5" t="s">
        <v>14604</v>
      </c>
      <c r="C5072" s="5" t="s">
        <v>14665</v>
      </c>
      <c r="D5072" s="5" t="s">
        <v>14173</v>
      </c>
      <c r="E5072" s="5" t="s">
        <v>81</v>
      </c>
      <c r="F5072" s="5" t="s">
        <v>14174</v>
      </c>
      <c r="G5072" s="5" t="s">
        <v>152</v>
      </c>
      <c r="H5072" s="5" t="s">
        <v>14606</v>
      </c>
      <c r="I5072" s="5" t="s">
        <v>14666</v>
      </c>
      <c r="J5072" s="5" t="s">
        <v>14667</v>
      </c>
      <c r="K5072" s="7" t="str">
        <f ca="1">IFERROR(__xludf.DUMMYFUNCTION("GOOGLETRANSLATE(H5072,""EN"",""ES"")"),"CASAS, GARAJES Y OTROS EDIFICIOS")</f>
        <v>CASAS, GARAJES Y OTROS EDIFICIOS</v>
      </c>
      <c r="L5072" s="5" t="str">
        <f ca="1">IFERROR(__xludf.DUMMYFUNCTION("GOOGLETRANSLATE(J5072,""EN"",""ES"")"),"graneros")</f>
        <v>graneros</v>
      </c>
      <c r="M5072" s="8" t="s">
        <v>80</v>
      </c>
      <c r="N5072" s="8"/>
    </row>
    <row r="5073" spans="1:14" ht="11.25" customHeight="1">
      <c r="A5073" s="5" t="s">
        <v>14170</v>
      </c>
      <c r="B5073" s="5" t="s">
        <v>14604</v>
      </c>
      <c r="C5073" s="5" t="s">
        <v>14668</v>
      </c>
      <c r="D5073" s="5" t="s">
        <v>14173</v>
      </c>
      <c r="E5073" s="5" t="s">
        <v>81</v>
      </c>
      <c r="F5073" s="5" t="s">
        <v>14174</v>
      </c>
      <c r="G5073" s="5" t="s">
        <v>152</v>
      </c>
      <c r="H5073" s="5" t="s">
        <v>14606</v>
      </c>
      <c r="I5073" s="5" t="s">
        <v>14669</v>
      </c>
      <c r="J5073" s="5" t="s">
        <v>14669</v>
      </c>
      <c r="K5073" s="7" t="str">
        <f ca="1">IFERROR(__xludf.DUMMYFUNCTION("GOOGLETRANSLATE(H5073,""EN"",""ES"")"),"CASAS, GARAJES Y OTROS EDIFICIOS")</f>
        <v>CASAS, GARAJES Y OTROS EDIFICIOS</v>
      </c>
      <c r="L5073" s="5" t="str">
        <f ca="1">IFERROR(__xludf.DUMMYFUNCTION("GOOGLETRANSLATE(J5073,""EN"",""ES"")"),"Hangares")</f>
        <v>Hangares</v>
      </c>
      <c r="M5073" s="8" t="s">
        <v>80</v>
      </c>
      <c r="N5073" s="8"/>
    </row>
    <row r="5074" spans="1:14" ht="11.25" customHeight="1">
      <c r="A5074" s="5" t="s">
        <v>14170</v>
      </c>
      <c r="B5074" s="5" t="s">
        <v>14604</v>
      </c>
      <c r="C5074" s="5" t="s">
        <v>14668</v>
      </c>
      <c r="D5074" s="5" t="s">
        <v>14173</v>
      </c>
      <c r="E5074" s="5" t="s">
        <v>81</v>
      </c>
      <c r="F5074" s="5" t="s">
        <v>14174</v>
      </c>
      <c r="G5074" s="5" t="s">
        <v>152</v>
      </c>
      <c r="H5074" s="5" t="s">
        <v>14606</v>
      </c>
      <c r="I5074" s="5" t="s">
        <v>14670</v>
      </c>
      <c r="J5074" s="5" t="s">
        <v>152</v>
      </c>
      <c r="K5074" s="7" t="str">
        <f ca="1">IFERROR(__xludf.DUMMYFUNCTION("GOOGLETRANSLATE(H5074,""EN"",""ES"")"),"CASAS, GARAJES Y OTROS EDIFICIOS")</f>
        <v>CASAS, GARAJES Y OTROS EDIFICIOS</v>
      </c>
      <c r="L5074" s="5" t="str">
        <f ca="1">IFERROR(__xludf.DUMMYFUNCTION("GOOGLETRANSLATE(J5074,""EN"",""ES"")"),"Cobertizos")</f>
        <v>Cobertizos</v>
      </c>
      <c r="M5074" s="8" t="s">
        <v>80</v>
      </c>
      <c r="N5074" s="8"/>
    </row>
    <row r="5075" spans="1:14" ht="11.25" customHeight="1">
      <c r="A5075" s="5" t="s">
        <v>14170</v>
      </c>
      <c r="B5075" s="5" t="s">
        <v>14604</v>
      </c>
      <c r="C5075" s="5" t="s">
        <v>14671</v>
      </c>
      <c r="D5075" s="5" t="s">
        <v>14173</v>
      </c>
      <c r="E5075" s="5" t="s">
        <v>81</v>
      </c>
      <c r="F5075" s="5" t="s">
        <v>14174</v>
      </c>
      <c r="G5075" s="5" t="s">
        <v>152</v>
      </c>
      <c r="H5075" s="5" t="s">
        <v>14606</v>
      </c>
      <c r="I5075" s="5" t="s">
        <v>14672</v>
      </c>
      <c r="J5075" s="5" t="s">
        <v>14673</v>
      </c>
      <c r="K5075" s="7" t="str">
        <f ca="1">IFERROR(__xludf.DUMMYFUNCTION("GOOGLETRANSLATE(H5075,""EN"",""ES"")"),"CASAS, GARAJES Y OTROS EDIFICIOS")</f>
        <v>CASAS, GARAJES Y OTROS EDIFICIOS</v>
      </c>
      <c r="L5075" s="5" t="str">
        <f ca="1">IFERROR(__xludf.DUMMYFUNCTION("GOOGLETRANSLATE(J5075,""EN"",""ES"")"),"Casas")</f>
        <v>Casas</v>
      </c>
      <c r="M5075" s="8" t="s">
        <v>80</v>
      </c>
      <c r="N5075" s="8"/>
    </row>
    <row r="5076" spans="1:14" ht="11.25" customHeight="1">
      <c r="A5076" s="5" t="s">
        <v>14170</v>
      </c>
      <c r="B5076" s="5" t="s">
        <v>14604</v>
      </c>
      <c r="C5076" s="5" t="s">
        <v>14674</v>
      </c>
      <c r="D5076" s="5" t="s">
        <v>14173</v>
      </c>
      <c r="E5076" s="5" t="s">
        <v>81</v>
      </c>
      <c r="F5076" s="5" t="s">
        <v>14174</v>
      </c>
      <c r="G5076" s="5" t="s">
        <v>152</v>
      </c>
      <c r="H5076" s="5" t="s">
        <v>14606</v>
      </c>
      <c r="I5076" s="5" t="s">
        <v>14675</v>
      </c>
      <c r="J5076" s="5" t="s">
        <v>14676</v>
      </c>
      <c r="K5076" s="7" t="str">
        <f ca="1">IFERROR(__xludf.DUMMYFUNCTION("GOOGLETRANSLATE(H5076,""EN"",""ES"")"),"CASAS, GARAJES Y OTROS EDIFICIOS")</f>
        <v>CASAS, GARAJES Y OTROS EDIFICIOS</v>
      </c>
      <c r="L5076" s="5" t="str">
        <f ca="1">IFERROR(__xludf.DUMMYFUNCTION("GOOGLETRANSLATE(J5076,""EN"",""ES"")"),"Mástiles transmisores")</f>
        <v>Mástiles transmisores</v>
      </c>
      <c r="M5076" s="8" t="s">
        <v>80</v>
      </c>
      <c r="N5076" s="8"/>
    </row>
    <row r="5077" spans="1:14" ht="11.25" customHeight="1">
      <c r="A5077" s="5" t="s">
        <v>14170</v>
      </c>
      <c r="B5077" s="5" t="s">
        <v>14604</v>
      </c>
      <c r="C5077" s="5" t="s">
        <v>14677</v>
      </c>
      <c r="D5077" s="5" t="s">
        <v>14173</v>
      </c>
      <c r="E5077" s="5" t="s">
        <v>81</v>
      </c>
      <c r="F5077" s="5" t="s">
        <v>14174</v>
      </c>
      <c r="G5077" s="5" t="s">
        <v>152</v>
      </c>
      <c r="H5077" s="5" t="s">
        <v>14606</v>
      </c>
      <c r="I5077" s="5" t="s">
        <v>14678</v>
      </c>
      <c r="J5077" s="5" t="s">
        <v>14679</v>
      </c>
      <c r="K5077" s="7" t="str">
        <f ca="1">IFERROR(__xludf.DUMMYFUNCTION("GOOGLETRANSLATE(H5077,""EN"",""ES"")"),"CASAS, GARAJES Y OTROS EDIFICIOS")</f>
        <v>CASAS, GARAJES Y OTROS EDIFICIOS</v>
      </c>
      <c r="L5077" s="5" t="str">
        <f ca="1">IFERROR(__xludf.DUMMYFUNCTION("GOOGLETRANSLATE(J5077,""EN"",""ES"")"),"Mausoleos")</f>
        <v>Mausoleos</v>
      </c>
      <c r="M5077" s="8" t="s">
        <v>80</v>
      </c>
      <c r="N5077" s="8"/>
    </row>
    <row r="5078" spans="1:14" ht="11.25" customHeight="1">
      <c r="A5078" s="5" t="s">
        <v>14170</v>
      </c>
      <c r="B5078" s="5" t="s">
        <v>14604</v>
      </c>
      <c r="C5078" s="5" t="s">
        <v>14680</v>
      </c>
      <c r="D5078" s="5" t="s">
        <v>14173</v>
      </c>
      <c r="E5078" s="5" t="s">
        <v>81</v>
      </c>
      <c r="F5078" s="5" t="s">
        <v>14174</v>
      </c>
      <c r="G5078" s="5" t="s">
        <v>152</v>
      </c>
      <c r="H5078" s="5" t="s">
        <v>14606</v>
      </c>
      <c r="I5078" s="5" t="s">
        <v>14681</v>
      </c>
      <c r="J5078" s="5" t="s">
        <v>14681</v>
      </c>
      <c r="K5078" s="7" t="str">
        <f ca="1">IFERROR(__xludf.DUMMYFUNCTION("GOOGLETRANSLATE(H5078,""EN"",""ES"")"),"CASAS, GARAJES Y OTROS EDIFICIOS")</f>
        <v>CASAS, GARAJES Y OTROS EDIFICIOS</v>
      </c>
      <c r="L5078" s="5" t="str">
        <f ca="1">IFERROR(__xludf.DUMMYFUNCTION("GOOGLETRANSLATE(J5078,""EN"",""ES"")"),"Monumentos")</f>
        <v>Monumentos</v>
      </c>
      <c r="M5078" s="8" t="s">
        <v>80</v>
      </c>
      <c r="N5078" s="8"/>
    </row>
    <row r="5079" spans="1:14" ht="11.25" customHeight="1">
      <c r="A5079" s="5" t="s">
        <v>14170</v>
      </c>
      <c r="B5079" s="5" t="s">
        <v>14604</v>
      </c>
      <c r="C5079" s="5" t="s">
        <v>14682</v>
      </c>
      <c r="D5079" s="5" t="s">
        <v>14173</v>
      </c>
      <c r="E5079" s="5" t="s">
        <v>81</v>
      </c>
      <c r="F5079" s="5" t="s">
        <v>14174</v>
      </c>
      <c r="G5079" s="5" t="s">
        <v>152</v>
      </c>
      <c r="H5079" s="5" t="s">
        <v>14606</v>
      </c>
      <c r="I5079" s="5" t="s">
        <v>14683</v>
      </c>
      <c r="J5079" s="5" t="s">
        <v>14684</v>
      </c>
      <c r="K5079" s="7" t="str">
        <f ca="1">IFERROR(__xludf.DUMMYFUNCTION("GOOGLETRANSLATE(H5079,""EN"",""ES"")"),"CASAS, GARAJES Y OTROS EDIFICIOS")</f>
        <v>CASAS, GARAJES Y OTROS EDIFICIOS</v>
      </c>
      <c r="L5079" s="5" t="str">
        <f ca="1">IFERROR(__xludf.DUMMYFUNCTION("GOOGLETRANSLATE(J5079,""EN"",""ES"")"),"Molinos de viento [construcción]")</f>
        <v>Molinos de viento [construcción]</v>
      </c>
      <c r="M5079" s="8" t="s">
        <v>80</v>
      </c>
      <c r="N5079" s="8"/>
    </row>
    <row r="5080" spans="1:14" ht="11.25" customHeight="1">
      <c r="A5080" s="5" t="s">
        <v>14170</v>
      </c>
      <c r="B5080" s="5" t="s">
        <v>14604</v>
      </c>
      <c r="C5080" s="5" t="s">
        <v>14685</v>
      </c>
      <c r="D5080" s="5" t="s">
        <v>14173</v>
      </c>
      <c r="E5080" s="5" t="s">
        <v>81</v>
      </c>
      <c r="F5080" s="5" t="s">
        <v>14174</v>
      </c>
      <c r="G5080" s="5" t="s">
        <v>152</v>
      </c>
      <c r="H5080" s="5" t="s">
        <v>14606</v>
      </c>
      <c r="I5080" s="5" t="s">
        <v>14686</v>
      </c>
      <c r="J5080" s="5" t="s">
        <v>14687</v>
      </c>
      <c r="K5080" s="7" t="str">
        <f ca="1">IFERROR(__xludf.DUMMYFUNCTION("GOOGLETRANSLATE(H5080,""EN"",""ES"")"),"CASAS, GARAJES Y OTROS EDIFICIOS")</f>
        <v>CASAS, GARAJES Y OTROS EDIFICIOS</v>
      </c>
      <c r="L5080" s="5" t="str">
        <f ca="1">IFERROR(__xludf.DUMMYFUNCTION("GOOGLETRANSLATE(J5080,""EN"",""ES"")"),"Huecos para teléfonos")</f>
        <v>Huecos para teléfonos</v>
      </c>
      <c r="M5080" s="8" t="s">
        <v>80</v>
      </c>
      <c r="N5080" s="8"/>
    </row>
    <row r="5081" spans="1:14" ht="11.25" customHeight="1">
      <c r="A5081" s="5" t="s">
        <v>14170</v>
      </c>
      <c r="B5081" s="5" t="s">
        <v>14604</v>
      </c>
      <c r="C5081" s="5" t="s">
        <v>14688</v>
      </c>
      <c r="D5081" s="5" t="s">
        <v>14173</v>
      </c>
      <c r="E5081" s="5" t="s">
        <v>81</v>
      </c>
      <c r="F5081" s="5" t="s">
        <v>14174</v>
      </c>
      <c r="G5081" s="5" t="s">
        <v>152</v>
      </c>
      <c r="H5081" s="5" t="s">
        <v>14606</v>
      </c>
      <c r="I5081" s="5" t="s">
        <v>14689</v>
      </c>
      <c r="J5081" s="5" t="s">
        <v>14690</v>
      </c>
      <c r="K5081" s="7" t="str">
        <f ca="1">IFERROR(__xludf.DUMMYFUNCTION("GOOGLETRANSLATE(H5081,""EN"",""ES"")"),"CASAS, GARAJES Y OTROS EDIFICIOS")</f>
        <v>CASAS, GARAJES Y OTROS EDIFICIOS</v>
      </c>
      <c r="L5081" s="5" t="str">
        <f ca="1">IFERROR(__xludf.DUMMYFUNCTION("GOOGLETRANSLATE(J5081,""EN"",""ES"")"),"Pistas de patinaje [estructura]")</f>
        <v>Pistas de patinaje [estructura]</v>
      </c>
      <c r="M5081" s="8" t="s">
        <v>80</v>
      </c>
      <c r="N5081" s="8"/>
    </row>
    <row r="5082" spans="1:14" ht="11.25" customHeight="1">
      <c r="A5082" s="5" t="s">
        <v>14170</v>
      </c>
      <c r="B5082" s="5" t="s">
        <v>14604</v>
      </c>
      <c r="C5082" s="5" t="s">
        <v>14691</v>
      </c>
      <c r="D5082" s="5" t="s">
        <v>14173</v>
      </c>
      <c r="E5082" s="5" t="s">
        <v>81</v>
      </c>
      <c r="F5082" s="5" t="s">
        <v>14174</v>
      </c>
      <c r="G5082" s="5" t="s">
        <v>152</v>
      </c>
      <c r="H5082" s="5" t="s">
        <v>14606</v>
      </c>
      <c r="I5082" s="5" t="s">
        <v>14692</v>
      </c>
      <c r="J5082" s="5" t="s">
        <v>14693</v>
      </c>
      <c r="K5082" s="7" t="str">
        <f ca="1">IFERROR(__xludf.DUMMYFUNCTION("GOOGLETRANSLATE(H5082,""EN"",""ES"")"),"CASAS, GARAJES Y OTROS EDIFICIOS")</f>
        <v>CASAS, GARAJES Y OTROS EDIFICIOS</v>
      </c>
      <c r="L5082" s="5" t="str">
        <f ca="1">IFERROR(__xludf.DUMMYFUNCTION("GOOGLETRANSLATE(J5082,""EN"",""ES"")"),"Pabellones [edificio]")</f>
        <v>Pabellones [edificio]</v>
      </c>
      <c r="M5082" s="8" t="s">
        <v>80</v>
      </c>
      <c r="N5082" s="8"/>
    </row>
    <row r="5083" spans="1:14" ht="11.25" customHeight="1">
      <c r="A5083" s="5" t="s">
        <v>14170</v>
      </c>
      <c r="B5083" s="5" t="s">
        <v>14604</v>
      </c>
      <c r="C5083" s="5" t="s">
        <v>14694</v>
      </c>
      <c r="D5083" s="5" t="s">
        <v>14173</v>
      </c>
      <c r="E5083" s="5" t="s">
        <v>81</v>
      </c>
      <c r="F5083" s="5" t="s">
        <v>14174</v>
      </c>
      <c r="G5083" s="5" t="s">
        <v>152</v>
      </c>
      <c r="H5083" s="5" t="s">
        <v>14606</v>
      </c>
      <c r="I5083" s="5" t="s">
        <v>14695</v>
      </c>
      <c r="J5083" s="5" t="s">
        <v>14696</v>
      </c>
      <c r="K5083" s="7" t="str">
        <f ca="1">IFERROR(__xludf.DUMMYFUNCTION("GOOGLETRANSLATE(H5083,""EN"",""ES"")"),"CASAS, GARAJES Y OTROS EDIFICIOS")</f>
        <v>CASAS, GARAJES Y OTROS EDIFICIOS</v>
      </c>
      <c r="L5083" s="5" t="str">
        <f ca="1">IFERROR(__xludf.DUMMYFUNCTION("GOOGLETRANSLATE(J5083,""EN"",""ES"")"),"Muelles de puente")</f>
        <v>Muelles de puente</v>
      </c>
      <c r="M5083" s="8" t="s">
        <v>80</v>
      </c>
      <c r="N5083" s="8"/>
    </row>
    <row r="5084" spans="1:14" ht="11.25" customHeight="1">
      <c r="A5084" s="5" t="s">
        <v>14170</v>
      </c>
      <c r="B5084" s="5" t="s">
        <v>14604</v>
      </c>
      <c r="C5084" s="5" t="s">
        <v>14697</v>
      </c>
      <c r="D5084" s="5" t="s">
        <v>14173</v>
      </c>
      <c r="E5084" s="5" t="s">
        <v>81</v>
      </c>
      <c r="F5084" s="5" t="s">
        <v>14174</v>
      </c>
      <c r="G5084" s="5" t="s">
        <v>152</v>
      </c>
      <c r="H5084" s="5" t="s">
        <v>14606</v>
      </c>
      <c r="I5084" s="5" t="s">
        <v>14698</v>
      </c>
      <c r="J5084" s="5" t="s">
        <v>14699</v>
      </c>
      <c r="K5084" s="7" t="str">
        <f ca="1">IFERROR(__xludf.DUMMYFUNCTION("GOOGLETRANSLATE(H5084,""EN"",""ES"")"),"CASAS, GARAJES Y OTROS EDIFICIOS")</f>
        <v>CASAS, GARAJES Y OTROS EDIFICIOS</v>
      </c>
      <c r="L5084" s="5" t="str">
        <f ca="1">IFERROR(__xludf.DUMMYFUNCTION("GOOGLETRANSLATE(J5084,""EN"",""ES"")"),"Piscinas [no transportables]")</f>
        <v>Piscinas [no transportables]</v>
      </c>
      <c r="M5084" s="8" t="s">
        <v>80</v>
      </c>
      <c r="N5084" s="8"/>
    </row>
    <row r="5085" spans="1:14" ht="11.25" customHeight="1">
      <c r="A5085" s="5" t="s">
        <v>14170</v>
      </c>
      <c r="B5085" s="5" t="s">
        <v>14604</v>
      </c>
      <c r="C5085" s="5" t="s">
        <v>14700</v>
      </c>
      <c r="D5085" s="5" t="s">
        <v>14173</v>
      </c>
      <c r="E5085" s="5" t="s">
        <v>81</v>
      </c>
      <c r="F5085" s="5" t="s">
        <v>14174</v>
      </c>
      <c r="G5085" s="5" t="s">
        <v>152</v>
      </c>
      <c r="H5085" s="5" t="s">
        <v>14606</v>
      </c>
      <c r="I5085" s="5" t="s">
        <v>14701</v>
      </c>
      <c r="J5085" s="5" t="s">
        <v>14702</v>
      </c>
      <c r="K5085" s="7" t="str">
        <f ca="1">IFERROR(__xludf.DUMMYFUNCTION("GOOGLETRANSLATE(H5085,""EN"",""ES"")"),"CASAS, GARAJES Y OTROS EDIFICIOS")</f>
        <v>CASAS, GARAJES Y OTROS EDIFICIOS</v>
      </c>
      <c r="L5085" s="5" t="str">
        <f ca="1">IFERROR(__xludf.DUMMYFUNCTION("GOOGLETRANSLATE(J5085,""EN"",""ES"")"),"Puentes [ingeniería civil]")</f>
        <v>Puentes [ingeniería civil]</v>
      </c>
      <c r="M5085" s="8" t="s">
        <v>80</v>
      </c>
      <c r="N5085" s="8"/>
    </row>
    <row r="5086" spans="1:14" ht="11.25" customHeight="1">
      <c r="A5086" s="5" t="s">
        <v>14170</v>
      </c>
      <c r="B5086" s="5" t="s">
        <v>14604</v>
      </c>
      <c r="C5086" s="5" t="s">
        <v>14703</v>
      </c>
      <c r="D5086" s="5" t="s">
        <v>14173</v>
      </c>
      <c r="E5086" s="5" t="s">
        <v>81</v>
      </c>
      <c r="F5086" s="5" t="s">
        <v>14174</v>
      </c>
      <c r="G5086" s="5" t="s">
        <v>152</v>
      </c>
      <c r="H5086" s="5" t="s">
        <v>14606</v>
      </c>
      <c r="I5086" s="5" t="s">
        <v>14704</v>
      </c>
      <c r="J5086" s="5" t="s">
        <v>14705</v>
      </c>
      <c r="K5086" s="7" t="str">
        <f ca="1">IFERROR(__xludf.DUMMYFUNCTION("GOOGLETRANSLATE(H5086,""EN"",""ES"")"),"CASAS, GARAJES Y OTROS EDIFICIOS")</f>
        <v>CASAS, GARAJES Y OTROS EDIFICIOS</v>
      </c>
      <c r="L5086" s="5" t="str">
        <f ca="1">IFERROR(__xludf.DUMMYFUNCTION("GOOGLETRANSLATE(J5086,""EN"",""ES"")"),"Gallineros")</f>
        <v>Gallineros</v>
      </c>
      <c r="M5086" s="8" t="s">
        <v>80</v>
      </c>
      <c r="N5086" s="8"/>
    </row>
    <row r="5087" spans="1:14" ht="11.25" customHeight="1">
      <c r="A5087" s="5" t="s">
        <v>14170</v>
      </c>
      <c r="B5087" s="5" t="s">
        <v>14604</v>
      </c>
      <c r="C5087" s="5" t="s">
        <v>14706</v>
      </c>
      <c r="D5087" s="5" t="s">
        <v>14173</v>
      </c>
      <c r="E5087" s="5" t="s">
        <v>81</v>
      </c>
      <c r="F5087" s="5" t="s">
        <v>14174</v>
      </c>
      <c r="G5087" s="5" t="s">
        <v>152</v>
      </c>
      <c r="H5087" s="5" t="s">
        <v>14606</v>
      </c>
      <c r="I5087" s="5" t="s">
        <v>14707</v>
      </c>
      <c r="J5087" s="5" t="s">
        <v>14708</v>
      </c>
      <c r="K5087" s="7" t="str">
        <f ca="1">IFERROR(__xludf.DUMMYFUNCTION("GOOGLETRANSLATE(H5087,""EN"",""ES"")"),"CASAS, GARAJES Y OTROS EDIFICIOS")</f>
        <v>CASAS, GARAJES Y OTROS EDIFICIOS</v>
      </c>
      <c r="L5087" s="5" t="str">
        <f ca="1">IFERROR(__xludf.DUMMYFUNCTION("GOOGLETRANSLATE(J5087,""EN"",""ES"")"),"Pilones")</f>
        <v>Pilones</v>
      </c>
      <c r="M5087" s="8" t="s">
        <v>80</v>
      </c>
      <c r="N5087" s="8"/>
    </row>
    <row r="5088" spans="1:14" ht="11.25" customHeight="1">
      <c r="A5088" s="5" t="s">
        <v>14170</v>
      </c>
      <c r="B5088" s="5" t="s">
        <v>14604</v>
      </c>
      <c r="C5088" s="5" t="s">
        <v>14709</v>
      </c>
      <c r="D5088" s="5" t="s">
        <v>14173</v>
      </c>
      <c r="E5088" s="5" t="s">
        <v>81</v>
      </c>
      <c r="F5088" s="5" t="s">
        <v>14174</v>
      </c>
      <c r="G5088" s="5" t="s">
        <v>152</v>
      </c>
      <c r="H5088" s="5" t="s">
        <v>14606</v>
      </c>
      <c r="I5088" s="5" t="s">
        <v>14710</v>
      </c>
      <c r="J5088" s="5" t="s">
        <v>14711</v>
      </c>
      <c r="K5088" s="7" t="str">
        <f ca="1">IFERROR(__xludf.DUMMYFUNCTION("GOOGLETRANSLATE(H5088,""EN"",""ES"")"),"CASAS, GARAJES Y OTROS EDIFICIOS")</f>
        <v>CASAS, GARAJES Y OTROS EDIFICIOS</v>
      </c>
      <c r="L5088" s="5" t="str">
        <f ca="1">IFERROR(__xludf.DUMMYFUNCTION("GOOGLETRANSLATE(J5088,""EN"",""ES"")"),"invernaderos")</f>
        <v>invernaderos</v>
      </c>
      <c r="M5088" s="8" t="s">
        <v>80</v>
      </c>
      <c r="N5088" s="8"/>
    </row>
    <row r="5089" spans="1:14" ht="11.25" customHeight="1">
      <c r="A5089" s="5" t="s">
        <v>14170</v>
      </c>
      <c r="B5089" s="5" t="s">
        <v>14604</v>
      </c>
      <c r="C5089" s="5" t="s">
        <v>14712</v>
      </c>
      <c r="D5089" s="5" t="s">
        <v>14173</v>
      </c>
      <c r="E5089" s="5" t="s">
        <v>81</v>
      </c>
      <c r="F5089" s="5" t="s">
        <v>14174</v>
      </c>
      <c r="G5089" s="5" t="s">
        <v>152</v>
      </c>
      <c r="H5089" s="5" t="s">
        <v>14606</v>
      </c>
      <c r="I5089" s="5" t="s">
        <v>14713</v>
      </c>
      <c r="J5089" s="5" t="s">
        <v>14713</v>
      </c>
      <c r="K5089" s="7" t="str">
        <f ca="1">IFERROR(__xludf.DUMMYFUNCTION("GOOGLETRANSLATE(H5089,""EN"",""ES"")"),"CASAS, GARAJES Y OTROS EDIFICIOS")</f>
        <v>CASAS, GARAJES Y OTROS EDIFICIOS</v>
      </c>
      <c r="L5089" s="5" t="str">
        <f ca="1">IFERROR(__xludf.DUMMYFUNCTION("GOOGLETRANSLATE(J5089,""EN"",""ES"")"),"Silos")</f>
        <v>Silos</v>
      </c>
      <c r="M5089" s="8" t="s">
        <v>80</v>
      </c>
      <c r="N5089" s="8"/>
    </row>
    <row r="5090" spans="1:14" ht="11.25" customHeight="1">
      <c r="A5090" s="5" t="s">
        <v>14170</v>
      </c>
      <c r="B5090" s="5" t="s">
        <v>14604</v>
      </c>
      <c r="C5090" s="5" t="s">
        <v>14714</v>
      </c>
      <c r="D5090" s="5" t="s">
        <v>14173</v>
      </c>
      <c r="E5090" s="5" t="s">
        <v>81</v>
      </c>
      <c r="F5090" s="5" t="s">
        <v>14174</v>
      </c>
      <c r="G5090" s="5" t="s">
        <v>152</v>
      </c>
      <c r="H5090" s="5" t="s">
        <v>14606</v>
      </c>
      <c r="I5090" s="5" t="s">
        <v>14715</v>
      </c>
      <c r="J5090" s="5" t="s">
        <v>14715</v>
      </c>
      <c r="K5090" s="7" t="str">
        <f ca="1">IFERROR(__xludf.DUMMYFUNCTION("GOOGLETRANSLATE(H5090,""EN"",""ES"")"),"CASAS, GARAJES Y OTROS EDIFICIOS")</f>
        <v>CASAS, GARAJES Y OTROS EDIFICIOS</v>
      </c>
      <c r="L5090" s="5" t="str">
        <f ca="1">IFERROR(__xludf.DUMMYFUNCTION("GOOGLETRANSLATE(J5090,""EN"",""ES"")"),"Solariums [construcción]")</f>
        <v>Solariums [construcción]</v>
      </c>
      <c r="M5090" s="8" t="s">
        <v>80</v>
      </c>
      <c r="N5090" s="8"/>
    </row>
    <row r="5091" spans="1:14" ht="11.25" customHeight="1">
      <c r="A5091" s="5" t="s">
        <v>14170</v>
      </c>
      <c r="B5091" s="5" t="s">
        <v>14604</v>
      </c>
      <c r="C5091" s="5" t="s">
        <v>14716</v>
      </c>
      <c r="D5091" s="5" t="s">
        <v>14173</v>
      </c>
      <c r="E5091" s="5" t="s">
        <v>81</v>
      </c>
      <c r="F5091" s="5" t="s">
        <v>14174</v>
      </c>
      <c r="G5091" s="5" t="s">
        <v>152</v>
      </c>
      <c r="H5091" s="5" t="s">
        <v>14606</v>
      </c>
      <c r="I5091" s="5" t="s">
        <v>14717</v>
      </c>
      <c r="J5091" s="5" t="s">
        <v>14718</v>
      </c>
      <c r="K5091" s="7" t="str">
        <f ca="1">IFERROR(__xludf.DUMMYFUNCTION("GOOGLETRANSLATE(H5091,""EN"",""ES"")"),"CASAS, GARAJES Y OTROS EDIFICIOS")</f>
        <v>CASAS, GARAJES Y OTROS EDIFICIOS</v>
      </c>
      <c r="L5091" s="5" t="str">
        <f ca="1">IFERROR(__xludf.DUMMYFUNCTION("GOOGLETRANSLATE(J5091,""EN"",""ES"")"),"Gradas")</f>
        <v>Gradas</v>
      </c>
      <c r="M5091" s="8" t="s">
        <v>80</v>
      </c>
      <c r="N5091" s="8"/>
    </row>
    <row r="5092" spans="1:14" ht="11.25" customHeight="1">
      <c r="A5092" s="5" t="s">
        <v>14170</v>
      </c>
      <c r="B5092" s="5" t="s">
        <v>14604</v>
      </c>
      <c r="C5092" s="5" t="s">
        <v>14719</v>
      </c>
      <c r="D5092" s="5" t="s">
        <v>14173</v>
      </c>
      <c r="E5092" s="5" t="s">
        <v>81</v>
      </c>
      <c r="F5092" s="5" t="s">
        <v>14174</v>
      </c>
      <c r="G5092" s="5" t="s">
        <v>152</v>
      </c>
      <c r="H5092" s="5" t="s">
        <v>14606</v>
      </c>
      <c r="I5092" s="5" t="s">
        <v>14720</v>
      </c>
      <c r="J5092" s="5" t="s">
        <v>14721</v>
      </c>
      <c r="K5092" s="7" t="str">
        <f ca="1">IFERROR(__xludf.DUMMYFUNCTION("GOOGLETRANSLATE(H5092,""EN"",""ES"")"),"CASAS, GARAJES Y OTROS EDIFICIOS")</f>
        <v>CASAS, GARAJES Y OTROS EDIFICIOS</v>
      </c>
      <c r="L5092" s="5" t="str">
        <f ca="1">IFERROR(__xludf.DUMMYFUNCTION("GOOGLETRANSLATE(J5092,""EN"",""ES"")"),"Lápidas")</f>
        <v>Lápidas</v>
      </c>
      <c r="M5092" s="8" t="s">
        <v>80</v>
      </c>
      <c r="N5092" s="8"/>
    </row>
    <row r="5093" spans="1:14" ht="11.25" customHeight="1">
      <c r="A5093" s="5" t="s">
        <v>14170</v>
      </c>
      <c r="B5093" s="5" t="s">
        <v>14604</v>
      </c>
      <c r="C5093" s="5" t="s">
        <v>14722</v>
      </c>
      <c r="D5093" s="5" t="s">
        <v>14173</v>
      </c>
      <c r="E5093" s="5" t="s">
        <v>81</v>
      </c>
      <c r="F5093" s="5" t="s">
        <v>14174</v>
      </c>
      <c r="G5093" s="5" t="s">
        <v>152</v>
      </c>
      <c r="H5093" s="5" t="s">
        <v>14606</v>
      </c>
      <c r="I5093" s="5" t="s">
        <v>14723</v>
      </c>
      <c r="J5093" s="5" t="s">
        <v>14724</v>
      </c>
      <c r="K5093" s="7" t="str">
        <f ca="1">IFERROR(__xludf.DUMMYFUNCTION("GOOGLETRANSLATE(H5093,""EN"",""ES"")"),"CASAS, GARAJES Y OTROS EDIFICIOS")</f>
        <v>CASAS, GARAJES Y OTROS EDIFICIOS</v>
      </c>
      <c r="L5093" s="5" t="str">
        <f ca="1">IFERROR(__xludf.DUMMYFUNCTION("GOOGLETRANSLATE(J5093,""EN"",""ES"")"),"sarcófagos")</f>
        <v>sarcófagos</v>
      </c>
      <c r="M5093" s="8" t="s">
        <v>80</v>
      </c>
      <c r="N5093" s="8"/>
    </row>
    <row r="5094" spans="1:14" ht="11.25" customHeight="1">
      <c r="A5094" s="5" t="s">
        <v>14170</v>
      </c>
      <c r="B5094" s="5" t="s">
        <v>14604</v>
      </c>
      <c r="C5094" s="5" t="s">
        <v>14725</v>
      </c>
      <c r="D5094" s="5" t="s">
        <v>14173</v>
      </c>
      <c r="E5094" s="5" t="s">
        <v>81</v>
      </c>
      <c r="F5094" s="5" t="s">
        <v>14174</v>
      </c>
      <c r="G5094" s="5" t="s">
        <v>152</v>
      </c>
      <c r="H5094" s="5" t="s">
        <v>14606</v>
      </c>
      <c r="I5094" s="5" t="s">
        <v>14726</v>
      </c>
      <c r="J5094" s="5" t="s">
        <v>14727</v>
      </c>
      <c r="K5094" s="7" t="str">
        <f ca="1">IFERROR(__xludf.DUMMYFUNCTION("GOOGLETRANSLATE(H5094,""EN"",""ES"")"),"CASAS, GARAJES Y OTROS EDIFICIOS")</f>
        <v>CASAS, GARAJES Y OTROS EDIFICIOS</v>
      </c>
      <c r="L5094" s="5" t="str">
        <f ca="1">IFERROR(__xludf.DUMMYFUNCTION("GOOGLETRANSLATE(J5094,""EN"",""ES"")"),"Cobertizos para botes")</f>
        <v>Cobertizos para botes</v>
      </c>
      <c r="M5094" s="8" t="s">
        <v>80</v>
      </c>
      <c r="N5094" s="8"/>
    </row>
    <row r="5095" spans="1:14" ht="11.25" customHeight="1">
      <c r="A5095" s="5" t="s">
        <v>14170</v>
      </c>
      <c r="B5095" s="5" t="s">
        <v>14604</v>
      </c>
      <c r="C5095" s="5" t="s">
        <v>14728</v>
      </c>
      <c r="D5095" s="5" t="s">
        <v>14173</v>
      </c>
      <c r="E5095" s="5" t="s">
        <v>81</v>
      </c>
      <c r="F5095" s="5" t="s">
        <v>14174</v>
      </c>
      <c r="G5095" s="5" t="s">
        <v>152</v>
      </c>
      <c r="H5095" s="5" t="s">
        <v>14606</v>
      </c>
      <c r="I5095" s="5" t="s">
        <v>14729</v>
      </c>
      <c r="J5095" s="5" t="s">
        <v>14730</v>
      </c>
      <c r="K5095" s="7" t="str">
        <f ca="1">IFERROR(__xludf.DUMMYFUNCTION("GOOGLETRANSLATE(H5095,""EN"",""ES"")"),"CASAS, GARAJES Y OTROS EDIFICIOS")</f>
        <v>CASAS, GARAJES Y OTROS EDIFICIOS</v>
      </c>
      <c r="L5095" s="5" t="str">
        <f ca="1">IFERROR(__xludf.DUMMYFUNCTION("GOOGLETRANSLATE(J5095,""EN"",""ES"")"),"Carpas inflables")</f>
        <v>Carpas inflables</v>
      </c>
      <c r="M5095" s="8" t="s">
        <v>80</v>
      </c>
      <c r="N5095" s="8"/>
    </row>
    <row r="5096" spans="1:14" ht="11.25" customHeight="1">
      <c r="A5096" s="5" t="s">
        <v>14170</v>
      </c>
      <c r="B5096" s="5" t="s">
        <v>14604</v>
      </c>
      <c r="C5096" s="5" t="s">
        <v>14731</v>
      </c>
      <c r="D5096" s="5" t="s">
        <v>14173</v>
      </c>
      <c r="E5096" s="5" t="s">
        <v>81</v>
      </c>
      <c r="F5096" s="5" t="s">
        <v>14174</v>
      </c>
      <c r="G5096" s="5" t="s">
        <v>152</v>
      </c>
      <c r="H5096" s="5" t="s">
        <v>14606</v>
      </c>
      <c r="I5096" s="5" t="s">
        <v>14732</v>
      </c>
      <c r="J5096" s="5" t="s">
        <v>14733</v>
      </c>
      <c r="K5096" s="7" t="str">
        <f ca="1">IFERROR(__xludf.DUMMYFUNCTION("GOOGLETRANSLATE(H5096,""EN"",""ES"")"),"CASAS, GARAJES Y OTROS EDIFICIOS")</f>
        <v>CASAS, GARAJES Y OTROS EDIFICIOS</v>
      </c>
      <c r="L5096" s="5" t="str">
        <f ca="1">IFERROR(__xludf.DUMMYFUNCTION("GOOGLETRANSLATE(J5096,""EN"",""ES"")"),"Postes para cables de red eléctrica.")</f>
        <v>Postes para cables de red eléctrica.</v>
      </c>
      <c r="M5096" s="8" t="s">
        <v>80</v>
      </c>
      <c r="N5096" s="8"/>
    </row>
    <row r="5097" spans="1:14" ht="11.25" customHeight="1">
      <c r="A5097" s="5" t="s">
        <v>14170</v>
      </c>
      <c r="B5097" s="5" t="s">
        <v>14604</v>
      </c>
      <c r="C5097" s="5" t="s">
        <v>14734</v>
      </c>
      <c r="D5097" s="5" t="s">
        <v>14173</v>
      </c>
      <c r="E5097" s="5" t="s">
        <v>81</v>
      </c>
      <c r="F5097" s="5" t="s">
        <v>14174</v>
      </c>
      <c r="G5097" s="5" t="s">
        <v>152</v>
      </c>
      <c r="H5097" s="5" t="s">
        <v>14606</v>
      </c>
      <c r="I5097" s="5" t="s">
        <v>14735</v>
      </c>
      <c r="J5097" s="5" t="s">
        <v>14736</v>
      </c>
      <c r="K5097" s="7" t="str">
        <f ca="1">IFERROR(__xludf.DUMMYFUNCTION("GOOGLETRANSLATE(H5097,""EN"",""ES"")"),"CASAS, GARAJES Y OTROS EDIFICIOS")</f>
        <v>CASAS, GARAJES Y OTROS EDIFICIOS</v>
      </c>
      <c r="L5097" s="5" t="str">
        <f ca="1">IFERROR(__xludf.DUMMYFUNCTION("GOOGLETRANSLATE(J5097,""EN"",""ES"")"),"Estaciones de servicio")</f>
        <v>Estaciones de servicio</v>
      </c>
      <c r="M5097" s="8" t="s">
        <v>80</v>
      </c>
      <c r="N5097" s="8"/>
    </row>
    <row r="5098" spans="1:14" ht="11.25" customHeight="1">
      <c r="A5098" s="5" t="s">
        <v>14170</v>
      </c>
      <c r="B5098" s="5" t="s">
        <v>14604</v>
      </c>
      <c r="C5098" s="5" t="s">
        <v>14734</v>
      </c>
      <c r="D5098" s="5" t="s">
        <v>14173</v>
      </c>
      <c r="E5098" s="5" t="s">
        <v>81</v>
      </c>
      <c r="F5098" s="5" t="s">
        <v>14174</v>
      </c>
      <c r="G5098" s="5" t="s">
        <v>152</v>
      </c>
      <c r="H5098" s="5" t="s">
        <v>14606</v>
      </c>
      <c r="I5098" s="5" t="s">
        <v>14737</v>
      </c>
      <c r="J5098" s="5" t="s">
        <v>152</v>
      </c>
      <c r="K5098" s="7" t="str">
        <f ca="1">IFERROR(__xludf.DUMMYFUNCTION("GOOGLETRANSLATE(H5098,""EN"",""ES"")"),"CASAS, GARAJES Y OTROS EDIFICIOS")</f>
        <v>CASAS, GARAJES Y OTROS EDIFICIOS</v>
      </c>
      <c r="L5098" s="5" t="str">
        <f ca="1">IFERROR(__xludf.DUMMYFUNCTION("GOOGLETRANSLATE(J5098,""EN"",""ES"")"),"Estaciones de servicio")</f>
        <v>Estaciones de servicio</v>
      </c>
      <c r="M5098" s="8" t="s">
        <v>80</v>
      </c>
      <c r="N5098" s="8"/>
    </row>
    <row r="5099" spans="1:14" ht="11.25" customHeight="1">
      <c r="A5099" s="5" t="s">
        <v>14170</v>
      </c>
      <c r="B5099" s="5" t="s">
        <v>14604</v>
      </c>
      <c r="C5099" s="5" t="s">
        <v>14738</v>
      </c>
      <c r="D5099" s="5" t="s">
        <v>14173</v>
      </c>
      <c r="E5099" s="5" t="s">
        <v>81</v>
      </c>
      <c r="F5099" s="5" t="s">
        <v>14174</v>
      </c>
      <c r="G5099" s="5" t="s">
        <v>152</v>
      </c>
      <c r="H5099" s="5" t="s">
        <v>14606</v>
      </c>
      <c r="I5099" s="5" t="s">
        <v>14739</v>
      </c>
      <c r="J5099" s="5" t="s">
        <v>14740</v>
      </c>
      <c r="K5099" s="7" t="str">
        <f ca="1">IFERROR(__xludf.DUMMYFUNCTION("GOOGLETRANSLATE(H5099,""EN"",""ES"")"),"CASAS, GARAJES Y OTROS EDIFICIOS")</f>
        <v>CASAS, GARAJES Y OTROS EDIFICIOS</v>
      </c>
      <c r="L5099" s="5" t="str">
        <f ca="1">IFERROR(__xludf.DUMMYFUNCTION("GOOGLETRANSLATE(J5099,""EN"",""ES"")"),"escenarios de teatro")</f>
        <v>escenarios de teatro</v>
      </c>
      <c r="M5099" s="8" t="s">
        <v>80</v>
      </c>
      <c r="N5099" s="8"/>
    </row>
    <row r="5100" spans="1:14" ht="11.25" customHeight="1">
      <c r="A5100" s="5" t="s">
        <v>14170</v>
      </c>
      <c r="B5100" s="5" t="s">
        <v>14604</v>
      </c>
      <c r="C5100" s="5" t="s">
        <v>14741</v>
      </c>
      <c r="D5100" s="5" t="s">
        <v>14173</v>
      </c>
      <c r="E5100" s="5" t="s">
        <v>81</v>
      </c>
      <c r="F5100" s="5" t="s">
        <v>14174</v>
      </c>
      <c r="G5100" s="5" t="s">
        <v>152</v>
      </c>
      <c r="H5100" s="5" t="s">
        <v>14606</v>
      </c>
      <c r="I5100" s="5" t="s">
        <v>14742</v>
      </c>
      <c r="J5100" s="5" t="s">
        <v>14743</v>
      </c>
      <c r="K5100" s="7" t="str">
        <f ca="1">IFERROR(__xludf.DUMMYFUNCTION("GOOGLETRANSLATE(H5100,""EN"",""ES"")"),"CASAS, GARAJES Y OTROS EDIFICIOS")</f>
        <v>CASAS, GARAJES Y OTROS EDIFICIOS</v>
      </c>
      <c r="L5100" s="5" t="str">
        <f ca="1">IFERROR(__xludf.DUMMYFUNCTION("GOOGLETRANSLATE(J5100,""EN"",""ES"")"),"Plumas de amarre")</f>
        <v>Plumas de amarre</v>
      </c>
      <c r="M5100" s="8" t="s">
        <v>80</v>
      </c>
      <c r="N5100" s="8"/>
    </row>
    <row r="5101" spans="1:14" ht="11.25" customHeight="1">
      <c r="A5101" s="5" t="s">
        <v>14170</v>
      </c>
      <c r="B5101" s="5" t="s">
        <v>14604</v>
      </c>
      <c r="C5101" s="5" t="s">
        <v>14744</v>
      </c>
      <c r="D5101" s="5" t="s">
        <v>14173</v>
      </c>
      <c r="E5101" s="5" t="s">
        <v>81</v>
      </c>
      <c r="F5101" s="5" t="s">
        <v>14174</v>
      </c>
      <c r="G5101" s="5" t="s">
        <v>152</v>
      </c>
      <c r="H5101" s="5" t="s">
        <v>14606</v>
      </c>
      <c r="I5101" s="5" t="s">
        <v>14745</v>
      </c>
      <c r="J5101" s="5" t="s">
        <v>14746</v>
      </c>
      <c r="K5101" s="7" t="str">
        <f ca="1">IFERROR(__xludf.DUMMYFUNCTION("GOOGLETRANSLATE(H5101,""EN"",""ES"")"),"CASAS, GARAJES Y OTROS EDIFICIOS")</f>
        <v>CASAS, GARAJES Y OTROS EDIFICIOS</v>
      </c>
      <c r="L5101" s="5" t="str">
        <f ca="1">IFERROR(__xludf.DUMMYFUNCTION("GOOGLETRANSLATE(J5101,""EN"",""ES"")"),"Puentes flotantes")</f>
        <v>Puentes flotantes</v>
      </c>
      <c r="M5101" s="8" t="s">
        <v>80</v>
      </c>
      <c r="N5101" s="8"/>
    </row>
    <row r="5102" spans="1:14" ht="11.25" customHeight="1">
      <c r="A5102" s="5" t="s">
        <v>14170</v>
      </c>
      <c r="B5102" s="5" t="s">
        <v>14604</v>
      </c>
      <c r="C5102" s="5" t="s">
        <v>14747</v>
      </c>
      <c r="D5102" s="5" t="s">
        <v>14173</v>
      </c>
      <c r="E5102" s="5" t="s">
        <v>81</v>
      </c>
      <c r="F5102" s="5" t="s">
        <v>14174</v>
      </c>
      <c r="G5102" s="5" t="s">
        <v>152</v>
      </c>
      <c r="H5102" s="5" t="s">
        <v>14606</v>
      </c>
      <c r="I5102" s="5" t="s">
        <v>14748</v>
      </c>
      <c r="J5102" s="5" t="s">
        <v>14749</v>
      </c>
      <c r="K5102" s="7" t="str">
        <f ca="1">IFERROR(__xludf.DUMMYFUNCTION("GOOGLETRANSLATE(H5102,""EN"",""ES"")"),"CASAS, GARAJES Y OTROS EDIFICIOS")</f>
        <v>CASAS, GARAJES Y OTROS EDIFICIOS</v>
      </c>
      <c r="L5102" s="5" t="str">
        <f ca="1">IFERROR(__xludf.DUMMYFUNCTION("GOOGLETRANSLATE(J5102,""EN"",""ES"")"),"Garitas [cabañas]")</f>
        <v>Garitas [cabañas]</v>
      </c>
      <c r="M5102" s="8" t="s">
        <v>80</v>
      </c>
      <c r="N5102" s="8"/>
    </row>
    <row r="5103" spans="1:14" ht="11.25" customHeight="1">
      <c r="A5103" s="5" t="s">
        <v>14170</v>
      </c>
      <c r="B5103" s="5" t="s">
        <v>14604</v>
      </c>
      <c r="C5103" s="5" t="s">
        <v>14750</v>
      </c>
      <c r="D5103" s="5" t="s">
        <v>14173</v>
      </c>
      <c r="E5103" s="5" t="s">
        <v>81</v>
      </c>
      <c r="F5103" s="5" t="s">
        <v>14174</v>
      </c>
      <c r="G5103" s="5" t="s">
        <v>152</v>
      </c>
      <c r="H5103" s="5" t="s">
        <v>14606</v>
      </c>
      <c r="I5103" s="5" t="s">
        <v>14751</v>
      </c>
      <c r="J5103" s="5" t="s">
        <v>14752</v>
      </c>
      <c r="K5103" s="7" t="str">
        <f ca="1">IFERROR(__xludf.DUMMYFUNCTION("GOOGLETRANSLATE(H5103,""EN"",""ES"")"),"CASAS, GARAJES Y OTROS EDIFICIOS")</f>
        <v>CASAS, GARAJES Y OTROS EDIFICIOS</v>
      </c>
      <c r="L5103" s="5" t="str">
        <f ca="1">IFERROR(__xludf.DUMMYFUNCTION("GOOGLETRANSLATE(J5103,""EN"",""ES"")"),"Pasarelas")</f>
        <v>Pasarelas</v>
      </c>
      <c r="M5103" s="8" t="s">
        <v>80</v>
      </c>
      <c r="N5103" s="8"/>
    </row>
    <row r="5104" spans="1:14" ht="11.25" customHeight="1">
      <c r="A5104" s="5" t="s">
        <v>14170</v>
      </c>
      <c r="B5104" s="5" t="s">
        <v>14604</v>
      </c>
      <c r="C5104" s="5" t="s">
        <v>14753</v>
      </c>
      <c r="D5104" s="5" t="s">
        <v>14173</v>
      </c>
      <c r="E5104" s="5" t="s">
        <v>81</v>
      </c>
      <c r="F5104" s="5" t="s">
        <v>14174</v>
      </c>
      <c r="G5104" s="5" t="s">
        <v>152</v>
      </c>
      <c r="H5104" s="5" t="s">
        <v>14606</v>
      </c>
      <c r="I5104" s="5" t="s">
        <v>14754</v>
      </c>
      <c r="J5104" s="5" t="s">
        <v>14755</v>
      </c>
      <c r="K5104" s="7" t="str">
        <f ca="1">IFERROR(__xludf.DUMMYFUNCTION("GOOGLETRANSLATE(H5104,""EN"",""ES"")"),"CASAS, GARAJES Y OTROS EDIFICIOS")</f>
        <v>CASAS, GARAJES Y OTROS EDIFICIOS</v>
      </c>
      <c r="L5104" s="5" t="str">
        <f ca="1">IFERROR(__xludf.DUMMYFUNCTION("GOOGLETRANSLATE(J5104,""EN"",""ES"")"),"quioscos")</f>
        <v>quioscos</v>
      </c>
      <c r="M5104" s="8" t="s">
        <v>80</v>
      </c>
      <c r="N5104" s="8"/>
    </row>
    <row r="5105" spans="1:14" ht="11.25" customHeight="1">
      <c r="A5105" s="5" t="s">
        <v>14170</v>
      </c>
      <c r="B5105" s="5" t="s">
        <v>14604</v>
      </c>
      <c r="C5105" s="5" t="s">
        <v>14756</v>
      </c>
      <c r="D5105" s="5" t="s">
        <v>14173</v>
      </c>
      <c r="E5105" s="5" t="s">
        <v>81</v>
      </c>
      <c r="F5105" s="5" t="s">
        <v>14174</v>
      </c>
      <c r="G5105" s="5" t="s">
        <v>152</v>
      </c>
      <c r="H5105" s="5" t="s">
        <v>14606</v>
      </c>
      <c r="I5105" s="5" t="s">
        <v>14757</v>
      </c>
      <c r="J5105" s="5" t="s">
        <v>14758</v>
      </c>
      <c r="K5105" s="7" t="str">
        <f ca="1">IFERROR(__xludf.DUMMYFUNCTION("GOOGLETRANSLATE(H5105,""EN"",""ES"")"),"CASAS, GARAJES Y OTROS EDIFICIOS")</f>
        <v>CASAS, GARAJES Y OTROS EDIFICIOS</v>
      </c>
      <c r="L5105" s="5" t="str">
        <f ca="1">IFERROR(__xludf.DUMMYFUNCTION("GOOGLETRANSLATE(J5105,""EN"",""ES"")"),"Refugios para cubos de basura")</f>
        <v>Refugios para cubos de basura</v>
      </c>
      <c r="M5105" s="8" t="s">
        <v>80</v>
      </c>
      <c r="N5105" s="8"/>
    </row>
    <row r="5106" spans="1:14" ht="11.25" customHeight="1">
      <c r="A5106" s="5" t="s">
        <v>14170</v>
      </c>
      <c r="B5106" s="5" t="s">
        <v>14604</v>
      </c>
      <c r="C5106" s="5" t="s">
        <v>14759</v>
      </c>
      <c r="D5106" s="5" t="s">
        <v>14173</v>
      </c>
      <c r="E5106" s="5" t="s">
        <v>81</v>
      </c>
      <c r="F5106" s="5" t="s">
        <v>14174</v>
      </c>
      <c r="G5106" s="5" t="s">
        <v>152</v>
      </c>
      <c r="H5106" s="5" t="s">
        <v>14606</v>
      </c>
      <c r="I5106" s="5" t="s">
        <v>14760</v>
      </c>
      <c r="J5106" s="5" t="s">
        <v>14761</v>
      </c>
      <c r="K5106" s="7" t="str">
        <f ca="1">IFERROR(__xludf.DUMMYFUNCTION("GOOGLETRANSLATE(H5106,""EN"",""ES"")"),"CASAS, GARAJES Y OTROS EDIFICIOS")</f>
        <v>CASAS, GARAJES Y OTROS EDIFICIOS</v>
      </c>
      <c r="L5106" s="5" t="str">
        <f ca="1">IFERROR(__xludf.DUMMYFUNCTION("GOOGLETRANSLATE(J5106,""EN"",""ES"")"),"Refugios de pasajeros")</f>
        <v>Refugios de pasajeros</v>
      </c>
      <c r="M5106" s="8" t="s">
        <v>80</v>
      </c>
      <c r="N5106" s="8"/>
    </row>
    <row r="5107" spans="1:14" ht="11.25" customHeight="1">
      <c r="A5107" s="5" t="s">
        <v>14170</v>
      </c>
      <c r="B5107" s="5" t="s">
        <v>14604</v>
      </c>
      <c r="C5107" s="5" t="s">
        <v>14762</v>
      </c>
      <c r="D5107" s="5" t="s">
        <v>14173</v>
      </c>
      <c r="E5107" s="5" t="s">
        <v>81</v>
      </c>
      <c r="F5107" s="5" t="s">
        <v>14174</v>
      </c>
      <c r="G5107" s="5" t="s">
        <v>152</v>
      </c>
      <c r="H5107" s="5" t="s">
        <v>14606</v>
      </c>
      <c r="I5107" s="5" t="s">
        <v>14763</v>
      </c>
      <c r="J5107" s="5" t="s">
        <v>14764</v>
      </c>
      <c r="K5107" s="7" t="str">
        <f ca="1">IFERROR(__xludf.DUMMYFUNCTION("GOOGLETRANSLATE(H5107,""EN"",""ES"")"),"CASAS, GARAJES Y OTROS EDIFICIOS")</f>
        <v>CASAS, GARAJES Y OTROS EDIFICIOS</v>
      </c>
      <c r="L5107" s="5" t="str">
        <f ca="1">IFERROR(__xludf.DUMMYFUNCTION("GOOGLETRANSLATE(J5107,""EN"",""ES"")"),"Casas de peaje")</f>
        <v>Casas de peaje</v>
      </c>
      <c r="M5107" s="8" t="s">
        <v>80</v>
      </c>
      <c r="N5107" s="8"/>
    </row>
    <row r="5108" spans="1:14" ht="11.25" customHeight="1">
      <c r="A5108" s="5" t="s">
        <v>14170</v>
      </c>
      <c r="B5108" s="5" t="s">
        <v>14604</v>
      </c>
      <c r="C5108" s="5" t="s">
        <v>14765</v>
      </c>
      <c r="D5108" s="5" t="s">
        <v>14173</v>
      </c>
      <c r="E5108" s="5" t="s">
        <v>81</v>
      </c>
      <c r="F5108" s="5" t="s">
        <v>14174</v>
      </c>
      <c r="G5108" s="5" t="s">
        <v>152</v>
      </c>
      <c r="H5108" s="5" t="s">
        <v>14606</v>
      </c>
      <c r="I5108" s="5" t="s">
        <v>14766</v>
      </c>
      <c r="J5108" s="5" t="s">
        <v>14767</v>
      </c>
      <c r="K5108" s="7" t="str">
        <f ca="1">IFERROR(__xludf.DUMMYFUNCTION("GOOGLETRANSLATE(H5108,""EN"",""ES"")"),"CASAS, GARAJES Y OTROS EDIFICIOS")</f>
        <v>CASAS, GARAJES Y OTROS EDIFICIOS</v>
      </c>
      <c r="L5108" s="5" t="str">
        <f ca="1">IFERROR(__xludf.DUMMYFUNCTION("GOOGLETRANSLATE(J5108,""EN"",""ES"")"),"columbario")</f>
        <v>columbario</v>
      </c>
      <c r="M5108" s="8" t="s">
        <v>80</v>
      </c>
      <c r="N5108" s="8"/>
    </row>
    <row r="5109" spans="1:14" ht="11.25" customHeight="1">
      <c r="A5109" s="5" t="s">
        <v>14170</v>
      </c>
      <c r="B5109" s="5" t="s">
        <v>14604</v>
      </c>
      <c r="C5109" s="5" t="s">
        <v>14768</v>
      </c>
      <c r="D5109" s="5" t="s">
        <v>14173</v>
      </c>
      <c r="E5109" s="5" t="s">
        <v>81</v>
      </c>
      <c r="F5109" s="5" t="s">
        <v>14174</v>
      </c>
      <c r="G5109" s="5" t="s">
        <v>152</v>
      </c>
      <c r="H5109" s="5" t="s">
        <v>14606</v>
      </c>
      <c r="I5109" s="5" t="s">
        <v>14769</v>
      </c>
      <c r="J5109" s="5" t="s">
        <v>14770</v>
      </c>
      <c r="K5109" s="7" t="str">
        <f ca="1">IFERROR(__xludf.DUMMYFUNCTION("GOOGLETRANSLATE(H5109,""EN"",""ES"")"),"CASAS, GARAJES Y OTROS EDIFICIOS")</f>
        <v>CASAS, GARAJES Y OTROS EDIFICIOS</v>
      </c>
      <c r="L5109" s="5" t="str">
        <f ca="1">IFERROR(__xludf.DUMMYFUNCTION("GOOGLETRANSLATE(J5109,""EN"",""ES"")"),"Refugios protectores para materiales de construcción.")</f>
        <v>Refugios protectores para materiales de construcción.</v>
      </c>
      <c r="M5109" s="8" t="s">
        <v>80</v>
      </c>
      <c r="N5109" s="8"/>
    </row>
    <row r="5110" spans="1:14" ht="11.25" customHeight="1">
      <c r="A5110" s="5" t="s">
        <v>14170</v>
      </c>
      <c r="B5110" s="5" t="s">
        <v>14604</v>
      </c>
      <c r="C5110" s="5" t="s">
        <v>14771</v>
      </c>
      <c r="D5110" s="5" t="s">
        <v>14173</v>
      </c>
      <c r="E5110" s="5" t="s">
        <v>81</v>
      </c>
      <c r="F5110" s="5" t="s">
        <v>14174</v>
      </c>
      <c r="G5110" s="5" t="s">
        <v>152</v>
      </c>
      <c r="H5110" s="5" t="s">
        <v>14606</v>
      </c>
      <c r="I5110" s="5" t="s">
        <v>14772</v>
      </c>
      <c r="J5110" s="5" t="s">
        <v>14773</v>
      </c>
      <c r="K5110" s="7" t="str">
        <f ca="1">IFERROR(__xludf.DUMMYFUNCTION("GOOGLETRANSLATE(H5110,""EN"",""ES"")"),"CASAS, GARAJES Y OTROS EDIFICIOS")</f>
        <v>CASAS, GARAJES Y OTROS EDIFICIOS</v>
      </c>
      <c r="L5110" s="5" t="str">
        <f ca="1">IFERROR(__xludf.DUMMYFUNCTION("GOOGLETRANSLATE(J5110,""EN"",""ES"")"),"Edificios en miniatura [excepto juguetes]")</f>
        <v>Edificios en miniatura [excepto juguetes]</v>
      </c>
      <c r="M5110" s="8" t="s">
        <v>80</v>
      </c>
      <c r="N5110" s="8"/>
    </row>
    <row r="5111" spans="1:14" ht="11.25" customHeight="1">
      <c r="A5111" s="5" t="s">
        <v>14170</v>
      </c>
      <c r="B5111" s="5" t="s">
        <v>14604</v>
      </c>
      <c r="C5111" s="5" t="s">
        <v>14774</v>
      </c>
      <c r="D5111" s="5" t="s">
        <v>14173</v>
      </c>
      <c r="E5111" s="5" t="s">
        <v>81</v>
      </c>
      <c r="F5111" s="5" t="s">
        <v>14174</v>
      </c>
      <c r="G5111" s="5" t="s">
        <v>152</v>
      </c>
      <c r="H5111" s="5" t="s">
        <v>14606</v>
      </c>
      <c r="I5111" s="5" t="s">
        <v>14775</v>
      </c>
      <c r="J5111" s="5" t="s">
        <v>14776</v>
      </c>
      <c r="K5111" s="7" t="str">
        <f ca="1">IFERROR(__xludf.DUMMYFUNCTION("GOOGLETRANSLATE(H5111,""EN"",""ES"")"),"CASAS, GARAJES Y OTROS EDIFICIOS")</f>
        <v>CASAS, GARAJES Y OTROS EDIFICIOS</v>
      </c>
      <c r="L5111" s="5" t="str">
        <f ca="1">IFERROR(__xludf.DUMMYFUNCTION("GOOGLETRANSLATE(J5111,""EN"",""ES"")"),"Casitas de juego para niños")</f>
        <v>Casitas de juego para niños</v>
      </c>
      <c r="M5111" s="8" t="s">
        <v>80</v>
      </c>
      <c r="N5111" s="8"/>
    </row>
    <row r="5112" spans="1:14" ht="11.25" customHeight="1">
      <c r="A5112" s="5" t="s">
        <v>14170</v>
      </c>
      <c r="B5112" s="5" t="s">
        <v>14604</v>
      </c>
      <c r="C5112" s="5" t="s">
        <v>14777</v>
      </c>
      <c r="D5112" s="5" t="s">
        <v>14173</v>
      </c>
      <c r="E5112" s="5" t="s">
        <v>81</v>
      </c>
      <c r="F5112" s="5" t="s">
        <v>14174</v>
      </c>
      <c r="G5112" s="5" t="s">
        <v>152</v>
      </c>
      <c r="H5112" s="5" t="s">
        <v>14606</v>
      </c>
      <c r="I5112" s="5" t="s">
        <v>14778</v>
      </c>
      <c r="J5112" s="5" t="s">
        <v>14779</v>
      </c>
      <c r="K5112" s="7" t="str">
        <f ca="1">IFERROR(__xludf.DUMMYFUNCTION("GOOGLETRANSLATE(H5112,""EN"",""ES"")"),"CASAS, GARAJES Y OTROS EDIFICIOS")</f>
        <v>CASAS, GARAJES Y OTROS EDIFICIOS</v>
      </c>
      <c r="L5112" s="5" t="str">
        <f ca="1">IFERROR(__xludf.DUMMYFUNCTION("GOOGLETRANSLATE(J5112,""EN"",""ES"")"),"Marquesinas para estaciones de servicio")</f>
        <v>Marquesinas para estaciones de servicio</v>
      </c>
      <c r="M5112" s="8" t="s">
        <v>80</v>
      </c>
      <c r="N5112" s="8"/>
    </row>
    <row r="5113" spans="1:14" ht="11.25" customHeight="1">
      <c r="A5113" s="5" t="s">
        <v>14170</v>
      </c>
      <c r="B5113" s="5" t="s">
        <v>14604</v>
      </c>
      <c r="C5113" s="5" t="s">
        <v>14780</v>
      </c>
      <c r="D5113" s="5" t="s">
        <v>14173</v>
      </c>
      <c r="E5113" s="5" t="s">
        <v>81</v>
      </c>
      <c r="F5113" s="5" t="s">
        <v>14174</v>
      </c>
      <c r="G5113" s="5" t="s">
        <v>152</v>
      </c>
      <c r="H5113" s="5" t="s">
        <v>14606</v>
      </c>
      <c r="I5113" s="5" t="s">
        <v>14781</v>
      </c>
      <c r="J5113" s="5" t="s">
        <v>14781</v>
      </c>
      <c r="K5113" s="7" t="str">
        <f ca="1">IFERROR(__xludf.DUMMYFUNCTION("GOOGLETRANSLATE(H5113,""EN"",""ES"")"),"CASAS, GARAJES Y OTROS EDIFICIOS")</f>
        <v>CASAS, GARAJES Y OTROS EDIFICIOS</v>
      </c>
      <c r="L5113" s="5" t="str">
        <f ca="1">IFERROR(__xludf.DUMMYFUNCTION("GOOGLETRANSLATE(J5113,""EN"",""ES"")"),"Pérgolas")</f>
        <v>Pérgolas</v>
      </c>
      <c r="M5113" s="8" t="s">
        <v>80</v>
      </c>
      <c r="N5113" s="8"/>
    </row>
    <row r="5114" spans="1:14" ht="11.25" customHeight="1">
      <c r="A5114" s="5" t="s">
        <v>14170</v>
      </c>
      <c r="B5114" s="5" t="s">
        <v>14604</v>
      </c>
      <c r="C5114" s="5" t="s">
        <v>14782</v>
      </c>
      <c r="D5114" s="5" t="s">
        <v>14173</v>
      </c>
      <c r="E5114" s="5" t="s">
        <v>81</v>
      </c>
      <c r="F5114" s="5" t="s">
        <v>14174</v>
      </c>
      <c r="G5114" s="5" t="s">
        <v>152</v>
      </c>
      <c r="H5114" s="5" t="s">
        <v>14606</v>
      </c>
      <c r="I5114" s="5" t="s">
        <v>14783</v>
      </c>
      <c r="J5114" s="5" t="s">
        <v>14784</v>
      </c>
      <c r="K5114" s="7" t="str">
        <f ca="1">IFERROR(__xludf.DUMMYFUNCTION("GOOGLETRANSLATE(H5114,""EN"",""ES"")"),"CASAS, GARAJES Y OTROS EDIFICIOS")</f>
        <v>CASAS, GARAJES Y OTROS EDIFICIOS</v>
      </c>
      <c r="L5114" s="5" t="str">
        <f ca="1">IFERROR(__xludf.DUMMYFUNCTION("GOOGLETRANSLATE(J5114,""EN"",""ES"")"),"Refugios modulares")</f>
        <v>Refugios modulares</v>
      </c>
      <c r="M5114" s="8" t="s">
        <v>80</v>
      </c>
      <c r="N5114" s="8"/>
    </row>
    <row r="5115" spans="1:14" ht="11.25" customHeight="1">
      <c r="A5115" s="5" t="s">
        <v>14170</v>
      </c>
      <c r="B5115" s="5" t="s">
        <v>14604</v>
      </c>
      <c r="C5115" s="5" t="s">
        <v>14785</v>
      </c>
      <c r="D5115" s="5" t="s">
        <v>14173</v>
      </c>
      <c r="E5115" s="5" t="s">
        <v>81</v>
      </c>
      <c r="F5115" s="5" t="s">
        <v>14174</v>
      </c>
      <c r="G5115" s="5" t="s">
        <v>152</v>
      </c>
      <c r="H5115" s="5" t="s">
        <v>14606</v>
      </c>
      <c r="I5115" s="5" t="s">
        <v>14786</v>
      </c>
      <c r="J5115" s="5" t="s">
        <v>14787</v>
      </c>
      <c r="K5115" s="7" t="str">
        <f ca="1">IFERROR(__xludf.DUMMYFUNCTION("GOOGLETRANSLATE(H5115,""EN"",""ES"")"),"CASAS, GARAJES Y OTROS EDIFICIOS")</f>
        <v>CASAS, GARAJES Y OTROS EDIFICIOS</v>
      </c>
      <c r="L5115" s="5" t="str">
        <f ca="1">IFERROR(__xludf.DUMMYFUNCTION("GOOGLETRANSLATE(J5115,""EN"",""ES"")"),"Centrales eléctricas [obra civil]")</f>
        <v>Centrales eléctricas [obra civil]</v>
      </c>
      <c r="M5115" s="8" t="s">
        <v>80</v>
      </c>
      <c r="N5115" s="8"/>
    </row>
    <row r="5116" spans="1:14" ht="11.25" customHeight="1">
      <c r="A5116" s="5" t="s">
        <v>14170</v>
      </c>
      <c r="B5116" s="5" t="s">
        <v>14604</v>
      </c>
      <c r="C5116" s="5" t="s">
        <v>14788</v>
      </c>
      <c r="D5116" s="5" t="s">
        <v>14173</v>
      </c>
      <c r="E5116" s="5" t="s">
        <v>81</v>
      </c>
      <c r="F5116" s="5" t="s">
        <v>14174</v>
      </c>
      <c r="G5116" s="5" t="s">
        <v>152</v>
      </c>
      <c r="H5116" s="5" t="s">
        <v>14606</v>
      </c>
      <c r="I5116" s="5" t="s">
        <v>14789</v>
      </c>
      <c r="J5116" s="5" t="s">
        <v>14790</v>
      </c>
      <c r="K5116" s="7" t="str">
        <f ca="1">IFERROR(__xludf.DUMMYFUNCTION("GOOGLETRANSLATE(H5116,""EN"",""ES"")"),"CASAS, GARAJES Y OTROS EDIFICIOS")</f>
        <v>CASAS, GARAJES Y OTROS EDIFICIOS</v>
      </c>
      <c r="L5116" s="5" t="str">
        <f ca="1">IFERROR(__xludf.DUMMYFUNCTION("GOOGLETRANSLATE(J5116,""EN"",""ES"")"),"Buzones")</f>
        <v>Buzones</v>
      </c>
      <c r="M5116" s="8" t="s">
        <v>80</v>
      </c>
      <c r="N5116" s="8"/>
    </row>
    <row r="5117" spans="1:14" ht="11.25" customHeight="1">
      <c r="A5117" s="5" t="s">
        <v>14170</v>
      </c>
      <c r="B5117" s="5" t="s">
        <v>14604</v>
      </c>
      <c r="C5117" s="5" t="s">
        <v>14791</v>
      </c>
      <c r="D5117" s="5" t="s">
        <v>14173</v>
      </c>
      <c r="E5117" s="5" t="s">
        <v>81</v>
      </c>
      <c r="F5117" s="5" t="s">
        <v>14174</v>
      </c>
      <c r="G5117" s="5" t="s">
        <v>152</v>
      </c>
      <c r="H5117" s="5" t="s">
        <v>14606</v>
      </c>
      <c r="I5117" s="5" t="s">
        <v>14792</v>
      </c>
      <c r="J5117" s="5" t="s">
        <v>14793</v>
      </c>
      <c r="K5117" s="7" t="str">
        <f ca="1">IFERROR(__xludf.DUMMYFUNCTION("GOOGLETRANSLATE(H5117,""EN"",""ES"")"),"CASAS, GARAJES Y OTROS EDIFICIOS")</f>
        <v>CASAS, GARAJES Y OTROS EDIFICIOS</v>
      </c>
      <c r="L5117" s="5" t="str">
        <f ca="1">IFERROR(__xludf.DUMMYFUNCTION("GOOGLETRANSLATE(J5117,""EN"",""ES"")"),"campanas hortícolas")</f>
        <v>campanas hortícolas</v>
      </c>
      <c r="M5117" s="8" t="s">
        <v>80</v>
      </c>
      <c r="N5117" s="8"/>
    </row>
    <row r="5118" spans="1:14" ht="11.25" customHeight="1">
      <c r="A5118" s="5" t="s">
        <v>14170</v>
      </c>
      <c r="B5118" s="5" t="s">
        <v>14604</v>
      </c>
      <c r="C5118" s="5" t="s">
        <v>14794</v>
      </c>
      <c r="D5118" s="5" t="s">
        <v>14173</v>
      </c>
      <c r="E5118" s="5" t="s">
        <v>81</v>
      </c>
      <c r="F5118" s="5" t="s">
        <v>14174</v>
      </c>
      <c r="G5118" s="5" t="s">
        <v>152</v>
      </c>
      <c r="H5118" s="5" t="s">
        <v>14606</v>
      </c>
      <c r="I5118" s="5" t="s">
        <v>14795</v>
      </c>
      <c r="J5118" s="5" t="s">
        <v>14796</v>
      </c>
      <c r="K5118" s="7" t="str">
        <f ca="1">IFERROR(__xludf.DUMMYFUNCTION("GOOGLETRANSLATE(H5118,""EN"",""ES"")"),"CASAS, GARAJES Y OTROS EDIFICIOS")</f>
        <v>CASAS, GARAJES Y OTROS EDIFICIOS</v>
      </c>
      <c r="L5118" s="5" t="str">
        <f ca="1">IFERROR(__xludf.DUMMYFUNCTION("GOOGLETRANSLATE(J5118,""EN"",""ES"")"),"Cajas de periódicos")</f>
        <v>Cajas de periódicos</v>
      </c>
      <c r="M5118" s="8" t="s">
        <v>80</v>
      </c>
      <c r="N5118" s="8"/>
    </row>
    <row r="5119" spans="1:14" ht="11.25" customHeight="1">
      <c r="A5119" s="5" t="s">
        <v>14170</v>
      </c>
      <c r="B5119" s="5" t="s">
        <v>14604</v>
      </c>
      <c r="C5119" s="5" t="s">
        <v>14797</v>
      </c>
      <c r="D5119" s="5" t="s">
        <v>14173</v>
      </c>
      <c r="E5119" s="5" t="s">
        <v>81</v>
      </c>
      <c r="F5119" s="5" t="s">
        <v>14174</v>
      </c>
      <c r="G5119" s="5" t="s">
        <v>152</v>
      </c>
      <c r="H5119" s="5" t="s">
        <v>14606</v>
      </c>
      <c r="I5119" s="5" t="s">
        <v>14798</v>
      </c>
      <c r="J5119" s="5" t="s">
        <v>14799</v>
      </c>
      <c r="K5119" s="7" t="str">
        <f ca="1">IFERROR(__xludf.DUMMYFUNCTION("GOOGLETRANSLATE(H5119,""EN"",""ES"")"),"CASAS, GARAJES Y OTROS EDIFICIOS")</f>
        <v>CASAS, GARAJES Y OTROS EDIFICIOS</v>
      </c>
      <c r="L5119" s="5" t="str">
        <f ca="1">IFERROR(__xludf.DUMMYFUNCTION("GOOGLETRANSLATE(J5119,""EN"",""ES"")"),"Delfines [estructuras]")</f>
        <v>Delfines [estructuras]</v>
      </c>
      <c r="M5119" s="8" t="s">
        <v>80</v>
      </c>
      <c r="N5119" s="8"/>
    </row>
    <row r="5120" spans="1:14" ht="11.25" customHeight="1">
      <c r="A5120" s="5" t="s">
        <v>14170</v>
      </c>
      <c r="B5120" s="5" t="s">
        <v>14604</v>
      </c>
      <c r="C5120" s="5" t="s">
        <v>14800</v>
      </c>
      <c r="D5120" s="5" t="s">
        <v>14173</v>
      </c>
      <c r="E5120" s="5" t="s">
        <v>81</v>
      </c>
      <c r="F5120" s="5" t="s">
        <v>14174</v>
      </c>
      <c r="G5120" s="5" t="s">
        <v>152</v>
      </c>
      <c r="H5120" s="5" t="s">
        <v>14606</v>
      </c>
      <c r="I5120" s="5" t="s">
        <v>14801</v>
      </c>
      <c r="J5120" s="5" t="s">
        <v>14802</v>
      </c>
      <c r="K5120" s="7" t="str">
        <f ca="1">IFERROR(__xludf.DUMMYFUNCTION("GOOGLETRANSLATE(H5120,""EN"",""ES"")"),"CASAS, GARAJES Y OTROS EDIFICIOS")</f>
        <v>CASAS, GARAJES Y OTROS EDIFICIOS</v>
      </c>
      <c r="L5120" s="5" t="str">
        <f ca="1">IFERROR(__xludf.DUMMYFUNCTION("GOOGLETRANSLATE(J5120,""EN"",""ES"")"),"Turbinas eólicas [construcción]")</f>
        <v>Turbinas eólicas [construcción]</v>
      </c>
      <c r="M5120" s="8" t="s">
        <v>80</v>
      </c>
      <c r="N5120" s="8"/>
    </row>
    <row r="5121" spans="1:14" ht="11.25" customHeight="1">
      <c r="A5121" s="5" t="s">
        <v>14170</v>
      </c>
      <c r="B5121" s="5" t="s">
        <v>14604</v>
      </c>
      <c r="C5121" s="5" t="s">
        <v>14803</v>
      </c>
      <c r="D5121" s="5" t="s">
        <v>14173</v>
      </c>
      <c r="E5121" s="5" t="s">
        <v>81</v>
      </c>
      <c r="F5121" s="5" t="s">
        <v>14174</v>
      </c>
      <c r="G5121" s="5" t="s">
        <v>152</v>
      </c>
      <c r="H5121" s="5" t="s">
        <v>14606</v>
      </c>
      <c r="I5121" s="5" t="s">
        <v>14804</v>
      </c>
      <c r="J5121" s="5" t="s">
        <v>14805</v>
      </c>
      <c r="K5121" s="7" t="str">
        <f ca="1">IFERROR(__xludf.DUMMYFUNCTION("GOOGLETRANSLATE(H5121,""EN"",""ES"")"),"CASAS, GARAJES Y OTROS EDIFICIOS")</f>
        <v>CASAS, GARAJES Y OTROS EDIFICIOS</v>
      </c>
      <c r="L5121" s="5" t="str">
        <f ca="1">IFERROR(__xludf.DUMMYFUNCTION("GOOGLETRANSLATE(J5121,""EN"",""ES"")"),"Yurtas")</f>
        <v>Yurtas</v>
      </c>
      <c r="M5121" s="8" t="s">
        <v>80</v>
      </c>
      <c r="N5121" s="8"/>
    </row>
    <row r="5122" spans="1:14" ht="11.25" customHeight="1">
      <c r="A5122" s="5" t="s">
        <v>14170</v>
      </c>
      <c r="B5122" s="5" t="s">
        <v>14604</v>
      </c>
      <c r="C5122" s="5" t="s">
        <v>14806</v>
      </c>
      <c r="D5122" s="5" t="s">
        <v>14173</v>
      </c>
      <c r="E5122" s="5" t="s">
        <v>81</v>
      </c>
      <c r="F5122" s="5" t="s">
        <v>14174</v>
      </c>
      <c r="G5122" s="5" t="s">
        <v>152</v>
      </c>
      <c r="H5122" s="5" t="s">
        <v>14606</v>
      </c>
      <c r="I5122" s="5" t="s">
        <v>14807</v>
      </c>
      <c r="J5122" s="5" t="s">
        <v>14808</v>
      </c>
      <c r="K5122" s="7" t="str">
        <f ca="1">IFERROR(__xludf.DUMMYFUNCTION("GOOGLETRANSLATE(H5122,""EN"",""ES"")"),"CASAS, GARAJES Y OTROS EDIFICIOS")</f>
        <v>CASAS, GARAJES Y OTROS EDIFICIOS</v>
      </c>
      <c r="L5122" s="5" t="str">
        <f ca="1">IFERROR(__xludf.DUMMYFUNCTION("GOOGLETRANSLATE(J5122,""EN"",""ES"")"),"Turbinas eólicas en tejados")</f>
        <v>Turbinas eólicas en tejados</v>
      </c>
      <c r="M5122" s="8" t="s">
        <v>80</v>
      </c>
      <c r="N5122" s="8"/>
    </row>
    <row r="5123" spans="1:14" ht="11.25" customHeight="1">
      <c r="A5123" s="5" t="s">
        <v>14170</v>
      </c>
      <c r="B5123" s="5" t="s">
        <v>14604</v>
      </c>
      <c r="C5123" s="5" t="s">
        <v>14809</v>
      </c>
      <c r="D5123" s="5" t="s">
        <v>14173</v>
      </c>
      <c r="E5123" s="5" t="s">
        <v>81</v>
      </c>
      <c r="F5123" s="5" t="s">
        <v>14174</v>
      </c>
      <c r="G5123" s="5" t="s">
        <v>152</v>
      </c>
      <c r="H5123" s="5" t="s">
        <v>14606</v>
      </c>
      <c r="I5123" s="5" t="s">
        <v>14810</v>
      </c>
      <c r="J5123" s="5" t="s">
        <v>14811</v>
      </c>
      <c r="K5123" s="7" t="str">
        <f ca="1">IFERROR(__xludf.DUMMYFUNCTION("GOOGLETRANSLATE(H5123,""EN"",""ES"")"),"CASAS, GARAJES Y OTROS EDIFICIOS")</f>
        <v>CASAS, GARAJES Y OTROS EDIFICIOS</v>
      </c>
      <c r="L5123" s="5" t="str">
        <f ca="1">IFERROR(__xludf.DUMMYFUNCTION("GOOGLETRANSLATE(J5123,""EN"",""ES"")"),"Soportes para aerogeneradores de tejado")</f>
        <v>Soportes para aerogeneradores de tejado</v>
      </c>
      <c r="M5123" s="8" t="s">
        <v>80</v>
      </c>
      <c r="N5123" s="8"/>
    </row>
    <row r="5124" spans="1:14" ht="11.25" customHeight="1">
      <c r="A5124" s="5" t="s">
        <v>14170</v>
      </c>
      <c r="B5124" s="5" t="s">
        <v>14604</v>
      </c>
      <c r="C5124" s="5" t="s">
        <v>14812</v>
      </c>
      <c r="D5124" s="5" t="s">
        <v>14173</v>
      </c>
      <c r="E5124" s="5" t="s">
        <v>81</v>
      </c>
      <c r="F5124" s="5" t="s">
        <v>14174</v>
      </c>
      <c r="G5124" s="5" t="s">
        <v>152</v>
      </c>
      <c r="H5124" s="5" t="s">
        <v>14606</v>
      </c>
      <c r="I5124" s="5" t="s">
        <v>14813</v>
      </c>
      <c r="J5124" s="5" t="s">
        <v>14814</v>
      </c>
      <c r="K5124" s="7" t="str">
        <f ca="1">IFERROR(__xludf.DUMMYFUNCTION("GOOGLETRANSLATE(H5124,""EN"",""ES"")"),"CASAS, GARAJES Y OTROS EDIFICIOS")</f>
        <v>CASAS, GARAJES Y OTROS EDIFICIOS</v>
      </c>
      <c r="L5124" s="5" t="str">
        <f ca="1">IFERROR(__xludf.DUMMYFUNCTION("GOOGLETRANSLATE(J5124,""EN"",""ES"")"),"arrecifes artificiales")</f>
        <v>arrecifes artificiales</v>
      </c>
      <c r="M5124" s="8" t="s">
        <v>80</v>
      </c>
      <c r="N5124" s="8"/>
    </row>
    <row r="5125" spans="1:14" ht="11.25" customHeight="1">
      <c r="A5125" s="5" t="s">
        <v>14170</v>
      </c>
      <c r="B5125" s="5" t="s">
        <v>14604</v>
      </c>
      <c r="C5125" s="5" t="s">
        <v>14815</v>
      </c>
      <c r="D5125" s="5" t="s">
        <v>14173</v>
      </c>
      <c r="E5125" s="5" t="s">
        <v>81</v>
      </c>
      <c r="F5125" s="5" t="s">
        <v>14174</v>
      </c>
      <c r="G5125" s="5" t="s">
        <v>152</v>
      </c>
      <c r="H5125" s="5" t="s">
        <v>14606</v>
      </c>
      <c r="I5125" s="5" t="s">
        <v>14816</v>
      </c>
      <c r="J5125" s="5" t="s">
        <v>14817</v>
      </c>
      <c r="K5125" s="7" t="str">
        <f ca="1">IFERROR(__xludf.DUMMYFUNCTION("GOOGLETRANSLATE(H5125,""EN"",""ES"")"),"CASAS, GARAJES Y OTROS EDIFICIOS")</f>
        <v>CASAS, GARAJES Y OTROS EDIFICIOS</v>
      </c>
      <c r="L5125" s="5" t="str">
        <f ca="1">IFERROR(__xludf.DUMMYFUNCTION("GOOGLETRANSLATE(J5125,""EN"",""ES"")"),"Fuentes [construcción]")</f>
        <v>Fuentes [construcción]</v>
      </c>
      <c r="M5125" s="8" t="s">
        <v>80</v>
      </c>
      <c r="N5125" s="8"/>
    </row>
    <row r="5126" spans="1:14" ht="11.25" customHeight="1">
      <c r="A5126" s="5" t="s">
        <v>14170</v>
      </c>
      <c r="B5126" s="5" t="s">
        <v>14604</v>
      </c>
      <c r="C5126" s="5" t="s">
        <v>14818</v>
      </c>
      <c r="D5126" s="5" t="s">
        <v>14173</v>
      </c>
      <c r="E5126" s="5" t="s">
        <v>81</v>
      </c>
      <c r="F5126" s="5" t="s">
        <v>14174</v>
      </c>
      <c r="G5126" s="5" t="s">
        <v>152</v>
      </c>
      <c r="H5126" s="5" t="s">
        <v>14606</v>
      </c>
      <c r="I5126" s="5" t="s">
        <v>14819</v>
      </c>
      <c r="J5126" s="5" t="s">
        <v>14820</v>
      </c>
      <c r="K5126" s="7" t="str">
        <f ca="1">IFERROR(__xludf.DUMMYFUNCTION("GOOGLETRANSLATE(H5126,""EN"",""ES"")"),"CASAS, GARAJES Y OTROS EDIFICIOS")</f>
        <v>CASAS, GARAJES Y OTROS EDIFICIOS</v>
      </c>
      <c r="L5126" s="5" t="str">
        <f ca="1">IFERROR(__xludf.DUMMYFUNCTION("GOOGLETRANSLATE(J5126,""EN"",""ES"")"),"Casas en los árboles")</f>
        <v>Casas en los árboles</v>
      </c>
      <c r="M5126" s="8" t="s">
        <v>80</v>
      </c>
      <c r="N5126" s="8"/>
    </row>
    <row r="5127" spans="1:14" ht="11.25" customHeight="1">
      <c r="A5127" s="5" t="s">
        <v>14170</v>
      </c>
      <c r="B5127" s="5" t="s">
        <v>14821</v>
      </c>
      <c r="C5127" s="5" t="s">
        <v>14822</v>
      </c>
      <c r="D5127" s="5" t="s">
        <v>14173</v>
      </c>
      <c r="E5127" s="5" t="s">
        <v>81</v>
      </c>
      <c r="F5127" s="5" t="s">
        <v>14174</v>
      </c>
      <c r="G5127" s="5" t="s">
        <v>152</v>
      </c>
      <c r="H5127" s="5" t="s">
        <v>14823</v>
      </c>
      <c r="I5127" s="5" t="s">
        <v>14824</v>
      </c>
      <c r="J5127" s="5" t="s">
        <v>14825</v>
      </c>
      <c r="K5127" s="7" t="str">
        <f ca="1">IFERROR(__xludf.DUMMYFUNCTION("GOOGLETRANSLATE(H5127,""EN"",""ES"")"),"PELDAÑOS, ESCALERAS Y ANDAMIOS")</f>
        <v>PELDAÑOS, ESCALERAS Y ANDAMIOS</v>
      </c>
      <c r="L5127" s="5" t="str">
        <f ca="1">IFERROR(__xludf.DUMMYFUNCTION("GOOGLETRANSLATE(J5127,""EN"",""ES"")"),"Taburetes")</f>
        <v>Taburetes</v>
      </c>
      <c r="M5127" s="8" t="s">
        <v>80</v>
      </c>
      <c r="N5127" s="8"/>
    </row>
    <row r="5128" spans="1:14" ht="11.25" customHeight="1">
      <c r="A5128" s="5" t="s">
        <v>14170</v>
      </c>
      <c r="B5128" s="5" t="s">
        <v>14821</v>
      </c>
      <c r="C5128" s="5" t="s">
        <v>14822</v>
      </c>
      <c r="D5128" s="5" t="s">
        <v>14173</v>
      </c>
      <c r="E5128" s="5" t="s">
        <v>81</v>
      </c>
      <c r="F5128" s="5" t="s">
        <v>14174</v>
      </c>
      <c r="G5128" s="5" t="s">
        <v>152</v>
      </c>
      <c r="H5128" s="5" t="s">
        <v>14823</v>
      </c>
      <c r="I5128" s="5" t="s">
        <v>152</v>
      </c>
      <c r="J5128" s="5" t="s">
        <v>14826</v>
      </c>
      <c r="K5128" s="7" t="str">
        <f ca="1">IFERROR(__xludf.DUMMYFUNCTION("GOOGLETRANSLATE(H5128,""EN"",""ES"")"),"PELDAÑOS, ESCALERAS Y ANDAMIOS")</f>
        <v>PELDAÑOS, ESCALERAS Y ANDAMIOS</v>
      </c>
      <c r="L5128" s="5" t="str">
        <f ca="1">IFERROR(__xludf.DUMMYFUNCTION("GOOGLETRANSLATE(J5128,""EN"",""ES"")"),"N / A")</f>
        <v>N / A</v>
      </c>
      <c r="M5128" s="8" t="s">
        <v>80</v>
      </c>
      <c r="N5128" s="8"/>
    </row>
    <row r="5129" spans="1:14" ht="11.25" customHeight="1">
      <c r="A5129" s="5" t="s">
        <v>14170</v>
      </c>
      <c r="B5129" s="5" t="s">
        <v>14821</v>
      </c>
      <c r="C5129" s="5" t="s">
        <v>14827</v>
      </c>
      <c r="D5129" s="5" t="s">
        <v>14173</v>
      </c>
      <c r="E5129" s="5" t="s">
        <v>81</v>
      </c>
      <c r="F5129" s="5" t="s">
        <v>14174</v>
      </c>
      <c r="G5129" s="5" t="s">
        <v>152</v>
      </c>
      <c r="H5129" s="5" t="s">
        <v>14823</v>
      </c>
      <c r="I5129" s="5" t="s">
        <v>14828</v>
      </c>
      <c r="J5129" s="5" t="s">
        <v>14829</v>
      </c>
      <c r="K5129" s="7" t="str">
        <f ca="1">IFERROR(__xludf.DUMMYFUNCTION("GOOGLETRANSLATE(H5129,""EN"",""ES"")"),"PELDAÑOS, ESCALERAS Y ANDAMIOS")</f>
        <v>PELDAÑOS, ESCALERAS Y ANDAMIOS</v>
      </c>
      <c r="L5129" s="5" t="str">
        <f ca="1">IFERROR(__xludf.DUMMYFUNCTION("GOOGLETRANSLATE(J5129,""EN"",""ES"")"),"escaleras")</f>
        <v>escaleras</v>
      </c>
      <c r="M5129" s="8" t="s">
        <v>80</v>
      </c>
      <c r="N5129" s="8"/>
    </row>
    <row r="5130" spans="1:14" ht="11.25" customHeight="1">
      <c r="A5130" s="5" t="s">
        <v>14170</v>
      </c>
      <c r="B5130" s="5" t="s">
        <v>14821</v>
      </c>
      <c r="C5130" s="5" t="s">
        <v>14830</v>
      </c>
      <c r="D5130" s="5" t="s">
        <v>14173</v>
      </c>
      <c r="E5130" s="5" t="s">
        <v>81</v>
      </c>
      <c r="F5130" s="5" t="s">
        <v>14174</v>
      </c>
      <c r="G5130" s="5" t="s">
        <v>152</v>
      </c>
      <c r="H5130" s="5" t="s">
        <v>14823</v>
      </c>
      <c r="I5130" s="5" t="s">
        <v>14831</v>
      </c>
      <c r="J5130" s="5" t="s">
        <v>14832</v>
      </c>
      <c r="K5130" s="7" t="str">
        <f ca="1">IFERROR(__xludf.DUMMYFUNCTION("GOOGLETRANSLATE(H5130,""EN"",""ES"")"),"PELDAÑOS, ESCALERAS Y ANDAMIOS")</f>
        <v>PELDAÑOS, ESCALERAS Y ANDAMIOS</v>
      </c>
      <c r="L5130" s="5" t="str">
        <f ca="1">IFERROR(__xludf.DUMMYFUNCTION("GOOGLETRANSLATE(J5130,""EN"",""ES"")"),"escaleras")</f>
        <v>escaleras</v>
      </c>
      <c r="M5130" s="8" t="s">
        <v>80</v>
      </c>
      <c r="N5130" s="8"/>
    </row>
    <row r="5131" spans="1:14" ht="11.25" customHeight="1">
      <c r="A5131" s="5" t="s">
        <v>14170</v>
      </c>
      <c r="B5131" s="5" t="s">
        <v>14821</v>
      </c>
      <c r="C5131" s="5" t="s">
        <v>14833</v>
      </c>
      <c r="D5131" s="5" t="s">
        <v>14173</v>
      </c>
      <c r="E5131" s="5" t="s">
        <v>81</v>
      </c>
      <c r="F5131" s="5" t="s">
        <v>14174</v>
      </c>
      <c r="G5131" s="5" t="s">
        <v>152</v>
      </c>
      <c r="H5131" s="5" t="s">
        <v>14823</v>
      </c>
      <c r="I5131" s="5" t="s">
        <v>14834</v>
      </c>
      <c r="J5131" s="5" t="s">
        <v>14835</v>
      </c>
      <c r="K5131" s="7" t="str">
        <f ca="1">IFERROR(__xludf.DUMMYFUNCTION("GOOGLETRANSLATE(H5131,""EN"",""ES"")"),"PELDAÑOS, ESCALERAS Y ANDAMIOS")</f>
        <v>PELDAÑOS, ESCALERAS Y ANDAMIOS</v>
      </c>
      <c r="L5131" s="5" t="str">
        <f ca="1">IFERROR(__xludf.DUMMYFUNCTION("GOOGLETRANSLATE(J5131,""EN"",""ES"")"),"Pasamanos de escalera")</f>
        <v>Pasamanos de escalera</v>
      </c>
      <c r="M5131" s="8" t="s">
        <v>80</v>
      </c>
      <c r="N5131" s="8"/>
    </row>
    <row r="5132" spans="1:14" ht="11.25" customHeight="1">
      <c r="A5132" s="5" t="s">
        <v>14170</v>
      </c>
      <c r="B5132" s="5" t="s">
        <v>14821</v>
      </c>
      <c r="C5132" s="5" t="s">
        <v>14836</v>
      </c>
      <c r="D5132" s="5" t="s">
        <v>14173</v>
      </c>
      <c r="E5132" s="5" t="s">
        <v>81</v>
      </c>
      <c r="F5132" s="5" t="s">
        <v>14174</v>
      </c>
      <c r="G5132" s="5" t="s">
        <v>152</v>
      </c>
      <c r="H5132" s="5" t="s">
        <v>14823</v>
      </c>
      <c r="I5132" s="5" t="s">
        <v>14837</v>
      </c>
      <c r="J5132" s="5" t="s">
        <v>14838</v>
      </c>
      <c r="K5132" s="7" t="str">
        <f ca="1">IFERROR(__xludf.DUMMYFUNCTION("GOOGLETRANSLATE(H5132,""EN"",""ES"")"),"PELDAÑOS, ESCALERAS Y ANDAMIOS")</f>
        <v>PELDAÑOS, ESCALERAS Y ANDAMIOS</v>
      </c>
      <c r="L5132" s="5" t="str">
        <f ca="1">IFERROR(__xludf.DUMMYFUNCTION("GOOGLETRANSLATE(J5132,""EN"",""ES"")"),"Andamios y sus componentes.")</f>
        <v>Andamios y sus componentes.</v>
      </c>
      <c r="M5132" s="8" t="s">
        <v>80</v>
      </c>
      <c r="N5132" s="8"/>
    </row>
    <row r="5133" spans="1:14" ht="11.25" customHeight="1">
      <c r="A5133" s="5" t="s">
        <v>14170</v>
      </c>
      <c r="B5133" s="5" t="s">
        <v>14821</v>
      </c>
      <c r="C5133" s="5" t="s">
        <v>14839</v>
      </c>
      <c r="D5133" s="5" t="s">
        <v>14173</v>
      </c>
      <c r="E5133" s="5" t="s">
        <v>81</v>
      </c>
      <c r="F5133" s="5" t="s">
        <v>14174</v>
      </c>
      <c r="G5133" s="5" t="s">
        <v>152</v>
      </c>
      <c r="H5133" s="5" t="s">
        <v>14823</v>
      </c>
      <c r="I5133" s="5" t="s">
        <v>14840</v>
      </c>
      <c r="J5133" s="5" t="s">
        <v>14841</v>
      </c>
      <c r="K5133" s="7" t="str">
        <f ca="1">IFERROR(__xludf.DUMMYFUNCTION("GOOGLETRANSLATE(H5133,""EN"",""ES"")"),"PELDAÑOS, ESCALERAS Y ANDAMIOS")</f>
        <v>PELDAÑOS, ESCALERAS Y ANDAMIOS</v>
      </c>
      <c r="L5133" s="5" t="str">
        <f ca="1">IFERROR(__xludf.DUMMYFUNCTION("GOOGLETRANSLATE(J5133,""EN"",""ES"")"),"Pies de escaleras")</f>
        <v>Pies de escaleras</v>
      </c>
      <c r="M5133" s="8" t="s">
        <v>80</v>
      </c>
      <c r="N5133" s="8"/>
    </row>
    <row r="5134" spans="1:14" ht="11.25" customHeight="1">
      <c r="A5134" s="5" t="s">
        <v>14170</v>
      </c>
      <c r="B5134" s="5" t="s">
        <v>14821</v>
      </c>
      <c r="C5134" s="5" t="s">
        <v>14842</v>
      </c>
      <c r="D5134" s="5" t="s">
        <v>14173</v>
      </c>
      <c r="E5134" s="5" t="s">
        <v>81</v>
      </c>
      <c r="F5134" s="5" t="s">
        <v>14174</v>
      </c>
      <c r="G5134" s="5" t="s">
        <v>152</v>
      </c>
      <c r="H5134" s="5" t="s">
        <v>14823</v>
      </c>
      <c r="I5134" s="5" t="s">
        <v>14843</v>
      </c>
      <c r="J5134" s="5" t="s">
        <v>14844</v>
      </c>
      <c r="K5134" s="7" t="str">
        <f ca="1">IFERROR(__xludf.DUMMYFUNCTION("GOOGLETRANSLATE(H5134,""EN"",""ES"")"),"PELDAÑOS, ESCALERAS Y ANDAMIOS")</f>
        <v>PELDAÑOS, ESCALERAS Y ANDAMIOS</v>
      </c>
      <c r="L5134" s="5" t="str">
        <f ca="1">IFERROR(__xludf.DUMMYFUNCTION("GOOGLETRANSLATE(J5134,""EN"",""ES"")"),"Pasos de escalera")</f>
        <v>Pasos de escalera</v>
      </c>
      <c r="M5134" s="8" t="s">
        <v>80</v>
      </c>
      <c r="N5134" s="8"/>
    </row>
    <row r="5135" spans="1:14" ht="11.25" customHeight="1">
      <c r="A5135" s="5" t="s">
        <v>14170</v>
      </c>
      <c r="B5135" s="5" t="s">
        <v>14821</v>
      </c>
      <c r="C5135" s="5" t="s">
        <v>14845</v>
      </c>
      <c r="D5135" s="5" t="s">
        <v>14173</v>
      </c>
      <c r="E5135" s="5" t="s">
        <v>81</v>
      </c>
      <c r="F5135" s="5" t="s">
        <v>14174</v>
      </c>
      <c r="G5135" s="5" t="s">
        <v>152</v>
      </c>
      <c r="H5135" s="5" t="s">
        <v>14823</v>
      </c>
      <c r="I5135" s="5" t="s">
        <v>14846</v>
      </c>
      <c r="J5135" s="5" t="s">
        <v>14847</v>
      </c>
      <c r="K5135" s="7" t="str">
        <f ca="1">IFERROR(__xludf.DUMMYFUNCTION("GOOGLETRANSLATE(H5135,""EN"",""ES"")"),"PELDAÑOS, ESCALERAS Y ANDAMIOS")</f>
        <v>PELDAÑOS, ESCALERAS Y ANDAMIOS</v>
      </c>
      <c r="L5135" s="5" t="str">
        <f ca="1">IFERROR(__xludf.DUMMYFUNCTION("GOOGLETRANSLATE(J5135,""EN"",""ES"")"),"tubos para andamios")</f>
        <v>tubos para andamios</v>
      </c>
      <c r="M5135" s="8" t="s">
        <v>80</v>
      </c>
      <c r="N5135" s="8"/>
    </row>
    <row r="5136" spans="1:14" ht="11.25" customHeight="1">
      <c r="A5136" s="5" t="s">
        <v>14170</v>
      </c>
      <c r="B5136" s="5" t="s">
        <v>14821</v>
      </c>
      <c r="C5136" s="5" t="s">
        <v>14848</v>
      </c>
      <c r="D5136" s="5" t="s">
        <v>14173</v>
      </c>
      <c r="E5136" s="5" t="s">
        <v>81</v>
      </c>
      <c r="F5136" s="5" t="s">
        <v>14174</v>
      </c>
      <c r="G5136" s="5" t="s">
        <v>152</v>
      </c>
      <c r="H5136" s="5" t="s">
        <v>14823</v>
      </c>
      <c r="I5136" s="5" t="s">
        <v>14849</v>
      </c>
      <c r="J5136" s="5" t="s">
        <v>14850</v>
      </c>
      <c r="K5136" s="7" t="str">
        <f ca="1">IFERROR(__xludf.DUMMYFUNCTION("GOOGLETRANSLATE(H5136,""EN"",""ES"")"),"PELDAÑOS, ESCALERAS Y ANDAMIOS")</f>
        <v>PELDAÑOS, ESCALERAS Y ANDAMIOS</v>
      </c>
      <c r="L5136" s="5" t="str">
        <f ca="1">IFERROR(__xludf.DUMMYFUNCTION("GOOGLETRANSLATE(J5136,""EN"",""ES"")"),"Escaleras de observación portátiles")</f>
        <v>Escaleras de observación portátiles</v>
      </c>
      <c r="M5136" s="8" t="s">
        <v>80</v>
      </c>
      <c r="N5136" s="8"/>
    </row>
    <row r="5137" spans="1:14" ht="11.25" customHeight="1">
      <c r="A5137" s="5" t="s">
        <v>14170</v>
      </c>
      <c r="B5137" s="5" t="s">
        <v>14851</v>
      </c>
      <c r="C5137" s="5" t="s">
        <v>14852</v>
      </c>
      <c r="D5137" s="5" t="s">
        <v>14173</v>
      </c>
      <c r="E5137" s="5" t="s">
        <v>81</v>
      </c>
      <c r="F5137" s="5" t="s">
        <v>14174</v>
      </c>
      <c r="G5137" s="5" t="s">
        <v>152</v>
      </c>
      <c r="H5137" s="5" t="s">
        <v>330</v>
      </c>
      <c r="I5137" s="5" t="s">
        <v>14853</v>
      </c>
      <c r="J5137" s="5" t="s">
        <v>14854</v>
      </c>
      <c r="K5137" s="7" t="str">
        <f ca="1">IFERROR(__xludf.DUMMYFUNCTION("GOOGLETRANSLATE(H5137,""EN"",""ES"")"),"MISCELÁNEAS")</f>
        <v>MISCELÁNEAS</v>
      </c>
      <c r="L5137" s="5" t="str">
        <f ca="1">IFERROR(__xludf.DUMMYFUNCTION("GOOGLETRANSLATE(J5137,""EN"",""ES"")"),"Tiras excluyentes de tiro")</f>
        <v>Tiras excluyentes de tiro</v>
      </c>
      <c r="M5137" s="8"/>
      <c r="N5137" s="8"/>
    </row>
    <row r="5138" spans="1:14" ht="11.25" customHeight="1">
      <c r="A5138" s="5" t="s">
        <v>14170</v>
      </c>
      <c r="B5138" s="5" t="s">
        <v>14851</v>
      </c>
      <c r="C5138" s="5" t="s">
        <v>14852</v>
      </c>
      <c r="D5138" s="5" t="s">
        <v>14173</v>
      </c>
      <c r="E5138" s="5" t="s">
        <v>81</v>
      </c>
      <c r="F5138" s="5" t="s">
        <v>14174</v>
      </c>
      <c r="G5138" s="5" t="s">
        <v>152</v>
      </c>
      <c r="H5138" s="5" t="s">
        <v>330</v>
      </c>
      <c r="I5138" s="5" t="s">
        <v>14855</v>
      </c>
      <c r="J5138" s="5" t="s">
        <v>152</v>
      </c>
      <c r="K5138" s="7" t="str">
        <f ca="1">IFERROR(__xludf.DUMMYFUNCTION("GOOGLETRANSLATE(H5138,""EN"",""ES"")"),"MISCELÁNEAS")</f>
        <v>MISCELÁNEAS</v>
      </c>
      <c r="L5138" s="5" t="str">
        <f ca="1">IFERROR(__xludf.DUMMYFUNCTION("GOOGLETRANSLATE(J5138,""EN"",""ES"")"),"Tiras excluyentes")</f>
        <v>Tiras excluyentes</v>
      </c>
      <c r="M5138" s="8"/>
      <c r="N5138" s="8"/>
    </row>
    <row r="5139" spans="1:14" ht="11.25" customHeight="1">
      <c r="A5139" s="5" t="s">
        <v>14170</v>
      </c>
      <c r="B5139" s="5" t="s">
        <v>14851</v>
      </c>
      <c r="C5139" s="5" t="s">
        <v>14856</v>
      </c>
      <c r="D5139" s="5" t="s">
        <v>14173</v>
      </c>
      <c r="E5139" s="5" t="s">
        <v>81</v>
      </c>
      <c r="F5139" s="5" t="s">
        <v>14174</v>
      </c>
      <c r="G5139" s="5" t="s">
        <v>152</v>
      </c>
      <c r="H5139" s="5" t="s">
        <v>330</v>
      </c>
      <c r="I5139" s="5" t="s">
        <v>14857</v>
      </c>
      <c r="J5139" s="5" t="s">
        <v>14858</v>
      </c>
      <c r="K5139" s="7" t="str">
        <f ca="1">IFERROR(__xludf.DUMMYFUNCTION("GOOGLETRANSLATE(H5139,""EN"",""ES"")"),"MISCELÁNEAS")</f>
        <v>MISCELÁNEAS</v>
      </c>
      <c r="L5139" s="5" t="str">
        <f ca="1">IFERROR(__xludf.DUMMYFUNCTION("GOOGLETRANSLATE(J5139,""EN"",""ES"")"),"piscinas de jardin")</f>
        <v>piscinas de jardin</v>
      </c>
      <c r="M5139" s="8"/>
      <c r="N5139" s="8"/>
    </row>
    <row r="5140" spans="1:14" ht="11.25" customHeight="1">
      <c r="A5140" s="5" t="s">
        <v>14170</v>
      </c>
      <c r="B5140" s="5" t="s">
        <v>14851</v>
      </c>
      <c r="C5140" s="5" t="s">
        <v>14859</v>
      </c>
      <c r="D5140" s="5" t="s">
        <v>14173</v>
      </c>
      <c r="E5140" s="5" t="s">
        <v>81</v>
      </c>
      <c r="F5140" s="5" t="s">
        <v>14174</v>
      </c>
      <c r="G5140" s="5" t="s">
        <v>152</v>
      </c>
      <c r="H5140" s="5" t="s">
        <v>330</v>
      </c>
      <c r="I5140" s="5" t="s">
        <v>14860</v>
      </c>
      <c r="J5140" s="5" t="s">
        <v>14861</v>
      </c>
      <c r="K5140" s="7" t="str">
        <f ca="1">IFERROR(__xludf.DUMMYFUNCTION("GOOGLETRANSLATE(H5140,""EN"",""ES"")"),"MISCELÁNEAS")</f>
        <v>MISCELÁNEAS</v>
      </c>
      <c r="L5140" s="5" t="str">
        <f ca="1">IFERROR(__xludf.DUMMYFUNCTION("GOOGLETRANSLATE(J5140,""EN"",""ES"")"),"burletes")</f>
        <v>burletes</v>
      </c>
      <c r="M5140" s="8"/>
      <c r="N5140" s="8"/>
    </row>
    <row r="5141" spans="1:14" ht="11.25" customHeight="1">
      <c r="A5141" s="5" t="s">
        <v>14170</v>
      </c>
      <c r="B5141" s="5" t="s">
        <v>14851</v>
      </c>
      <c r="C5141" s="5" t="s">
        <v>14862</v>
      </c>
      <c r="D5141" s="5" t="s">
        <v>14173</v>
      </c>
      <c r="E5141" s="5" t="s">
        <v>81</v>
      </c>
      <c r="F5141" s="5" t="s">
        <v>14174</v>
      </c>
      <c r="G5141" s="5" t="s">
        <v>152</v>
      </c>
      <c r="H5141" s="5" t="s">
        <v>330</v>
      </c>
      <c r="I5141" s="5" t="s">
        <v>14863</v>
      </c>
      <c r="J5141" s="5" t="s">
        <v>14864</v>
      </c>
      <c r="K5141" s="7" t="str">
        <f ca="1">IFERROR(__xludf.DUMMYFUNCTION("GOOGLETRANSLATE(H5141,""EN"",""ES"")"),"MISCELÁNEAS")</f>
        <v>MISCELÁNEAS</v>
      </c>
      <c r="L5141" s="5" t="str">
        <f ca="1">IFERROR(__xludf.DUMMYFUNCTION("GOOGLETRANSLATE(J5141,""EN"",""ES"")"),"Cortavientos [para proteger las plantas]")</f>
        <v>Cortavientos [para proteger las plantas]</v>
      </c>
      <c r="M5141" s="8"/>
      <c r="N5141" s="8"/>
    </row>
    <row r="5142" spans="1:14" ht="11.25" customHeight="1">
      <c r="A5142" s="5" t="s">
        <v>14170</v>
      </c>
      <c r="B5142" s="5" t="s">
        <v>14851</v>
      </c>
      <c r="C5142" s="5" t="s">
        <v>14865</v>
      </c>
      <c r="D5142" s="5" t="s">
        <v>14173</v>
      </c>
      <c r="E5142" s="5" t="s">
        <v>81</v>
      </c>
      <c r="F5142" s="5" t="s">
        <v>14174</v>
      </c>
      <c r="G5142" s="5" t="s">
        <v>152</v>
      </c>
      <c r="H5142" s="5" t="s">
        <v>330</v>
      </c>
      <c r="I5142" s="5" t="s">
        <v>14866</v>
      </c>
      <c r="J5142" s="5" t="s">
        <v>14867</v>
      </c>
      <c r="K5142" s="7" t="str">
        <f ca="1">IFERROR(__xludf.DUMMYFUNCTION("GOOGLETRANSLATE(H5142,""EN"",""ES"")"),"MISCELÁNEAS")</f>
        <v>MISCELÁNEAS</v>
      </c>
      <c r="L5142" s="5" t="str">
        <f ca="1">IFERROR(__xludf.DUMMYFUNCTION("GOOGLETRANSLATE(J5142,""EN"",""ES"")"),"Zonas de amortiguamiento para terminales ferroviarias")</f>
        <v>Zonas de amortiguamiento para terminales ferroviarias</v>
      </c>
      <c r="M5142" s="8"/>
      <c r="N5142" s="8"/>
    </row>
    <row r="5143" spans="1:14" ht="11.25" customHeight="1">
      <c r="A5143" s="5" t="s">
        <v>14170</v>
      </c>
      <c r="B5143" s="5" t="s">
        <v>14851</v>
      </c>
      <c r="C5143" s="5" t="s">
        <v>14868</v>
      </c>
      <c r="D5143" s="5" t="s">
        <v>14173</v>
      </c>
      <c r="E5143" s="5" t="s">
        <v>81</v>
      </c>
      <c r="F5143" s="5" t="s">
        <v>14174</v>
      </c>
      <c r="G5143" s="5" t="s">
        <v>152</v>
      </c>
      <c r="H5143" s="5" t="s">
        <v>330</v>
      </c>
      <c r="I5143" s="5" t="s">
        <v>14869</v>
      </c>
      <c r="J5143" s="5" t="s">
        <v>14870</v>
      </c>
      <c r="K5143" s="7" t="str">
        <f ca="1">IFERROR(__xludf.DUMMYFUNCTION("GOOGLETRANSLATE(H5143,""EN"",""ES"")"),"MISCELÁNEAS")</f>
        <v>MISCELÁNEAS</v>
      </c>
      <c r="L5143" s="5" t="str">
        <f ca="1">IFERROR(__xludf.DUMMYFUNCTION("GOOGLETRANSLATE(J5143,""EN"",""ES"")"),"Marquesinas para tronos, sillas de estado o altares.")</f>
        <v>Marquesinas para tronos, sillas de estado o altares.</v>
      </c>
      <c r="M5143" s="8"/>
      <c r="N5143" s="8"/>
    </row>
    <row r="5144" spans="1:14" ht="11.25" customHeight="1">
      <c r="A5144" s="5" t="s">
        <v>14170</v>
      </c>
      <c r="B5144" s="5" t="s">
        <v>14851</v>
      </c>
      <c r="C5144" s="5" t="s">
        <v>14871</v>
      </c>
      <c r="D5144" s="5" t="s">
        <v>14173</v>
      </c>
      <c r="E5144" s="5" t="s">
        <v>81</v>
      </c>
      <c r="F5144" s="5" t="s">
        <v>14174</v>
      </c>
      <c r="G5144" s="5" t="s">
        <v>152</v>
      </c>
      <c r="H5144" s="5" t="s">
        <v>330</v>
      </c>
      <c r="I5144" s="5" t="s">
        <v>14872</v>
      </c>
      <c r="J5144" s="5" t="s">
        <v>14873</v>
      </c>
      <c r="K5144" s="7" t="str">
        <f ca="1">IFERROR(__xludf.DUMMYFUNCTION("GOOGLETRANSLATE(H5144,""EN"",""ES"")"),"MISCELÁNEAS")</f>
        <v>MISCELÁNEAS</v>
      </c>
      <c r="L5144" s="5" t="str">
        <f ca="1">IFERROR(__xludf.DUMMYFUNCTION("GOOGLETRANSLATE(J5144,""EN"",""ES"")"),"Gradas para barcos")</f>
        <v>Gradas para barcos</v>
      </c>
      <c r="M5144" s="8"/>
      <c r="N5144" s="8"/>
    </row>
    <row r="5145" spans="1:14" ht="11.25" customHeight="1">
      <c r="A5145" s="5" t="s">
        <v>14170</v>
      </c>
      <c r="B5145" s="5" t="s">
        <v>14851</v>
      </c>
      <c r="C5145" s="5" t="s">
        <v>14874</v>
      </c>
      <c r="D5145" s="5" t="s">
        <v>14173</v>
      </c>
      <c r="E5145" s="5" t="s">
        <v>81</v>
      </c>
      <c r="F5145" s="5" t="s">
        <v>14174</v>
      </c>
      <c r="G5145" s="5" t="s">
        <v>152</v>
      </c>
      <c r="H5145" s="5" t="s">
        <v>330</v>
      </c>
      <c r="I5145" s="5" t="s">
        <v>14875</v>
      </c>
      <c r="J5145" s="5" t="s">
        <v>14876</v>
      </c>
      <c r="K5145" s="7" t="str">
        <f ca="1">IFERROR(__xludf.DUMMYFUNCTION("GOOGLETRANSLATE(H5145,""EN"",""ES"")"),"MISCELÁNEAS")</f>
        <v>MISCELÁNEAS</v>
      </c>
      <c r="L5145" s="5" t="str">
        <f ca="1">IFERROR(__xludf.DUMMYFUNCTION("GOOGLETRANSLATE(J5145,""EN"",""ES"")"),"Acolchado hermético y estanco [construcción]")</f>
        <v>Acolchado hermético y estanco [construcción]</v>
      </c>
      <c r="M5145" s="8"/>
      <c r="N5145" s="8"/>
    </row>
    <row r="5146" spans="1:14" ht="11.25" customHeight="1">
      <c r="A5146" s="5" t="s">
        <v>14170</v>
      </c>
      <c r="B5146" s="5" t="s">
        <v>14851</v>
      </c>
      <c r="C5146" s="5" t="s">
        <v>14877</v>
      </c>
      <c r="D5146" s="5" t="s">
        <v>14173</v>
      </c>
      <c r="E5146" s="5" t="s">
        <v>81</v>
      </c>
      <c r="F5146" s="5" t="s">
        <v>14174</v>
      </c>
      <c r="G5146" s="5" t="s">
        <v>152</v>
      </c>
      <c r="H5146" s="5" t="s">
        <v>330</v>
      </c>
      <c r="I5146" s="5" t="s">
        <v>14878</v>
      </c>
      <c r="J5146" s="5" t="s">
        <v>14879</v>
      </c>
      <c r="K5146" s="7" t="str">
        <f ca="1">IFERROR(__xludf.DUMMYFUNCTION("GOOGLETRANSLATE(H5146,""EN"",""ES"")"),"MISCELÁNEAS")</f>
        <v>MISCELÁNEAS</v>
      </c>
      <c r="L5146" s="5" t="str">
        <f ca="1">IFERROR(__xludf.DUMMYFUNCTION("GOOGLETRANSLATE(J5146,""EN"",""ES"")"),"Embalaje para puertas y ventanas para evitar corrientes de aire.")</f>
        <v>Embalaje para puertas y ventanas para evitar corrientes de aire.</v>
      </c>
      <c r="M5146" s="8"/>
      <c r="N5146" s="8"/>
    </row>
    <row r="5147" spans="1:14" ht="11.25" customHeight="1">
      <c r="A5147" s="5" t="s">
        <v>14170</v>
      </c>
      <c r="B5147" s="5" t="s">
        <v>14851</v>
      </c>
      <c r="C5147" s="5" t="s">
        <v>14880</v>
      </c>
      <c r="D5147" s="5" t="s">
        <v>14173</v>
      </c>
      <c r="E5147" s="5" t="s">
        <v>81</v>
      </c>
      <c r="F5147" s="5" t="s">
        <v>14174</v>
      </c>
      <c r="G5147" s="5" t="s">
        <v>152</v>
      </c>
      <c r="H5147" s="5" t="s">
        <v>330</v>
      </c>
      <c r="I5147" s="5" t="s">
        <v>14881</v>
      </c>
      <c r="J5147" s="5" t="s">
        <v>14882</v>
      </c>
      <c r="K5147" s="7" t="str">
        <f ca="1">IFERROR(__xludf.DUMMYFUNCTION("GOOGLETRANSLATE(H5147,""EN"",""ES"")"),"MISCELÁNEAS")</f>
        <v>MISCELÁNEAS</v>
      </c>
      <c r="L5147" s="5" t="str">
        <f ca="1">IFERROR(__xludf.DUMMYFUNCTION("GOOGLETRANSLATE(J5147,""EN"",""ES"")"),"stands de pintores")</f>
        <v>stands de pintores</v>
      </c>
      <c r="M5147" s="8"/>
      <c r="N5147" s="8"/>
    </row>
    <row r="5148" spans="1:14" ht="11.25" customHeight="1">
      <c r="A5148" s="5" t="s">
        <v>14883</v>
      </c>
      <c r="B5148" s="5" t="s">
        <v>14884</v>
      </c>
      <c r="C5148" s="5" t="s">
        <v>14885</v>
      </c>
      <c r="D5148" s="5" t="s">
        <v>14886</v>
      </c>
      <c r="E5148" s="5" t="s">
        <v>85</v>
      </c>
      <c r="F5148" s="5" t="s">
        <v>14887</v>
      </c>
      <c r="G5148" s="5" t="s">
        <v>152</v>
      </c>
      <c r="H5148" s="5" t="s">
        <v>14888</v>
      </c>
      <c r="I5148" s="5" t="s">
        <v>14889</v>
      </c>
      <c r="J5148" s="5" t="s">
        <v>14890</v>
      </c>
      <c r="K5148" s="7" t="str">
        <f ca="1">IFERROR(__xludf.DUMMYFUNCTION("GOOGLETRANSLATE(H5148,""EN"",""ES"")"),"CANDELABROS Y CANDELABROS")</f>
        <v>CANDELABROS Y CANDELABROS</v>
      </c>
      <c r="L5148" s="5" t="str">
        <f ca="1">IFERROR(__xludf.DUMMYFUNCTION("GOOGLETRANSLATE(J5148,""EN"",""ES"")"),"Anillos de goteo de velas")</f>
        <v>Anillos de goteo de velas</v>
      </c>
      <c r="M5148" s="8" t="s">
        <v>84</v>
      </c>
      <c r="N5148" s="8"/>
    </row>
    <row r="5149" spans="1:14" ht="11.25" customHeight="1">
      <c r="A5149" s="5" t="s">
        <v>14883</v>
      </c>
      <c r="B5149" s="5" t="s">
        <v>14884</v>
      </c>
      <c r="C5149" s="5" t="s">
        <v>14891</v>
      </c>
      <c r="D5149" s="5" t="s">
        <v>14886</v>
      </c>
      <c r="E5149" s="5" t="s">
        <v>85</v>
      </c>
      <c r="F5149" s="5" t="s">
        <v>14887</v>
      </c>
      <c r="G5149" s="5" t="s">
        <v>152</v>
      </c>
      <c r="H5149" s="5" t="s">
        <v>14888</v>
      </c>
      <c r="I5149" s="5" t="s">
        <v>14892</v>
      </c>
      <c r="J5149" s="5" t="s">
        <v>14893</v>
      </c>
      <c r="K5149" s="7" t="str">
        <f ca="1">IFERROR(__xludf.DUMMYFUNCTION("GOOGLETRANSLATE(H5149,""EN"",""ES"")"),"CANDELABROS Y CANDELABROS")</f>
        <v>CANDELABROS Y CANDELABROS</v>
      </c>
      <c r="L5149" s="5" t="str">
        <f ca="1">IFERROR(__xludf.DUMMYFUNCTION("GOOGLETRANSLATE(J5149,""EN"",""ES"")"),"Candelabros")</f>
        <v>Candelabros</v>
      </c>
      <c r="M5149" s="8" t="s">
        <v>84</v>
      </c>
      <c r="N5149" s="8"/>
    </row>
    <row r="5150" spans="1:14" ht="11.25" customHeight="1">
      <c r="A5150" s="5" t="s">
        <v>14883</v>
      </c>
      <c r="B5150" s="5" t="s">
        <v>14884</v>
      </c>
      <c r="C5150" s="5" t="s">
        <v>14891</v>
      </c>
      <c r="D5150" s="5" t="s">
        <v>14886</v>
      </c>
      <c r="E5150" s="5" t="s">
        <v>85</v>
      </c>
      <c r="F5150" s="5" t="s">
        <v>14887</v>
      </c>
      <c r="G5150" s="5" t="s">
        <v>152</v>
      </c>
      <c r="H5150" s="5" t="s">
        <v>14888</v>
      </c>
      <c r="I5150" s="5" t="s">
        <v>152</v>
      </c>
      <c r="J5150" s="5" t="s">
        <v>14894</v>
      </c>
      <c r="K5150" s="7" t="str">
        <f ca="1">IFERROR(__xludf.DUMMYFUNCTION("GOOGLETRANSLATE(H5150,""EN"",""ES"")"),"CANDELABROS Y CANDELABROS")</f>
        <v>CANDELABROS Y CANDELABROS</v>
      </c>
      <c r="L5150" s="5" t="str">
        <f ca="1">IFERROR(__xludf.DUMMYFUNCTION("GOOGLETRANSLATE(J5150,""EN"",""ES"")"),"N / A")</f>
        <v>N / A</v>
      </c>
      <c r="M5150" s="8" t="s">
        <v>84</v>
      </c>
      <c r="N5150" s="8"/>
    </row>
    <row r="5151" spans="1:14" ht="11.25" customHeight="1">
      <c r="A5151" s="5" t="s">
        <v>14883</v>
      </c>
      <c r="B5151" s="5" t="s">
        <v>14884</v>
      </c>
      <c r="C5151" s="5" t="s">
        <v>14891</v>
      </c>
      <c r="D5151" s="5" t="s">
        <v>14886</v>
      </c>
      <c r="E5151" s="5" t="s">
        <v>85</v>
      </c>
      <c r="F5151" s="5" t="s">
        <v>14887</v>
      </c>
      <c r="G5151" s="5" t="s">
        <v>152</v>
      </c>
      <c r="H5151" s="5" t="s">
        <v>14888</v>
      </c>
      <c r="I5151" s="5" t="s">
        <v>152</v>
      </c>
      <c r="J5151" s="5" t="s">
        <v>14895</v>
      </c>
      <c r="K5151" s="7" t="str">
        <f ca="1">IFERROR(__xludf.DUMMYFUNCTION("GOOGLETRANSLATE(H5151,""EN"",""ES"")"),"CANDELABROS Y CANDELABROS")</f>
        <v>CANDELABROS Y CANDELABROS</v>
      </c>
      <c r="L5151" s="5" t="str">
        <f ca="1">IFERROR(__xludf.DUMMYFUNCTION("GOOGLETRANSLATE(J5151,""EN"",""ES"")"),"N / A")</f>
        <v>N / A</v>
      </c>
      <c r="M5151" s="8" t="s">
        <v>84</v>
      </c>
      <c r="N5151" s="8"/>
    </row>
    <row r="5152" spans="1:14" ht="11.25" customHeight="1">
      <c r="A5152" s="5" t="s">
        <v>14883</v>
      </c>
      <c r="B5152" s="5" t="s">
        <v>14884</v>
      </c>
      <c r="C5152" s="5" t="s">
        <v>14896</v>
      </c>
      <c r="D5152" s="5" t="s">
        <v>14886</v>
      </c>
      <c r="E5152" s="5" t="s">
        <v>85</v>
      </c>
      <c r="F5152" s="5" t="s">
        <v>14887</v>
      </c>
      <c r="G5152" s="5" t="s">
        <v>152</v>
      </c>
      <c r="H5152" s="5" t="s">
        <v>14888</v>
      </c>
      <c r="I5152" s="5" t="s">
        <v>14897</v>
      </c>
      <c r="J5152" s="5" t="s">
        <v>14898</v>
      </c>
      <c r="K5152" s="7" t="str">
        <f ca="1">IFERROR(__xludf.DUMMYFUNCTION("GOOGLETRANSLATE(H5152,""EN"",""ES"")"),"CANDELABROS Y CANDELABROS")</f>
        <v>CANDELABROS Y CANDELABROS</v>
      </c>
      <c r="L5152" s="5" t="str">
        <f ca="1">IFERROR(__xludf.DUMMYFUNCTION("GOOGLETRANSLATE(J5152,""EN"",""ES"")"),"Portavelas de jardín")</f>
        <v>Portavelas de jardín</v>
      </c>
      <c r="M5152" s="8" t="s">
        <v>84</v>
      </c>
      <c r="N5152" s="8"/>
    </row>
    <row r="5153" spans="1:14" ht="11.25" customHeight="1">
      <c r="A5153" s="5" t="s">
        <v>14883</v>
      </c>
      <c r="B5153" s="5" t="s">
        <v>14884</v>
      </c>
      <c r="C5153" s="5" t="s">
        <v>14899</v>
      </c>
      <c r="D5153" s="5" t="s">
        <v>14886</v>
      </c>
      <c r="E5153" s="5" t="s">
        <v>85</v>
      </c>
      <c r="F5153" s="5" t="s">
        <v>14887</v>
      </c>
      <c r="G5153" s="5" t="s">
        <v>152</v>
      </c>
      <c r="H5153" s="5" t="s">
        <v>14888</v>
      </c>
      <c r="I5153" s="5" t="s">
        <v>14900</v>
      </c>
      <c r="J5153" s="5" t="s">
        <v>14901</v>
      </c>
      <c r="K5153" s="7" t="str">
        <f ca="1">IFERROR(__xludf.DUMMYFUNCTION("GOOGLETRANSLATE(H5153,""EN"",""ES"")"),"CANDELABROS Y CANDELABROS")</f>
        <v>CANDELABROS Y CANDELABROS</v>
      </c>
      <c r="L5153" s="5" t="str">
        <f ca="1">IFERROR(__xludf.DUMMYFUNCTION("GOOGLETRANSLATE(J5153,""EN"",""ES"")"),"Candelabros")</f>
        <v>Candelabros</v>
      </c>
      <c r="M5153" s="8" t="s">
        <v>84</v>
      </c>
      <c r="N5153" s="8"/>
    </row>
    <row r="5154" spans="1:14" ht="11.25" customHeight="1">
      <c r="A5154" s="5" t="s">
        <v>14883</v>
      </c>
      <c r="B5154" s="5" t="s">
        <v>14884</v>
      </c>
      <c r="C5154" s="5" t="s">
        <v>14902</v>
      </c>
      <c r="D5154" s="5" t="s">
        <v>14886</v>
      </c>
      <c r="E5154" s="5" t="s">
        <v>85</v>
      </c>
      <c r="F5154" s="5" t="s">
        <v>14887</v>
      </c>
      <c r="G5154" s="5" t="s">
        <v>152</v>
      </c>
      <c r="H5154" s="5" t="s">
        <v>14888</v>
      </c>
      <c r="I5154" s="5" t="s">
        <v>14903</v>
      </c>
      <c r="J5154" s="5" t="s">
        <v>14904</v>
      </c>
      <c r="K5154" s="7" t="str">
        <f ca="1">IFERROR(__xludf.DUMMYFUNCTION("GOOGLETRANSLATE(H5154,""EN"",""ES"")"),"CANDELABROS Y CANDELABROS")</f>
        <v>CANDELABROS Y CANDELABROS</v>
      </c>
      <c r="L5154" s="5" t="str">
        <f ca="1">IFERROR(__xludf.DUMMYFUNCTION("GOOGLETRANSLATE(J5154,""EN"",""ES"")"),"Velas para tumbas")</f>
        <v>Velas para tumbas</v>
      </c>
      <c r="M5154" s="8" t="s">
        <v>84</v>
      </c>
      <c r="N5154" s="8"/>
    </row>
    <row r="5155" spans="1:14" ht="11.25" customHeight="1">
      <c r="A5155" s="5" t="s">
        <v>14883</v>
      </c>
      <c r="B5155" s="5" t="s">
        <v>14884</v>
      </c>
      <c r="C5155" s="5" t="s">
        <v>14905</v>
      </c>
      <c r="D5155" s="5" t="s">
        <v>14886</v>
      </c>
      <c r="E5155" s="5" t="s">
        <v>85</v>
      </c>
      <c r="F5155" s="5" t="s">
        <v>14887</v>
      </c>
      <c r="G5155" s="5" t="s">
        <v>152</v>
      </c>
      <c r="H5155" s="5" t="s">
        <v>14888</v>
      </c>
      <c r="I5155" s="5" t="s">
        <v>14906</v>
      </c>
      <c r="J5155" s="5" t="s">
        <v>14907</v>
      </c>
      <c r="K5155" s="7" t="str">
        <f ca="1">IFERROR(__xludf.DUMMYFUNCTION("GOOGLETRANSLATE(H5155,""EN"",""ES"")"),"CANDELABROS Y CANDELABROS")</f>
        <v>CANDELABROS Y CANDELABROS</v>
      </c>
      <c r="L5155" s="5" t="str">
        <f ca="1">IFERROR(__xludf.DUMMYFUNCTION("GOOGLETRANSLATE(J5155,""EN"",""ES"")"),"tarros de velas")</f>
        <v>tarros de velas</v>
      </c>
      <c r="M5155" s="8" t="s">
        <v>84</v>
      </c>
      <c r="N5155" s="8"/>
    </row>
    <row r="5156" spans="1:14" ht="11.25" customHeight="1">
      <c r="A5156" s="5" t="s">
        <v>14883</v>
      </c>
      <c r="B5156" s="5" t="s">
        <v>14908</v>
      </c>
      <c r="C5156" s="5" t="s">
        <v>14909</v>
      </c>
      <c r="D5156" s="5" t="s">
        <v>14886</v>
      </c>
      <c r="E5156" s="5" t="s">
        <v>85</v>
      </c>
      <c r="F5156" s="5" t="s">
        <v>14887</v>
      </c>
      <c r="G5156" s="5" t="s">
        <v>152</v>
      </c>
      <c r="H5156" s="5" t="s">
        <v>14910</v>
      </c>
      <c r="I5156" s="5" t="s">
        <v>14911</v>
      </c>
      <c r="J5156" s="5" t="s">
        <v>14912</v>
      </c>
      <c r="K5156" s="7" t="str">
        <f ca="1">IFERROR(__xludf.DUMMYFUNCTION("GOOGLETRANSLATE(H5156,""EN"",""ES"")"),"LINTERNAS, LÁMPARAS DE MANO Y LINTERNAS")</f>
        <v>LINTERNAS, LÁMPARAS DE MANO Y LINTERNAS</v>
      </c>
      <c r="L5156" s="5" t="str">
        <f ca="1">IFERROR(__xludf.DUMMYFUNCTION("GOOGLETRANSLATE(J5156,""EN"",""ES"")"),"Lámparas portátiles protegidas por rejilla")</f>
        <v>Lámparas portátiles protegidas por rejilla</v>
      </c>
      <c r="M5156" s="8" t="s">
        <v>84</v>
      </c>
      <c r="N5156" s="8"/>
    </row>
    <row r="5157" spans="1:14" ht="11.25" customHeight="1">
      <c r="A5157" s="5" t="s">
        <v>14883</v>
      </c>
      <c r="B5157" s="5" t="s">
        <v>14908</v>
      </c>
      <c r="C5157" s="5" t="s">
        <v>14913</v>
      </c>
      <c r="D5157" s="5" t="s">
        <v>14886</v>
      </c>
      <c r="E5157" s="5" t="s">
        <v>85</v>
      </c>
      <c r="F5157" s="5" t="s">
        <v>14887</v>
      </c>
      <c r="G5157" s="5" t="s">
        <v>152</v>
      </c>
      <c r="H5157" s="5" t="s">
        <v>14910</v>
      </c>
      <c r="I5157" s="5" t="s">
        <v>14914</v>
      </c>
      <c r="J5157" s="5" t="s">
        <v>14915</v>
      </c>
      <c r="K5157" s="7" t="str">
        <f ca="1">IFERROR(__xludf.DUMMYFUNCTION("GOOGLETRANSLATE(H5157,""EN"",""ES"")"),"LINTERNAS, LÁMPARAS DE MANO Y LINTERNAS")</f>
        <v>LINTERNAS, LÁMPARAS DE MANO Y LINTERNAS</v>
      </c>
      <c r="L5157" s="5" t="str">
        <f ca="1">IFERROR(__xludf.DUMMYFUNCTION("GOOGLETRANSLATE(J5157,""EN"",""ES"")"),"Lámparas de batería")</f>
        <v>Lámparas de batería</v>
      </c>
      <c r="M5157" s="8" t="s">
        <v>84</v>
      </c>
      <c r="N5157" s="8"/>
    </row>
    <row r="5158" spans="1:14" ht="11.25" customHeight="1">
      <c r="A5158" s="5" t="s">
        <v>14883</v>
      </c>
      <c r="B5158" s="5" t="s">
        <v>14908</v>
      </c>
      <c r="C5158" s="5" t="s">
        <v>14916</v>
      </c>
      <c r="D5158" s="5" t="s">
        <v>14886</v>
      </c>
      <c r="E5158" s="5" t="s">
        <v>85</v>
      </c>
      <c r="F5158" s="5" t="s">
        <v>14887</v>
      </c>
      <c r="G5158" s="5" t="s">
        <v>152</v>
      </c>
      <c r="H5158" s="5" t="s">
        <v>14910</v>
      </c>
      <c r="I5158" s="5" t="s">
        <v>14917</v>
      </c>
      <c r="J5158" s="5" t="s">
        <v>14918</v>
      </c>
      <c r="K5158" s="7" t="str">
        <f ca="1">IFERROR(__xludf.DUMMYFUNCTION("GOOGLETRANSLATE(H5158,""EN"",""ES"")"),"LINTERNAS, LÁMPARAS DE MANO Y LINTERNAS")</f>
        <v>LINTERNAS, LÁMPARAS DE MANO Y LINTERNAS</v>
      </c>
      <c r="L5158" s="5" t="str">
        <f ca="1">IFERROR(__xludf.DUMMYFUNCTION("GOOGLETRANSLATE(J5158,""EN"",""ES"")"),"Lámparas de minero")</f>
        <v>Lámparas de minero</v>
      </c>
      <c r="M5158" s="8" t="s">
        <v>84</v>
      </c>
      <c r="N5158" s="8"/>
    </row>
    <row r="5159" spans="1:14" ht="11.25" customHeight="1">
      <c r="A5159" s="5" t="s">
        <v>14883</v>
      </c>
      <c r="B5159" s="5" t="s">
        <v>14908</v>
      </c>
      <c r="C5159" s="5" t="s">
        <v>14919</v>
      </c>
      <c r="D5159" s="5" t="s">
        <v>14886</v>
      </c>
      <c r="E5159" s="5" t="s">
        <v>85</v>
      </c>
      <c r="F5159" s="5" t="s">
        <v>14887</v>
      </c>
      <c r="G5159" s="5" t="s">
        <v>152</v>
      </c>
      <c r="H5159" s="5" t="s">
        <v>14910</v>
      </c>
      <c r="I5159" s="5" t="s">
        <v>14920</v>
      </c>
      <c r="J5159" s="5" t="s">
        <v>14921</v>
      </c>
      <c r="K5159" s="7" t="str">
        <f ca="1">IFERROR(__xludf.DUMMYFUNCTION("GOOGLETRANSLATE(H5159,""EN"",""ES"")"),"LINTERNAS, LÁMPARAS DE MANO Y LINTERNAS")</f>
        <v>LINTERNAS, LÁMPARAS DE MANO Y LINTERNAS</v>
      </c>
      <c r="L5159" s="5" t="str">
        <f ca="1">IFERROR(__xludf.DUMMYFUNCTION("GOOGLETRANSLATE(J5159,""EN"",""ES"")"),"Lámparas de mano")</f>
        <v>Lámparas de mano</v>
      </c>
      <c r="M5159" s="8" t="s">
        <v>84</v>
      </c>
      <c r="N5159" s="8"/>
    </row>
    <row r="5160" spans="1:14" ht="11.25" customHeight="1">
      <c r="A5160" s="5" t="s">
        <v>14883</v>
      </c>
      <c r="B5160" s="5" t="s">
        <v>14908</v>
      </c>
      <c r="C5160" s="5" t="s">
        <v>14922</v>
      </c>
      <c r="D5160" s="5" t="s">
        <v>14886</v>
      </c>
      <c r="E5160" s="5" t="s">
        <v>85</v>
      </c>
      <c r="F5160" s="5" t="s">
        <v>14887</v>
      </c>
      <c r="G5160" s="5" t="s">
        <v>152</v>
      </c>
      <c r="H5160" s="5" t="s">
        <v>14910</v>
      </c>
      <c r="I5160" s="5" t="s">
        <v>14923</v>
      </c>
      <c r="J5160" s="5" t="s">
        <v>14924</v>
      </c>
      <c r="K5160" s="7" t="str">
        <f ca="1">IFERROR(__xludf.DUMMYFUNCTION("GOOGLETRANSLATE(H5160,""EN"",""ES"")"),"LINTERNAS, LÁMPARAS DE MANO Y LINTERNAS")</f>
        <v>LINTERNAS, LÁMPARAS DE MANO Y LINTERNAS</v>
      </c>
      <c r="L5160" s="5" t="str">
        <f ca="1">IFERROR(__xludf.DUMMYFUNCTION("GOOGLETRANSLATE(J5160,""EN"",""ES"")"),"Linternas portátiles")</f>
        <v>Linternas portátiles</v>
      </c>
      <c r="M5160" s="8" t="s">
        <v>84</v>
      </c>
      <c r="N5160" s="8"/>
    </row>
    <row r="5161" spans="1:14" ht="11.25" customHeight="1">
      <c r="A5161" s="5" t="s">
        <v>14883</v>
      </c>
      <c r="B5161" s="5" t="s">
        <v>14908</v>
      </c>
      <c r="C5161" s="5" t="s">
        <v>14925</v>
      </c>
      <c r="D5161" s="5" t="s">
        <v>14886</v>
      </c>
      <c r="E5161" s="5" t="s">
        <v>85</v>
      </c>
      <c r="F5161" s="5" t="s">
        <v>14887</v>
      </c>
      <c r="G5161" s="5" t="s">
        <v>152</v>
      </c>
      <c r="H5161" s="5" t="s">
        <v>14910</v>
      </c>
      <c r="I5161" s="5" t="s">
        <v>14926</v>
      </c>
      <c r="J5161" s="5" t="s">
        <v>14927</v>
      </c>
      <c r="K5161" s="7" t="str">
        <f ca="1">IFERROR(__xludf.DUMMYFUNCTION("GOOGLETRANSLATE(H5161,""EN"",""ES"")"),"LINTERNAS, LÁMPARAS DE MANO Y LINTERNAS")</f>
        <v>LINTERNAS, LÁMPARAS DE MANO Y LINTERNAS</v>
      </c>
      <c r="L5161" s="5" t="str">
        <f ca="1">IFERROR(__xludf.DUMMYFUNCTION("GOOGLETRANSLATE(J5161,""EN"",""ES"")"),"Antorchas eléctricas")</f>
        <v>Antorchas eléctricas</v>
      </c>
      <c r="M5161" s="8" t="s">
        <v>84</v>
      </c>
      <c r="N5161" s="8"/>
    </row>
    <row r="5162" spans="1:14" ht="11.25" customHeight="1">
      <c r="A5162" s="5" t="s">
        <v>14883</v>
      </c>
      <c r="B5162" s="5" t="s">
        <v>14908</v>
      </c>
      <c r="C5162" s="5" t="s">
        <v>14928</v>
      </c>
      <c r="D5162" s="5" t="s">
        <v>14886</v>
      </c>
      <c r="E5162" s="5" t="s">
        <v>85</v>
      </c>
      <c r="F5162" s="5" t="s">
        <v>14887</v>
      </c>
      <c r="G5162" s="5" t="s">
        <v>152</v>
      </c>
      <c r="H5162" s="5" t="s">
        <v>14910</v>
      </c>
      <c r="I5162" s="5" t="s">
        <v>14929</v>
      </c>
      <c r="J5162" s="5" t="s">
        <v>14930</v>
      </c>
      <c r="K5162" s="7" t="str">
        <f ca="1">IFERROR(__xludf.DUMMYFUNCTION("GOOGLETRANSLATE(H5162,""EN"",""ES"")"),"LINTERNAS, LÁMPARAS DE MANO Y LINTERNAS")</f>
        <v>LINTERNAS, LÁMPARAS DE MANO Y LINTERNAS</v>
      </c>
      <c r="L5162" s="5" t="str">
        <f ca="1">IFERROR(__xludf.DUMMYFUNCTION("GOOGLETRANSLATE(J5162,""EN"",""ES"")"),"Linternas de bolsillo")</f>
        <v>Linternas de bolsillo</v>
      </c>
      <c r="M5162" s="8" t="s">
        <v>84</v>
      </c>
      <c r="N5162" s="8"/>
    </row>
    <row r="5163" spans="1:14" ht="11.25" customHeight="1">
      <c r="A5163" s="5" t="s">
        <v>14883</v>
      </c>
      <c r="B5163" s="5" t="s">
        <v>14908</v>
      </c>
      <c r="C5163" s="5" t="s">
        <v>14931</v>
      </c>
      <c r="D5163" s="5" t="s">
        <v>14886</v>
      </c>
      <c r="E5163" s="5" t="s">
        <v>85</v>
      </c>
      <c r="F5163" s="5" t="s">
        <v>14887</v>
      </c>
      <c r="G5163" s="5" t="s">
        <v>152</v>
      </c>
      <c r="H5163" s="5" t="s">
        <v>14910</v>
      </c>
      <c r="I5163" s="5" t="s">
        <v>14932</v>
      </c>
      <c r="J5163" s="5" t="s">
        <v>14933</v>
      </c>
      <c r="K5163" s="7" t="str">
        <f ca="1">IFERROR(__xludf.DUMMYFUNCTION("GOOGLETRANSLATE(H5163,""EN"",""ES"")"),"LINTERNAS, LÁMPARAS DE MANO Y LINTERNAS")</f>
        <v>LINTERNAS, LÁMPARAS DE MANO Y LINTERNAS</v>
      </c>
      <c r="L5163" s="5" t="str">
        <f ca="1">IFERROR(__xludf.DUMMYFUNCTION("GOOGLETRANSLATE(J5163,""EN"",""ES"")"),"Linternas frontales")</f>
        <v>Linternas frontales</v>
      </c>
      <c r="M5163" s="8" t="s">
        <v>84</v>
      </c>
      <c r="N5163" s="8"/>
    </row>
    <row r="5164" spans="1:14" ht="11.25" customHeight="1">
      <c r="A5164" s="5" t="s">
        <v>14883</v>
      </c>
      <c r="B5164" s="5" t="s">
        <v>14908</v>
      </c>
      <c r="C5164" s="5" t="s">
        <v>14934</v>
      </c>
      <c r="D5164" s="5" t="s">
        <v>14886</v>
      </c>
      <c r="E5164" s="5" t="s">
        <v>85</v>
      </c>
      <c r="F5164" s="5" t="s">
        <v>14887</v>
      </c>
      <c r="G5164" s="5" t="s">
        <v>152</v>
      </c>
      <c r="H5164" s="5" t="s">
        <v>14910</v>
      </c>
      <c r="I5164" s="5" t="s">
        <v>14935</v>
      </c>
      <c r="J5164" s="5" t="s">
        <v>14936</v>
      </c>
      <c r="K5164" s="7" t="str">
        <f ca="1">IFERROR(__xludf.DUMMYFUNCTION("GOOGLETRANSLATE(H5164,""EN"",""ES"")"),"LINTERNAS, LÁMPARAS DE MANO Y LINTERNAS")</f>
        <v>LINTERNAS, LÁMPARAS DE MANO Y LINTERNAS</v>
      </c>
      <c r="L5164" s="5" t="str">
        <f ca="1">IFERROR(__xludf.DUMMYFUNCTION("GOOGLETRANSLATE(J5164,""EN"",""ES"")"),"linternas chinas")</f>
        <v>linternas chinas</v>
      </c>
      <c r="M5164" s="8" t="s">
        <v>84</v>
      </c>
      <c r="N5164" s="8"/>
    </row>
    <row r="5165" spans="1:14" ht="11.25" customHeight="1">
      <c r="A5165" s="5" t="s">
        <v>14883</v>
      </c>
      <c r="B5165" s="5" t="s">
        <v>14908</v>
      </c>
      <c r="C5165" s="5" t="s">
        <v>14937</v>
      </c>
      <c r="D5165" s="5" t="s">
        <v>14886</v>
      </c>
      <c r="E5165" s="5" t="s">
        <v>85</v>
      </c>
      <c r="F5165" s="5" t="s">
        <v>14887</v>
      </c>
      <c r="G5165" s="5" t="s">
        <v>152</v>
      </c>
      <c r="H5165" s="5" t="s">
        <v>14910</v>
      </c>
      <c r="I5165" s="5" t="s">
        <v>14938</v>
      </c>
      <c r="J5165" s="5" t="s">
        <v>14939</v>
      </c>
      <c r="K5165" s="7" t="str">
        <f ca="1">IFERROR(__xludf.DUMMYFUNCTION("GOOGLETRANSLATE(H5165,""EN"",""ES"")"),"LINTERNAS, LÁMPARAS DE MANO Y LINTERNAS")</f>
        <v>LINTERNAS, LÁMPARAS DE MANO Y LINTERNAS</v>
      </c>
      <c r="L5165" s="5" t="str">
        <f ca="1">IFERROR(__xludf.DUMMYFUNCTION("GOOGLETRANSLATE(J5165,""EN"",""ES"")"),"Antorchas encendidas")</f>
        <v>Antorchas encendidas</v>
      </c>
      <c r="M5165" s="8" t="s">
        <v>84</v>
      </c>
      <c r="N5165" s="8"/>
    </row>
    <row r="5166" spans="1:14" ht="11.25" customHeight="1">
      <c r="A5166" s="5" t="s">
        <v>14883</v>
      </c>
      <c r="B5166" s="5" t="s">
        <v>14940</v>
      </c>
      <c r="C5166" s="5" t="s">
        <v>14941</v>
      </c>
      <c r="D5166" s="5" t="s">
        <v>14886</v>
      </c>
      <c r="E5166" s="5" t="s">
        <v>85</v>
      </c>
      <c r="F5166" s="5" t="s">
        <v>14887</v>
      </c>
      <c r="G5166" s="5" t="s">
        <v>152</v>
      </c>
      <c r="H5166" s="5" t="s">
        <v>14942</v>
      </c>
      <c r="I5166" s="5" t="s">
        <v>14943</v>
      </c>
      <c r="J5166" s="5" t="s">
        <v>14944</v>
      </c>
      <c r="K5166" s="7" t="str">
        <f ca="1">IFERROR(__xludf.DUMMYFUNCTION("GOOGLETRANSLATE(H5166,""EN"",""ES"")"),"ACCESORIOS DE ALUMBRADO PÚBLICO, ILUMINACIÓN EXTERIOR, ILUMINACIÓN DE ESCENARIOS")</f>
        <v>ACCESORIOS DE ALUMBRADO PÚBLICO, ILUMINACIÓN EXTERIOR, ILUMINACIÓN DE ESCENARIOS</v>
      </c>
      <c r="L5166" s="5" t="str">
        <f ca="1">IFERROR(__xludf.DUMMYFUNCTION("GOOGLETRANSLATE(J5166,""EN"",""ES"")"),"Farolas de la calle")</f>
        <v>Farolas de la calle</v>
      </c>
      <c r="M5166" s="8" t="s">
        <v>84</v>
      </c>
      <c r="N5166" s="8"/>
    </row>
    <row r="5167" spans="1:14" ht="11.25" customHeight="1">
      <c r="A5167" s="5" t="s">
        <v>14883</v>
      </c>
      <c r="B5167" s="5" t="s">
        <v>14940</v>
      </c>
      <c r="C5167" s="5" t="s">
        <v>14945</v>
      </c>
      <c r="D5167" s="5" t="s">
        <v>14886</v>
      </c>
      <c r="E5167" s="5" t="s">
        <v>85</v>
      </c>
      <c r="F5167" s="5" t="s">
        <v>14887</v>
      </c>
      <c r="G5167" s="5" t="s">
        <v>152</v>
      </c>
      <c r="H5167" s="5" t="s">
        <v>14942</v>
      </c>
      <c r="I5167" s="5" t="s">
        <v>14946</v>
      </c>
      <c r="J5167" s="5" t="s">
        <v>14947</v>
      </c>
      <c r="K5167" s="7" t="str">
        <f ca="1">IFERROR(__xludf.DUMMYFUNCTION("GOOGLETRANSLATE(H5167,""EN"",""ES"")"),"ACCESORIOS DE ALUMBRADO PÚBLICO, ILUMINACIÓN EXTERIOR, ILUMINACIÓN DE ESCENARIOS")</f>
        <v>ACCESORIOS DE ALUMBRADO PÚBLICO, ILUMINACIÓN EXTERIOR, ILUMINACIÓN DE ESCENARIOS</v>
      </c>
      <c r="L5167" s="5" t="str">
        <f ca="1">IFERROR(__xludf.DUMMYFUNCTION("GOOGLETRANSLATE(J5167,""EN"",""ES"")"),"Luminarias de alumbrado publico")</f>
        <v>Luminarias de alumbrado publico</v>
      </c>
      <c r="M5167" s="8" t="s">
        <v>84</v>
      </c>
      <c r="N5167" s="8"/>
    </row>
    <row r="5168" spans="1:14" ht="11.25" customHeight="1">
      <c r="A5168" s="5" t="s">
        <v>14883</v>
      </c>
      <c r="B5168" s="5" t="s">
        <v>14940</v>
      </c>
      <c r="C5168" s="5" t="s">
        <v>14948</v>
      </c>
      <c r="D5168" s="5" t="s">
        <v>14886</v>
      </c>
      <c r="E5168" s="5" t="s">
        <v>85</v>
      </c>
      <c r="F5168" s="5" t="s">
        <v>14887</v>
      </c>
      <c r="G5168" s="5" t="s">
        <v>152</v>
      </c>
      <c r="H5168" s="5" t="s">
        <v>14942</v>
      </c>
      <c r="I5168" s="5" t="s">
        <v>14949</v>
      </c>
      <c r="J5168" s="5" t="s">
        <v>14950</v>
      </c>
      <c r="K5168" s="7" t="str">
        <f ca="1">IFERROR(__xludf.DUMMYFUNCTION("GOOGLETRANSLATE(H5168,""EN"",""ES"")"),"ACCESORIOS DE ALUMBRADO PÚBLICO, ILUMINACIÓN EXTERIOR, ILUMINACIÓN DE ESCENARIOS")</f>
        <v>ACCESORIOS DE ALUMBRADO PÚBLICO, ILUMINACIÓN EXTERIOR, ILUMINACIÓN DE ESCENARIOS</v>
      </c>
      <c r="L5168" s="5" t="str">
        <f ca="1">IFERROR(__xludf.DUMMYFUNCTION("GOOGLETRANSLATE(J5168,""EN"",""ES"")"),"Iluminación de escenario")</f>
        <v>Iluminación de escenario</v>
      </c>
      <c r="M5168" s="8" t="s">
        <v>84</v>
      </c>
      <c r="N5168" s="8"/>
    </row>
    <row r="5169" spans="1:14" ht="11.25" customHeight="1">
      <c r="A5169" s="5" t="s">
        <v>14883</v>
      </c>
      <c r="B5169" s="5" t="s">
        <v>14940</v>
      </c>
      <c r="C5169" s="5" t="s">
        <v>14951</v>
      </c>
      <c r="D5169" s="5" t="s">
        <v>14886</v>
      </c>
      <c r="E5169" s="5" t="s">
        <v>85</v>
      </c>
      <c r="F5169" s="5" t="s">
        <v>14887</v>
      </c>
      <c r="G5169" s="5" t="s">
        <v>152</v>
      </c>
      <c r="H5169" s="5" t="s">
        <v>14942</v>
      </c>
      <c r="I5169" s="5" t="s">
        <v>14952</v>
      </c>
      <c r="J5169" s="5" t="s">
        <v>14953</v>
      </c>
      <c r="K5169" s="7" t="str">
        <f ca="1">IFERROR(__xludf.DUMMYFUNCTION("GOOGLETRANSLATE(H5169,""EN"",""ES"")"),"ACCESORIOS DE ALUMBRADO PÚBLICO, ILUMINACIÓN EXTERIOR, ILUMINACIÓN DE ESCENARIOS")</f>
        <v>ACCESORIOS DE ALUMBRADO PÚBLICO, ILUMINACIÓN EXTERIOR, ILUMINACIÓN DE ESCENARIOS</v>
      </c>
      <c r="L5169" s="5" t="str">
        <f ca="1">IFERROR(__xludf.DUMMYFUNCTION("GOOGLETRANSLATE(J5169,""EN"",""ES"")"),"Proyectores de luz")</f>
        <v>Proyectores de luz</v>
      </c>
      <c r="M5169" s="8" t="s">
        <v>84</v>
      </c>
      <c r="N5169" s="8"/>
    </row>
    <row r="5170" spans="1:14" ht="11.25" customHeight="1">
      <c r="A5170" s="5" t="s">
        <v>14883</v>
      </c>
      <c r="B5170" s="5" t="s">
        <v>14940</v>
      </c>
      <c r="C5170" s="5" t="s">
        <v>14954</v>
      </c>
      <c r="D5170" s="5" t="s">
        <v>14886</v>
      </c>
      <c r="E5170" s="5" t="s">
        <v>85</v>
      </c>
      <c r="F5170" s="5" t="s">
        <v>14887</v>
      </c>
      <c r="G5170" s="5" t="s">
        <v>152</v>
      </c>
      <c r="H5170" s="5" t="s">
        <v>14942</v>
      </c>
      <c r="I5170" s="5" t="s">
        <v>14955</v>
      </c>
      <c r="J5170" s="5" t="s">
        <v>14956</v>
      </c>
      <c r="K5170" s="7" t="str">
        <f ca="1">IFERROR(__xludf.DUMMYFUNCTION("GOOGLETRANSLATE(H5170,""EN"",""ES"")"),"ACCESORIOS DE ALUMBRADO PÚBLICO, ILUMINACIÓN EXTERIOR, ILUMINACIÓN DE ESCENARIOS")</f>
        <v>ACCESORIOS DE ALUMBRADO PÚBLICO, ILUMINACIÓN EXTERIOR, ILUMINACIÓN DE ESCENARIOS</v>
      </c>
      <c r="L5170" s="5" t="str">
        <f ca="1">IFERROR(__xludf.DUMMYFUNCTION("GOOGLETRANSLATE(J5170,""EN"",""ES"")"),"farolas")</f>
        <v>farolas</v>
      </c>
      <c r="M5170" s="8" t="s">
        <v>84</v>
      </c>
      <c r="N5170" s="8"/>
    </row>
    <row r="5171" spans="1:14" ht="11.25" customHeight="1">
      <c r="A5171" s="5" t="s">
        <v>14883</v>
      </c>
      <c r="B5171" s="5" t="s">
        <v>14940</v>
      </c>
      <c r="C5171" s="5" t="s">
        <v>14954</v>
      </c>
      <c r="D5171" s="5" t="s">
        <v>14886</v>
      </c>
      <c r="E5171" s="5" t="s">
        <v>85</v>
      </c>
      <c r="F5171" s="5" t="s">
        <v>14887</v>
      </c>
      <c r="G5171" s="5" t="s">
        <v>152</v>
      </c>
      <c r="H5171" s="5" t="s">
        <v>14942</v>
      </c>
      <c r="I5171" s="5" t="s">
        <v>152</v>
      </c>
      <c r="J5171" s="5" t="s">
        <v>14957</v>
      </c>
      <c r="K5171" s="7" t="str">
        <f ca="1">IFERROR(__xludf.DUMMYFUNCTION("GOOGLETRANSLATE(H5171,""EN"",""ES"")"),"ACCESORIOS DE ALUMBRADO PÚBLICO, ILUMINACIÓN EXTERIOR, ILUMINACIÓN DE ESCENARIOS")</f>
        <v>ACCESORIOS DE ALUMBRADO PÚBLICO, ILUMINACIÓN EXTERIOR, ILUMINACIÓN DE ESCENARIOS</v>
      </c>
      <c r="L5171" s="5" t="str">
        <f ca="1">IFERROR(__xludf.DUMMYFUNCTION("GOOGLETRANSLATE(J5171,""EN"",""ES"")"),"N / A")</f>
        <v>N / A</v>
      </c>
      <c r="M5171" s="8" t="s">
        <v>84</v>
      </c>
      <c r="N5171" s="8"/>
    </row>
    <row r="5172" spans="1:14" ht="11.25" customHeight="1">
      <c r="A5172" s="5" t="s">
        <v>14883</v>
      </c>
      <c r="B5172" s="5" t="s">
        <v>14940</v>
      </c>
      <c r="C5172" s="5" t="s">
        <v>14958</v>
      </c>
      <c r="D5172" s="5" t="s">
        <v>14886</v>
      </c>
      <c r="E5172" s="5" t="s">
        <v>85</v>
      </c>
      <c r="F5172" s="5" t="s">
        <v>14887</v>
      </c>
      <c r="G5172" s="5" t="s">
        <v>152</v>
      </c>
      <c r="H5172" s="5" t="s">
        <v>14942</v>
      </c>
      <c r="I5172" s="5" t="s">
        <v>14959</v>
      </c>
      <c r="J5172" s="5" t="s">
        <v>14960</v>
      </c>
      <c r="K5172" s="7" t="str">
        <f ca="1">IFERROR(__xludf.DUMMYFUNCTION("GOOGLETRANSLATE(H5172,""EN"",""ES"")"),"ACCESORIOS DE ALUMBRADO PÚBLICO, ILUMINACIÓN EXTERIOR, ILUMINACIÓN DE ESCENARIOS")</f>
        <v>ACCESORIOS DE ALUMBRADO PÚBLICO, ILUMINACIÓN EXTERIOR, ILUMINACIÓN DE ESCENARIOS</v>
      </c>
      <c r="L5172" s="5" t="str">
        <f ca="1">IFERROR(__xludf.DUMMYFUNCTION("GOOGLETRANSLATE(J5172,""EN"",""ES"")"),"Lámparas de jardín")</f>
        <v>Lámparas de jardín</v>
      </c>
      <c r="M5172" s="8" t="s">
        <v>84</v>
      </c>
      <c r="N5172" s="8"/>
    </row>
    <row r="5173" spans="1:14" ht="11.25" customHeight="1">
      <c r="A5173" s="5" t="s">
        <v>14883</v>
      </c>
      <c r="B5173" s="5" t="s">
        <v>14940</v>
      </c>
      <c r="C5173" s="5" t="s">
        <v>14961</v>
      </c>
      <c r="D5173" s="5" t="s">
        <v>14886</v>
      </c>
      <c r="E5173" s="5" t="s">
        <v>85</v>
      </c>
      <c r="F5173" s="5" t="s">
        <v>14887</v>
      </c>
      <c r="G5173" s="5" t="s">
        <v>152</v>
      </c>
      <c r="H5173" s="5" t="s">
        <v>14942</v>
      </c>
      <c r="I5173" s="5" t="s">
        <v>14962</v>
      </c>
      <c r="J5173" s="5" t="s">
        <v>14963</v>
      </c>
      <c r="K5173" s="7" t="str">
        <f ca="1">IFERROR(__xludf.DUMMYFUNCTION("GOOGLETRANSLATE(H5173,""EN"",""ES"")"),"ACCESORIOS DE ALUMBRADO PÚBLICO, ILUMINACIÓN EXTERIOR, ILUMINACIÓN DE ESCENARIOS")</f>
        <v>ACCESORIOS DE ALUMBRADO PÚBLICO, ILUMINACIÓN EXTERIOR, ILUMINACIÓN DE ESCENARIOS</v>
      </c>
      <c r="L5173" s="5" t="str">
        <f ca="1">IFERROR(__xludf.DUMMYFUNCTION("GOOGLETRANSLATE(J5173,""EN"",""ES"")"),"Lámparas de jardín con energía solar")</f>
        <v>Lámparas de jardín con energía solar</v>
      </c>
      <c r="M5173" s="8" t="s">
        <v>84</v>
      </c>
      <c r="N5173" s="8"/>
    </row>
    <row r="5174" spans="1:14" ht="11.25" customHeight="1">
      <c r="A5174" s="5" t="s">
        <v>14883</v>
      </c>
      <c r="B5174" s="5" t="s">
        <v>14940</v>
      </c>
      <c r="C5174" s="5" t="s">
        <v>14964</v>
      </c>
      <c r="D5174" s="5" t="s">
        <v>14886</v>
      </c>
      <c r="E5174" s="5" t="s">
        <v>85</v>
      </c>
      <c r="F5174" s="5" t="s">
        <v>14887</v>
      </c>
      <c r="G5174" s="5" t="s">
        <v>152</v>
      </c>
      <c r="H5174" s="5" t="s">
        <v>14942</v>
      </c>
      <c r="I5174" s="5" t="s">
        <v>14965</v>
      </c>
      <c r="J5174" s="5" t="s">
        <v>14966</v>
      </c>
      <c r="K5174" s="7" t="str">
        <f ca="1">IFERROR(__xludf.DUMMYFUNCTION("GOOGLETRANSLATE(H5174,""EN"",""ES"")"),"ACCESORIOS DE ALUMBRADO PÚBLICO, ILUMINACIÓN EXTERIOR, ILUMINACIÓN DE ESCENARIOS")</f>
        <v>ACCESORIOS DE ALUMBRADO PÚBLICO, ILUMINACIÓN EXTERIOR, ILUMINACIÓN DE ESCENARIOS</v>
      </c>
      <c r="L5174" s="5" t="str">
        <f ca="1">IFERROR(__xludf.DUMMYFUNCTION("GOOGLETRANSLATE(J5174,""EN"",""ES"")"),"luces de suelo")</f>
        <v>luces de suelo</v>
      </c>
      <c r="M5174" s="8" t="s">
        <v>84</v>
      </c>
      <c r="N5174" s="8"/>
    </row>
    <row r="5175" spans="1:14" ht="11.25" customHeight="1">
      <c r="A5175" s="5" t="s">
        <v>14883</v>
      </c>
      <c r="B5175" s="5" t="s">
        <v>14940</v>
      </c>
      <c r="C5175" s="5" t="s">
        <v>14967</v>
      </c>
      <c r="D5175" s="5" t="s">
        <v>14886</v>
      </c>
      <c r="E5175" s="5" t="s">
        <v>85</v>
      </c>
      <c r="F5175" s="5" t="s">
        <v>14887</v>
      </c>
      <c r="G5175" s="5" t="s">
        <v>152</v>
      </c>
      <c r="H5175" s="5" t="s">
        <v>14942</v>
      </c>
      <c r="I5175" s="5" t="s">
        <v>14968</v>
      </c>
      <c r="J5175" s="5" t="s">
        <v>14969</v>
      </c>
      <c r="K5175" s="7" t="str">
        <f ca="1">IFERROR(__xludf.DUMMYFUNCTION("GOOGLETRANSLATE(H5175,""EN"",""ES"")"),"ACCESORIOS DE ALUMBRADO PÚBLICO, ILUMINACIÓN EXTERIOR, ILUMINACIÓN DE ESCENARIOS")</f>
        <v>ACCESORIOS DE ALUMBRADO PÚBLICO, ILUMINACIÓN EXTERIOR, ILUMINACIÓN DE ESCENARIOS</v>
      </c>
      <c r="L5175" s="5" t="str">
        <f ca="1">IFERROR(__xludf.DUMMYFUNCTION("GOOGLETRANSLATE(J5175,""EN"",""ES"")"),"Luces de emergencia [excepto lámparas portátiles]")</f>
        <v>Luces de emergencia [excepto lámparas portátiles]</v>
      </c>
      <c r="M5175" s="8" t="s">
        <v>84</v>
      </c>
      <c r="N5175" s="8"/>
    </row>
    <row r="5176" spans="1:14" ht="11.25" customHeight="1">
      <c r="A5176" s="5" t="s">
        <v>14883</v>
      </c>
      <c r="B5176" s="5" t="s">
        <v>14940</v>
      </c>
      <c r="C5176" s="5" t="s">
        <v>14970</v>
      </c>
      <c r="D5176" s="5" t="s">
        <v>14886</v>
      </c>
      <c r="E5176" s="5" t="s">
        <v>85</v>
      </c>
      <c r="F5176" s="5" t="s">
        <v>14887</v>
      </c>
      <c r="G5176" s="5" t="s">
        <v>152</v>
      </c>
      <c r="H5176" s="5" t="s">
        <v>14942</v>
      </c>
      <c r="I5176" s="5" t="s">
        <v>14971</v>
      </c>
      <c r="J5176" s="5" t="s">
        <v>14972</v>
      </c>
      <c r="K5176" s="7" t="str">
        <f ca="1">IFERROR(__xludf.DUMMYFUNCTION("GOOGLETRANSLATE(H5176,""EN"",""ES"")"),"ACCESORIOS DE ALUMBRADO PÚBLICO, ILUMINACIÓN EXTERIOR, ILUMINACIÓN DE ESCENARIOS")</f>
        <v>ACCESORIOS DE ALUMBRADO PÚBLICO, ILUMINACIÓN EXTERIOR, ILUMINACIÓN DE ESCENARIOS</v>
      </c>
      <c r="L5176" s="5" t="str">
        <f ca="1">IFERROR(__xludf.DUMMYFUNCTION("GOOGLETRANSLATE(J5176,""EN"",""ES"")"),"Reflectores")</f>
        <v>Reflectores</v>
      </c>
      <c r="M5176" s="8" t="s">
        <v>84</v>
      </c>
      <c r="N5176" s="8"/>
    </row>
    <row r="5177" spans="1:14" ht="11.25" customHeight="1">
      <c r="A5177" s="5" t="s">
        <v>14883</v>
      </c>
      <c r="B5177" s="5" t="s">
        <v>14940</v>
      </c>
      <c r="C5177" s="5" t="s">
        <v>14970</v>
      </c>
      <c r="D5177" s="5" t="s">
        <v>14886</v>
      </c>
      <c r="E5177" s="5" t="s">
        <v>85</v>
      </c>
      <c r="F5177" s="5" t="s">
        <v>14887</v>
      </c>
      <c r="G5177" s="5" t="s">
        <v>152</v>
      </c>
      <c r="H5177" s="5" t="s">
        <v>14942</v>
      </c>
      <c r="I5177" s="5" t="s">
        <v>14973</v>
      </c>
      <c r="J5177" s="5" t="s">
        <v>152</v>
      </c>
      <c r="K5177" s="7" t="str">
        <f ca="1">IFERROR(__xludf.DUMMYFUNCTION("GOOGLETRANSLATE(H5177,""EN"",""ES"")"),"ACCESORIOS DE ALUMBRADO PÚBLICO, ILUMINACIÓN EXTERIOR, ILUMINACIÓN DE ESCENARIOS")</f>
        <v>ACCESORIOS DE ALUMBRADO PÚBLICO, ILUMINACIÓN EXTERIOR, ILUMINACIÓN DE ESCENARIOS</v>
      </c>
      <c r="L5177" s="5" t="str">
        <f ca="1">IFERROR(__xludf.DUMMYFUNCTION("GOOGLETRANSLATE(J5177,""EN"",""ES"")"),"Focos")</f>
        <v>Focos</v>
      </c>
      <c r="M5177" s="8" t="s">
        <v>84</v>
      </c>
      <c r="N5177" s="8"/>
    </row>
    <row r="5178" spans="1:14" ht="11.25" customHeight="1">
      <c r="A5178" s="5" t="s">
        <v>14883</v>
      </c>
      <c r="B5178" s="5" t="s">
        <v>14940</v>
      </c>
      <c r="C5178" s="5" t="s">
        <v>14974</v>
      </c>
      <c r="D5178" s="5" t="s">
        <v>14886</v>
      </c>
      <c r="E5178" s="5" t="s">
        <v>85</v>
      </c>
      <c r="F5178" s="5" t="s">
        <v>14887</v>
      </c>
      <c r="G5178" s="5" t="s">
        <v>152</v>
      </c>
      <c r="H5178" s="5" t="s">
        <v>14942</v>
      </c>
      <c r="I5178" s="5" t="s">
        <v>14975</v>
      </c>
      <c r="J5178" s="5" t="s">
        <v>14976</v>
      </c>
      <c r="K5178" s="7" t="str">
        <f ca="1">IFERROR(__xludf.DUMMYFUNCTION("GOOGLETRANSLATE(H5178,""EN"",""ES"")"),"ACCESORIOS DE ALUMBRADO PÚBLICO, ILUMINACIÓN EXTERIOR, ILUMINACIÓN DE ESCENARIOS")</f>
        <v>ACCESORIOS DE ALUMBRADO PÚBLICO, ILUMINACIÓN EXTERIOR, ILUMINACIÓN DE ESCENARIOS</v>
      </c>
      <c r="L5178" s="5" t="str">
        <f ca="1">IFERROR(__xludf.DUMMYFUNCTION("GOOGLETRANSLATE(J5178,""EN"",""ES"")"),"luces de piscina")</f>
        <v>luces de piscina</v>
      </c>
      <c r="M5178" s="8" t="s">
        <v>84</v>
      </c>
      <c r="N5178" s="8"/>
    </row>
    <row r="5179" spans="1:14" ht="11.25" customHeight="1">
      <c r="A5179" s="5" t="s">
        <v>14883</v>
      </c>
      <c r="B5179" s="5" t="s">
        <v>14977</v>
      </c>
      <c r="C5179" s="5" t="s">
        <v>14978</v>
      </c>
      <c r="D5179" s="5" t="s">
        <v>14886</v>
      </c>
      <c r="E5179" s="5" t="s">
        <v>85</v>
      </c>
      <c r="F5179" s="5" t="s">
        <v>14887</v>
      </c>
      <c r="G5179" s="5" t="s">
        <v>152</v>
      </c>
      <c r="H5179" s="5" t="s">
        <v>14979</v>
      </c>
      <c r="I5179" s="5" t="s">
        <v>14980</v>
      </c>
      <c r="J5179" s="5" t="s">
        <v>14981</v>
      </c>
      <c r="K5179" s="7" t="str">
        <f ca="1">IFERROR(__xludf.DUMMYFUNCTION("GOOGLETRANSLATE(H5179,""EN"",""ES"")"),"FUENTES LUMINOSAS, ELÉCTRICAS O NO ELÉCTRICAS")</f>
        <v>FUENTES LUMINOSAS, ELÉCTRICAS O NO ELÉCTRICAS</v>
      </c>
      <c r="L5179" s="5" t="str">
        <f ca="1">IFERROR(__xludf.DUMMYFUNCTION("GOOGLETRANSLATE(J5179,""EN"",""ES"")"),"Luces eléctricas para árboles de Navidad.")</f>
        <v>Luces eléctricas para árboles de Navidad.</v>
      </c>
      <c r="M5179" s="8" t="s">
        <v>84</v>
      </c>
      <c r="N5179" s="8"/>
    </row>
    <row r="5180" spans="1:14" ht="11.25" customHeight="1">
      <c r="A5180" s="5" t="s">
        <v>14883</v>
      </c>
      <c r="B5180" s="5" t="s">
        <v>14977</v>
      </c>
      <c r="C5180" s="5" t="s">
        <v>14982</v>
      </c>
      <c r="D5180" s="5" t="s">
        <v>14886</v>
      </c>
      <c r="E5180" s="5" t="s">
        <v>85</v>
      </c>
      <c r="F5180" s="5" t="s">
        <v>14887</v>
      </c>
      <c r="G5180" s="5" t="s">
        <v>152</v>
      </c>
      <c r="H5180" s="5" t="s">
        <v>14979</v>
      </c>
      <c r="I5180" s="5" t="s">
        <v>14983</v>
      </c>
      <c r="J5180" s="5" t="s">
        <v>14984</v>
      </c>
      <c r="K5180" s="7" t="str">
        <f ca="1">IFERROR(__xludf.DUMMYFUNCTION("GOOGLETRANSLATE(H5180,""EN"",""ES"")"),"FUENTES LUMINOSAS, ELÉCTRICAS O NO ELÉCTRICAS")</f>
        <v>FUENTES LUMINOSAS, ELÉCTRICAS O NO ELÉCTRICAS</v>
      </c>
      <c r="L5180" s="5" t="str">
        <f ca="1">IFERROR(__xludf.DUMMYFUNCTION("GOOGLETRANSLATE(J5180,""EN"",""ES"")"),"Bombillas para luminarias")</f>
        <v>Bombillas para luminarias</v>
      </c>
      <c r="M5180" s="8" t="s">
        <v>84</v>
      </c>
      <c r="N5180" s="8"/>
    </row>
    <row r="5181" spans="1:14" ht="11.25" customHeight="1">
      <c r="A5181" s="5" t="s">
        <v>14883</v>
      </c>
      <c r="B5181" s="5" t="s">
        <v>14977</v>
      </c>
      <c r="C5181" s="5" t="s">
        <v>14985</v>
      </c>
      <c r="D5181" s="5" t="s">
        <v>14886</v>
      </c>
      <c r="E5181" s="5" t="s">
        <v>85</v>
      </c>
      <c r="F5181" s="5" t="s">
        <v>14887</v>
      </c>
      <c r="G5181" s="5" t="s">
        <v>152</v>
      </c>
      <c r="H5181" s="5" t="s">
        <v>14979</v>
      </c>
      <c r="I5181" s="5" t="s">
        <v>14986</v>
      </c>
      <c r="J5181" s="5" t="s">
        <v>14987</v>
      </c>
      <c r="K5181" s="7" t="str">
        <f ca="1">IFERROR(__xludf.DUMMYFUNCTION("GOOGLETRANSLATE(H5181,""EN"",""ES"")"),"FUENTES LUMINOSAS, ELÉCTRICAS O NO ELÉCTRICAS")</f>
        <v>FUENTES LUMINOSAS, ELÉCTRICAS O NO ELÉCTRICAS</v>
      </c>
      <c r="L5181" s="5" t="str">
        <f ca="1">IFERROR(__xludf.DUMMYFUNCTION("GOOGLETRANSLATE(J5181,""EN"",""ES"")"),"Bombillas para lámparas eléctricas.")</f>
        <v>Bombillas para lámparas eléctricas.</v>
      </c>
      <c r="M5181" s="8" t="s">
        <v>84</v>
      </c>
      <c r="N5181" s="8"/>
    </row>
    <row r="5182" spans="1:14" ht="11.25" customHeight="1">
      <c r="A5182" s="5" t="s">
        <v>14883</v>
      </c>
      <c r="B5182" s="5" t="s">
        <v>14977</v>
      </c>
      <c r="C5182" s="5" t="s">
        <v>14988</v>
      </c>
      <c r="D5182" s="5" t="s">
        <v>14886</v>
      </c>
      <c r="E5182" s="5" t="s">
        <v>85</v>
      </c>
      <c r="F5182" s="5" t="s">
        <v>14887</v>
      </c>
      <c r="G5182" s="5" t="s">
        <v>152</v>
      </c>
      <c r="H5182" s="5" t="s">
        <v>14979</v>
      </c>
      <c r="I5182" s="5" t="s">
        <v>14989</v>
      </c>
      <c r="J5182" s="5" t="s">
        <v>14990</v>
      </c>
      <c r="K5182" s="7" t="str">
        <f ca="1">IFERROR(__xludf.DUMMYFUNCTION("GOOGLETRANSLATE(H5182,""EN"",""ES"")"),"FUENTES LUMINOSAS, ELÉCTRICAS O NO ELÉCTRICAS")</f>
        <v>FUENTES LUMINOSAS, ELÉCTRICAS O NO ELÉCTRICAS</v>
      </c>
      <c r="L5182" s="5" t="str">
        <f ca="1">IFERROR(__xludf.DUMMYFUNCTION("GOOGLETRANSLATE(J5182,""EN"",""ES"")"),"Bombillas para lámparas de señalización.")</f>
        <v>Bombillas para lámparas de señalización.</v>
      </c>
      <c r="M5182" s="8" t="s">
        <v>84</v>
      </c>
      <c r="N5182" s="8"/>
    </row>
    <row r="5183" spans="1:14" ht="11.25" customHeight="1">
      <c r="A5183" s="5" t="s">
        <v>14883</v>
      </c>
      <c r="B5183" s="5" t="s">
        <v>14977</v>
      </c>
      <c r="C5183" s="5" t="s">
        <v>14991</v>
      </c>
      <c r="D5183" s="5" t="s">
        <v>14886</v>
      </c>
      <c r="E5183" s="5" t="s">
        <v>85</v>
      </c>
      <c r="F5183" s="5" t="s">
        <v>14887</v>
      </c>
      <c r="G5183" s="5" t="s">
        <v>152</v>
      </c>
      <c r="H5183" s="5" t="s">
        <v>14979</v>
      </c>
      <c r="I5183" s="5" t="s">
        <v>14992</v>
      </c>
      <c r="J5183" s="5" t="s">
        <v>14993</v>
      </c>
      <c r="K5183" s="7" t="str">
        <f ca="1">IFERROR(__xludf.DUMMYFUNCTION("GOOGLETRANSLATE(H5183,""EN"",""ES"")"),"FUENTES LUMINOSAS, ELÉCTRICAS O NO ELÉCTRICAS")</f>
        <v>FUENTES LUMINOSAS, ELÉCTRICAS O NO ELÉCTRICAS</v>
      </c>
      <c r="L5183" s="5" t="str">
        <f ca="1">IFERROR(__xludf.DUMMYFUNCTION("GOOGLETRANSLATE(J5183,""EN"",""ES"")"),"Velas")</f>
        <v>Velas</v>
      </c>
      <c r="M5183" s="8" t="s">
        <v>84</v>
      </c>
      <c r="N5183" s="8"/>
    </row>
    <row r="5184" spans="1:14" ht="11.25" customHeight="1">
      <c r="A5184" s="5" t="s">
        <v>14883</v>
      </c>
      <c r="B5184" s="5" t="s">
        <v>14977</v>
      </c>
      <c r="C5184" s="5" t="s">
        <v>14991</v>
      </c>
      <c r="D5184" s="5" t="s">
        <v>14886</v>
      </c>
      <c r="E5184" s="5" t="s">
        <v>85</v>
      </c>
      <c r="F5184" s="5" t="s">
        <v>14887</v>
      </c>
      <c r="G5184" s="5" t="s">
        <v>152</v>
      </c>
      <c r="H5184" s="5" t="s">
        <v>14979</v>
      </c>
      <c r="I5184" s="5" t="s">
        <v>152</v>
      </c>
      <c r="J5184" s="5" t="s">
        <v>14994</v>
      </c>
      <c r="K5184" s="7" t="str">
        <f ca="1">IFERROR(__xludf.DUMMYFUNCTION("GOOGLETRANSLATE(H5184,""EN"",""ES"")"),"FUENTES LUMINOSAS, ELÉCTRICAS O NO ELÉCTRICAS")</f>
        <v>FUENTES LUMINOSAS, ELÉCTRICAS O NO ELÉCTRICAS</v>
      </c>
      <c r="L5184" s="5" t="str">
        <f ca="1">IFERROR(__xludf.DUMMYFUNCTION("GOOGLETRANSLATE(J5184,""EN"",""ES"")"),"N / A")</f>
        <v>N / A</v>
      </c>
      <c r="M5184" s="8" t="s">
        <v>84</v>
      </c>
      <c r="N5184" s="8"/>
    </row>
    <row r="5185" spans="1:14" ht="11.25" customHeight="1">
      <c r="A5185" s="5" t="s">
        <v>14883</v>
      </c>
      <c r="B5185" s="5" t="s">
        <v>14977</v>
      </c>
      <c r="C5185" s="5" t="s">
        <v>14995</v>
      </c>
      <c r="D5185" s="5" t="s">
        <v>14886</v>
      </c>
      <c r="E5185" s="5" t="s">
        <v>85</v>
      </c>
      <c r="F5185" s="5" t="s">
        <v>14887</v>
      </c>
      <c r="G5185" s="5" t="s">
        <v>152</v>
      </c>
      <c r="H5185" s="5" t="s">
        <v>14979</v>
      </c>
      <c r="I5185" s="5" t="s">
        <v>14996</v>
      </c>
      <c r="J5185" s="5" t="s">
        <v>14997</v>
      </c>
      <c r="K5185" s="7" t="str">
        <f ca="1">IFERROR(__xludf.DUMMYFUNCTION("GOOGLETRANSLATE(H5185,""EN"",""ES"")"),"FUENTES LUMINOSAS, ELÉCTRICAS O NO ELÉCTRICAS")</f>
        <v>FUENTES LUMINOSAS, ELÉCTRICAS O NO ELÉCTRICAS</v>
      </c>
      <c r="L5185" s="5" t="str">
        <f ca="1">IFERROR(__xludf.DUMMYFUNCTION("GOOGLETRANSLATE(J5185,""EN"",""ES"")"),"Velas para arboles de navidad")</f>
        <v>Velas para arboles de navidad</v>
      </c>
      <c r="M5185" s="8" t="s">
        <v>84</v>
      </c>
      <c r="N5185" s="8"/>
    </row>
    <row r="5186" spans="1:14" ht="11.25" customHeight="1">
      <c r="A5186" s="5" t="s">
        <v>14883</v>
      </c>
      <c r="B5186" s="5" t="s">
        <v>14977</v>
      </c>
      <c r="C5186" s="5" t="s">
        <v>14998</v>
      </c>
      <c r="D5186" s="5" t="s">
        <v>14886</v>
      </c>
      <c r="E5186" s="5" t="s">
        <v>85</v>
      </c>
      <c r="F5186" s="5" t="s">
        <v>14887</v>
      </c>
      <c r="G5186" s="5" t="s">
        <v>152</v>
      </c>
      <c r="H5186" s="5" t="s">
        <v>14979</v>
      </c>
      <c r="I5186" s="5" t="s">
        <v>14999</v>
      </c>
      <c r="J5186" s="5" t="s">
        <v>15000</v>
      </c>
      <c r="K5186" s="7" t="str">
        <f ca="1">IFERROR(__xludf.DUMMYFUNCTION("GOOGLETRANSLATE(H5186,""EN"",""ES"")"),"FUENTES LUMINOSAS, ELÉCTRICAS O NO ELÉCTRICAS")</f>
        <v>FUENTES LUMINOSAS, ELÉCTRICAS O NO ELÉCTRICAS</v>
      </c>
      <c r="L5186" s="5" t="str">
        <f ca="1">IFERROR(__xludf.DUMMYFUNCTION("GOOGLETRANSLATE(J5186,""EN"",""ES"")"),"Quemadores [encendido]")</f>
        <v>Quemadores [encendido]</v>
      </c>
      <c r="M5186" s="8" t="s">
        <v>84</v>
      </c>
      <c r="N5186" s="8"/>
    </row>
    <row r="5187" spans="1:14" ht="11.25" customHeight="1">
      <c r="A5187" s="5" t="s">
        <v>14883</v>
      </c>
      <c r="B5187" s="5" t="s">
        <v>14977</v>
      </c>
      <c r="C5187" s="5" t="s">
        <v>15001</v>
      </c>
      <c r="D5187" s="5" t="s">
        <v>14886</v>
      </c>
      <c r="E5187" s="5" t="s">
        <v>85</v>
      </c>
      <c r="F5187" s="5" t="s">
        <v>14887</v>
      </c>
      <c r="G5187" s="5" t="s">
        <v>152</v>
      </c>
      <c r="H5187" s="5" t="s">
        <v>14979</v>
      </c>
      <c r="I5187" s="5" t="s">
        <v>15002</v>
      </c>
      <c r="J5187" s="5" t="s">
        <v>15003</v>
      </c>
      <c r="K5187" s="7" t="str">
        <f ca="1">IFERROR(__xludf.DUMMYFUNCTION("GOOGLETRANSLATE(H5187,""EN"",""ES"")"),"FUENTES LUMINOSAS, ELÉCTRICAS O NO ELÉCTRICAS")</f>
        <v>FUENTES LUMINOSAS, ELÉCTRICAS O NO ELÉCTRICAS</v>
      </c>
      <c r="L5187" s="5" t="str">
        <f ca="1">IFERROR(__xludf.DUMMYFUNCTION("GOOGLETRANSLATE(J5187,""EN"",""ES"")"),"velas de cera")</f>
        <v>velas de cera</v>
      </c>
      <c r="M5187" s="8" t="s">
        <v>84</v>
      </c>
      <c r="N5187" s="8"/>
    </row>
    <row r="5188" spans="1:14" ht="11.25" customHeight="1">
      <c r="A5188" s="5" t="s">
        <v>14883</v>
      </c>
      <c r="B5188" s="5" t="s">
        <v>14977</v>
      </c>
      <c r="C5188" s="5" t="s">
        <v>15004</v>
      </c>
      <c r="D5188" s="5" t="s">
        <v>14886</v>
      </c>
      <c r="E5188" s="5" t="s">
        <v>85</v>
      </c>
      <c r="F5188" s="5" t="s">
        <v>14887</v>
      </c>
      <c r="G5188" s="5" t="s">
        <v>152</v>
      </c>
      <c r="H5188" s="5" t="s">
        <v>14979</v>
      </c>
      <c r="I5188" s="5" t="s">
        <v>15005</v>
      </c>
      <c r="J5188" s="5" t="s">
        <v>15006</v>
      </c>
      <c r="K5188" s="7" t="str">
        <f ca="1">IFERROR(__xludf.DUMMYFUNCTION("GOOGLETRANSLATE(H5188,""EN"",""ES"")"),"FUENTES LUMINOSAS, ELÉCTRICAS O NO ELÉCTRICAS")</f>
        <v>FUENTES LUMINOSAS, ELÉCTRICAS O NO ELÉCTRICAS</v>
      </c>
      <c r="L5188" s="5" t="str">
        <f ca="1">IFERROR(__xludf.DUMMYFUNCTION("GOOGLETRANSLATE(J5188,""EN"",""ES"")"),"Velas electricas")</f>
        <v>Velas electricas</v>
      </c>
      <c r="M5188" s="8" t="s">
        <v>84</v>
      </c>
      <c r="N5188" s="8"/>
    </row>
    <row r="5189" spans="1:14" ht="11.25" customHeight="1">
      <c r="A5189" s="5" t="s">
        <v>14883</v>
      </c>
      <c r="B5189" s="5" t="s">
        <v>14977</v>
      </c>
      <c r="C5189" s="5" t="s">
        <v>15004</v>
      </c>
      <c r="D5189" s="5" t="s">
        <v>14886</v>
      </c>
      <c r="E5189" s="5" t="s">
        <v>85</v>
      </c>
      <c r="F5189" s="5" t="s">
        <v>14887</v>
      </c>
      <c r="G5189" s="5" t="s">
        <v>152</v>
      </c>
      <c r="H5189" s="5" t="s">
        <v>14979</v>
      </c>
      <c r="I5189" s="5" t="s">
        <v>152</v>
      </c>
      <c r="J5189" s="5" t="s">
        <v>15007</v>
      </c>
      <c r="K5189" s="7" t="str">
        <f ca="1">IFERROR(__xludf.DUMMYFUNCTION("GOOGLETRANSLATE(H5189,""EN"",""ES"")"),"FUENTES LUMINOSAS, ELÉCTRICAS O NO ELÉCTRICAS")</f>
        <v>FUENTES LUMINOSAS, ELÉCTRICAS O NO ELÉCTRICAS</v>
      </c>
      <c r="L5189" s="5" t="str">
        <f ca="1">IFERROR(__xludf.DUMMYFUNCTION("GOOGLETRANSLATE(J5189,""EN"",""ES"")"),"N / A")</f>
        <v>N / A</v>
      </c>
      <c r="M5189" s="8" t="s">
        <v>84</v>
      </c>
      <c r="N5189" s="8"/>
    </row>
    <row r="5190" spans="1:14" ht="11.25" customHeight="1">
      <c r="A5190" s="5" t="s">
        <v>14883</v>
      </c>
      <c r="B5190" s="5" t="s">
        <v>14977</v>
      </c>
      <c r="C5190" s="5" t="s">
        <v>15004</v>
      </c>
      <c r="D5190" s="5" t="s">
        <v>14886</v>
      </c>
      <c r="E5190" s="5" t="s">
        <v>85</v>
      </c>
      <c r="F5190" s="5" t="s">
        <v>14887</v>
      </c>
      <c r="G5190" s="5" t="s">
        <v>152</v>
      </c>
      <c r="H5190" s="5" t="s">
        <v>14979</v>
      </c>
      <c r="I5190" s="5" t="s">
        <v>152</v>
      </c>
      <c r="J5190" s="5" t="s">
        <v>15008</v>
      </c>
      <c r="K5190" s="7" t="str">
        <f ca="1">IFERROR(__xludf.DUMMYFUNCTION("GOOGLETRANSLATE(H5190,""EN"",""ES"")"),"FUENTES LUMINOSAS, ELÉCTRICAS O NO ELÉCTRICAS")</f>
        <v>FUENTES LUMINOSAS, ELÉCTRICAS O NO ELÉCTRICAS</v>
      </c>
      <c r="L5190" s="5" t="str">
        <f ca="1">IFERROR(__xludf.DUMMYFUNCTION("GOOGLETRANSLATE(J5190,""EN"",""ES"")"),"N / A")</f>
        <v>N / A</v>
      </c>
      <c r="M5190" s="8" t="s">
        <v>84</v>
      </c>
      <c r="N5190" s="8"/>
    </row>
    <row r="5191" spans="1:14" ht="11.25" customHeight="1">
      <c r="A5191" s="5" t="s">
        <v>14883</v>
      </c>
      <c r="B5191" s="5" t="s">
        <v>14977</v>
      </c>
      <c r="C5191" s="5" t="s">
        <v>15009</v>
      </c>
      <c r="D5191" s="5" t="s">
        <v>14886</v>
      </c>
      <c r="E5191" s="5" t="s">
        <v>85</v>
      </c>
      <c r="F5191" s="5" t="s">
        <v>14887</v>
      </c>
      <c r="G5191" s="5" t="s">
        <v>152</v>
      </c>
      <c r="H5191" s="5" t="s">
        <v>14979</v>
      </c>
      <c r="I5191" s="5" t="s">
        <v>15010</v>
      </c>
      <c r="J5191" s="5" t="s">
        <v>15011</v>
      </c>
      <c r="K5191" s="7" t="str">
        <f ca="1">IFERROR(__xludf.DUMMYFUNCTION("GOOGLETRANSLATE(H5191,""EN"",""ES"")"),"FUENTES LUMINOSAS, ELÉCTRICAS O NO ELÉCTRICAS")</f>
        <v>FUENTES LUMINOSAS, ELÉCTRICAS O NO ELÉCTRICAS</v>
      </c>
      <c r="L5191" s="5" t="str">
        <f ca="1">IFERROR(__xludf.DUMMYFUNCTION("GOOGLETRANSLATE(J5191,""EN"",""ES"")"),"Filamentos para bombillas")</f>
        <v>Filamentos para bombillas</v>
      </c>
      <c r="M5191" s="8" t="s">
        <v>84</v>
      </c>
      <c r="N5191" s="8"/>
    </row>
    <row r="5192" spans="1:14" ht="11.25" customHeight="1">
      <c r="A5192" s="5" t="s">
        <v>14883</v>
      </c>
      <c r="B5192" s="5" t="s">
        <v>14977</v>
      </c>
      <c r="C5192" s="5" t="s">
        <v>15012</v>
      </c>
      <c r="D5192" s="5" t="s">
        <v>14886</v>
      </c>
      <c r="E5192" s="5" t="s">
        <v>85</v>
      </c>
      <c r="F5192" s="5" t="s">
        <v>14887</v>
      </c>
      <c r="G5192" s="5" t="s">
        <v>152</v>
      </c>
      <c r="H5192" s="5" t="s">
        <v>14979</v>
      </c>
      <c r="I5192" s="5" t="s">
        <v>15013</v>
      </c>
      <c r="J5192" s="5" t="s">
        <v>15014</v>
      </c>
      <c r="K5192" s="7" t="str">
        <f ca="1">IFERROR(__xludf.DUMMYFUNCTION("GOOGLETRANSLATE(H5192,""EN"",""ES"")"),"FUENTES LUMINOSAS, ELÉCTRICAS O NO ELÉCTRICAS")</f>
        <v>FUENTES LUMINOSAS, ELÉCTRICAS O NO ELÉCTRICAS</v>
      </c>
      <c r="L5192" s="5" t="str">
        <f ca="1">IFERROR(__xludf.DUMMYFUNCTION("GOOGLETRANSLATE(J5192,""EN"",""ES"")"),"Lámparas de arco")</f>
        <v>Lámparas de arco</v>
      </c>
      <c r="M5192" s="8" t="s">
        <v>84</v>
      </c>
      <c r="N5192" s="8"/>
    </row>
    <row r="5193" spans="1:14" ht="11.25" customHeight="1">
      <c r="A5193" s="5" t="s">
        <v>14883</v>
      </c>
      <c r="B5193" s="5" t="s">
        <v>14977</v>
      </c>
      <c r="C5193" s="5" t="s">
        <v>15015</v>
      </c>
      <c r="D5193" s="5" t="s">
        <v>14886</v>
      </c>
      <c r="E5193" s="5" t="s">
        <v>85</v>
      </c>
      <c r="F5193" s="5" t="s">
        <v>14887</v>
      </c>
      <c r="G5193" s="5" t="s">
        <v>152</v>
      </c>
      <c r="H5193" s="5" t="s">
        <v>14979</v>
      </c>
      <c r="I5193" s="5" t="s">
        <v>15016</v>
      </c>
      <c r="J5193" s="5" t="s">
        <v>15017</v>
      </c>
      <c r="K5193" s="7" t="str">
        <f ca="1">IFERROR(__xludf.DUMMYFUNCTION("GOOGLETRANSLATE(H5193,""EN"",""ES"")"),"FUENTES LUMINOSAS, ELÉCTRICAS O NO ELÉCTRICAS")</f>
        <v>FUENTES LUMINOSAS, ELÉCTRICAS O NO ELÉCTRICAS</v>
      </c>
      <c r="L5193" s="5" t="str">
        <f ca="1">IFERROR(__xludf.DUMMYFUNCTION("GOOGLETRANSLATE(J5193,""EN"",""ES"")"),"Lámparas fluorescentes")</f>
        <v>Lámparas fluorescentes</v>
      </c>
      <c r="M5193" s="8" t="s">
        <v>84</v>
      </c>
      <c r="N5193" s="8"/>
    </row>
    <row r="5194" spans="1:14" ht="11.25" customHeight="1">
      <c r="A5194" s="5" t="s">
        <v>14883</v>
      </c>
      <c r="B5194" s="5" t="s">
        <v>14977</v>
      </c>
      <c r="C5194" s="5" t="s">
        <v>15018</v>
      </c>
      <c r="D5194" s="5" t="s">
        <v>14886</v>
      </c>
      <c r="E5194" s="5" t="s">
        <v>85</v>
      </c>
      <c r="F5194" s="5" t="s">
        <v>14887</v>
      </c>
      <c r="G5194" s="5" t="s">
        <v>152</v>
      </c>
      <c r="H5194" s="5" t="s">
        <v>14979</v>
      </c>
      <c r="I5194" s="5" t="s">
        <v>15019</v>
      </c>
      <c r="J5194" s="5" t="s">
        <v>15020</v>
      </c>
      <c r="K5194" s="7" t="str">
        <f ca="1">IFERROR(__xludf.DUMMYFUNCTION("GOOGLETRANSLATE(H5194,""EN"",""ES"")"),"FUENTES LUMINOSAS, ELÉCTRICAS O NO ELÉCTRICAS")</f>
        <v>FUENTES LUMINOSAS, ELÉCTRICAS O NO ELÉCTRICAS</v>
      </c>
      <c r="L5194" s="5" t="str">
        <f ca="1">IFERROR(__xludf.DUMMYFUNCTION("GOOGLETRANSLATE(J5194,""EN"",""ES"")"),"Lámparas de cuarto oscuro [fotografía]")</f>
        <v>Lámparas de cuarto oscuro [fotografía]</v>
      </c>
      <c r="M5194" s="8" t="s">
        <v>84</v>
      </c>
      <c r="N5194" s="8"/>
    </row>
    <row r="5195" spans="1:14" ht="11.25" customHeight="1">
      <c r="A5195" s="5" t="s">
        <v>14883</v>
      </c>
      <c r="B5195" s="5" t="s">
        <v>14977</v>
      </c>
      <c r="C5195" s="5" t="s">
        <v>15021</v>
      </c>
      <c r="D5195" s="5" t="s">
        <v>14886</v>
      </c>
      <c r="E5195" s="5" t="s">
        <v>85</v>
      </c>
      <c r="F5195" s="5" t="s">
        <v>14887</v>
      </c>
      <c r="G5195" s="5" t="s">
        <v>152</v>
      </c>
      <c r="H5195" s="5" t="s">
        <v>14979</v>
      </c>
      <c r="I5195" s="5" t="s">
        <v>15022</v>
      </c>
      <c r="J5195" s="5" t="s">
        <v>15023</v>
      </c>
      <c r="K5195" s="7" t="str">
        <f ca="1">IFERROR(__xludf.DUMMYFUNCTION("GOOGLETRANSLATE(H5195,""EN"",""ES"")"),"FUENTES LUMINOSAS, ELÉCTRICAS O NO ELÉCTRICAS")</f>
        <v>FUENTES LUMINOSAS, ELÉCTRICAS O NO ELÉCTRICAS</v>
      </c>
      <c r="L5195" s="5" t="str">
        <f ca="1">IFERROR(__xludf.DUMMYFUNCTION("GOOGLETRANSLATE(J5195,""EN"",""ES"")"),"Mantos de lámpara")</f>
        <v>Mantos de lámpara</v>
      </c>
      <c r="M5195" s="8" t="s">
        <v>84</v>
      </c>
      <c r="N5195" s="8"/>
    </row>
    <row r="5196" spans="1:14" ht="11.25" customHeight="1">
      <c r="A5196" s="5" t="s">
        <v>14883</v>
      </c>
      <c r="B5196" s="5" t="s">
        <v>14977</v>
      </c>
      <c r="C5196" s="5" t="s">
        <v>15024</v>
      </c>
      <c r="D5196" s="5" t="s">
        <v>14886</v>
      </c>
      <c r="E5196" s="5" t="s">
        <v>85</v>
      </c>
      <c r="F5196" s="5" t="s">
        <v>14887</v>
      </c>
      <c r="G5196" s="5" t="s">
        <v>152</v>
      </c>
      <c r="H5196" s="5" t="s">
        <v>14979</v>
      </c>
      <c r="I5196" s="5" t="s">
        <v>15025</v>
      </c>
      <c r="J5196" s="5" t="s">
        <v>15026</v>
      </c>
      <c r="K5196" s="7" t="str">
        <f ca="1">IFERROR(__xludf.DUMMYFUNCTION("GOOGLETRANSLATE(H5196,""EN"",""ES"")"),"FUENTES LUMINOSAS, ELÉCTRICAS O NO ELÉCTRICAS")</f>
        <v>FUENTES LUMINOSAS, ELÉCTRICAS O NO ELÉCTRICAS</v>
      </c>
      <c r="L5196" s="5" t="str">
        <f ca="1">IFERROR(__xludf.DUMMYFUNCTION("GOOGLETRANSLATE(J5196,""EN"",""ES"")"),"Mechas de lámpara")</f>
        <v>Mechas de lámpara</v>
      </c>
      <c r="M5196" s="8" t="s">
        <v>84</v>
      </c>
      <c r="N5196" s="8"/>
    </row>
    <row r="5197" spans="1:14" ht="11.25" customHeight="1">
      <c r="A5197" s="5" t="s">
        <v>14883</v>
      </c>
      <c r="B5197" s="5" t="s">
        <v>14977</v>
      </c>
      <c r="C5197" s="5" t="s">
        <v>15027</v>
      </c>
      <c r="D5197" s="5" t="s">
        <v>14886</v>
      </c>
      <c r="E5197" s="5" t="s">
        <v>85</v>
      </c>
      <c r="F5197" s="5" t="s">
        <v>14887</v>
      </c>
      <c r="G5197" s="5" t="s">
        <v>152</v>
      </c>
      <c r="H5197" s="5" t="s">
        <v>14979</v>
      </c>
      <c r="I5197" s="5" t="s">
        <v>15028</v>
      </c>
      <c r="J5197" s="5" t="s">
        <v>15029</v>
      </c>
      <c r="K5197" s="7" t="str">
        <f ca="1">IFERROR(__xludf.DUMMYFUNCTION("GOOGLETRANSLATE(H5197,""EN"",""ES"")"),"FUENTES LUMINOSAS, ELÉCTRICAS O NO ELÉCTRICAS")</f>
        <v>FUENTES LUMINOSAS, ELÉCTRICAS O NO ELÉCTRICAS</v>
      </c>
      <c r="L5197" s="5" t="str">
        <f ca="1">IFERROR(__xludf.DUMMYFUNCTION("GOOGLETRANSLATE(J5197,""EN"",""ES"")"),"Placas luminosas [iluminación]")</f>
        <v>Placas luminosas [iluminación]</v>
      </c>
      <c r="M5197" s="8" t="s">
        <v>84</v>
      </c>
      <c r="N5197" s="8"/>
    </row>
    <row r="5198" spans="1:14" ht="11.25" customHeight="1">
      <c r="A5198" s="5" t="s">
        <v>14883</v>
      </c>
      <c r="B5198" s="5" t="s">
        <v>14977</v>
      </c>
      <c r="C5198" s="5" t="s">
        <v>15030</v>
      </c>
      <c r="D5198" s="5" t="s">
        <v>14886</v>
      </c>
      <c r="E5198" s="5" t="s">
        <v>85</v>
      </c>
      <c r="F5198" s="5" t="s">
        <v>14887</v>
      </c>
      <c r="G5198" s="5" t="s">
        <v>152</v>
      </c>
      <c r="H5198" s="5" t="s">
        <v>14979</v>
      </c>
      <c r="I5198" s="5" t="s">
        <v>15031</v>
      </c>
      <c r="J5198" s="5" t="s">
        <v>15032</v>
      </c>
      <c r="K5198" s="7" t="str">
        <f ca="1">IFERROR(__xludf.DUMMYFUNCTION("GOOGLETRANSLATE(H5198,""EN"",""ES"")"),"FUENTES LUMINOSAS, ELÉCTRICAS O NO ELÉCTRICAS")</f>
        <v>FUENTES LUMINOSAS, ELÉCTRICAS O NO ELÉCTRICAS</v>
      </c>
      <c r="L5198" s="5" t="str">
        <f ca="1">IFERROR(__xludf.DUMMYFUNCTION("GOOGLETRANSLATE(J5198,""EN"",""ES"")"),"Lámparas de vapor de sodio")</f>
        <v>Lámparas de vapor de sodio</v>
      </c>
      <c r="M5198" s="8" t="s">
        <v>84</v>
      </c>
      <c r="N5198" s="8"/>
    </row>
    <row r="5199" spans="1:14" ht="11.25" customHeight="1">
      <c r="A5199" s="5" t="s">
        <v>14883</v>
      </c>
      <c r="B5199" s="5" t="s">
        <v>14977</v>
      </c>
      <c r="C5199" s="5" t="s">
        <v>15033</v>
      </c>
      <c r="D5199" s="5" t="s">
        <v>14886</v>
      </c>
      <c r="E5199" s="5" t="s">
        <v>85</v>
      </c>
      <c r="F5199" s="5" t="s">
        <v>14887</v>
      </c>
      <c r="G5199" s="5" t="s">
        <v>152</v>
      </c>
      <c r="H5199" s="5" t="s">
        <v>14979</v>
      </c>
      <c r="I5199" s="5" t="s">
        <v>15034</v>
      </c>
      <c r="J5199" s="5" t="s">
        <v>15035</v>
      </c>
      <c r="K5199" s="7" t="str">
        <f ca="1">IFERROR(__xludf.DUMMYFUNCTION("GOOGLETRANSLATE(H5199,""EN"",""ES"")"),"FUENTES LUMINOSAS, ELÉCTRICAS O NO ELÉCTRICAS")</f>
        <v>FUENTES LUMINOSAS, ELÉCTRICAS O NO ELÉCTRICAS</v>
      </c>
      <c r="L5199" s="5" t="str">
        <f ca="1">IFERROR(__xludf.DUMMYFUNCTION("GOOGLETRANSLATE(J5199,""EN"",""ES"")"),"Tubos luminosos [iluminación]")</f>
        <v>Tubos luminosos [iluminación]</v>
      </c>
      <c r="M5199" s="8" t="s">
        <v>84</v>
      </c>
      <c r="N5199" s="8"/>
    </row>
    <row r="5200" spans="1:14" ht="11.25" customHeight="1">
      <c r="A5200" s="5" t="s">
        <v>14883</v>
      </c>
      <c r="B5200" s="5" t="s">
        <v>14977</v>
      </c>
      <c r="C5200" s="5" t="s">
        <v>15036</v>
      </c>
      <c r="D5200" s="5" t="s">
        <v>14886</v>
      </c>
      <c r="E5200" s="5" t="s">
        <v>85</v>
      </c>
      <c r="F5200" s="5" t="s">
        <v>14887</v>
      </c>
      <c r="G5200" s="5" t="s">
        <v>152</v>
      </c>
      <c r="H5200" s="5" t="s">
        <v>14979</v>
      </c>
      <c r="I5200" s="5" t="s">
        <v>15037</v>
      </c>
      <c r="J5200" s="5" t="s">
        <v>15038</v>
      </c>
      <c r="K5200" s="7" t="str">
        <f ca="1">IFERROR(__xludf.DUMMYFUNCTION("GOOGLETRANSLATE(H5200,""EN"",""ES"")"),"FUENTES LUMINOSAS, ELÉCTRICAS O NO ELÉCTRICAS")</f>
        <v>FUENTES LUMINOSAS, ELÉCTRICAS O NO ELÉCTRICAS</v>
      </c>
      <c r="L5200" s="5" t="str">
        <f ca="1">IFERROR(__xludf.DUMMYFUNCTION("GOOGLETRANSLATE(J5200,""EN"",""ES"")"),"Lámparas de aceite")</f>
        <v>Lámparas de aceite</v>
      </c>
      <c r="M5200" s="8" t="s">
        <v>84</v>
      </c>
      <c r="N5200" s="8"/>
    </row>
    <row r="5201" spans="1:14" ht="11.25" customHeight="1">
      <c r="A5201" s="5" t="s">
        <v>14883</v>
      </c>
      <c r="B5201" s="5" t="s">
        <v>14977</v>
      </c>
      <c r="C5201" s="5" t="s">
        <v>15039</v>
      </c>
      <c r="D5201" s="5" t="s">
        <v>14886</v>
      </c>
      <c r="E5201" s="5" t="s">
        <v>85</v>
      </c>
      <c r="F5201" s="5" t="s">
        <v>14887</v>
      </c>
      <c r="G5201" s="5" t="s">
        <v>152</v>
      </c>
      <c r="H5201" s="5" t="s">
        <v>14979</v>
      </c>
      <c r="I5201" s="5" t="s">
        <v>15040</v>
      </c>
      <c r="J5201" s="5" t="s">
        <v>15041</v>
      </c>
      <c r="K5201" s="7" t="str">
        <f ca="1">IFERROR(__xludf.DUMMYFUNCTION("GOOGLETRANSLATE(H5201,""EN"",""ES"")"),"FUENTES LUMINOSAS, ELÉCTRICAS O NO ELÉCTRICAS")</f>
        <v>FUENTES LUMINOSAS, ELÉCTRICAS O NO ELÉCTRICAS</v>
      </c>
      <c r="L5201" s="5" t="str">
        <f ca="1">IFERROR(__xludf.DUMMYFUNCTION("GOOGLETRANSLATE(J5201,""EN"",""ES"")"),"Estrellas de Adviento iluminadas")</f>
        <v>Estrellas de Adviento iluminadas</v>
      </c>
      <c r="M5201" s="8" t="s">
        <v>84</v>
      </c>
      <c r="N5201" s="8"/>
    </row>
    <row r="5202" spans="1:14" ht="11.25" customHeight="1">
      <c r="A5202" s="5" t="s">
        <v>14883</v>
      </c>
      <c r="B5202" s="5" t="s">
        <v>14977</v>
      </c>
      <c r="C5202" s="5" t="s">
        <v>15042</v>
      </c>
      <c r="D5202" s="5" t="s">
        <v>14886</v>
      </c>
      <c r="E5202" s="5" t="s">
        <v>85</v>
      </c>
      <c r="F5202" s="5" t="s">
        <v>14887</v>
      </c>
      <c r="G5202" s="5" t="s">
        <v>152</v>
      </c>
      <c r="H5202" s="5" t="s">
        <v>14979</v>
      </c>
      <c r="I5202" s="5" t="s">
        <v>15043</v>
      </c>
      <c r="J5202" s="5" t="s">
        <v>15044</v>
      </c>
      <c r="K5202" s="7" t="str">
        <f ca="1">IFERROR(__xludf.DUMMYFUNCTION("GOOGLETRANSLATE(H5202,""EN"",""ES"")"),"FUENTES LUMINOSAS, ELÉCTRICAS O NO ELÉCTRICAS")</f>
        <v>FUENTES LUMINOSAS, ELÉCTRICAS O NO ELÉCTRICAS</v>
      </c>
      <c r="L5202" s="5" t="str">
        <f ca="1">IFERROR(__xludf.DUMMYFUNCTION("GOOGLETRANSLATE(J5202,""EN"",""ES"")"),"bombillas halógenas")</f>
        <v>bombillas halógenas</v>
      </c>
      <c r="M5202" s="8" t="s">
        <v>84</v>
      </c>
      <c r="N5202" s="8"/>
    </row>
    <row r="5203" spans="1:14" ht="11.25" customHeight="1">
      <c r="A5203" s="5" t="s">
        <v>14883</v>
      </c>
      <c r="B5203" s="5" t="s">
        <v>14977</v>
      </c>
      <c r="C5203" s="5" t="s">
        <v>15045</v>
      </c>
      <c r="D5203" s="5" t="s">
        <v>14886</v>
      </c>
      <c r="E5203" s="5" t="s">
        <v>85</v>
      </c>
      <c r="F5203" s="5" t="s">
        <v>14887</v>
      </c>
      <c r="G5203" s="5" t="s">
        <v>152</v>
      </c>
      <c r="H5203" s="5" t="s">
        <v>14979</v>
      </c>
      <c r="I5203" s="5" t="s">
        <v>15046</v>
      </c>
      <c r="J5203" s="5" t="s">
        <v>15047</v>
      </c>
      <c r="K5203" s="7" t="str">
        <f ca="1">IFERROR(__xludf.DUMMYFUNCTION("GOOGLETRANSLATE(H5203,""EN"",""ES"")"),"FUENTES LUMINOSAS, ELÉCTRICAS O NO ELÉCTRICAS")</f>
        <v>FUENTES LUMINOSAS, ELÉCTRICAS O NO ELÉCTRICAS</v>
      </c>
      <c r="L5203" s="5" t="str">
        <f ca="1">IFERROR(__xludf.DUMMYFUNCTION("GOOGLETRANSLATE(J5203,""EN"",""ES"")"),"Adornos de luz")</f>
        <v>Adornos de luz</v>
      </c>
      <c r="M5203" s="8" t="s">
        <v>84</v>
      </c>
      <c r="N5203" s="8"/>
    </row>
    <row r="5204" spans="1:14" ht="11.25" customHeight="1">
      <c r="A5204" s="5" t="s">
        <v>14883</v>
      </c>
      <c r="B5204" s="5" t="s">
        <v>14977</v>
      </c>
      <c r="C5204" s="5" t="s">
        <v>15048</v>
      </c>
      <c r="D5204" s="5" t="s">
        <v>14886</v>
      </c>
      <c r="E5204" s="5" t="s">
        <v>85</v>
      </c>
      <c r="F5204" s="5" t="s">
        <v>14887</v>
      </c>
      <c r="G5204" s="5" t="s">
        <v>152</v>
      </c>
      <c r="H5204" s="5" t="s">
        <v>14979</v>
      </c>
      <c r="I5204" s="5" t="s">
        <v>15049</v>
      </c>
      <c r="J5204" s="5" t="s">
        <v>15050</v>
      </c>
      <c r="K5204" s="7" t="str">
        <f ca="1">IFERROR(__xludf.DUMMYFUNCTION("GOOGLETRANSLATE(H5204,""EN"",""ES"")"),"FUENTES LUMINOSAS, ELÉCTRICAS O NO ELÉCTRICAS")</f>
        <v>FUENTES LUMINOSAS, ELÉCTRICAS O NO ELÉCTRICAS</v>
      </c>
      <c r="L5204" s="5" t="str">
        <f ca="1">IFERROR(__xludf.DUMMYFUNCTION("GOOGLETRANSLATE(J5204,""EN"",""ES"")"),"Velas de jardín")</f>
        <v>Velas de jardín</v>
      </c>
      <c r="M5204" s="8" t="s">
        <v>84</v>
      </c>
      <c r="N5204" s="8"/>
    </row>
    <row r="5205" spans="1:14" ht="11.25" customHeight="1">
      <c r="A5205" s="5" t="s">
        <v>14883</v>
      </c>
      <c r="B5205" s="5" t="s">
        <v>14977</v>
      </c>
      <c r="C5205" s="5" t="s">
        <v>15051</v>
      </c>
      <c r="D5205" s="5" t="s">
        <v>14886</v>
      </c>
      <c r="E5205" s="5" t="s">
        <v>85</v>
      </c>
      <c r="F5205" s="5" t="s">
        <v>14887</v>
      </c>
      <c r="G5205" s="5" t="s">
        <v>152</v>
      </c>
      <c r="H5205" s="5" t="s">
        <v>14979</v>
      </c>
      <c r="I5205" s="5" t="s">
        <v>15052</v>
      </c>
      <c r="J5205" s="5" t="s">
        <v>15053</v>
      </c>
      <c r="K5205" s="7" t="str">
        <f ca="1">IFERROR(__xludf.DUMMYFUNCTION("GOOGLETRANSLATE(H5205,""EN"",""ES"")"),"FUENTES LUMINOSAS, ELÉCTRICAS O NO ELÉCTRICAS")</f>
        <v>FUENTES LUMINOSAS, ELÉCTRICAS O NO ELÉCTRICAS</v>
      </c>
      <c r="L5205" s="5" t="str">
        <f ca="1">IFERROR(__xludf.DUMMYFUNCTION("GOOGLETRANSLATE(J5205,""EN"",""ES"")"),"Diodos emisores de luz")</f>
        <v>Diodos emisores de luz</v>
      </c>
      <c r="M5205" s="8" t="s">
        <v>84</v>
      </c>
      <c r="N5205" s="8"/>
    </row>
    <row r="5206" spans="1:14" ht="11.25" customHeight="1">
      <c r="A5206" s="5" t="s">
        <v>14883</v>
      </c>
      <c r="B5206" s="5" t="s">
        <v>14977</v>
      </c>
      <c r="C5206" s="5" t="s">
        <v>15054</v>
      </c>
      <c r="D5206" s="5" t="s">
        <v>14886</v>
      </c>
      <c r="E5206" s="5" t="s">
        <v>85</v>
      </c>
      <c r="F5206" s="5" t="s">
        <v>14887</v>
      </c>
      <c r="G5206" s="5" t="s">
        <v>152</v>
      </c>
      <c r="H5206" s="5" t="s">
        <v>14979</v>
      </c>
      <c r="I5206" s="5" t="s">
        <v>15055</v>
      </c>
      <c r="J5206" s="5" t="s">
        <v>15056</v>
      </c>
      <c r="K5206" s="7" t="str">
        <f ca="1">IFERROR(__xludf.DUMMYFUNCTION("GOOGLETRANSLATE(H5206,""EN"",""ES"")"),"FUENTES LUMINOSAS, ELÉCTRICAS O NO ELÉCTRICAS")</f>
        <v>FUENTES LUMINOSAS, ELÉCTRICAS O NO ELÉCTRICAS</v>
      </c>
      <c r="L5206" s="5" t="str">
        <f ca="1">IFERROR(__xludf.DUMMYFUNCTION("GOOGLETRANSLATE(J5206,""EN"",""ES"")"),"Cables de luz [iluminación]")</f>
        <v>Cables de luz [iluminación]</v>
      </c>
      <c r="M5206" s="8" t="s">
        <v>84</v>
      </c>
      <c r="N5206" s="8"/>
    </row>
    <row r="5207" spans="1:14" ht="11.25" customHeight="1">
      <c r="A5207" s="5" t="s">
        <v>14883</v>
      </c>
      <c r="B5207" s="5" t="s">
        <v>14977</v>
      </c>
      <c r="C5207" s="5" t="s">
        <v>15057</v>
      </c>
      <c r="D5207" s="5" t="s">
        <v>14886</v>
      </c>
      <c r="E5207" s="5" t="s">
        <v>85</v>
      </c>
      <c r="F5207" s="5" t="s">
        <v>14887</v>
      </c>
      <c r="G5207" s="5" t="s">
        <v>152</v>
      </c>
      <c r="H5207" s="5" t="s">
        <v>14979</v>
      </c>
      <c r="I5207" s="5" t="s">
        <v>15058</v>
      </c>
      <c r="J5207" s="5" t="s">
        <v>15059</v>
      </c>
      <c r="K5207" s="7" t="str">
        <f ca="1">IFERROR(__xludf.DUMMYFUNCTION("GOOGLETRANSLATE(H5207,""EN"",""ES"")"),"FUENTES LUMINOSAS, ELÉCTRICAS O NO ELÉCTRICAS")</f>
        <v>FUENTES LUMINOSAS, ELÉCTRICAS O NO ELÉCTRICAS</v>
      </c>
      <c r="L5207" s="5" t="str">
        <f ca="1">IFERROR(__xludf.DUMMYFUNCTION("GOOGLETRANSLATE(J5207,""EN"",""ES"")"),"candelitas")</f>
        <v>candelitas</v>
      </c>
      <c r="M5207" s="8" t="s">
        <v>84</v>
      </c>
      <c r="N5207" s="8"/>
    </row>
    <row r="5208" spans="1:14" ht="11.25" customHeight="1">
      <c r="A5208" s="5" t="s">
        <v>14883</v>
      </c>
      <c r="B5208" s="5" t="s">
        <v>14977</v>
      </c>
      <c r="C5208" s="5" t="s">
        <v>15060</v>
      </c>
      <c r="D5208" s="5" t="s">
        <v>14886</v>
      </c>
      <c r="E5208" s="5" t="s">
        <v>85</v>
      </c>
      <c r="F5208" s="5" t="s">
        <v>14887</v>
      </c>
      <c r="G5208" s="5" t="s">
        <v>152</v>
      </c>
      <c r="H5208" s="5" t="s">
        <v>14979</v>
      </c>
      <c r="I5208" s="5" t="s">
        <v>15061</v>
      </c>
      <c r="J5208" s="5" t="s">
        <v>15062</v>
      </c>
      <c r="K5208" s="7" t="str">
        <f ca="1">IFERROR(__xludf.DUMMYFUNCTION("GOOGLETRANSLATE(H5208,""EN"",""ES"")"),"FUENTES LUMINOSAS, ELÉCTRICAS O NO ELÉCTRICAS")</f>
        <v>FUENTES LUMINOSAS, ELÉCTRICAS O NO ELÉCTRICAS</v>
      </c>
      <c r="L5208" s="5" t="str">
        <f ca="1">IFERROR(__xludf.DUMMYFUNCTION("GOOGLETRANSLATE(J5208,""EN"",""ES"")"),"Luces de cortina")</f>
        <v>Luces de cortina</v>
      </c>
      <c r="M5208" s="8" t="s">
        <v>84</v>
      </c>
      <c r="N5208" s="8"/>
    </row>
    <row r="5209" spans="1:14" ht="11.25" customHeight="1">
      <c r="A5209" s="5" t="s">
        <v>14883</v>
      </c>
      <c r="B5209" s="5" t="s">
        <v>14977</v>
      </c>
      <c r="C5209" s="5" t="s">
        <v>15063</v>
      </c>
      <c r="D5209" s="5" t="s">
        <v>14886</v>
      </c>
      <c r="E5209" s="5" t="s">
        <v>85</v>
      </c>
      <c r="F5209" s="5" t="s">
        <v>14887</v>
      </c>
      <c r="G5209" s="5" t="s">
        <v>152</v>
      </c>
      <c r="H5209" s="5" t="s">
        <v>14979</v>
      </c>
      <c r="I5209" s="5" t="s">
        <v>15064</v>
      </c>
      <c r="J5209" s="5" t="s">
        <v>15065</v>
      </c>
      <c r="K5209" s="7" t="str">
        <f ca="1">IFERROR(__xludf.DUMMYFUNCTION("GOOGLETRANSLATE(H5209,""EN"",""ES"")"),"FUENTES LUMINOSAS, ELÉCTRICAS O NO ELÉCTRICAS")</f>
        <v>FUENTES LUMINOSAS, ELÉCTRICAS O NO ELÉCTRICAS</v>
      </c>
      <c r="L5209" s="5" t="str">
        <f ca="1">IFERROR(__xludf.DUMMYFUNCTION("GOOGLETRANSLATE(J5209,""EN"",""ES"")"),"Bombillas para luces de vehículos")</f>
        <v>Bombillas para luces de vehículos</v>
      </c>
      <c r="M5209" s="8" t="s">
        <v>84</v>
      </c>
      <c r="N5209" s="8"/>
    </row>
    <row r="5210" spans="1:14" ht="11.25" customHeight="1">
      <c r="A5210" s="5" t="s">
        <v>14883</v>
      </c>
      <c r="B5210" s="5" t="s">
        <v>15066</v>
      </c>
      <c r="C5210" s="5" t="s">
        <v>15067</v>
      </c>
      <c r="D5210" s="5" t="s">
        <v>14886</v>
      </c>
      <c r="E5210" s="5" t="s">
        <v>85</v>
      </c>
      <c r="F5210" s="5" t="s">
        <v>14887</v>
      </c>
      <c r="G5210" s="5" t="s">
        <v>152</v>
      </c>
      <c r="H5210" s="5" t="s">
        <v>15068</v>
      </c>
      <c r="I5210" s="5" t="s">
        <v>15069</v>
      </c>
      <c r="J5210" s="5" t="s">
        <v>15070</v>
      </c>
      <c r="K5210" s="7" t="str">
        <f ca="1">IFERROR(__xludf.DUMMYFUNCTION("GOOGLETRANSLATE(H5210,""EN"",""ES"")"),"LÁMPARAS, LÁMPARAS ESTÁNDAR, LÁMPARAS, APARATOS DE PARED Y TECHO, LÁMPARAS PARA PROYECTORES FOTOGRÁFICOS Y CINEMATOGRÁFICOS")</f>
        <v>LÁMPARAS, LÁMPARAS ESTÁNDAR, LÁMPARAS, APARATOS DE PARED Y TECHO, LÁMPARAS PARA PROYECTORES FOTOGRÁFICOS Y CINEMATOGRÁFICOS</v>
      </c>
      <c r="L5210" s="5" t="str">
        <f ca="1">IFERROR(__xludf.DUMMYFUNCTION("GOOGLETRANSLATE(J5210,""EN"",""ES"")"),"Lámparas [no portátiles]")</f>
        <v>Lámparas [no portátiles]</v>
      </c>
      <c r="M5210" s="8" t="s">
        <v>84</v>
      </c>
      <c r="N5210" s="8"/>
    </row>
    <row r="5211" spans="1:14" ht="11.25" customHeight="1">
      <c r="A5211" s="5" t="s">
        <v>14883</v>
      </c>
      <c r="B5211" s="5" t="s">
        <v>15066</v>
      </c>
      <c r="C5211" s="5" t="s">
        <v>15071</v>
      </c>
      <c r="D5211" s="5" t="s">
        <v>14886</v>
      </c>
      <c r="E5211" s="5" t="s">
        <v>85</v>
      </c>
      <c r="F5211" s="5" t="s">
        <v>14887</v>
      </c>
      <c r="G5211" s="5" t="s">
        <v>152</v>
      </c>
      <c r="H5211" s="5" t="s">
        <v>15068</v>
      </c>
      <c r="I5211" s="5" t="s">
        <v>15072</v>
      </c>
      <c r="J5211" s="5" t="s">
        <v>15073</v>
      </c>
      <c r="K5211" s="7" t="str">
        <f ca="1">IFERROR(__xludf.DUMMYFUNCTION("GOOGLETRANSLATE(H5211,""EN"",""ES"")"),"LÁMPARAS, LÁMPARAS ESTÁNDAR, LÁMPARAS, APARATOS DE PARED Y TECHO, LÁMPARAS PARA PROYECTORES FOTOGRÁFICOS Y CINEMATOGRÁFICOS")</f>
        <v>LÁMPARAS, LÁMPARAS ESTÁNDAR, LÁMPARAS, APARATOS DE PARED Y TECHO, LÁMPARAS PARA PROYECTORES FOTOGRÁFICOS Y CINEMATOGRÁFICOS</v>
      </c>
      <c r="L5211" s="5" t="str">
        <f ca="1">IFERROR(__xludf.DUMMYFUNCTION("GOOGLETRANSLATE(J5211,""EN"",""ES"")"),"Lámparas para fotografía o cinematografía [excepto lámparas de flash]")</f>
        <v>Lámparas para fotografía o cinematografía [excepto lámparas de flash]</v>
      </c>
      <c r="M5211" s="8" t="s">
        <v>84</v>
      </c>
      <c r="N5211" s="8"/>
    </row>
    <row r="5212" spans="1:14" ht="11.25" customHeight="1">
      <c r="A5212" s="5" t="s">
        <v>14883</v>
      </c>
      <c r="B5212" s="5" t="s">
        <v>15066</v>
      </c>
      <c r="C5212" s="5" t="s">
        <v>15074</v>
      </c>
      <c r="D5212" s="5" t="s">
        <v>14886</v>
      </c>
      <c r="E5212" s="5" t="s">
        <v>85</v>
      </c>
      <c r="F5212" s="5" t="s">
        <v>14887</v>
      </c>
      <c r="G5212" s="5" t="s">
        <v>152</v>
      </c>
      <c r="H5212" s="5" t="s">
        <v>15068</v>
      </c>
      <c r="I5212" s="5" t="s">
        <v>15075</v>
      </c>
      <c r="J5212" s="5" t="s">
        <v>15076</v>
      </c>
      <c r="K5212" s="7" t="str">
        <f ca="1">IFERROR(__xludf.DUMMYFUNCTION("GOOGLETRANSLATE(H5212,""EN"",""ES"")"),"LÁMPARAS, LÁMPARAS ESTÁNDAR, LÁMPARAS, APARATOS DE PARED Y TECHO, LÁMPARAS PARA PROYECTORES FOTOGRÁFICOS Y CINEMATOGRÁFICOS")</f>
        <v>LÁMPARAS, LÁMPARAS ESTÁNDAR, LÁMPARAS, APARATOS DE PARED Y TECHO, LÁMPARAS PARA PROYECTORES FOTOGRÁFICOS Y CINEMATOGRÁFICOS</v>
      </c>
      <c r="L5212" s="5" t="str">
        <f ca="1">IFERROR(__xludf.DUMMYFUNCTION("GOOGLETRANSLATE(J5212,""EN"",""ES"")"),"Lámparas de soporte")</f>
        <v>Lámparas de soporte</v>
      </c>
      <c r="M5212" s="8" t="s">
        <v>84</v>
      </c>
      <c r="N5212" s="8"/>
    </row>
    <row r="5213" spans="1:14" ht="11.25" customHeight="1">
      <c r="A5213" s="5" t="s">
        <v>14883</v>
      </c>
      <c r="B5213" s="5" t="s">
        <v>15066</v>
      </c>
      <c r="C5213" s="5" t="s">
        <v>15077</v>
      </c>
      <c r="D5213" s="5" t="s">
        <v>14886</v>
      </c>
      <c r="E5213" s="5" t="s">
        <v>85</v>
      </c>
      <c r="F5213" s="5" t="s">
        <v>14887</v>
      </c>
      <c r="G5213" s="5" t="s">
        <v>152</v>
      </c>
      <c r="H5213" s="5" t="s">
        <v>15068</v>
      </c>
      <c r="I5213" s="5" t="s">
        <v>15078</v>
      </c>
      <c r="J5213" s="5" t="s">
        <v>15079</v>
      </c>
      <c r="K5213" s="7" t="str">
        <f ca="1">IFERROR(__xludf.DUMMYFUNCTION("GOOGLETRANSLATE(H5213,""EN"",""ES"")"),"LÁMPARAS, LÁMPARAS ESTÁNDAR, LÁMPARAS, APARATOS DE PARED Y TECHO, LÁMPARAS PARA PROYECTORES FOTOGRÁFICOS Y CINEMATOGRÁFICOS")</f>
        <v>LÁMPARAS, LÁMPARAS ESTÁNDAR, LÁMPARAS, APARATOS DE PARED Y TECHO, LÁMPARAS PARA PROYECTORES FOTOGRÁFICOS Y CINEMATOGRÁFICOS</v>
      </c>
      <c r="L5213" s="5" t="str">
        <f ca="1">IFERROR(__xludf.DUMMYFUNCTION("GOOGLETRANSLATE(J5213,""EN"",""ES"")"),"Luces de techo")</f>
        <v>Luces de techo</v>
      </c>
      <c r="M5213" s="8" t="s">
        <v>84</v>
      </c>
      <c r="N5213" s="8"/>
    </row>
    <row r="5214" spans="1:14" ht="11.25" customHeight="1">
      <c r="A5214" s="5" t="s">
        <v>14883</v>
      </c>
      <c r="B5214" s="5" t="s">
        <v>15066</v>
      </c>
      <c r="C5214" s="5" t="s">
        <v>15080</v>
      </c>
      <c r="D5214" s="5" t="s">
        <v>14886</v>
      </c>
      <c r="E5214" s="5" t="s">
        <v>85</v>
      </c>
      <c r="F5214" s="5" t="s">
        <v>14887</v>
      </c>
      <c r="G5214" s="5" t="s">
        <v>152</v>
      </c>
      <c r="H5214" s="5" t="s">
        <v>15068</v>
      </c>
      <c r="I5214" s="5" t="s">
        <v>15081</v>
      </c>
      <c r="J5214" s="5" t="s">
        <v>15082</v>
      </c>
      <c r="K5214" s="7" t="str">
        <f ca="1">IFERROR(__xludf.DUMMYFUNCTION("GOOGLETRANSLATE(H5214,""EN"",""ES"")"),"LÁMPARAS, LÁMPARAS ESTÁNDAR, LÁMPARAS, APARATOS DE PARED Y TECHO, LÁMPARAS PARA PROYECTORES FOTOGRÁFICOS Y CINEMATOGRÁFICOS")</f>
        <v>LÁMPARAS, LÁMPARAS ESTÁNDAR, LÁMPARAS, APARATOS DE PARED Y TECHO, LÁMPARAS PARA PROYECTORES FOTOGRÁFICOS Y CINEMATOGRÁFICOS</v>
      </c>
      <c r="L5214" s="5" t="str">
        <f ca="1">IFERROR(__xludf.DUMMYFUNCTION("GOOGLETRANSLATE(J5214,""EN"",""ES"")"),"Lámparas estándar")</f>
        <v>Lámparas estándar</v>
      </c>
      <c r="M5214" s="8" t="s">
        <v>84</v>
      </c>
      <c r="N5214" s="8"/>
    </row>
    <row r="5215" spans="1:14" ht="11.25" customHeight="1">
      <c r="A5215" s="5" t="s">
        <v>14883</v>
      </c>
      <c r="B5215" s="5" t="s">
        <v>15066</v>
      </c>
      <c r="C5215" s="5" t="s">
        <v>15083</v>
      </c>
      <c r="D5215" s="5" t="s">
        <v>14886</v>
      </c>
      <c r="E5215" s="5" t="s">
        <v>85</v>
      </c>
      <c r="F5215" s="5" t="s">
        <v>14887</v>
      </c>
      <c r="G5215" s="5" t="s">
        <v>152</v>
      </c>
      <c r="H5215" s="5" t="s">
        <v>15068</v>
      </c>
      <c r="I5215" s="5" t="s">
        <v>14893</v>
      </c>
      <c r="J5215" s="5" t="s">
        <v>15084</v>
      </c>
      <c r="K5215" s="7" t="str">
        <f ca="1">IFERROR(__xludf.DUMMYFUNCTION("GOOGLETRANSLATE(H5215,""EN"",""ES"")"),"LÁMPARAS, LÁMPARAS ESTÁNDAR, LÁMPARAS, APARATOS DE PARED Y TECHO, LÁMPARAS PARA PROYECTORES FOTOGRÁFICOS Y CINEMATOGRÁFICOS")</f>
        <v>LÁMPARAS, LÁMPARAS ESTÁNDAR, LÁMPARAS, APARATOS DE PARED Y TECHO, LÁMPARAS PARA PROYECTORES FOTOGRÁFICOS Y CINEMATOGRÁFICOS</v>
      </c>
      <c r="L5215" s="5" t="str">
        <f ca="1">IFERROR(__xludf.DUMMYFUNCTION("GOOGLETRANSLATE(J5215,""EN"",""ES"")"),"Candelabros")</f>
        <v>Candelabros</v>
      </c>
      <c r="M5215" s="8" t="s">
        <v>84</v>
      </c>
      <c r="N5215" s="8"/>
    </row>
    <row r="5216" spans="1:14" ht="11.25" customHeight="1">
      <c r="A5216" s="5" t="s">
        <v>14883</v>
      </c>
      <c r="B5216" s="5" t="s">
        <v>15066</v>
      </c>
      <c r="C5216" s="5" t="s">
        <v>15085</v>
      </c>
      <c r="D5216" s="5" t="s">
        <v>14886</v>
      </c>
      <c r="E5216" s="5" t="s">
        <v>85</v>
      </c>
      <c r="F5216" s="5" t="s">
        <v>14887</v>
      </c>
      <c r="G5216" s="5" t="s">
        <v>152</v>
      </c>
      <c r="H5216" s="5" t="s">
        <v>15068</v>
      </c>
      <c r="I5216" s="5" t="s">
        <v>15086</v>
      </c>
      <c r="J5216" s="5" t="s">
        <v>15087</v>
      </c>
      <c r="K5216" s="7" t="str">
        <f ca="1">IFERROR(__xludf.DUMMYFUNCTION("GOOGLETRANSLATE(H5216,""EN"",""ES"")"),"LÁMPARAS, LÁMPARAS ESTÁNDAR, LÁMPARAS, APARATOS DE PARED Y TECHO, LÁMPARAS PARA PROYECTORES FOTOGRÁFICOS Y CINEMATOGRÁFICOS")</f>
        <v>LÁMPARAS, LÁMPARAS ESTÁNDAR, LÁMPARAS, APARATOS DE PARED Y TECHO, LÁMPARAS PARA PROYECTORES FOTOGRÁFICOS Y CINEMATOGRÁFICOS</v>
      </c>
      <c r="L5216" s="5" t="str">
        <f ca="1">IFERROR(__xludf.DUMMYFUNCTION("GOOGLETRANSLATE(J5216,""EN"",""ES"")"),"Lámparas para uso médico [iluminación]")</f>
        <v>Lámparas para uso médico [iluminación]</v>
      </c>
      <c r="M5216" s="8" t="s">
        <v>84</v>
      </c>
      <c r="N5216" s="8"/>
    </row>
    <row r="5217" spans="1:14" ht="11.25" customHeight="1">
      <c r="A5217" s="5" t="s">
        <v>14883</v>
      </c>
      <c r="B5217" s="5" t="s">
        <v>15066</v>
      </c>
      <c r="C5217" s="5" t="s">
        <v>15088</v>
      </c>
      <c r="D5217" s="5" t="s">
        <v>14886</v>
      </c>
      <c r="E5217" s="5" t="s">
        <v>85</v>
      </c>
      <c r="F5217" s="5" t="s">
        <v>14887</v>
      </c>
      <c r="G5217" s="5" t="s">
        <v>152</v>
      </c>
      <c r="H5217" s="5" t="s">
        <v>15068</v>
      </c>
      <c r="I5217" s="5" t="s">
        <v>15089</v>
      </c>
      <c r="J5217" s="5" t="s">
        <v>15090</v>
      </c>
      <c r="K5217" s="7" t="str">
        <f ca="1">IFERROR(__xludf.DUMMYFUNCTION("GOOGLETRANSLATE(H5217,""EN"",""ES"")"),"LÁMPARAS, LÁMPARAS ESTÁNDAR, LÁMPARAS, APARATOS DE PARED Y TECHO, LÁMPARAS PARA PROYECTORES FOTOGRÁFICOS Y CINEMATOGRÁFICOS")</f>
        <v>LÁMPARAS, LÁMPARAS ESTÁNDAR, LÁMPARAS, APARATOS DE PARED Y TECHO, LÁMPARAS PARA PROYECTORES FOTOGRÁFICOS Y CINEMATOGRÁFICOS</v>
      </c>
      <c r="L5217" s="5" t="str">
        <f ca="1">IFERROR(__xludf.DUMMYFUNCTION("GOOGLETRANSLATE(J5217,""EN"",""ES"")"),"Lámparas de pie [torchères]")</f>
        <v>Lámparas de pie [torchères]</v>
      </c>
      <c r="M5217" s="8" t="s">
        <v>84</v>
      </c>
      <c r="N5217" s="8"/>
    </row>
    <row r="5218" spans="1:14" ht="11.25" customHeight="1">
      <c r="A5218" s="5" t="s">
        <v>14883</v>
      </c>
      <c r="B5218" s="5" t="s">
        <v>15066</v>
      </c>
      <c r="C5218" s="5" t="s">
        <v>15088</v>
      </c>
      <c r="D5218" s="5" t="s">
        <v>14886</v>
      </c>
      <c r="E5218" s="5" t="s">
        <v>85</v>
      </c>
      <c r="F5218" s="5" t="s">
        <v>14887</v>
      </c>
      <c r="G5218" s="5" t="s">
        <v>152</v>
      </c>
      <c r="H5218" s="5" t="s">
        <v>15068</v>
      </c>
      <c r="I5218" s="5" t="s">
        <v>15091</v>
      </c>
      <c r="J5218" s="5" t="s">
        <v>152</v>
      </c>
      <c r="K5218" s="7" t="str">
        <f ca="1">IFERROR(__xludf.DUMMYFUNCTION("GOOGLETRANSLATE(H5218,""EN"",""ES"")"),"LÁMPARAS, LÁMPARAS ESTÁNDAR, LÁMPARAS, APARATOS DE PARED Y TECHO, LÁMPARAS PARA PROYECTORES FOTOGRÁFICOS Y CINEMATOGRÁFICOS")</f>
        <v>LÁMPARAS, LÁMPARAS ESTÁNDAR, LÁMPARAS, APARATOS DE PARED Y TECHO, LÁMPARAS PARA PROYECTORES FOTOGRÁFICOS Y CINEMATOGRÁFICOS</v>
      </c>
      <c r="L5218" s="5" t="str">
        <f ca="1">IFERROR(__xludf.DUMMYFUNCTION("GOOGLETRANSLATE(J5218,""EN"",""ES"")"),"Torchères [lámparas de pie]")</f>
        <v>Torchères [lámparas de pie]</v>
      </c>
      <c r="M5218" s="8" t="s">
        <v>84</v>
      </c>
      <c r="N5218" s="8"/>
    </row>
    <row r="5219" spans="1:14" ht="11.25" customHeight="1">
      <c r="A5219" s="5" t="s">
        <v>14883</v>
      </c>
      <c r="B5219" s="5" t="s">
        <v>15066</v>
      </c>
      <c r="C5219" s="5" t="s">
        <v>15092</v>
      </c>
      <c r="D5219" s="5" t="s">
        <v>14886</v>
      </c>
      <c r="E5219" s="5" t="s">
        <v>85</v>
      </c>
      <c r="F5219" s="5" t="s">
        <v>14887</v>
      </c>
      <c r="G5219" s="5" t="s">
        <v>152</v>
      </c>
      <c r="H5219" s="5" t="s">
        <v>15068</v>
      </c>
      <c r="I5219" s="5" t="s">
        <v>15093</v>
      </c>
      <c r="J5219" s="5" t="s">
        <v>15094</v>
      </c>
      <c r="K5219" s="7" t="str">
        <f ca="1">IFERROR(__xludf.DUMMYFUNCTION("GOOGLETRANSLATE(H5219,""EN"",""ES"")"),"LÁMPARAS, LÁMPARAS ESTÁNDAR, LÁMPARAS, APARATOS DE PARED Y TECHO, LÁMPARAS PARA PROYECTORES FOTOGRÁFICOS Y CINEMATOGRÁFICOS")</f>
        <v>LÁMPARAS, LÁMPARAS ESTÁNDAR, LÁMPARAS, APARATOS DE PARED Y TECHO, LÁMPARAS PARA PROYECTORES FOTOGRÁFICOS Y CINEMATOGRÁFICOS</v>
      </c>
      <c r="L5219" s="5" t="str">
        <f ca="1">IFERROR(__xludf.DUMMYFUNCTION("GOOGLETRANSLATE(J5219,""EN"",""ES"")"),"Órganos de luz")</f>
        <v>Órganos de luz</v>
      </c>
      <c r="M5219" s="8" t="s">
        <v>84</v>
      </c>
      <c r="N5219" s="8"/>
    </row>
    <row r="5220" spans="1:14" ht="11.25" customHeight="1">
      <c r="A5220" s="5" t="s">
        <v>14883</v>
      </c>
      <c r="B5220" s="5" t="s">
        <v>15066</v>
      </c>
      <c r="C5220" s="5" t="s">
        <v>15095</v>
      </c>
      <c r="D5220" s="5" t="s">
        <v>14886</v>
      </c>
      <c r="E5220" s="5" t="s">
        <v>85</v>
      </c>
      <c r="F5220" s="5" t="s">
        <v>14887</v>
      </c>
      <c r="G5220" s="5" t="s">
        <v>152</v>
      </c>
      <c r="H5220" s="5" t="s">
        <v>15068</v>
      </c>
      <c r="I5220" s="5" t="s">
        <v>15096</v>
      </c>
      <c r="J5220" s="5" t="s">
        <v>15097</v>
      </c>
      <c r="K5220" s="7" t="str">
        <f ca="1">IFERROR(__xludf.DUMMYFUNCTION("GOOGLETRANSLATE(H5220,""EN"",""ES"")"),"LÁMPARAS, LÁMPARAS ESTÁNDAR, LÁMPARAS, APARATOS DE PARED Y TECHO, LÁMPARAS PARA PROYECTORES FOTOGRÁFICOS Y CINEMATOGRÁFICOS")</f>
        <v>LÁMPARAS, LÁMPARAS ESTÁNDAR, LÁMPARAS, APARATOS DE PARED Y TECHO, LÁMPARAS PARA PROYECTORES FOTOGRÁFICOS Y CINEMATOGRÁFICOS</v>
      </c>
      <c r="L5220" s="5" t="str">
        <f ca="1">IFERROR(__xludf.DUMMYFUNCTION("GOOGLETRANSLATE(J5220,""EN"",""ES"")"),"Luces nocturnas [lámparas]")</f>
        <v>Luces nocturnas [lámparas]</v>
      </c>
      <c r="M5220" s="8" t="s">
        <v>84</v>
      </c>
      <c r="N5220" s="8"/>
    </row>
    <row r="5221" spans="1:14" ht="11.25" customHeight="1">
      <c r="A5221" s="5" t="s">
        <v>14883</v>
      </c>
      <c r="B5221" s="5" t="s">
        <v>15066</v>
      </c>
      <c r="C5221" s="5" t="s">
        <v>15098</v>
      </c>
      <c r="D5221" s="5" t="s">
        <v>14886</v>
      </c>
      <c r="E5221" s="5" t="s">
        <v>85</v>
      </c>
      <c r="F5221" s="5" t="s">
        <v>14887</v>
      </c>
      <c r="G5221" s="5" t="s">
        <v>152</v>
      </c>
      <c r="H5221" s="5" t="s">
        <v>15068</v>
      </c>
      <c r="I5221" s="5" t="s">
        <v>15099</v>
      </c>
      <c r="J5221" s="5" t="s">
        <v>15100</v>
      </c>
      <c r="K5221" s="7" t="str">
        <f ca="1">IFERROR(__xludf.DUMMYFUNCTION("GOOGLETRANSLATE(H5221,""EN"",""ES"")"),"LÁMPARAS, LÁMPARAS ESTÁNDAR, LÁMPARAS, APARATOS DE PARED Y TECHO, LÁMPARAS PARA PROYECTORES FOTOGRÁFICOS Y CINEMATOGRÁFICOS")</f>
        <v>LÁMPARAS, LÁMPARAS ESTÁNDAR, LÁMPARAS, APARATOS DE PARED Y TECHO, LÁMPARAS PARA PROYECTORES FOTOGRÁFICOS Y CINEMATOGRÁFICOS</v>
      </c>
      <c r="L5221" s="5" t="str">
        <f ca="1">IFERROR(__xludf.DUMMYFUNCTION("GOOGLETRANSLATE(J5221,""EN"",""ES"")"),"Lámparas")</f>
        <v>Lámparas</v>
      </c>
      <c r="M5221" s="8" t="s">
        <v>84</v>
      </c>
      <c r="N5221" s="8"/>
    </row>
    <row r="5222" spans="1:14" ht="11.25" customHeight="1">
      <c r="A5222" s="5" t="s">
        <v>14883</v>
      </c>
      <c r="B5222" s="5" t="s">
        <v>15066</v>
      </c>
      <c r="C5222" s="5" t="s">
        <v>15101</v>
      </c>
      <c r="D5222" s="5" t="s">
        <v>14886</v>
      </c>
      <c r="E5222" s="5" t="s">
        <v>85</v>
      </c>
      <c r="F5222" s="5" t="s">
        <v>14887</v>
      </c>
      <c r="G5222" s="5" t="s">
        <v>152</v>
      </c>
      <c r="H5222" s="5" t="s">
        <v>15068</v>
      </c>
      <c r="I5222" s="5" t="s">
        <v>15102</v>
      </c>
      <c r="J5222" s="5" t="s">
        <v>15103</v>
      </c>
      <c r="K5222" s="7" t="str">
        <f ca="1">IFERROR(__xludf.DUMMYFUNCTION("GOOGLETRANSLATE(H5222,""EN"",""ES"")"),"LÁMPARAS, LÁMPARAS ESTÁNDAR, LÁMPARAS, APARATOS DE PARED Y TECHO, LÁMPARAS PARA PROYECTORES FOTOGRÁFICOS Y CINEMATOGRÁFICOS")</f>
        <v>LÁMPARAS, LÁMPARAS ESTÁNDAR, LÁMPARAS, APARATOS DE PARED Y TECHO, LÁMPARAS PARA PROYECTORES FOTOGRÁFICOS Y CINEMATOGRÁFICOS</v>
      </c>
      <c r="L5222" s="5" t="str">
        <f ca="1">IFERROR(__xludf.DUMMYFUNCTION("GOOGLETRANSLATE(J5222,""EN"",""ES"")"),"Lámparas halógenas")</f>
        <v>Lámparas halógenas</v>
      </c>
      <c r="M5222" s="8" t="s">
        <v>84</v>
      </c>
      <c r="N5222" s="8"/>
    </row>
    <row r="5223" spans="1:14" ht="11.25" customHeight="1">
      <c r="A5223" s="5" t="s">
        <v>14883</v>
      </c>
      <c r="B5223" s="5" t="s">
        <v>15066</v>
      </c>
      <c r="C5223" s="5" t="s">
        <v>15104</v>
      </c>
      <c r="D5223" s="5" t="s">
        <v>14886</v>
      </c>
      <c r="E5223" s="5" t="s">
        <v>85</v>
      </c>
      <c r="F5223" s="5" t="s">
        <v>14887</v>
      </c>
      <c r="G5223" s="5" t="s">
        <v>152</v>
      </c>
      <c r="H5223" s="5" t="s">
        <v>15068</v>
      </c>
      <c r="I5223" s="5" t="s">
        <v>15105</v>
      </c>
      <c r="J5223" s="5" t="s">
        <v>15106</v>
      </c>
      <c r="K5223" s="7" t="str">
        <f ca="1">IFERROR(__xludf.DUMMYFUNCTION("GOOGLETRANSLATE(H5223,""EN"",""ES"")"),"LÁMPARAS, LÁMPARAS ESTÁNDAR, LÁMPARAS, APARATOS DE PARED Y TECHO, LÁMPARAS PARA PROYECTORES FOTOGRÁFICOS Y CINEMATOGRÁFICOS")</f>
        <v>LÁMPARAS, LÁMPARAS ESTÁNDAR, LÁMPARAS, APARATOS DE PARED Y TECHO, LÁMPARAS PARA PROYECTORES FOTOGRÁFICOS Y CINEMATOGRÁFICOS</v>
      </c>
      <c r="L5223" s="5" t="str">
        <f ca="1">IFERROR(__xludf.DUMMYFUNCTION("GOOGLETRANSLATE(J5223,""EN"",""ES"")"),"Lámparas de mesa")</f>
        <v>Lámparas de mesa</v>
      </c>
      <c r="M5223" s="8" t="s">
        <v>84</v>
      </c>
      <c r="N5223" s="8"/>
    </row>
    <row r="5224" spans="1:14" ht="11.25" customHeight="1">
      <c r="A5224" s="5" t="s">
        <v>14883</v>
      </c>
      <c r="B5224" s="5" t="s">
        <v>15107</v>
      </c>
      <c r="C5224" s="5" t="s">
        <v>15108</v>
      </c>
      <c r="D5224" s="5" t="s">
        <v>14886</v>
      </c>
      <c r="E5224" s="5" t="s">
        <v>85</v>
      </c>
      <c r="F5224" s="5" t="s">
        <v>14887</v>
      </c>
      <c r="G5224" s="5" t="s">
        <v>152</v>
      </c>
      <c r="H5224" s="5" t="s">
        <v>15109</v>
      </c>
      <c r="I5224" s="5" t="s">
        <v>15110</v>
      </c>
      <c r="J5224" s="5" t="s">
        <v>15111</v>
      </c>
      <c r="K5224" s="7" t="str">
        <f ca="1">IFERROR(__xludf.DUMMYFUNCTION("GOOGLETRANSLATE(H5224,""EN"",""ES"")"),"DISPOSITIVOS LUMINOSOS PARA VEHÍCULOS")</f>
        <v>DISPOSITIVOS LUMINOSOS PARA VEHÍCULOS</v>
      </c>
      <c r="L5224" s="5" t="str">
        <f ca="1">IFERROR(__xludf.DUMMYFUNCTION("GOOGLETRANSLATE(J5224,""EN"",""ES"")"),"Indicadores de dirección intermitentes para vehículos.")</f>
        <v>Indicadores de dirección intermitentes para vehículos.</v>
      </c>
      <c r="M5224" s="8" t="s">
        <v>84</v>
      </c>
      <c r="N5224" s="8"/>
    </row>
    <row r="5225" spans="1:14" ht="11.25" customHeight="1">
      <c r="A5225" s="5" t="s">
        <v>14883</v>
      </c>
      <c r="B5225" s="5" t="s">
        <v>15107</v>
      </c>
      <c r="C5225" s="5" t="s">
        <v>15112</v>
      </c>
      <c r="D5225" s="5" t="s">
        <v>14886</v>
      </c>
      <c r="E5225" s="5" t="s">
        <v>85</v>
      </c>
      <c r="F5225" s="5" t="s">
        <v>14887</v>
      </c>
      <c r="G5225" s="5" t="s">
        <v>152</v>
      </c>
      <c r="H5225" s="5" t="s">
        <v>15109</v>
      </c>
      <c r="I5225" s="5" t="s">
        <v>15113</v>
      </c>
      <c r="J5225" s="5" t="s">
        <v>15114</v>
      </c>
      <c r="K5225" s="7" t="str">
        <f ca="1">IFERROR(__xludf.DUMMYFUNCTION("GOOGLETRANSLATE(H5225,""EN"",""ES"")"),"DISPOSITIVOS LUMINOSOS PARA VEHÍCULOS")</f>
        <v>DISPOSITIVOS LUMINOSOS PARA VEHÍCULOS</v>
      </c>
      <c r="L5225" s="5" t="str">
        <f ca="1">IFERROR(__xludf.DUMMYFUNCTION("GOOGLETRANSLATE(J5225,""EN"",""ES"")"),"Equipos de iluminación para vehículos.")</f>
        <v>Equipos de iluminación para vehículos.</v>
      </c>
      <c r="M5225" s="8" t="s">
        <v>84</v>
      </c>
      <c r="N5225" s="8"/>
    </row>
    <row r="5226" spans="1:14" ht="11.25" customHeight="1">
      <c r="A5226" s="5" t="s">
        <v>14883</v>
      </c>
      <c r="B5226" s="5" t="s">
        <v>15107</v>
      </c>
      <c r="C5226" s="5" t="s">
        <v>15115</v>
      </c>
      <c r="D5226" s="5" t="s">
        <v>14886</v>
      </c>
      <c r="E5226" s="5" t="s">
        <v>85</v>
      </c>
      <c r="F5226" s="5" t="s">
        <v>14887</v>
      </c>
      <c r="G5226" s="5" t="s">
        <v>152</v>
      </c>
      <c r="H5226" s="5" t="s">
        <v>15109</v>
      </c>
      <c r="I5226" s="5" t="s">
        <v>15116</v>
      </c>
      <c r="J5226" s="5" t="s">
        <v>15117</v>
      </c>
      <c r="K5226" s="7" t="str">
        <f ca="1">IFERROR(__xludf.DUMMYFUNCTION("GOOGLETRANSLATE(H5226,""EN"",""ES"")"),"DISPOSITIVOS LUMINOSOS PARA VEHÍCULOS")</f>
        <v>DISPOSITIVOS LUMINOSOS PARA VEHÍCULOS</v>
      </c>
      <c r="L5226" s="5" t="str">
        <f ca="1">IFERROR(__xludf.DUMMYFUNCTION("GOOGLETRANSLATE(J5226,""EN"",""ES"")"),"Luces de señalización para vehículos.")</f>
        <v>Luces de señalización para vehículos.</v>
      </c>
      <c r="M5226" s="8" t="s">
        <v>84</v>
      </c>
      <c r="N5226" s="8"/>
    </row>
    <row r="5227" spans="1:14" ht="11.25" customHeight="1">
      <c r="A5227" s="5" t="s">
        <v>14883</v>
      </c>
      <c r="B5227" s="5" t="s">
        <v>15107</v>
      </c>
      <c r="C5227" s="5" t="s">
        <v>15118</v>
      </c>
      <c r="D5227" s="5" t="s">
        <v>14886</v>
      </c>
      <c r="E5227" s="5" t="s">
        <v>85</v>
      </c>
      <c r="F5227" s="5" t="s">
        <v>14887</v>
      </c>
      <c r="G5227" s="5" t="s">
        <v>152</v>
      </c>
      <c r="H5227" s="5" t="s">
        <v>15109</v>
      </c>
      <c r="I5227" s="5" t="s">
        <v>15119</v>
      </c>
      <c r="J5227" s="5" t="s">
        <v>15120</v>
      </c>
      <c r="K5227" s="7" t="str">
        <f ca="1">IFERROR(__xludf.DUMMYFUNCTION("GOOGLETRANSLATE(H5227,""EN"",""ES"")"),"DISPOSITIVOS LUMINOSOS PARA VEHÍCULOS")</f>
        <v>DISPOSITIVOS LUMINOSOS PARA VEHÍCULOS</v>
      </c>
      <c r="L5227" s="5" t="str">
        <f ca="1">IFERROR(__xludf.DUMMYFUNCTION("GOOGLETRANSLATE(J5227,""EN"",""ES"")"),"Faros para vehículos")</f>
        <v>Faros para vehículos</v>
      </c>
      <c r="M5227" s="8" t="s">
        <v>84</v>
      </c>
      <c r="N5227" s="8"/>
    </row>
    <row r="5228" spans="1:14" ht="11.25" customHeight="1">
      <c r="A5228" s="5" t="s">
        <v>14883</v>
      </c>
      <c r="B5228" s="5" t="s">
        <v>15107</v>
      </c>
      <c r="C5228" s="5" t="s">
        <v>15121</v>
      </c>
      <c r="D5228" s="5" t="s">
        <v>14886</v>
      </c>
      <c r="E5228" s="5" t="s">
        <v>85</v>
      </c>
      <c r="F5228" s="5" t="s">
        <v>14887</v>
      </c>
      <c r="G5228" s="5" t="s">
        <v>152</v>
      </c>
      <c r="H5228" s="5" t="s">
        <v>15109</v>
      </c>
      <c r="I5228" s="5" t="s">
        <v>15122</v>
      </c>
      <c r="J5228" s="5" t="s">
        <v>15123</v>
      </c>
      <c r="K5228" s="7" t="str">
        <f ca="1">IFERROR(__xludf.DUMMYFUNCTION("GOOGLETRANSLATE(H5228,""EN"",""ES"")"),"DISPOSITIVOS LUMINOSOS PARA VEHÍCULOS")</f>
        <v>DISPOSITIVOS LUMINOSOS PARA VEHÍCULOS</v>
      </c>
      <c r="L5228" s="5" t="str">
        <f ca="1">IFERROR(__xludf.DUMMYFUNCTION("GOOGLETRANSLATE(J5228,""EN"",""ES"")"),"Luces de techo para vehículos")</f>
        <v>Luces de techo para vehículos</v>
      </c>
      <c r="M5228" s="8" t="s">
        <v>84</v>
      </c>
      <c r="N5228" s="8"/>
    </row>
    <row r="5229" spans="1:14" ht="11.25" customHeight="1">
      <c r="A5229" s="5" t="s">
        <v>14883</v>
      </c>
      <c r="B5229" s="5" t="s">
        <v>15107</v>
      </c>
      <c r="C5229" s="5" t="s">
        <v>15121</v>
      </c>
      <c r="D5229" s="5" t="s">
        <v>14886</v>
      </c>
      <c r="E5229" s="5" t="s">
        <v>85</v>
      </c>
      <c r="F5229" s="5" t="s">
        <v>14887</v>
      </c>
      <c r="G5229" s="5" t="s">
        <v>152</v>
      </c>
      <c r="H5229" s="5" t="s">
        <v>15109</v>
      </c>
      <c r="I5229" s="5" t="s">
        <v>15124</v>
      </c>
      <c r="J5229" s="5" t="s">
        <v>152</v>
      </c>
      <c r="K5229" s="7" t="str">
        <f ca="1">IFERROR(__xludf.DUMMYFUNCTION("GOOGLETRANSLATE(H5229,""EN"",""ES"")"),"DISPOSITIVOS LUMINOSOS PARA VEHÍCULOS")</f>
        <v>DISPOSITIVOS LUMINOSOS PARA VEHÍCULOS</v>
      </c>
      <c r="L5229" s="5" t="str">
        <f ca="1">IFERROR(__xludf.DUMMYFUNCTION("GOOGLETRANSLATE(J5229,""EN"",""ES"")"),"Luces de techo para vehículos")</f>
        <v>Luces de techo para vehículos</v>
      </c>
      <c r="M5229" s="8" t="s">
        <v>84</v>
      </c>
      <c r="N5229" s="8"/>
    </row>
    <row r="5230" spans="1:14" ht="11.25" customHeight="1">
      <c r="A5230" s="5" t="s">
        <v>14883</v>
      </c>
      <c r="B5230" s="5" t="s">
        <v>15107</v>
      </c>
      <c r="C5230" s="5" t="s">
        <v>15125</v>
      </c>
      <c r="D5230" s="5" t="s">
        <v>14886</v>
      </c>
      <c r="E5230" s="5" t="s">
        <v>85</v>
      </c>
      <c r="F5230" s="5" t="s">
        <v>14887</v>
      </c>
      <c r="G5230" s="5" t="s">
        <v>152</v>
      </c>
      <c r="H5230" s="5" t="s">
        <v>15109</v>
      </c>
      <c r="I5230" s="5" t="s">
        <v>15126</v>
      </c>
      <c r="J5230" s="5" t="s">
        <v>15127</v>
      </c>
      <c r="K5230" s="7" t="str">
        <f ca="1">IFERROR(__xludf.DUMMYFUNCTION("GOOGLETRANSLATE(H5230,""EN"",""ES"")"),"DISPOSITIVOS LUMINOSOS PARA VEHÍCULOS")</f>
        <v>DISPOSITIVOS LUMINOSOS PARA VEHÍCULOS</v>
      </c>
      <c r="L5230" s="5" t="str">
        <f ca="1">IFERROR(__xludf.DUMMYFUNCTION("GOOGLETRANSLATE(J5230,""EN"",""ES"")"),"Indicadores de dirección para vehículos.")</f>
        <v>Indicadores de dirección para vehículos.</v>
      </c>
      <c r="M5230" s="8" t="s">
        <v>84</v>
      </c>
      <c r="N5230" s="8"/>
    </row>
    <row r="5231" spans="1:14" ht="11.25" customHeight="1">
      <c r="A5231" s="5" t="s">
        <v>14883</v>
      </c>
      <c r="B5231" s="5" t="s">
        <v>15107</v>
      </c>
      <c r="C5231" s="5" t="s">
        <v>15128</v>
      </c>
      <c r="D5231" s="5" t="s">
        <v>14886</v>
      </c>
      <c r="E5231" s="5" t="s">
        <v>85</v>
      </c>
      <c r="F5231" s="5" t="s">
        <v>14887</v>
      </c>
      <c r="G5231" s="5" t="s">
        <v>152</v>
      </c>
      <c r="H5231" s="5" t="s">
        <v>15109</v>
      </c>
      <c r="I5231" s="5" t="s">
        <v>15129</v>
      </c>
      <c r="J5231" s="5" t="s">
        <v>15130</v>
      </c>
      <c r="K5231" s="7" t="str">
        <f ca="1">IFERROR(__xludf.DUMMYFUNCTION("GOOGLETRANSLATE(H5231,""EN"",""ES"")"),"DISPOSITIVOS LUMINOSOS PARA VEHÍCULOS")</f>
        <v>DISPOSITIVOS LUMINOSOS PARA VEHÍCULOS</v>
      </c>
      <c r="L5231" s="5" t="str">
        <f ca="1">IFERROR(__xludf.DUMMYFUNCTION("GOOGLETRANSLATE(J5231,""EN"",""ES"")"),"Luces para vehículos")</f>
        <v>Luces para vehículos</v>
      </c>
      <c r="M5231" s="8" t="s">
        <v>84</v>
      </c>
      <c r="N5231" s="8"/>
    </row>
    <row r="5232" spans="1:14" ht="11.25" customHeight="1">
      <c r="A5232" s="5" t="s">
        <v>14883</v>
      </c>
      <c r="B5232" s="5" t="s">
        <v>15107</v>
      </c>
      <c r="C5232" s="5" t="s">
        <v>15131</v>
      </c>
      <c r="D5232" s="5" t="s">
        <v>14886</v>
      </c>
      <c r="E5232" s="5" t="s">
        <v>85</v>
      </c>
      <c r="F5232" s="5" t="s">
        <v>14887</v>
      </c>
      <c r="G5232" s="5" t="s">
        <v>152</v>
      </c>
      <c r="H5232" s="5" t="s">
        <v>15109</v>
      </c>
      <c r="I5232" s="5" t="s">
        <v>15132</v>
      </c>
      <c r="J5232" s="5" t="s">
        <v>15133</v>
      </c>
      <c r="K5232" s="7" t="str">
        <f ca="1">IFERROR(__xludf.DUMMYFUNCTION("GOOGLETRANSLATE(H5232,""EN"",""ES"")"),"DISPOSITIVOS LUMINOSOS PARA VEHÍCULOS")</f>
        <v>DISPOSITIVOS LUMINOSOS PARA VEHÍCULOS</v>
      </c>
      <c r="L5232" s="5" t="str">
        <f ca="1">IFERROR(__xludf.DUMMYFUNCTION("GOOGLETRANSLATE(J5232,""EN"",""ES"")"),"Lámparas de ciclo")</f>
        <v>Lámparas de ciclo</v>
      </c>
      <c r="M5232" s="8" t="s">
        <v>84</v>
      </c>
      <c r="N5232" s="8"/>
    </row>
    <row r="5233" spans="1:14" ht="11.25" customHeight="1">
      <c r="A5233" s="5" t="s">
        <v>14883</v>
      </c>
      <c r="B5233" s="5" t="s">
        <v>15107</v>
      </c>
      <c r="C5233" s="5" t="s">
        <v>15134</v>
      </c>
      <c r="D5233" s="5" t="s">
        <v>14886</v>
      </c>
      <c r="E5233" s="5" t="s">
        <v>85</v>
      </c>
      <c r="F5233" s="5" t="s">
        <v>14887</v>
      </c>
      <c r="G5233" s="5" t="s">
        <v>152</v>
      </c>
      <c r="H5233" s="5" t="s">
        <v>15109</v>
      </c>
      <c r="I5233" s="5" t="s">
        <v>15135</v>
      </c>
      <c r="J5233" s="5" t="s">
        <v>15136</v>
      </c>
      <c r="K5233" s="7" t="str">
        <f ca="1">IFERROR(__xludf.DUMMYFUNCTION("GOOGLETRANSLATE(H5233,""EN"",""ES"")"),"DISPOSITIVOS LUMINOSOS PARA VEHÍCULOS")</f>
        <v>DISPOSITIVOS LUMINOSOS PARA VEHÍCULOS</v>
      </c>
      <c r="L5233" s="5" t="str">
        <f ca="1">IFERROR(__xludf.DUMMYFUNCTION("GOOGLETRANSLATE(J5233,""EN"",""ES"")"),"Luces de navegación para vehículos")</f>
        <v>Luces de navegación para vehículos</v>
      </c>
      <c r="M5233" s="8" t="s">
        <v>84</v>
      </c>
      <c r="N5233" s="8"/>
    </row>
    <row r="5234" spans="1:14" ht="11.25" customHeight="1">
      <c r="A5234" s="5" t="s">
        <v>14883</v>
      </c>
      <c r="B5234" s="5" t="s">
        <v>15107</v>
      </c>
      <c r="C5234" s="5" t="s">
        <v>15137</v>
      </c>
      <c r="D5234" s="5" t="s">
        <v>14886</v>
      </c>
      <c r="E5234" s="5" t="s">
        <v>85</v>
      </c>
      <c r="F5234" s="5" t="s">
        <v>14887</v>
      </c>
      <c r="G5234" s="5" t="s">
        <v>152</v>
      </c>
      <c r="H5234" s="5" t="s">
        <v>15109</v>
      </c>
      <c r="I5234" s="5" t="s">
        <v>15138</v>
      </c>
      <c r="J5234" s="5" t="s">
        <v>15139</v>
      </c>
      <c r="K5234" s="7" t="str">
        <f ca="1">IFERROR(__xludf.DUMMYFUNCTION("GOOGLETRANSLATE(H5234,""EN"",""ES"")"),"DISPOSITIVOS LUMINOSOS PARA VEHÍCULOS")</f>
        <v>DISPOSITIVOS LUMINOSOS PARA VEHÍCULOS</v>
      </c>
      <c r="L5234" s="5" t="str">
        <f ca="1">IFERROR(__xludf.DUMMYFUNCTION("GOOGLETRANSLATE(J5234,""EN"",""ES"")"),"Grupos de luces traseras para vehículos")</f>
        <v>Grupos de luces traseras para vehículos</v>
      </c>
      <c r="M5234" s="8" t="s">
        <v>84</v>
      </c>
      <c r="N5234" s="8"/>
    </row>
    <row r="5235" spans="1:14" ht="11.25" customHeight="1">
      <c r="A5235" s="5" t="s">
        <v>14883</v>
      </c>
      <c r="B5235" s="5" t="s">
        <v>15107</v>
      </c>
      <c r="C5235" s="5" t="s">
        <v>15140</v>
      </c>
      <c r="D5235" s="5" t="s">
        <v>14886</v>
      </c>
      <c r="E5235" s="5" t="s">
        <v>85</v>
      </c>
      <c r="F5235" s="5" t="s">
        <v>14887</v>
      </c>
      <c r="G5235" s="5" t="s">
        <v>152</v>
      </c>
      <c r="H5235" s="5" t="s">
        <v>15109</v>
      </c>
      <c r="I5235" s="5" t="s">
        <v>15141</v>
      </c>
      <c r="J5235" s="5" t="s">
        <v>15142</v>
      </c>
      <c r="K5235" s="7" t="str">
        <f ca="1">IFERROR(__xludf.DUMMYFUNCTION("GOOGLETRANSLATE(H5235,""EN"",""ES"")"),"DISPOSITIVOS LUMINOSOS PARA VEHÍCULOS")</f>
        <v>DISPOSITIVOS LUMINOSOS PARA VEHÍCULOS</v>
      </c>
      <c r="L5235" s="5" t="str">
        <f ca="1">IFERROR(__xludf.DUMMYFUNCTION("GOOGLETRANSLATE(J5235,""EN"",""ES"")"),"Linternas para barcos")</f>
        <v>Linternas para barcos</v>
      </c>
      <c r="M5235" s="8" t="s">
        <v>84</v>
      </c>
      <c r="N5235" s="8"/>
    </row>
    <row r="5236" spans="1:14" ht="11.25" customHeight="1">
      <c r="A5236" s="5" t="s">
        <v>14883</v>
      </c>
      <c r="B5236" s="5" t="s">
        <v>15143</v>
      </c>
      <c r="C5236" s="5" t="s">
        <v>15144</v>
      </c>
      <c r="D5236" s="5" t="s">
        <v>14886</v>
      </c>
      <c r="E5236" s="5" t="s">
        <v>85</v>
      </c>
      <c r="F5236" s="5" t="s">
        <v>14887</v>
      </c>
      <c r="G5236" s="5" t="s">
        <v>152</v>
      </c>
      <c r="H5236" s="5" t="s">
        <v>15145</v>
      </c>
      <c r="I5236" s="5" t="s">
        <v>15146</v>
      </c>
      <c r="J5236" s="5" t="s">
        <v>15147</v>
      </c>
      <c r="K5236" s="7" t="str">
        <f ca="1">IFERROR(__xludf.DUMMYFUNCTION("GOOGLETRANSLATE(H5236,""EN"",""ES"")"),"PIEZAS Y ACCESORIOS PARA APARATOS DE ILUMINACIÓN, NO COMPRENDIDOS EN OTRAS CLASES O SUBCLASE")</f>
        <v>PIEZAS Y ACCESORIOS PARA APARATOS DE ILUMINACIÓN, NO COMPRENDIDOS EN OTRAS CLASES O SUBCLASE</v>
      </c>
      <c r="L5236" s="5" t="str">
        <f ca="1">IFERROR(__xludf.DUMMYFUNCTION("GOOGLETRANSLATE(J5236,""EN"",""ES"")"),"Globos [lámparas]")</f>
        <v>Globos [lámparas]</v>
      </c>
      <c r="M5236" s="8" t="s">
        <v>84</v>
      </c>
      <c r="N5236" s="8"/>
    </row>
    <row r="5237" spans="1:14" ht="11.25" customHeight="1">
      <c r="A5237" s="5" t="s">
        <v>14883</v>
      </c>
      <c r="B5237" s="5" t="s">
        <v>15143</v>
      </c>
      <c r="C5237" s="5" t="s">
        <v>15148</v>
      </c>
      <c r="D5237" s="5" t="s">
        <v>14886</v>
      </c>
      <c r="E5237" s="5" t="s">
        <v>85</v>
      </c>
      <c r="F5237" s="5" t="s">
        <v>14887</v>
      </c>
      <c r="G5237" s="5" t="s">
        <v>152</v>
      </c>
      <c r="H5237" s="5" t="s">
        <v>15145</v>
      </c>
      <c r="I5237" s="5" t="s">
        <v>15149</v>
      </c>
      <c r="J5237" s="5" t="s">
        <v>15150</v>
      </c>
      <c r="K5237" s="7" t="str">
        <f ca="1">IFERROR(__xludf.DUMMYFUNCTION("GOOGLETRANSLATE(H5237,""EN"",""ES"")"),"PIEZAS Y ACCESORIOS PARA APARATOS DE ILUMINACIÓN, NO COMPRENDIDOS EN OTRAS CLASES O SUBCLASE")</f>
        <v>PIEZAS Y ACCESORIOS PARA APARATOS DE ILUMINACIÓN, NO COMPRENDIDOS EN OTRAS CLASES O SUBCLASE</v>
      </c>
      <c r="L5237" s="5" t="str">
        <f ca="1">IFERROR(__xludf.DUMMYFUNCTION("GOOGLETRANSLATE(J5237,""EN"",""ES"")"),"Colgadores para lámparas")</f>
        <v>Colgadores para lámparas</v>
      </c>
      <c r="M5237" s="8" t="s">
        <v>84</v>
      </c>
      <c r="N5237" s="8"/>
    </row>
    <row r="5238" spans="1:14" ht="11.25" customHeight="1">
      <c r="A5238" s="5" t="s">
        <v>14883</v>
      </c>
      <c r="B5238" s="5" t="s">
        <v>15143</v>
      </c>
      <c r="C5238" s="5" t="s">
        <v>15151</v>
      </c>
      <c r="D5238" s="5" t="s">
        <v>14886</v>
      </c>
      <c r="E5238" s="5" t="s">
        <v>85</v>
      </c>
      <c r="F5238" s="5" t="s">
        <v>14887</v>
      </c>
      <c r="G5238" s="5" t="s">
        <v>152</v>
      </c>
      <c r="H5238" s="5" t="s">
        <v>15145</v>
      </c>
      <c r="I5238" s="5" t="s">
        <v>15152</v>
      </c>
      <c r="J5238" s="5" t="s">
        <v>15153</v>
      </c>
      <c r="K5238" s="7" t="str">
        <f ca="1">IFERROR(__xludf.DUMMYFUNCTION("GOOGLETRANSLATE(H5238,""EN"",""ES"")"),"PIEZAS Y ACCESORIOS PARA APARATOS DE ILUMINACIÓN, NO COMPRENDIDOS EN OTRAS CLASES O SUBCLASE")</f>
        <v>PIEZAS Y ACCESORIOS PARA APARATOS DE ILUMINACIÓN, NO COMPRENDIDOS EN OTRAS CLASES O SUBCLASE</v>
      </c>
      <c r="L5238" s="5" t="str">
        <f ca="1">IFERROR(__xludf.DUMMYFUNCTION("GOOGLETRANSLATE(J5238,""EN"",""ES"")"),"Soportes de lámpara")</f>
        <v>Soportes de lámpara</v>
      </c>
      <c r="M5238" s="8" t="s">
        <v>84</v>
      </c>
      <c r="N5238" s="8"/>
    </row>
    <row r="5239" spans="1:14" ht="11.25" customHeight="1">
      <c r="A5239" s="5" t="s">
        <v>14883</v>
      </c>
      <c r="B5239" s="5" t="s">
        <v>15143</v>
      </c>
      <c r="C5239" s="5" t="s">
        <v>15154</v>
      </c>
      <c r="D5239" s="5" t="s">
        <v>14886</v>
      </c>
      <c r="E5239" s="5" t="s">
        <v>85</v>
      </c>
      <c r="F5239" s="5" t="s">
        <v>14887</v>
      </c>
      <c r="G5239" s="5" t="s">
        <v>152</v>
      </c>
      <c r="H5239" s="5" t="s">
        <v>15145</v>
      </c>
      <c r="I5239" s="5" t="s">
        <v>15155</v>
      </c>
      <c r="J5239" s="5" t="s">
        <v>15156</v>
      </c>
      <c r="K5239" s="7" t="str">
        <f ca="1">IFERROR(__xludf.DUMMYFUNCTION("GOOGLETRANSLATE(H5239,""EN"",""ES"")"),"PIEZAS Y ACCESORIOS PARA APARATOS DE ILUMINACIÓN, NO COMPRENDIDOS EN OTRAS CLASES O SUBCLASE")</f>
        <v>PIEZAS Y ACCESORIOS PARA APARATOS DE ILUMINACIÓN, NO COMPRENDIDOS EN OTRAS CLASES O SUBCLASE</v>
      </c>
      <c r="L5239" s="5" t="str">
        <f ca="1">IFERROR(__xludf.DUMMYFUNCTION("GOOGLETRANSLATE(J5239,""EN"",""ES"")"),"Gafas de lámpara")</f>
        <v>Gafas de lámpara</v>
      </c>
      <c r="M5239" s="8" t="s">
        <v>84</v>
      </c>
      <c r="N5239" s="8"/>
    </row>
    <row r="5240" spans="1:14" ht="11.25" customHeight="1">
      <c r="A5240" s="5" t="s">
        <v>14883</v>
      </c>
      <c r="B5240" s="5" t="s">
        <v>15143</v>
      </c>
      <c r="C5240" s="5" t="s">
        <v>15157</v>
      </c>
      <c r="D5240" s="5" t="s">
        <v>14886</v>
      </c>
      <c r="E5240" s="5" t="s">
        <v>85</v>
      </c>
      <c r="F5240" s="5" t="s">
        <v>14887</v>
      </c>
      <c r="G5240" s="5" t="s">
        <v>152</v>
      </c>
      <c r="H5240" s="5" t="s">
        <v>15145</v>
      </c>
      <c r="I5240" s="5" t="s">
        <v>15158</v>
      </c>
      <c r="J5240" s="5" t="s">
        <v>15159</v>
      </c>
      <c r="K5240" s="7" t="str">
        <f ca="1">IFERROR(__xludf.DUMMYFUNCTION("GOOGLETRANSLATE(H5240,""EN"",""ES"")"),"PIEZAS Y ACCESORIOS PARA APARATOS DE ILUMINACIÓN, NO COMPRENDIDOS EN OTRAS CLASES O SUBCLASE")</f>
        <v>PIEZAS Y ACCESORIOS PARA APARATOS DE ILUMINACIÓN, NO COMPRENDIDOS EN OTRAS CLASES O SUBCLASE</v>
      </c>
      <c r="L5240" s="5" t="str">
        <f ca="1">IFERROR(__xludf.DUMMYFUNCTION("GOOGLETRANSLATE(J5240,""EN"",""ES"")"),"Soportes de lámpara")</f>
        <v>Soportes de lámpara</v>
      </c>
      <c r="M5240" s="8" t="s">
        <v>84</v>
      </c>
      <c r="N5240" s="8"/>
    </row>
    <row r="5241" spans="1:14" ht="11.25" customHeight="1">
      <c r="A5241" s="5" t="s">
        <v>14883</v>
      </c>
      <c r="B5241" s="5" t="s">
        <v>15143</v>
      </c>
      <c r="C5241" s="5" t="s">
        <v>15160</v>
      </c>
      <c r="D5241" s="5" t="s">
        <v>14886</v>
      </c>
      <c r="E5241" s="5" t="s">
        <v>85</v>
      </c>
      <c r="F5241" s="5" t="s">
        <v>14887</v>
      </c>
      <c r="G5241" s="5" t="s">
        <v>152</v>
      </c>
      <c r="H5241" s="5" t="s">
        <v>15145</v>
      </c>
      <c r="I5241" s="5" t="s">
        <v>15161</v>
      </c>
      <c r="J5241" s="5" t="s">
        <v>15162</v>
      </c>
      <c r="K5241" s="7" t="str">
        <f ca="1">IFERROR(__xludf.DUMMYFUNCTION("GOOGLETRANSLATE(H5241,""EN"",""ES"")"),"PIEZAS Y ACCESORIOS PARA APARATOS DE ILUMINACIÓN, NO COMPRENDIDOS EN OTRAS CLASES O SUBCLASE")</f>
        <v>PIEZAS Y ACCESORIOS PARA APARATOS DE ILUMINACIÓN, NO COMPRENDIDOS EN OTRAS CLASES O SUBCLASE</v>
      </c>
      <c r="L5241" s="5" t="str">
        <f ca="1">IFERROR(__xludf.DUMMYFUNCTION("GOOGLETRANSLATE(J5241,""EN"",""ES"")"),"Pantallas de lámparas")</f>
        <v>Pantallas de lámparas</v>
      </c>
      <c r="M5241" s="8" t="s">
        <v>84</v>
      </c>
      <c r="N5241" s="8"/>
    </row>
    <row r="5242" spans="1:14" ht="11.25" customHeight="1">
      <c r="A5242" s="5" t="s">
        <v>14883</v>
      </c>
      <c r="B5242" s="5" t="s">
        <v>15143</v>
      </c>
      <c r="C5242" s="5" t="s">
        <v>15163</v>
      </c>
      <c r="D5242" s="5" t="s">
        <v>14886</v>
      </c>
      <c r="E5242" s="5" t="s">
        <v>85</v>
      </c>
      <c r="F5242" s="5" t="s">
        <v>14887</v>
      </c>
      <c r="G5242" s="5" t="s">
        <v>152</v>
      </c>
      <c r="H5242" s="5" t="s">
        <v>15145</v>
      </c>
      <c r="I5242" s="5" t="s">
        <v>15164</v>
      </c>
      <c r="J5242" s="5" t="s">
        <v>15165</v>
      </c>
      <c r="K5242" s="7" t="str">
        <f ca="1">IFERROR(__xludf.DUMMYFUNCTION("GOOGLETRANSLATE(H5242,""EN"",""ES"")"),"PIEZAS Y ACCESORIOS PARA APARATOS DE ILUMINACIÓN, NO COMPRENDIDOS EN OTRAS CLASES O SUBCLASE")</f>
        <v>PIEZAS Y ACCESORIOS PARA APARATOS DE ILUMINACIÓN, NO COMPRENDIDOS EN OTRAS CLASES O SUBCLASE</v>
      </c>
      <c r="L5242" s="5" t="str">
        <f ca="1">IFERROR(__xludf.DUMMYFUNCTION("GOOGLETRANSLATE(J5242,""EN"",""ES"")"),"Difusores de luz")</f>
        <v>Difusores de luz</v>
      </c>
      <c r="M5242" s="8" t="s">
        <v>84</v>
      </c>
      <c r="N5242" s="8"/>
    </row>
    <row r="5243" spans="1:14" ht="11.25" customHeight="1">
      <c r="A5243" s="5" t="s">
        <v>14883</v>
      </c>
      <c r="B5243" s="5" t="s">
        <v>15143</v>
      </c>
      <c r="C5243" s="5" t="s">
        <v>15166</v>
      </c>
      <c r="D5243" s="5" t="s">
        <v>14886</v>
      </c>
      <c r="E5243" s="5" t="s">
        <v>85</v>
      </c>
      <c r="F5243" s="5" t="s">
        <v>14887</v>
      </c>
      <c r="G5243" s="5" t="s">
        <v>152</v>
      </c>
      <c r="H5243" s="5" t="s">
        <v>15145</v>
      </c>
      <c r="I5243" s="5" t="s">
        <v>15167</v>
      </c>
      <c r="J5243" s="5" t="s">
        <v>15168</v>
      </c>
      <c r="K5243" s="7" t="str">
        <f ca="1">IFERROR(__xludf.DUMMYFUNCTION("GOOGLETRANSLATE(H5243,""EN"",""ES"")"),"PIEZAS Y ACCESORIOS PARA APARATOS DE ILUMINACIÓN, NO COMPRENDIDOS EN OTRAS CLASES O SUBCLASE")</f>
        <v>PIEZAS Y ACCESORIOS PARA APARATOS DE ILUMINACIÓN, NO COMPRENDIDOS EN OTRAS CLASES O SUBCLASE</v>
      </c>
      <c r="L5243" s="5" t="str">
        <f ca="1">IFERROR(__xludf.DUMMYFUNCTION("GOOGLETRANSLATE(J5243,""EN"",""ES"")"),"Rejillas difusoras de luz")</f>
        <v>Rejillas difusoras de luz</v>
      </c>
      <c r="M5243" s="8" t="s">
        <v>84</v>
      </c>
      <c r="N5243" s="8"/>
    </row>
    <row r="5244" spans="1:14" ht="11.25" customHeight="1">
      <c r="A5244" s="5" t="s">
        <v>14883</v>
      </c>
      <c r="B5244" s="5" t="s">
        <v>15143</v>
      </c>
      <c r="C5244" s="5" t="s">
        <v>15169</v>
      </c>
      <c r="D5244" s="5" t="s">
        <v>14886</v>
      </c>
      <c r="E5244" s="5" t="s">
        <v>85</v>
      </c>
      <c r="F5244" s="5" t="s">
        <v>14887</v>
      </c>
      <c r="G5244" s="5" t="s">
        <v>152</v>
      </c>
      <c r="H5244" s="5" t="s">
        <v>15145</v>
      </c>
      <c r="I5244" s="5" t="s">
        <v>15170</v>
      </c>
      <c r="J5244" s="5" t="s">
        <v>15171</v>
      </c>
      <c r="K5244" s="7" t="str">
        <f ca="1">IFERROR(__xludf.DUMMYFUNCTION("GOOGLETRANSLATE(H5244,""EN"",""ES"")"),"PIEZAS Y ACCESORIOS PARA APARATOS DE ILUMINACIÓN, NO COMPRENDIDOS EN OTRAS CLASES O SUBCLASE")</f>
        <v>PIEZAS Y ACCESORIOS PARA APARATOS DE ILUMINACIÓN, NO COMPRENDIDOS EN OTRAS CLASES O SUBCLASE</v>
      </c>
      <c r="L5244" s="5" t="str">
        <f ca="1">IFERROR(__xludf.DUMMYFUNCTION("GOOGLETRANSLATE(J5244,""EN"",""ES"")"),"Reflectores para fotografía o cinematografía.")</f>
        <v>Reflectores para fotografía o cinematografía.</v>
      </c>
      <c r="M5244" s="8" t="s">
        <v>84</v>
      </c>
      <c r="N5244" s="8"/>
    </row>
    <row r="5245" spans="1:14" ht="11.25" customHeight="1">
      <c r="A5245" s="5" t="s">
        <v>14883</v>
      </c>
      <c r="B5245" s="5" t="s">
        <v>15143</v>
      </c>
      <c r="C5245" s="5" t="s">
        <v>15172</v>
      </c>
      <c r="D5245" s="5" t="s">
        <v>14886</v>
      </c>
      <c r="E5245" s="5" t="s">
        <v>85</v>
      </c>
      <c r="F5245" s="5" t="s">
        <v>14887</v>
      </c>
      <c r="G5245" s="5" t="s">
        <v>152</v>
      </c>
      <c r="H5245" s="5" t="s">
        <v>15145</v>
      </c>
      <c r="I5245" s="5" t="s">
        <v>15173</v>
      </c>
      <c r="J5245" s="5" t="s">
        <v>15174</v>
      </c>
      <c r="K5245" s="7" t="str">
        <f ca="1">IFERROR(__xludf.DUMMYFUNCTION("GOOGLETRANSLATE(H5245,""EN"",""ES"")"),"PIEZAS Y ACCESORIOS PARA APARATOS DE ILUMINACIÓN, NO COMPRENDIDOS EN OTRAS CLASES O SUBCLASE")</f>
        <v>PIEZAS Y ACCESORIOS PARA APARATOS DE ILUMINACIÓN, NO COMPRENDIDOS EN OTRAS CLASES O SUBCLASE</v>
      </c>
      <c r="L5245" s="5" t="str">
        <f ca="1">IFERROR(__xludf.DUMMYFUNCTION("GOOGLETRANSLATE(J5245,""EN"",""ES"")"),"Reflectores de lámpara")</f>
        <v>Reflectores de lámpara</v>
      </c>
      <c r="M5245" s="8" t="s">
        <v>84</v>
      </c>
      <c r="N5245" s="8"/>
    </row>
    <row r="5246" spans="1:14" ht="11.25" customHeight="1">
      <c r="A5246" s="5" t="s">
        <v>14883</v>
      </c>
      <c r="B5246" s="5" t="s">
        <v>15143</v>
      </c>
      <c r="C5246" s="5" t="s">
        <v>15175</v>
      </c>
      <c r="D5246" s="5" t="s">
        <v>14886</v>
      </c>
      <c r="E5246" s="5" t="s">
        <v>85</v>
      </c>
      <c r="F5246" s="5" t="s">
        <v>14887</v>
      </c>
      <c r="G5246" s="5" t="s">
        <v>152</v>
      </c>
      <c r="H5246" s="5" t="s">
        <v>15145</v>
      </c>
      <c r="I5246" s="5" t="s">
        <v>15176</v>
      </c>
      <c r="J5246" s="5" t="s">
        <v>15177</v>
      </c>
      <c r="K5246" s="7" t="str">
        <f ca="1">IFERROR(__xludf.DUMMYFUNCTION("GOOGLETRANSLATE(H5246,""EN"",""ES"")"),"PIEZAS Y ACCESORIOS PARA APARATOS DE ILUMINACIÓN, NO COMPRENDIDOS EN OTRAS CLASES O SUBCLASE")</f>
        <v>PIEZAS Y ACCESORIOS PARA APARATOS DE ILUMINACIÓN, NO COMPRENDIDOS EN OTRAS CLASES O SUBCLASE</v>
      </c>
      <c r="L5246" s="5" t="str">
        <f ca="1">IFERROR(__xludf.DUMMYFUNCTION("GOOGLETRANSLATE(J5246,""EN"",""ES"")"),"Soportes para aparatos de iluminación de estudio.")</f>
        <v>Soportes para aparatos de iluminación de estudio.</v>
      </c>
      <c r="M5246" s="8" t="s">
        <v>84</v>
      </c>
      <c r="N5246" s="8"/>
    </row>
    <row r="5247" spans="1:14" ht="11.25" customHeight="1">
      <c r="A5247" s="5" t="s">
        <v>14883</v>
      </c>
      <c r="B5247" s="5" t="s">
        <v>15143</v>
      </c>
      <c r="C5247" s="5" t="s">
        <v>15178</v>
      </c>
      <c r="D5247" s="5" t="s">
        <v>14886</v>
      </c>
      <c r="E5247" s="5" t="s">
        <v>85</v>
      </c>
      <c r="F5247" s="5" t="s">
        <v>14887</v>
      </c>
      <c r="G5247" s="5" t="s">
        <v>152</v>
      </c>
      <c r="H5247" s="5" t="s">
        <v>15145</v>
      </c>
      <c r="I5247" s="5" t="s">
        <v>15179</v>
      </c>
      <c r="J5247" s="5" t="s">
        <v>15180</v>
      </c>
      <c r="K5247" s="7" t="str">
        <f ca="1">IFERROR(__xludf.DUMMYFUNCTION("GOOGLETRANSLATE(H5247,""EN"",""ES"")"),"PIEZAS Y ACCESORIOS PARA APARATOS DE ILUMINACIÓN, NO COMPRENDIDOS EN OTRAS CLASES O SUBCLASE")</f>
        <v>PIEZAS Y ACCESORIOS PARA APARATOS DE ILUMINACIÓN, NO COMPRENDIDOS EN OTRAS CLASES O SUBCLASE</v>
      </c>
      <c r="L5247" s="5" t="str">
        <f ca="1">IFERROR(__xludf.DUMMYFUNCTION("GOOGLETRANSLATE(J5247,""EN"",""ES"")"),"Portalámparas")</f>
        <v>Portalámparas</v>
      </c>
      <c r="M5247" s="8" t="s">
        <v>84</v>
      </c>
      <c r="N5247" s="8"/>
    </row>
    <row r="5248" spans="1:14" ht="11.25" customHeight="1">
      <c r="A5248" s="5" t="s">
        <v>14883</v>
      </c>
      <c r="B5248" s="5" t="s">
        <v>15143</v>
      </c>
      <c r="C5248" s="5" t="s">
        <v>15181</v>
      </c>
      <c r="D5248" s="5" t="s">
        <v>14886</v>
      </c>
      <c r="E5248" s="5" t="s">
        <v>85</v>
      </c>
      <c r="F5248" s="5" t="s">
        <v>14887</v>
      </c>
      <c r="G5248" s="5" t="s">
        <v>152</v>
      </c>
      <c r="H5248" s="5" t="s">
        <v>15145</v>
      </c>
      <c r="I5248" s="5" t="s">
        <v>15182</v>
      </c>
      <c r="J5248" s="5" t="s">
        <v>15183</v>
      </c>
      <c r="K5248" s="7" t="str">
        <f ca="1">IFERROR(__xludf.DUMMYFUNCTION("GOOGLETRANSLATE(H5248,""EN"",""ES"")"),"PIEZAS Y ACCESORIOS PARA APARATOS DE ILUMINACIÓN, NO COMPRENDIDOS EN OTRAS CLASES O SUBCLASE")</f>
        <v>PIEZAS Y ACCESORIOS PARA APARATOS DE ILUMINACIÓN, NO COMPRENDIDOS EN OTRAS CLASES O SUBCLASE</v>
      </c>
      <c r="L5248" s="5" t="str">
        <f ca="1">IFERROR(__xludf.DUMMYFUNCTION("GOOGLETRANSLATE(J5248,""EN"",""ES"")"),"Reguladores de lámparas de arco")</f>
        <v>Reguladores de lámparas de arco</v>
      </c>
      <c r="M5248" s="8" t="s">
        <v>84</v>
      </c>
      <c r="N5248" s="8"/>
    </row>
    <row r="5249" spans="1:14" ht="11.25" customHeight="1">
      <c r="A5249" s="5" t="s">
        <v>14883</v>
      </c>
      <c r="B5249" s="5" t="s">
        <v>15184</v>
      </c>
      <c r="C5249" s="5" t="s">
        <v>15185</v>
      </c>
      <c r="D5249" s="5" t="s">
        <v>14886</v>
      </c>
      <c r="E5249" s="5" t="s">
        <v>85</v>
      </c>
      <c r="F5249" s="5" t="s">
        <v>14887</v>
      </c>
      <c r="G5249" s="5" t="s">
        <v>152</v>
      </c>
      <c r="H5249" s="5" t="s">
        <v>330</v>
      </c>
      <c r="I5249" s="5" t="s">
        <v>15186</v>
      </c>
      <c r="J5249" s="5" t="s">
        <v>15187</v>
      </c>
      <c r="K5249" s="7" t="str">
        <f ca="1">IFERROR(__xludf.DUMMYFUNCTION("GOOGLETRANSLATE(H5249,""EN"",""ES"")"),"MISCELÁNEAS")</f>
        <v>MISCELÁNEAS</v>
      </c>
      <c r="L5249" s="5" t="str">
        <f ca="1">IFERROR(__xludf.DUMMYFUNCTION("GOOGLETRANSLATE(J5249,""EN"",""ES"")"),"Extintores de velas")</f>
        <v>Extintores de velas</v>
      </c>
      <c r="M5249" s="8" t="s">
        <v>84</v>
      </c>
      <c r="N5249" s="8"/>
    </row>
    <row r="5250" spans="1:14" ht="11.25" customHeight="1">
      <c r="A5250" s="5" t="s">
        <v>14883</v>
      </c>
      <c r="B5250" s="5" t="s">
        <v>15184</v>
      </c>
      <c r="C5250" s="5" t="s">
        <v>15188</v>
      </c>
      <c r="D5250" s="5" t="s">
        <v>14886</v>
      </c>
      <c r="E5250" s="5" t="s">
        <v>85</v>
      </c>
      <c r="F5250" s="5" t="s">
        <v>14887</v>
      </c>
      <c r="G5250" s="5" t="s">
        <v>152</v>
      </c>
      <c r="H5250" s="5" t="s">
        <v>330</v>
      </c>
      <c r="I5250" s="5" t="s">
        <v>15189</v>
      </c>
      <c r="J5250" s="5" t="s">
        <v>15190</v>
      </c>
      <c r="K5250" s="7" t="str">
        <f ca="1">IFERROR(__xludf.DUMMYFUNCTION("GOOGLETRANSLATE(H5250,""EN"",""ES"")"),"MISCELÁNEAS")</f>
        <v>MISCELÁNEAS</v>
      </c>
      <c r="L5250" s="5" t="str">
        <f ca="1">IFERROR(__xludf.DUMMYFUNCTION("GOOGLETRANSLATE(J5250,""EN"",""ES"")"),"Troncos simulados [para chimeneas]")</f>
        <v>Troncos simulados [para chimeneas]</v>
      </c>
      <c r="M5250" s="8" t="s">
        <v>84</v>
      </c>
      <c r="N5250" s="8"/>
    </row>
    <row r="5251" spans="1:14" ht="11.25" customHeight="1">
      <c r="A5251" s="5" t="s">
        <v>14883</v>
      </c>
      <c r="B5251" s="5" t="s">
        <v>15184</v>
      </c>
      <c r="C5251" s="5" t="s">
        <v>15191</v>
      </c>
      <c r="D5251" s="5" t="s">
        <v>14886</v>
      </c>
      <c r="E5251" s="5" t="s">
        <v>85</v>
      </c>
      <c r="F5251" s="5" t="s">
        <v>14887</v>
      </c>
      <c r="G5251" s="5" t="s">
        <v>152</v>
      </c>
      <c r="H5251" s="5" t="s">
        <v>330</v>
      </c>
      <c r="I5251" s="5" t="s">
        <v>15192</v>
      </c>
      <c r="J5251" s="5" t="s">
        <v>15193</v>
      </c>
      <c r="K5251" s="7" t="str">
        <f ca="1">IFERROR(__xludf.DUMMYFUNCTION("GOOGLETRANSLATE(H5251,""EN"",""ES"")"),"MISCELÁNEAS")</f>
        <v>MISCELÁNEAS</v>
      </c>
      <c r="L5251" s="5" t="str">
        <f ca="1">IFERROR(__xludf.DUMMYFUNCTION("GOOGLETRANSLATE(J5251,""EN"",""ES"")"),"Matacandelas")</f>
        <v>Matacandelas</v>
      </c>
      <c r="M5251" s="8" t="s">
        <v>84</v>
      </c>
      <c r="N5251" s="8"/>
    </row>
    <row r="5252" spans="1:14" ht="11.25" customHeight="1">
      <c r="A5252" s="5" t="s">
        <v>15194</v>
      </c>
      <c r="B5252" s="5" t="s">
        <v>15195</v>
      </c>
      <c r="C5252" s="5" t="s">
        <v>15196</v>
      </c>
      <c r="D5252" s="5" t="s">
        <v>15197</v>
      </c>
      <c r="E5252" s="5" t="s">
        <v>15198</v>
      </c>
      <c r="F5252" s="5" t="s">
        <v>15199</v>
      </c>
      <c r="G5252" s="5" t="s">
        <v>152</v>
      </c>
      <c r="H5252" s="5" t="s">
        <v>15200</v>
      </c>
      <c r="I5252" s="5" t="s">
        <v>15201</v>
      </c>
      <c r="J5252" s="5" t="s">
        <v>15202</v>
      </c>
      <c r="K5252" s="7" t="str">
        <f ca="1">IFERROR(__xludf.DUMMYFUNCTION("GOOGLETRANSLATE(H5252,""EN"",""ES"")"),"TABACO, PUROS Y CIGARRILLOS")</f>
        <v>TABACO, PUROS Y CIGARRILLOS</v>
      </c>
      <c r="L5252" s="5" t="str">
        <f ca="1">IFERROR(__xludf.DUMMYFUNCTION("GOOGLETRANSLATE(J5252,""EN"",""ES"")"),"Consejos para filtrar cigarros")</f>
        <v>Consejos para filtrar cigarros</v>
      </c>
      <c r="M5252" s="8"/>
      <c r="N5252" s="8"/>
    </row>
    <row r="5253" spans="1:14" ht="11.25" customHeight="1">
      <c r="A5253" s="5" t="s">
        <v>15194</v>
      </c>
      <c r="B5253" s="5" t="s">
        <v>15195</v>
      </c>
      <c r="C5253" s="5" t="s">
        <v>15203</v>
      </c>
      <c r="D5253" s="5" t="s">
        <v>15197</v>
      </c>
      <c r="E5253" s="5" t="s">
        <v>15198</v>
      </c>
      <c r="F5253" s="5" t="s">
        <v>15199</v>
      </c>
      <c r="G5253" s="5" t="s">
        <v>152</v>
      </c>
      <c r="H5253" s="5" t="s">
        <v>15200</v>
      </c>
      <c r="I5253" s="5" t="s">
        <v>15204</v>
      </c>
      <c r="J5253" s="5" t="s">
        <v>15205</v>
      </c>
      <c r="K5253" s="7" t="str">
        <f ca="1">IFERROR(__xludf.DUMMYFUNCTION("GOOGLETRANSLATE(H5253,""EN"",""ES"")"),"TABACO, PUROS Y CIGARRILLOS")</f>
        <v>TABACO, PUROS Y CIGARRILLOS</v>
      </c>
      <c r="L5253" s="5" t="str">
        <f ca="1">IFERROR(__xludf.DUMMYFUNCTION("GOOGLETRANSLATE(J5253,""EN"",""ES"")"),"cigarros")</f>
        <v>cigarros</v>
      </c>
      <c r="M5253" s="8"/>
      <c r="N5253" s="8"/>
    </row>
    <row r="5254" spans="1:14" ht="11.25" customHeight="1">
      <c r="A5254" s="5" t="s">
        <v>15194</v>
      </c>
      <c r="B5254" s="5" t="s">
        <v>15195</v>
      </c>
      <c r="C5254" s="5" t="s">
        <v>15206</v>
      </c>
      <c r="D5254" s="5" t="s">
        <v>15197</v>
      </c>
      <c r="E5254" s="5" t="s">
        <v>15198</v>
      </c>
      <c r="F5254" s="5" t="s">
        <v>15199</v>
      </c>
      <c r="G5254" s="5" t="s">
        <v>152</v>
      </c>
      <c r="H5254" s="5" t="s">
        <v>15200</v>
      </c>
      <c r="I5254" s="5" t="s">
        <v>15207</v>
      </c>
      <c r="J5254" s="5" t="s">
        <v>15207</v>
      </c>
      <c r="K5254" s="7" t="str">
        <f ca="1">IFERROR(__xludf.DUMMYFUNCTION("GOOGLETRANSLATE(H5254,""EN"",""ES"")"),"TABACO, PUROS Y CIGARRILLOS")</f>
        <v>TABACO, PUROS Y CIGARRILLOS</v>
      </c>
      <c r="L5254" s="5" t="str">
        <f ca="1">IFERROR(__xludf.DUMMYFUNCTION("GOOGLETRANSLATE(J5254,""EN"",""ES"")"),"cigarrillos")</f>
        <v>cigarrillos</v>
      </c>
      <c r="M5254" s="8"/>
      <c r="N5254" s="8"/>
    </row>
    <row r="5255" spans="1:14" ht="11.25" customHeight="1">
      <c r="A5255" s="5" t="s">
        <v>15194</v>
      </c>
      <c r="B5255" s="5" t="s">
        <v>15195</v>
      </c>
      <c r="C5255" s="5" t="s">
        <v>15208</v>
      </c>
      <c r="D5255" s="5" t="s">
        <v>15197</v>
      </c>
      <c r="E5255" s="5" t="s">
        <v>15198</v>
      </c>
      <c r="F5255" s="5" t="s">
        <v>15199</v>
      </c>
      <c r="G5255" s="5" t="s">
        <v>152</v>
      </c>
      <c r="H5255" s="5" t="s">
        <v>15200</v>
      </c>
      <c r="I5255" s="5" t="s">
        <v>15209</v>
      </c>
      <c r="J5255" s="5" t="s">
        <v>15209</v>
      </c>
      <c r="K5255" s="7" t="str">
        <f ca="1">IFERROR(__xludf.DUMMYFUNCTION("GOOGLETRANSLATE(H5255,""EN"",""ES"")"),"TABACO, PUROS Y CIGARRILLOS")</f>
        <v>TABACO, PUROS Y CIGARRILLOS</v>
      </c>
      <c r="L5255" s="5" t="str">
        <f ca="1">IFERROR(__xludf.DUMMYFUNCTION("GOOGLETRANSLATE(J5255,""EN"",""ES"")"),"cigarros")</f>
        <v>cigarros</v>
      </c>
      <c r="M5255" s="8"/>
      <c r="N5255" s="8"/>
    </row>
    <row r="5256" spans="1:14" ht="11.25" customHeight="1">
      <c r="A5256" s="5" t="s">
        <v>15194</v>
      </c>
      <c r="B5256" s="5" t="s">
        <v>15195</v>
      </c>
      <c r="C5256" s="5" t="s">
        <v>15210</v>
      </c>
      <c r="D5256" s="5" t="s">
        <v>15197</v>
      </c>
      <c r="E5256" s="5" t="s">
        <v>15198</v>
      </c>
      <c r="F5256" s="5" t="s">
        <v>15199</v>
      </c>
      <c r="G5256" s="5" t="s">
        <v>152</v>
      </c>
      <c r="H5256" s="5" t="s">
        <v>15200</v>
      </c>
      <c r="I5256" s="5" t="s">
        <v>15211</v>
      </c>
      <c r="J5256" s="5" t="s">
        <v>15212</v>
      </c>
      <c r="K5256" s="7" t="str">
        <f ca="1">IFERROR(__xludf.DUMMYFUNCTION("GOOGLETRANSLATE(H5256,""EN"",""ES"")"),"TABACO, PUROS Y CIGARRILLOS")</f>
        <v>TABACO, PUROS Y CIGARRILLOS</v>
      </c>
      <c r="L5256" s="5" t="str">
        <f ca="1">IFERROR(__xludf.DUMMYFUNCTION("GOOGLETRANSLATE(J5256,""EN"",""ES"")"),"Tabaco")</f>
        <v>Tabaco</v>
      </c>
      <c r="M5256" s="8"/>
      <c r="N5256" s="8"/>
    </row>
    <row r="5257" spans="1:14" ht="11.25" customHeight="1">
      <c r="A5257" s="5" t="s">
        <v>15194</v>
      </c>
      <c r="B5257" s="5" t="s">
        <v>15195</v>
      </c>
      <c r="C5257" s="5" t="s">
        <v>15213</v>
      </c>
      <c r="D5257" s="5" t="s">
        <v>15197</v>
      </c>
      <c r="E5257" s="5" t="s">
        <v>15198</v>
      </c>
      <c r="F5257" s="5" t="s">
        <v>15199</v>
      </c>
      <c r="G5257" s="5" t="s">
        <v>152</v>
      </c>
      <c r="H5257" s="5" t="s">
        <v>15200</v>
      </c>
      <c r="I5257" s="5" t="s">
        <v>15214</v>
      </c>
      <c r="J5257" s="5" t="s">
        <v>15215</v>
      </c>
      <c r="K5257" s="7" t="str">
        <f ca="1">IFERROR(__xludf.DUMMYFUNCTION("GOOGLETRANSLATE(H5257,""EN"",""ES"")"),"TABACO, PUROS Y CIGARRILLOS")</f>
        <v>TABACO, PUROS Y CIGARRILLOS</v>
      </c>
      <c r="L5257" s="5" t="str">
        <f ca="1">IFERROR(__xludf.DUMMYFUNCTION("GOOGLETRANSLATE(J5257,""EN"",""ES"")"),"Filtros de cigarrillos")</f>
        <v>Filtros de cigarrillos</v>
      </c>
      <c r="M5257" s="8"/>
      <c r="N5257" s="8"/>
    </row>
    <row r="5258" spans="1:14" ht="11.25" customHeight="1">
      <c r="A5258" s="5" t="s">
        <v>15194</v>
      </c>
      <c r="B5258" s="5" t="s">
        <v>15195</v>
      </c>
      <c r="C5258" s="5" t="s">
        <v>15216</v>
      </c>
      <c r="D5258" s="5" t="s">
        <v>15197</v>
      </c>
      <c r="E5258" s="5" t="s">
        <v>15198</v>
      </c>
      <c r="F5258" s="5" t="s">
        <v>15199</v>
      </c>
      <c r="G5258" s="5" t="s">
        <v>152</v>
      </c>
      <c r="H5258" s="5" t="s">
        <v>15200</v>
      </c>
      <c r="I5258" s="5" t="s">
        <v>15217</v>
      </c>
      <c r="J5258" s="5" t="s">
        <v>15218</v>
      </c>
      <c r="K5258" s="7" t="str">
        <f ca="1">IFERROR(__xludf.DUMMYFUNCTION("GOOGLETRANSLATE(H5258,""EN"",""ES"")"),"TABACO, PUROS Y CIGARRILLOS")</f>
        <v>TABACO, PUROS Y CIGARRILLOS</v>
      </c>
      <c r="L5258" s="5" t="str">
        <f ca="1">IFERROR(__xludf.DUMMYFUNCTION("GOOGLETRANSLATE(J5258,""EN"",""ES"")"),"Consejos para cigarros")</f>
        <v>Consejos para cigarros</v>
      </c>
      <c r="M5258" s="8"/>
      <c r="N5258" s="8"/>
    </row>
    <row r="5259" spans="1:14" ht="11.25" customHeight="1">
      <c r="A5259" s="5" t="s">
        <v>15194</v>
      </c>
      <c r="B5259" s="5" t="s">
        <v>15195</v>
      </c>
      <c r="C5259" s="5" t="s">
        <v>15219</v>
      </c>
      <c r="D5259" s="5" t="s">
        <v>15197</v>
      </c>
      <c r="E5259" s="5" t="s">
        <v>15198</v>
      </c>
      <c r="F5259" s="5" t="s">
        <v>15199</v>
      </c>
      <c r="G5259" s="5" t="s">
        <v>152</v>
      </c>
      <c r="H5259" s="5" t="s">
        <v>15200</v>
      </c>
      <c r="I5259" s="5" t="s">
        <v>15220</v>
      </c>
      <c r="J5259" s="5" t="s">
        <v>15221</v>
      </c>
      <c r="K5259" s="7" t="str">
        <f ca="1">IFERROR(__xludf.DUMMYFUNCTION("GOOGLETRANSLATE(H5259,""EN"",""ES"")"),"TABACO, PUROS Y CIGARRILLOS")</f>
        <v>TABACO, PUROS Y CIGARRILLOS</v>
      </c>
      <c r="L5259" s="5" t="str">
        <f ca="1">IFERROR(__xludf.DUMMYFUNCTION("GOOGLETRANSLATE(J5259,""EN"",""ES"")"),"Consejos para filtrar cigarrillos")</f>
        <v>Consejos para filtrar cigarrillos</v>
      </c>
      <c r="M5259" s="8"/>
      <c r="N5259" s="8"/>
    </row>
    <row r="5260" spans="1:14" ht="11.25" customHeight="1">
      <c r="A5260" s="5" t="s">
        <v>15194</v>
      </c>
      <c r="B5260" s="5" t="s">
        <v>15195</v>
      </c>
      <c r="C5260" s="5" t="s">
        <v>15222</v>
      </c>
      <c r="D5260" s="5" t="s">
        <v>15197</v>
      </c>
      <c r="E5260" s="5" t="s">
        <v>15198</v>
      </c>
      <c r="F5260" s="5" t="s">
        <v>15199</v>
      </c>
      <c r="G5260" s="5" t="s">
        <v>152</v>
      </c>
      <c r="H5260" s="5" t="s">
        <v>15200</v>
      </c>
      <c r="I5260" s="5" t="s">
        <v>15223</v>
      </c>
      <c r="J5260" s="5" t="s">
        <v>15224</v>
      </c>
      <c r="K5260" s="7" t="str">
        <f ca="1">IFERROR(__xludf.DUMMYFUNCTION("GOOGLETRANSLATE(H5260,""EN"",""ES"")"),"TABACO, PUROS Y CIGARRILLOS")</f>
        <v>TABACO, PUROS Y CIGARRILLOS</v>
      </c>
      <c r="L5260" s="5" t="str">
        <f ca="1">IFERROR(__xludf.DUMMYFUNCTION("GOOGLETRANSLATE(J5260,""EN"",""ES"")"),"quids")</f>
        <v>quids</v>
      </c>
      <c r="M5260" s="8"/>
      <c r="N5260" s="8"/>
    </row>
    <row r="5261" spans="1:14" ht="11.25" customHeight="1">
      <c r="A5261" s="5" t="s">
        <v>15194</v>
      </c>
      <c r="B5261" s="5" t="s">
        <v>15225</v>
      </c>
      <c r="C5261" s="5" t="s">
        <v>15226</v>
      </c>
      <c r="D5261" s="5" t="s">
        <v>15197</v>
      </c>
      <c r="E5261" s="5" t="s">
        <v>15198</v>
      </c>
      <c r="F5261" s="5" t="s">
        <v>15199</v>
      </c>
      <c r="G5261" s="5" t="s">
        <v>152</v>
      </c>
      <c r="H5261" s="5" t="s">
        <v>15227</v>
      </c>
      <c r="I5261" s="5" t="s">
        <v>15228</v>
      </c>
      <c r="J5261" s="5" t="s">
        <v>15229</v>
      </c>
      <c r="K5261" s="7" t="str">
        <f ca="1">IFERROR(__xludf.DUMMYFUNCTION("GOOGLETRANSLATE(H5261,""EN"",""ES"")"),"PIPAS, PUROS Y PORTA CIGARRILLOS")</f>
        <v>PIPAS, PUROS Y PORTA CIGARRILLOS</v>
      </c>
      <c r="L5261" s="5" t="str">
        <f ca="1">IFERROR(__xludf.DUMMYFUNCTION("GOOGLETRANSLATE(J5261,""EN"",""ES"")"),"Boquillas para pipas de tabaco.")</f>
        <v>Boquillas para pipas de tabaco.</v>
      </c>
      <c r="M5261" s="8"/>
      <c r="N5261" s="8"/>
    </row>
    <row r="5262" spans="1:14" ht="11.25" customHeight="1">
      <c r="A5262" s="5" t="s">
        <v>15194</v>
      </c>
      <c r="B5262" s="5" t="s">
        <v>15225</v>
      </c>
      <c r="C5262" s="5" t="s">
        <v>15230</v>
      </c>
      <c r="D5262" s="5" t="s">
        <v>15197</v>
      </c>
      <c r="E5262" s="5" t="s">
        <v>15198</v>
      </c>
      <c r="F5262" s="5" t="s">
        <v>15199</v>
      </c>
      <c r="G5262" s="5" t="s">
        <v>152</v>
      </c>
      <c r="H5262" s="5" t="s">
        <v>15227</v>
      </c>
      <c r="I5262" s="5" t="s">
        <v>15231</v>
      </c>
      <c r="J5262" s="5" t="s">
        <v>15232</v>
      </c>
      <c r="K5262" s="7" t="str">
        <f ca="1">IFERROR(__xludf.DUMMYFUNCTION("GOOGLETRANSLATE(H5262,""EN"",""ES"")"),"PIPAS, PUROS Y PORTA CIGARRILLOS")</f>
        <v>PIPAS, PUROS Y PORTA CIGARRILLOS</v>
      </c>
      <c r="L5262" s="5" t="str">
        <f ca="1">IFERROR(__xludf.DUMMYFUNCTION("GOOGLETRANSLATE(J5262,""EN"",""ES"")"),"cachimbas")</f>
        <v>cachimbas</v>
      </c>
      <c r="M5262" s="8"/>
      <c r="N5262" s="8"/>
    </row>
    <row r="5263" spans="1:14" ht="11.25" customHeight="1">
      <c r="A5263" s="5" t="s">
        <v>15194</v>
      </c>
      <c r="B5263" s="5" t="s">
        <v>15225</v>
      </c>
      <c r="C5263" s="5" t="s">
        <v>15233</v>
      </c>
      <c r="D5263" s="5" t="s">
        <v>15197</v>
      </c>
      <c r="E5263" s="5" t="s">
        <v>15198</v>
      </c>
      <c r="F5263" s="5" t="s">
        <v>15199</v>
      </c>
      <c r="G5263" s="5" t="s">
        <v>152</v>
      </c>
      <c r="H5263" s="5" t="s">
        <v>15227</v>
      </c>
      <c r="I5263" s="5" t="s">
        <v>15234</v>
      </c>
      <c r="J5263" s="5" t="s">
        <v>15235</v>
      </c>
      <c r="K5263" s="7" t="str">
        <f ca="1">IFERROR(__xludf.DUMMYFUNCTION("GOOGLETRANSLATE(H5263,""EN"",""ES"")"),"PIPAS, PUROS Y PORTA CIGARRILLOS")</f>
        <v>PIPAS, PUROS Y PORTA CIGARRILLOS</v>
      </c>
      <c r="L5263" s="5" t="str">
        <f ca="1">IFERROR(__xludf.DUMMYFUNCTION("GOOGLETRANSLATE(J5263,""EN"",""ES"")"),"Porta cigarros")</f>
        <v>Porta cigarros</v>
      </c>
      <c r="M5263" s="8"/>
      <c r="N5263" s="8"/>
    </row>
    <row r="5264" spans="1:14" ht="11.25" customHeight="1">
      <c r="A5264" s="5" t="s">
        <v>15194</v>
      </c>
      <c r="B5264" s="5" t="s">
        <v>15225</v>
      </c>
      <c r="C5264" s="5" t="s">
        <v>15236</v>
      </c>
      <c r="D5264" s="5" t="s">
        <v>15197</v>
      </c>
      <c r="E5264" s="5" t="s">
        <v>15198</v>
      </c>
      <c r="F5264" s="5" t="s">
        <v>15199</v>
      </c>
      <c r="G5264" s="5" t="s">
        <v>152</v>
      </c>
      <c r="H5264" s="5" t="s">
        <v>15227</v>
      </c>
      <c r="I5264" s="5" t="s">
        <v>15237</v>
      </c>
      <c r="J5264" s="5" t="s">
        <v>15238</v>
      </c>
      <c r="K5264" s="7" t="str">
        <f ca="1">IFERROR(__xludf.DUMMYFUNCTION("GOOGLETRANSLATE(H5264,""EN"",""ES"")"),"PIPAS, PUROS Y PORTA CIGARRILLOS")</f>
        <v>PIPAS, PUROS Y PORTA CIGARRILLOS</v>
      </c>
      <c r="L5264" s="5" t="str">
        <f ca="1">IFERROR(__xludf.DUMMYFUNCTION("GOOGLETRANSLATE(J5264,""EN"",""ES"")"),"Porta cigarrillos")</f>
        <v>Porta cigarrillos</v>
      </c>
      <c r="M5264" s="8"/>
      <c r="N5264" s="8"/>
    </row>
    <row r="5265" spans="1:14" ht="11.25" customHeight="1">
      <c r="A5265" s="5" t="s">
        <v>15194</v>
      </c>
      <c r="B5265" s="5" t="s">
        <v>15225</v>
      </c>
      <c r="C5265" s="5" t="s">
        <v>15239</v>
      </c>
      <c r="D5265" s="5" t="s">
        <v>15197</v>
      </c>
      <c r="E5265" s="5" t="s">
        <v>15198</v>
      </c>
      <c r="F5265" s="5" t="s">
        <v>15199</v>
      </c>
      <c r="G5265" s="5" t="s">
        <v>152</v>
      </c>
      <c r="H5265" s="5" t="s">
        <v>15227</v>
      </c>
      <c r="I5265" s="5" t="s">
        <v>15240</v>
      </c>
      <c r="J5265" s="5" t="s">
        <v>15241</v>
      </c>
      <c r="K5265" s="7" t="str">
        <f ca="1">IFERROR(__xludf.DUMMYFUNCTION("GOOGLETRANSLATE(H5265,""EN"",""ES"")"),"PIPAS, PUROS Y PORTA CIGARRILLOS")</f>
        <v>PIPAS, PUROS Y PORTA CIGARRILLOS</v>
      </c>
      <c r="L5265" s="5" t="str">
        <f ca="1">IFERROR(__xludf.DUMMYFUNCTION("GOOGLETRANSLATE(J5265,""EN"",""ES"")"),"pipas de tabaco")</f>
        <v>pipas de tabaco</v>
      </c>
      <c r="M5265" s="8"/>
      <c r="N5265" s="8"/>
    </row>
    <row r="5266" spans="1:14" ht="11.25" customHeight="1">
      <c r="A5266" s="5" t="s">
        <v>15194</v>
      </c>
      <c r="B5266" s="5" t="s">
        <v>15242</v>
      </c>
      <c r="C5266" s="5" t="s">
        <v>15243</v>
      </c>
      <c r="D5266" s="5" t="s">
        <v>15197</v>
      </c>
      <c r="E5266" s="5" t="s">
        <v>15198</v>
      </c>
      <c r="F5266" s="5" t="s">
        <v>15199</v>
      </c>
      <c r="G5266" s="5" t="s">
        <v>152</v>
      </c>
      <c r="H5266" s="5" t="s">
        <v>15244</v>
      </c>
      <c r="I5266" s="5" t="s">
        <v>15245</v>
      </c>
      <c r="J5266" s="5" t="s">
        <v>15246</v>
      </c>
      <c r="K5266" s="7" t="str">
        <f ca="1">IFERROR(__xludf.DUMMYFUNCTION("GOOGLETRANSLATE(H5266,""EN"",""ES"")"),"CENICEROS")</f>
        <v>CENICEROS</v>
      </c>
      <c r="L5266" s="5" t="str">
        <f ca="1">IFERROR(__xludf.DUMMYFUNCTION("GOOGLETRANSLATE(J5266,""EN"",""ES"")"),"Ceniceros")</f>
        <v>Ceniceros</v>
      </c>
      <c r="M5266" s="8"/>
      <c r="N5266" s="8"/>
    </row>
    <row r="5267" spans="1:14" ht="11.25" customHeight="1">
      <c r="A5267" s="5" t="s">
        <v>15194</v>
      </c>
      <c r="B5267" s="5" t="s">
        <v>15247</v>
      </c>
      <c r="C5267" s="5" t="s">
        <v>15248</v>
      </c>
      <c r="D5267" s="5" t="s">
        <v>15197</v>
      </c>
      <c r="E5267" s="5" t="s">
        <v>15198</v>
      </c>
      <c r="F5267" s="5" t="s">
        <v>15199</v>
      </c>
      <c r="G5267" s="5" t="s">
        <v>152</v>
      </c>
      <c r="H5267" s="5" t="s">
        <v>15249</v>
      </c>
      <c r="I5267" s="5" t="s">
        <v>15250</v>
      </c>
      <c r="J5267" s="5" t="s">
        <v>15251</v>
      </c>
      <c r="K5267" s="7" t="str">
        <f ca="1">IFERROR(__xludf.DUMMYFUNCTION("GOOGLETRANSLATE(H5267,""EN"",""ES"")"),"PARTIDOS")</f>
        <v>PARTIDOS</v>
      </c>
      <c r="L5267" s="5" t="str">
        <f ca="1">IFERROR(__xludf.DUMMYFUNCTION("GOOGLETRANSLATE(J5267,""EN"",""ES"")"),"Partidos")</f>
        <v>Partidos</v>
      </c>
      <c r="M5267" s="8"/>
      <c r="N5267" s="8"/>
    </row>
    <row r="5268" spans="1:14" ht="11.25" customHeight="1">
      <c r="A5268" s="5" t="s">
        <v>15194</v>
      </c>
      <c r="B5268" s="5" t="s">
        <v>15252</v>
      </c>
      <c r="C5268" s="5" t="s">
        <v>15253</v>
      </c>
      <c r="D5268" s="5" t="s">
        <v>15197</v>
      </c>
      <c r="E5268" s="5" t="s">
        <v>15198</v>
      </c>
      <c r="F5268" s="5" t="s">
        <v>15199</v>
      </c>
      <c r="G5268" s="5" t="s">
        <v>152</v>
      </c>
      <c r="H5268" s="5" t="s">
        <v>15254</v>
      </c>
      <c r="I5268" s="5" t="s">
        <v>15255</v>
      </c>
      <c r="J5268" s="5" t="s">
        <v>15256</v>
      </c>
      <c r="K5268" s="7" t="str">
        <f ca="1">IFERROR(__xludf.DUMMYFUNCTION("GOOGLETRANSLATE(H5268,""EN"",""ES"")"),"ENCENDEDORES")</f>
        <v>ENCENDEDORES</v>
      </c>
      <c r="L5268" s="5" t="str">
        <f ca="1">IFERROR(__xludf.DUMMYFUNCTION("GOOGLETRANSLATE(J5268,""EN"",""ES"")"),"Encendedores eléctricos")</f>
        <v>Encendedores eléctricos</v>
      </c>
      <c r="M5268" s="8"/>
      <c r="N5268" s="8"/>
    </row>
    <row r="5269" spans="1:14" ht="11.25" customHeight="1">
      <c r="A5269" s="5" t="s">
        <v>15194</v>
      </c>
      <c r="B5269" s="5" t="s">
        <v>15252</v>
      </c>
      <c r="C5269" s="5" t="s">
        <v>15257</v>
      </c>
      <c r="D5269" s="5" t="s">
        <v>15197</v>
      </c>
      <c r="E5269" s="5" t="s">
        <v>15198</v>
      </c>
      <c r="F5269" s="5" t="s">
        <v>15199</v>
      </c>
      <c r="G5269" s="5" t="s">
        <v>152</v>
      </c>
      <c r="H5269" s="5" t="s">
        <v>15254</v>
      </c>
      <c r="I5269" s="5" t="s">
        <v>15258</v>
      </c>
      <c r="J5269" s="5" t="s">
        <v>15259</v>
      </c>
      <c r="K5269" s="7" t="str">
        <f ca="1">IFERROR(__xludf.DUMMYFUNCTION("GOOGLETRANSLATE(H5269,""EN"",""ES"")"),"ENCENDEDORES")</f>
        <v>ENCENDEDORES</v>
      </c>
      <c r="L5269" s="5" t="str">
        <f ca="1">IFERROR(__xludf.DUMMYFUNCTION("GOOGLETRANSLATE(J5269,""EN"",""ES"")"),"Encendedores de cigarrillos")</f>
        <v>Encendedores de cigarrillos</v>
      </c>
      <c r="M5269" s="8"/>
      <c r="N5269" s="8"/>
    </row>
    <row r="5270" spans="1:14" ht="11.25" customHeight="1">
      <c r="A5270" s="5" t="s">
        <v>15194</v>
      </c>
      <c r="B5270" s="5" t="s">
        <v>15252</v>
      </c>
      <c r="C5270" s="5" t="s">
        <v>15260</v>
      </c>
      <c r="D5270" s="5" t="s">
        <v>15197</v>
      </c>
      <c r="E5270" s="5" t="s">
        <v>15198</v>
      </c>
      <c r="F5270" s="5" t="s">
        <v>15199</v>
      </c>
      <c r="G5270" s="5" t="s">
        <v>152</v>
      </c>
      <c r="H5270" s="5" t="s">
        <v>15254</v>
      </c>
      <c r="I5270" s="5" t="s">
        <v>15261</v>
      </c>
      <c r="J5270" s="5" t="s">
        <v>15262</v>
      </c>
      <c r="K5270" s="7" t="str">
        <f ca="1">IFERROR(__xludf.DUMMYFUNCTION("GOOGLETRANSLATE(H5270,""EN"",""ES"")"),"ENCENDEDORES")</f>
        <v>ENCENDEDORES</v>
      </c>
      <c r="L5270" s="5" t="str">
        <f ca="1">IFERROR(__xludf.DUMMYFUNCTION("GOOGLETRANSLATE(J5270,""EN"",""ES"")"),"Encendedores de cigarrillos para coches.")</f>
        <v>Encendedores de cigarrillos para coches.</v>
      </c>
      <c r="M5270" s="8"/>
      <c r="N5270" s="8"/>
    </row>
    <row r="5271" spans="1:14" ht="11.25" customHeight="1">
      <c r="A5271" s="5" t="s">
        <v>15194</v>
      </c>
      <c r="B5271" s="5" t="s">
        <v>15263</v>
      </c>
      <c r="C5271" s="5" t="s">
        <v>15264</v>
      </c>
      <c r="D5271" s="5" t="s">
        <v>15197</v>
      </c>
      <c r="E5271" s="5" t="s">
        <v>15198</v>
      </c>
      <c r="F5271" s="5" t="s">
        <v>15199</v>
      </c>
      <c r="G5271" s="5" t="s">
        <v>152</v>
      </c>
      <c r="H5271" s="5" t="s">
        <v>15265</v>
      </c>
      <c r="I5271" s="5" t="s">
        <v>15266</v>
      </c>
      <c r="J5271" s="5" t="s">
        <v>15267</v>
      </c>
      <c r="K5271" s="7" t="str">
        <f ca="1">IFERROR(__xludf.DUMMYFUNCTION("GOOGLETRANSLATE(H5271,""EN"",""ES"")"),"CIGARRERAS, CIGARRERA, TARROS Y BOLSAS DE TABACO")</f>
        <v>CIGARRERAS, CIGARRERA, TARROS Y BOLSAS DE TABACO</v>
      </c>
      <c r="L5271" s="5" t="str">
        <f ca="1">IFERROR(__xludf.DUMMYFUNCTION("GOOGLETRANSLATE(J5271,""EN"",""ES"")"),"Bolsas de tabaco")</f>
        <v>Bolsas de tabaco</v>
      </c>
      <c r="M5271" s="8"/>
      <c r="N5271" s="8"/>
    </row>
    <row r="5272" spans="1:14" ht="11.25" customHeight="1">
      <c r="A5272" s="5" t="s">
        <v>15194</v>
      </c>
      <c r="B5272" s="5" t="s">
        <v>15263</v>
      </c>
      <c r="C5272" s="5" t="s">
        <v>15268</v>
      </c>
      <c r="D5272" s="5" t="s">
        <v>15197</v>
      </c>
      <c r="E5272" s="5" t="s">
        <v>15198</v>
      </c>
      <c r="F5272" s="5" t="s">
        <v>15199</v>
      </c>
      <c r="G5272" s="5" t="s">
        <v>152</v>
      </c>
      <c r="H5272" s="5" t="s">
        <v>15265</v>
      </c>
      <c r="I5272" s="5" t="s">
        <v>15269</v>
      </c>
      <c r="J5272" s="5" t="s">
        <v>15270</v>
      </c>
      <c r="K5272" s="7" t="str">
        <f ca="1">IFERROR(__xludf.DUMMYFUNCTION("GOOGLETRANSLATE(H5272,""EN"",""ES"")"),"CIGARRERAS, CIGARRERA, TARROS Y BOLSAS DE TABACO")</f>
        <v>CIGARRERAS, CIGARRERA, TARROS Y BOLSAS DE TABACO</v>
      </c>
      <c r="L5272" s="5" t="str">
        <f ca="1">IFERROR(__xludf.DUMMYFUNCTION("GOOGLETRANSLATE(J5272,""EN"",""ES"")"),"cajas de tabaco")</f>
        <v>cajas de tabaco</v>
      </c>
      <c r="M5272" s="8"/>
      <c r="N5272" s="8"/>
    </row>
    <row r="5273" spans="1:14" ht="11.25" customHeight="1">
      <c r="A5273" s="5" t="s">
        <v>15194</v>
      </c>
      <c r="B5273" s="5" t="s">
        <v>15263</v>
      </c>
      <c r="C5273" s="5" t="s">
        <v>15271</v>
      </c>
      <c r="D5273" s="5" t="s">
        <v>15197</v>
      </c>
      <c r="E5273" s="5" t="s">
        <v>15198</v>
      </c>
      <c r="F5273" s="5" t="s">
        <v>15199</v>
      </c>
      <c r="G5273" s="5" t="s">
        <v>152</v>
      </c>
      <c r="H5273" s="5" t="s">
        <v>15265</v>
      </c>
      <c r="I5273" s="5" t="s">
        <v>15272</v>
      </c>
      <c r="J5273" s="5" t="s">
        <v>15273</v>
      </c>
      <c r="K5273" s="7" t="str">
        <f ca="1">IFERROR(__xludf.DUMMYFUNCTION("GOOGLETRANSLATE(H5273,""EN"",""ES"")"),"CIGARRERAS, CIGARRERA, TARROS Y BOLSAS DE TABACO")</f>
        <v>CIGARRERAS, CIGARRERA, TARROS Y BOLSAS DE TABACO</v>
      </c>
      <c r="L5273" s="5" t="str">
        <f ca="1">IFERROR(__xludf.DUMMYFUNCTION("GOOGLETRANSLATE(J5273,""EN"",""ES"")"),"cigarreras")</f>
        <v>cigarreras</v>
      </c>
      <c r="M5273" s="8"/>
      <c r="N5273" s="8"/>
    </row>
    <row r="5274" spans="1:14" ht="11.25" customHeight="1">
      <c r="A5274" s="5" t="s">
        <v>15194</v>
      </c>
      <c r="B5274" s="5" t="s">
        <v>15263</v>
      </c>
      <c r="C5274" s="5" t="s">
        <v>15274</v>
      </c>
      <c r="D5274" s="5" t="s">
        <v>15197</v>
      </c>
      <c r="E5274" s="5" t="s">
        <v>15198</v>
      </c>
      <c r="F5274" s="5" t="s">
        <v>15199</v>
      </c>
      <c r="G5274" s="5" t="s">
        <v>152</v>
      </c>
      <c r="H5274" s="5" t="s">
        <v>15265</v>
      </c>
      <c r="I5274" s="5" t="s">
        <v>15275</v>
      </c>
      <c r="J5274" s="5" t="s">
        <v>15276</v>
      </c>
      <c r="K5274" s="7" t="str">
        <f ca="1">IFERROR(__xludf.DUMMYFUNCTION("GOOGLETRANSLATE(H5274,""EN"",""ES"")"),"CIGARRERAS, CIGARRERA, TARROS Y BOLSAS DE TABACO")</f>
        <v>CIGARRERAS, CIGARRERA, TARROS Y BOLSAS DE TABACO</v>
      </c>
      <c r="L5274" s="5" t="str">
        <f ca="1">IFERROR(__xludf.DUMMYFUNCTION("GOOGLETRANSLATE(J5274,""EN"",""ES"")"),"pitilleras")</f>
        <v>pitilleras</v>
      </c>
      <c r="M5274" s="8"/>
      <c r="N5274" s="8"/>
    </row>
    <row r="5275" spans="1:14" ht="11.25" customHeight="1">
      <c r="A5275" s="5" t="s">
        <v>15194</v>
      </c>
      <c r="B5275" s="5" t="s">
        <v>15263</v>
      </c>
      <c r="C5275" s="5" t="s">
        <v>15277</v>
      </c>
      <c r="D5275" s="5" t="s">
        <v>15197</v>
      </c>
      <c r="E5275" s="5" t="s">
        <v>15198</v>
      </c>
      <c r="F5275" s="5" t="s">
        <v>15199</v>
      </c>
      <c r="G5275" s="5" t="s">
        <v>152</v>
      </c>
      <c r="H5275" s="5" t="s">
        <v>15265</v>
      </c>
      <c r="I5275" s="5" t="s">
        <v>15278</v>
      </c>
      <c r="J5275" s="5" t="s">
        <v>15279</v>
      </c>
      <c r="K5275" s="7" t="str">
        <f ca="1">IFERROR(__xludf.DUMMYFUNCTION("GOOGLETRANSLATE(H5275,""EN"",""ES"")"),"CIGARRERAS, CIGARRERA, TARROS Y BOLSAS DE TABACO")</f>
        <v>CIGARRERAS, CIGARRERA, TARROS Y BOLSAS DE TABACO</v>
      </c>
      <c r="L5275" s="5" t="str">
        <f ca="1">IFERROR(__xludf.DUMMYFUNCTION("GOOGLETRANSLATE(J5275,""EN"",""ES"")"),"tarros de tabaco")</f>
        <v>tarros de tabaco</v>
      </c>
      <c r="M5275" s="8"/>
      <c r="N5275" s="8"/>
    </row>
    <row r="5276" spans="1:14" ht="11.25" customHeight="1">
      <c r="A5276" s="5" t="s">
        <v>15194</v>
      </c>
      <c r="B5276" s="5" t="s">
        <v>15263</v>
      </c>
      <c r="C5276" s="5" t="s">
        <v>15280</v>
      </c>
      <c r="D5276" s="5" t="s">
        <v>15197</v>
      </c>
      <c r="E5276" s="5" t="s">
        <v>15198</v>
      </c>
      <c r="F5276" s="5" t="s">
        <v>15199</v>
      </c>
      <c r="G5276" s="5" t="s">
        <v>152</v>
      </c>
      <c r="H5276" s="5" t="s">
        <v>15265</v>
      </c>
      <c r="I5276" s="5" t="s">
        <v>15281</v>
      </c>
      <c r="J5276" s="5" t="s">
        <v>15282</v>
      </c>
      <c r="K5276" s="7" t="str">
        <f ca="1">IFERROR(__xludf.DUMMYFUNCTION("GOOGLETRANSLATE(H5276,""EN"",""ES"")"),"CIGARRERAS, CIGARRERA, TARROS Y BOLSAS DE TABACO")</f>
        <v>CIGARRERAS, CIGARRERA, TARROS Y BOLSAS DE TABACO</v>
      </c>
      <c r="L5276" s="5" t="str">
        <f ca="1">IFERROR(__xludf.DUMMYFUNCTION("GOOGLETRANSLATE(J5276,""EN"",""ES"")"),"Cajas de rapé")</f>
        <v>Cajas de rapé</v>
      </c>
      <c r="M5276" s="8"/>
      <c r="N5276" s="8"/>
    </row>
    <row r="5277" spans="1:14" ht="11.25" customHeight="1">
      <c r="A5277" s="5" t="s">
        <v>15194</v>
      </c>
      <c r="B5277" s="5" t="s">
        <v>15263</v>
      </c>
      <c r="C5277" s="5" t="s">
        <v>15283</v>
      </c>
      <c r="D5277" s="5" t="s">
        <v>15197</v>
      </c>
      <c r="E5277" s="5" t="s">
        <v>15198</v>
      </c>
      <c r="F5277" s="5" t="s">
        <v>15199</v>
      </c>
      <c r="G5277" s="5" t="s">
        <v>152</v>
      </c>
      <c r="H5277" s="5" t="s">
        <v>15265</v>
      </c>
      <c r="I5277" s="5" t="s">
        <v>15284</v>
      </c>
      <c r="J5277" s="5" t="s">
        <v>15285</v>
      </c>
      <c r="K5277" s="7" t="str">
        <f ca="1">IFERROR(__xludf.DUMMYFUNCTION("GOOGLETRANSLATE(H5277,""EN"",""ES"")"),"CIGARRERAS, CIGARRERA, TARROS Y BOLSAS DE TABACO")</f>
        <v>CIGARRERAS, CIGARRERA, TARROS Y BOLSAS DE TABACO</v>
      </c>
      <c r="L5277" s="5" t="str">
        <f ca="1">IFERROR(__xludf.DUMMYFUNCTION("GOOGLETRANSLATE(J5277,""EN"",""ES"")"),"cajas de cigarros")</f>
        <v>cajas de cigarros</v>
      </c>
      <c r="M5277" s="8"/>
      <c r="N5277" s="8"/>
    </row>
    <row r="5278" spans="1:14" ht="11.25" customHeight="1">
      <c r="A5278" s="5" t="s">
        <v>15194</v>
      </c>
      <c r="B5278" s="5" t="s">
        <v>15263</v>
      </c>
      <c r="C5278" s="5" t="s">
        <v>15286</v>
      </c>
      <c r="D5278" s="5" t="s">
        <v>15197</v>
      </c>
      <c r="E5278" s="5" t="s">
        <v>15198</v>
      </c>
      <c r="F5278" s="5" t="s">
        <v>15199</v>
      </c>
      <c r="G5278" s="5" t="s">
        <v>152</v>
      </c>
      <c r="H5278" s="5" t="s">
        <v>15265</v>
      </c>
      <c r="I5278" s="5" t="s">
        <v>15287</v>
      </c>
      <c r="J5278" s="5" t="s">
        <v>15288</v>
      </c>
      <c r="K5278" s="7" t="str">
        <f ca="1">IFERROR(__xludf.DUMMYFUNCTION("GOOGLETRANSLATE(H5278,""EN"",""ES"")"),"CIGARRERAS, CIGARRERA, TARROS Y BOLSAS DE TABACO")</f>
        <v>CIGARRERAS, CIGARRERA, TARROS Y BOLSAS DE TABACO</v>
      </c>
      <c r="L5278" s="5" t="str">
        <f ca="1">IFERROR(__xludf.DUMMYFUNCTION("GOOGLETRANSLATE(J5278,""EN"",""ES"")"),"Estuches para papel de fumar")</f>
        <v>Estuches para papel de fumar</v>
      </c>
      <c r="M5278" s="8"/>
      <c r="N5278" s="8"/>
    </row>
    <row r="5279" spans="1:14" ht="11.25" customHeight="1">
      <c r="A5279" s="5" t="s">
        <v>15194</v>
      </c>
      <c r="B5279" s="5" t="s">
        <v>15263</v>
      </c>
      <c r="C5279" s="5" t="s">
        <v>15289</v>
      </c>
      <c r="D5279" s="5" t="s">
        <v>15197</v>
      </c>
      <c r="E5279" s="5" t="s">
        <v>15198</v>
      </c>
      <c r="F5279" s="5" t="s">
        <v>15199</v>
      </c>
      <c r="G5279" s="5" t="s">
        <v>152</v>
      </c>
      <c r="H5279" s="5" t="s">
        <v>15265</v>
      </c>
      <c r="I5279" s="5" t="s">
        <v>15290</v>
      </c>
      <c r="J5279" s="5" t="s">
        <v>15291</v>
      </c>
      <c r="K5279" s="7" t="str">
        <f ca="1">IFERROR(__xludf.DUMMYFUNCTION("GOOGLETRANSLATE(H5279,""EN"",""ES"")"),"CIGARRERAS, CIGARRERA, TARROS Y BOLSAS DE TABACO")</f>
        <v>CIGARRERAS, CIGARRERA, TARROS Y BOLSAS DE TABACO</v>
      </c>
      <c r="L5279" s="5" t="str">
        <f ca="1">IFERROR(__xludf.DUMMYFUNCTION("GOOGLETRANSLATE(J5279,""EN"",""ES"")"),"Humidores")</f>
        <v>Humidores</v>
      </c>
      <c r="M5279" s="8"/>
      <c r="N5279" s="8"/>
    </row>
    <row r="5280" spans="1:14" ht="11.25" customHeight="1">
      <c r="A5280" s="5" t="s">
        <v>15194</v>
      </c>
      <c r="B5280" s="5" t="s">
        <v>15263</v>
      </c>
      <c r="C5280" s="5" t="s">
        <v>15292</v>
      </c>
      <c r="D5280" s="5" t="s">
        <v>15197</v>
      </c>
      <c r="E5280" s="5" t="s">
        <v>15198</v>
      </c>
      <c r="F5280" s="5" t="s">
        <v>15199</v>
      </c>
      <c r="G5280" s="5" t="s">
        <v>152</v>
      </c>
      <c r="H5280" s="5" t="s">
        <v>15265</v>
      </c>
      <c r="I5280" s="5" t="s">
        <v>15293</v>
      </c>
      <c r="J5280" s="5" t="s">
        <v>15294</v>
      </c>
      <c r="K5280" s="7" t="str">
        <f ca="1">IFERROR(__xludf.DUMMYFUNCTION("GOOGLETRANSLATE(H5280,""EN"",""ES"")"),"CIGARRERAS, CIGARRERA, TARROS Y BOLSAS DE TABACO")</f>
        <v>CIGARRERAS, CIGARRERA, TARROS Y BOLSAS DE TABACO</v>
      </c>
      <c r="L5280" s="5" t="str">
        <f ca="1">IFERROR(__xludf.DUMMYFUNCTION("GOOGLETRANSLATE(J5280,""EN"",""ES"")"),"Estuches para cigarrillos electrónicos")</f>
        <v>Estuches para cigarrillos electrónicos</v>
      </c>
      <c r="M5280" s="8"/>
      <c r="N5280" s="8"/>
    </row>
    <row r="5281" spans="1:14" ht="11.25" customHeight="1">
      <c r="A5281" s="5" t="s">
        <v>15194</v>
      </c>
      <c r="B5281" s="5" t="s">
        <v>15263</v>
      </c>
      <c r="C5281" s="5" t="s">
        <v>15295</v>
      </c>
      <c r="D5281" s="5" t="s">
        <v>15197</v>
      </c>
      <c r="E5281" s="5" t="s">
        <v>15198</v>
      </c>
      <c r="F5281" s="5" t="s">
        <v>15199</v>
      </c>
      <c r="G5281" s="5" t="s">
        <v>152</v>
      </c>
      <c r="H5281" s="5" t="s">
        <v>15265</v>
      </c>
      <c r="I5281" s="5" t="s">
        <v>15296</v>
      </c>
      <c r="J5281" s="5" t="s">
        <v>15297</v>
      </c>
      <c r="K5281" s="7" t="str">
        <f ca="1">IFERROR(__xludf.DUMMYFUNCTION("GOOGLETRANSLATE(H5281,""EN"",""ES"")"),"CIGARRERAS, CIGARRERA, TARROS Y BOLSAS DE TABACO")</f>
        <v>CIGARRERAS, CIGARRERA, TARROS Y BOLSAS DE TABACO</v>
      </c>
      <c r="L5281" s="5" t="str">
        <f ca="1">IFERROR(__xludf.DUMMYFUNCTION("GOOGLETRANSLATE(J5281,""EN"",""ES"")"),"Estuches para cachimbas electrónicas")</f>
        <v>Estuches para cachimbas electrónicas</v>
      </c>
      <c r="M5281" s="8"/>
      <c r="N5281" s="8"/>
    </row>
    <row r="5282" spans="1:14" ht="11.25" customHeight="1">
      <c r="A5282" s="5" t="s">
        <v>15194</v>
      </c>
      <c r="B5282" s="5" t="s">
        <v>15298</v>
      </c>
      <c r="C5282" s="5" t="s">
        <v>15299</v>
      </c>
      <c r="D5282" s="5" t="s">
        <v>15197</v>
      </c>
      <c r="E5282" s="5" t="s">
        <v>15198</v>
      </c>
      <c r="F5282" s="5" t="s">
        <v>15199</v>
      </c>
      <c r="G5282" s="5" t="s">
        <v>152</v>
      </c>
      <c r="H5282" s="5" t="s">
        <v>15300</v>
      </c>
      <c r="I5282" s="5" t="s">
        <v>15301</v>
      </c>
      <c r="J5282" s="5" t="s">
        <v>15302</v>
      </c>
      <c r="K5282" s="7" t="str">
        <f ca="1">IFERROR(__xludf.DUMMYFUNCTION("GOOGLETRANSLATE(H5282,""EN"",""ES"")"),"Cigarrillos electrónicos Y OTROS ARTÍCULOS ELECTRÓNICOS PARA FUMAR")</f>
        <v>Cigarrillos electrónicos Y OTROS ARTÍCULOS ELECTRÓNICOS PARA FUMAR</v>
      </c>
      <c r="L5282" s="5" t="str">
        <f ca="1">IFERROR(__xludf.DUMMYFUNCTION("GOOGLETRANSLATE(J5282,""EN"",""ES"")"),"Cigarrillos electrónicos")</f>
        <v>Cigarrillos electrónicos</v>
      </c>
      <c r="M5282" s="8"/>
      <c r="N5282" s="8"/>
    </row>
    <row r="5283" spans="1:14" ht="11.25" customHeight="1">
      <c r="A5283" s="5" t="s">
        <v>15194</v>
      </c>
      <c r="B5283" s="5" t="s">
        <v>15298</v>
      </c>
      <c r="C5283" s="5" t="s">
        <v>15303</v>
      </c>
      <c r="D5283" s="5" t="s">
        <v>15197</v>
      </c>
      <c r="E5283" s="5" t="s">
        <v>15198</v>
      </c>
      <c r="F5283" s="5" t="s">
        <v>15199</v>
      </c>
      <c r="G5283" s="5" t="s">
        <v>152</v>
      </c>
      <c r="H5283" s="5" t="s">
        <v>15300</v>
      </c>
      <c r="I5283" s="5" t="s">
        <v>15304</v>
      </c>
      <c r="J5283" s="5" t="s">
        <v>15305</v>
      </c>
      <c r="K5283" s="7" t="str">
        <f ca="1">IFERROR(__xludf.DUMMYFUNCTION("GOOGLETRANSLATE(H5283,""EN"",""ES"")"),"Cigarrillos electrónicos Y OTROS ARTÍCULOS ELECTRÓNICOS PARA FUMAR")</f>
        <v>Cigarrillos electrónicos Y OTROS ARTÍCULOS ELECTRÓNICOS PARA FUMAR</v>
      </c>
      <c r="L5283" s="5" t="str">
        <f ca="1">IFERROR(__xludf.DUMMYFUNCTION("GOOGLETRANSLATE(J5283,""EN"",""ES"")"),"cachimbas electrónicas")</f>
        <v>cachimbas electrónicas</v>
      </c>
      <c r="M5283" s="8"/>
      <c r="N5283" s="8"/>
    </row>
    <row r="5284" spans="1:14" ht="11.25" customHeight="1">
      <c r="A5284" s="5" t="s">
        <v>15194</v>
      </c>
      <c r="B5284" s="5" t="s">
        <v>15298</v>
      </c>
      <c r="C5284" s="5" t="s">
        <v>15306</v>
      </c>
      <c r="D5284" s="5" t="s">
        <v>15197</v>
      </c>
      <c r="E5284" s="5" t="s">
        <v>15198</v>
      </c>
      <c r="F5284" s="5" t="s">
        <v>15199</v>
      </c>
      <c r="G5284" s="5" t="s">
        <v>152</v>
      </c>
      <c r="H5284" s="5" t="s">
        <v>15300</v>
      </c>
      <c r="I5284" s="5" t="s">
        <v>15307</v>
      </c>
      <c r="J5284" s="5" t="s">
        <v>15308</v>
      </c>
      <c r="K5284" s="7" t="str">
        <f ca="1">IFERROR(__xludf.DUMMYFUNCTION("GOOGLETRANSLATE(H5284,""EN"",""ES"")"),"Cigarrillos electrónicos Y OTROS ARTÍCULOS ELECTRÓNICOS PARA FUMAR")</f>
        <v>Cigarrillos electrónicos Y OTROS ARTÍCULOS ELECTRÓNICOS PARA FUMAR</v>
      </c>
      <c r="L5284" s="5" t="str">
        <f ca="1">IFERROR(__xludf.DUMMYFUNCTION("GOOGLETRANSLATE(J5284,""EN"",""ES"")"),"pipas de tabaco electrónicas")</f>
        <v>pipas de tabaco electrónicas</v>
      </c>
      <c r="M5284" s="8"/>
      <c r="N5284" s="8"/>
    </row>
    <row r="5285" spans="1:14" ht="11.25" customHeight="1">
      <c r="A5285" s="5" t="s">
        <v>15194</v>
      </c>
      <c r="B5285" s="5" t="s">
        <v>15309</v>
      </c>
      <c r="C5285" s="5" t="s">
        <v>15310</v>
      </c>
      <c r="D5285" s="5" t="s">
        <v>15197</v>
      </c>
      <c r="E5285" s="5" t="s">
        <v>15198</v>
      </c>
      <c r="F5285" s="5" t="s">
        <v>15199</v>
      </c>
      <c r="G5285" s="5" t="s">
        <v>152</v>
      </c>
      <c r="H5285" s="5" t="s">
        <v>330</v>
      </c>
      <c r="I5285" s="5" t="s">
        <v>15311</v>
      </c>
      <c r="J5285" s="5" t="s">
        <v>15312</v>
      </c>
      <c r="K5285" s="7" t="str">
        <f ca="1">IFERROR(__xludf.DUMMYFUNCTION("GOOGLETRANSLATE(H5285,""EN"",""ES"")"),"MISCELÁNEAS")</f>
        <v>MISCELÁNEAS</v>
      </c>
      <c r="L5285" s="5" t="str">
        <f ca="1">IFERROR(__xludf.DUMMYFUNCTION("GOOGLETRANSLATE(J5285,""EN"",""ES"")"),"Titulares del partido")</f>
        <v>Titulares del partido</v>
      </c>
      <c r="M5285" s="8"/>
      <c r="N5285" s="8"/>
    </row>
    <row r="5286" spans="1:14" ht="11.25" customHeight="1">
      <c r="A5286" s="5" t="s">
        <v>15194</v>
      </c>
      <c r="B5286" s="5" t="s">
        <v>15309</v>
      </c>
      <c r="C5286" s="5" t="s">
        <v>15313</v>
      </c>
      <c r="D5286" s="5" t="s">
        <v>15197</v>
      </c>
      <c r="E5286" s="5" t="s">
        <v>15198</v>
      </c>
      <c r="F5286" s="5" t="s">
        <v>15199</v>
      </c>
      <c r="G5286" s="5" t="s">
        <v>152</v>
      </c>
      <c r="H5286" s="5" t="s">
        <v>330</v>
      </c>
      <c r="I5286" s="5" t="s">
        <v>15314</v>
      </c>
      <c r="J5286" s="5" t="s">
        <v>15315</v>
      </c>
      <c r="K5286" s="7" t="str">
        <f ca="1">IFERROR(__xludf.DUMMYFUNCTION("GOOGLETRANSLATE(H5286,""EN"",""ES"")"),"MISCELÁNEAS")</f>
        <v>MISCELÁNEAS</v>
      </c>
      <c r="L5286" s="5" t="str">
        <f ca="1">IFERROR(__xludf.DUMMYFUNCTION("GOOGLETRANSLATE(J5286,""EN"",""ES"")"),"Manipuladores de tabaco")</f>
        <v>Manipuladores de tabaco</v>
      </c>
      <c r="M5286" s="8"/>
      <c r="N5286" s="8"/>
    </row>
    <row r="5287" spans="1:14" ht="11.25" customHeight="1">
      <c r="A5287" s="5" t="s">
        <v>15194</v>
      </c>
      <c r="B5287" s="5" t="s">
        <v>15309</v>
      </c>
      <c r="C5287" s="5" t="s">
        <v>15316</v>
      </c>
      <c r="D5287" s="5" t="s">
        <v>15197</v>
      </c>
      <c r="E5287" s="5" t="s">
        <v>15198</v>
      </c>
      <c r="F5287" s="5" t="s">
        <v>15199</v>
      </c>
      <c r="G5287" s="5" t="s">
        <v>152</v>
      </c>
      <c r="H5287" s="5" t="s">
        <v>330</v>
      </c>
      <c r="I5287" s="5" t="s">
        <v>15317</v>
      </c>
      <c r="J5287" s="5" t="s">
        <v>15318</v>
      </c>
      <c r="K5287" s="7" t="str">
        <f ca="1">IFERROR(__xludf.DUMMYFUNCTION("GOOGLETRANSLATE(H5287,""EN"",""ES"")"),"MISCELÁNEAS")</f>
        <v>MISCELÁNEAS</v>
      </c>
      <c r="L5287" s="5" t="str">
        <f ca="1">IFERROR(__xludf.DUMMYFUNCTION("GOOGLETRANSLATE(J5287,""EN"",""ES"")"),"Limpiadores para pipas de tabaco")</f>
        <v>Limpiadores para pipas de tabaco</v>
      </c>
      <c r="M5287" s="8"/>
      <c r="N5287" s="8"/>
    </row>
    <row r="5288" spans="1:14" ht="11.25" customHeight="1">
      <c r="A5288" s="5" t="s">
        <v>15194</v>
      </c>
      <c r="B5288" s="5" t="s">
        <v>15309</v>
      </c>
      <c r="C5288" s="5" t="s">
        <v>15319</v>
      </c>
      <c r="D5288" s="5" t="s">
        <v>15197</v>
      </c>
      <c r="E5288" s="5" t="s">
        <v>15198</v>
      </c>
      <c r="F5288" s="5" t="s">
        <v>15199</v>
      </c>
      <c r="G5288" s="5" t="s">
        <v>152</v>
      </c>
      <c r="H5288" s="5" t="s">
        <v>330</v>
      </c>
      <c r="I5288" s="5" t="s">
        <v>15320</v>
      </c>
      <c r="J5288" s="5" t="s">
        <v>15321</v>
      </c>
      <c r="K5288" s="7" t="str">
        <f ca="1">IFERROR(__xludf.DUMMYFUNCTION("GOOGLETRANSLATE(H5288,""EN"",""ES"")"),"MISCELÁNEAS")</f>
        <v>MISCELÁNEAS</v>
      </c>
      <c r="L5288" s="5" t="str">
        <f ca="1">IFERROR(__xludf.DUMMYFUNCTION("GOOGLETRANSLATE(J5288,""EN"",""ES"")"),"Raspadores de pipa de tabaco")</f>
        <v>Raspadores de pipa de tabaco</v>
      </c>
      <c r="M5288" s="8"/>
      <c r="N5288" s="8"/>
    </row>
    <row r="5289" spans="1:14" ht="11.25" customHeight="1">
      <c r="A5289" s="5" t="s">
        <v>15194</v>
      </c>
      <c r="B5289" s="5" t="s">
        <v>15309</v>
      </c>
      <c r="C5289" s="5" t="s">
        <v>15322</v>
      </c>
      <c r="D5289" s="5" t="s">
        <v>15197</v>
      </c>
      <c r="E5289" s="5" t="s">
        <v>15198</v>
      </c>
      <c r="F5289" s="5" t="s">
        <v>15199</v>
      </c>
      <c r="G5289" s="5" t="s">
        <v>152</v>
      </c>
      <c r="H5289" s="5" t="s">
        <v>330</v>
      </c>
      <c r="I5289" s="5" t="s">
        <v>15323</v>
      </c>
      <c r="J5289" s="5" t="s">
        <v>15324</v>
      </c>
      <c r="K5289" s="7" t="str">
        <f ca="1">IFERROR(__xludf.DUMMYFUNCTION("GOOGLETRANSLATE(H5289,""EN"",""ES"")"),"MISCELÁNEAS")</f>
        <v>MISCELÁNEAS</v>
      </c>
      <c r="L5289" s="5" t="str">
        <f ca="1">IFERROR(__xludf.DUMMYFUNCTION("GOOGLETRANSLATE(J5289,""EN"",""ES"")"),"papel de fumar")</f>
        <v>papel de fumar</v>
      </c>
      <c r="M5289" s="8"/>
      <c r="N5289" s="8"/>
    </row>
    <row r="5290" spans="1:14" ht="11.25" customHeight="1">
      <c r="A5290" s="5" t="s">
        <v>15194</v>
      </c>
      <c r="B5290" s="5" t="s">
        <v>15309</v>
      </c>
      <c r="C5290" s="5" t="s">
        <v>15325</v>
      </c>
      <c r="D5290" s="5" t="s">
        <v>15197</v>
      </c>
      <c r="E5290" s="5" t="s">
        <v>15198</v>
      </c>
      <c r="F5290" s="5" t="s">
        <v>15199</v>
      </c>
      <c r="G5290" s="5" t="s">
        <v>152</v>
      </c>
      <c r="H5290" s="5" t="s">
        <v>330</v>
      </c>
      <c r="I5290" s="5" t="s">
        <v>15326</v>
      </c>
      <c r="J5290" s="5" t="s">
        <v>15327</v>
      </c>
      <c r="K5290" s="7" t="str">
        <f ca="1">IFERROR(__xludf.DUMMYFUNCTION("GOOGLETRANSLATE(H5290,""EN"",""ES"")"),"MISCELÁNEAS")</f>
        <v>MISCELÁNEAS</v>
      </c>
      <c r="L5290" s="5" t="str">
        <f ca="1">IFERROR(__xludf.DUMMYFUNCTION("GOOGLETRANSLATE(J5290,""EN"",""ES"")"),"Extintores de cigarrillos")</f>
        <v>Extintores de cigarrillos</v>
      </c>
      <c r="M5290" s="8"/>
      <c r="N5290" s="8"/>
    </row>
    <row r="5291" spans="1:14" ht="11.25" customHeight="1">
      <c r="A5291" s="5" t="s">
        <v>15194</v>
      </c>
      <c r="B5291" s="5" t="s">
        <v>15309</v>
      </c>
      <c r="C5291" s="5" t="s">
        <v>15328</v>
      </c>
      <c r="D5291" s="5" t="s">
        <v>15197</v>
      </c>
      <c r="E5291" s="5" t="s">
        <v>15198</v>
      </c>
      <c r="F5291" s="5" t="s">
        <v>15199</v>
      </c>
      <c r="G5291" s="5" t="s">
        <v>152</v>
      </c>
      <c r="H5291" s="5" t="s">
        <v>330</v>
      </c>
      <c r="I5291" s="5" t="s">
        <v>15329</v>
      </c>
      <c r="J5291" s="5" t="s">
        <v>15330</v>
      </c>
      <c r="K5291" s="7" t="str">
        <f ca="1">IFERROR(__xludf.DUMMYFUNCTION("GOOGLETRANSLATE(H5291,""EN"",""ES"")"),"MISCELÁNEAS")</f>
        <v>MISCELÁNEAS</v>
      </c>
      <c r="L5291" s="5" t="str">
        <f ca="1">IFERROR(__xludf.DUMMYFUNCTION("GOOGLETRANSLATE(J5291,""EN"",""ES"")"),"Soportes para tuberías")</f>
        <v>Soportes para tuberías</v>
      </c>
      <c r="M5291" s="8"/>
      <c r="N5291" s="8"/>
    </row>
    <row r="5292" spans="1:14" ht="11.25" customHeight="1">
      <c r="A5292" s="5" t="s">
        <v>15194</v>
      </c>
      <c r="B5292" s="5" t="s">
        <v>15309</v>
      </c>
      <c r="C5292" s="5" t="s">
        <v>15331</v>
      </c>
      <c r="D5292" s="5" t="s">
        <v>15197</v>
      </c>
      <c r="E5292" s="5" t="s">
        <v>15198</v>
      </c>
      <c r="F5292" s="5" t="s">
        <v>15199</v>
      </c>
      <c r="G5292" s="5" t="s">
        <v>152</v>
      </c>
      <c r="H5292" s="5" t="s">
        <v>330</v>
      </c>
      <c r="I5292" s="5" t="s">
        <v>15332</v>
      </c>
      <c r="J5292" s="5" t="s">
        <v>15333</v>
      </c>
      <c r="K5292" s="7" t="str">
        <f ca="1">IFERROR(__xludf.DUMMYFUNCTION("GOOGLETRANSLATE(H5292,""EN"",""ES"")"),"MISCELÁNEAS")</f>
        <v>MISCELÁNEAS</v>
      </c>
      <c r="L5292" s="5" t="str">
        <f ca="1">IFERROR(__xludf.DUMMYFUNCTION("GOOGLETRANSLATE(J5292,""EN"",""ES"")"),"Porta encendedores")</f>
        <v>Porta encendedores</v>
      </c>
      <c r="M5292" s="8"/>
      <c r="N5292" s="8"/>
    </row>
    <row r="5293" spans="1:14" ht="11.25" customHeight="1">
      <c r="A5293" s="5" t="s">
        <v>15194</v>
      </c>
      <c r="B5293" s="5" t="s">
        <v>15309</v>
      </c>
      <c r="C5293" s="5" t="s">
        <v>15334</v>
      </c>
      <c r="D5293" s="5" t="s">
        <v>15197</v>
      </c>
      <c r="E5293" s="5" t="s">
        <v>15198</v>
      </c>
      <c r="F5293" s="5" t="s">
        <v>15199</v>
      </c>
      <c r="G5293" s="5" t="s">
        <v>152</v>
      </c>
      <c r="H5293" s="5" t="s">
        <v>330</v>
      </c>
      <c r="I5293" s="5" t="s">
        <v>15335</v>
      </c>
      <c r="J5293" s="5" t="s">
        <v>15336</v>
      </c>
      <c r="K5293" s="7" t="str">
        <f ca="1">IFERROR(__xludf.DUMMYFUNCTION("GOOGLETRANSLATE(H5293,""EN"",""ES"")"),"MISCELÁNEAS")</f>
        <v>MISCELÁNEAS</v>
      </c>
      <c r="L5293" s="5" t="str">
        <f ca="1">IFERROR(__xludf.DUMMYFUNCTION("GOOGLETRANSLATE(J5293,""EN"",""ES"")"),"cortapuros")</f>
        <v>cortapuros</v>
      </c>
      <c r="M5293" s="8"/>
      <c r="N5293" s="8"/>
    </row>
    <row r="5294" spans="1:14" ht="11.25" customHeight="1">
      <c r="A5294" s="5" t="s">
        <v>15194</v>
      </c>
      <c r="B5294" s="5" t="s">
        <v>15309</v>
      </c>
      <c r="C5294" s="5" t="s">
        <v>15337</v>
      </c>
      <c r="D5294" s="5" t="s">
        <v>15197</v>
      </c>
      <c r="E5294" s="5" t="s">
        <v>15198</v>
      </c>
      <c r="F5294" s="5" t="s">
        <v>15199</v>
      </c>
      <c r="G5294" s="5" t="s">
        <v>152</v>
      </c>
      <c r="H5294" s="5" t="s">
        <v>330</v>
      </c>
      <c r="I5294" s="5" t="s">
        <v>15338</v>
      </c>
      <c r="J5294" s="5" t="s">
        <v>15339</v>
      </c>
      <c r="K5294" s="7" t="str">
        <f ca="1">IFERROR(__xludf.DUMMYFUNCTION("GOOGLETRANSLATE(H5294,""EN"",""ES"")"),"MISCELÁNEAS")</f>
        <v>MISCELÁNEAS</v>
      </c>
      <c r="L5294" s="5" t="str">
        <f ca="1">IFERROR(__xludf.DUMMYFUNCTION("GOOGLETRANSLATE(J5294,""EN"",""ES"")"),"Aparato portátil para liar cigarrillos.")</f>
        <v>Aparato portátil para liar cigarrillos.</v>
      </c>
      <c r="M5294" s="8"/>
      <c r="N5294" s="8"/>
    </row>
    <row r="5295" spans="1:14" ht="11.25" customHeight="1">
      <c r="A5295" s="5" t="s">
        <v>15340</v>
      </c>
      <c r="B5295" s="5" t="s">
        <v>15341</v>
      </c>
      <c r="C5295" s="5" t="s">
        <v>15342</v>
      </c>
      <c r="D5295" s="5" t="s">
        <v>15343</v>
      </c>
      <c r="E5295" s="5" t="s">
        <v>87</v>
      </c>
      <c r="F5295" s="5" t="s">
        <v>15344</v>
      </c>
      <c r="G5295" s="5" t="s">
        <v>15345</v>
      </c>
      <c r="H5295" s="5" t="s">
        <v>15346</v>
      </c>
      <c r="I5295" s="5" t="s">
        <v>15347</v>
      </c>
      <c r="J5295" s="5" t="s">
        <v>15348</v>
      </c>
      <c r="K5295" s="7" t="str">
        <f ca="1">IFERROR(__xludf.DUMMYFUNCTION("GOOGLETRANSLATE(H5295,""EN"",""ES"")"),"PRODUCTOS FARMACÉUTICOS")</f>
        <v>PRODUCTOS FARMACÉUTICOS</v>
      </c>
      <c r="L5295" s="5" t="str">
        <f ca="1">IFERROR(__xludf.DUMMYFUNCTION("GOOGLETRANSLATE(J5295,""EN"",""ES"")"),"Anticonceptivos")</f>
        <v>Anticonceptivos</v>
      </c>
      <c r="M5295" s="8" t="s">
        <v>86</v>
      </c>
      <c r="N5295" s="8"/>
    </row>
    <row r="5296" spans="1:14" ht="11.25" customHeight="1">
      <c r="A5296" s="5" t="s">
        <v>15340</v>
      </c>
      <c r="B5296" s="5" t="s">
        <v>15341</v>
      </c>
      <c r="C5296" s="5" t="s">
        <v>15349</v>
      </c>
      <c r="D5296" s="5" t="s">
        <v>15343</v>
      </c>
      <c r="E5296" s="5" t="s">
        <v>87</v>
      </c>
      <c r="F5296" s="5" t="s">
        <v>15344</v>
      </c>
      <c r="G5296" s="5" t="s">
        <v>15345</v>
      </c>
      <c r="H5296" s="5" t="s">
        <v>15346</v>
      </c>
      <c r="I5296" s="5" t="s">
        <v>15350</v>
      </c>
      <c r="J5296" s="5" t="s">
        <v>15351</v>
      </c>
      <c r="K5296" s="7" t="str">
        <f ca="1">IFERROR(__xludf.DUMMYFUNCTION("GOOGLETRANSLATE(H5296,""EN"",""ES"")"),"PRODUCTOS FARMACÉUTICOS")</f>
        <v>PRODUCTOS FARMACÉUTICOS</v>
      </c>
      <c r="L5296" s="5" t="str">
        <f ca="1">IFERROR(__xludf.DUMMYFUNCTION("GOOGLETRANSLATE(J5296,""EN"",""ES"")"),"Sellos farmacéuticos.")</f>
        <v>Sellos farmacéuticos.</v>
      </c>
      <c r="M5296" s="8" t="s">
        <v>86</v>
      </c>
      <c r="N5296" s="8"/>
    </row>
    <row r="5297" spans="1:14" ht="11.25" customHeight="1">
      <c r="A5297" s="5" t="s">
        <v>15340</v>
      </c>
      <c r="B5297" s="5" t="s">
        <v>15341</v>
      </c>
      <c r="C5297" s="5" t="s">
        <v>15352</v>
      </c>
      <c r="D5297" s="5" t="s">
        <v>15343</v>
      </c>
      <c r="E5297" s="5" t="s">
        <v>87</v>
      </c>
      <c r="F5297" s="5" t="s">
        <v>15344</v>
      </c>
      <c r="G5297" s="5" t="s">
        <v>15345</v>
      </c>
      <c r="H5297" s="5" t="s">
        <v>15346</v>
      </c>
      <c r="I5297" s="5" t="s">
        <v>15353</v>
      </c>
      <c r="J5297" s="5" t="s">
        <v>15354</v>
      </c>
      <c r="K5297" s="7" t="str">
        <f ca="1">IFERROR(__xludf.DUMMYFUNCTION("GOOGLETRANSLATE(H5297,""EN"",""ES"")"),"PRODUCTOS FARMACÉUTICOS")</f>
        <v>PRODUCTOS FARMACÉUTICOS</v>
      </c>
      <c r="L5297" s="5" t="str">
        <f ca="1">IFERROR(__xludf.DUMMYFUNCTION("GOOGLETRANSLATE(J5297,""EN"",""ES"")"),"Cápsulas farmacéuticas.")</f>
        <v>Cápsulas farmacéuticas.</v>
      </c>
      <c r="M5297" s="8" t="s">
        <v>86</v>
      </c>
      <c r="N5297" s="8"/>
    </row>
    <row r="5298" spans="1:14" ht="11.25" customHeight="1">
      <c r="A5298" s="5" t="s">
        <v>15340</v>
      </c>
      <c r="B5298" s="5" t="s">
        <v>15341</v>
      </c>
      <c r="C5298" s="5" t="s">
        <v>15355</v>
      </c>
      <c r="D5298" s="5" t="s">
        <v>15343</v>
      </c>
      <c r="E5298" s="5" t="s">
        <v>87</v>
      </c>
      <c r="F5298" s="5" t="s">
        <v>15344</v>
      </c>
      <c r="G5298" s="5" t="s">
        <v>15345</v>
      </c>
      <c r="H5298" s="5" t="s">
        <v>15346</v>
      </c>
      <c r="I5298" s="5" t="s">
        <v>15356</v>
      </c>
      <c r="J5298" s="5" t="s">
        <v>15357</v>
      </c>
      <c r="K5298" s="7" t="str">
        <f ca="1">IFERROR(__xludf.DUMMYFUNCTION("GOOGLETRANSLATE(H5298,""EN"",""ES"")"),"PRODUCTOS FARMACÉUTICOS")</f>
        <v>PRODUCTOS FARMACÉUTICOS</v>
      </c>
      <c r="L5298" s="5" t="str">
        <f ca="1">IFERROR(__xludf.DUMMYFUNCTION("GOOGLETRANSLATE(J5298,""EN"",""ES"")"),"tabletas farmaceuticas")</f>
        <v>tabletas farmaceuticas</v>
      </c>
      <c r="M5298" s="8" t="s">
        <v>86</v>
      </c>
      <c r="N5298" s="8"/>
    </row>
    <row r="5299" spans="1:14" ht="11.25" customHeight="1">
      <c r="A5299" s="5" t="s">
        <v>15340</v>
      </c>
      <c r="B5299" s="5" t="s">
        <v>15341</v>
      </c>
      <c r="C5299" s="5" t="s">
        <v>15355</v>
      </c>
      <c r="D5299" s="5" t="s">
        <v>15343</v>
      </c>
      <c r="E5299" s="5" t="s">
        <v>87</v>
      </c>
      <c r="F5299" s="5" t="s">
        <v>15344</v>
      </c>
      <c r="G5299" s="5" t="s">
        <v>15345</v>
      </c>
      <c r="H5299" s="5" t="s">
        <v>15346</v>
      </c>
      <c r="I5299" s="5" t="s">
        <v>152</v>
      </c>
      <c r="J5299" s="5" t="s">
        <v>15358</v>
      </c>
      <c r="K5299" s="7" t="str">
        <f ca="1">IFERROR(__xludf.DUMMYFUNCTION("GOOGLETRANSLATE(H5299,""EN"",""ES"")"),"PRODUCTOS FARMACÉUTICOS")</f>
        <v>PRODUCTOS FARMACÉUTICOS</v>
      </c>
      <c r="L5299" s="5" t="str">
        <f ca="1">IFERROR(__xludf.DUMMYFUNCTION("GOOGLETRANSLATE(J5299,""EN"",""ES"")"),"N / A")</f>
        <v>N / A</v>
      </c>
      <c r="M5299" s="8" t="s">
        <v>86</v>
      </c>
      <c r="N5299" s="8"/>
    </row>
    <row r="5300" spans="1:14" ht="11.25" customHeight="1">
      <c r="A5300" s="5" t="s">
        <v>15340</v>
      </c>
      <c r="B5300" s="5" t="s">
        <v>15341</v>
      </c>
      <c r="C5300" s="5" t="s">
        <v>15359</v>
      </c>
      <c r="D5300" s="5" t="s">
        <v>15343</v>
      </c>
      <c r="E5300" s="5" t="s">
        <v>87</v>
      </c>
      <c r="F5300" s="5" t="s">
        <v>15344</v>
      </c>
      <c r="G5300" s="5" t="s">
        <v>15345</v>
      </c>
      <c r="H5300" s="5" t="s">
        <v>15346</v>
      </c>
      <c r="I5300" s="5" t="s">
        <v>15360</v>
      </c>
      <c r="J5300" s="5" t="s">
        <v>15361</v>
      </c>
      <c r="K5300" s="7" t="str">
        <f ca="1">IFERROR(__xludf.DUMMYFUNCTION("GOOGLETRANSLATE(H5300,""EN"",""ES"")"),"PRODUCTOS FARMACÉUTICOS")</f>
        <v>PRODUCTOS FARMACÉUTICOS</v>
      </c>
      <c r="L5300" s="5" t="str">
        <f ca="1">IFERROR(__xludf.DUMMYFUNCTION("GOOGLETRANSLATE(J5300,""EN"",""ES"")"),"Pastillas")</f>
        <v>Pastillas</v>
      </c>
      <c r="M5300" s="8" t="s">
        <v>86</v>
      </c>
      <c r="N5300" s="8"/>
    </row>
    <row r="5301" spans="1:14" ht="11.25" customHeight="1">
      <c r="A5301" s="5" t="s">
        <v>15340</v>
      </c>
      <c r="B5301" s="5" t="s">
        <v>15341</v>
      </c>
      <c r="C5301" s="5" t="s">
        <v>15362</v>
      </c>
      <c r="D5301" s="5" t="s">
        <v>15343</v>
      </c>
      <c r="E5301" s="5" t="s">
        <v>87</v>
      </c>
      <c r="F5301" s="5" t="s">
        <v>15344</v>
      </c>
      <c r="G5301" s="5" t="s">
        <v>15345</v>
      </c>
      <c r="H5301" s="5" t="s">
        <v>15346</v>
      </c>
      <c r="I5301" s="5" t="s">
        <v>15363</v>
      </c>
      <c r="J5301" s="5" t="s">
        <v>15364</v>
      </c>
      <c r="K5301" s="7" t="str">
        <f ca="1">IFERROR(__xludf.DUMMYFUNCTION("GOOGLETRANSLATE(H5301,""EN"",""ES"")"),"PRODUCTOS FARMACÉUTICOS")</f>
        <v>PRODUCTOS FARMACÉUTICOS</v>
      </c>
      <c r="L5301" s="5" t="str">
        <f ca="1">IFERROR(__xludf.DUMMYFUNCTION("GOOGLETRANSLATE(J5301,""EN"",""ES"")"),"Pastillas")</f>
        <v>Pastillas</v>
      </c>
      <c r="M5301" s="8" t="s">
        <v>86</v>
      </c>
      <c r="N5301" s="8"/>
    </row>
    <row r="5302" spans="1:14" ht="11.25" customHeight="1">
      <c r="A5302" s="5" t="s">
        <v>15340</v>
      </c>
      <c r="B5302" s="5" t="s">
        <v>15341</v>
      </c>
      <c r="C5302" s="5" t="s">
        <v>15365</v>
      </c>
      <c r="D5302" s="5" t="s">
        <v>15343</v>
      </c>
      <c r="E5302" s="5" t="s">
        <v>87</v>
      </c>
      <c r="F5302" s="5" t="s">
        <v>15344</v>
      </c>
      <c r="G5302" s="5" t="s">
        <v>15345</v>
      </c>
      <c r="H5302" s="5" t="s">
        <v>15346</v>
      </c>
      <c r="I5302" s="5" t="s">
        <v>15366</v>
      </c>
      <c r="J5302" s="5" t="s">
        <v>15367</v>
      </c>
      <c r="K5302" s="7" t="str">
        <f ca="1">IFERROR(__xludf.DUMMYFUNCTION("GOOGLETRANSLATE(H5302,""EN"",""ES"")"),"PRODUCTOS FARMACÉUTICOS")</f>
        <v>PRODUCTOS FARMACÉUTICOS</v>
      </c>
      <c r="L5302" s="5" t="str">
        <f ca="1">IFERROR(__xludf.DUMMYFUNCTION("GOOGLETRANSLATE(J5302,""EN"",""ES"")"),"Supositorios")</f>
        <v>Supositorios</v>
      </c>
      <c r="M5302" s="8" t="s">
        <v>86</v>
      </c>
      <c r="N5302" s="8"/>
    </row>
    <row r="5303" spans="1:14" ht="11.25" customHeight="1">
      <c r="A5303" s="5" t="s">
        <v>15340</v>
      </c>
      <c r="B5303" s="5" t="s">
        <v>15341</v>
      </c>
      <c r="C5303" s="5" t="s">
        <v>15368</v>
      </c>
      <c r="D5303" s="5" t="s">
        <v>15343</v>
      </c>
      <c r="E5303" s="5" t="s">
        <v>87</v>
      </c>
      <c r="F5303" s="5" t="s">
        <v>15344</v>
      </c>
      <c r="G5303" s="5" t="s">
        <v>15345</v>
      </c>
      <c r="H5303" s="5" t="s">
        <v>15346</v>
      </c>
      <c r="I5303" s="5" t="s">
        <v>15369</v>
      </c>
      <c r="J5303" s="5" t="s">
        <v>15370</v>
      </c>
      <c r="K5303" s="7" t="str">
        <f ca="1">IFERROR(__xludf.DUMMYFUNCTION("GOOGLETRANSLATE(H5303,""EN"",""ES"")"),"PRODUCTOS FARMACÉUTICOS")</f>
        <v>PRODUCTOS FARMACÉUTICOS</v>
      </c>
      <c r="L5303" s="5" t="str">
        <f ca="1">IFERROR(__xludf.DUMMYFUNCTION("GOOGLETRANSLATE(J5303,""EN"",""ES"")"),"Tabletas de suplementos dietéticos")</f>
        <v>Tabletas de suplementos dietéticos</v>
      </c>
      <c r="M5303" s="8" t="s">
        <v>86</v>
      </c>
      <c r="N5303" s="8"/>
    </row>
    <row r="5304" spans="1:14" ht="11.25" customHeight="1">
      <c r="A5304" s="5" t="s">
        <v>15340</v>
      </c>
      <c r="B5304" s="5" t="s">
        <v>15371</v>
      </c>
      <c r="C5304" s="5" t="s">
        <v>15372</v>
      </c>
      <c r="D5304" s="5" t="s">
        <v>15343</v>
      </c>
      <c r="E5304" s="5" t="s">
        <v>87</v>
      </c>
      <c r="F5304" s="5" t="s">
        <v>15344</v>
      </c>
      <c r="G5304" s="5" t="s">
        <v>15345</v>
      </c>
      <c r="H5304" s="5" t="s">
        <v>15373</v>
      </c>
      <c r="I5304" s="5" t="s">
        <v>15374</v>
      </c>
      <c r="J5304" s="5" t="s">
        <v>15375</v>
      </c>
      <c r="K5304" s="7" t="str">
        <f ca="1">IFERROR(__xludf.DUMMYFUNCTION("GOOGLETRANSLATE(H5304,""EN"",""ES"")"),"PRODUCTOS COSMÉTICOS")</f>
        <v>PRODUCTOS COSMÉTICOS</v>
      </c>
      <c r="L5304" s="5" t="str">
        <f ca="1">IFERROR(__xludf.DUMMYFUNCTION("GOOGLETRANSLATE(J5304,""EN"",""ES"")"),"Lápices astringentes")</f>
        <v>Lápices astringentes</v>
      </c>
      <c r="M5304" s="8" t="s">
        <v>86</v>
      </c>
      <c r="N5304" s="8"/>
    </row>
    <row r="5305" spans="1:14" ht="11.25" customHeight="1">
      <c r="A5305" s="5" t="s">
        <v>15340</v>
      </c>
      <c r="B5305" s="5" t="s">
        <v>15371</v>
      </c>
      <c r="C5305" s="5" t="s">
        <v>15376</v>
      </c>
      <c r="D5305" s="5" t="s">
        <v>15343</v>
      </c>
      <c r="E5305" s="5" t="s">
        <v>87</v>
      </c>
      <c r="F5305" s="5" t="s">
        <v>15344</v>
      </c>
      <c r="G5305" s="5" t="s">
        <v>15345</v>
      </c>
      <c r="H5305" s="5" t="s">
        <v>15373</v>
      </c>
      <c r="I5305" s="5" t="s">
        <v>15377</v>
      </c>
      <c r="J5305" s="5" t="s">
        <v>15378</v>
      </c>
      <c r="K5305" s="7" t="str">
        <f ca="1">IFERROR(__xludf.DUMMYFUNCTION("GOOGLETRANSLATE(H5305,""EN"",""ES"")"),"PRODUCTOS COSMÉTICOS")</f>
        <v>PRODUCTOS COSMÉTICOS</v>
      </c>
      <c r="L5305" s="5" t="str">
        <f ca="1">IFERROR(__xludf.DUMMYFUNCTION("GOOGLETRANSLATE(J5305,""EN"",""ES"")"),"Barras desodorantes")</f>
        <v>Barras desodorantes</v>
      </c>
      <c r="M5305" s="8" t="s">
        <v>86</v>
      </c>
      <c r="N5305" s="8"/>
    </row>
    <row r="5306" spans="1:14" ht="11.25" customHeight="1">
      <c r="A5306" s="5" t="s">
        <v>15340</v>
      </c>
      <c r="B5306" s="5" t="s">
        <v>15371</v>
      </c>
      <c r="C5306" s="5" t="s">
        <v>15379</v>
      </c>
      <c r="D5306" s="5" t="s">
        <v>15343</v>
      </c>
      <c r="E5306" s="5" t="s">
        <v>87</v>
      </c>
      <c r="F5306" s="5" t="s">
        <v>15344</v>
      </c>
      <c r="G5306" s="5" t="s">
        <v>15345</v>
      </c>
      <c r="H5306" s="5" t="s">
        <v>15373</v>
      </c>
      <c r="I5306" s="5" t="s">
        <v>15380</v>
      </c>
      <c r="J5306" s="5" t="s">
        <v>15381</v>
      </c>
      <c r="K5306" s="7" t="str">
        <f ca="1">IFERROR(__xludf.DUMMYFUNCTION("GOOGLETRANSLATE(H5306,""EN"",""ES"")"),"PRODUCTOS COSMÉTICOS")</f>
        <v>PRODUCTOS COSMÉTICOS</v>
      </c>
      <c r="L5306" s="5" t="str">
        <f ca="1">IFERROR(__xludf.DUMMYFUNCTION("GOOGLETRANSLATE(J5306,""EN"",""ES"")"),"Lápices hemostáticos")</f>
        <v>Lápices hemostáticos</v>
      </c>
      <c r="M5306" s="8" t="s">
        <v>86</v>
      </c>
      <c r="N5306" s="8"/>
    </row>
    <row r="5307" spans="1:14" ht="11.25" customHeight="1">
      <c r="A5307" s="5" t="s">
        <v>15340</v>
      </c>
      <c r="B5307" s="5" t="s">
        <v>15371</v>
      </c>
      <c r="C5307" s="5" t="s">
        <v>15382</v>
      </c>
      <c r="D5307" s="5" t="s">
        <v>15343</v>
      </c>
      <c r="E5307" s="5" t="s">
        <v>87</v>
      </c>
      <c r="F5307" s="5" t="s">
        <v>15344</v>
      </c>
      <c r="G5307" s="5" t="s">
        <v>15345</v>
      </c>
      <c r="H5307" s="5" t="s">
        <v>15373</v>
      </c>
      <c r="I5307" s="5" t="s">
        <v>15383</v>
      </c>
      <c r="J5307" s="5" t="s">
        <v>15384</v>
      </c>
      <c r="K5307" s="7" t="str">
        <f ca="1">IFERROR(__xludf.DUMMYFUNCTION("GOOGLETRANSLATE(H5307,""EN"",""ES"")"),"PRODUCTOS COSMÉTICOS")</f>
        <v>PRODUCTOS COSMÉTICOS</v>
      </c>
      <c r="L5307" s="5" t="str">
        <f ca="1">IFERROR(__xludf.DUMMYFUNCTION("GOOGLETRANSLATE(J5307,""EN"",""ES"")"),"Jabón")</f>
        <v>Jabón</v>
      </c>
      <c r="M5307" s="8" t="s">
        <v>86</v>
      </c>
      <c r="N5307" s="8"/>
    </row>
    <row r="5308" spans="1:14" ht="11.25" customHeight="1">
      <c r="A5308" s="5" t="s">
        <v>15340</v>
      </c>
      <c r="B5308" s="5" t="s">
        <v>15371</v>
      </c>
      <c r="C5308" s="5" t="s">
        <v>15385</v>
      </c>
      <c r="D5308" s="5" t="s">
        <v>15343</v>
      </c>
      <c r="E5308" s="5" t="s">
        <v>87</v>
      </c>
      <c r="F5308" s="5" t="s">
        <v>15344</v>
      </c>
      <c r="G5308" s="5" t="s">
        <v>15345</v>
      </c>
      <c r="H5308" s="5" t="s">
        <v>15373</v>
      </c>
      <c r="I5308" s="5" t="s">
        <v>15386</v>
      </c>
      <c r="J5308" s="5" t="s">
        <v>15387</v>
      </c>
      <c r="K5308" s="7" t="str">
        <f ca="1">IFERROR(__xludf.DUMMYFUNCTION("GOOGLETRANSLATE(H5308,""EN"",""ES"")"),"PRODUCTOS COSMÉTICOS")</f>
        <v>PRODUCTOS COSMÉTICOS</v>
      </c>
      <c r="L5308" s="5" t="str">
        <f ca="1">IFERROR(__xludf.DUMMYFUNCTION("GOOGLETRANSLATE(J5308,""EN"",""ES"")"),"Lápices cosméticos")</f>
        <v>Lápices cosméticos</v>
      </c>
      <c r="M5308" s="8" t="s">
        <v>86</v>
      </c>
      <c r="N5308" s="8"/>
    </row>
    <row r="5309" spans="1:14" ht="11.25" customHeight="1">
      <c r="A5309" s="5" t="s">
        <v>15340</v>
      </c>
      <c r="B5309" s="5" t="s">
        <v>15371</v>
      </c>
      <c r="C5309" s="5" t="s">
        <v>15388</v>
      </c>
      <c r="D5309" s="5" t="s">
        <v>15343</v>
      </c>
      <c r="E5309" s="5" t="s">
        <v>87</v>
      </c>
      <c r="F5309" s="5" t="s">
        <v>15344</v>
      </c>
      <c r="G5309" s="5" t="s">
        <v>15345</v>
      </c>
      <c r="H5309" s="5" t="s">
        <v>15373</v>
      </c>
      <c r="I5309" s="5" t="s">
        <v>15389</v>
      </c>
      <c r="J5309" s="5" t="s">
        <v>15390</v>
      </c>
      <c r="K5309" s="7" t="str">
        <f ca="1">IFERROR(__xludf.DUMMYFUNCTION("GOOGLETRANSLATE(H5309,""EN"",""ES"")"),"PRODUCTOS COSMÉTICOS")</f>
        <v>PRODUCTOS COSMÉTICOS</v>
      </c>
      <c r="L5309" s="5" t="str">
        <f ca="1">IFERROR(__xludf.DUMMYFUNCTION("GOOGLETRANSLATE(J5309,""EN"",""ES"")"),"Barras de labios")</f>
        <v>Barras de labios</v>
      </c>
      <c r="M5309" s="8" t="s">
        <v>86</v>
      </c>
      <c r="N5309" s="8"/>
    </row>
    <row r="5310" spans="1:14" ht="11.25" customHeight="1">
      <c r="A5310" s="5" t="s">
        <v>15340</v>
      </c>
      <c r="B5310" s="5" t="s">
        <v>15371</v>
      </c>
      <c r="C5310" s="5" t="s">
        <v>15391</v>
      </c>
      <c r="D5310" s="5" t="s">
        <v>15343</v>
      </c>
      <c r="E5310" s="5" t="s">
        <v>87</v>
      </c>
      <c r="F5310" s="5" t="s">
        <v>15344</v>
      </c>
      <c r="G5310" s="5" t="s">
        <v>15345</v>
      </c>
      <c r="H5310" s="5" t="s">
        <v>15373</v>
      </c>
      <c r="I5310" s="5" t="s">
        <v>15392</v>
      </c>
      <c r="J5310" s="5" t="s">
        <v>15393</v>
      </c>
      <c r="K5310" s="7" t="str">
        <f ca="1">IFERROR(__xludf.DUMMYFUNCTION("GOOGLETRANSLATE(H5310,""EN"",""ES"")"),"PRODUCTOS COSMÉTICOS")</f>
        <v>PRODUCTOS COSMÉTICOS</v>
      </c>
      <c r="L5310" s="5" t="str">
        <f ca="1">IFERROR(__xludf.DUMMYFUNCTION("GOOGLETRANSLATE(J5310,""EN"",""ES"")"),"delineadores de ojos")</f>
        <v>delineadores de ojos</v>
      </c>
      <c r="M5310" s="8" t="s">
        <v>86</v>
      </c>
      <c r="N5310" s="8"/>
    </row>
    <row r="5311" spans="1:14" ht="11.25" customHeight="1">
      <c r="A5311" s="5" t="s">
        <v>15340</v>
      </c>
      <c r="B5311" s="5" t="s">
        <v>15394</v>
      </c>
      <c r="C5311" s="5" t="s">
        <v>15395</v>
      </c>
      <c r="D5311" s="5" t="s">
        <v>15343</v>
      </c>
      <c r="E5311" s="5" t="s">
        <v>87</v>
      </c>
      <c r="F5311" s="5" t="s">
        <v>15344</v>
      </c>
      <c r="G5311" s="5" t="s">
        <v>15345</v>
      </c>
      <c r="H5311" s="5" t="s">
        <v>15396</v>
      </c>
      <c r="I5311" s="5" t="s">
        <v>15397</v>
      </c>
      <c r="J5311" s="5" t="s">
        <v>15398</v>
      </c>
      <c r="K5311" s="7" t="str">
        <f ca="1">IFERROR(__xludf.DUMMYFUNCTION("GOOGLETRANSLATE(H5311,""EN"",""ES"")"),"ARTÍCULOS DE ASEO Y EQUIPOS DE SALÓN DE BELLEZA")</f>
        <v>ARTÍCULOS DE ASEO Y EQUIPOS DE SALÓN DE BELLEZA</v>
      </c>
      <c r="L5311" s="5" t="str">
        <f ca="1">IFERROR(__xludf.DUMMYFUNCTION("GOOGLETRANSLATE(J5311,""EN"",""ES"")"),"Palillos de dientes")</f>
        <v>Palillos de dientes</v>
      </c>
      <c r="M5311" s="8" t="s">
        <v>86</v>
      </c>
      <c r="N5311" s="8"/>
    </row>
    <row r="5312" spans="1:14" ht="11.25" customHeight="1">
      <c r="A5312" s="5" t="s">
        <v>15340</v>
      </c>
      <c r="B5312" s="5" t="s">
        <v>15394</v>
      </c>
      <c r="C5312" s="5" t="s">
        <v>15399</v>
      </c>
      <c r="D5312" s="5" t="s">
        <v>15343</v>
      </c>
      <c r="E5312" s="5" t="s">
        <v>87</v>
      </c>
      <c r="F5312" s="5" t="s">
        <v>15344</v>
      </c>
      <c r="G5312" s="5" t="s">
        <v>15345</v>
      </c>
      <c r="H5312" s="5" t="s">
        <v>15396</v>
      </c>
      <c r="I5312" s="5" t="s">
        <v>15400</v>
      </c>
      <c r="J5312" s="5" t="s">
        <v>15401</v>
      </c>
      <c r="K5312" s="7" t="str">
        <f ca="1">IFERROR(__xludf.DUMMYFUNCTION("GOOGLETRANSLATE(H5312,""EN"",""ES"")"),"ARTÍCULOS DE ASEO Y EQUIPOS DE SALÓN DE BELLEZA")</f>
        <v>ARTÍCULOS DE ASEO Y EQUIPOS DE SALÓN DE BELLEZA</v>
      </c>
      <c r="L5312" s="5" t="str">
        <f ca="1">IFERROR(__xludf.DUMMYFUNCTION("GOOGLETRANSLATE(J5312,""EN"",""ES"")"),"Soportes para afeitadoras eléctricas [incluidos soportes de recarga]")</f>
        <v>Soportes para afeitadoras eléctricas [incluidos soportes de recarga]</v>
      </c>
      <c r="M5312" s="8" t="s">
        <v>86</v>
      </c>
      <c r="N5312" s="8"/>
    </row>
    <row r="5313" spans="1:14" ht="11.25" customHeight="1">
      <c r="A5313" s="5" t="s">
        <v>15340</v>
      </c>
      <c r="B5313" s="5" t="s">
        <v>15394</v>
      </c>
      <c r="C5313" s="5" t="s">
        <v>15402</v>
      </c>
      <c r="D5313" s="5" t="s">
        <v>15343</v>
      </c>
      <c r="E5313" s="5" t="s">
        <v>87</v>
      </c>
      <c r="F5313" s="5" t="s">
        <v>15344</v>
      </c>
      <c r="G5313" s="5" t="s">
        <v>15345</v>
      </c>
      <c r="H5313" s="5" t="s">
        <v>15396</v>
      </c>
      <c r="I5313" s="5" t="s">
        <v>15403</v>
      </c>
      <c r="J5313" s="5" t="s">
        <v>15404</v>
      </c>
      <c r="K5313" s="7" t="str">
        <f ca="1">IFERROR(__xludf.DUMMYFUNCTION("GOOGLETRANSLATE(H5313,""EN"",""ES"")"),"ARTÍCULOS DE ASEO Y EQUIPOS DE SALÓN DE BELLEZA")</f>
        <v>ARTÍCULOS DE ASEO Y EQUIPOS DE SALÓN DE BELLEZA</v>
      </c>
      <c r="L5313" s="5" t="str">
        <f ca="1">IFERROR(__xludf.DUMMYFUNCTION("GOOGLETRANSLATE(J5313,""EN"",""ES"")"),"Atomizadores, vaporizadores y pulverizadores para perfumes [excepto envases]")</f>
        <v>Atomizadores, vaporizadores y pulverizadores para perfumes [excepto envases]</v>
      </c>
      <c r="M5313" s="8" t="s">
        <v>86</v>
      </c>
      <c r="N5313" s="8"/>
    </row>
    <row r="5314" spans="1:14" ht="11.25" customHeight="1">
      <c r="A5314" s="5" t="s">
        <v>15340</v>
      </c>
      <c r="B5314" s="5" t="s">
        <v>15394</v>
      </c>
      <c r="C5314" s="5" t="s">
        <v>15405</v>
      </c>
      <c r="D5314" s="5" t="s">
        <v>15343</v>
      </c>
      <c r="E5314" s="5" t="s">
        <v>87</v>
      </c>
      <c r="F5314" s="5" t="s">
        <v>15344</v>
      </c>
      <c r="G5314" s="5" t="s">
        <v>15345</v>
      </c>
      <c r="H5314" s="5" t="s">
        <v>15396</v>
      </c>
      <c r="I5314" s="5" t="s">
        <v>15406</v>
      </c>
      <c r="J5314" s="5" t="s">
        <v>15407</v>
      </c>
      <c r="K5314" s="7" t="str">
        <f ca="1">IFERROR(__xludf.DUMMYFUNCTION("GOOGLETRANSLATE(H5314,""EN"",""ES"")"),"ARTÍCULOS DE ASEO Y EQUIPOS DE SALÓN DE BELLEZA")</f>
        <v>ARTÍCULOS DE ASEO Y EQUIPOS DE SALÓN DE BELLEZA</v>
      </c>
      <c r="L5314" s="5" t="str">
        <f ca="1">IFERROR(__xludf.DUMMYFUNCTION("GOOGLETRANSLATE(J5314,""EN"",""ES"")"),"Reposamanos para manicura")</f>
        <v>Reposamanos para manicura</v>
      </c>
      <c r="M5314" s="8" t="s">
        <v>86</v>
      </c>
      <c r="N5314" s="8"/>
    </row>
    <row r="5315" spans="1:14" ht="11.25" customHeight="1">
      <c r="A5315" s="5" t="s">
        <v>15340</v>
      </c>
      <c r="B5315" s="5" t="s">
        <v>15394</v>
      </c>
      <c r="C5315" s="5" t="s">
        <v>15408</v>
      </c>
      <c r="D5315" s="5" t="s">
        <v>15343</v>
      </c>
      <c r="E5315" s="5" t="s">
        <v>87</v>
      </c>
      <c r="F5315" s="5" t="s">
        <v>15344</v>
      </c>
      <c r="G5315" s="5" t="s">
        <v>15345</v>
      </c>
      <c r="H5315" s="5" t="s">
        <v>15396</v>
      </c>
      <c r="I5315" s="5" t="s">
        <v>15409</v>
      </c>
      <c r="J5315" s="5" t="s">
        <v>15410</v>
      </c>
      <c r="K5315" s="7" t="str">
        <f ca="1">IFERROR(__xludf.DUMMYFUNCTION("GOOGLETRANSLATE(H5315,""EN"",""ES"")"),"ARTÍCULOS DE ASEO Y EQUIPOS DE SALÓN DE BELLEZA")</f>
        <v>ARTÍCULOS DE ASEO Y EQUIPOS DE SALÓN DE BELLEZA</v>
      </c>
      <c r="L5315" s="5" t="str">
        <f ca="1">IFERROR(__xludf.DUMMYFUNCTION("GOOGLETRANSLATE(J5315,""EN"",""ES"")"),"cortaúñas")</f>
        <v>cortaúñas</v>
      </c>
      <c r="M5315" s="8" t="s">
        <v>86</v>
      </c>
      <c r="N5315" s="8"/>
    </row>
    <row r="5316" spans="1:14" ht="11.25" customHeight="1">
      <c r="A5316" s="5" t="s">
        <v>15340</v>
      </c>
      <c r="B5316" s="5" t="s">
        <v>15394</v>
      </c>
      <c r="C5316" s="5" t="s">
        <v>15411</v>
      </c>
      <c r="D5316" s="5" t="s">
        <v>15343</v>
      </c>
      <c r="E5316" s="5" t="s">
        <v>87</v>
      </c>
      <c r="F5316" s="5" t="s">
        <v>15344</v>
      </c>
      <c r="G5316" s="5" t="s">
        <v>15345</v>
      </c>
      <c r="H5316" s="5" t="s">
        <v>15396</v>
      </c>
      <c r="I5316" s="5" t="s">
        <v>15412</v>
      </c>
      <c r="J5316" s="5" t="s">
        <v>15413</v>
      </c>
      <c r="K5316" s="7" t="str">
        <f ca="1">IFERROR(__xludf.DUMMYFUNCTION("GOOGLETRANSLATE(H5316,""EN"",""ES"")"),"ARTÍCULOS DE ASEO Y EQUIPOS DE SALÓN DE BELLEZA")</f>
        <v>ARTÍCULOS DE ASEO Y EQUIPOS DE SALÓN DE BELLEZA</v>
      </c>
      <c r="L5316" s="5" t="str">
        <f ca="1">IFERROR(__xludf.DUMMYFUNCTION("GOOGLETRANSLATE(J5316,""EN"",""ES"")"),"Palitos de algodón [inodoro]")</f>
        <v>Palitos de algodón [inodoro]</v>
      </c>
      <c r="M5316" s="8" t="s">
        <v>86</v>
      </c>
      <c r="N5316" s="8"/>
    </row>
    <row r="5317" spans="1:14" ht="11.25" customHeight="1">
      <c r="A5317" s="5" t="s">
        <v>15340</v>
      </c>
      <c r="B5317" s="5" t="s">
        <v>15394</v>
      </c>
      <c r="C5317" s="5" t="s">
        <v>15414</v>
      </c>
      <c r="D5317" s="5" t="s">
        <v>15343</v>
      </c>
      <c r="E5317" s="5" t="s">
        <v>87</v>
      </c>
      <c r="F5317" s="5" t="s">
        <v>15344</v>
      </c>
      <c r="G5317" s="5" t="s">
        <v>15345</v>
      </c>
      <c r="H5317" s="5" t="s">
        <v>15396</v>
      </c>
      <c r="I5317" s="5" t="s">
        <v>15415</v>
      </c>
      <c r="J5317" s="5" t="s">
        <v>15416</v>
      </c>
      <c r="K5317" s="7" t="str">
        <f ca="1">IFERROR(__xludf.DUMMYFUNCTION("GOOGLETRANSLATE(H5317,""EN"",""ES"")"),"ARTÍCULOS DE ASEO Y EQUIPOS DE SALÓN DE BELLEZA")</f>
        <v>ARTÍCULOS DE ASEO Y EQUIPOS DE SALÓN DE BELLEZA</v>
      </c>
      <c r="L5317" s="5" t="str">
        <f ca="1">IFERROR(__xludf.DUMMYFUNCTION("GOOGLETRANSLATE(J5317,""EN"",""ES"")"),"Aparatos para depilar")</f>
        <v>Aparatos para depilar</v>
      </c>
      <c r="M5317" s="8" t="s">
        <v>86</v>
      </c>
      <c r="N5317" s="8"/>
    </row>
    <row r="5318" spans="1:14" ht="11.25" customHeight="1">
      <c r="A5318" s="5" t="s">
        <v>15340</v>
      </c>
      <c r="B5318" s="5" t="s">
        <v>15394</v>
      </c>
      <c r="C5318" s="5" t="s">
        <v>15417</v>
      </c>
      <c r="D5318" s="5" t="s">
        <v>15343</v>
      </c>
      <c r="E5318" s="5" t="s">
        <v>87</v>
      </c>
      <c r="F5318" s="5" t="s">
        <v>15344</v>
      </c>
      <c r="G5318" s="5" t="s">
        <v>15345</v>
      </c>
      <c r="H5318" s="5" t="s">
        <v>15396</v>
      </c>
      <c r="I5318" s="5" t="s">
        <v>15418</v>
      </c>
      <c r="J5318" s="5" t="s">
        <v>15419</v>
      </c>
      <c r="K5318" s="7" t="str">
        <f ca="1">IFERROR(__xludf.DUMMYFUNCTION("GOOGLETRANSLATE(H5318,""EN"",""ES"")"),"ARTÍCULOS DE ASEO Y EQUIPOS DE SALÓN DE BELLEZA")</f>
        <v>ARTÍCULOS DE ASEO Y EQUIPOS DE SALÓN DE BELLEZA</v>
      </c>
      <c r="L5318" s="5" t="str">
        <f ca="1">IFERROR(__xludf.DUMMYFUNCTION("GOOGLETRANSLATE(J5318,""EN"",""ES"")"),"guantes para masaje")</f>
        <v>guantes para masaje</v>
      </c>
      <c r="M5318" s="8" t="s">
        <v>86</v>
      </c>
      <c r="N5318" s="8"/>
    </row>
    <row r="5319" spans="1:14" ht="11.25" customHeight="1">
      <c r="A5319" s="5" t="s">
        <v>15340</v>
      </c>
      <c r="B5319" s="5" t="s">
        <v>15394</v>
      </c>
      <c r="C5319" s="5" t="s">
        <v>15420</v>
      </c>
      <c r="D5319" s="5" t="s">
        <v>15343</v>
      </c>
      <c r="E5319" s="5" t="s">
        <v>87</v>
      </c>
      <c r="F5319" s="5" t="s">
        <v>15344</v>
      </c>
      <c r="G5319" s="5" t="s">
        <v>15345</v>
      </c>
      <c r="H5319" s="5" t="s">
        <v>15396</v>
      </c>
      <c r="I5319" s="5" t="s">
        <v>15421</v>
      </c>
      <c r="J5319" s="5" t="s">
        <v>15422</v>
      </c>
      <c r="K5319" s="7" t="str">
        <f ca="1">IFERROR(__xludf.DUMMYFUNCTION("GOOGLETRANSLATE(H5319,""EN"",""ES"")"),"ARTÍCULOS DE ASEO Y EQUIPOS DE SALÓN DE BELLEZA")</f>
        <v>ARTÍCULOS DE ASEO Y EQUIPOS DE SALÓN DE BELLEZA</v>
      </c>
      <c r="L5319" s="5" t="str">
        <f ca="1">IFERROR(__xludf.DUMMYFUNCTION("GOOGLETRANSLATE(J5319,""EN"",""ES"")"),"Cabezales de afeitadora eléctrica")</f>
        <v>Cabezales de afeitadora eléctrica</v>
      </c>
      <c r="M5319" s="8" t="s">
        <v>86</v>
      </c>
      <c r="N5319" s="8"/>
    </row>
    <row r="5320" spans="1:14" ht="11.25" customHeight="1">
      <c r="A5320" s="5" t="s">
        <v>15340</v>
      </c>
      <c r="B5320" s="5" t="s">
        <v>15394</v>
      </c>
      <c r="C5320" s="5" t="s">
        <v>15423</v>
      </c>
      <c r="D5320" s="5" t="s">
        <v>15343</v>
      </c>
      <c r="E5320" s="5" t="s">
        <v>87</v>
      </c>
      <c r="F5320" s="5" t="s">
        <v>15344</v>
      </c>
      <c r="G5320" s="5" t="s">
        <v>15345</v>
      </c>
      <c r="H5320" s="5" t="s">
        <v>15396</v>
      </c>
      <c r="I5320" s="5" t="s">
        <v>15424</v>
      </c>
      <c r="J5320" s="5" t="s">
        <v>15425</v>
      </c>
      <c r="K5320" s="7" t="str">
        <f ca="1">IFERROR(__xludf.DUMMYFUNCTION("GOOGLETRANSLATE(H5320,""EN"",""ES"")"),"ARTÍCULOS DE ASEO Y EQUIPOS DE SALÓN DE BELLEZA")</f>
        <v>ARTÍCULOS DE ASEO Y EQUIPOS DE SALÓN DE BELLEZA</v>
      </c>
      <c r="L5320" s="5" t="str">
        <f ca="1">IFERROR(__xludf.DUMMYFUNCTION("GOOGLETRANSLATE(J5320,""EN"",""ES"")"),"borlas de polvo")</f>
        <v>borlas de polvo</v>
      </c>
      <c r="M5320" s="8" t="s">
        <v>86</v>
      </c>
      <c r="N5320" s="8"/>
    </row>
    <row r="5321" spans="1:14" ht="11.25" customHeight="1">
      <c r="A5321" s="5" t="s">
        <v>15340</v>
      </c>
      <c r="B5321" s="5" t="s">
        <v>15394</v>
      </c>
      <c r="C5321" s="5" t="s">
        <v>15423</v>
      </c>
      <c r="D5321" s="5" t="s">
        <v>15343</v>
      </c>
      <c r="E5321" s="5" t="s">
        <v>87</v>
      </c>
      <c r="F5321" s="5" t="s">
        <v>15344</v>
      </c>
      <c r="G5321" s="5" t="s">
        <v>15345</v>
      </c>
      <c r="H5321" s="5" t="s">
        <v>15396</v>
      </c>
      <c r="I5321" s="5" t="s">
        <v>152</v>
      </c>
      <c r="J5321" s="5" t="s">
        <v>15426</v>
      </c>
      <c r="K5321" s="7" t="str">
        <f ca="1">IFERROR(__xludf.DUMMYFUNCTION("GOOGLETRANSLATE(H5321,""EN"",""ES"")"),"ARTÍCULOS DE ASEO Y EQUIPOS DE SALÓN DE BELLEZA")</f>
        <v>ARTÍCULOS DE ASEO Y EQUIPOS DE SALÓN DE BELLEZA</v>
      </c>
      <c r="L5321" s="5" t="str">
        <f ca="1">IFERROR(__xludf.DUMMYFUNCTION("GOOGLETRANSLATE(J5321,""EN"",""ES"")"),"N / A")</f>
        <v>N / A</v>
      </c>
      <c r="M5321" s="8" t="s">
        <v>86</v>
      </c>
      <c r="N5321" s="8"/>
    </row>
    <row r="5322" spans="1:14" ht="11.25" customHeight="1">
      <c r="A5322" s="5" t="s">
        <v>15340</v>
      </c>
      <c r="B5322" s="5" t="s">
        <v>15394</v>
      </c>
      <c r="C5322" s="5" t="s">
        <v>15427</v>
      </c>
      <c r="D5322" s="5" t="s">
        <v>15343</v>
      </c>
      <c r="E5322" s="5" t="s">
        <v>87</v>
      </c>
      <c r="F5322" s="5" t="s">
        <v>15344</v>
      </c>
      <c r="G5322" s="5" t="s">
        <v>15345</v>
      </c>
      <c r="H5322" s="5" t="s">
        <v>15396</v>
      </c>
      <c r="I5322" s="5" t="s">
        <v>15428</v>
      </c>
      <c r="J5322" s="5" t="s">
        <v>15429</v>
      </c>
      <c r="K5322" s="7" t="str">
        <f ca="1">IFERROR(__xludf.DUMMYFUNCTION("GOOGLETRANSLATE(H5322,""EN"",""ES"")"),"ARTÍCULOS DE ASEO Y EQUIPOS DE SALÓN DE BELLEZA")</f>
        <v>ARTÍCULOS DE ASEO Y EQUIPOS DE SALÓN DE BELLEZA</v>
      </c>
      <c r="L5322" s="5" t="str">
        <f ca="1">IFERROR(__xludf.DUMMYFUNCTION("GOOGLETRANSLATE(J5322,""EN"",""ES"")"),"Cuchillas de afeitar")</f>
        <v>Cuchillas de afeitar</v>
      </c>
      <c r="M5322" s="8" t="s">
        <v>86</v>
      </c>
      <c r="N5322" s="8"/>
    </row>
    <row r="5323" spans="1:14" ht="11.25" customHeight="1">
      <c r="A5323" s="5" t="s">
        <v>15340</v>
      </c>
      <c r="B5323" s="5" t="s">
        <v>15394</v>
      </c>
      <c r="C5323" s="5" t="s">
        <v>15430</v>
      </c>
      <c r="D5323" s="5" t="s">
        <v>15343</v>
      </c>
      <c r="E5323" s="5" t="s">
        <v>87</v>
      </c>
      <c r="F5323" s="5" t="s">
        <v>15344</v>
      </c>
      <c r="G5323" s="5" t="s">
        <v>15345</v>
      </c>
      <c r="H5323" s="5" t="s">
        <v>15396</v>
      </c>
      <c r="I5323" s="5" t="s">
        <v>15431</v>
      </c>
      <c r="J5323" s="5" t="s">
        <v>15432</v>
      </c>
      <c r="K5323" s="7" t="str">
        <f ca="1">IFERROR(__xludf.DUMMYFUNCTION("GOOGLETRANSLATE(H5323,""EN"",""ES"")"),"ARTÍCULOS DE ASEO Y EQUIPOS DE SALÓN DE BELLEZA")</f>
        <v>ARTÍCULOS DE ASEO Y EQUIPOS DE SALÓN DE BELLEZA</v>
      </c>
      <c r="L5323" s="5" t="str">
        <f ca="1">IFERROR(__xludf.DUMMYFUNCTION("GOOGLETRANSLATE(J5323,""EN"",""ES"")"),"limas de uñas")</f>
        <v>limas de uñas</v>
      </c>
      <c r="M5323" s="8" t="s">
        <v>86</v>
      </c>
      <c r="N5323" s="8"/>
    </row>
    <row r="5324" spans="1:14" ht="11.25" customHeight="1">
      <c r="A5324" s="5" t="s">
        <v>15340</v>
      </c>
      <c r="B5324" s="5" t="s">
        <v>15394</v>
      </c>
      <c r="C5324" s="5" t="s">
        <v>15430</v>
      </c>
      <c r="D5324" s="5" t="s">
        <v>15343</v>
      </c>
      <c r="E5324" s="5" t="s">
        <v>87</v>
      </c>
      <c r="F5324" s="5" t="s">
        <v>15344</v>
      </c>
      <c r="G5324" s="5" t="s">
        <v>15345</v>
      </c>
      <c r="H5324" s="5" t="s">
        <v>15396</v>
      </c>
      <c r="I5324" s="5" t="s">
        <v>152</v>
      </c>
      <c r="J5324" s="5" t="s">
        <v>15433</v>
      </c>
      <c r="K5324" s="7" t="str">
        <f ca="1">IFERROR(__xludf.DUMMYFUNCTION("GOOGLETRANSLATE(H5324,""EN"",""ES"")"),"ARTÍCULOS DE ASEO Y EQUIPOS DE SALÓN DE BELLEZA")</f>
        <v>ARTÍCULOS DE ASEO Y EQUIPOS DE SALÓN DE BELLEZA</v>
      </c>
      <c r="L5324" s="5" t="str">
        <f ca="1">IFERROR(__xludf.DUMMYFUNCTION("GOOGLETRANSLATE(J5324,""EN"",""ES"")"),"N / A")</f>
        <v>N / A</v>
      </c>
      <c r="M5324" s="8" t="s">
        <v>86</v>
      </c>
      <c r="N5324" s="8"/>
    </row>
    <row r="5325" spans="1:14" ht="11.25" customHeight="1">
      <c r="A5325" s="5" t="s">
        <v>15340</v>
      </c>
      <c r="B5325" s="5" t="s">
        <v>15394</v>
      </c>
      <c r="C5325" s="5" t="s">
        <v>15434</v>
      </c>
      <c r="D5325" s="5" t="s">
        <v>15343</v>
      </c>
      <c r="E5325" s="5" t="s">
        <v>87</v>
      </c>
      <c r="F5325" s="5" t="s">
        <v>15344</v>
      </c>
      <c r="G5325" s="5" t="s">
        <v>15345</v>
      </c>
      <c r="H5325" s="5" t="s">
        <v>15396</v>
      </c>
      <c r="I5325" s="5" t="s">
        <v>15435</v>
      </c>
      <c r="J5325" s="5" t="s">
        <v>15436</v>
      </c>
      <c r="K5325" s="7" t="str">
        <f ca="1">IFERROR(__xludf.DUMMYFUNCTION("GOOGLETRANSLATE(H5325,""EN"",""ES"")"),"ARTÍCULOS DE ASEO Y EQUIPOS DE SALÓN DE BELLEZA")</f>
        <v>ARTÍCULOS DE ASEO Y EQUIPOS DE SALÓN DE BELLEZA</v>
      </c>
      <c r="L5325" s="5" t="str">
        <f ca="1">IFERROR(__xludf.DUMMYFUNCTION("GOOGLETRANSLATE(J5325,""EN"",""ES"")"),"espejos de mano")</f>
        <v>espejos de mano</v>
      </c>
      <c r="M5325" s="8" t="s">
        <v>86</v>
      </c>
      <c r="N5325" s="8"/>
    </row>
    <row r="5326" spans="1:14" ht="11.25" customHeight="1">
      <c r="A5326" s="5" t="s">
        <v>15340</v>
      </c>
      <c r="B5326" s="5" t="s">
        <v>15394</v>
      </c>
      <c r="C5326" s="5" t="s">
        <v>15437</v>
      </c>
      <c r="D5326" s="5" t="s">
        <v>15343</v>
      </c>
      <c r="E5326" s="5" t="s">
        <v>87</v>
      </c>
      <c r="F5326" s="5" t="s">
        <v>15344</v>
      </c>
      <c r="G5326" s="5" t="s">
        <v>15345</v>
      </c>
      <c r="H5326" s="5" t="s">
        <v>15396</v>
      </c>
      <c r="I5326" s="5" t="s">
        <v>15438</v>
      </c>
      <c r="J5326" s="5" t="s">
        <v>15439</v>
      </c>
      <c r="K5326" s="7" t="str">
        <f ca="1">IFERROR(__xludf.DUMMYFUNCTION("GOOGLETRANSLATE(H5326,""EN"",""ES"")"),"ARTÍCULOS DE ASEO Y EQUIPOS DE SALÓN DE BELLEZA")</f>
        <v>ARTÍCULOS DE ASEO Y EQUIPOS DE SALÓN DE BELLEZA</v>
      </c>
      <c r="L5326" s="5" t="str">
        <f ca="1">IFERROR(__xludf.DUMMYFUNCTION("GOOGLETRANSLATE(J5326,""EN"",""ES"")"),"Espejos para bolsos de mujer.")</f>
        <v>Espejos para bolsos de mujer.</v>
      </c>
      <c r="M5326" s="8" t="s">
        <v>86</v>
      </c>
      <c r="N5326" s="8"/>
    </row>
    <row r="5327" spans="1:14" ht="11.25" customHeight="1">
      <c r="A5327" s="5" t="s">
        <v>15340</v>
      </c>
      <c r="B5327" s="5" t="s">
        <v>15394</v>
      </c>
      <c r="C5327" s="5" t="s">
        <v>15440</v>
      </c>
      <c r="D5327" s="5" t="s">
        <v>15343</v>
      </c>
      <c r="E5327" s="5" t="s">
        <v>87</v>
      </c>
      <c r="F5327" s="5" t="s">
        <v>15344</v>
      </c>
      <c r="G5327" s="5" t="s">
        <v>15345</v>
      </c>
      <c r="H5327" s="5" t="s">
        <v>15396</v>
      </c>
      <c r="I5327" s="5" t="s">
        <v>15441</v>
      </c>
      <c r="J5327" s="5" t="s">
        <v>15442</v>
      </c>
      <c r="K5327" s="7" t="str">
        <f ca="1">IFERROR(__xludf.DUMMYFUNCTION("GOOGLETRANSLATE(H5327,""EN"",""ES"")"),"ARTÍCULOS DE ASEO Y EQUIPOS DE SALÓN DE BELLEZA")</f>
        <v>ARTÍCULOS DE ASEO Y EQUIPOS DE SALÓN DE BELLEZA</v>
      </c>
      <c r="L5327" s="5" t="str">
        <f ca="1">IFERROR(__xludf.DUMMYFUNCTION("GOOGLETRANSLATE(J5327,""EN"",""ES"")"),"Apósitos antiarrugas [productos cosméticos]")</f>
        <v>Apósitos antiarrugas [productos cosméticos]</v>
      </c>
      <c r="M5327" s="8" t="s">
        <v>86</v>
      </c>
      <c r="N5327" s="8"/>
    </row>
    <row r="5328" spans="1:14" ht="11.25" customHeight="1">
      <c r="A5328" s="5" t="s">
        <v>15340</v>
      </c>
      <c r="B5328" s="5" t="s">
        <v>15394</v>
      </c>
      <c r="C5328" s="5" t="s">
        <v>15443</v>
      </c>
      <c r="D5328" s="5" t="s">
        <v>15343</v>
      </c>
      <c r="E5328" s="5" t="s">
        <v>87</v>
      </c>
      <c r="F5328" s="5" t="s">
        <v>15344</v>
      </c>
      <c r="G5328" s="5" t="s">
        <v>15345</v>
      </c>
      <c r="H5328" s="5" t="s">
        <v>15396</v>
      </c>
      <c r="I5328" s="5" t="s">
        <v>15444</v>
      </c>
      <c r="J5328" s="5" t="s">
        <v>15445</v>
      </c>
      <c r="K5328" s="7" t="str">
        <f ca="1">IFERROR(__xludf.DUMMYFUNCTION("GOOGLETRANSLATE(H5328,""EN"",""ES"")"),"ARTÍCULOS DE ASEO Y EQUIPOS DE SALÓN DE BELLEZA")</f>
        <v>ARTÍCULOS DE ASEO Y EQUIPOS DE SALÓN DE BELLEZA</v>
      </c>
      <c r="L5328" s="5" t="str">
        <f ca="1">IFERROR(__xludf.DUMMYFUNCTION("GOOGLETRANSLATE(J5328,""EN"",""ES"")"),"Compactos en polvo")</f>
        <v>Compactos en polvo</v>
      </c>
      <c r="M5328" s="8" t="s">
        <v>86</v>
      </c>
      <c r="N5328" s="8"/>
    </row>
    <row r="5329" spans="1:14" ht="11.25" customHeight="1">
      <c r="A5329" s="5" t="s">
        <v>15340</v>
      </c>
      <c r="B5329" s="5" t="s">
        <v>15394</v>
      </c>
      <c r="C5329" s="5" t="s">
        <v>15446</v>
      </c>
      <c r="D5329" s="5" t="s">
        <v>15343</v>
      </c>
      <c r="E5329" s="5" t="s">
        <v>87</v>
      </c>
      <c r="F5329" s="5" t="s">
        <v>15344</v>
      </c>
      <c r="G5329" s="5" t="s">
        <v>15345</v>
      </c>
      <c r="H5329" s="5" t="s">
        <v>15396</v>
      </c>
      <c r="I5329" s="5" t="s">
        <v>15447</v>
      </c>
      <c r="J5329" s="5" t="s">
        <v>15448</v>
      </c>
      <c r="K5329" s="7" t="str">
        <f ca="1">IFERROR(__xludf.DUMMYFUNCTION("GOOGLETRANSLATE(H5329,""EN"",""ES"")"),"ARTÍCULOS DE ASEO Y EQUIPOS DE SALÓN DE BELLEZA")</f>
        <v>ARTÍCULOS DE ASEO Y EQUIPOS DE SALÓN DE BELLEZA</v>
      </c>
      <c r="L5329" s="5" t="str">
        <f ca="1">IFERROR(__xludf.DUMMYFUNCTION("GOOGLETRANSLATE(J5329,""EN"",""ES"")"),"Navajas de afeitar")</f>
        <v>Navajas de afeitar</v>
      </c>
      <c r="M5329" s="8" t="s">
        <v>86</v>
      </c>
      <c r="N5329" s="8"/>
    </row>
    <row r="5330" spans="1:14" ht="11.25" customHeight="1">
      <c r="A5330" s="5" t="s">
        <v>15340</v>
      </c>
      <c r="B5330" s="5" t="s">
        <v>15394</v>
      </c>
      <c r="C5330" s="5" t="s">
        <v>15449</v>
      </c>
      <c r="D5330" s="5" t="s">
        <v>15343</v>
      </c>
      <c r="E5330" s="5" t="s">
        <v>87</v>
      </c>
      <c r="F5330" s="5" t="s">
        <v>15344</v>
      </c>
      <c r="G5330" s="5" t="s">
        <v>15345</v>
      </c>
      <c r="H5330" s="5" t="s">
        <v>15396</v>
      </c>
      <c r="I5330" s="5" t="s">
        <v>15450</v>
      </c>
      <c r="J5330" s="5" t="s">
        <v>15451</v>
      </c>
      <c r="K5330" s="7" t="str">
        <f ca="1">IFERROR(__xludf.DUMMYFUNCTION("GOOGLETRANSLATE(H5330,""EN"",""ES"")"),"ARTÍCULOS DE ASEO Y EQUIPOS DE SALÓN DE BELLEZA")</f>
        <v>ARTÍCULOS DE ASEO Y EQUIPOS DE SALÓN DE BELLEZA</v>
      </c>
      <c r="L5330" s="5" t="str">
        <f ca="1">IFERROR(__xludf.DUMMYFUNCTION("GOOGLETRANSLATE(J5330,""EN"",""ES"")"),"Aparatos antiarrugas")</f>
        <v>Aparatos antiarrugas</v>
      </c>
      <c r="M5330" s="8" t="s">
        <v>86</v>
      </c>
      <c r="N5330" s="8"/>
    </row>
    <row r="5331" spans="1:14" ht="11.25" customHeight="1">
      <c r="A5331" s="5" t="s">
        <v>15340</v>
      </c>
      <c r="B5331" s="5" t="s">
        <v>15394</v>
      </c>
      <c r="C5331" s="5" t="s">
        <v>15452</v>
      </c>
      <c r="D5331" s="5" t="s">
        <v>15343</v>
      </c>
      <c r="E5331" s="5" t="s">
        <v>87</v>
      </c>
      <c r="F5331" s="5" t="s">
        <v>15344</v>
      </c>
      <c r="G5331" s="5" t="s">
        <v>15345</v>
      </c>
      <c r="H5331" s="5" t="s">
        <v>15396</v>
      </c>
      <c r="I5331" s="5" t="s">
        <v>15453</v>
      </c>
      <c r="J5331" s="5" t="s">
        <v>15454</v>
      </c>
      <c r="K5331" s="7" t="str">
        <f ca="1">IFERROR(__xludf.DUMMYFUNCTION("GOOGLETRANSLATE(H5331,""EN"",""ES"")"),"ARTÍCULOS DE ASEO Y EQUIPOS DE SALÓN DE BELLEZA")</f>
        <v>ARTÍCULOS DE ASEO Y EQUIPOS DE SALÓN DE BELLEZA</v>
      </c>
      <c r="L5331" s="5" t="str">
        <f ca="1">IFERROR(__xludf.DUMMYFUNCTION("GOOGLETRANSLATE(J5331,""EN"",""ES"")"),"Vibradores para masaje")</f>
        <v>Vibradores para masaje</v>
      </c>
      <c r="M5331" s="8" t="s">
        <v>86</v>
      </c>
      <c r="N5331" s="8"/>
    </row>
    <row r="5332" spans="1:14" ht="11.25" customHeight="1">
      <c r="A5332" s="5" t="s">
        <v>15340</v>
      </c>
      <c r="B5332" s="5" t="s">
        <v>15394</v>
      </c>
      <c r="C5332" s="5" t="s">
        <v>15455</v>
      </c>
      <c r="D5332" s="5" t="s">
        <v>15343</v>
      </c>
      <c r="E5332" s="5" t="s">
        <v>87</v>
      </c>
      <c r="F5332" s="5" t="s">
        <v>15344</v>
      </c>
      <c r="G5332" s="5" t="s">
        <v>15345</v>
      </c>
      <c r="H5332" s="5" t="s">
        <v>15396</v>
      </c>
      <c r="I5332" s="5" t="s">
        <v>15456</v>
      </c>
      <c r="J5332" s="5" t="s">
        <v>15457</v>
      </c>
      <c r="K5332" s="7" t="str">
        <f ca="1">IFERROR(__xludf.DUMMYFUNCTION("GOOGLETRANSLATE(H5332,""EN"",""ES"")"),"ARTÍCULOS DE ASEO Y EQUIPOS DE SALÓN DE BELLEZA")</f>
        <v>ARTÍCULOS DE ASEO Y EQUIPOS DE SALÓN DE BELLEZA</v>
      </c>
      <c r="L5332" s="5" t="str">
        <f ca="1">IFERROR(__xludf.DUMMYFUNCTION("GOOGLETRANSLATE(J5332,""EN"",""ES"")"),"cortadores de maiz")</f>
        <v>cortadores de maiz</v>
      </c>
      <c r="M5332" s="8" t="s">
        <v>86</v>
      </c>
      <c r="N5332" s="8"/>
    </row>
    <row r="5333" spans="1:14" ht="11.25" customHeight="1">
      <c r="A5333" s="5" t="s">
        <v>15340</v>
      </c>
      <c r="B5333" s="5" t="s">
        <v>15394</v>
      </c>
      <c r="C5333" s="5" t="s">
        <v>15458</v>
      </c>
      <c r="D5333" s="5" t="s">
        <v>15343</v>
      </c>
      <c r="E5333" s="5" t="s">
        <v>87</v>
      </c>
      <c r="F5333" s="5" t="s">
        <v>15344</v>
      </c>
      <c r="G5333" s="5" t="s">
        <v>15345</v>
      </c>
      <c r="H5333" s="5" t="s">
        <v>15396</v>
      </c>
      <c r="I5333" s="5" t="s">
        <v>15459</v>
      </c>
      <c r="J5333" s="5" t="s">
        <v>15460</v>
      </c>
      <c r="K5333" s="7" t="str">
        <f ca="1">IFERROR(__xludf.DUMMYFUNCTION("GOOGLETRANSLATE(H5333,""EN"",""ES"")"),"ARTÍCULOS DE ASEO Y EQUIPOS DE SALÓN DE BELLEZA")</f>
        <v>ARTÍCULOS DE ASEO Y EQUIPOS DE SALÓN DE BELLEZA</v>
      </c>
      <c r="L5333" s="5" t="str">
        <f ca="1">IFERROR(__xludf.DUMMYFUNCTION("GOOGLETRANSLATE(J5333,""EN"",""ES"")"),"guantes de crin")</f>
        <v>guantes de crin</v>
      </c>
      <c r="M5333" s="8" t="s">
        <v>86</v>
      </c>
      <c r="N5333" s="8"/>
    </row>
    <row r="5334" spans="1:14" ht="11.25" customHeight="1">
      <c r="A5334" s="5" t="s">
        <v>15340</v>
      </c>
      <c r="B5334" s="5" t="s">
        <v>15394</v>
      </c>
      <c r="C5334" s="5" t="s">
        <v>15461</v>
      </c>
      <c r="D5334" s="5" t="s">
        <v>15343</v>
      </c>
      <c r="E5334" s="5" t="s">
        <v>87</v>
      </c>
      <c r="F5334" s="5" t="s">
        <v>15344</v>
      </c>
      <c r="G5334" s="5" t="s">
        <v>15345</v>
      </c>
      <c r="H5334" s="5" t="s">
        <v>15396</v>
      </c>
      <c r="I5334" s="5" t="s">
        <v>15462</v>
      </c>
      <c r="J5334" s="5" t="s">
        <v>15463</v>
      </c>
      <c r="K5334" s="7" t="str">
        <f ca="1">IFERROR(__xludf.DUMMYFUNCTION("GOOGLETRANSLATE(H5334,""EN"",""ES"")"),"ARTÍCULOS DE ASEO Y EQUIPOS DE SALÓN DE BELLEZA")</f>
        <v>ARTÍCULOS DE ASEO Y EQUIPOS DE SALÓN DE BELLEZA</v>
      </c>
      <c r="L5334" s="5" t="str">
        <f ca="1">IFERROR(__xludf.DUMMYFUNCTION("GOOGLETRANSLATE(J5334,""EN"",""ES"")"),"Dispensadores de hojas de afeitar")</f>
        <v>Dispensadores de hojas de afeitar</v>
      </c>
      <c r="M5334" s="8" t="s">
        <v>86</v>
      </c>
      <c r="N5334" s="8"/>
    </row>
    <row r="5335" spans="1:14" ht="11.25" customHeight="1">
      <c r="A5335" s="5" t="s">
        <v>15340</v>
      </c>
      <c r="B5335" s="5" t="s">
        <v>15394</v>
      </c>
      <c r="C5335" s="5" t="s">
        <v>15464</v>
      </c>
      <c r="D5335" s="5" t="s">
        <v>15343</v>
      </c>
      <c r="E5335" s="5" t="s">
        <v>87</v>
      </c>
      <c r="F5335" s="5" t="s">
        <v>15344</v>
      </c>
      <c r="G5335" s="5" t="s">
        <v>15345</v>
      </c>
      <c r="H5335" s="5" t="s">
        <v>15396</v>
      </c>
      <c r="I5335" s="5" t="s">
        <v>15465</v>
      </c>
      <c r="J5335" s="5" t="s">
        <v>15466</v>
      </c>
      <c r="K5335" s="7" t="str">
        <f ca="1">IFERROR(__xludf.DUMMYFUNCTION("GOOGLETRANSLATE(H5335,""EN"",""ES"")"),"ARTÍCULOS DE ASEO Y EQUIPOS DE SALÓN DE BELLEZA")</f>
        <v>ARTÍCULOS DE ASEO Y EQUIPOS DE SALÓN DE BELLEZA</v>
      </c>
      <c r="L5335" s="5" t="str">
        <f ca="1">IFERROR(__xludf.DUMMYFUNCTION("GOOGLETRANSLATE(J5335,""EN"",""ES"")"),"cortauñas")</f>
        <v>cortauñas</v>
      </c>
      <c r="M5335" s="8" t="s">
        <v>86</v>
      </c>
      <c r="N5335" s="8"/>
    </row>
    <row r="5336" spans="1:14" ht="11.25" customHeight="1">
      <c r="A5336" s="5" t="s">
        <v>15340</v>
      </c>
      <c r="B5336" s="5" t="s">
        <v>15394</v>
      </c>
      <c r="C5336" s="5" t="s">
        <v>15467</v>
      </c>
      <c r="D5336" s="5" t="s">
        <v>15343</v>
      </c>
      <c r="E5336" s="5" t="s">
        <v>87</v>
      </c>
      <c r="F5336" s="5" t="s">
        <v>15344</v>
      </c>
      <c r="G5336" s="5" t="s">
        <v>15345</v>
      </c>
      <c r="H5336" s="5" t="s">
        <v>15396</v>
      </c>
      <c r="I5336" s="5" t="s">
        <v>15468</v>
      </c>
      <c r="J5336" s="5" t="s">
        <v>15469</v>
      </c>
      <c r="K5336" s="7" t="str">
        <f ca="1">IFERROR(__xludf.DUMMYFUNCTION("GOOGLETRANSLATE(H5336,""EN"",""ES"")"),"ARTÍCULOS DE ASEO Y EQUIPOS DE SALÓN DE BELLEZA")</f>
        <v>ARTÍCULOS DE ASEO Y EQUIPOS DE SALÓN DE BELLEZA</v>
      </c>
      <c r="L5336" s="5" t="str">
        <f ca="1">IFERROR(__xludf.DUMMYFUNCTION("GOOGLETRANSLATE(J5336,""EN"",""ES"")"),"pinzas para el cabello")</f>
        <v>pinzas para el cabello</v>
      </c>
      <c r="M5336" s="8" t="s">
        <v>86</v>
      </c>
      <c r="N5336" s="8"/>
    </row>
    <row r="5337" spans="1:14" ht="11.25" customHeight="1">
      <c r="A5337" s="5" t="s">
        <v>15340</v>
      </c>
      <c r="B5337" s="5" t="s">
        <v>15394</v>
      </c>
      <c r="C5337" s="5" t="s">
        <v>15470</v>
      </c>
      <c r="D5337" s="5" t="s">
        <v>15343</v>
      </c>
      <c r="E5337" s="5" t="s">
        <v>87</v>
      </c>
      <c r="F5337" s="5" t="s">
        <v>15344</v>
      </c>
      <c r="G5337" s="5" t="s">
        <v>15345</v>
      </c>
      <c r="H5337" s="5" t="s">
        <v>15396</v>
      </c>
      <c r="I5337" s="5" t="s">
        <v>15471</v>
      </c>
      <c r="J5337" s="5" t="s">
        <v>15472</v>
      </c>
      <c r="K5337" s="7" t="str">
        <f ca="1">IFERROR(__xludf.DUMMYFUNCTION("GOOGLETRANSLATE(H5337,""EN"",""ES"")"),"ARTÍCULOS DE ASEO Y EQUIPOS DE SALÓN DE BELLEZA")</f>
        <v>ARTÍCULOS DE ASEO Y EQUIPOS DE SALÓN DE BELLEZA</v>
      </c>
      <c r="L5337" s="5" t="str">
        <f ca="1">IFERROR(__xludf.DUMMYFUNCTION("GOOGLETRANSLATE(J5337,""EN"",""ES"")"),"platos de afeitar")</f>
        <v>platos de afeitar</v>
      </c>
      <c r="M5337" s="8" t="s">
        <v>86</v>
      </c>
      <c r="N5337" s="8"/>
    </row>
    <row r="5338" spans="1:14" ht="11.25" customHeight="1">
      <c r="A5338" s="5" t="s">
        <v>15340</v>
      </c>
      <c r="B5338" s="5" t="s">
        <v>15394</v>
      </c>
      <c r="C5338" s="5" t="s">
        <v>15473</v>
      </c>
      <c r="D5338" s="5" t="s">
        <v>15343</v>
      </c>
      <c r="E5338" s="5" t="s">
        <v>87</v>
      </c>
      <c r="F5338" s="5" t="s">
        <v>15344</v>
      </c>
      <c r="G5338" s="5" t="s">
        <v>15345</v>
      </c>
      <c r="H5338" s="5" t="s">
        <v>15396</v>
      </c>
      <c r="I5338" s="5" t="s">
        <v>15474</v>
      </c>
      <c r="J5338" s="5" t="s">
        <v>15475</v>
      </c>
      <c r="K5338" s="7" t="str">
        <f ca="1">IFERROR(__xludf.DUMMYFUNCTION("GOOGLETRANSLATE(H5338,""EN"",""ES"")"),"ARTÍCULOS DE ASEO Y EQUIPOS DE SALÓN DE BELLEZA")</f>
        <v>ARTÍCULOS DE ASEO Y EQUIPOS DE SALÓN DE BELLEZA</v>
      </c>
      <c r="L5338" s="5" t="str">
        <f ca="1">IFERROR(__xludf.DUMMYFUNCTION("GOOGLETRANSLATE(J5338,""EN"",""ES"")"),"Pulidores de uñas")</f>
        <v>Pulidores de uñas</v>
      </c>
      <c r="M5338" s="8" t="s">
        <v>86</v>
      </c>
      <c r="N5338" s="8"/>
    </row>
    <row r="5339" spans="1:14" ht="11.25" customHeight="1">
      <c r="A5339" s="5" t="s">
        <v>15340</v>
      </c>
      <c r="B5339" s="5" t="s">
        <v>15394</v>
      </c>
      <c r="C5339" s="5" t="s">
        <v>15476</v>
      </c>
      <c r="D5339" s="5" t="s">
        <v>15343</v>
      </c>
      <c r="E5339" s="5" t="s">
        <v>87</v>
      </c>
      <c r="F5339" s="5" t="s">
        <v>15344</v>
      </c>
      <c r="G5339" s="5" t="s">
        <v>15345</v>
      </c>
      <c r="H5339" s="5" t="s">
        <v>15396</v>
      </c>
      <c r="I5339" s="5" t="s">
        <v>15477</v>
      </c>
      <c r="J5339" s="5" t="s">
        <v>15478</v>
      </c>
      <c r="K5339" s="7" t="str">
        <f ca="1">IFERROR(__xludf.DUMMYFUNCTION("GOOGLETRANSLATE(H5339,""EN"",""ES"")"),"ARTÍCULOS DE ASEO Y EQUIPOS DE SALÓN DE BELLEZA")</f>
        <v>ARTÍCULOS DE ASEO Y EQUIPOS DE SALÓN DE BELLEZA</v>
      </c>
      <c r="L5339" s="5" t="str">
        <f ca="1">IFERROR(__xludf.DUMMYFUNCTION("GOOGLETRANSLATE(J5339,""EN"",""ES"")"),"Reposamanos para manicura")</f>
        <v>Reposamanos para manicura</v>
      </c>
      <c r="M5339" s="8" t="s">
        <v>86</v>
      </c>
      <c r="N5339" s="8"/>
    </row>
    <row r="5340" spans="1:14" ht="11.25" customHeight="1">
      <c r="A5340" s="5" t="s">
        <v>15340</v>
      </c>
      <c r="B5340" s="5" t="s">
        <v>15394</v>
      </c>
      <c r="C5340" s="5" t="s">
        <v>15479</v>
      </c>
      <c r="D5340" s="5" t="s">
        <v>15343</v>
      </c>
      <c r="E5340" s="5" t="s">
        <v>87</v>
      </c>
      <c r="F5340" s="5" t="s">
        <v>15344</v>
      </c>
      <c r="G5340" s="5" t="s">
        <v>15345</v>
      </c>
      <c r="H5340" s="5" t="s">
        <v>15396</v>
      </c>
      <c r="I5340" s="5" t="s">
        <v>15480</v>
      </c>
      <c r="J5340" s="5" t="s">
        <v>15481</v>
      </c>
      <c r="K5340" s="7" t="str">
        <f ca="1">IFERROR(__xludf.DUMMYFUNCTION("GOOGLETRANSLATE(H5340,""EN"",""ES"")"),"ARTÍCULOS DE ASEO Y EQUIPOS DE SALÓN DE BELLEZA")</f>
        <v>ARTÍCULOS DE ASEO Y EQUIPOS DE SALÓN DE BELLEZA</v>
      </c>
      <c r="L5340" s="5" t="str">
        <f ca="1">IFERROR(__xludf.DUMMYFUNCTION("GOOGLETRANSLATE(J5340,""EN"",""ES"")"),"Soportes para cepillos de dientes eléctricos [incluidos soportes de recarga]")</f>
        <v>Soportes para cepillos de dientes eléctricos [incluidos soportes de recarga]</v>
      </c>
      <c r="M5340" s="8" t="s">
        <v>86</v>
      </c>
      <c r="N5340" s="8"/>
    </row>
    <row r="5341" spans="1:14" ht="11.25" customHeight="1">
      <c r="A5341" s="5" t="s">
        <v>15340</v>
      </c>
      <c r="B5341" s="5" t="s">
        <v>15394</v>
      </c>
      <c r="C5341" s="5" t="s">
        <v>15482</v>
      </c>
      <c r="D5341" s="5" t="s">
        <v>15343</v>
      </c>
      <c r="E5341" s="5" t="s">
        <v>87</v>
      </c>
      <c r="F5341" s="5" t="s">
        <v>15344</v>
      </c>
      <c r="G5341" s="5" t="s">
        <v>15345</v>
      </c>
      <c r="H5341" s="5" t="s">
        <v>15396</v>
      </c>
      <c r="I5341" s="5" t="s">
        <v>15483</v>
      </c>
      <c r="J5341" s="5" t="s">
        <v>15484</v>
      </c>
      <c r="K5341" s="7" t="str">
        <f ca="1">IFERROR(__xludf.DUMMYFUNCTION("GOOGLETRANSLATE(H5341,""EN"",""ES"")"),"ARTÍCULOS DE ASEO Y EQUIPOS DE SALÓN DE BELLEZA")</f>
        <v>ARTÍCULOS DE ASEO Y EQUIPOS DE SALÓN DE BELLEZA</v>
      </c>
      <c r="L5341" s="5" t="str">
        <f ca="1">IFERROR(__xludf.DUMMYFUNCTION("GOOGLETRANSLATE(J5341,""EN"",""ES"")"),"Chorros de agua orales")</f>
        <v>Chorros de agua orales</v>
      </c>
      <c r="M5341" s="8" t="s">
        <v>86</v>
      </c>
      <c r="N5341" s="8"/>
    </row>
    <row r="5342" spans="1:14" ht="11.25" customHeight="1">
      <c r="A5342" s="5" t="s">
        <v>15340</v>
      </c>
      <c r="B5342" s="5" t="s">
        <v>15394</v>
      </c>
      <c r="C5342" s="5" t="s">
        <v>15485</v>
      </c>
      <c r="D5342" s="5" t="s">
        <v>15343</v>
      </c>
      <c r="E5342" s="5" t="s">
        <v>87</v>
      </c>
      <c r="F5342" s="5" t="s">
        <v>15344</v>
      </c>
      <c r="G5342" s="5" t="s">
        <v>15345</v>
      </c>
      <c r="H5342" s="5" t="s">
        <v>15396</v>
      </c>
      <c r="I5342" s="5" t="s">
        <v>15486</v>
      </c>
      <c r="J5342" s="5" t="s">
        <v>15487</v>
      </c>
      <c r="K5342" s="7" t="str">
        <f ca="1">IFERROR(__xludf.DUMMYFUNCTION("GOOGLETRANSLATE(H5342,""EN"",""ES"")"),"ARTÍCULOS DE ASEO Y EQUIPOS DE SALÓN DE BELLEZA")</f>
        <v>ARTÍCULOS DE ASEO Y EQUIPOS DE SALÓN DE BELLEZA</v>
      </c>
      <c r="L5342" s="5" t="str">
        <f ca="1">IFERROR(__xludf.DUMMYFUNCTION("GOOGLETRANSLATE(J5342,""EN"",""ES"")"),"Maquinillas de afeitar eléctricas")</f>
        <v>Maquinillas de afeitar eléctricas</v>
      </c>
      <c r="M5342" s="8" t="s">
        <v>86</v>
      </c>
      <c r="N5342" s="8"/>
    </row>
    <row r="5343" spans="1:14" ht="11.25" customHeight="1">
      <c r="A5343" s="5" t="s">
        <v>15340</v>
      </c>
      <c r="B5343" s="5" t="s">
        <v>15394</v>
      </c>
      <c r="C5343" s="5" t="s">
        <v>15488</v>
      </c>
      <c r="D5343" s="5" t="s">
        <v>15343</v>
      </c>
      <c r="E5343" s="5" t="s">
        <v>87</v>
      </c>
      <c r="F5343" s="5" t="s">
        <v>15344</v>
      </c>
      <c r="G5343" s="5" t="s">
        <v>15345</v>
      </c>
      <c r="H5343" s="5" t="s">
        <v>15396</v>
      </c>
      <c r="I5343" s="5" t="s">
        <v>15489</v>
      </c>
      <c r="J5343" s="5" t="s">
        <v>15490</v>
      </c>
      <c r="K5343" s="7" t="str">
        <f ca="1">IFERROR(__xludf.DUMMYFUNCTION("GOOGLETRANSLATE(H5343,""EN"",""ES"")"),"ARTÍCULOS DE ASEO Y EQUIPOS DE SALÓN DE BELLEZA")</f>
        <v>ARTÍCULOS DE ASEO Y EQUIPOS DE SALÓN DE BELLEZA</v>
      </c>
      <c r="L5343" s="5" t="str">
        <f ca="1">IFERROR(__xludf.DUMMYFUNCTION("GOOGLETRANSLATE(J5343,""EN"",""ES"")"),"Cepillos de dientes eléctricos [electrodomésticos]")</f>
        <v>Cepillos de dientes eléctricos [electrodomésticos]</v>
      </c>
      <c r="M5343" s="8" t="s">
        <v>86</v>
      </c>
      <c r="N5343" s="8"/>
    </row>
    <row r="5344" spans="1:14" ht="11.25" customHeight="1">
      <c r="A5344" s="5" t="s">
        <v>15340</v>
      </c>
      <c r="B5344" s="5" t="s">
        <v>15394</v>
      </c>
      <c r="C5344" s="5" t="s">
        <v>15491</v>
      </c>
      <c r="D5344" s="5" t="s">
        <v>15343</v>
      </c>
      <c r="E5344" s="5" t="s">
        <v>87</v>
      </c>
      <c r="F5344" s="5" t="s">
        <v>15344</v>
      </c>
      <c r="G5344" s="5" t="s">
        <v>15345</v>
      </c>
      <c r="H5344" s="5" t="s">
        <v>15396</v>
      </c>
      <c r="I5344" s="5" t="s">
        <v>15492</v>
      </c>
      <c r="J5344" s="5" t="s">
        <v>15493</v>
      </c>
      <c r="K5344" s="7" t="str">
        <f ca="1">IFERROR(__xludf.DUMMYFUNCTION("GOOGLETRANSLATE(H5344,""EN"",""ES"")"),"ARTÍCULOS DE ASEO Y EQUIPOS DE SALÓN DE BELLEZA")</f>
        <v>ARTÍCULOS DE ASEO Y EQUIPOS DE SALÓN DE BELLEZA</v>
      </c>
      <c r="L5344" s="5" t="str">
        <f ca="1">IFERROR(__xludf.DUMMYFUNCTION("GOOGLETRANSLATE(J5344,""EN"",""ES"")"),"Lámparas solares")</f>
        <v>Lámparas solares</v>
      </c>
      <c r="M5344" s="8" t="s">
        <v>86</v>
      </c>
      <c r="N5344" s="8"/>
    </row>
    <row r="5345" spans="1:14" ht="11.25" customHeight="1">
      <c r="A5345" s="5" t="s">
        <v>15340</v>
      </c>
      <c r="B5345" s="5" t="s">
        <v>15394</v>
      </c>
      <c r="C5345" s="5" t="s">
        <v>15494</v>
      </c>
      <c r="D5345" s="5" t="s">
        <v>15343</v>
      </c>
      <c r="E5345" s="5" t="s">
        <v>87</v>
      </c>
      <c r="F5345" s="5" t="s">
        <v>15344</v>
      </c>
      <c r="G5345" s="5" t="s">
        <v>15345</v>
      </c>
      <c r="H5345" s="5" t="s">
        <v>15396</v>
      </c>
      <c r="I5345" s="5" t="s">
        <v>15495</v>
      </c>
      <c r="J5345" s="5" t="s">
        <v>15496</v>
      </c>
      <c r="K5345" s="7" t="str">
        <f ca="1">IFERROR(__xludf.DUMMYFUNCTION("GOOGLETRANSLATE(H5345,""EN"",""ES"")"),"ARTÍCULOS DE ASEO Y EQUIPOS DE SALÓN DE BELLEZA")</f>
        <v>ARTÍCULOS DE ASEO Y EQUIPOS DE SALÓN DE BELLEZA</v>
      </c>
      <c r="L5345" s="5" t="str">
        <f ca="1">IFERROR(__xludf.DUMMYFUNCTION("GOOGLETRANSLATE(J5345,""EN"",""ES"")"),"Cojines para vibromasaje")</f>
        <v>Cojines para vibromasaje</v>
      </c>
      <c r="M5345" s="8" t="s">
        <v>86</v>
      </c>
      <c r="N5345" s="8"/>
    </row>
    <row r="5346" spans="1:14" ht="11.25" customHeight="1">
      <c r="A5346" s="5" t="s">
        <v>15340</v>
      </c>
      <c r="B5346" s="5" t="s">
        <v>15394</v>
      </c>
      <c r="C5346" s="5" t="s">
        <v>15497</v>
      </c>
      <c r="D5346" s="5" t="s">
        <v>15343</v>
      </c>
      <c r="E5346" s="5" t="s">
        <v>87</v>
      </c>
      <c r="F5346" s="5" t="s">
        <v>15344</v>
      </c>
      <c r="G5346" s="5" t="s">
        <v>15345</v>
      </c>
      <c r="H5346" s="5" t="s">
        <v>15396</v>
      </c>
      <c r="I5346" s="5" t="s">
        <v>15498</v>
      </c>
      <c r="J5346" s="5" t="s">
        <v>15499</v>
      </c>
      <c r="K5346" s="7" t="str">
        <f ca="1">IFERROR(__xludf.DUMMYFUNCTION("GOOGLETRANSLATE(H5346,""EN"",""ES"")"),"ARTÍCULOS DE ASEO Y EQUIPOS DE SALÓN DE BELLEZA")</f>
        <v>ARTÍCULOS DE ASEO Y EQUIPOS DE SALÓN DE BELLEZA</v>
      </c>
      <c r="L5346" s="5" t="str">
        <f ca="1">IFERROR(__xludf.DUMMYFUNCTION("GOOGLETRANSLATE(J5346,""EN"",""ES"")"),"Dispensadores de cosméticos")</f>
        <v>Dispensadores de cosméticos</v>
      </c>
      <c r="M5346" s="8" t="s">
        <v>86</v>
      </c>
      <c r="N5346" s="8"/>
    </row>
    <row r="5347" spans="1:14" ht="11.25" customHeight="1">
      <c r="A5347" s="5" t="s">
        <v>15340</v>
      </c>
      <c r="B5347" s="5" t="s">
        <v>15394</v>
      </c>
      <c r="C5347" s="5" t="s">
        <v>15500</v>
      </c>
      <c r="D5347" s="5" t="s">
        <v>15343</v>
      </c>
      <c r="E5347" s="5" t="s">
        <v>87</v>
      </c>
      <c r="F5347" s="5" t="s">
        <v>15344</v>
      </c>
      <c r="G5347" s="5" t="s">
        <v>15345</v>
      </c>
      <c r="H5347" s="5" t="s">
        <v>15396</v>
      </c>
      <c r="I5347" s="5" t="s">
        <v>15501</v>
      </c>
      <c r="J5347" s="5" t="s">
        <v>15502</v>
      </c>
      <c r="K5347" s="7" t="str">
        <f ca="1">IFERROR(__xludf.DUMMYFUNCTION("GOOGLETRANSLATE(H5347,""EN"",""ES"")"),"ARTÍCULOS DE ASEO Y EQUIPOS DE SALÓN DE BELLEZA")</f>
        <v>ARTÍCULOS DE ASEO Y EQUIPOS DE SALÓN DE BELLEZA</v>
      </c>
      <c r="L5347" s="5" t="str">
        <f ca="1">IFERROR(__xludf.DUMMYFUNCTION("GOOGLETRANSLATE(J5347,""EN"",""ES"")"),"Raspadores de podólogos")</f>
        <v>Raspadores de podólogos</v>
      </c>
      <c r="M5347" s="8" t="s">
        <v>86</v>
      </c>
      <c r="N5347" s="8"/>
    </row>
    <row r="5348" spans="1:14" ht="11.25" customHeight="1">
      <c r="A5348" s="5" t="s">
        <v>15340</v>
      </c>
      <c r="B5348" s="5" t="s">
        <v>15394</v>
      </c>
      <c r="C5348" s="5" t="s">
        <v>15503</v>
      </c>
      <c r="D5348" s="5" t="s">
        <v>15343</v>
      </c>
      <c r="E5348" s="5" t="s">
        <v>87</v>
      </c>
      <c r="F5348" s="5" t="s">
        <v>15344</v>
      </c>
      <c r="G5348" s="5" t="s">
        <v>15345</v>
      </c>
      <c r="H5348" s="5" t="s">
        <v>15396</v>
      </c>
      <c r="I5348" s="5" t="s">
        <v>15504</v>
      </c>
      <c r="J5348" s="5" t="s">
        <v>15505</v>
      </c>
      <c r="K5348" s="7" t="str">
        <f ca="1">IFERROR(__xludf.DUMMYFUNCTION("GOOGLETRANSLATE(H5348,""EN"",""ES"")"),"ARTÍCULOS DE ASEO Y EQUIPOS DE SALÓN DE BELLEZA")</f>
        <v>ARTÍCULOS DE ASEO Y EQUIPOS DE SALÓN DE BELLEZA</v>
      </c>
      <c r="L5348" s="5" t="str">
        <f ca="1">IFERROR(__xludf.DUMMYFUNCTION("GOOGLETRANSLATE(J5348,""EN"",""ES"")"),"Aparatos de masaje")</f>
        <v>Aparatos de masaje</v>
      </c>
      <c r="M5348" s="8" t="s">
        <v>86</v>
      </c>
      <c r="N5348" s="8"/>
    </row>
    <row r="5349" spans="1:14" ht="11.25" customHeight="1">
      <c r="A5349" s="5" t="s">
        <v>15340</v>
      </c>
      <c r="B5349" s="5" t="s">
        <v>15394</v>
      </c>
      <c r="C5349" s="5" t="s">
        <v>15506</v>
      </c>
      <c r="D5349" s="5" t="s">
        <v>15343</v>
      </c>
      <c r="E5349" s="5" t="s">
        <v>87</v>
      </c>
      <c r="F5349" s="5" t="s">
        <v>15344</v>
      </c>
      <c r="G5349" s="5" t="s">
        <v>15345</v>
      </c>
      <c r="H5349" s="5" t="s">
        <v>15396</v>
      </c>
      <c r="I5349" s="5" t="s">
        <v>15507</v>
      </c>
      <c r="J5349" s="5" t="s">
        <v>15508</v>
      </c>
      <c r="K5349" s="7" t="str">
        <f ca="1">IFERROR(__xludf.DUMMYFUNCTION("GOOGLETRANSLATE(H5349,""EN"",""ES"")"),"ARTÍCULOS DE ASEO Y EQUIPOS DE SALÓN DE BELLEZA")</f>
        <v>ARTÍCULOS DE ASEO Y EQUIPOS DE SALÓN DE BELLEZA</v>
      </c>
      <c r="L5349" s="5" t="str">
        <f ca="1">IFERROR(__xludf.DUMMYFUNCTION("GOOGLETRANSLATE(J5349,""EN"",""ES"")"),"Aparatos anticelulíticos")</f>
        <v>Aparatos anticelulíticos</v>
      </c>
      <c r="M5349" s="8" t="s">
        <v>86</v>
      </c>
      <c r="N5349" s="8"/>
    </row>
    <row r="5350" spans="1:14" ht="11.25" customHeight="1">
      <c r="A5350" s="5" t="s">
        <v>15340</v>
      </c>
      <c r="B5350" s="5" t="s">
        <v>15394</v>
      </c>
      <c r="C5350" s="5" t="s">
        <v>15509</v>
      </c>
      <c r="D5350" s="5" t="s">
        <v>15343</v>
      </c>
      <c r="E5350" s="5" t="s">
        <v>87</v>
      </c>
      <c r="F5350" s="5" t="s">
        <v>15344</v>
      </c>
      <c r="G5350" s="5" t="s">
        <v>15345</v>
      </c>
      <c r="H5350" s="5" t="s">
        <v>15396</v>
      </c>
      <c r="I5350" s="5" t="s">
        <v>15510</v>
      </c>
      <c r="J5350" s="5" t="s">
        <v>15511</v>
      </c>
      <c r="K5350" s="7" t="str">
        <f ca="1">IFERROR(__xludf.DUMMYFUNCTION("GOOGLETRANSLATE(H5350,""EN"",""ES"")"),"ARTÍCULOS DE ASEO Y EQUIPOS DE SALÓN DE BELLEZA")</f>
        <v>ARTÍCULOS DE ASEO Y EQUIPOS DE SALÓN DE BELLEZA</v>
      </c>
      <c r="L5350" s="5" t="str">
        <f ca="1">IFERROR(__xludf.DUMMYFUNCTION("GOOGLETRANSLATE(J5350,""EN"",""ES"")"),"Lavar esponjas")</f>
        <v>Lavar esponjas</v>
      </c>
      <c r="M5350" s="8" t="s">
        <v>86</v>
      </c>
      <c r="N5350" s="8"/>
    </row>
    <row r="5351" spans="1:14" ht="11.25" customHeight="1">
      <c r="A5351" s="5" t="s">
        <v>15340</v>
      </c>
      <c r="B5351" s="5" t="s">
        <v>15394</v>
      </c>
      <c r="C5351" s="5" t="s">
        <v>15512</v>
      </c>
      <c r="D5351" s="5" t="s">
        <v>15343</v>
      </c>
      <c r="E5351" s="5" t="s">
        <v>87</v>
      </c>
      <c r="F5351" s="5" t="s">
        <v>15344</v>
      </c>
      <c r="G5351" s="5" t="s">
        <v>15345</v>
      </c>
      <c r="H5351" s="5" t="s">
        <v>15396</v>
      </c>
      <c r="I5351" s="5" t="s">
        <v>15513</v>
      </c>
      <c r="J5351" s="5" t="s">
        <v>15514</v>
      </c>
      <c r="K5351" s="7" t="str">
        <f ca="1">IFERROR(__xludf.DUMMYFUNCTION("GOOGLETRANSLATE(H5351,""EN"",""ES"")"),"ARTÍCULOS DE ASEO Y EQUIPOS DE SALÓN DE BELLEZA")</f>
        <v>ARTÍCULOS DE ASEO Y EQUIPOS DE SALÓN DE BELLEZA</v>
      </c>
      <c r="L5351" s="5" t="str">
        <f ca="1">IFERROR(__xludf.DUMMYFUNCTION("GOOGLETRANSLATE(J5351,""EN"",""ES"")"),"Aparato para perforar orejas")</f>
        <v>Aparato para perforar orejas</v>
      </c>
      <c r="M5351" s="8" t="s">
        <v>86</v>
      </c>
      <c r="N5351" s="8"/>
    </row>
    <row r="5352" spans="1:14" ht="11.25" customHeight="1">
      <c r="A5352" s="5" t="s">
        <v>15340</v>
      </c>
      <c r="B5352" s="5" t="s">
        <v>15394</v>
      </c>
      <c r="C5352" s="5" t="s">
        <v>15515</v>
      </c>
      <c r="D5352" s="5" t="s">
        <v>15343</v>
      </c>
      <c r="E5352" s="5" t="s">
        <v>87</v>
      </c>
      <c r="F5352" s="5" t="s">
        <v>15344</v>
      </c>
      <c r="G5352" s="5" t="s">
        <v>15345</v>
      </c>
      <c r="H5352" s="5" t="s">
        <v>15396</v>
      </c>
      <c r="I5352" s="5" t="s">
        <v>15516</v>
      </c>
      <c r="J5352" s="5" t="s">
        <v>15517</v>
      </c>
      <c r="K5352" s="7" t="str">
        <f ca="1">IFERROR(__xludf.DUMMYFUNCTION("GOOGLETRANSLATE(H5352,""EN"",""ES"")"),"ARTÍCULOS DE ASEO Y EQUIPOS DE SALÓN DE BELLEZA")</f>
        <v>ARTÍCULOS DE ASEO Y EQUIPOS DE SALÓN DE BELLEZA</v>
      </c>
      <c r="L5352" s="5" t="str">
        <f ca="1">IFERROR(__xludf.DUMMYFUNCTION("GOOGLETRANSLATE(J5352,""EN"",""ES"")"),"Aparato de solárium")</f>
        <v>Aparato de solárium</v>
      </c>
      <c r="M5352" s="8" t="s">
        <v>86</v>
      </c>
      <c r="N5352" s="8"/>
    </row>
    <row r="5353" spans="1:14" ht="11.25" customHeight="1">
      <c r="A5353" s="5" t="s">
        <v>15340</v>
      </c>
      <c r="B5353" s="5" t="s">
        <v>15394</v>
      </c>
      <c r="C5353" s="5" t="s">
        <v>15518</v>
      </c>
      <c r="D5353" s="5" t="s">
        <v>15343</v>
      </c>
      <c r="E5353" s="5" t="s">
        <v>87</v>
      </c>
      <c r="F5353" s="5" t="s">
        <v>15344</v>
      </c>
      <c r="G5353" s="5" t="s">
        <v>15345</v>
      </c>
      <c r="H5353" s="5" t="s">
        <v>15396</v>
      </c>
      <c r="I5353" s="5" t="s">
        <v>15519</v>
      </c>
      <c r="J5353" s="5" t="s">
        <v>15520</v>
      </c>
      <c r="K5353" s="7" t="str">
        <f ca="1">IFERROR(__xludf.DUMMYFUNCTION("GOOGLETRANSLATE(H5353,""EN"",""ES"")"),"ARTÍCULOS DE ASEO Y EQUIPOS DE SALÓN DE BELLEZA")</f>
        <v>ARTÍCULOS DE ASEO Y EQUIPOS DE SALÓN DE BELLEZA</v>
      </c>
      <c r="L5353" s="5" t="str">
        <f ca="1">IFERROR(__xludf.DUMMYFUNCTION("GOOGLETRANSLATE(J5353,""EN"",""ES"")"),"juguetes sexuales")</f>
        <v>juguetes sexuales</v>
      </c>
      <c r="M5353" s="8" t="s">
        <v>86</v>
      </c>
      <c r="N5353" s="8"/>
    </row>
    <row r="5354" spans="1:14" ht="11.25" customHeight="1">
      <c r="A5354" s="5" t="s">
        <v>15340</v>
      </c>
      <c r="B5354" s="5" t="s">
        <v>15394</v>
      </c>
      <c r="C5354" s="5" t="s">
        <v>15521</v>
      </c>
      <c r="D5354" s="5" t="s">
        <v>15343</v>
      </c>
      <c r="E5354" s="5" t="s">
        <v>87</v>
      </c>
      <c r="F5354" s="5" t="s">
        <v>15344</v>
      </c>
      <c r="G5354" s="5" t="s">
        <v>15345</v>
      </c>
      <c r="H5354" s="5" t="s">
        <v>15396</v>
      </c>
      <c r="I5354" s="5" t="s">
        <v>15522</v>
      </c>
      <c r="J5354" s="5" t="s">
        <v>15523</v>
      </c>
      <c r="K5354" s="7" t="str">
        <f ca="1">IFERROR(__xludf.DUMMYFUNCTION("GOOGLETRANSLATE(H5354,""EN"",""ES"")"),"ARTÍCULOS DE ASEO Y EQUIPOS DE SALÓN DE BELLEZA")</f>
        <v>ARTÍCULOS DE ASEO Y EQUIPOS DE SALÓN DE BELLEZA</v>
      </c>
      <c r="L5354" s="5" t="str">
        <f ca="1">IFERROR(__xludf.DUMMYFUNCTION("GOOGLETRANSLATE(J5354,""EN"",""ES"")"),"Aparatos para hacer mascarillas faciales.")</f>
        <v>Aparatos para hacer mascarillas faciales.</v>
      </c>
      <c r="M5354" s="8" t="s">
        <v>86</v>
      </c>
      <c r="N5354" s="8"/>
    </row>
    <row r="5355" spans="1:14" ht="11.25" customHeight="1">
      <c r="A5355" s="5" t="s">
        <v>15340</v>
      </c>
      <c r="B5355" s="5" t="s">
        <v>15394</v>
      </c>
      <c r="C5355" s="5" t="s">
        <v>15524</v>
      </c>
      <c r="D5355" s="5" t="s">
        <v>15343</v>
      </c>
      <c r="E5355" s="5" t="s">
        <v>87</v>
      </c>
      <c r="F5355" s="5" t="s">
        <v>15344</v>
      </c>
      <c r="G5355" s="5" t="s">
        <v>15345</v>
      </c>
      <c r="H5355" s="5" t="s">
        <v>15396</v>
      </c>
      <c r="I5355" s="5" t="s">
        <v>15525</v>
      </c>
      <c r="J5355" s="5" t="s">
        <v>15526</v>
      </c>
      <c r="K5355" s="7" t="str">
        <f ca="1">IFERROR(__xludf.DUMMYFUNCTION("GOOGLETRANSLATE(H5355,""EN"",""ES"")"),"ARTÍCULOS DE ASEO Y EQUIPOS DE SALÓN DE BELLEZA")</f>
        <v>ARTÍCULOS DE ASEO Y EQUIPOS DE SALÓN DE BELLEZA</v>
      </c>
      <c r="L5355" s="5" t="str">
        <f ca="1">IFERROR(__xludf.DUMMYFUNCTION("GOOGLETRANSLATE(J5355,""EN"",""ES"")"),"Recortadores de vello facial")</f>
        <v>Recortadores de vello facial</v>
      </c>
      <c r="M5355" s="8" t="s">
        <v>86</v>
      </c>
      <c r="N5355" s="8"/>
    </row>
    <row r="5356" spans="1:14" ht="11.25" customHeight="1">
      <c r="A5356" s="5" t="s">
        <v>15340</v>
      </c>
      <c r="B5356" s="5" t="s">
        <v>15394</v>
      </c>
      <c r="C5356" s="5" t="s">
        <v>15527</v>
      </c>
      <c r="D5356" s="5" t="s">
        <v>15343</v>
      </c>
      <c r="E5356" s="5" t="s">
        <v>87</v>
      </c>
      <c r="F5356" s="5" t="s">
        <v>15344</v>
      </c>
      <c r="G5356" s="5" t="s">
        <v>15345</v>
      </c>
      <c r="H5356" s="5" t="s">
        <v>15396</v>
      </c>
      <c r="I5356" s="5" t="s">
        <v>15528</v>
      </c>
      <c r="J5356" s="5" t="s">
        <v>15529</v>
      </c>
      <c r="K5356" s="7" t="str">
        <f ca="1">IFERROR(__xludf.DUMMYFUNCTION("GOOGLETRANSLATE(H5356,""EN"",""ES"")"),"ARTÍCULOS DE ASEO Y EQUIPOS DE SALÓN DE BELLEZA")</f>
        <v>ARTÍCULOS DE ASEO Y EQUIPOS DE SALÓN DE BELLEZA</v>
      </c>
      <c r="L5356" s="5" t="str">
        <f ca="1">IFERROR(__xludf.DUMMYFUNCTION("GOOGLETRANSLATE(J5356,""EN"",""ES"")"),"Masajeadores faciales")</f>
        <v>Masajeadores faciales</v>
      </c>
      <c r="M5356" s="8" t="s">
        <v>86</v>
      </c>
      <c r="N5356" s="8"/>
    </row>
    <row r="5357" spans="1:14" ht="11.25" customHeight="1">
      <c r="A5357" s="5" t="s">
        <v>15340</v>
      </c>
      <c r="B5357" s="5" t="s">
        <v>15394</v>
      </c>
      <c r="C5357" s="5" t="s">
        <v>15530</v>
      </c>
      <c r="D5357" s="5" t="s">
        <v>15343</v>
      </c>
      <c r="E5357" s="5" t="s">
        <v>87</v>
      </c>
      <c r="F5357" s="5" t="s">
        <v>15344</v>
      </c>
      <c r="G5357" s="5" t="s">
        <v>15345</v>
      </c>
      <c r="H5357" s="5" t="s">
        <v>15396</v>
      </c>
      <c r="I5357" s="5" t="s">
        <v>15531</v>
      </c>
      <c r="J5357" s="5" t="s">
        <v>15532</v>
      </c>
      <c r="K5357" s="7" t="str">
        <f ca="1">IFERROR(__xludf.DUMMYFUNCTION("GOOGLETRANSLATE(H5357,""EN"",""ES"")"),"ARTÍCULOS DE ASEO Y EQUIPOS DE SALÓN DE BELLEZA")</f>
        <v>ARTÍCULOS DE ASEO Y EQUIPOS DE SALÓN DE BELLEZA</v>
      </c>
      <c r="L5357" s="5" t="str">
        <f ca="1">IFERROR(__xludf.DUMMYFUNCTION("GOOGLETRANSLATE(J5357,""EN"",""ES"")"),"Limpiadores de lengua")</f>
        <v>Limpiadores de lengua</v>
      </c>
      <c r="M5357" s="8" t="s">
        <v>86</v>
      </c>
      <c r="N5357" s="8"/>
    </row>
    <row r="5358" spans="1:14" ht="11.25" customHeight="1">
      <c r="A5358" s="5" t="s">
        <v>15340</v>
      </c>
      <c r="B5358" s="5" t="s">
        <v>15394</v>
      </c>
      <c r="C5358" s="5" t="s">
        <v>15533</v>
      </c>
      <c r="D5358" s="5" t="s">
        <v>15343</v>
      </c>
      <c r="E5358" s="5" t="s">
        <v>87</v>
      </c>
      <c r="F5358" s="5" t="s">
        <v>15344</v>
      </c>
      <c r="G5358" s="5" t="s">
        <v>15345</v>
      </c>
      <c r="H5358" s="5" t="s">
        <v>15396</v>
      </c>
      <c r="I5358" s="5" t="s">
        <v>15534</v>
      </c>
      <c r="J5358" s="5" t="s">
        <v>15535</v>
      </c>
      <c r="K5358" s="7" t="str">
        <f ca="1">IFERROR(__xludf.DUMMYFUNCTION("GOOGLETRANSLATE(H5358,""EN"",""ES"")"),"ARTÍCULOS DE ASEO Y EQUIPOS DE SALÓN DE BELLEZA")</f>
        <v>ARTÍCULOS DE ASEO Y EQUIPOS DE SALÓN DE BELLEZA</v>
      </c>
      <c r="L5358" s="5" t="str">
        <f ca="1">IFERROR(__xludf.DUMMYFUNCTION("GOOGLETRANSLATE(J5358,""EN"",""ES"")"),"Secadores de esmalte de uñas")</f>
        <v>Secadores de esmalte de uñas</v>
      </c>
      <c r="M5358" s="8" t="s">
        <v>86</v>
      </c>
      <c r="N5358" s="8"/>
    </row>
    <row r="5359" spans="1:14" ht="11.25" customHeight="1">
      <c r="A5359" s="5" t="s">
        <v>15340</v>
      </c>
      <c r="B5359" s="5" t="s">
        <v>15394</v>
      </c>
      <c r="C5359" s="5" t="s">
        <v>15536</v>
      </c>
      <c r="D5359" s="5" t="s">
        <v>15343</v>
      </c>
      <c r="E5359" s="5" t="s">
        <v>87</v>
      </c>
      <c r="F5359" s="5" t="s">
        <v>15344</v>
      </c>
      <c r="G5359" s="5" t="s">
        <v>15345</v>
      </c>
      <c r="H5359" s="5" t="s">
        <v>15396</v>
      </c>
      <c r="I5359" s="5" t="s">
        <v>15537</v>
      </c>
      <c r="J5359" s="5" t="s">
        <v>15538</v>
      </c>
      <c r="K5359" s="7" t="str">
        <f ca="1">IFERROR(__xludf.DUMMYFUNCTION("GOOGLETRANSLATE(H5359,""EN"",""ES"")"),"ARTÍCULOS DE ASEO Y EQUIPOS DE SALÓN DE BELLEZA")</f>
        <v>ARTÍCULOS DE ASEO Y EQUIPOS DE SALÓN DE BELLEZA</v>
      </c>
      <c r="L5359" s="5" t="str">
        <f ca="1">IFERROR(__xludf.DUMMYFUNCTION("GOOGLETRANSLATE(J5359,""EN"",""ES"")"),"Mascarillas cosméticas en láminas")</f>
        <v>Mascarillas cosméticas en láminas</v>
      </c>
      <c r="M5359" s="8" t="s">
        <v>86</v>
      </c>
      <c r="N5359" s="8"/>
    </row>
    <row r="5360" spans="1:14" ht="11.25" customHeight="1">
      <c r="A5360" s="5" t="s">
        <v>15340</v>
      </c>
      <c r="B5360" s="5" t="s">
        <v>15394</v>
      </c>
      <c r="C5360" s="5" t="s">
        <v>15539</v>
      </c>
      <c r="D5360" s="5" t="s">
        <v>15343</v>
      </c>
      <c r="E5360" s="5" t="s">
        <v>87</v>
      </c>
      <c r="F5360" s="5" t="s">
        <v>15344</v>
      </c>
      <c r="G5360" s="5" t="s">
        <v>15345</v>
      </c>
      <c r="H5360" s="5" t="s">
        <v>15396</v>
      </c>
      <c r="I5360" s="5" t="s">
        <v>15540</v>
      </c>
      <c r="J5360" s="5" t="s">
        <v>15541</v>
      </c>
      <c r="K5360" s="7" t="str">
        <f ca="1">IFERROR(__xludf.DUMMYFUNCTION("GOOGLETRANSLATE(H5360,""EN"",""ES"")"),"ARTÍCULOS DE ASEO Y EQUIPOS DE SALÓN DE BELLEZA")</f>
        <v>ARTÍCULOS DE ASEO Y EQUIPOS DE SALÓN DE BELLEZA</v>
      </c>
      <c r="L5360" s="5" t="str">
        <f ca="1">IFERROR(__xludf.DUMMYFUNCTION("GOOGLETRANSLATE(J5360,""EN"",""ES"")"),"Portacepillos de dientes")</f>
        <v>Portacepillos de dientes</v>
      </c>
      <c r="M5360" s="8" t="s">
        <v>86</v>
      </c>
      <c r="N5360" s="8"/>
    </row>
    <row r="5361" spans="1:14" ht="11.25" customHeight="1">
      <c r="A5361" s="5" t="s">
        <v>15340</v>
      </c>
      <c r="B5361" s="5" t="s">
        <v>15394</v>
      </c>
      <c r="C5361" s="5" t="s">
        <v>15542</v>
      </c>
      <c r="D5361" s="5" t="s">
        <v>15343</v>
      </c>
      <c r="E5361" s="5" t="s">
        <v>87</v>
      </c>
      <c r="F5361" s="5" t="s">
        <v>15344</v>
      </c>
      <c r="G5361" s="5" t="s">
        <v>15345</v>
      </c>
      <c r="H5361" s="5" t="s">
        <v>15396</v>
      </c>
      <c r="I5361" s="5" t="s">
        <v>15543</v>
      </c>
      <c r="J5361" s="5" t="s">
        <v>15544</v>
      </c>
      <c r="K5361" s="7" t="str">
        <f ca="1">IFERROR(__xludf.DUMMYFUNCTION("GOOGLETRANSLATE(H5361,""EN"",""ES"")"),"ARTÍCULOS DE ASEO Y EQUIPOS DE SALÓN DE BELLEZA")</f>
        <v>ARTÍCULOS DE ASEO Y EQUIPOS DE SALÓN DE BELLEZA</v>
      </c>
      <c r="L5361" s="5" t="str">
        <f ca="1">IFERROR(__xludf.DUMMYFUNCTION("GOOGLETRANSLATE(J5361,""EN"",""ES"")"),"Difusores para perfumes o aceites esenciales")</f>
        <v>Difusores para perfumes o aceites esenciales</v>
      </c>
      <c r="M5361" s="8" t="s">
        <v>86</v>
      </c>
      <c r="N5361" s="8"/>
    </row>
    <row r="5362" spans="1:14" ht="11.25" customHeight="1">
      <c r="A5362" s="5" t="s">
        <v>15340</v>
      </c>
      <c r="B5362" s="5" t="s">
        <v>15394</v>
      </c>
      <c r="C5362" s="5" t="s">
        <v>15545</v>
      </c>
      <c r="D5362" s="5" t="s">
        <v>15343</v>
      </c>
      <c r="E5362" s="5" t="s">
        <v>87</v>
      </c>
      <c r="F5362" s="5" t="s">
        <v>15344</v>
      </c>
      <c r="G5362" s="5" t="s">
        <v>15345</v>
      </c>
      <c r="H5362" s="5" t="s">
        <v>15396</v>
      </c>
      <c r="I5362" s="5" t="s">
        <v>15546</v>
      </c>
      <c r="J5362" s="5" t="s">
        <v>15547</v>
      </c>
      <c r="K5362" s="7" t="str">
        <f ca="1">IFERROR(__xludf.DUMMYFUNCTION("GOOGLETRANSLATE(H5362,""EN"",""ES"")"),"ARTÍCULOS DE ASEO Y EQUIPOS DE SALÓN DE BELLEZA")</f>
        <v>ARTÍCULOS DE ASEO Y EQUIPOS DE SALÓN DE BELLEZA</v>
      </c>
      <c r="L5362" s="5" t="str">
        <f ca="1">IFERROR(__xludf.DUMMYFUNCTION("GOOGLETRANSLATE(J5362,""EN"",""ES"")"),"Separadores de dedos")</f>
        <v>Separadores de dedos</v>
      </c>
      <c r="M5362" s="8" t="s">
        <v>86</v>
      </c>
      <c r="N5362" s="8"/>
    </row>
    <row r="5363" spans="1:14" ht="11.25" customHeight="1">
      <c r="A5363" s="5" t="s">
        <v>15340</v>
      </c>
      <c r="B5363" s="5" t="s">
        <v>15394</v>
      </c>
      <c r="C5363" s="5" t="s">
        <v>15548</v>
      </c>
      <c r="D5363" s="5" t="s">
        <v>15343</v>
      </c>
      <c r="E5363" s="5" t="s">
        <v>87</v>
      </c>
      <c r="F5363" s="5" t="s">
        <v>15344</v>
      </c>
      <c r="G5363" s="5" t="s">
        <v>15345</v>
      </c>
      <c r="H5363" s="5" t="s">
        <v>15396</v>
      </c>
      <c r="I5363" s="5" t="s">
        <v>15549</v>
      </c>
      <c r="J5363" s="5" t="s">
        <v>15550</v>
      </c>
      <c r="K5363" s="7" t="str">
        <f ca="1">IFERROR(__xludf.DUMMYFUNCTION("GOOGLETRANSLATE(H5363,""EN"",""ES"")"),"ARTÍCULOS DE ASEO Y EQUIPOS DE SALÓN DE BELLEZA")</f>
        <v>ARTÍCULOS DE ASEO Y EQUIPOS DE SALÓN DE BELLEZA</v>
      </c>
      <c r="L5363" s="5" t="str">
        <f ca="1">IFERROR(__xludf.DUMMYFUNCTION("GOOGLETRANSLATE(J5363,""EN"",""ES"")"),"Mascarillas para los ojos [con fines cosméticos]")</f>
        <v>Mascarillas para los ojos [con fines cosméticos]</v>
      </c>
      <c r="M5363" s="8" t="s">
        <v>86</v>
      </c>
      <c r="N5363" s="8"/>
    </row>
    <row r="5364" spans="1:14" ht="11.25" customHeight="1">
      <c r="A5364" s="5" t="s">
        <v>15340</v>
      </c>
      <c r="B5364" s="5" t="s">
        <v>15394</v>
      </c>
      <c r="C5364" s="5" t="s">
        <v>15551</v>
      </c>
      <c r="D5364" s="5" t="s">
        <v>15343</v>
      </c>
      <c r="E5364" s="5" t="s">
        <v>87</v>
      </c>
      <c r="F5364" s="5" t="s">
        <v>15344</v>
      </c>
      <c r="G5364" s="5" t="s">
        <v>15345</v>
      </c>
      <c r="H5364" s="5" t="s">
        <v>15396</v>
      </c>
      <c r="I5364" s="5" t="s">
        <v>15552</v>
      </c>
      <c r="J5364" s="5" t="s">
        <v>15553</v>
      </c>
      <c r="K5364" s="7" t="str">
        <f ca="1">IFERROR(__xludf.DUMMYFUNCTION("GOOGLETRANSLATE(H5364,""EN"",""ES"")"),"ARTÍCULOS DE ASEO Y EQUIPOS DE SALÓN DE BELLEZA")</f>
        <v>ARTÍCULOS DE ASEO Y EQUIPOS DE SALÓN DE BELLEZA</v>
      </c>
      <c r="L5364" s="5" t="str">
        <f ca="1">IFERROR(__xludf.DUMMYFUNCTION("GOOGLETRANSLATE(J5364,""EN"",""ES"")"),"Máscaras de vapor para los ojos")</f>
        <v>Máscaras de vapor para los ojos</v>
      </c>
      <c r="M5364" s="8" t="s">
        <v>86</v>
      </c>
      <c r="N5364" s="8"/>
    </row>
    <row r="5365" spans="1:14" ht="11.25" customHeight="1">
      <c r="A5365" s="5" t="s">
        <v>15340</v>
      </c>
      <c r="B5365" s="5" t="s">
        <v>15394</v>
      </c>
      <c r="C5365" s="5" t="s">
        <v>15554</v>
      </c>
      <c r="D5365" s="5" t="s">
        <v>15343</v>
      </c>
      <c r="E5365" s="5" t="s">
        <v>87</v>
      </c>
      <c r="F5365" s="5" t="s">
        <v>15344</v>
      </c>
      <c r="G5365" s="5" t="s">
        <v>15345</v>
      </c>
      <c r="H5365" s="5" t="s">
        <v>15396</v>
      </c>
      <c r="I5365" s="5" t="s">
        <v>15555</v>
      </c>
      <c r="J5365" s="5" t="s">
        <v>15556</v>
      </c>
      <c r="K5365" s="7" t="str">
        <f ca="1">IFERROR(__xludf.DUMMYFUNCTION("GOOGLETRANSLATE(H5365,""EN"",""ES"")"),"ARTÍCULOS DE ASEO Y EQUIPOS DE SALÓN DE BELLEZA")</f>
        <v>ARTÍCULOS DE ASEO Y EQUIPOS DE SALÓN DE BELLEZA</v>
      </c>
      <c r="L5365" s="5" t="str">
        <f ca="1">IFERROR(__xludf.DUMMYFUNCTION("GOOGLETRANSLATE(J5365,""EN"",""ES"")"),"Estimuladores musculares electrónicos [excepto para fines médicos]")</f>
        <v>Estimuladores musculares electrónicos [excepto para fines médicos]</v>
      </c>
      <c r="M5365" s="8" t="s">
        <v>86</v>
      </c>
      <c r="N5365" s="8"/>
    </row>
    <row r="5366" spans="1:14" ht="11.25" customHeight="1">
      <c r="A5366" s="5" t="s">
        <v>15340</v>
      </c>
      <c r="B5366" s="5" t="s">
        <v>15394</v>
      </c>
      <c r="C5366" s="5" t="s">
        <v>15557</v>
      </c>
      <c r="D5366" s="5" t="s">
        <v>15343</v>
      </c>
      <c r="E5366" s="5" t="s">
        <v>87</v>
      </c>
      <c r="F5366" s="5" t="s">
        <v>15344</v>
      </c>
      <c r="G5366" s="5" t="s">
        <v>15345</v>
      </c>
      <c r="H5366" s="5" t="s">
        <v>15396</v>
      </c>
      <c r="I5366" s="5" t="s">
        <v>15558</v>
      </c>
      <c r="J5366" s="5" t="s">
        <v>15559</v>
      </c>
      <c r="K5366" s="7" t="str">
        <f ca="1">IFERROR(__xludf.DUMMYFUNCTION("GOOGLETRANSLATE(H5366,""EN"",""ES"")"),"ARTÍCULOS DE ASEO Y EQUIPOS DE SALÓN DE BELLEZA")</f>
        <v>ARTÍCULOS DE ASEO Y EQUIPOS DE SALÓN DE BELLEZA</v>
      </c>
      <c r="L5366" s="5" t="str">
        <f ca="1">IFERROR(__xludf.DUMMYFUNCTION("GOOGLETRANSLATE(J5366,""EN"",""ES"")"),"Máscaras LED [con fines cosméticos]")</f>
        <v>Máscaras LED [con fines cosméticos]</v>
      </c>
      <c r="M5366" s="8" t="s">
        <v>86</v>
      </c>
      <c r="N5366" s="8"/>
    </row>
    <row r="5367" spans="1:14" ht="11.25" customHeight="1">
      <c r="A5367" s="5" t="s">
        <v>15340</v>
      </c>
      <c r="B5367" s="5" t="s">
        <v>15394</v>
      </c>
      <c r="C5367" s="5" t="s">
        <v>15560</v>
      </c>
      <c r="D5367" s="5" t="s">
        <v>15343</v>
      </c>
      <c r="E5367" s="5" t="s">
        <v>87</v>
      </c>
      <c r="F5367" s="5" t="s">
        <v>15344</v>
      </c>
      <c r="G5367" s="5" t="s">
        <v>15345</v>
      </c>
      <c r="H5367" s="5" t="s">
        <v>15396</v>
      </c>
      <c r="I5367" s="5" t="s">
        <v>15561</v>
      </c>
      <c r="J5367" s="5" t="s">
        <v>15562</v>
      </c>
      <c r="K5367" s="7" t="str">
        <f ca="1">IFERROR(__xludf.DUMMYFUNCTION("GOOGLETRANSLATE(H5367,""EN"",""ES"")"),"ARTÍCULOS DE ASEO Y EQUIPOS DE SALÓN DE BELLEZA")</f>
        <v>ARTÍCULOS DE ASEO Y EQUIPOS DE SALÓN DE BELLEZA</v>
      </c>
      <c r="L5367" s="5" t="str">
        <f ca="1">IFERROR(__xludf.DUMMYFUNCTION("GOOGLETRANSLATE(J5367,""EN"",""ES"")"),"Masajeadores de ojos")</f>
        <v>Masajeadores de ojos</v>
      </c>
      <c r="M5367" s="8" t="s">
        <v>86</v>
      </c>
      <c r="N5367" s="8"/>
    </row>
    <row r="5368" spans="1:14" ht="11.25" customHeight="1">
      <c r="A5368" s="5" t="s">
        <v>15340</v>
      </c>
      <c r="B5368" s="5" t="s">
        <v>15394</v>
      </c>
      <c r="C5368" s="5" t="s">
        <v>15563</v>
      </c>
      <c r="D5368" s="5" t="s">
        <v>15343</v>
      </c>
      <c r="E5368" s="5" t="s">
        <v>87</v>
      </c>
      <c r="F5368" s="5" t="s">
        <v>15344</v>
      </c>
      <c r="G5368" s="5" t="s">
        <v>15345</v>
      </c>
      <c r="H5368" s="5" t="s">
        <v>15396</v>
      </c>
      <c r="I5368" s="5" t="s">
        <v>15564</v>
      </c>
      <c r="J5368" s="5" t="s">
        <v>15565</v>
      </c>
      <c r="K5368" s="7" t="str">
        <f ca="1">IFERROR(__xludf.DUMMYFUNCTION("GOOGLETRANSLATE(H5368,""EN"",""ES"")"),"ARTÍCULOS DE ASEO Y EQUIPOS DE SALÓN DE BELLEZA")</f>
        <v>ARTÍCULOS DE ASEO Y EQUIPOS DE SALÓN DE BELLEZA</v>
      </c>
      <c r="L5368" s="5" t="str">
        <f ca="1">IFERROR(__xludf.DUMMYFUNCTION("GOOGLETRANSLATE(J5368,""EN"",""ES"")"),"Aparato de tatuaje")</f>
        <v>Aparato de tatuaje</v>
      </c>
      <c r="M5368" s="8" t="s">
        <v>86</v>
      </c>
      <c r="N5368" s="8"/>
    </row>
    <row r="5369" spans="1:14" ht="11.25" customHeight="1">
      <c r="A5369" s="5" t="s">
        <v>15340</v>
      </c>
      <c r="B5369" s="5" t="s">
        <v>15394</v>
      </c>
      <c r="C5369" s="5" t="s">
        <v>15566</v>
      </c>
      <c r="D5369" s="5" t="s">
        <v>15343</v>
      </c>
      <c r="E5369" s="5" t="s">
        <v>87</v>
      </c>
      <c r="F5369" s="5" t="s">
        <v>15344</v>
      </c>
      <c r="G5369" s="5" t="s">
        <v>15345</v>
      </c>
      <c r="H5369" s="5" t="s">
        <v>15396</v>
      </c>
      <c r="I5369" s="5" t="s">
        <v>15567</v>
      </c>
      <c r="J5369" s="5" t="s">
        <v>15568</v>
      </c>
      <c r="K5369" s="7" t="str">
        <f ca="1">IFERROR(__xludf.DUMMYFUNCTION("GOOGLETRANSLATE(H5369,""EN"",""ES"")"),"ARTÍCULOS DE ASEO Y EQUIPOS DE SALÓN DE BELLEZA")</f>
        <v>ARTÍCULOS DE ASEO Y EQUIPOS DE SALÓN DE BELLEZA</v>
      </c>
      <c r="L5369" s="5" t="str">
        <f ca="1">IFERROR(__xludf.DUMMYFUNCTION("GOOGLETRANSLATE(J5369,""EN"",""ES"")"),"Dispositivos para blanquear los dientes")</f>
        <v>Dispositivos para blanquear los dientes</v>
      </c>
      <c r="M5369" s="8" t="s">
        <v>86</v>
      </c>
      <c r="N5369" s="8"/>
    </row>
    <row r="5370" spans="1:14" ht="11.25" customHeight="1">
      <c r="A5370" s="5" t="s">
        <v>15340</v>
      </c>
      <c r="B5370" s="5" t="s">
        <v>15569</v>
      </c>
      <c r="C5370" s="5" t="s">
        <v>15570</v>
      </c>
      <c r="D5370" s="5" t="s">
        <v>15343</v>
      </c>
      <c r="E5370" s="5" t="s">
        <v>87</v>
      </c>
      <c r="F5370" s="5" t="s">
        <v>15344</v>
      </c>
      <c r="G5370" s="5" t="s">
        <v>15345</v>
      </c>
      <c r="H5370" s="5" t="s">
        <v>15571</v>
      </c>
      <c r="I5370" s="5" t="s">
        <v>15572</v>
      </c>
      <c r="J5370" s="5" t="s">
        <v>15573</v>
      </c>
      <c r="K5370" s="7" t="str">
        <f ca="1">IFERROR(__xludf.DUMMYFUNCTION("GOOGLETRANSLATE(H5370,""EN"",""ES"")"),"Pelucas y artículos de falsa belleza.")</f>
        <v>Pelucas y artículos de falsa belleza.</v>
      </c>
      <c r="L5370" s="5" t="str">
        <f ca="1">IFERROR(__xludf.DUMMYFUNCTION("GOOGLETRANSLATE(J5370,""EN"",""ES"")"),"barbas postizas")</f>
        <v>barbas postizas</v>
      </c>
      <c r="M5370" s="8" t="s">
        <v>86</v>
      </c>
      <c r="N5370" s="8"/>
    </row>
    <row r="5371" spans="1:14" ht="11.25" customHeight="1">
      <c r="A5371" s="5" t="s">
        <v>15340</v>
      </c>
      <c r="B5371" s="5" t="s">
        <v>15569</v>
      </c>
      <c r="C5371" s="5" t="s">
        <v>15574</v>
      </c>
      <c r="D5371" s="5" t="s">
        <v>15343</v>
      </c>
      <c r="E5371" s="5" t="s">
        <v>87</v>
      </c>
      <c r="F5371" s="5" t="s">
        <v>15344</v>
      </c>
      <c r="G5371" s="5" t="s">
        <v>15345</v>
      </c>
      <c r="H5371" s="5" t="s">
        <v>15571</v>
      </c>
      <c r="I5371" s="5" t="s">
        <v>15575</v>
      </c>
      <c r="J5371" s="5" t="s">
        <v>15576</v>
      </c>
      <c r="K5371" s="7" t="str">
        <f ca="1">IFERROR(__xludf.DUMMYFUNCTION("GOOGLETRANSLATE(H5371,""EN"",""ES"")"),"Pelucas y artículos de falsa belleza.")</f>
        <v>Pelucas y artículos de falsa belleza.</v>
      </c>
      <c r="L5371" s="5" t="str">
        <f ca="1">IFERROR(__xludf.DUMMYFUNCTION("GOOGLETRANSLATE(J5371,""EN"",""ES"")"),"pelo postizo")</f>
        <v>pelo postizo</v>
      </c>
      <c r="M5371" s="8" t="s">
        <v>86</v>
      </c>
      <c r="N5371" s="8"/>
    </row>
    <row r="5372" spans="1:14" ht="11.25" customHeight="1">
      <c r="A5372" s="5" t="s">
        <v>15340</v>
      </c>
      <c r="B5372" s="5" t="s">
        <v>15569</v>
      </c>
      <c r="C5372" s="5" t="s">
        <v>15577</v>
      </c>
      <c r="D5372" s="5" t="s">
        <v>15343</v>
      </c>
      <c r="E5372" s="5" t="s">
        <v>87</v>
      </c>
      <c r="F5372" s="5" t="s">
        <v>15344</v>
      </c>
      <c r="G5372" s="5" t="s">
        <v>15345</v>
      </c>
      <c r="H5372" s="5" t="s">
        <v>15571</v>
      </c>
      <c r="I5372" s="5" t="s">
        <v>15578</v>
      </c>
      <c r="J5372" s="5" t="s">
        <v>15579</v>
      </c>
      <c r="K5372" s="7" t="str">
        <f ca="1">IFERROR(__xludf.DUMMYFUNCTION("GOOGLETRANSLATE(H5372,""EN"",""ES"")"),"Pelucas y artículos de falsa belleza.")</f>
        <v>Pelucas y artículos de falsa belleza.</v>
      </c>
      <c r="L5372" s="5" t="str">
        <f ca="1">IFERROR(__xludf.DUMMYFUNCTION("GOOGLETRANSLATE(J5372,""EN"",""ES"")"),"Tupés")</f>
        <v>Tupés</v>
      </c>
      <c r="M5372" s="8" t="s">
        <v>86</v>
      </c>
      <c r="N5372" s="8"/>
    </row>
    <row r="5373" spans="1:14" ht="11.25" customHeight="1">
      <c r="A5373" s="5" t="s">
        <v>15340</v>
      </c>
      <c r="B5373" s="5" t="s">
        <v>15569</v>
      </c>
      <c r="C5373" s="5" t="s">
        <v>15580</v>
      </c>
      <c r="D5373" s="5" t="s">
        <v>15343</v>
      </c>
      <c r="E5373" s="5" t="s">
        <v>87</v>
      </c>
      <c r="F5373" s="5" t="s">
        <v>15344</v>
      </c>
      <c r="G5373" s="5" t="s">
        <v>15345</v>
      </c>
      <c r="H5373" s="5" t="s">
        <v>15571</v>
      </c>
      <c r="I5373" s="5" t="s">
        <v>15581</v>
      </c>
      <c r="J5373" s="5" t="s">
        <v>15582</v>
      </c>
      <c r="K5373" s="7" t="str">
        <f ca="1">IFERROR(__xludf.DUMMYFUNCTION("GOOGLETRANSLATE(H5373,""EN"",""ES"")"),"Pelucas y artículos de falsa belleza.")</f>
        <v>Pelucas y artículos de falsa belleza.</v>
      </c>
      <c r="L5373" s="5" t="str">
        <f ca="1">IFERROR(__xludf.DUMMYFUNCTION("GOOGLETRANSLATE(J5373,""EN"",""ES"")"),"bigotes postizos")</f>
        <v>bigotes postizos</v>
      </c>
      <c r="M5373" s="8" t="s">
        <v>86</v>
      </c>
      <c r="N5373" s="8"/>
    </row>
    <row r="5374" spans="1:14" ht="11.25" customHeight="1">
      <c r="A5374" s="5" t="s">
        <v>15340</v>
      </c>
      <c r="B5374" s="5" t="s">
        <v>15569</v>
      </c>
      <c r="C5374" s="5" t="s">
        <v>15583</v>
      </c>
      <c r="D5374" s="5" t="s">
        <v>15343</v>
      </c>
      <c r="E5374" s="5" t="s">
        <v>87</v>
      </c>
      <c r="F5374" s="5" t="s">
        <v>15344</v>
      </c>
      <c r="G5374" s="5" t="s">
        <v>15345</v>
      </c>
      <c r="H5374" s="5" t="s">
        <v>15571</v>
      </c>
      <c r="I5374" s="5" t="s">
        <v>15584</v>
      </c>
      <c r="J5374" s="5" t="s">
        <v>15585</v>
      </c>
      <c r="K5374" s="7" t="str">
        <f ca="1">IFERROR(__xludf.DUMMYFUNCTION("GOOGLETRANSLATE(H5374,""EN"",""ES"")"),"Pelucas y artículos de falsa belleza.")</f>
        <v>Pelucas y artículos de falsa belleza.</v>
      </c>
      <c r="L5374" s="5" t="str">
        <f ca="1">IFERROR(__xludf.DUMMYFUNCTION("GOOGLETRANSLATE(J5374,""EN"",""ES"")"),"Pelucas")</f>
        <v>Pelucas</v>
      </c>
      <c r="M5374" s="8" t="s">
        <v>86</v>
      </c>
      <c r="N5374" s="8"/>
    </row>
    <row r="5375" spans="1:14" ht="11.25" customHeight="1">
      <c r="A5375" s="5" t="s">
        <v>15340</v>
      </c>
      <c r="B5375" s="5" t="s">
        <v>15569</v>
      </c>
      <c r="C5375" s="5" t="s">
        <v>15586</v>
      </c>
      <c r="D5375" s="5" t="s">
        <v>15343</v>
      </c>
      <c r="E5375" s="5" t="s">
        <v>87</v>
      </c>
      <c r="F5375" s="5" t="s">
        <v>15344</v>
      </c>
      <c r="G5375" s="5" t="s">
        <v>15345</v>
      </c>
      <c r="H5375" s="5" t="s">
        <v>15571</v>
      </c>
      <c r="I5375" s="5" t="s">
        <v>15587</v>
      </c>
      <c r="J5375" s="5" t="s">
        <v>15588</v>
      </c>
      <c r="K5375" s="7" t="str">
        <f ca="1">IFERROR(__xludf.DUMMYFUNCTION("GOOGLETRANSLATE(H5375,""EN"",""ES"")"),"Pelucas y artículos de falsa belleza.")</f>
        <v>Pelucas y artículos de falsa belleza.</v>
      </c>
      <c r="L5375" s="5" t="str">
        <f ca="1">IFERROR(__xludf.DUMMYFUNCTION("GOOGLETRANSLATE(J5375,""EN"",""ES"")"),"postizos postizos")</f>
        <v>postizos postizos</v>
      </c>
      <c r="M5375" s="8" t="s">
        <v>86</v>
      </c>
      <c r="N5375" s="8"/>
    </row>
    <row r="5376" spans="1:14" ht="11.25" customHeight="1">
      <c r="A5376" s="5" t="s">
        <v>15340</v>
      </c>
      <c r="B5376" s="5" t="s">
        <v>15569</v>
      </c>
      <c r="C5376" s="5" t="s">
        <v>15589</v>
      </c>
      <c r="D5376" s="5" t="s">
        <v>15343</v>
      </c>
      <c r="E5376" s="5" t="s">
        <v>87</v>
      </c>
      <c r="F5376" s="5" t="s">
        <v>15344</v>
      </c>
      <c r="G5376" s="5" t="s">
        <v>15345</v>
      </c>
      <c r="H5376" s="5" t="s">
        <v>15571</v>
      </c>
      <c r="I5376" s="5" t="s">
        <v>15590</v>
      </c>
      <c r="J5376" s="5" t="s">
        <v>15591</v>
      </c>
      <c r="K5376" s="7" t="str">
        <f ca="1">IFERROR(__xludf.DUMMYFUNCTION("GOOGLETRANSLATE(H5376,""EN"",""ES"")"),"Pelucas y artículos de falsa belleza.")</f>
        <v>Pelucas y artículos de falsa belleza.</v>
      </c>
      <c r="L5376" s="5" t="str">
        <f ca="1">IFERROR(__xludf.DUMMYFUNCTION("GOOGLETRANSLATE(J5376,""EN"",""ES"")"),"trenzas de pelo")</f>
        <v>trenzas de pelo</v>
      </c>
      <c r="M5376" s="8" t="s">
        <v>86</v>
      </c>
      <c r="N5376" s="8"/>
    </row>
    <row r="5377" spans="1:14" ht="11.25" customHeight="1">
      <c r="A5377" s="5" t="s">
        <v>15340</v>
      </c>
      <c r="B5377" s="5" t="s">
        <v>15569</v>
      </c>
      <c r="C5377" s="5" t="s">
        <v>15592</v>
      </c>
      <c r="D5377" s="5" t="s">
        <v>15343</v>
      </c>
      <c r="E5377" s="5" t="s">
        <v>87</v>
      </c>
      <c r="F5377" s="5" t="s">
        <v>15344</v>
      </c>
      <c r="G5377" s="5" t="s">
        <v>15345</v>
      </c>
      <c r="H5377" s="5" t="s">
        <v>15571</v>
      </c>
      <c r="I5377" s="5" t="s">
        <v>15593</v>
      </c>
      <c r="J5377" s="5" t="s">
        <v>15594</v>
      </c>
      <c r="K5377" s="7" t="str">
        <f ca="1">IFERROR(__xludf.DUMMYFUNCTION("GOOGLETRANSLATE(H5377,""EN"",""ES"")"),"Pelucas y artículos de falsa belleza.")</f>
        <v>Pelucas y artículos de falsa belleza.</v>
      </c>
      <c r="L5377" s="5" t="str">
        <f ca="1">IFERROR(__xludf.DUMMYFUNCTION("GOOGLETRANSLATE(J5377,""EN"",""ES"")"),"pestañas postizas")</f>
        <v>pestañas postizas</v>
      </c>
      <c r="M5377" s="8" t="s">
        <v>86</v>
      </c>
      <c r="N5377" s="8"/>
    </row>
    <row r="5378" spans="1:14" ht="11.25" customHeight="1">
      <c r="A5378" s="5" t="s">
        <v>15340</v>
      </c>
      <c r="B5378" s="5" t="s">
        <v>15569</v>
      </c>
      <c r="C5378" s="5" t="s">
        <v>15595</v>
      </c>
      <c r="D5378" s="5" t="s">
        <v>15343</v>
      </c>
      <c r="E5378" s="5" t="s">
        <v>87</v>
      </c>
      <c r="F5378" s="5" t="s">
        <v>15344</v>
      </c>
      <c r="G5378" s="5" t="s">
        <v>15345</v>
      </c>
      <c r="H5378" s="5" t="s">
        <v>15571</v>
      </c>
      <c r="I5378" s="5" t="s">
        <v>15596</v>
      </c>
      <c r="J5378" s="5" t="s">
        <v>15597</v>
      </c>
      <c r="K5378" s="7" t="str">
        <f ca="1">IFERROR(__xludf.DUMMYFUNCTION("GOOGLETRANSLATE(H5378,""EN"",""ES"")"),"Pelucas y artículos de falsa belleza.")</f>
        <v>Pelucas y artículos de falsa belleza.</v>
      </c>
      <c r="L5378" s="5" t="str">
        <f ca="1">IFERROR(__xludf.DUMMYFUNCTION("GOOGLETRANSLATE(J5378,""EN"",""ES"")"),"uñas postizas")</f>
        <v>uñas postizas</v>
      </c>
      <c r="M5378" s="8" t="s">
        <v>86</v>
      </c>
      <c r="N5378" s="8"/>
    </row>
    <row r="5379" spans="1:14" ht="11.25" customHeight="1">
      <c r="A5379" s="5" t="s">
        <v>15340</v>
      </c>
      <c r="B5379" s="5" t="s">
        <v>15598</v>
      </c>
      <c r="C5379" s="5" t="s">
        <v>15599</v>
      </c>
      <c r="D5379" s="5" t="s">
        <v>15343</v>
      </c>
      <c r="E5379" s="5" t="s">
        <v>87</v>
      </c>
      <c r="F5379" s="5" t="s">
        <v>15344</v>
      </c>
      <c r="G5379" s="5" t="s">
        <v>15345</v>
      </c>
      <c r="H5379" s="5" t="s">
        <v>15600</v>
      </c>
      <c r="I5379" s="5" t="s">
        <v>15601</v>
      </c>
      <c r="J5379" s="5" t="s">
        <v>15602</v>
      </c>
      <c r="K5379" s="7" t="str">
        <f ca="1">IFERROR(__xludf.DUMMYFUNCTION("GOOGLETRANSLATE(H5379,""EN"",""ES"")"),"Ambientadores")</f>
        <v>Ambientadores</v>
      </c>
      <c r="L5379" s="5" t="str">
        <f ca="1">IFERROR(__xludf.DUMMYFUNCTION("GOOGLETRANSLATE(J5379,""EN"",""ES"")"),"Ambientadores [excepto aparatos]")</f>
        <v>Ambientadores [excepto aparatos]</v>
      </c>
      <c r="M5379" s="8" t="s">
        <v>86</v>
      </c>
      <c r="N5379" s="8"/>
    </row>
    <row r="5380" spans="1:14" ht="11.25" customHeight="1">
      <c r="A5380" s="5" t="s">
        <v>15340</v>
      </c>
      <c r="B5380" s="5" t="s">
        <v>15603</v>
      </c>
      <c r="C5380" s="5" t="s">
        <v>15604</v>
      </c>
      <c r="D5380" s="5" t="s">
        <v>15343</v>
      </c>
      <c r="E5380" s="5" t="s">
        <v>87</v>
      </c>
      <c r="F5380" s="5" t="s">
        <v>15344</v>
      </c>
      <c r="G5380" s="5" t="s">
        <v>15345</v>
      </c>
      <c r="H5380" s="5" t="s">
        <v>15605</v>
      </c>
      <c r="I5380" s="5" t="s">
        <v>15606</v>
      </c>
      <c r="J5380" s="5" t="s">
        <v>15607</v>
      </c>
      <c r="K5380" s="7" t="str">
        <f ca="1">IFERROR(__xludf.DUMMYFUNCTION("GOOGLETRANSLATE(H5380,""EN"",""ES"")"),"APARATOS E INSTRUMENTOS PARA PEINAR EL CABELLO")</f>
        <v>APARATOS E INSTRUMENTOS PARA PEINAR EL CABELLO</v>
      </c>
      <c r="L5380" s="5" t="str">
        <f ca="1">IFERROR(__xludf.DUMMYFUNCTION("GOOGLETRANSLATE(J5380,""EN"",""ES"")"),"Aparato para rizar y ondular el cabello.")</f>
        <v>Aparato para rizar y ondular el cabello.</v>
      </c>
      <c r="M5380" s="8" t="s">
        <v>86</v>
      </c>
      <c r="N5380" s="8"/>
    </row>
    <row r="5381" spans="1:14" ht="11.25" customHeight="1">
      <c r="A5381" s="5" t="s">
        <v>15340</v>
      </c>
      <c r="B5381" s="5" t="s">
        <v>15603</v>
      </c>
      <c r="C5381" s="5" t="s">
        <v>15608</v>
      </c>
      <c r="D5381" s="5" t="s">
        <v>15343</v>
      </c>
      <c r="E5381" s="5" t="s">
        <v>87</v>
      </c>
      <c r="F5381" s="5" t="s">
        <v>15344</v>
      </c>
      <c r="G5381" s="5" t="s">
        <v>15345</v>
      </c>
      <c r="H5381" s="5" t="s">
        <v>15605</v>
      </c>
      <c r="I5381" s="5" t="s">
        <v>15609</v>
      </c>
      <c r="J5381" s="5" t="s">
        <v>15610</v>
      </c>
      <c r="K5381" s="7" t="str">
        <f ca="1">IFERROR(__xludf.DUMMYFUNCTION("GOOGLETRANSLATE(H5381,""EN"",""ES"")"),"APARATOS E INSTRUMENTOS PARA PEINAR EL CABELLO")</f>
        <v>APARATOS E INSTRUMENTOS PARA PEINAR EL CABELLO</v>
      </c>
      <c r="L5381" s="5" t="str">
        <f ca="1">IFERROR(__xludf.DUMMYFUNCTION("GOOGLETRANSLATE(J5381,""EN"",""ES"")"),"Peines")</f>
        <v>Peines</v>
      </c>
      <c r="M5381" s="8" t="s">
        <v>86</v>
      </c>
      <c r="N5381" s="8"/>
    </row>
    <row r="5382" spans="1:14" ht="11.25" customHeight="1">
      <c r="A5382" s="5" t="s">
        <v>15340</v>
      </c>
      <c r="B5382" s="5" t="s">
        <v>15603</v>
      </c>
      <c r="C5382" s="5" t="s">
        <v>15611</v>
      </c>
      <c r="D5382" s="5" t="s">
        <v>15343</v>
      </c>
      <c r="E5382" s="5" t="s">
        <v>87</v>
      </c>
      <c r="F5382" s="5" t="s">
        <v>15344</v>
      </c>
      <c r="G5382" s="5" t="s">
        <v>15345</v>
      </c>
      <c r="H5382" s="5" t="s">
        <v>15605</v>
      </c>
      <c r="I5382" s="5" t="s">
        <v>15612</v>
      </c>
      <c r="J5382" s="5" t="s">
        <v>15613</v>
      </c>
      <c r="K5382" s="7" t="str">
        <f ca="1">IFERROR(__xludf.DUMMYFUNCTION("GOOGLETRANSLATE(H5382,""EN"",""ES"")"),"APARATOS E INSTRUMENTOS PARA PEINAR EL CABELLO")</f>
        <v>APARATOS E INSTRUMENTOS PARA PEINAR EL CABELLO</v>
      </c>
      <c r="L5382" s="5" t="str">
        <f ca="1">IFERROR(__xludf.DUMMYFUNCTION("GOOGLETRANSLATE(J5382,""EN"",""ES"")"),"Papeles para rizar el cabello")</f>
        <v>Papeles para rizar el cabello</v>
      </c>
      <c r="M5382" s="8" t="s">
        <v>86</v>
      </c>
      <c r="N5382" s="8"/>
    </row>
    <row r="5383" spans="1:14" ht="11.25" customHeight="1">
      <c r="A5383" s="5" t="s">
        <v>15340</v>
      </c>
      <c r="B5383" s="5" t="s">
        <v>15603</v>
      </c>
      <c r="C5383" s="5" t="s">
        <v>15614</v>
      </c>
      <c r="D5383" s="5" t="s">
        <v>15343</v>
      </c>
      <c r="E5383" s="5" t="s">
        <v>87</v>
      </c>
      <c r="F5383" s="5" t="s">
        <v>15344</v>
      </c>
      <c r="G5383" s="5" t="s">
        <v>15345</v>
      </c>
      <c r="H5383" s="5" t="s">
        <v>15605</v>
      </c>
      <c r="I5383" s="5" t="s">
        <v>15615</v>
      </c>
      <c r="J5383" s="5" t="s">
        <v>15616</v>
      </c>
      <c r="K5383" s="7" t="str">
        <f ca="1">IFERROR(__xludf.DUMMYFUNCTION("GOOGLETRANSLATE(H5383,""EN"",""ES"")"),"APARATOS E INSTRUMENTOS PARA PEINAR EL CABELLO")</f>
        <v>APARATOS E INSTRUMENTOS PARA PEINAR EL CABELLO</v>
      </c>
      <c r="L5383" s="5" t="str">
        <f ca="1">IFERROR(__xludf.DUMMYFUNCTION("GOOGLETRANSLATE(J5383,""EN"",""ES"")"),"Peines para desenredar")</f>
        <v>Peines para desenredar</v>
      </c>
      <c r="M5383" s="8" t="s">
        <v>86</v>
      </c>
      <c r="N5383" s="8"/>
    </row>
    <row r="5384" spans="1:14" ht="11.25" customHeight="1">
      <c r="A5384" s="5" t="s">
        <v>15340</v>
      </c>
      <c r="B5384" s="5" t="s">
        <v>15603</v>
      </c>
      <c r="C5384" s="5" t="s">
        <v>15617</v>
      </c>
      <c r="D5384" s="5" t="s">
        <v>15343</v>
      </c>
      <c r="E5384" s="5" t="s">
        <v>87</v>
      </c>
      <c r="F5384" s="5" t="s">
        <v>15344</v>
      </c>
      <c r="G5384" s="5" t="s">
        <v>15345</v>
      </c>
      <c r="H5384" s="5" t="s">
        <v>15605</v>
      </c>
      <c r="I5384" s="5" t="s">
        <v>15618</v>
      </c>
      <c r="J5384" s="5" t="s">
        <v>15619</v>
      </c>
      <c r="K5384" s="7" t="str">
        <f ca="1">IFERROR(__xludf.DUMMYFUNCTION("GOOGLETRANSLATE(H5384,""EN"",""ES"")"),"APARATOS E INSTRUMENTOS PARA PEINAR EL CABELLO")</f>
        <v>APARATOS E INSTRUMENTOS PARA PEINAR EL CABELLO</v>
      </c>
      <c r="L5384" s="5" t="str">
        <f ca="1">IFERROR(__xludf.DUMMYFUNCTION("GOOGLETRANSLATE(J5384,""EN"",""ES"")"),"Pinzas para el pelo")</f>
        <v>Pinzas para el pelo</v>
      </c>
      <c r="M5384" s="8" t="s">
        <v>86</v>
      </c>
      <c r="N5384" s="8"/>
    </row>
    <row r="5385" spans="1:14" ht="11.25" customHeight="1">
      <c r="A5385" s="5" t="s">
        <v>15340</v>
      </c>
      <c r="B5385" s="5" t="s">
        <v>15603</v>
      </c>
      <c r="C5385" s="5" t="s">
        <v>15620</v>
      </c>
      <c r="D5385" s="5" t="s">
        <v>15343</v>
      </c>
      <c r="E5385" s="5" t="s">
        <v>87</v>
      </c>
      <c r="F5385" s="5" t="s">
        <v>15344</v>
      </c>
      <c r="G5385" s="5" t="s">
        <v>15345</v>
      </c>
      <c r="H5385" s="5" t="s">
        <v>15605</v>
      </c>
      <c r="I5385" s="5" t="s">
        <v>15621</v>
      </c>
      <c r="J5385" s="5" t="s">
        <v>15622</v>
      </c>
      <c r="K5385" s="7" t="str">
        <f ca="1">IFERROR(__xludf.DUMMYFUNCTION("GOOGLETRANSLATE(H5385,""EN"",""ES"")"),"APARATOS E INSTRUMENTOS PARA PEINAR EL CABELLO")</f>
        <v>APARATOS E INSTRUMENTOS PARA PEINAR EL CABELLO</v>
      </c>
      <c r="L5385" s="5" t="str">
        <f ca="1">IFERROR(__xludf.DUMMYFUNCTION("GOOGLETRANSLATE(J5385,""EN"",""ES"")"),"cortapelos")</f>
        <v>cortapelos</v>
      </c>
      <c r="M5385" s="8" t="s">
        <v>86</v>
      </c>
      <c r="N5385" s="8"/>
    </row>
    <row r="5386" spans="1:14" ht="11.25" customHeight="1">
      <c r="A5386" s="5" t="s">
        <v>15340</v>
      </c>
      <c r="B5386" s="5" t="s">
        <v>15603</v>
      </c>
      <c r="C5386" s="5" t="s">
        <v>15623</v>
      </c>
      <c r="D5386" s="5" t="s">
        <v>15343</v>
      </c>
      <c r="E5386" s="5" t="s">
        <v>87</v>
      </c>
      <c r="F5386" s="5" t="s">
        <v>15344</v>
      </c>
      <c r="G5386" s="5" t="s">
        <v>15345</v>
      </c>
      <c r="H5386" s="5" t="s">
        <v>15605</v>
      </c>
      <c r="I5386" s="5" t="s">
        <v>15624</v>
      </c>
      <c r="J5386" s="5" t="s">
        <v>15625</v>
      </c>
      <c r="K5386" s="7" t="str">
        <f ca="1">IFERROR(__xludf.DUMMYFUNCTION("GOOGLETRANSLATE(H5386,""EN"",""ES"")"),"APARATOS E INSTRUMENTOS PARA PEINAR EL CABELLO")</f>
        <v>APARATOS E INSTRUMENTOS PARA PEINAR EL CABELLO</v>
      </c>
      <c r="L5386" s="5" t="str">
        <f ca="1">IFERROR(__xludf.DUMMYFUNCTION("GOOGLETRANSLATE(J5386,""EN"",""ES"")"),"Calentadores de rizadores de pelo")</f>
        <v>Calentadores de rizadores de pelo</v>
      </c>
      <c r="M5386" s="8" t="s">
        <v>86</v>
      </c>
      <c r="N5386" s="8"/>
    </row>
    <row r="5387" spans="1:14" ht="11.25" customHeight="1">
      <c r="A5387" s="5" t="s">
        <v>15340</v>
      </c>
      <c r="B5387" s="5" t="s">
        <v>15603</v>
      </c>
      <c r="C5387" s="5" t="s">
        <v>15626</v>
      </c>
      <c r="D5387" s="5" t="s">
        <v>15343</v>
      </c>
      <c r="E5387" s="5" t="s">
        <v>87</v>
      </c>
      <c r="F5387" s="5" t="s">
        <v>15344</v>
      </c>
      <c r="G5387" s="5" t="s">
        <v>15345</v>
      </c>
      <c r="H5387" s="5" t="s">
        <v>15605</v>
      </c>
      <c r="I5387" s="5" t="s">
        <v>15627</v>
      </c>
      <c r="J5387" s="5" t="s">
        <v>15628</v>
      </c>
      <c r="K5387" s="7" t="str">
        <f ca="1">IFERROR(__xludf.DUMMYFUNCTION("GOOGLETRANSLATE(H5387,""EN"",""ES"")"),"APARATOS E INSTRUMENTOS PARA PEINAR EL CABELLO")</f>
        <v>APARATOS E INSTRUMENTOS PARA PEINAR EL CABELLO</v>
      </c>
      <c r="L5387" s="5" t="str">
        <f ca="1">IFERROR(__xludf.DUMMYFUNCTION("GOOGLETRANSLATE(J5387,""EN"",""ES"")"),"Rizadores de pelo")</f>
        <v>Rizadores de pelo</v>
      </c>
      <c r="M5387" s="8" t="s">
        <v>86</v>
      </c>
      <c r="N5387" s="8"/>
    </row>
    <row r="5388" spans="1:14" ht="11.25" customHeight="1">
      <c r="A5388" s="5" t="s">
        <v>15340</v>
      </c>
      <c r="B5388" s="5" t="s">
        <v>15603</v>
      </c>
      <c r="C5388" s="5" t="s">
        <v>15626</v>
      </c>
      <c r="D5388" s="5" t="s">
        <v>15343</v>
      </c>
      <c r="E5388" s="5" t="s">
        <v>87</v>
      </c>
      <c r="F5388" s="5" t="s">
        <v>15344</v>
      </c>
      <c r="G5388" s="5" t="s">
        <v>15345</v>
      </c>
      <c r="H5388" s="5" t="s">
        <v>15605</v>
      </c>
      <c r="I5388" s="5" t="s">
        <v>15629</v>
      </c>
      <c r="J5388" s="5" t="s">
        <v>152</v>
      </c>
      <c r="K5388" s="7" t="str">
        <f ca="1">IFERROR(__xludf.DUMMYFUNCTION("GOOGLETRANSLATE(H5388,""EN"",""ES"")"),"APARATOS E INSTRUMENTOS PARA PEINAR EL CABELLO")</f>
        <v>APARATOS E INSTRUMENTOS PARA PEINAR EL CABELLO</v>
      </c>
      <c r="L5388" s="5" t="str">
        <f ca="1">IFERROR(__xludf.DUMMYFUNCTION("GOOGLETRANSLATE(J5388,""EN"",""ES"")"),"rulos para el cabello")</f>
        <v>rulos para el cabello</v>
      </c>
      <c r="M5388" s="8" t="s">
        <v>86</v>
      </c>
      <c r="N5388" s="8"/>
    </row>
    <row r="5389" spans="1:14" ht="11.25" customHeight="1">
      <c r="A5389" s="5" t="s">
        <v>15340</v>
      </c>
      <c r="B5389" s="5" t="s">
        <v>15603</v>
      </c>
      <c r="C5389" s="5" t="s">
        <v>15630</v>
      </c>
      <c r="D5389" s="5" t="s">
        <v>15343</v>
      </c>
      <c r="E5389" s="5" t="s">
        <v>87</v>
      </c>
      <c r="F5389" s="5" t="s">
        <v>15344</v>
      </c>
      <c r="G5389" s="5" t="s">
        <v>15345</v>
      </c>
      <c r="H5389" s="5" t="s">
        <v>15605</v>
      </c>
      <c r="I5389" s="5" t="s">
        <v>15631</v>
      </c>
      <c r="J5389" s="5" t="s">
        <v>15632</v>
      </c>
      <c r="K5389" s="7" t="str">
        <f ca="1">IFERROR(__xludf.DUMMYFUNCTION("GOOGLETRANSLATE(H5389,""EN"",""ES"")"),"APARATOS E INSTRUMENTOS PARA PEINAR EL CABELLO")</f>
        <v>APARATOS E INSTRUMENTOS PARA PEINAR EL CABELLO</v>
      </c>
      <c r="L5389" s="5" t="str">
        <f ca="1">IFERROR(__xludf.DUMMYFUNCTION("GOOGLETRANSLATE(J5389,""EN"",""ES"")"),"Horquillas para rizar el pelo")</f>
        <v>Horquillas para rizar el pelo</v>
      </c>
      <c r="M5389" s="8" t="s">
        <v>86</v>
      </c>
      <c r="N5389" s="8"/>
    </row>
    <row r="5390" spans="1:14" ht="11.25" customHeight="1">
      <c r="A5390" s="5" t="s">
        <v>15340</v>
      </c>
      <c r="B5390" s="5" t="s">
        <v>15603</v>
      </c>
      <c r="C5390" s="5" t="s">
        <v>15633</v>
      </c>
      <c r="D5390" s="5" t="s">
        <v>15343</v>
      </c>
      <c r="E5390" s="5" t="s">
        <v>87</v>
      </c>
      <c r="F5390" s="5" t="s">
        <v>15344</v>
      </c>
      <c r="G5390" s="5" t="s">
        <v>15345</v>
      </c>
      <c r="H5390" s="5" t="s">
        <v>15605</v>
      </c>
      <c r="I5390" s="5" t="s">
        <v>15634</v>
      </c>
      <c r="J5390" s="5" t="s">
        <v>15635</v>
      </c>
      <c r="K5390" s="7" t="str">
        <f ca="1">IFERROR(__xludf.DUMMYFUNCTION("GOOGLETRANSLATE(H5390,""EN"",""ES"")"),"APARATOS E INSTRUMENTOS PARA PEINAR EL CABELLO")</f>
        <v>APARATOS E INSTRUMENTOS PARA PEINAR EL CABELLO</v>
      </c>
      <c r="L5390" s="5" t="str">
        <f ca="1">IFERROR(__xludf.DUMMYFUNCTION("GOOGLETRANSLATE(J5390,""EN"",""ES"")"),"cortadores de pelo")</f>
        <v>cortadores de pelo</v>
      </c>
      <c r="M5390" s="8" t="s">
        <v>86</v>
      </c>
      <c r="N5390" s="8"/>
    </row>
    <row r="5391" spans="1:14" ht="11.25" customHeight="1">
      <c r="A5391" s="5" t="s">
        <v>15340</v>
      </c>
      <c r="B5391" s="5" t="s">
        <v>15603</v>
      </c>
      <c r="C5391" s="5" t="s">
        <v>15636</v>
      </c>
      <c r="D5391" s="5" t="s">
        <v>15343</v>
      </c>
      <c r="E5391" s="5" t="s">
        <v>87</v>
      </c>
      <c r="F5391" s="5" t="s">
        <v>15344</v>
      </c>
      <c r="G5391" s="5" t="s">
        <v>15345</v>
      </c>
      <c r="H5391" s="5" t="s">
        <v>15605</v>
      </c>
      <c r="I5391" s="5" t="s">
        <v>15637</v>
      </c>
      <c r="J5391" s="5" t="s">
        <v>15638</v>
      </c>
      <c r="K5391" s="7" t="str">
        <f ca="1">IFERROR(__xludf.DUMMYFUNCTION("GOOGLETRANSLATE(H5391,""EN"",""ES"")"),"APARATOS E INSTRUMENTOS PARA PEINAR EL CABELLO")</f>
        <v>APARATOS E INSTRUMENTOS PARA PEINAR EL CABELLO</v>
      </c>
      <c r="L5391" s="5" t="str">
        <f ca="1">IFERROR(__xludf.DUMMYFUNCTION("GOOGLETRANSLATE(J5391,""EN"",""ES"")"),"Secadores de pelo")</f>
        <v>Secadores de pelo</v>
      </c>
      <c r="M5391" s="8" t="s">
        <v>86</v>
      </c>
      <c r="N5391" s="8"/>
    </row>
    <row r="5392" spans="1:14" ht="11.25" customHeight="1">
      <c r="A5392" s="5" t="s">
        <v>15340</v>
      </c>
      <c r="B5392" s="5" t="s">
        <v>15603</v>
      </c>
      <c r="C5392" s="5" t="s">
        <v>15639</v>
      </c>
      <c r="D5392" s="5" t="s">
        <v>15343</v>
      </c>
      <c r="E5392" s="5" t="s">
        <v>87</v>
      </c>
      <c r="F5392" s="5" t="s">
        <v>15344</v>
      </c>
      <c r="G5392" s="5" t="s">
        <v>15345</v>
      </c>
      <c r="H5392" s="5" t="s">
        <v>15605</v>
      </c>
      <c r="I5392" s="5" t="s">
        <v>15640</v>
      </c>
      <c r="J5392" s="5" t="s">
        <v>15641</v>
      </c>
      <c r="K5392" s="7" t="str">
        <f ca="1">IFERROR(__xludf.DUMMYFUNCTION("GOOGLETRANSLATE(H5392,""EN"",""ES"")"),"APARATOS E INSTRUMENTOS PARA PEINAR EL CABELLO")</f>
        <v>APARATOS E INSTRUMENTOS PARA PEINAR EL CABELLO</v>
      </c>
      <c r="L5392" s="5" t="str">
        <f ca="1">IFERROR(__xludf.DUMMYFUNCTION("GOOGLETRANSLATE(J5392,""EN"",""ES"")"),"Sujetadores para el cabello [excepto joyas]")</f>
        <v>Sujetadores para el cabello [excepto joyas]</v>
      </c>
      <c r="M5392" s="8" t="s">
        <v>86</v>
      </c>
      <c r="N5392" s="8"/>
    </row>
    <row r="5393" spans="1:14" ht="11.25" customHeight="1">
      <c r="A5393" s="5" t="s">
        <v>15340</v>
      </c>
      <c r="B5393" s="5" t="s">
        <v>15603</v>
      </c>
      <c r="C5393" s="5" t="s">
        <v>15642</v>
      </c>
      <c r="D5393" s="5" t="s">
        <v>15343</v>
      </c>
      <c r="E5393" s="5" t="s">
        <v>87</v>
      </c>
      <c r="F5393" s="5" t="s">
        <v>15344</v>
      </c>
      <c r="G5393" s="5" t="s">
        <v>15345</v>
      </c>
      <c r="H5393" s="5" t="s">
        <v>15605</v>
      </c>
      <c r="I5393" s="5" t="s">
        <v>15643</v>
      </c>
      <c r="J5393" s="5" t="s">
        <v>15644</v>
      </c>
      <c r="K5393" s="7" t="str">
        <f ca="1">IFERROR(__xludf.DUMMYFUNCTION("GOOGLETRANSLATE(H5393,""EN"",""ES"")"),"APARATOS E INSTRUMENTOS PARA PEINAR EL CABELLO")</f>
        <v>APARATOS E INSTRUMENTOS PARA PEINAR EL CABELLO</v>
      </c>
      <c r="L5393" s="5" t="str">
        <f ca="1">IFERROR(__xludf.DUMMYFUNCTION("GOOGLETRANSLATE(J5393,""EN"",""ES"")"),"Redes para el cabello")</f>
        <v>Redes para el cabello</v>
      </c>
      <c r="M5393" s="8" t="s">
        <v>86</v>
      </c>
      <c r="N5393" s="8"/>
    </row>
    <row r="5394" spans="1:14" ht="11.25" customHeight="1">
      <c r="A5394" s="5" t="s">
        <v>15340</v>
      </c>
      <c r="B5394" s="5" t="s">
        <v>15603</v>
      </c>
      <c r="C5394" s="5" t="s">
        <v>15642</v>
      </c>
      <c r="D5394" s="5" t="s">
        <v>15343</v>
      </c>
      <c r="E5394" s="5" t="s">
        <v>87</v>
      </c>
      <c r="F5394" s="5" t="s">
        <v>15344</v>
      </c>
      <c r="G5394" s="5" t="s">
        <v>15345</v>
      </c>
      <c r="H5394" s="5" t="s">
        <v>15605</v>
      </c>
      <c r="I5394" s="5" t="s">
        <v>152</v>
      </c>
      <c r="J5394" s="5" t="s">
        <v>15645</v>
      </c>
      <c r="K5394" s="7" t="str">
        <f ca="1">IFERROR(__xludf.DUMMYFUNCTION("GOOGLETRANSLATE(H5394,""EN"",""ES"")"),"APARATOS E INSTRUMENTOS PARA PEINAR EL CABELLO")</f>
        <v>APARATOS E INSTRUMENTOS PARA PEINAR EL CABELLO</v>
      </c>
      <c r="L5394" s="5" t="str">
        <f ca="1">IFERROR(__xludf.DUMMYFUNCTION("GOOGLETRANSLATE(J5394,""EN"",""ES"")"),"N / A")</f>
        <v>N / A</v>
      </c>
      <c r="M5394" s="8" t="s">
        <v>86</v>
      </c>
      <c r="N5394" s="8"/>
    </row>
    <row r="5395" spans="1:14" ht="11.25" customHeight="1">
      <c r="A5395" s="5" t="s">
        <v>15340</v>
      </c>
      <c r="B5395" s="5" t="s">
        <v>15603</v>
      </c>
      <c r="C5395" s="5" t="s">
        <v>15646</v>
      </c>
      <c r="D5395" s="5" t="s">
        <v>15343</v>
      </c>
      <c r="E5395" s="5" t="s">
        <v>87</v>
      </c>
      <c r="F5395" s="5" t="s">
        <v>15344</v>
      </c>
      <c r="G5395" s="5" t="s">
        <v>15345</v>
      </c>
      <c r="H5395" s="5" t="s">
        <v>15605</v>
      </c>
      <c r="I5395" s="5" t="s">
        <v>15647</v>
      </c>
      <c r="J5395" s="5" t="s">
        <v>15648</v>
      </c>
      <c r="K5395" s="7" t="str">
        <f ca="1">IFERROR(__xludf.DUMMYFUNCTION("GOOGLETRANSLATE(H5395,""EN"",""ES"")"),"APARATOS E INSTRUMENTOS PARA PEINAR EL CABELLO")</f>
        <v>APARATOS E INSTRUMENTOS PARA PEINAR EL CABELLO</v>
      </c>
      <c r="L5395" s="5" t="str">
        <f ca="1">IFERROR(__xludf.DUMMYFUNCTION("GOOGLETRANSLATE(J5395,""EN"",""ES"")"),"Horquillas para el pelo")</f>
        <v>Horquillas para el pelo</v>
      </c>
      <c r="M5395" s="8" t="s">
        <v>86</v>
      </c>
      <c r="N5395" s="8"/>
    </row>
    <row r="5396" spans="1:14" ht="11.25" customHeight="1">
      <c r="A5396" s="5" t="s">
        <v>15340</v>
      </c>
      <c r="B5396" s="5" t="s">
        <v>15603</v>
      </c>
      <c r="C5396" s="5" t="s">
        <v>15646</v>
      </c>
      <c r="D5396" s="5" t="s">
        <v>15343</v>
      </c>
      <c r="E5396" s="5" t="s">
        <v>87</v>
      </c>
      <c r="F5396" s="5" t="s">
        <v>15344</v>
      </c>
      <c r="G5396" s="5" t="s">
        <v>15345</v>
      </c>
      <c r="H5396" s="5" t="s">
        <v>15605</v>
      </c>
      <c r="I5396" s="5" t="s">
        <v>15649</v>
      </c>
      <c r="J5396" s="5" t="s">
        <v>152</v>
      </c>
      <c r="K5396" s="7" t="str">
        <f ca="1">IFERROR(__xludf.DUMMYFUNCTION("GOOGLETRANSLATE(H5396,""EN"",""ES"")"),"APARATOS E INSTRUMENTOS PARA PEINAR EL CABELLO")</f>
        <v>APARATOS E INSTRUMENTOS PARA PEINAR EL CABELLO</v>
      </c>
      <c r="L5396" s="5" t="str">
        <f ca="1">IFERROR(__xludf.DUMMYFUNCTION("GOOGLETRANSLATE(J5396,""EN"",""ES"")"),"pinzas para el cabello")</f>
        <v>pinzas para el cabello</v>
      </c>
      <c r="M5396" s="8" t="s">
        <v>86</v>
      </c>
      <c r="N5396" s="8"/>
    </row>
    <row r="5397" spans="1:14" ht="11.25" customHeight="1">
      <c r="A5397" s="5" t="s">
        <v>15340</v>
      </c>
      <c r="B5397" s="5" t="s">
        <v>15603</v>
      </c>
      <c r="C5397" s="5" t="s">
        <v>15646</v>
      </c>
      <c r="D5397" s="5" t="s">
        <v>15343</v>
      </c>
      <c r="E5397" s="5" t="s">
        <v>87</v>
      </c>
      <c r="F5397" s="5" t="s">
        <v>15344</v>
      </c>
      <c r="G5397" s="5" t="s">
        <v>15345</v>
      </c>
      <c r="H5397" s="5" t="s">
        <v>15605</v>
      </c>
      <c r="I5397" s="5" t="s">
        <v>15650</v>
      </c>
      <c r="J5397" s="5" t="s">
        <v>152</v>
      </c>
      <c r="K5397" s="7" t="str">
        <f ca="1">IFERROR(__xludf.DUMMYFUNCTION("GOOGLETRANSLATE(H5397,""EN"",""ES"")"),"APARATOS E INSTRUMENTOS PARA PEINAR EL CABELLO")</f>
        <v>APARATOS E INSTRUMENTOS PARA PEINAR EL CABELLO</v>
      </c>
      <c r="L5397" s="5" t="str">
        <f ca="1">IFERROR(__xludf.DUMMYFUNCTION("GOOGLETRANSLATE(J5397,""EN"",""ES"")"),"horquillas")</f>
        <v>horquillas</v>
      </c>
      <c r="M5397" s="8" t="s">
        <v>86</v>
      </c>
      <c r="N5397" s="8"/>
    </row>
    <row r="5398" spans="1:14" ht="11.25" customHeight="1">
      <c r="A5398" s="5" t="s">
        <v>15340</v>
      </c>
      <c r="B5398" s="5" t="s">
        <v>15603</v>
      </c>
      <c r="C5398" s="5" t="s">
        <v>15651</v>
      </c>
      <c r="D5398" s="5" t="s">
        <v>15343</v>
      </c>
      <c r="E5398" s="5" t="s">
        <v>87</v>
      </c>
      <c r="F5398" s="5" t="s">
        <v>15344</v>
      </c>
      <c r="G5398" s="5" t="s">
        <v>15345</v>
      </c>
      <c r="H5398" s="5" t="s">
        <v>15605</v>
      </c>
      <c r="I5398" s="5" t="s">
        <v>15652</v>
      </c>
      <c r="J5398" s="5" t="s">
        <v>15653</v>
      </c>
      <c r="K5398" s="7" t="str">
        <f ca="1">IFERROR(__xludf.DUMMYFUNCTION("GOOGLETRANSLATE(H5398,""EN"",""ES"")"),"APARATOS E INSTRUMENTOS PARA PEINAR EL CABELLO")</f>
        <v>APARATOS E INSTRUMENTOS PARA PEINAR EL CABELLO</v>
      </c>
      <c r="L5398" s="5" t="str">
        <f ca="1">IFERROR(__xludf.DUMMYFUNCTION("GOOGLETRANSLATE(J5398,""EN"",""ES"")"),"Pasadores de pelo")</f>
        <v>Pasadores de pelo</v>
      </c>
      <c r="M5398" s="8" t="s">
        <v>86</v>
      </c>
      <c r="N5398" s="8"/>
    </row>
    <row r="5399" spans="1:14" ht="11.25" customHeight="1">
      <c r="A5399" s="5" t="s">
        <v>15340</v>
      </c>
      <c r="B5399" s="5" t="s">
        <v>15603</v>
      </c>
      <c r="C5399" s="5" t="s">
        <v>15651</v>
      </c>
      <c r="D5399" s="5" t="s">
        <v>15343</v>
      </c>
      <c r="E5399" s="5" t="s">
        <v>87</v>
      </c>
      <c r="F5399" s="5" t="s">
        <v>15344</v>
      </c>
      <c r="G5399" s="5" t="s">
        <v>15345</v>
      </c>
      <c r="H5399" s="5" t="s">
        <v>15605</v>
      </c>
      <c r="I5399" s="5" t="s">
        <v>15654</v>
      </c>
      <c r="J5399" s="5" t="s">
        <v>152</v>
      </c>
      <c r="K5399" s="7" t="str">
        <f ca="1">IFERROR(__xludf.DUMMYFUNCTION("GOOGLETRANSLATE(H5399,""EN"",""ES"")"),"APARATOS E INSTRUMENTOS PARA PEINAR EL CABELLO")</f>
        <v>APARATOS E INSTRUMENTOS PARA PEINAR EL CABELLO</v>
      </c>
      <c r="L5399" s="5" t="str">
        <f ca="1">IFERROR(__xludf.DUMMYFUNCTION("GOOGLETRANSLATE(J5399,""EN"",""ES"")"),"pasadores de pelo")</f>
        <v>pasadores de pelo</v>
      </c>
      <c r="M5399" s="8" t="s">
        <v>86</v>
      </c>
      <c r="N5399" s="8"/>
    </row>
    <row r="5400" spans="1:14" ht="11.25" customHeight="1">
      <c r="A5400" s="5" t="s">
        <v>15340</v>
      </c>
      <c r="B5400" s="5" t="s">
        <v>15603</v>
      </c>
      <c r="C5400" s="5" t="s">
        <v>15655</v>
      </c>
      <c r="D5400" s="5" t="s">
        <v>15343</v>
      </c>
      <c r="E5400" s="5" t="s">
        <v>87</v>
      </c>
      <c r="F5400" s="5" t="s">
        <v>15344</v>
      </c>
      <c r="G5400" s="5" t="s">
        <v>15345</v>
      </c>
      <c r="H5400" s="5" t="s">
        <v>15605</v>
      </c>
      <c r="I5400" s="5" t="s">
        <v>15656</v>
      </c>
      <c r="J5400" s="5" t="s">
        <v>15657</v>
      </c>
      <c r="K5400" s="7" t="str">
        <f ca="1">IFERROR(__xludf.DUMMYFUNCTION("GOOGLETRANSLATE(H5400,""EN"",""ES"")"),"APARATOS E INSTRUMENTOS PARA PEINAR EL CABELLO")</f>
        <v>APARATOS E INSTRUMENTOS PARA PEINAR EL CABELLO</v>
      </c>
      <c r="L5400" s="5" t="str">
        <f ca="1">IFERROR(__xludf.DUMMYFUNCTION("GOOGLETRANSLATE(J5400,""EN"",""ES"")"),"Planchas para alisar el cabello")</f>
        <v>Planchas para alisar el cabello</v>
      </c>
      <c r="M5400" s="8" t="s">
        <v>86</v>
      </c>
      <c r="N5400" s="8"/>
    </row>
    <row r="5401" spans="1:14" ht="11.25" customHeight="1">
      <c r="A5401" s="5" t="s">
        <v>15340</v>
      </c>
      <c r="B5401" s="5" t="s">
        <v>15603</v>
      </c>
      <c r="C5401" s="5" t="s">
        <v>15658</v>
      </c>
      <c r="D5401" s="5" t="s">
        <v>15343</v>
      </c>
      <c r="E5401" s="5" t="s">
        <v>87</v>
      </c>
      <c r="F5401" s="5" t="s">
        <v>15344</v>
      </c>
      <c r="G5401" s="5" t="s">
        <v>15345</v>
      </c>
      <c r="H5401" s="5" t="s">
        <v>15605</v>
      </c>
      <c r="I5401" s="5" t="s">
        <v>15659</v>
      </c>
      <c r="J5401" s="5" t="s">
        <v>15660</v>
      </c>
      <c r="K5401" s="7" t="str">
        <f ca="1">IFERROR(__xludf.DUMMYFUNCTION("GOOGLETRANSLATE(H5401,""EN"",""ES"")"),"APARATOS E INSTRUMENTOS PARA PEINAR EL CABELLO")</f>
        <v>APARATOS E INSTRUMENTOS PARA PEINAR EL CABELLO</v>
      </c>
      <c r="L5401" s="5" t="str">
        <f ca="1">IFERROR(__xludf.DUMMYFUNCTION("GOOGLETRANSLATE(J5401,""EN"",""ES"")"),"Pinzas para ondear el cabello")</f>
        <v>Pinzas para ondear el cabello</v>
      </c>
      <c r="M5401" s="8" t="s">
        <v>86</v>
      </c>
      <c r="N5401" s="8"/>
    </row>
    <row r="5402" spans="1:14" ht="11.25" customHeight="1">
      <c r="A5402" s="5" t="s">
        <v>15340</v>
      </c>
      <c r="B5402" s="5" t="s">
        <v>15603</v>
      </c>
      <c r="C5402" s="5" t="s">
        <v>15661</v>
      </c>
      <c r="D5402" s="5" t="s">
        <v>15343</v>
      </c>
      <c r="E5402" s="5" t="s">
        <v>87</v>
      </c>
      <c r="F5402" s="5" t="s">
        <v>15344</v>
      </c>
      <c r="G5402" s="5" t="s">
        <v>15345</v>
      </c>
      <c r="H5402" s="5" t="s">
        <v>15605</v>
      </c>
      <c r="I5402" s="5" t="s">
        <v>15662</v>
      </c>
      <c r="J5402" s="5" t="s">
        <v>15663</v>
      </c>
      <c r="K5402" s="7" t="str">
        <f ca="1">IFERROR(__xludf.DUMMYFUNCTION("GOOGLETRANSLATE(H5402,""EN"",""ES"")"),"APARATOS E INSTRUMENTOS PARA PEINAR EL CABELLO")</f>
        <v>APARATOS E INSTRUMENTOS PARA PEINAR EL CABELLO</v>
      </c>
      <c r="L5402" s="5" t="str">
        <f ca="1">IFERROR(__xludf.DUMMYFUNCTION("GOOGLETRANSLATE(J5402,""EN"",""ES"")"),"Campanas para secadores de pelo")</f>
        <v>Campanas para secadores de pelo</v>
      </c>
      <c r="M5402" s="8" t="s">
        <v>86</v>
      </c>
      <c r="N5402" s="8"/>
    </row>
    <row r="5403" spans="1:14" ht="11.25" customHeight="1">
      <c r="A5403" s="5" t="s">
        <v>15340</v>
      </c>
      <c r="B5403" s="5" t="s">
        <v>15603</v>
      </c>
      <c r="C5403" s="5" t="s">
        <v>15661</v>
      </c>
      <c r="D5403" s="5" t="s">
        <v>15343</v>
      </c>
      <c r="E5403" s="5" t="s">
        <v>87</v>
      </c>
      <c r="F5403" s="5" t="s">
        <v>15344</v>
      </c>
      <c r="G5403" s="5" t="s">
        <v>15345</v>
      </c>
      <c r="H5403" s="5" t="s">
        <v>15605</v>
      </c>
      <c r="I5403" s="5" t="s">
        <v>15664</v>
      </c>
      <c r="J5403" s="5" t="s">
        <v>152</v>
      </c>
      <c r="K5403" s="7" t="str">
        <f ca="1">IFERROR(__xludf.DUMMYFUNCTION("GOOGLETRANSLATE(H5403,""EN"",""ES"")"),"APARATOS E INSTRUMENTOS PARA PEINAR EL CABELLO")</f>
        <v>APARATOS E INSTRUMENTOS PARA PEINAR EL CABELLO</v>
      </c>
      <c r="L5403" s="5" t="str">
        <f ca="1">IFERROR(__xludf.DUMMYFUNCTION("GOOGLETRANSLATE(J5403,""EN"",""ES"")"),"Campanas para secador de pelo")</f>
        <v>Campanas para secador de pelo</v>
      </c>
      <c r="M5403" s="8" t="s">
        <v>86</v>
      </c>
      <c r="N5403" s="8"/>
    </row>
    <row r="5404" spans="1:14" ht="11.25" customHeight="1">
      <c r="A5404" s="5" t="s">
        <v>15340</v>
      </c>
      <c r="B5404" s="5" t="s">
        <v>15603</v>
      </c>
      <c r="C5404" s="5" t="s">
        <v>15665</v>
      </c>
      <c r="D5404" s="5" t="s">
        <v>15343</v>
      </c>
      <c r="E5404" s="5" t="s">
        <v>87</v>
      </c>
      <c r="F5404" s="5" t="s">
        <v>15344</v>
      </c>
      <c r="G5404" s="5" t="s">
        <v>15345</v>
      </c>
      <c r="H5404" s="5" t="s">
        <v>15605</v>
      </c>
      <c r="I5404" s="5" t="s">
        <v>15666</v>
      </c>
      <c r="J5404" s="5" t="s">
        <v>15667</v>
      </c>
      <c r="K5404" s="7" t="str">
        <f ca="1">IFERROR(__xludf.DUMMYFUNCTION("GOOGLETRANSLATE(H5404,""EN"",""ES"")"),"APARATOS E INSTRUMENTOS PARA PEINAR EL CABELLO")</f>
        <v>APARATOS E INSTRUMENTOS PARA PEINAR EL CABELLO</v>
      </c>
      <c r="L5404" s="5" t="str">
        <f ca="1">IFERROR(__xludf.DUMMYFUNCTION("GOOGLETRANSLATE(J5404,""EN"",""ES"")"),"Collares higiénicos [peluquería]")</f>
        <v>Collares higiénicos [peluquería]</v>
      </c>
      <c r="M5404" s="8" t="s">
        <v>86</v>
      </c>
      <c r="N5404" s="8"/>
    </row>
    <row r="5405" spans="1:14" ht="11.25" customHeight="1">
      <c r="A5405" s="5" t="s">
        <v>15340</v>
      </c>
      <c r="B5405" s="5" t="s">
        <v>15603</v>
      </c>
      <c r="C5405" s="5" t="s">
        <v>15668</v>
      </c>
      <c r="D5405" s="5" t="s">
        <v>15343</v>
      </c>
      <c r="E5405" s="5" t="s">
        <v>87</v>
      </c>
      <c r="F5405" s="5" t="s">
        <v>15344</v>
      </c>
      <c r="G5405" s="5" t="s">
        <v>15345</v>
      </c>
      <c r="H5405" s="5" t="s">
        <v>15605</v>
      </c>
      <c r="I5405" s="5" t="s">
        <v>15669</v>
      </c>
      <c r="J5405" s="5" t="s">
        <v>15670</v>
      </c>
      <c r="K5405" s="7" t="str">
        <f ca="1">IFERROR(__xludf.DUMMYFUNCTION("GOOGLETRANSLATE(H5405,""EN"",""ES"")"),"APARATOS E INSTRUMENTOS PARA PEINAR EL CABELLO")</f>
        <v>APARATOS E INSTRUMENTOS PARA PEINAR EL CABELLO</v>
      </c>
      <c r="L5405" s="5" t="str">
        <f ca="1">IFERROR(__xludf.DUMMYFUNCTION("GOOGLETRANSLATE(J5405,""EN"",""ES"")"),"varillas permanentes")</f>
        <v>varillas permanentes</v>
      </c>
      <c r="M5405" s="8" t="s">
        <v>86</v>
      </c>
      <c r="N5405" s="8"/>
    </row>
    <row r="5406" spans="1:14" ht="11.25" customHeight="1">
      <c r="A5406" s="5" t="s">
        <v>15340</v>
      </c>
      <c r="B5406" s="5" t="s">
        <v>15603</v>
      </c>
      <c r="C5406" s="5" t="s">
        <v>15668</v>
      </c>
      <c r="D5406" s="5" t="s">
        <v>15343</v>
      </c>
      <c r="E5406" s="5" t="s">
        <v>87</v>
      </c>
      <c r="F5406" s="5" t="s">
        <v>15344</v>
      </c>
      <c r="G5406" s="5" t="s">
        <v>15345</v>
      </c>
      <c r="H5406" s="5" t="s">
        <v>15605</v>
      </c>
      <c r="I5406" s="5" t="s">
        <v>15671</v>
      </c>
      <c r="J5406" s="5" t="s">
        <v>152</v>
      </c>
      <c r="K5406" s="7" t="str">
        <f ca="1">IFERROR(__xludf.DUMMYFUNCTION("GOOGLETRANSLATE(H5406,""EN"",""ES"")"),"APARATOS E INSTRUMENTOS PARA PEINAR EL CABELLO")</f>
        <v>APARATOS E INSTRUMENTOS PARA PEINAR EL CABELLO</v>
      </c>
      <c r="L5406" s="5" t="str">
        <f ca="1">IFERROR(__xludf.DUMMYFUNCTION("GOOGLETRANSLATE(J5406,""EN"",""ES"")"),"Rizadores para ondas permanentes")</f>
        <v>Rizadores para ondas permanentes</v>
      </c>
      <c r="M5406" s="8" t="s">
        <v>86</v>
      </c>
      <c r="N5406" s="8"/>
    </row>
    <row r="5407" spans="1:14" ht="11.25" customHeight="1">
      <c r="A5407" s="5" t="s">
        <v>15340</v>
      </c>
      <c r="B5407" s="5" t="s">
        <v>15603</v>
      </c>
      <c r="C5407" s="5" t="s">
        <v>15672</v>
      </c>
      <c r="D5407" s="5" t="s">
        <v>15343</v>
      </c>
      <c r="E5407" s="5" t="s">
        <v>87</v>
      </c>
      <c r="F5407" s="5" t="s">
        <v>15344</v>
      </c>
      <c r="G5407" s="5" t="s">
        <v>15345</v>
      </c>
      <c r="H5407" s="5" t="s">
        <v>15605</v>
      </c>
      <c r="I5407" s="5" t="s">
        <v>15673</v>
      </c>
      <c r="J5407" s="5" t="s">
        <v>15674</v>
      </c>
      <c r="K5407" s="7" t="str">
        <f ca="1">IFERROR(__xludf.DUMMYFUNCTION("GOOGLETRANSLATE(H5407,""EN"",""ES"")"),"APARATOS E INSTRUMENTOS PARA PEINAR EL CABELLO")</f>
        <v>APARATOS E INSTRUMENTOS PARA PEINAR EL CABELLO</v>
      </c>
      <c r="L5407" s="5" t="str">
        <f ca="1">IFERROR(__xludf.DUMMYFUNCTION("GOOGLETRANSLATE(J5407,""EN"",""ES"")"),"Pasadores para rizadores de pelo")</f>
        <v>Pasadores para rizadores de pelo</v>
      </c>
      <c r="M5407" s="8" t="s">
        <v>86</v>
      </c>
      <c r="N5407" s="8"/>
    </row>
    <row r="5408" spans="1:14" ht="11.25" customHeight="1">
      <c r="A5408" s="5" t="s">
        <v>15340</v>
      </c>
      <c r="B5408" s="5" t="s">
        <v>15603</v>
      </c>
      <c r="C5408" s="5" t="s">
        <v>15672</v>
      </c>
      <c r="D5408" s="5" t="s">
        <v>15343</v>
      </c>
      <c r="E5408" s="5" t="s">
        <v>87</v>
      </c>
      <c r="F5408" s="5" t="s">
        <v>15344</v>
      </c>
      <c r="G5408" s="5" t="s">
        <v>15345</v>
      </c>
      <c r="H5408" s="5" t="s">
        <v>15605</v>
      </c>
      <c r="I5408" s="5" t="s">
        <v>15675</v>
      </c>
      <c r="J5408" s="5" t="s">
        <v>152</v>
      </c>
      <c r="K5408" s="7" t="str">
        <f ca="1">IFERROR(__xludf.DUMMYFUNCTION("GOOGLETRANSLATE(H5408,""EN"",""ES"")"),"APARATOS E INSTRUMENTOS PARA PEINAR EL CABELLO")</f>
        <v>APARATOS E INSTRUMENTOS PARA PEINAR EL CABELLO</v>
      </c>
      <c r="L5408" s="5" t="str">
        <f ca="1">IFERROR(__xludf.DUMMYFUNCTION("GOOGLETRANSLATE(J5408,""EN"",""ES"")"),"Pasadores para rulos")</f>
        <v>Pasadores para rulos</v>
      </c>
      <c r="M5408" s="8" t="s">
        <v>86</v>
      </c>
      <c r="N5408" s="8"/>
    </row>
    <row r="5409" spans="1:14" ht="11.25" customHeight="1">
      <c r="A5409" s="5" t="s">
        <v>15340</v>
      </c>
      <c r="B5409" s="5" t="s">
        <v>15603</v>
      </c>
      <c r="C5409" s="5" t="s">
        <v>15676</v>
      </c>
      <c r="D5409" s="5" t="s">
        <v>15343</v>
      </c>
      <c r="E5409" s="5" t="s">
        <v>87</v>
      </c>
      <c r="F5409" s="5" t="s">
        <v>15344</v>
      </c>
      <c r="G5409" s="5" t="s">
        <v>15345</v>
      </c>
      <c r="H5409" s="5" t="s">
        <v>15605</v>
      </c>
      <c r="I5409" s="5" t="s">
        <v>15677</v>
      </c>
      <c r="J5409" s="5" t="s">
        <v>15678</v>
      </c>
      <c r="K5409" s="7" t="str">
        <f ca="1">IFERROR(__xludf.DUMMYFUNCTION("GOOGLETRANSLATE(H5409,""EN"",""ES"")"),"APARATOS E INSTRUMENTOS PARA PEINAR EL CABELLO")</f>
        <v>APARATOS E INSTRUMENTOS PARA PEINAR EL CABELLO</v>
      </c>
      <c r="L5409" s="5" t="str">
        <f ca="1">IFERROR(__xludf.DUMMYFUNCTION("GOOGLETRANSLATE(J5409,""EN"",""ES"")"),"Aparatos de pulverización para peluqueros.")</f>
        <v>Aparatos de pulverización para peluqueros.</v>
      </c>
      <c r="M5409" s="8" t="s">
        <v>86</v>
      </c>
      <c r="N5409" s="8"/>
    </row>
    <row r="5410" spans="1:14" ht="11.25" customHeight="1">
      <c r="A5410" s="5" t="s">
        <v>15340</v>
      </c>
      <c r="B5410" s="5" t="s">
        <v>15679</v>
      </c>
      <c r="C5410" s="5" t="s">
        <v>15680</v>
      </c>
      <c r="D5410" s="5" t="s">
        <v>15343</v>
      </c>
      <c r="E5410" s="5" t="s">
        <v>87</v>
      </c>
      <c r="F5410" s="5" t="s">
        <v>15344</v>
      </c>
      <c r="G5410" s="5" t="s">
        <v>15345</v>
      </c>
      <c r="H5410" s="5" t="s">
        <v>330</v>
      </c>
      <c r="I5410" s="5" t="s">
        <v>15681</v>
      </c>
      <c r="J5410" s="5" t="s">
        <v>15682</v>
      </c>
      <c r="K5410" s="7" t="str">
        <f ca="1">IFERROR(__xludf.DUMMYFUNCTION("GOOGLETRANSLATE(H5410,""EN"",""ES"")"),"MISCELÁNEAS")</f>
        <v>MISCELÁNEAS</v>
      </c>
      <c r="L5410" s="5" t="str">
        <f ca="1">IFERROR(__xludf.DUMMYFUNCTION("GOOGLETRANSLATE(J5410,""EN"",""ES"")"),"Rascadores de espalda")</f>
        <v>Rascadores de espalda</v>
      </c>
      <c r="M5410" s="8" t="s">
        <v>86</v>
      </c>
      <c r="N5410" s="8"/>
    </row>
    <row r="5411" spans="1:14" ht="11.25" customHeight="1">
      <c r="A5411" s="5" t="s">
        <v>15340</v>
      </c>
      <c r="B5411" s="5" t="s">
        <v>15679</v>
      </c>
      <c r="C5411" s="5" t="s">
        <v>15683</v>
      </c>
      <c r="D5411" s="5" t="s">
        <v>15343</v>
      </c>
      <c r="E5411" s="5" t="s">
        <v>87</v>
      </c>
      <c r="F5411" s="5" t="s">
        <v>15344</v>
      </c>
      <c r="G5411" s="5" t="s">
        <v>15345</v>
      </c>
      <c r="H5411" s="5" t="s">
        <v>330</v>
      </c>
      <c r="I5411" s="5" t="s">
        <v>15684</v>
      </c>
      <c r="J5411" s="5" t="s">
        <v>15685</v>
      </c>
      <c r="K5411" s="7" t="str">
        <f ca="1">IFERROR(__xludf.DUMMYFUNCTION("GOOGLETRANSLATE(H5411,""EN"",""ES"")"),"MISCELÁNEAS")</f>
        <v>MISCELÁNEAS</v>
      </c>
      <c r="L5411" s="5" t="str">
        <f ca="1">IFERROR(__xludf.DUMMYFUNCTION("GOOGLETRANSLATE(J5411,""EN"",""ES"")"),"Bloques de productos de lavado")</f>
        <v>Bloques de productos de lavado</v>
      </c>
      <c r="M5411" s="8" t="s">
        <v>86</v>
      </c>
      <c r="N5411" s="8"/>
    </row>
    <row r="5412" spans="1:14" ht="11.25" customHeight="1">
      <c r="A5412" s="5" t="s">
        <v>15340</v>
      </c>
      <c r="B5412" s="5" t="s">
        <v>15679</v>
      </c>
      <c r="C5412" s="5" t="s">
        <v>15686</v>
      </c>
      <c r="D5412" s="5" t="s">
        <v>15343</v>
      </c>
      <c r="E5412" s="5" t="s">
        <v>87</v>
      </c>
      <c r="F5412" s="5" t="s">
        <v>15344</v>
      </c>
      <c r="G5412" s="5" t="s">
        <v>15345</v>
      </c>
      <c r="H5412" s="5" t="s">
        <v>330</v>
      </c>
      <c r="I5412" s="5" t="s">
        <v>15687</v>
      </c>
      <c r="J5412" s="5" t="s">
        <v>15688</v>
      </c>
      <c r="K5412" s="7" t="str">
        <f ca="1">IFERROR(__xludf.DUMMYFUNCTION("GOOGLETRANSLATE(H5412,""EN"",""ES"")"),"MISCELÁNEAS")</f>
        <v>MISCELÁNEAS</v>
      </c>
      <c r="L5412" s="5" t="str">
        <f ca="1">IFERROR(__xludf.DUMMYFUNCTION("GOOGLETRANSLATE(J5412,""EN"",""ES"")"),"Desodorantes [tabletas] para lavavajillas")</f>
        <v>Desodorantes [tabletas] para lavavajillas</v>
      </c>
      <c r="M5412" s="8" t="s">
        <v>86</v>
      </c>
      <c r="N5412" s="8"/>
    </row>
    <row r="5413" spans="1:14" ht="11.25" customHeight="1">
      <c r="A5413" s="5" t="s">
        <v>15689</v>
      </c>
      <c r="B5413" s="5" t="s">
        <v>15690</v>
      </c>
      <c r="C5413" s="5" t="s">
        <v>15691</v>
      </c>
      <c r="D5413" s="5" t="s">
        <v>15692</v>
      </c>
      <c r="E5413" s="5" t="s">
        <v>89</v>
      </c>
      <c r="F5413" s="5" t="s">
        <v>15693</v>
      </c>
      <c r="G5413" s="5" t="s">
        <v>152</v>
      </c>
      <c r="H5413" s="5" t="s">
        <v>15694</v>
      </c>
      <c r="I5413" s="5" t="s">
        <v>15695</v>
      </c>
      <c r="J5413" s="5" t="s">
        <v>15696</v>
      </c>
      <c r="K5413" s="7" t="str">
        <f ca="1">IFERROR(__xludf.DUMMYFUNCTION("GOOGLETRANSLATE(H5413,""EN"",""ES"")"),"DISPOSITIVOS Y EQUIPOS CONTRA RIESGOS DE INCENDIO")</f>
        <v>DISPOSITIVOS Y EQUIPOS CONTRA RIESGOS DE INCENDIO</v>
      </c>
      <c r="L5413" s="5" t="str">
        <f ca="1">IFERROR(__xludf.DUMMYFUNCTION("GOOGLETRANSLATE(J5413,""EN"",""ES"")"),"batidores para el fuego")</f>
        <v>batidores para el fuego</v>
      </c>
      <c r="M5413" s="8" t="s">
        <v>60</v>
      </c>
      <c r="N5413" s="8"/>
    </row>
    <row r="5414" spans="1:14" ht="11.25" customHeight="1">
      <c r="A5414" s="5" t="s">
        <v>15689</v>
      </c>
      <c r="B5414" s="5" t="s">
        <v>15690</v>
      </c>
      <c r="C5414" s="5" t="s">
        <v>15697</v>
      </c>
      <c r="D5414" s="5" t="s">
        <v>15692</v>
      </c>
      <c r="E5414" s="5" t="s">
        <v>89</v>
      </c>
      <c r="F5414" s="5" t="s">
        <v>15693</v>
      </c>
      <c r="G5414" s="5" t="s">
        <v>152</v>
      </c>
      <c r="H5414" s="5" t="s">
        <v>15694</v>
      </c>
      <c r="I5414" s="5" t="s">
        <v>15698</v>
      </c>
      <c r="J5414" s="5" t="s">
        <v>15699</v>
      </c>
      <c r="K5414" s="7" t="str">
        <f ca="1">IFERROR(__xludf.DUMMYFUNCTION("GOOGLETRANSLATE(H5414,""EN"",""ES"")"),"DISPOSITIVOS Y EQUIPOS CONTRA RIESGOS DE INCENDIO")</f>
        <v>DISPOSITIVOS Y EQUIPOS CONTRA RIESGOS DE INCENDIO</v>
      </c>
      <c r="L5414" s="5" t="str">
        <f ca="1">IFERROR(__xludf.DUMMYFUNCTION("GOOGLETRANSLATE(J5414,""EN"",""ES"")"),"Aerosoles de espuma [extinción de incendios]")</f>
        <v>Aerosoles de espuma [extinción de incendios]</v>
      </c>
      <c r="M5414" s="8" t="s">
        <v>60</v>
      </c>
      <c r="N5414" s="8"/>
    </row>
    <row r="5415" spans="1:14" ht="11.25" customHeight="1">
      <c r="A5415" s="5" t="s">
        <v>15689</v>
      </c>
      <c r="B5415" s="5" t="s">
        <v>15690</v>
      </c>
      <c r="C5415" s="5" t="s">
        <v>15700</v>
      </c>
      <c r="D5415" s="5" t="s">
        <v>15692</v>
      </c>
      <c r="E5415" s="5" t="s">
        <v>89</v>
      </c>
      <c r="F5415" s="5" t="s">
        <v>15693</v>
      </c>
      <c r="G5415" s="5" t="s">
        <v>152</v>
      </c>
      <c r="H5415" s="5" t="s">
        <v>15694</v>
      </c>
      <c r="I5415" s="5" t="s">
        <v>15701</v>
      </c>
      <c r="J5415" s="5" t="s">
        <v>15702</v>
      </c>
      <c r="K5415" s="7" t="str">
        <f ca="1">IFERROR(__xludf.DUMMYFUNCTION("GOOGLETRANSLATE(H5415,""EN"",""ES"")"),"DISPOSITIVOS Y EQUIPOS CONTRA RIESGOS DE INCENDIO")</f>
        <v>DISPOSITIVOS Y EQUIPOS CONTRA RIESGOS DE INCENDIO</v>
      </c>
      <c r="L5415" s="5" t="str">
        <f ca="1">IFERROR(__xludf.DUMMYFUNCTION("GOOGLETRANSLATE(J5415,""EN"",""ES"")"),"Extintores")</f>
        <v>Extintores</v>
      </c>
      <c r="M5415" s="8" t="s">
        <v>60</v>
      </c>
      <c r="N5415" s="8"/>
    </row>
    <row r="5416" spans="1:14" ht="11.25" customHeight="1">
      <c r="A5416" s="5" t="s">
        <v>15689</v>
      </c>
      <c r="B5416" s="5" t="s">
        <v>15690</v>
      </c>
      <c r="C5416" s="5" t="s">
        <v>15703</v>
      </c>
      <c r="D5416" s="5" t="s">
        <v>15692</v>
      </c>
      <c r="E5416" s="5" t="s">
        <v>89</v>
      </c>
      <c r="F5416" s="5" t="s">
        <v>15693</v>
      </c>
      <c r="G5416" s="5" t="s">
        <v>152</v>
      </c>
      <c r="H5416" s="5" t="s">
        <v>15694</v>
      </c>
      <c r="I5416" s="5" t="s">
        <v>15704</v>
      </c>
      <c r="J5416" s="5" t="s">
        <v>15705</v>
      </c>
      <c r="K5416" s="7" t="str">
        <f ca="1">IFERROR(__xludf.DUMMYFUNCTION("GOOGLETRANSLATE(H5416,""EN"",""ES"")"),"DISPOSITIVOS Y EQUIPOS CONTRA RIESGOS DE INCENDIO")</f>
        <v>DISPOSITIVOS Y EQUIPOS CONTRA RIESGOS DE INCENDIO</v>
      </c>
      <c r="L5416" s="5" t="str">
        <f ca="1">IFERROR(__xludf.DUMMYFUNCTION("GOOGLETRANSLATE(J5416,""EN"",""ES"")"),"Dispositivos y equipos contra riesgos de incendio.")</f>
        <v>Dispositivos y equipos contra riesgos de incendio.</v>
      </c>
      <c r="M5416" s="8" t="s">
        <v>60</v>
      </c>
      <c r="N5416" s="8"/>
    </row>
    <row r="5417" spans="1:14" ht="11.25" customHeight="1">
      <c r="A5417" s="5" t="s">
        <v>15689</v>
      </c>
      <c r="B5417" s="5" t="s">
        <v>15690</v>
      </c>
      <c r="C5417" s="5" t="s">
        <v>15706</v>
      </c>
      <c r="D5417" s="5" t="s">
        <v>15692</v>
      </c>
      <c r="E5417" s="5" t="s">
        <v>89</v>
      </c>
      <c r="F5417" s="5" t="s">
        <v>15693</v>
      </c>
      <c r="G5417" s="5" t="s">
        <v>152</v>
      </c>
      <c r="H5417" s="5" t="s">
        <v>15694</v>
      </c>
      <c r="I5417" s="5" t="s">
        <v>15707</v>
      </c>
      <c r="J5417" s="5" t="s">
        <v>15708</v>
      </c>
      <c r="K5417" s="7" t="str">
        <f ca="1">IFERROR(__xludf.DUMMYFUNCTION("GOOGLETRANSLATE(H5417,""EN"",""ES"")"),"DISPOSITIVOS Y EQUIPOS CONTRA RIESGOS DE INCENDIO")</f>
        <v>DISPOSITIVOS Y EQUIPOS CONTRA RIESGOS DE INCENDIO</v>
      </c>
      <c r="L5417" s="5" t="str">
        <f ca="1">IFERROR(__xludf.DUMMYFUNCTION("GOOGLETRANSLATE(J5417,""EN"",""ES"")"),"Parallamas")</f>
        <v>Parallamas</v>
      </c>
      <c r="M5417" s="8" t="s">
        <v>60</v>
      </c>
      <c r="N5417" s="8"/>
    </row>
    <row r="5418" spans="1:14" ht="11.25" customHeight="1">
      <c r="A5418" s="5" t="s">
        <v>15689</v>
      </c>
      <c r="B5418" s="5" t="s">
        <v>15690</v>
      </c>
      <c r="C5418" s="5" t="s">
        <v>15709</v>
      </c>
      <c r="D5418" s="5" t="s">
        <v>15692</v>
      </c>
      <c r="E5418" s="5" t="s">
        <v>89</v>
      </c>
      <c r="F5418" s="5" t="s">
        <v>15693</v>
      </c>
      <c r="G5418" s="5" t="s">
        <v>152</v>
      </c>
      <c r="H5418" s="5" t="s">
        <v>15694</v>
      </c>
      <c r="I5418" s="5" t="s">
        <v>15710</v>
      </c>
      <c r="J5418" s="5" t="s">
        <v>15711</v>
      </c>
      <c r="K5418" s="7" t="str">
        <f ca="1">IFERROR(__xludf.DUMMYFUNCTION("GOOGLETRANSLATE(H5418,""EN"",""ES"")"),"DISPOSITIVOS Y EQUIPOS CONTRA RIESGOS DE INCENDIO")</f>
        <v>DISPOSITIVOS Y EQUIPOS CONTRA RIESGOS DE INCENDIO</v>
      </c>
      <c r="L5418" s="5" t="str">
        <f ca="1">IFERROR(__xludf.DUMMYFUNCTION("GOOGLETRANSLATE(J5418,""EN"",""ES"")"),"Bombas de extinción de incendios")</f>
        <v>Bombas de extinción de incendios</v>
      </c>
      <c r="M5418" s="8" t="s">
        <v>60</v>
      </c>
      <c r="N5418" s="8"/>
    </row>
    <row r="5419" spans="1:14" ht="11.25" customHeight="1">
      <c r="A5419" s="5" t="s">
        <v>15689</v>
      </c>
      <c r="B5419" s="5" t="s">
        <v>15690</v>
      </c>
      <c r="C5419" s="5" t="s">
        <v>15712</v>
      </c>
      <c r="D5419" s="5" t="s">
        <v>15692</v>
      </c>
      <c r="E5419" s="5" t="s">
        <v>89</v>
      </c>
      <c r="F5419" s="5" t="s">
        <v>15693</v>
      </c>
      <c r="G5419" s="5" t="s">
        <v>152</v>
      </c>
      <c r="H5419" s="5" t="s">
        <v>15694</v>
      </c>
      <c r="I5419" s="5" t="s">
        <v>15713</v>
      </c>
      <c r="J5419" s="5" t="s">
        <v>15714</v>
      </c>
      <c r="K5419" s="7" t="str">
        <f ca="1">IFERROR(__xludf.DUMMYFUNCTION("GOOGLETRANSLATE(H5419,""EN"",""ES"")"),"DISPOSITIVOS Y EQUIPOS CONTRA RIESGOS DE INCENDIO")</f>
        <v>DISPOSITIVOS Y EQUIPOS CONTRA RIESGOS DE INCENDIO</v>
      </c>
      <c r="L5419" s="5" t="str">
        <f ca="1">IFERROR(__xludf.DUMMYFUNCTION("GOOGLETRANSLATE(J5419,""EN"",""ES"")"),"Tanques de extintores")</f>
        <v>Tanques de extintores</v>
      </c>
      <c r="M5419" s="8" t="s">
        <v>60</v>
      </c>
      <c r="N5419" s="8"/>
    </row>
    <row r="5420" spans="1:14" ht="11.25" customHeight="1">
      <c r="A5420" s="5" t="s">
        <v>15689</v>
      </c>
      <c r="B5420" s="5" t="s">
        <v>15715</v>
      </c>
      <c r="C5420" s="5" t="s">
        <v>15716</v>
      </c>
      <c r="D5420" s="5" t="s">
        <v>15692</v>
      </c>
      <c r="E5420" s="5" t="s">
        <v>89</v>
      </c>
      <c r="F5420" s="5" t="s">
        <v>15693</v>
      </c>
      <c r="G5420" s="5" t="s">
        <v>152</v>
      </c>
      <c r="H5420" s="5" t="s">
        <v>15717</v>
      </c>
      <c r="I5420" s="5" t="s">
        <v>15718</v>
      </c>
      <c r="J5420" s="5" t="s">
        <v>15719</v>
      </c>
      <c r="K5420" s="7" t="str">
        <f ca="1">IFERROR(__xludf.DUMMYFUNCTION("GOOGLETRANSLATE(H5420,""EN"",""ES"")"),"DISPOSITIVOS Y EQUIPOS PARA PREVENCIÓN DE ACCIDENTES Y PARA RESCATE, NO ESPECIFICADOS EN OTRA PARTE")</f>
        <v>DISPOSITIVOS Y EQUIPOS PARA PREVENCIÓN DE ACCIDENTES Y PARA RESCATE, NO ESPECIFICADOS EN OTRA PARTE</v>
      </c>
      <c r="L5420" s="5" t="str">
        <f ca="1">IFERROR(__xludf.DUMMYFUNCTION("GOOGLETRANSLATE(J5420,""EN"",""ES"")"),"Redes de rescate")</f>
        <v>Redes de rescate</v>
      </c>
      <c r="M5420" s="8" t="s">
        <v>88</v>
      </c>
      <c r="N5420" s="8"/>
    </row>
    <row r="5421" spans="1:14" ht="11.25" customHeight="1">
      <c r="A5421" s="5" t="s">
        <v>15689</v>
      </c>
      <c r="B5421" s="5" t="s">
        <v>15715</v>
      </c>
      <c r="C5421" s="5" t="s">
        <v>15716</v>
      </c>
      <c r="D5421" s="5" t="s">
        <v>15692</v>
      </c>
      <c r="E5421" s="5" t="s">
        <v>89</v>
      </c>
      <c r="F5421" s="5" t="s">
        <v>15693</v>
      </c>
      <c r="G5421" s="5" t="s">
        <v>152</v>
      </c>
      <c r="H5421" s="5" t="s">
        <v>15717</v>
      </c>
      <c r="I5421" s="5" t="s">
        <v>15720</v>
      </c>
      <c r="J5421" s="5" t="s">
        <v>152</v>
      </c>
      <c r="K5421" s="7" t="str">
        <f ca="1">IFERROR(__xludf.DUMMYFUNCTION("GOOGLETRANSLATE(H5421,""EN"",""ES"")"),"DISPOSITIVOS Y EQUIPOS PARA PREVENCIÓN DE ACCIDENTES Y PARA RESCATE, NO ESPECIFICADOS EN OTRA PARTE")</f>
        <v>DISPOSITIVOS Y EQUIPOS PARA PREVENCIÓN DE ACCIDENTES Y PARA RESCATE, NO ESPECIFICADOS EN OTRA PARTE</v>
      </c>
      <c r="L5421" s="5" t="str">
        <f ca="1">IFERROR(__xludf.DUMMYFUNCTION("GOOGLETRANSLATE(J5421,""EN"",""ES"")"),"Redes salvavidas")</f>
        <v>Redes salvavidas</v>
      </c>
      <c r="M5421" s="8" t="s">
        <v>88</v>
      </c>
      <c r="N5421" s="8"/>
    </row>
    <row r="5422" spans="1:14" ht="11.25" customHeight="1">
      <c r="A5422" s="5" t="s">
        <v>15689</v>
      </c>
      <c r="B5422" s="5" t="s">
        <v>15715</v>
      </c>
      <c r="C5422" s="5" t="s">
        <v>15721</v>
      </c>
      <c r="D5422" s="5" t="s">
        <v>15692</v>
      </c>
      <c r="E5422" s="5" t="s">
        <v>89</v>
      </c>
      <c r="F5422" s="5" t="s">
        <v>15693</v>
      </c>
      <c r="G5422" s="5" t="s">
        <v>152</v>
      </c>
      <c r="H5422" s="5" t="s">
        <v>15717</v>
      </c>
      <c r="I5422" s="5" t="s">
        <v>15722</v>
      </c>
      <c r="J5422" s="5" t="s">
        <v>15723</v>
      </c>
      <c r="K5422" s="7" t="str">
        <f ca="1">IFERROR(__xludf.DUMMYFUNCTION("GOOGLETRANSLATE(H5422,""EN"",""ES"")"),"DISPOSITIVOS Y EQUIPOS PARA PREVENCIÓN DE ACCIDENTES Y PARA RESCATE, NO ESPECIFICADOS EN OTRA PARTE")</f>
        <v>DISPOSITIVOS Y EQUIPOS PARA PREVENCIÓN DE ACCIDENTES Y PARA RESCATE, NO ESPECIFICADOS EN OTRA PARTE</v>
      </c>
      <c r="L5422" s="5" t="str">
        <f ca="1">IFERROR(__xludf.DUMMYFUNCTION("GOOGLETRANSLATE(J5422,""EN"",""ES"")"),"Toboganes de rescate")</f>
        <v>Toboganes de rescate</v>
      </c>
      <c r="M5422" s="8" t="s">
        <v>88</v>
      </c>
      <c r="N5422" s="8"/>
    </row>
    <row r="5423" spans="1:14" ht="11.25" customHeight="1">
      <c r="A5423" s="5" t="s">
        <v>15689</v>
      </c>
      <c r="B5423" s="5" t="s">
        <v>15715</v>
      </c>
      <c r="C5423" s="5" t="s">
        <v>15724</v>
      </c>
      <c r="D5423" s="5" t="s">
        <v>15692</v>
      </c>
      <c r="E5423" s="5" t="s">
        <v>89</v>
      </c>
      <c r="F5423" s="5" t="s">
        <v>15693</v>
      </c>
      <c r="G5423" s="5" t="s">
        <v>152</v>
      </c>
      <c r="H5423" s="5" t="s">
        <v>15717</v>
      </c>
      <c r="I5423" s="5" t="s">
        <v>15725</v>
      </c>
      <c r="J5423" s="5" t="s">
        <v>15726</v>
      </c>
      <c r="K5423" s="7" t="str">
        <f ca="1">IFERROR(__xludf.DUMMYFUNCTION("GOOGLETRANSLATE(H5423,""EN"",""ES"")"),"DISPOSITIVOS Y EQUIPOS PARA PREVENCIÓN DE ACCIDENTES Y PARA RESCATE, NO ESPECIFICADOS EN OTRA PARTE")</f>
        <v>DISPOSITIVOS Y EQUIPOS PARA PREVENCIÓN DE ACCIDENTES Y PARA RESCATE, NO ESPECIFICADOS EN OTRA PARTE</v>
      </c>
      <c r="L5423" s="5" t="str">
        <f ca="1">IFERROR(__xludf.DUMMYFUNCTION("GOOGLETRANSLATE(J5423,""EN"",""ES"")"),"Aros salvavidas")</f>
        <v>Aros salvavidas</v>
      </c>
      <c r="M5423" s="8" t="s">
        <v>88</v>
      </c>
      <c r="N5423" s="8"/>
    </row>
    <row r="5424" spans="1:14" ht="11.25" customHeight="1">
      <c r="A5424" s="5" t="s">
        <v>15689</v>
      </c>
      <c r="B5424" s="5" t="s">
        <v>15715</v>
      </c>
      <c r="C5424" s="5" t="s">
        <v>15727</v>
      </c>
      <c r="D5424" s="5" t="s">
        <v>15692</v>
      </c>
      <c r="E5424" s="5" t="s">
        <v>89</v>
      </c>
      <c r="F5424" s="5" t="s">
        <v>15693</v>
      </c>
      <c r="G5424" s="5" t="s">
        <v>152</v>
      </c>
      <c r="H5424" s="5" t="s">
        <v>15717</v>
      </c>
      <c r="I5424" s="5" t="s">
        <v>15728</v>
      </c>
      <c r="J5424" s="5" t="s">
        <v>15729</v>
      </c>
      <c r="K5424" s="7" t="str">
        <f ca="1">IFERROR(__xludf.DUMMYFUNCTION("GOOGLETRANSLATE(H5424,""EN"",""ES"")"),"DISPOSITIVOS Y EQUIPOS PARA PREVENCIÓN DE ACCIDENTES Y PARA RESCATE, NO ESPECIFICADOS EN OTRA PARTE")</f>
        <v>DISPOSITIVOS Y EQUIPOS PARA PREVENCIÓN DE ACCIDENTES Y PARA RESCATE, NO ESPECIFICADOS EN OTRA PARTE</v>
      </c>
      <c r="L5424" s="5" t="str">
        <f ca="1">IFERROR(__xludf.DUMMYFUNCTION("GOOGLETRANSLATE(J5424,""EN"",""ES"")"),"Cinturones salvavidas")</f>
        <v>Cinturones salvavidas</v>
      </c>
      <c r="M5424" s="8" t="s">
        <v>88</v>
      </c>
      <c r="N5424" s="8"/>
    </row>
    <row r="5425" spans="1:14" ht="11.25" customHeight="1">
      <c r="A5425" s="5" t="s">
        <v>15689</v>
      </c>
      <c r="B5425" s="5" t="s">
        <v>15715</v>
      </c>
      <c r="C5425" s="5" t="s">
        <v>15730</v>
      </c>
      <c r="D5425" s="5" t="s">
        <v>15692</v>
      </c>
      <c r="E5425" s="5" t="s">
        <v>89</v>
      </c>
      <c r="F5425" s="5" t="s">
        <v>15693</v>
      </c>
      <c r="G5425" s="5" t="s">
        <v>152</v>
      </c>
      <c r="H5425" s="5" t="s">
        <v>15717</v>
      </c>
      <c r="I5425" s="5" t="s">
        <v>15731</v>
      </c>
      <c r="J5425" s="5" t="s">
        <v>15732</v>
      </c>
      <c r="K5425" s="7" t="str">
        <f ca="1">IFERROR(__xludf.DUMMYFUNCTION("GOOGLETRANSLATE(H5425,""EN"",""ES"")"),"DISPOSITIVOS Y EQUIPOS PARA PREVENCIÓN DE ACCIDENTES Y PARA RESCATE, NO ESPECIFICADOS EN OTRA PARTE")</f>
        <v>DISPOSITIVOS Y EQUIPOS PARA PREVENCIÓN DE ACCIDENTES Y PARA RESCATE, NO ESPECIFICADOS EN OTRA PARTE</v>
      </c>
      <c r="L5425" s="5" t="str">
        <f ca="1">IFERROR(__xludf.DUMMYFUNCTION("GOOGLETRANSLATE(J5425,""EN"",""ES"")"),"Cinturones de seguridad para asientos de vehículos.")</f>
        <v>Cinturones de seguridad para asientos de vehículos.</v>
      </c>
      <c r="M5425" s="8" t="s">
        <v>88</v>
      </c>
      <c r="N5425" s="8"/>
    </row>
    <row r="5426" spans="1:14" ht="11.25" customHeight="1">
      <c r="A5426" s="5" t="s">
        <v>15689</v>
      </c>
      <c r="B5426" s="5" t="s">
        <v>15715</v>
      </c>
      <c r="C5426" s="5" t="s">
        <v>15733</v>
      </c>
      <c r="D5426" s="5" t="s">
        <v>15692</v>
      </c>
      <c r="E5426" s="5" t="s">
        <v>89</v>
      </c>
      <c r="F5426" s="5" t="s">
        <v>15693</v>
      </c>
      <c r="G5426" s="5" t="s">
        <v>152</v>
      </c>
      <c r="H5426" s="5" t="s">
        <v>15717</v>
      </c>
      <c r="I5426" s="5" t="s">
        <v>15734</v>
      </c>
      <c r="J5426" s="5" t="s">
        <v>15735</v>
      </c>
      <c r="K5426" s="7" t="str">
        <f ca="1">IFERROR(__xludf.DUMMYFUNCTION("GOOGLETRANSLATE(H5426,""EN"",""ES"")"),"DISPOSITIVOS Y EQUIPOS PARA PREVENCIÓN DE ACCIDENTES Y PARA RESCATE, NO ESPECIFICADOS EN OTRA PARTE")</f>
        <v>DISPOSITIVOS Y EQUIPOS PARA PREVENCIÓN DE ACCIDENTES Y PARA RESCATE, NO ESPECIFICADOS EN OTRA PARTE</v>
      </c>
      <c r="L5426" s="5" t="str">
        <f ca="1">IFERROR(__xludf.DUMMYFUNCTION("GOOGLETRANSLATE(J5426,""EN"",""ES"")"),"campanas de buceo")</f>
        <v>campanas de buceo</v>
      </c>
      <c r="M5426" s="8" t="s">
        <v>88</v>
      </c>
      <c r="N5426" s="8"/>
    </row>
    <row r="5427" spans="1:14" ht="11.25" customHeight="1">
      <c r="A5427" s="5" t="s">
        <v>15689</v>
      </c>
      <c r="B5427" s="5" t="s">
        <v>15715</v>
      </c>
      <c r="C5427" s="5" t="s">
        <v>15736</v>
      </c>
      <c r="D5427" s="5" t="s">
        <v>15692</v>
      </c>
      <c r="E5427" s="5" t="s">
        <v>89</v>
      </c>
      <c r="F5427" s="5" t="s">
        <v>15693</v>
      </c>
      <c r="G5427" s="5" t="s">
        <v>152</v>
      </c>
      <c r="H5427" s="5" t="s">
        <v>15717</v>
      </c>
      <c r="I5427" s="5" t="s">
        <v>15737</v>
      </c>
      <c r="J5427" s="5" t="s">
        <v>15738</v>
      </c>
      <c r="K5427" s="7" t="str">
        <f ca="1">IFERROR(__xludf.DUMMYFUNCTION("GOOGLETRANSLATE(H5427,""EN"",""ES"")"),"DISPOSITIVOS Y EQUIPOS PARA PREVENCIÓN DE ACCIDENTES Y PARA RESCATE, NO ESPECIFICADOS EN OTRA PARTE")</f>
        <v>DISPOSITIVOS Y EQUIPOS PARA PREVENCIÓN DE ACCIDENTES Y PARA RESCATE, NO ESPECIFICADOS EN OTRA PARTE</v>
      </c>
      <c r="L5427" s="5" t="str">
        <f ca="1">IFERROR(__xludf.DUMMYFUNCTION("GOOGLETRANSLATE(J5427,""EN"",""ES"")"),"protectores faciales")</f>
        <v>protectores faciales</v>
      </c>
      <c r="M5427" s="8" t="s">
        <v>88</v>
      </c>
      <c r="N5427" s="8"/>
    </row>
    <row r="5428" spans="1:14" ht="11.25" customHeight="1">
      <c r="A5428" s="5" t="s">
        <v>15689</v>
      </c>
      <c r="B5428" s="5" t="s">
        <v>15715</v>
      </c>
      <c r="C5428" s="5" t="s">
        <v>15739</v>
      </c>
      <c r="D5428" s="5" t="s">
        <v>15692</v>
      </c>
      <c r="E5428" s="5" t="s">
        <v>89</v>
      </c>
      <c r="F5428" s="5" t="s">
        <v>15693</v>
      </c>
      <c r="G5428" s="5" t="s">
        <v>152</v>
      </c>
      <c r="H5428" s="5" t="s">
        <v>15717</v>
      </c>
      <c r="I5428" s="5" t="s">
        <v>15740</v>
      </c>
      <c r="J5428" s="5" t="s">
        <v>15741</v>
      </c>
      <c r="K5428" s="7" t="str">
        <f ca="1">IFERROR(__xludf.DUMMYFUNCTION("GOOGLETRANSLATE(H5428,""EN"",""ES"")"),"DISPOSITIVOS Y EQUIPOS PARA PREVENCIÓN DE ACCIDENTES Y PARA RESCATE, NO ESPECIFICADOS EN OTRA PARTE")</f>
        <v>DISPOSITIVOS Y EQUIPOS PARA PREVENCIÓN DE ACCIDENTES Y PARA RESCATE, NO ESPECIFICADOS EN OTRA PARTE</v>
      </c>
      <c r="L5428" s="5" t="str">
        <f ca="1">IFERROR(__xludf.DUMMYFUNCTION("GOOGLETRANSLATE(J5428,""EN"",""ES"")"),"Chalecos salvavidas")</f>
        <v>Chalecos salvavidas</v>
      </c>
      <c r="M5428" s="8" t="s">
        <v>88</v>
      </c>
      <c r="N5428" s="8"/>
    </row>
    <row r="5429" spans="1:14" ht="11.25" customHeight="1">
      <c r="A5429" s="5" t="s">
        <v>15689</v>
      </c>
      <c r="B5429" s="5" t="s">
        <v>15715</v>
      </c>
      <c r="C5429" s="5" t="s">
        <v>15742</v>
      </c>
      <c r="D5429" s="5" t="s">
        <v>15692</v>
      </c>
      <c r="E5429" s="5" t="s">
        <v>89</v>
      </c>
      <c r="F5429" s="5" t="s">
        <v>15693</v>
      </c>
      <c r="G5429" s="5" t="s">
        <v>152</v>
      </c>
      <c r="H5429" s="5" t="s">
        <v>15717</v>
      </c>
      <c r="I5429" s="5" t="s">
        <v>15743</v>
      </c>
      <c r="J5429" s="5" t="s">
        <v>15744</v>
      </c>
      <c r="K5429" s="7" t="str">
        <f ca="1">IFERROR(__xludf.DUMMYFUNCTION("GOOGLETRANSLATE(H5429,""EN"",""ES"")"),"DISPOSITIVOS Y EQUIPOS PARA PREVENCIÓN DE ACCIDENTES Y PARA RESCATE, NO ESPECIFICADOS EN OTRA PARTE")</f>
        <v>DISPOSITIVOS Y EQUIPOS PARA PREVENCIÓN DE ACCIDENTES Y PARA RESCATE, NO ESPECIFICADOS EN OTRA PARTE</v>
      </c>
      <c r="L5429" s="5" t="str">
        <f ca="1">IFERROR(__xludf.DUMMYFUNCTION("GOOGLETRANSLATE(J5429,""EN"",""ES"")"),"Máscaras de soldador")</f>
        <v>Máscaras de soldador</v>
      </c>
      <c r="M5429" s="8" t="s">
        <v>88</v>
      </c>
      <c r="N5429" s="8"/>
    </row>
    <row r="5430" spans="1:14" ht="11.25" customHeight="1">
      <c r="A5430" s="5" t="s">
        <v>15689</v>
      </c>
      <c r="B5430" s="5" t="s">
        <v>15715</v>
      </c>
      <c r="C5430" s="5" t="s">
        <v>15745</v>
      </c>
      <c r="D5430" s="5" t="s">
        <v>15692</v>
      </c>
      <c r="E5430" s="5" t="s">
        <v>89</v>
      </c>
      <c r="F5430" s="5" t="s">
        <v>15693</v>
      </c>
      <c r="G5430" s="5" t="s">
        <v>152</v>
      </c>
      <c r="H5430" s="5" t="s">
        <v>15717</v>
      </c>
      <c r="I5430" s="5" t="s">
        <v>15746</v>
      </c>
      <c r="J5430" s="5" t="s">
        <v>15747</v>
      </c>
      <c r="K5430" s="7" t="str">
        <f ca="1">IFERROR(__xludf.DUMMYFUNCTION("GOOGLETRANSLATE(H5430,""EN"",""ES"")"),"DISPOSITIVOS Y EQUIPOS PARA PREVENCIÓN DE ACCIDENTES Y PARA RESCATE, NO ESPECIFICADOS EN OTRA PARTE")</f>
        <v>DISPOSITIVOS Y EQUIPOS PARA PREVENCIÓN DE ACCIDENTES Y PARA RESCATE, NO ESPECIFICADOS EN OTRA PARTE</v>
      </c>
      <c r="L5430" s="5" t="str">
        <f ca="1">IFERROR(__xludf.DUMMYFUNCTION("GOOGLETRANSLATE(J5430,""EN"",""ES"")"),"Mascarillas protectoras")</f>
        <v>Mascarillas protectoras</v>
      </c>
      <c r="M5430" s="8" t="s">
        <v>88</v>
      </c>
      <c r="N5430" s="8"/>
    </row>
    <row r="5431" spans="1:14" ht="11.25" customHeight="1">
      <c r="A5431" s="5" t="s">
        <v>15689</v>
      </c>
      <c r="B5431" s="5" t="s">
        <v>15715</v>
      </c>
      <c r="C5431" s="5" t="s">
        <v>15748</v>
      </c>
      <c r="D5431" s="5" t="s">
        <v>15692</v>
      </c>
      <c r="E5431" s="5" t="s">
        <v>89</v>
      </c>
      <c r="F5431" s="5" t="s">
        <v>15693</v>
      </c>
      <c r="G5431" s="5" t="s">
        <v>152</v>
      </c>
      <c r="H5431" s="5" t="s">
        <v>15717</v>
      </c>
      <c r="I5431" s="5" t="s">
        <v>15749</v>
      </c>
      <c r="J5431" s="5" t="s">
        <v>15750</v>
      </c>
      <c r="K5431" s="7" t="str">
        <f ca="1">IFERROR(__xludf.DUMMYFUNCTION("GOOGLETRANSLATE(H5431,""EN"",""ES"")"),"DISPOSITIVOS Y EQUIPOS PARA PREVENCIÓN DE ACCIDENTES Y PARA RESCATE, NO ESPECIFICADOS EN OTRA PARTE")</f>
        <v>DISPOSITIVOS Y EQUIPOS PARA PREVENCIÓN DE ACCIDENTES Y PARA RESCATE, NO ESPECIFICADOS EN OTRA PARTE</v>
      </c>
      <c r="L5431" s="5" t="str">
        <f ca="1">IFERROR(__xludf.DUMMYFUNCTION("GOOGLETRANSLATE(J5431,""EN"",""ES"")"),"Máscaras respiratorias")</f>
        <v>Máscaras respiratorias</v>
      </c>
      <c r="M5431" s="8" t="s">
        <v>88</v>
      </c>
      <c r="N5431" s="8"/>
    </row>
    <row r="5432" spans="1:14" ht="11.25" customHeight="1">
      <c r="A5432" s="5" t="s">
        <v>15689</v>
      </c>
      <c r="B5432" s="5" t="s">
        <v>15715</v>
      </c>
      <c r="C5432" s="5" t="s">
        <v>15748</v>
      </c>
      <c r="D5432" s="5" t="s">
        <v>15692</v>
      </c>
      <c r="E5432" s="5" t="s">
        <v>89</v>
      </c>
      <c r="F5432" s="5" t="s">
        <v>15693</v>
      </c>
      <c r="G5432" s="5" t="s">
        <v>152</v>
      </c>
      <c r="H5432" s="5" t="s">
        <v>15717</v>
      </c>
      <c r="I5432" s="5" t="s">
        <v>15751</v>
      </c>
      <c r="J5432" s="5" t="s">
        <v>152</v>
      </c>
      <c r="K5432" s="7" t="str">
        <f ca="1">IFERROR(__xludf.DUMMYFUNCTION("GOOGLETRANSLATE(H5432,""EN"",""ES"")"),"DISPOSITIVOS Y EQUIPOS PARA PREVENCIÓN DE ACCIDENTES Y PARA RESCATE, NO ESPECIFICADOS EN OTRA PARTE")</f>
        <v>DISPOSITIVOS Y EQUIPOS PARA PREVENCIÓN DE ACCIDENTES Y PARA RESCATE, NO ESPECIFICADOS EN OTRA PARTE</v>
      </c>
      <c r="L5432" s="5" t="str">
        <f ca="1">IFERROR(__xludf.DUMMYFUNCTION("GOOGLETRANSLATE(J5432,""EN"",""ES"")"),"Mascarillas respiratorias")</f>
        <v>Mascarillas respiratorias</v>
      </c>
      <c r="M5432" s="8" t="s">
        <v>88</v>
      </c>
      <c r="N5432" s="8"/>
    </row>
    <row r="5433" spans="1:14" ht="11.25" customHeight="1">
      <c r="A5433" s="5" t="s">
        <v>15689</v>
      </c>
      <c r="B5433" s="5" t="s">
        <v>15715</v>
      </c>
      <c r="C5433" s="5" t="s">
        <v>15752</v>
      </c>
      <c r="D5433" s="5" t="s">
        <v>15692</v>
      </c>
      <c r="E5433" s="5" t="s">
        <v>89</v>
      </c>
      <c r="F5433" s="5" t="s">
        <v>15693</v>
      </c>
      <c r="G5433" s="5" t="s">
        <v>152</v>
      </c>
      <c r="H5433" s="5" t="s">
        <v>15717</v>
      </c>
      <c r="I5433" s="5" t="s">
        <v>15753</v>
      </c>
      <c r="J5433" s="5" t="s">
        <v>15753</v>
      </c>
      <c r="K5433" s="7" t="str">
        <f ca="1">IFERROR(__xludf.DUMMYFUNCTION("GOOGLETRANSLATE(H5433,""EN"",""ES"")"),"DISPOSITIVOS Y EQUIPOS PARA PREVENCIÓN DE ACCIDENTES Y PARA RESCATE, NO ESPECIFICADOS EN OTRA PARTE")</f>
        <v>DISPOSITIVOS Y EQUIPOS PARA PREVENCIÓN DE ACCIDENTES Y PARA RESCATE, NO ESPECIFICADOS EN OTRA PARTE</v>
      </c>
      <c r="L5433" s="5" t="str">
        <f ca="1">IFERROR(__xludf.DUMMYFUNCTION("GOOGLETRANSLATE(J5433,""EN"",""ES"")"),"paracaídas")</f>
        <v>paracaídas</v>
      </c>
      <c r="M5433" s="8" t="s">
        <v>88</v>
      </c>
      <c r="N5433" s="8"/>
    </row>
    <row r="5434" spans="1:14" ht="11.25" customHeight="1">
      <c r="A5434" s="5" t="s">
        <v>15689</v>
      </c>
      <c r="B5434" s="5" t="s">
        <v>15715</v>
      </c>
      <c r="C5434" s="5" t="s">
        <v>15754</v>
      </c>
      <c r="D5434" s="5" t="s">
        <v>15692</v>
      </c>
      <c r="E5434" s="5" t="s">
        <v>89</v>
      </c>
      <c r="F5434" s="5" t="s">
        <v>15693</v>
      </c>
      <c r="G5434" s="5" t="s">
        <v>152</v>
      </c>
      <c r="H5434" s="5" t="s">
        <v>15717</v>
      </c>
      <c r="I5434" s="5" t="s">
        <v>15755</v>
      </c>
      <c r="J5434" s="5" t="s">
        <v>15756</v>
      </c>
      <c r="K5434" s="7" t="str">
        <f ca="1">IFERROR(__xludf.DUMMYFUNCTION("GOOGLETRANSLATE(H5434,""EN"",""ES"")"),"DISPOSITIVOS Y EQUIPOS PARA PREVENCIÓN DE ACCIDENTES Y PARA RESCATE, NO ESPECIFICADOS EN OTRA PARTE")</f>
        <v>DISPOSITIVOS Y EQUIPOS PARA PREVENCIÓN DE ACCIDENTES Y PARA RESCATE, NO ESPECIFICADOS EN OTRA PARTE</v>
      </c>
      <c r="L5434" s="5" t="str">
        <f ca="1">IFERROR(__xludf.DUMMYFUNCTION("GOOGLETRANSLATE(J5434,""EN"",""ES"")"),"Dispositivos de escape submarino")</f>
        <v>Dispositivos de escape submarino</v>
      </c>
      <c r="M5434" s="8" t="s">
        <v>88</v>
      </c>
      <c r="N5434" s="8"/>
    </row>
    <row r="5435" spans="1:14" ht="11.25" customHeight="1">
      <c r="A5435" s="5" t="s">
        <v>15689</v>
      </c>
      <c r="B5435" s="5" t="s">
        <v>15715</v>
      </c>
      <c r="C5435" s="5" t="s">
        <v>15757</v>
      </c>
      <c r="D5435" s="5" t="s">
        <v>15692</v>
      </c>
      <c r="E5435" s="5" t="s">
        <v>89</v>
      </c>
      <c r="F5435" s="5" t="s">
        <v>15693</v>
      </c>
      <c r="G5435" s="5" t="s">
        <v>152</v>
      </c>
      <c r="H5435" s="5" t="s">
        <v>15717</v>
      </c>
      <c r="I5435" s="5" t="s">
        <v>15758</v>
      </c>
      <c r="J5435" s="5" t="s">
        <v>15759</v>
      </c>
      <c r="K5435" s="7" t="str">
        <f ca="1">IFERROR(__xludf.DUMMYFUNCTION("GOOGLETRANSLATE(H5435,""EN"",""ES"")"),"DISPOSITIVOS Y EQUIPOS PARA PREVENCIÓN DE ACCIDENTES Y PARA RESCATE, NO ESPECIFICADOS EN OTRA PARTE")</f>
        <v>DISPOSITIVOS Y EQUIPOS PARA PREVENCIÓN DE ACCIDENTES Y PARA RESCATE, NO ESPECIFICADOS EN OTRA PARTE</v>
      </c>
      <c r="L5435" s="5" t="str">
        <f ca="1">IFERROR(__xludf.DUMMYFUNCTION("GOOGLETRANSLATE(J5435,""EN"",""ES"")"),"Filtros nasales antipolvo")</f>
        <v>Filtros nasales antipolvo</v>
      </c>
      <c r="M5435" s="8" t="s">
        <v>88</v>
      </c>
      <c r="N5435" s="8"/>
    </row>
    <row r="5436" spans="1:14" ht="11.25" customHeight="1">
      <c r="A5436" s="5" t="s">
        <v>15689</v>
      </c>
      <c r="B5436" s="5" t="s">
        <v>15715</v>
      </c>
      <c r="C5436" s="5" t="s">
        <v>15760</v>
      </c>
      <c r="D5436" s="5" t="s">
        <v>15692</v>
      </c>
      <c r="E5436" s="5" t="s">
        <v>89</v>
      </c>
      <c r="F5436" s="5" t="s">
        <v>15693</v>
      </c>
      <c r="G5436" s="5" t="s">
        <v>152</v>
      </c>
      <c r="H5436" s="5" t="s">
        <v>15717</v>
      </c>
      <c r="I5436" s="5" t="s">
        <v>15761</v>
      </c>
      <c r="J5436" s="5" t="s">
        <v>15762</v>
      </c>
      <c r="K5436" s="7" t="str">
        <f ca="1">IFERROR(__xludf.DUMMYFUNCTION("GOOGLETRANSLATE(H5436,""EN"",""ES"")"),"DISPOSITIVOS Y EQUIPOS PARA PREVENCIÓN DE ACCIDENTES Y PARA RESCATE, NO ESPECIFICADOS EN OTRA PARTE")</f>
        <v>DISPOSITIVOS Y EQUIPOS PARA PREVENCIÓN DE ACCIDENTES Y PARA RESCATE, NO ESPECIFICADOS EN OTRA PARTE</v>
      </c>
      <c r="L5436" s="5" t="str">
        <f ca="1">IFERROR(__xludf.DUMMYFUNCTION("GOOGLETRANSLATE(J5436,""EN"",""ES"")"),"Arneses de seguridad")</f>
        <v>Arneses de seguridad</v>
      </c>
      <c r="M5436" s="8" t="s">
        <v>88</v>
      </c>
      <c r="N5436" s="8"/>
    </row>
    <row r="5437" spans="1:14" ht="11.25" customHeight="1">
      <c r="A5437" s="5" t="s">
        <v>15689</v>
      </c>
      <c r="B5437" s="5" t="s">
        <v>15715</v>
      </c>
      <c r="C5437" s="5" t="s">
        <v>15763</v>
      </c>
      <c r="D5437" s="5" t="s">
        <v>15692</v>
      </c>
      <c r="E5437" s="5" t="s">
        <v>89</v>
      </c>
      <c r="F5437" s="5" t="s">
        <v>15693</v>
      </c>
      <c r="G5437" s="5" t="s">
        <v>152</v>
      </c>
      <c r="H5437" s="5" t="s">
        <v>15717</v>
      </c>
      <c r="I5437" s="5" t="s">
        <v>15764</v>
      </c>
      <c r="J5437" s="5" t="s">
        <v>15765</v>
      </c>
      <c r="K5437" s="7" t="str">
        <f ca="1">IFERROR(__xludf.DUMMYFUNCTION("GOOGLETRANSLATE(H5437,""EN"",""ES"")"),"DISPOSITIVOS Y EQUIPOS PARA PREVENCIÓN DE ACCIDENTES Y PARA RESCATE, NO ESPECIFICADOS EN OTRA PARTE")</f>
        <v>DISPOSITIVOS Y EQUIPOS PARA PREVENCIÓN DE ACCIDENTES Y PARA RESCATE, NO ESPECIFICADOS EN OTRA PARTE</v>
      </c>
      <c r="L5437" s="5" t="str">
        <f ca="1">IFERROR(__xludf.DUMMYFUNCTION("GOOGLETRANSLATE(J5437,""EN"",""ES"")"),"Máscaras de gas")</f>
        <v>Máscaras de gas</v>
      </c>
      <c r="M5437" s="8" t="s">
        <v>88</v>
      </c>
      <c r="N5437" s="8"/>
    </row>
    <row r="5438" spans="1:14" ht="11.25" customHeight="1">
      <c r="A5438" s="5" t="s">
        <v>15689</v>
      </c>
      <c r="B5438" s="5" t="s">
        <v>15715</v>
      </c>
      <c r="C5438" s="5" t="s">
        <v>15766</v>
      </c>
      <c r="D5438" s="5" t="s">
        <v>15692</v>
      </c>
      <c r="E5438" s="5" t="s">
        <v>89</v>
      </c>
      <c r="F5438" s="5" t="s">
        <v>15693</v>
      </c>
      <c r="G5438" s="5" t="s">
        <v>152</v>
      </c>
      <c r="H5438" s="5" t="s">
        <v>15717</v>
      </c>
      <c r="I5438" s="5" t="s">
        <v>15767</v>
      </c>
      <c r="J5438" s="5" t="s">
        <v>15768</v>
      </c>
      <c r="K5438" s="7" t="str">
        <f ca="1">IFERROR(__xludf.DUMMYFUNCTION("GOOGLETRANSLATE(H5438,""EN"",""ES"")"),"DISPOSITIVOS Y EQUIPOS PARA PREVENCIÓN DE ACCIDENTES Y PARA RESCATE, NO ESPECIFICADOS EN OTRA PARTE")</f>
        <v>DISPOSITIVOS Y EQUIPOS PARA PREVENCIÓN DE ACCIDENTES Y PARA RESCATE, NO ESPECIFICADOS EN OTRA PARTE</v>
      </c>
      <c r="L5438" s="5" t="str">
        <f ca="1">IFERROR(__xludf.DUMMYFUNCTION("GOOGLETRANSLATE(J5438,""EN"",""ES"")"),"Dispositivos de protección contra los rayos X.")</f>
        <v>Dispositivos de protección contra los rayos X.</v>
      </c>
      <c r="M5438" s="8" t="s">
        <v>88</v>
      </c>
      <c r="N5438" s="8"/>
    </row>
    <row r="5439" spans="1:14" ht="11.25" customHeight="1">
      <c r="A5439" s="5" t="s">
        <v>15689</v>
      </c>
      <c r="B5439" s="5" t="s">
        <v>15715</v>
      </c>
      <c r="C5439" s="5" t="s">
        <v>15769</v>
      </c>
      <c r="D5439" s="5" t="s">
        <v>15692</v>
      </c>
      <c r="E5439" s="5" t="s">
        <v>89</v>
      </c>
      <c r="F5439" s="5" t="s">
        <v>15693</v>
      </c>
      <c r="G5439" s="5" t="s">
        <v>152</v>
      </c>
      <c r="H5439" s="5" t="s">
        <v>15717</v>
      </c>
      <c r="I5439" s="5" t="s">
        <v>15770</v>
      </c>
      <c r="J5439" s="5" t="s">
        <v>15771</v>
      </c>
      <c r="K5439" s="7" t="str">
        <f ca="1">IFERROR(__xludf.DUMMYFUNCTION("GOOGLETRANSLATE(H5439,""EN"",""ES"")"),"DISPOSITIVOS Y EQUIPOS PARA PREVENCIÓN DE ACCIDENTES Y PARA RESCATE, NO ESPECIFICADOS EN OTRA PARTE")</f>
        <v>DISPOSITIVOS Y EQUIPOS PARA PREVENCIÓN DE ACCIDENTES Y PARA RESCATE, NO ESPECIFICADOS EN OTRA PARTE</v>
      </c>
      <c r="L5439" s="5" t="str">
        <f ca="1">IFERROR(__xludf.DUMMYFUNCTION("GOOGLETRANSLATE(J5439,""EN"",""ES"")"),"Bolsas de rescate para transporte de personas.")</f>
        <v>Bolsas de rescate para transporte de personas.</v>
      </c>
      <c r="M5439" s="8" t="s">
        <v>88</v>
      </c>
      <c r="N5439" s="8"/>
    </row>
    <row r="5440" spans="1:14" ht="11.25" customHeight="1">
      <c r="A5440" s="5" t="s">
        <v>15689</v>
      </c>
      <c r="B5440" s="5" t="s">
        <v>15715</v>
      </c>
      <c r="C5440" s="5" t="s">
        <v>15772</v>
      </c>
      <c r="D5440" s="5" t="s">
        <v>15692</v>
      </c>
      <c r="E5440" s="5" t="s">
        <v>89</v>
      </c>
      <c r="F5440" s="5" t="s">
        <v>15693</v>
      </c>
      <c r="G5440" s="5" t="s">
        <v>152</v>
      </c>
      <c r="H5440" s="5" t="s">
        <v>15717</v>
      </c>
      <c r="I5440" s="5" t="s">
        <v>15773</v>
      </c>
      <c r="J5440" s="5" t="s">
        <v>15774</v>
      </c>
      <c r="K5440" s="7" t="str">
        <f ca="1">IFERROR(__xludf.DUMMYFUNCTION("GOOGLETRANSLATE(H5440,""EN"",""ES"")"),"DISPOSITIVOS Y EQUIPOS PARA PREVENCIÓN DE ACCIDENTES Y PARA RESCATE, NO ESPECIFICADOS EN OTRA PARTE")</f>
        <v>DISPOSITIVOS Y EQUIPOS PARA PREVENCIÓN DE ACCIDENTES Y PARA RESCATE, NO ESPECIFICADOS EN OTRA PARTE</v>
      </c>
      <c r="L5440" s="5" t="str">
        <f ca="1">IFERROR(__xludf.DUMMYFUNCTION("GOOGLETRANSLATE(J5440,""EN"",""ES"")"),"Esteras de voladura")</f>
        <v>Esteras de voladura</v>
      </c>
      <c r="M5440" s="8" t="s">
        <v>88</v>
      </c>
      <c r="N5440" s="8"/>
    </row>
    <row r="5441" spans="1:14" ht="11.25" customHeight="1">
      <c r="A5441" s="5" t="s">
        <v>15689</v>
      </c>
      <c r="B5441" s="5" t="s">
        <v>15715</v>
      </c>
      <c r="C5441" s="5" t="s">
        <v>15775</v>
      </c>
      <c r="D5441" s="5" t="s">
        <v>15692</v>
      </c>
      <c r="E5441" s="5" t="s">
        <v>89</v>
      </c>
      <c r="F5441" s="5" t="s">
        <v>15693</v>
      </c>
      <c r="G5441" s="5" t="s">
        <v>152</v>
      </c>
      <c r="H5441" s="5" t="s">
        <v>15717</v>
      </c>
      <c r="I5441" s="5" t="s">
        <v>15776</v>
      </c>
      <c r="J5441" s="5" t="s">
        <v>15777</v>
      </c>
      <c r="K5441" s="7" t="str">
        <f ca="1">IFERROR(__xludf.DUMMYFUNCTION("GOOGLETRANSLATE(H5441,""EN"",""ES"")"),"DISPOSITIVOS Y EQUIPOS PARA PREVENCIÓN DE ACCIDENTES Y PARA RESCATE, NO ESPECIFICADOS EN OTRA PARTE")</f>
        <v>DISPOSITIVOS Y EQUIPOS PARA PREVENCIÓN DE ACCIDENTES Y PARA RESCATE, NO ESPECIFICADOS EN OTRA PARTE</v>
      </c>
      <c r="L5441" s="5" t="str">
        <f ca="1">IFERROR(__xludf.DUMMYFUNCTION("GOOGLETRANSLATE(J5441,""EN"",""ES"")"),"Barreras flotantes para prevenir la contaminación por petróleo")</f>
        <v>Barreras flotantes para prevenir la contaminación por petróleo</v>
      </c>
      <c r="M5441" s="8" t="s">
        <v>88</v>
      </c>
      <c r="N5441" s="8"/>
    </row>
    <row r="5442" spans="1:14" ht="11.25" customHeight="1">
      <c r="A5442" s="5" t="s">
        <v>15689</v>
      </c>
      <c r="B5442" s="5" t="s">
        <v>15715</v>
      </c>
      <c r="C5442" s="5" t="s">
        <v>15775</v>
      </c>
      <c r="D5442" s="5" t="s">
        <v>15692</v>
      </c>
      <c r="E5442" s="5" t="s">
        <v>89</v>
      </c>
      <c r="F5442" s="5" t="s">
        <v>15693</v>
      </c>
      <c r="G5442" s="5" t="s">
        <v>152</v>
      </c>
      <c r="H5442" s="5" t="s">
        <v>15717</v>
      </c>
      <c r="I5442" s="5" t="s">
        <v>152</v>
      </c>
      <c r="J5442" s="5" t="s">
        <v>15778</v>
      </c>
      <c r="K5442" s="7" t="str">
        <f ca="1">IFERROR(__xludf.DUMMYFUNCTION("GOOGLETRANSLATE(H5442,""EN"",""ES"")"),"DISPOSITIVOS Y EQUIPOS PARA PREVENCIÓN DE ACCIDENTES Y PARA RESCATE, NO ESPECIFICADOS EN OTRA PARTE")</f>
        <v>DISPOSITIVOS Y EQUIPOS PARA PREVENCIÓN DE ACCIDENTES Y PARA RESCATE, NO ESPECIFICADOS EN OTRA PARTE</v>
      </c>
      <c r="L5442" s="5" t="str">
        <f ca="1">IFERROR(__xludf.DUMMYFUNCTION("GOOGLETRANSLATE(J5442,""EN"",""ES"")"),"N / A")</f>
        <v>N / A</v>
      </c>
      <c r="M5442" s="8" t="s">
        <v>88</v>
      </c>
      <c r="N5442" s="8"/>
    </row>
    <row r="5443" spans="1:14" ht="11.25" customHeight="1">
      <c r="A5443" s="5" t="s">
        <v>15689</v>
      </c>
      <c r="B5443" s="5" t="s">
        <v>15715</v>
      </c>
      <c r="C5443" s="5" t="s">
        <v>15779</v>
      </c>
      <c r="D5443" s="5" t="s">
        <v>15692</v>
      </c>
      <c r="E5443" s="5" t="s">
        <v>89</v>
      </c>
      <c r="F5443" s="5" t="s">
        <v>15693</v>
      </c>
      <c r="G5443" s="5" t="s">
        <v>152</v>
      </c>
      <c r="H5443" s="5" t="s">
        <v>15717</v>
      </c>
      <c r="I5443" s="5" t="s">
        <v>15780</v>
      </c>
      <c r="J5443" s="5" t="s">
        <v>15781</v>
      </c>
      <c r="K5443" s="7" t="str">
        <f ca="1">IFERROR(__xludf.DUMMYFUNCTION("GOOGLETRANSLATE(H5443,""EN"",""ES"")"),"DISPOSITIVOS Y EQUIPOS PARA PREVENCIÓN DE ACCIDENTES Y PARA RESCATE, NO ESPECIFICADOS EN OTRA PARTE")</f>
        <v>DISPOSITIVOS Y EQUIPOS PARA PREVENCIÓN DE ACCIDENTES Y PARA RESCATE, NO ESPECIFICADOS EN OTRA PARTE</v>
      </c>
      <c r="L5443" s="5" t="str">
        <f ca="1">IFERROR(__xludf.DUMMYFUNCTION("GOOGLETRANSLATE(J5443,""EN"",""ES"")"),"chalecos antibalas")</f>
        <v>chalecos antibalas</v>
      </c>
      <c r="M5443" s="8" t="s">
        <v>88</v>
      </c>
      <c r="N5443" s="8"/>
    </row>
    <row r="5444" spans="1:14" ht="11.25" customHeight="1">
      <c r="A5444" s="5" t="s">
        <v>15689</v>
      </c>
      <c r="B5444" s="5" t="s">
        <v>15715</v>
      </c>
      <c r="C5444" s="5" t="s">
        <v>15782</v>
      </c>
      <c r="D5444" s="5" t="s">
        <v>15692</v>
      </c>
      <c r="E5444" s="5" t="s">
        <v>89</v>
      </c>
      <c r="F5444" s="5" t="s">
        <v>15693</v>
      </c>
      <c r="G5444" s="5" t="s">
        <v>152</v>
      </c>
      <c r="H5444" s="5" t="s">
        <v>15717</v>
      </c>
      <c r="I5444" s="5" t="s">
        <v>15783</v>
      </c>
      <c r="J5444" s="5" t="s">
        <v>15784</v>
      </c>
      <c r="K5444" s="7" t="str">
        <f ca="1">IFERROR(__xludf.DUMMYFUNCTION("GOOGLETRANSLATE(H5444,""EN"",""ES"")"),"DISPOSITIVOS Y EQUIPOS PARA PREVENCIÓN DE ACCIDENTES Y PARA RESCATE, NO ESPECIFICADOS EN OTRA PARTE")</f>
        <v>DISPOSITIVOS Y EQUIPOS PARA PREVENCIÓN DE ACCIDENTES Y PARA RESCATE, NO ESPECIFICADOS EN OTRA PARTE</v>
      </c>
      <c r="L5444" s="5" t="str">
        <f ca="1">IFERROR(__xludf.DUMMYFUNCTION("GOOGLETRANSLATE(J5444,""EN"",""ES"")"),"Robots de rescate")</f>
        <v>Robots de rescate</v>
      </c>
      <c r="M5444" s="8" t="s">
        <v>88</v>
      </c>
      <c r="N5444" s="8"/>
    </row>
    <row r="5445" spans="1:14" ht="11.25" customHeight="1">
      <c r="A5445" s="5" t="s">
        <v>15689</v>
      </c>
      <c r="B5445" s="5" t="s">
        <v>15715</v>
      </c>
      <c r="C5445" s="5" t="s">
        <v>15785</v>
      </c>
      <c r="D5445" s="5" t="s">
        <v>15692</v>
      </c>
      <c r="E5445" s="5" t="s">
        <v>89</v>
      </c>
      <c r="F5445" s="5" t="s">
        <v>15693</v>
      </c>
      <c r="G5445" s="5" t="s">
        <v>152</v>
      </c>
      <c r="H5445" s="5" t="s">
        <v>15717</v>
      </c>
      <c r="I5445" s="5" t="s">
        <v>15786</v>
      </c>
      <c r="J5445" s="5" t="s">
        <v>15787</v>
      </c>
      <c r="K5445" s="7" t="str">
        <f ca="1">IFERROR(__xludf.DUMMYFUNCTION("GOOGLETRANSLATE(H5445,""EN"",""ES"")"),"DISPOSITIVOS Y EQUIPOS PARA PREVENCIÓN DE ACCIDENTES Y PARA RESCATE, NO ESPECIFICADOS EN OTRA PARTE")</f>
        <v>DISPOSITIVOS Y EQUIPOS PARA PREVENCIÓN DE ACCIDENTES Y PARA RESCATE, NO ESPECIFICADOS EN OTRA PARTE</v>
      </c>
      <c r="L5445" s="5" t="str">
        <f ca="1">IFERROR(__xludf.DUMMYFUNCTION("GOOGLETRANSLATE(J5445,""EN"",""ES"")"),"Pernos indicadores táctiles para superficies de carreteras.")</f>
        <v>Pernos indicadores táctiles para superficies de carreteras.</v>
      </c>
      <c r="M5445" s="8" t="s">
        <v>88</v>
      </c>
      <c r="N5445" s="8"/>
    </row>
    <row r="5446" spans="1:14" ht="11.25" customHeight="1">
      <c r="A5446" s="5" t="s">
        <v>15689</v>
      </c>
      <c r="B5446" s="5" t="s">
        <v>15715</v>
      </c>
      <c r="C5446" s="5" t="s">
        <v>15788</v>
      </c>
      <c r="D5446" s="5" t="s">
        <v>15692</v>
      </c>
      <c r="E5446" s="5" t="s">
        <v>89</v>
      </c>
      <c r="F5446" s="5" t="s">
        <v>15693</v>
      </c>
      <c r="G5446" s="5" t="s">
        <v>152</v>
      </c>
      <c r="H5446" s="5" t="s">
        <v>15717</v>
      </c>
      <c r="I5446" s="5" t="s">
        <v>15789</v>
      </c>
      <c r="J5446" s="5" t="s">
        <v>15790</v>
      </c>
      <c r="K5446" s="7" t="str">
        <f ca="1">IFERROR(__xludf.DUMMYFUNCTION("GOOGLETRANSLATE(H5446,""EN"",""ES"")"),"DISPOSITIVOS Y EQUIPOS PARA PREVENCIÓN DE ACCIDENTES Y PARA RESCATE, NO ESPECIFICADOS EN OTRA PARTE")</f>
        <v>DISPOSITIVOS Y EQUIPOS PARA PREVENCIÓN DE ACCIDENTES Y PARA RESCATE, NO ESPECIFICADOS EN OTRA PARTE</v>
      </c>
      <c r="L5446" s="5" t="str">
        <f ca="1">IFERROR(__xludf.DUMMYFUNCTION("GOOGLETRANSLATE(J5446,""EN"",""ES"")"),"Mascarillas desechables")</f>
        <v>Mascarillas desechables</v>
      </c>
      <c r="M5446" s="8" t="s">
        <v>88</v>
      </c>
      <c r="N5446" s="8"/>
    </row>
    <row r="5447" spans="1:14" ht="11.25" customHeight="1">
      <c r="A5447" s="5" t="s">
        <v>15689</v>
      </c>
      <c r="B5447" s="5" t="s">
        <v>15715</v>
      </c>
      <c r="C5447" s="5" t="s">
        <v>15791</v>
      </c>
      <c r="D5447" s="5" t="s">
        <v>15692</v>
      </c>
      <c r="E5447" s="5" t="s">
        <v>89</v>
      </c>
      <c r="F5447" s="5" t="s">
        <v>15693</v>
      </c>
      <c r="G5447" s="5" t="s">
        <v>152</v>
      </c>
      <c r="H5447" s="5" t="s">
        <v>15717</v>
      </c>
      <c r="I5447" s="5" t="s">
        <v>15792</v>
      </c>
      <c r="J5447" s="5" t="s">
        <v>15793</v>
      </c>
      <c r="K5447" s="7" t="str">
        <f ca="1">IFERROR(__xludf.DUMMYFUNCTION("GOOGLETRANSLATE(H5447,""EN"",""ES"")"),"DISPOSITIVOS Y EQUIPOS PARA PREVENCIÓN DE ACCIDENTES Y PARA RESCATE, NO ESPECIFICADOS EN OTRA PARTE")</f>
        <v>DISPOSITIVOS Y EQUIPOS PARA PREVENCIÓN DE ACCIDENTES Y PARA RESCATE, NO ESPECIFICADOS EN OTRA PARTE</v>
      </c>
      <c r="L5447" s="5" t="str">
        <f ca="1">IFERROR(__xludf.DUMMYFUNCTION("GOOGLETRANSLATE(J5447,""EN"",""ES"")"),"Mascarillas faciales para el control de infecciones")</f>
        <v>Mascarillas faciales para el control de infecciones</v>
      </c>
      <c r="M5447" s="8" t="s">
        <v>88</v>
      </c>
      <c r="N5447" s="8"/>
    </row>
    <row r="5448" spans="1:14" ht="11.25" customHeight="1">
      <c r="A5448" s="5" t="s">
        <v>15689</v>
      </c>
      <c r="B5448" s="5" t="s">
        <v>15715</v>
      </c>
      <c r="C5448" s="5" t="s">
        <v>15794</v>
      </c>
      <c r="D5448" s="5" t="s">
        <v>15692</v>
      </c>
      <c r="E5448" s="5" t="s">
        <v>89</v>
      </c>
      <c r="F5448" s="5" t="s">
        <v>15693</v>
      </c>
      <c r="G5448" s="5" t="s">
        <v>152</v>
      </c>
      <c r="H5448" s="5" t="s">
        <v>15717</v>
      </c>
      <c r="I5448" s="5" t="s">
        <v>15795</v>
      </c>
      <c r="J5448" s="5" t="s">
        <v>15796</v>
      </c>
      <c r="K5448" s="7" t="str">
        <f ca="1">IFERROR(__xludf.DUMMYFUNCTION("GOOGLETRANSLATE(H5448,""EN"",""ES"")"),"DISPOSITIVOS Y EQUIPOS PARA PREVENCIÓN DE ACCIDENTES Y PARA RESCATE, NO ESPECIFICADOS EN OTRA PARTE")</f>
        <v>DISPOSITIVOS Y EQUIPOS PARA PREVENCIÓN DE ACCIDENTES Y PARA RESCATE, NO ESPECIFICADOS EN OTRA PARTE</v>
      </c>
      <c r="L5448" s="5" t="str">
        <f ca="1">IFERROR(__xludf.DUMMYFUNCTION("GOOGLETRANSLATE(J5448,""EN"",""ES"")"),"Protectores faciales protectores")</f>
        <v>Protectores faciales protectores</v>
      </c>
      <c r="M5448" s="8" t="s">
        <v>88</v>
      </c>
      <c r="N5448" s="8"/>
    </row>
    <row r="5449" spans="1:14" ht="11.25" customHeight="1">
      <c r="A5449" s="5" t="s">
        <v>15689</v>
      </c>
      <c r="B5449" s="5" t="s">
        <v>15715</v>
      </c>
      <c r="C5449" s="5" t="s">
        <v>15797</v>
      </c>
      <c r="D5449" s="5" t="s">
        <v>15692</v>
      </c>
      <c r="E5449" s="5" t="s">
        <v>89</v>
      </c>
      <c r="F5449" s="5" t="s">
        <v>15693</v>
      </c>
      <c r="G5449" s="5" t="s">
        <v>152</v>
      </c>
      <c r="H5449" s="5" t="s">
        <v>15717</v>
      </c>
      <c r="I5449" s="5" t="s">
        <v>15798</v>
      </c>
      <c r="J5449" s="5" t="s">
        <v>15799</v>
      </c>
      <c r="K5449" s="7" t="str">
        <f ca="1">IFERROR(__xludf.DUMMYFUNCTION("GOOGLETRANSLATE(H5449,""EN"",""ES"")"),"DISPOSITIVOS Y EQUIPOS PARA PREVENCIÓN DE ACCIDENTES Y PARA RESCATE, NO ESPECIFICADOS EN OTRA PARTE")</f>
        <v>DISPOSITIVOS Y EQUIPOS PARA PREVENCIÓN DE ACCIDENTES Y PARA RESCATE, NO ESPECIFICADOS EN OTRA PARTE</v>
      </c>
      <c r="L5449" s="5" t="str">
        <f ca="1">IFERROR(__xludf.DUMMYFUNCTION("GOOGLETRANSLATE(J5449,""EN"",""ES"")"),"Protectores faciales para el control de infecciones.")</f>
        <v>Protectores faciales para el control de infecciones.</v>
      </c>
      <c r="M5449" s="8" t="s">
        <v>88</v>
      </c>
      <c r="N5449" s="8"/>
    </row>
    <row r="5450" spans="1:14" ht="11.25" customHeight="1">
      <c r="A5450" s="5" t="s">
        <v>15689</v>
      </c>
      <c r="B5450" s="5" t="s">
        <v>15800</v>
      </c>
      <c r="C5450" s="5" t="s">
        <v>15801</v>
      </c>
      <c r="D5450" s="5" t="s">
        <v>15692</v>
      </c>
      <c r="E5450" s="5" t="s">
        <v>89</v>
      </c>
      <c r="F5450" s="5" t="s">
        <v>15693</v>
      </c>
      <c r="G5450" s="5" t="s">
        <v>152</v>
      </c>
      <c r="H5450" s="5" t="s">
        <v>330</v>
      </c>
      <c r="I5450" s="5" t="s">
        <v>15802</v>
      </c>
      <c r="J5450" s="5" t="s">
        <v>15803</v>
      </c>
      <c r="K5450" s="7" t="str">
        <f ca="1">IFERROR(__xludf.DUMMYFUNCTION("GOOGLETRANSLATE(H5450,""EN"",""ES"")"),"MISCELÁNEAS")</f>
        <v>MISCELÁNEAS</v>
      </c>
      <c r="L5450" s="5" t="str">
        <f ca="1">IFERROR(__xludf.DUMMYFUNCTION("GOOGLETRANSLATE(J5450,""EN"",""ES"")"),"Puestos de equipos de emergencia")</f>
        <v>Puestos de equipos de emergencia</v>
      </c>
      <c r="M5450" s="8" t="s">
        <v>88</v>
      </c>
      <c r="N5450" s="8"/>
    </row>
    <row r="5451" spans="1:14" ht="11.25" customHeight="1">
      <c r="A5451" s="5" t="s">
        <v>15804</v>
      </c>
      <c r="B5451" s="5" t="s">
        <v>15805</v>
      </c>
      <c r="C5451" s="5" t="s">
        <v>15806</v>
      </c>
      <c r="D5451" s="5" t="s">
        <v>15807</v>
      </c>
      <c r="E5451" s="5" t="s">
        <v>91</v>
      </c>
      <c r="F5451" s="5" t="s">
        <v>15808</v>
      </c>
      <c r="G5451" s="5" t="s">
        <v>15809</v>
      </c>
      <c r="H5451" s="5" t="s">
        <v>15810</v>
      </c>
      <c r="I5451" s="5" t="s">
        <v>15811</v>
      </c>
      <c r="J5451" s="5" t="s">
        <v>15812</v>
      </c>
      <c r="K5451" s="7" t="str">
        <f ca="1">IFERROR(__xludf.DUMMYFUNCTION("GOOGLETRANSLATE(H5451,""EN"",""ES"")"),"ROPA PARA ANIMALES")</f>
        <v>ROPA PARA ANIMALES</v>
      </c>
      <c r="L5451" s="5" t="str">
        <f ca="1">IFERROR(__xludf.DUMMYFUNCTION("GOOGLETRANSLATE(J5451,""EN"",""ES"")"),"botas de caballo")</f>
        <v>botas de caballo</v>
      </c>
      <c r="M5451" s="8" t="s">
        <v>90</v>
      </c>
      <c r="N5451" s="8"/>
    </row>
    <row r="5452" spans="1:14" ht="11.25" customHeight="1">
      <c r="A5452" s="5" t="s">
        <v>15804</v>
      </c>
      <c r="B5452" s="5" t="s">
        <v>15805</v>
      </c>
      <c r="C5452" s="5" t="s">
        <v>15813</v>
      </c>
      <c r="D5452" s="5" t="s">
        <v>15807</v>
      </c>
      <c r="E5452" s="5" t="s">
        <v>91</v>
      </c>
      <c r="F5452" s="5" t="s">
        <v>15808</v>
      </c>
      <c r="G5452" s="5" t="s">
        <v>15809</v>
      </c>
      <c r="H5452" s="5" t="s">
        <v>15810</v>
      </c>
      <c r="I5452" s="5" t="s">
        <v>15814</v>
      </c>
      <c r="J5452" s="5" t="s">
        <v>15815</v>
      </c>
      <c r="K5452" s="7" t="str">
        <f ca="1">IFERROR(__xludf.DUMMYFUNCTION("GOOGLETRANSLATE(H5452,""EN"",""ES"")"),"ROPA PARA ANIMALES")</f>
        <v>ROPA PARA ANIMALES</v>
      </c>
      <c r="L5452" s="5" t="str">
        <f ca="1">IFERROR(__xludf.DUMMYFUNCTION("GOOGLETRANSLATE(J5452,""EN"",""ES"")"),"Patucos para perros")</f>
        <v>Patucos para perros</v>
      </c>
      <c r="M5452" s="8" t="s">
        <v>90</v>
      </c>
      <c r="N5452" s="8"/>
    </row>
    <row r="5453" spans="1:14" ht="11.25" customHeight="1">
      <c r="A5453" s="5" t="s">
        <v>15804</v>
      </c>
      <c r="B5453" s="5" t="s">
        <v>15805</v>
      </c>
      <c r="C5453" s="5" t="s">
        <v>15816</v>
      </c>
      <c r="D5453" s="5" t="s">
        <v>15807</v>
      </c>
      <c r="E5453" s="5" t="s">
        <v>91</v>
      </c>
      <c r="F5453" s="5" t="s">
        <v>15808</v>
      </c>
      <c r="G5453" s="5" t="s">
        <v>15809</v>
      </c>
      <c r="H5453" s="5" t="s">
        <v>15810</v>
      </c>
      <c r="I5453" s="5" t="s">
        <v>15817</v>
      </c>
      <c r="J5453" s="5" t="s">
        <v>15818</v>
      </c>
      <c r="K5453" s="7" t="str">
        <f ca="1">IFERROR(__xludf.DUMMYFUNCTION("GOOGLETRANSLATE(H5453,""EN"",""ES"")"),"ROPA PARA ANIMALES")</f>
        <v>ROPA PARA ANIMALES</v>
      </c>
      <c r="L5453" s="5" t="str">
        <f ca="1">IFERROR(__xludf.DUMMYFUNCTION("GOOGLETRANSLATE(J5453,""EN"",""ES"")"),"Gorros para caballos")</f>
        <v>Gorros para caballos</v>
      </c>
      <c r="M5453" s="8" t="s">
        <v>90</v>
      </c>
      <c r="N5453" s="8"/>
    </row>
    <row r="5454" spans="1:14" ht="11.25" customHeight="1">
      <c r="A5454" s="5" t="s">
        <v>15804</v>
      </c>
      <c r="B5454" s="5" t="s">
        <v>15805</v>
      </c>
      <c r="C5454" s="5" t="s">
        <v>15819</v>
      </c>
      <c r="D5454" s="5" t="s">
        <v>15807</v>
      </c>
      <c r="E5454" s="5" t="s">
        <v>91</v>
      </c>
      <c r="F5454" s="5" t="s">
        <v>15808</v>
      </c>
      <c r="G5454" s="5" t="s">
        <v>15809</v>
      </c>
      <c r="H5454" s="5" t="s">
        <v>15810</v>
      </c>
      <c r="I5454" s="5" t="s">
        <v>15820</v>
      </c>
      <c r="J5454" s="5" t="s">
        <v>15821</v>
      </c>
      <c r="K5454" s="7" t="str">
        <f ca="1">IFERROR(__xludf.DUMMYFUNCTION("GOOGLETRANSLATE(H5454,""EN"",""ES"")"),"ROPA PARA ANIMALES")</f>
        <v>ROPA PARA ANIMALES</v>
      </c>
      <c r="L5454" s="5" t="str">
        <f ca="1">IFERROR(__xludf.DUMMYFUNCTION("GOOGLETRANSLATE(J5454,""EN"",""ES"")"),"Almohadillas para animales")</f>
        <v>Almohadillas para animales</v>
      </c>
      <c r="M5454" s="8" t="s">
        <v>90</v>
      </c>
      <c r="N5454" s="8"/>
    </row>
    <row r="5455" spans="1:14" ht="11.25" customHeight="1">
      <c r="A5455" s="5" t="s">
        <v>15804</v>
      </c>
      <c r="B5455" s="5" t="s">
        <v>15805</v>
      </c>
      <c r="C5455" s="5" t="s">
        <v>15822</v>
      </c>
      <c r="D5455" s="5" t="s">
        <v>15807</v>
      </c>
      <c r="E5455" s="5" t="s">
        <v>91</v>
      </c>
      <c r="F5455" s="5" t="s">
        <v>15808</v>
      </c>
      <c r="G5455" s="5" t="s">
        <v>15809</v>
      </c>
      <c r="H5455" s="5" t="s">
        <v>15810</v>
      </c>
      <c r="I5455" s="5" t="s">
        <v>15823</v>
      </c>
      <c r="J5455" s="5" t="s">
        <v>15824</v>
      </c>
      <c r="K5455" s="7" t="str">
        <f ca="1">IFERROR(__xludf.DUMMYFUNCTION("GOOGLETRANSLATE(H5455,""EN"",""ES"")"),"ROPA PARA ANIMALES")</f>
        <v>ROPA PARA ANIMALES</v>
      </c>
      <c r="L5455" s="5" t="str">
        <f ca="1">IFERROR(__xludf.DUMMYFUNCTION("GOOGLETRANSLATE(J5455,""EN"",""ES"")"),"mantas para animales")</f>
        <v>mantas para animales</v>
      </c>
      <c r="M5455" s="8" t="s">
        <v>90</v>
      </c>
      <c r="N5455" s="8"/>
    </row>
    <row r="5456" spans="1:14" ht="11.25" customHeight="1">
      <c r="A5456" s="5" t="s">
        <v>15804</v>
      </c>
      <c r="B5456" s="5" t="s">
        <v>15805</v>
      </c>
      <c r="C5456" s="5" t="s">
        <v>15825</v>
      </c>
      <c r="D5456" s="5" t="s">
        <v>15807</v>
      </c>
      <c r="E5456" s="5" t="s">
        <v>91</v>
      </c>
      <c r="F5456" s="5" t="s">
        <v>15808</v>
      </c>
      <c r="G5456" s="5" t="s">
        <v>15809</v>
      </c>
      <c r="H5456" s="5" t="s">
        <v>15810</v>
      </c>
      <c r="I5456" s="5" t="s">
        <v>15826</v>
      </c>
      <c r="J5456" s="5" t="s">
        <v>15827</v>
      </c>
      <c r="K5456" s="7" t="str">
        <f ca="1">IFERROR(__xludf.DUMMYFUNCTION("GOOGLETRANSLATE(H5456,""EN"",""ES"")"),"ROPA PARA ANIMALES")</f>
        <v>ROPA PARA ANIMALES</v>
      </c>
      <c r="L5456" s="5" t="str">
        <f ca="1">IFERROR(__xludf.DUMMYFUNCTION("GOOGLETRANSLATE(J5456,""EN"",""ES"")"),"rodilleras para caballos")</f>
        <v>rodilleras para caballos</v>
      </c>
      <c r="M5456" s="8" t="s">
        <v>90</v>
      </c>
      <c r="N5456" s="8"/>
    </row>
    <row r="5457" spans="1:14" ht="11.25" customHeight="1">
      <c r="A5457" s="5" t="s">
        <v>15804</v>
      </c>
      <c r="B5457" s="5" t="s">
        <v>15805</v>
      </c>
      <c r="C5457" s="5" t="s">
        <v>15828</v>
      </c>
      <c r="D5457" s="5" t="s">
        <v>15807</v>
      </c>
      <c r="E5457" s="5" t="s">
        <v>91</v>
      </c>
      <c r="F5457" s="5" t="s">
        <v>15808</v>
      </c>
      <c r="G5457" s="5" t="s">
        <v>15809</v>
      </c>
      <c r="H5457" s="5" t="s">
        <v>15810</v>
      </c>
      <c r="I5457" s="5" t="s">
        <v>15829</v>
      </c>
      <c r="J5457" s="5" t="s">
        <v>15830</v>
      </c>
      <c r="K5457" s="7" t="str">
        <f ca="1">IFERROR(__xludf.DUMMYFUNCTION("GOOGLETRANSLATE(H5457,""EN"",""ES"")"),"ROPA PARA ANIMALES")</f>
        <v>ROPA PARA ANIMALES</v>
      </c>
      <c r="L5457" s="5" t="str">
        <f ca="1">IFERROR(__xludf.DUMMYFUNCTION("GOOGLETRANSLATE(J5457,""EN"",""ES"")"),"Herradura")</f>
        <v>Herradura</v>
      </c>
      <c r="M5457" s="8" t="s">
        <v>90</v>
      </c>
      <c r="N5457" s="8"/>
    </row>
    <row r="5458" spans="1:14" ht="11.25" customHeight="1">
      <c r="A5458" s="5" t="s">
        <v>15804</v>
      </c>
      <c r="B5458" s="5" t="s">
        <v>15805</v>
      </c>
      <c r="C5458" s="5" t="s">
        <v>15831</v>
      </c>
      <c r="D5458" s="5" t="s">
        <v>15807</v>
      </c>
      <c r="E5458" s="5" t="s">
        <v>91</v>
      </c>
      <c r="F5458" s="5" t="s">
        <v>15808</v>
      </c>
      <c r="G5458" s="5" t="s">
        <v>15809</v>
      </c>
      <c r="H5458" s="5" t="s">
        <v>15810</v>
      </c>
      <c r="I5458" s="5" t="s">
        <v>15832</v>
      </c>
      <c r="J5458" s="5" t="s">
        <v>15833</v>
      </c>
      <c r="K5458" s="7" t="str">
        <f ca="1">IFERROR(__xludf.DUMMYFUNCTION("GOOGLETRANSLATE(H5458,""EN"",""ES"")"),"ROPA PARA ANIMALES")</f>
        <v>ROPA PARA ANIMALES</v>
      </c>
      <c r="L5458" s="5" t="str">
        <f ca="1">IFERROR(__xludf.DUMMYFUNCTION("GOOGLETRANSLATE(J5458,""EN"",""ES"")"),"Ropa de animales")</f>
        <v>Ropa de animales</v>
      </c>
      <c r="M5458" s="8" t="s">
        <v>90</v>
      </c>
      <c r="N5458" s="8"/>
    </row>
    <row r="5459" spans="1:14" ht="11.25" customHeight="1">
      <c r="A5459" s="5" t="s">
        <v>15804</v>
      </c>
      <c r="B5459" s="5" t="s">
        <v>15805</v>
      </c>
      <c r="C5459" s="5" t="s">
        <v>15834</v>
      </c>
      <c r="D5459" s="5" t="s">
        <v>15807</v>
      </c>
      <c r="E5459" s="5" t="s">
        <v>91</v>
      </c>
      <c r="F5459" s="5" t="s">
        <v>15808</v>
      </c>
      <c r="G5459" s="5" t="s">
        <v>15809</v>
      </c>
      <c r="H5459" s="5" t="s">
        <v>15810</v>
      </c>
      <c r="I5459" s="5" t="s">
        <v>15835</v>
      </c>
      <c r="J5459" s="5" t="s">
        <v>15836</v>
      </c>
      <c r="K5459" s="7" t="str">
        <f ca="1">IFERROR(__xludf.DUMMYFUNCTION("GOOGLETRANSLATE(H5459,""EN"",""ES"")"),"ROPA PARA ANIMALES")</f>
        <v>ROPA PARA ANIMALES</v>
      </c>
      <c r="L5459" s="5" t="str">
        <f ca="1">IFERROR(__xludf.DUMMYFUNCTION("GOOGLETRANSLATE(J5459,""EN"",""ES"")"),"polainas de caballo")</f>
        <v>polainas de caballo</v>
      </c>
      <c r="M5459" s="8" t="s">
        <v>90</v>
      </c>
      <c r="N5459" s="8"/>
    </row>
    <row r="5460" spans="1:14" ht="11.25" customHeight="1">
      <c r="A5460" s="5" t="s">
        <v>15804</v>
      </c>
      <c r="B5460" s="5" t="s">
        <v>15837</v>
      </c>
      <c r="C5460" s="5" t="s">
        <v>15838</v>
      </c>
      <c r="D5460" s="5" t="s">
        <v>15807</v>
      </c>
      <c r="E5460" s="5" t="s">
        <v>91</v>
      </c>
      <c r="F5460" s="5" t="s">
        <v>15808</v>
      </c>
      <c r="G5460" s="5" t="s">
        <v>15809</v>
      </c>
      <c r="H5460" s="5" t="s">
        <v>15839</v>
      </c>
      <c r="I5460" s="5" t="s">
        <v>15840</v>
      </c>
      <c r="J5460" s="5" t="s">
        <v>15840</v>
      </c>
      <c r="K5460" s="7" t="str">
        <f ca="1">IFERROR(__xludf.DUMMYFUNCTION("GOOGLETRANSLATE(H5460,""EN"",""ES"")"),"Corrales, jaulas, perreras y refugios similares.")</f>
        <v>Corrales, jaulas, perreras y refugios similares.</v>
      </c>
      <c r="L5460" s="5" t="str">
        <f ca="1">IFERROR(__xludf.DUMMYFUNCTION("GOOGLETRANSLATE(J5460,""EN"",""ES"")"),"Acuarios")</f>
        <v>Acuarios</v>
      </c>
      <c r="M5460" s="8" t="s">
        <v>90</v>
      </c>
      <c r="N5460" s="8"/>
    </row>
    <row r="5461" spans="1:14" ht="11.25" customHeight="1">
      <c r="A5461" s="5" t="s">
        <v>15804</v>
      </c>
      <c r="B5461" s="5" t="s">
        <v>15837</v>
      </c>
      <c r="C5461" s="5" t="s">
        <v>15841</v>
      </c>
      <c r="D5461" s="5" t="s">
        <v>15807</v>
      </c>
      <c r="E5461" s="5" t="s">
        <v>91</v>
      </c>
      <c r="F5461" s="5" t="s">
        <v>15808</v>
      </c>
      <c r="G5461" s="5" t="s">
        <v>15809</v>
      </c>
      <c r="H5461" s="5" t="s">
        <v>15839</v>
      </c>
      <c r="I5461" s="5" t="s">
        <v>15842</v>
      </c>
      <c r="J5461" s="5" t="s">
        <v>15843</v>
      </c>
      <c r="K5461" s="7" t="str">
        <f ca="1">IFERROR(__xludf.DUMMYFUNCTION("GOOGLETRANSLATE(H5461,""EN"",""ES"")"),"Corrales, jaulas, perreras y refugios similares.")</f>
        <v>Corrales, jaulas, perreras y refugios similares.</v>
      </c>
      <c r="L5461" s="5" t="str">
        <f ca="1">IFERROR(__xludf.DUMMYFUNCTION("GOOGLETRANSLATE(J5461,""EN"",""ES"")"),"Marcos-trampa para abejas reinas")</f>
        <v>Marcos-trampa para abejas reinas</v>
      </c>
      <c r="M5461" s="8" t="s">
        <v>90</v>
      </c>
      <c r="N5461" s="8"/>
    </row>
    <row r="5462" spans="1:14" ht="11.25" customHeight="1">
      <c r="A5462" s="5" t="s">
        <v>15804</v>
      </c>
      <c r="B5462" s="5" t="s">
        <v>15837</v>
      </c>
      <c r="C5462" s="5" t="s">
        <v>15844</v>
      </c>
      <c r="D5462" s="5" t="s">
        <v>15807</v>
      </c>
      <c r="E5462" s="5" t="s">
        <v>91</v>
      </c>
      <c r="F5462" s="5" t="s">
        <v>15808</v>
      </c>
      <c r="G5462" s="5" t="s">
        <v>15809</v>
      </c>
      <c r="H5462" s="5" t="s">
        <v>15839</v>
      </c>
      <c r="I5462" s="5" t="s">
        <v>15845</v>
      </c>
      <c r="J5462" s="5" t="s">
        <v>15846</v>
      </c>
      <c r="K5462" s="7" t="str">
        <f ca="1">IFERROR(__xludf.DUMMYFUNCTION("GOOGLETRANSLATE(H5462,""EN"",""ES"")"),"Corrales, jaulas, perreras y refugios similares.")</f>
        <v>Corrales, jaulas, perreras y refugios similares.</v>
      </c>
      <c r="L5462" s="5" t="str">
        <f ca="1">IFERROR(__xludf.DUMMYFUNCTION("GOOGLETRANSLATE(J5462,""EN"",""ES"")"),"Jaulas para animales")</f>
        <v>Jaulas para animales</v>
      </c>
      <c r="M5462" s="8" t="s">
        <v>90</v>
      </c>
      <c r="N5462" s="8"/>
    </row>
    <row r="5463" spans="1:14" ht="11.25" customHeight="1">
      <c r="A5463" s="5" t="s">
        <v>15804</v>
      </c>
      <c r="B5463" s="5" t="s">
        <v>15837</v>
      </c>
      <c r="C5463" s="5" t="s">
        <v>15847</v>
      </c>
      <c r="D5463" s="5" t="s">
        <v>15807</v>
      </c>
      <c r="E5463" s="5" t="s">
        <v>91</v>
      </c>
      <c r="F5463" s="5" t="s">
        <v>15808</v>
      </c>
      <c r="G5463" s="5" t="s">
        <v>15809</v>
      </c>
      <c r="H5463" s="5" t="s">
        <v>15839</v>
      </c>
      <c r="I5463" s="5" t="s">
        <v>15848</v>
      </c>
      <c r="J5463" s="5" t="s">
        <v>15849</v>
      </c>
      <c r="K5463" s="7" t="str">
        <f ca="1">IFERROR(__xludf.DUMMYFUNCTION("GOOGLETRANSLATE(H5463,""EN"",""ES"")"),"Corrales, jaulas, perreras y refugios similares.")</f>
        <v>Corrales, jaulas, perreras y refugios similares.</v>
      </c>
      <c r="L5463" s="5" t="str">
        <f ca="1">IFERROR(__xludf.DUMMYFUNCTION("GOOGLETRANSLATE(J5463,""EN"",""ES"")"),"conejeras")</f>
        <v>conejeras</v>
      </c>
      <c r="M5463" s="8" t="s">
        <v>90</v>
      </c>
      <c r="N5463" s="8"/>
    </row>
    <row r="5464" spans="1:14" ht="11.25" customHeight="1">
      <c r="A5464" s="5" t="s">
        <v>15804</v>
      </c>
      <c r="B5464" s="5" t="s">
        <v>15837</v>
      </c>
      <c r="C5464" s="5" t="s">
        <v>15850</v>
      </c>
      <c r="D5464" s="5" t="s">
        <v>15807</v>
      </c>
      <c r="E5464" s="5" t="s">
        <v>91</v>
      </c>
      <c r="F5464" s="5" t="s">
        <v>15808</v>
      </c>
      <c r="G5464" s="5" t="s">
        <v>15809</v>
      </c>
      <c r="H5464" s="5" t="s">
        <v>15839</v>
      </c>
      <c r="I5464" s="5" t="s">
        <v>15851</v>
      </c>
      <c r="J5464" s="5" t="s">
        <v>15852</v>
      </c>
      <c r="K5464" s="7" t="str">
        <f ca="1">IFERROR(__xludf.DUMMYFUNCTION("GOOGLETRANSLATE(H5464,""EN"",""ES"")"),"Corrales, jaulas, perreras y refugios similares.")</f>
        <v>Corrales, jaulas, perreras y refugios similares.</v>
      </c>
      <c r="L5464" s="5" t="str">
        <f ca="1">IFERROR(__xludf.DUMMYFUNCTION("GOOGLETRANSLATE(J5464,""EN"",""ES"")"),"Dispositivos de confinamiento de aves")</f>
        <v>Dispositivos de confinamiento de aves</v>
      </c>
      <c r="M5464" s="8" t="s">
        <v>90</v>
      </c>
      <c r="N5464" s="8"/>
    </row>
    <row r="5465" spans="1:14" ht="11.25" customHeight="1">
      <c r="A5465" s="5" t="s">
        <v>15804</v>
      </c>
      <c r="B5465" s="5" t="s">
        <v>15837</v>
      </c>
      <c r="C5465" s="5" t="s">
        <v>15853</v>
      </c>
      <c r="D5465" s="5" t="s">
        <v>15807</v>
      </c>
      <c r="E5465" s="5" t="s">
        <v>91</v>
      </c>
      <c r="F5465" s="5" t="s">
        <v>15808</v>
      </c>
      <c r="G5465" s="5" t="s">
        <v>15809</v>
      </c>
      <c r="H5465" s="5" t="s">
        <v>15839</v>
      </c>
      <c r="I5465" s="5" t="s">
        <v>15854</v>
      </c>
      <c r="J5465" s="5" t="s">
        <v>15855</v>
      </c>
      <c r="K5465" s="7" t="str">
        <f ca="1">IFERROR(__xludf.DUMMYFUNCTION("GOOGLETRANSLATE(H5465,""EN"",""ES"")"),"Corrales, jaulas, perreras y refugios similares.")</f>
        <v>Corrales, jaulas, perreras y refugios similares.</v>
      </c>
      <c r="L5465" s="5" t="str">
        <f ca="1">IFERROR(__xludf.DUMMYFUNCTION("GOOGLETRANSLATE(J5465,""EN"",""ES"")"),"corrales para animales")</f>
        <v>corrales para animales</v>
      </c>
      <c r="M5465" s="8" t="s">
        <v>90</v>
      </c>
      <c r="N5465" s="8"/>
    </row>
    <row r="5466" spans="1:14" ht="11.25" customHeight="1">
      <c r="A5466" s="5" t="s">
        <v>15804</v>
      </c>
      <c r="B5466" s="5" t="s">
        <v>15837</v>
      </c>
      <c r="C5466" s="5" t="s">
        <v>15856</v>
      </c>
      <c r="D5466" s="5" t="s">
        <v>15807</v>
      </c>
      <c r="E5466" s="5" t="s">
        <v>91</v>
      </c>
      <c r="F5466" s="5" t="s">
        <v>15808</v>
      </c>
      <c r="G5466" s="5" t="s">
        <v>15809</v>
      </c>
      <c r="H5466" s="5" t="s">
        <v>15839</v>
      </c>
      <c r="I5466" s="5" t="s">
        <v>15857</v>
      </c>
      <c r="J5466" s="5" t="s">
        <v>15858</v>
      </c>
      <c r="K5466" s="7" t="str">
        <f ca="1">IFERROR(__xludf.DUMMYFUNCTION("GOOGLETRANSLATE(H5466,""EN"",""ES"")"),"Corrales, jaulas, perreras y refugios similares.")</f>
        <v>Corrales, jaulas, perreras y refugios similares.</v>
      </c>
      <c r="L5466" s="5" t="str">
        <f ca="1">IFERROR(__xludf.DUMMYFUNCTION("GOOGLETRANSLATE(J5466,""EN"",""ES"")"),"colmenares")</f>
        <v>colmenares</v>
      </c>
      <c r="M5466" s="8" t="s">
        <v>90</v>
      </c>
      <c r="N5466" s="8"/>
    </row>
    <row r="5467" spans="1:14" ht="11.25" customHeight="1">
      <c r="A5467" s="5" t="s">
        <v>15804</v>
      </c>
      <c r="B5467" s="5" t="s">
        <v>15837</v>
      </c>
      <c r="C5467" s="5" t="s">
        <v>15859</v>
      </c>
      <c r="D5467" s="5" t="s">
        <v>15807</v>
      </c>
      <c r="E5467" s="5" t="s">
        <v>91</v>
      </c>
      <c r="F5467" s="5" t="s">
        <v>15808</v>
      </c>
      <c r="G5467" s="5" t="s">
        <v>15809</v>
      </c>
      <c r="H5467" s="5" t="s">
        <v>15839</v>
      </c>
      <c r="I5467" s="5" t="s">
        <v>15860</v>
      </c>
      <c r="J5467" s="5" t="s">
        <v>15861</v>
      </c>
      <c r="K5467" s="7" t="str">
        <f ca="1">IFERROR(__xludf.DUMMYFUNCTION("GOOGLETRANSLATE(H5467,""EN"",""ES"")"),"Corrales, jaulas, perreras y refugios similares.")</f>
        <v>Corrales, jaulas, perreras y refugios similares.</v>
      </c>
      <c r="L5467" s="5" t="str">
        <f ca="1">IFERROR(__xludf.DUMMYFUNCTION("GOOGLETRANSLATE(J5467,""EN"",""ES"")"),"colmenas")</f>
        <v>colmenas</v>
      </c>
      <c r="M5467" s="8" t="s">
        <v>90</v>
      </c>
      <c r="N5467" s="8"/>
    </row>
    <row r="5468" spans="1:14" ht="11.25" customHeight="1">
      <c r="A5468" s="5" t="s">
        <v>15804</v>
      </c>
      <c r="B5468" s="5" t="s">
        <v>15837</v>
      </c>
      <c r="C5468" s="5" t="s">
        <v>15862</v>
      </c>
      <c r="D5468" s="5" t="s">
        <v>15807</v>
      </c>
      <c r="E5468" s="5" t="s">
        <v>91</v>
      </c>
      <c r="F5468" s="5" t="s">
        <v>15808</v>
      </c>
      <c r="G5468" s="5" t="s">
        <v>15809</v>
      </c>
      <c r="H5468" s="5" t="s">
        <v>15839</v>
      </c>
      <c r="I5468" s="5" t="s">
        <v>15863</v>
      </c>
      <c r="J5468" s="5" t="s">
        <v>15863</v>
      </c>
      <c r="K5468" s="7" t="str">
        <f ca="1">IFERROR(__xludf.DUMMYFUNCTION("GOOGLETRANSLATE(H5468,""EN"",""ES"")"),"Corrales, jaulas, perreras y refugios similares.")</f>
        <v>Corrales, jaulas, perreras y refugios similares.</v>
      </c>
      <c r="L5468" s="5" t="str">
        <f ca="1">IFERROR(__xludf.DUMMYFUNCTION("GOOGLETRANSLATE(J5468,""EN"",""ES"")"),"Terrarios")</f>
        <v>Terrarios</v>
      </c>
      <c r="M5468" s="8" t="s">
        <v>90</v>
      </c>
      <c r="N5468" s="8"/>
    </row>
    <row r="5469" spans="1:14" ht="11.25" customHeight="1">
      <c r="A5469" s="5" t="s">
        <v>15804</v>
      </c>
      <c r="B5469" s="5" t="s">
        <v>15837</v>
      </c>
      <c r="C5469" s="5" t="s">
        <v>15864</v>
      </c>
      <c r="D5469" s="5" t="s">
        <v>15807</v>
      </c>
      <c r="E5469" s="5" t="s">
        <v>91</v>
      </c>
      <c r="F5469" s="5" t="s">
        <v>15808</v>
      </c>
      <c r="G5469" s="5" t="s">
        <v>15809</v>
      </c>
      <c r="H5469" s="5" t="s">
        <v>15839</v>
      </c>
      <c r="I5469" s="5" t="s">
        <v>15865</v>
      </c>
      <c r="J5469" s="5" t="s">
        <v>15866</v>
      </c>
      <c r="K5469" s="7" t="str">
        <f ca="1">IFERROR(__xludf.DUMMYFUNCTION("GOOGLETRANSLATE(H5469,""EN"",""ES"")"),"Corrales, jaulas, perreras y refugios similares.")</f>
        <v>Corrales, jaulas, perreras y refugios similares.</v>
      </c>
      <c r="L5469" s="5" t="str">
        <f ca="1">IFERROR(__xludf.DUMMYFUNCTION("GOOGLETRANSLATE(J5469,""EN"",""ES"")"),"Aviarios")</f>
        <v>Aviarios</v>
      </c>
      <c r="M5469" s="8" t="s">
        <v>90</v>
      </c>
      <c r="N5469" s="8"/>
    </row>
    <row r="5470" spans="1:14" ht="11.25" customHeight="1">
      <c r="A5470" s="5" t="s">
        <v>15804</v>
      </c>
      <c r="B5470" s="5" t="s">
        <v>15837</v>
      </c>
      <c r="C5470" s="5" t="s">
        <v>15867</v>
      </c>
      <c r="D5470" s="5" t="s">
        <v>15807</v>
      </c>
      <c r="E5470" s="5" t="s">
        <v>91</v>
      </c>
      <c r="F5470" s="5" t="s">
        <v>15808</v>
      </c>
      <c r="G5470" s="5" t="s">
        <v>15809</v>
      </c>
      <c r="H5470" s="5" t="s">
        <v>15839</v>
      </c>
      <c r="I5470" s="5" t="s">
        <v>15868</v>
      </c>
      <c r="J5470" s="5" t="s">
        <v>15869</v>
      </c>
      <c r="K5470" s="7" t="str">
        <f ca="1">IFERROR(__xludf.DUMMYFUNCTION("GOOGLETRANSLATE(H5470,""EN"",""ES"")"),"Corrales, jaulas, perreras y refugios similares.")</f>
        <v>Corrales, jaulas, perreras y refugios similares.</v>
      </c>
      <c r="L5470" s="5" t="str">
        <f ca="1">IFERROR(__xludf.DUMMYFUNCTION("GOOGLETRANSLATE(J5470,""EN"",""ES"")"),"Casas para pájaros")</f>
        <v>Casas para pájaros</v>
      </c>
      <c r="M5470" s="8" t="s">
        <v>90</v>
      </c>
      <c r="N5470" s="8"/>
    </row>
    <row r="5471" spans="1:14" ht="11.25" customHeight="1">
      <c r="A5471" s="5" t="s">
        <v>15804</v>
      </c>
      <c r="B5471" s="5" t="s">
        <v>15837</v>
      </c>
      <c r="C5471" s="5" t="s">
        <v>15870</v>
      </c>
      <c r="D5471" s="5" t="s">
        <v>15807</v>
      </c>
      <c r="E5471" s="5" t="s">
        <v>91</v>
      </c>
      <c r="F5471" s="5" t="s">
        <v>15808</v>
      </c>
      <c r="G5471" s="5" t="s">
        <v>15809</v>
      </c>
      <c r="H5471" s="5" t="s">
        <v>15839</v>
      </c>
      <c r="I5471" s="5" t="s">
        <v>15871</v>
      </c>
      <c r="J5471" s="5" t="s">
        <v>15872</v>
      </c>
      <c r="K5471" s="7" t="str">
        <f ca="1">IFERROR(__xludf.DUMMYFUNCTION("GOOGLETRANSLATE(H5471,""EN"",""ES"")"),"Corrales, jaulas, perreras y refugios similares.")</f>
        <v>Corrales, jaulas, perreras y refugios similares.</v>
      </c>
      <c r="L5471" s="5" t="str">
        <f ca="1">IFERROR(__xludf.DUMMYFUNCTION("GOOGLETRANSLATE(J5471,""EN"",""ES"")"),"Receptáculos para la cría de abejas reinas.")</f>
        <v>Receptáculos para la cría de abejas reinas.</v>
      </c>
      <c r="M5471" s="8" t="s">
        <v>90</v>
      </c>
      <c r="N5471" s="8"/>
    </row>
    <row r="5472" spans="1:14" ht="11.25" customHeight="1">
      <c r="A5472" s="5" t="s">
        <v>15804</v>
      </c>
      <c r="B5472" s="5" t="s">
        <v>15837</v>
      </c>
      <c r="C5472" s="5" t="s">
        <v>15873</v>
      </c>
      <c r="D5472" s="5" t="s">
        <v>15807</v>
      </c>
      <c r="E5472" s="5" t="s">
        <v>91</v>
      </c>
      <c r="F5472" s="5" t="s">
        <v>15808</v>
      </c>
      <c r="G5472" s="5" t="s">
        <v>15809</v>
      </c>
      <c r="H5472" s="5" t="s">
        <v>15839</v>
      </c>
      <c r="I5472" s="5" t="s">
        <v>15874</v>
      </c>
      <c r="J5472" s="5" t="s">
        <v>15875</v>
      </c>
      <c r="K5472" s="7" t="str">
        <f ca="1">IFERROR(__xludf.DUMMYFUNCTION("GOOGLETRANSLATE(H5472,""EN"",""ES"")"),"Corrales, jaulas, perreras y refugios similares.")</f>
        <v>Corrales, jaulas, perreras y refugios similares.</v>
      </c>
      <c r="L5472" s="5" t="str">
        <f ca="1">IFERROR(__xludf.DUMMYFUNCTION("GOOGLETRANSLATE(J5472,""EN"",""ES"")"),"casetas para perros")</f>
        <v>casetas para perros</v>
      </c>
      <c r="M5472" s="8" t="s">
        <v>90</v>
      </c>
      <c r="N5472" s="8"/>
    </row>
    <row r="5473" spans="1:14" ht="11.25" customHeight="1">
      <c r="A5473" s="5" t="s">
        <v>15804</v>
      </c>
      <c r="B5473" s="5" t="s">
        <v>15837</v>
      </c>
      <c r="C5473" s="5" t="s">
        <v>15876</v>
      </c>
      <c r="D5473" s="5" t="s">
        <v>15807</v>
      </c>
      <c r="E5473" s="5" t="s">
        <v>91</v>
      </c>
      <c r="F5473" s="5" t="s">
        <v>15808</v>
      </c>
      <c r="G5473" s="5" t="s">
        <v>15809</v>
      </c>
      <c r="H5473" s="5" t="s">
        <v>15839</v>
      </c>
      <c r="I5473" s="5" t="s">
        <v>15877</v>
      </c>
      <c r="J5473" s="5" t="s">
        <v>15878</v>
      </c>
      <c r="K5473" s="7" t="str">
        <f ca="1">IFERROR(__xludf.DUMMYFUNCTION("GOOGLETRANSLATE(H5473,""EN"",""ES"")"),"Corrales, jaulas, perreras y refugios similares.")</f>
        <v>Corrales, jaulas, perreras y refugios similares.</v>
      </c>
      <c r="L5473" s="5" t="str">
        <f ca="1">IFERROR(__xludf.DUMMYFUNCTION("GOOGLETRANSLATE(J5473,""EN"",""ES"")"),"peceras")</f>
        <v>peceras</v>
      </c>
      <c r="M5473" s="8" t="s">
        <v>90</v>
      </c>
      <c r="N5473" s="8"/>
    </row>
    <row r="5474" spans="1:14" ht="11.25" customHeight="1">
      <c r="A5474" s="5" t="s">
        <v>15804</v>
      </c>
      <c r="B5474" s="5" t="s">
        <v>15837</v>
      </c>
      <c r="C5474" s="5" t="s">
        <v>15879</v>
      </c>
      <c r="D5474" s="5" t="s">
        <v>15807</v>
      </c>
      <c r="E5474" s="5" t="s">
        <v>91</v>
      </c>
      <c r="F5474" s="5" t="s">
        <v>15808</v>
      </c>
      <c r="G5474" s="5" t="s">
        <v>15809</v>
      </c>
      <c r="H5474" s="5" t="s">
        <v>15839</v>
      </c>
      <c r="I5474" s="5" t="s">
        <v>15880</v>
      </c>
      <c r="J5474" s="5" t="s">
        <v>15881</v>
      </c>
      <c r="K5474" s="7" t="str">
        <f ca="1">IFERROR(__xludf.DUMMYFUNCTION("GOOGLETRANSLATE(H5474,""EN"",""ES"")"),"Corrales, jaulas, perreras y refugios similares.")</f>
        <v>Corrales, jaulas, perreras y refugios similares.</v>
      </c>
      <c r="L5474" s="5" t="str">
        <f ca="1">IFERROR(__xludf.DUMMYFUNCTION("GOOGLETRANSLATE(J5474,""EN"",""ES"")"),"Jaulas de pájaros")</f>
        <v>Jaulas de pájaros</v>
      </c>
      <c r="M5474" s="8" t="s">
        <v>90</v>
      </c>
      <c r="N5474" s="8"/>
    </row>
    <row r="5475" spans="1:14" ht="11.25" customHeight="1">
      <c r="A5475" s="5" t="s">
        <v>15804</v>
      </c>
      <c r="B5475" s="5" t="s">
        <v>15837</v>
      </c>
      <c r="C5475" s="5" t="s">
        <v>15882</v>
      </c>
      <c r="D5475" s="5" t="s">
        <v>15807</v>
      </c>
      <c r="E5475" s="5" t="s">
        <v>91</v>
      </c>
      <c r="F5475" s="5" t="s">
        <v>15808</v>
      </c>
      <c r="G5475" s="5" t="s">
        <v>15809</v>
      </c>
      <c r="H5475" s="5" t="s">
        <v>15839</v>
      </c>
      <c r="I5475" s="5" t="s">
        <v>15883</v>
      </c>
      <c r="J5475" s="5" t="s">
        <v>15884</v>
      </c>
      <c r="K5475" s="7" t="str">
        <f ca="1">IFERROR(__xludf.DUMMYFUNCTION("GOOGLETRANSLATE(H5475,""EN"",""ES"")"),"Corrales, jaulas, perreras y refugios similares.")</f>
        <v>Corrales, jaulas, perreras y refugios similares.</v>
      </c>
      <c r="L5475" s="5" t="str">
        <f ca="1">IFERROR(__xludf.DUMMYFUNCTION("GOOGLETRANSLATE(J5475,""EN"",""ES"")"),"Contenedores de transporte para animales.")</f>
        <v>Contenedores de transporte para animales.</v>
      </c>
      <c r="M5475" s="8" t="s">
        <v>90</v>
      </c>
      <c r="N5475" s="8"/>
    </row>
    <row r="5476" spans="1:14" ht="11.25" customHeight="1">
      <c r="A5476" s="5" t="s">
        <v>15804</v>
      </c>
      <c r="B5476" s="5" t="s">
        <v>15837</v>
      </c>
      <c r="C5476" s="5" t="s">
        <v>15885</v>
      </c>
      <c r="D5476" s="5" t="s">
        <v>15807</v>
      </c>
      <c r="E5476" s="5" t="s">
        <v>91</v>
      </c>
      <c r="F5476" s="5" t="s">
        <v>15808</v>
      </c>
      <c r="G5476" s="5" t="s">
        <v>15809</v>
      </c>
      <c r="H5476" s="5" t="s">
        <v>15839</v>
      </c>
      <c r="I5476" s="5" t="s">
        <v>15886</v>
      </c>
      <c r="J5476" s="5" t="s">
        <v>15887</v>
      </c>
      <c r="K5476" s="7" t="str">
        <f ca="1">IFERROR(__xludf.DUMMYFUNCTION("GOOGLETRANSLATE(H5476,""EN"",""ES"")"),"Corrales, jaulas, perreras y refugios similares.")</f>
        <v>Corrales, jaulas, perreras y refugios similares.</v>
      </c>
      <c r="L5476" s="5" t="str">
        <f ca="1">IFERROR(__xludf.DUMMYFUNCTION("GOOGLETRANSLATE(J5476,""EN"",""ES"")"),"Puertas para mascotas")</f>
        <v>Puertas para mascotas</v>
      </c>
      <c r="M5476" s="8" t="s">
        <v>90</v>
      </c>
      <c r="N5476" s="8"/>
    </row>
    <row r="5477" spans="1:14" ht="11.25" customHeight="1">
      <c r="A5477" s="5" t="s">
        <v>15804</v>
      </c>
      <c r="B5477" s="5" t="s">
        <v>15888</v>
      </c>
      <c r="C5477" s="5" t="s">
        <v>15889</v>
      </c>
      <c r="D5477" s="5" t="s">
        <v>15807</v>
      </c>
      <c r="E5477" s="5" t="s">
        <v>91</v>
      </c>
      <c r="F5477" s="5" t="s">
        <v>15808</v>
      </c>
      <c r="G5477" s="5" t="s">
        <v>15809</v>
      </c>
      <c r="H5477" s="5" t="s">
        <v>15890</v>
      </c>
      <c r="I5477" s="5" t="s">
        <v>15891</v>
      </c>
      <c r="J5477" s="5" t="s">
        <v>15892</v>
      </c>
      <c r="K5477" s="7" t="str">
        <f ca="1">IFERROR(__xludf.DUMMYFUNCTION("GOOGLETRANSLATE(H5477,""EN"",""ES"")"),"COMEDEROS Y BEBEDEROS")</f>
        <v>COMEDEROS Y BEBEDEROS</v>
      </c>
      <c r="L5477" s="5" t="str">
        <f ca="1">IFERROR(__xludf.DUMMYFUNCTION("GOOGLETRANSLATE(J5477,""EN"",""ES"")"),"bebederos")</f>
        <v>bebederos</v>
      </c>
      <c r="M5477" s="8" t="s">
        <v>90</v>
      </c>
      <c r="N5477" s="8"/>
    </row>
    <row r="5478" spans="1:14" ht="11.25" customHeight="1">
      <c r="A5478" s="5" t="s">
        <v>15804</v>
      </c>
      <c r="B5478" s="5" t="s">
        <v>15888</v>
      </c>
      <c r="C5478" s="5" t="s">
        <v>15893</v>
      </c>
      <c r="D5478" s="5" t="s">
        <v>15807</v>
      </c>
      <c r="E5478" s="5" t="s">
        <v>91</v>
      </c>
      <c r="F5478" s="5" t="s">
        <v>15808</v>
      </c>
      <c r="G5478" s="5" t="s">
        <v>15809</v>
      </c>
      <c r="H5478" s="5" t="s">
        <v>15890</v>
      </c>
      <c r="I5478" s="5" t="s">
        <v>15894</v>
      </c>
      <c r="J5478" s="5" t="s">
        <v>15895</v>
      </c>
      <c r="K5478" s="7" t="str">
        <f ca="1">IFERROR(__xludf.DUMMYFUNCTION("GOOGLETRANSLATE(H5478,""EN"",""ES"")"),"COMEDEROS Y BEBEDEROS")</f>
        <v>COMEDEROS Y BEBEDEROS</v>
      </c>
      <c r="L5478" s="5" t="str">
        <f ca="1">IFERROR(__xludf.DUMMYFUNCTION("GOOGLETRANSLATE(J5478,""EN"",""ES"")"),"Comederos para ganado")</f>
        <v>Comederos para ganado</v>
      </c>
      <c r="M5478" s="8" t="s">
        <v>90</v>
      </c>
      <c r="N5478" s="8"/>
    </row>
    <row r="5479" spans="1:14" ht="11.25" customHeight="1">
      <c r="A5479" s="5" t="s">
        <v>15804</v>
      </c>
      <c r="B5479" s="5" t="s">
        <v>15888</v>
      </c>
      <c r="C5479" s="5" t="s">
        <v>15896</v>
      </c>
      <c r="D5479" s="5" t="s">
        <v>15807</v>
      </c>
      <c r="E5479" s="5" t="s">
        <v>91</v>
      </c>
      <c r="F5479" s="5" t="s">
        <v>15808</v>
      </c>
      <c r="G5479" s="5" t="s">
        <v>15809</v>
      </c>
      <c r="H5479" s="5" t="s">
        <v>15890</v>
      </c>
      <c r="I5479" s="5" t="s">
        <v>15897</v>
      </c>
      <c r="J5479" s="5" t="s">
        <v>15898</v>
      </c>
      <c r="K5479" s="7" t="str">
        <f ca="1">IFERROR(__xludf.DUMMYFUNCTION("GOOGLETRANSLATE(H5479,""EN"",""ES"")"),"COMEDEROS Y BEBEDEROS")</f>
        <v>COMEDEROS Y BEBEDEROS</v>
      </c>
      <c r="L5479" s="5" t="str">
        <f ca="1">IFERROR(__xludf.DUMMYFUNCTION("GOOGLETRANSLATE(J5479,""EN"",""ES"")"),"Cunas para forraje para animales")</f>
        <v>Cunas para forraje para animales</v>
      </c>
      <c r="M5479" s="8" t="s">
        <v>90</v>
      </c>
      <c r="N5479" s="8"/>
    </row>
    <row r="5480" spans="1:14" ht="11.25" customHeight="1">
      <c r="A5480" s="5" t="s">
        <v>15804</v>
      </c>
      <c r="B5480" s="5" t="s">
        <v>15888</v>
      </c>
      <c r="C5480" s="5" t="s">
        <v>15899</v>
      </c>
      <c r="D5480" s="5" t="s">
        <v>15807</v>
      </c>
      <c r="E5480" s="5" t="s">
        <v>91</v>
      </c>
      <c r="F5480" s="5" t="s">
        <v>15808</v>
      </c>
      <c r="G5480" s="5" t="s">
        <v>15809</v>
      </c>
      <c r="H5480" s="5" t="s">
        <v>15890</v>
      </c>
      <c r="I5480" s="5" t="s">
        <v>15900</v>
      </c>
      <c r="J5480" s="5" t="s">
        <v>15901</v>
      </c>
      <c r="K5480" s="7" t="str">
        <f ca="1">IFERROR(__xludf.DUMMYFUNCTION("GOOGLETRANSLATE(H5480,""EN"",""ES"")"),"COMEDEROS Y BEBEDEROS")</f>
        <v>COMEDEROS Y BEBEDEROS</v>
      </c>
      <c r="L5480" s="5" t="str">
        <f ca="1">IFERROR(__xludf.DUMMYFUNCTION("GOOGLETRANSLATE(J5480,""EN"",""ES"")"),"Bolsas para la nariz")</f>
        <v>Bolsas para la nariz</v>
      </c>
      <c r="M5480" s="8" t="s">
        <v>90</v>
      </c>
      <c r="N5480" s="8"/>
    </row>
    <row r="5481" spans="1:14" ht="11.25" customHeight="1">
      <c r="A5481" s="5" t="s">
        <v>15804</v>
      </c>
      <c r="B5481" s="5" t="s">
        <v>15888</v>
      </c>
      <c r="C5481" s="5" t="s">
        <v>15902</v>
      </c>
      <c r="D5481" s="5" t="s">
        <v>15807</v>
      </c>
      <c r="E5481" s="5" t="s">
        <v>91</v>
      </c>
      <c r="F5481" s="5" t="s">
        <v>15808</v>
      </c>
      <c r="G5481" s="5" t="s">
        <v>15809</v>
      </c>
      <c r="H5481" s="5" t="s">
        <v>15890</v>
      </c>
      <c r="I5481" s="5" t="s">
        <v>15903</v>
      </c>
      <c r="J5481" s="5" t="s">
        <v>15904</v>
      </c>
      <c r="K5481" s="7" t="str">
        <f ca="1">IFERROR(__xludf.DUMMYFUNCTION("GOOGLETRANSLATE(H5481,""EN"",""ES"")"),"COMEDEROS Y BEBEDEROS")</f>
        <v>COMEDEROS Y BEBEDEROS</v>
      </c>
      <c r="L5481" s="5" t="str">
        <f ca="1">IFERROR(__xludf.DUMMYFUNCTION("GOOGLETRANSLATE(J5481,""EN"",""ES"")"),"Pesebres")</f>
        <v>Pesebres</v>
      </c>
      <c r="M5481" s="8" t="s">
        <v>90</v>
      </c>
      <c r="N5481" s="8"/>
    </row>
    <row r="5482" spans="1:14" ht="11.25" customHeight="1">
      <c r="A5482" s="5" t="s">
        <v>15804</v>
      </c>
      <c r="B5482" s="5" t="s">
        <v>15888</v>
      </c>
      <c r="C5482" s="5" t="s">
        <v>15905</v>
      </c>
      <c r="D5482" s="5" t="s">
        <v>15807</v>
      </c>
      <c r="E5482" s="5" t="s">
        <v>91</v>
      </c>
      <c r="F5482" s="5" t="s">
        <v>15808</v>
      </c>
      <c r="G5482" s="5" t="s">
        <v>15809</v>
      </c>
      <c r="H5482" s="5" t="s">
        <v>15890</v>
      </c>
      <c r="I5482" s="5" t="s">
        <v>15906</v>
      </c>
      <c r="J5482" s="5" t="s">
        <v>15907</v>
      </c>
      <c r="K5482" s="7" t="str">
        <f ca="1">IFERROR(__xludf.DUMMYFUNCTION("GOOGLETRANSLATE(H5482,""EN"",""ES"")"),"COMEDEROS Y BEBEDEROS")</f>
        <v>COMEDEROS Y BEBEDEROS</v>
      </c>
      <c r="L5482" s="5" t="str">
        <f ca="1">IFERROR(__xludf.DUMMYFUNCTION("GOOGLETRANSLATE(J5482,""EN"",""ES"")"),"Cuencos para perros")</f>
        <v>Cuencos para perros</v>
      </c>
      <c r="M5482" s="8" t="s">
        <v>90</v>
      </c>
      <c r="N5482" s="8"/>
    </row>
    <row r="5483" spans="1:14" ht="11.25" customHeight="1">
      <c r="A5483" s="5" t="s">
        <v>15804</v>
      </c>
      <c r="B5483" s="5" t="s">
        <v>15888</v>
      </c>
      <c r="C5483" s="5" t="s">
        <v>15908</v>
      </c>
      <c r="D5483" s="5" t="s">
        <v>15807</v>
      </c>
      <c r="E5483" s="5" t="s">
        <v>91</v>
      </c>
      <c r="F5483" s="5" t="s">
        <v>15808</v>
      </c>
      <c r="G5483" s="5" t="s">
        <v>15809</v>
      </c>
      <c r="H5483" s="5" t="s">
        <v>15890</v>
      </c>
      <c r="I5483" s="5" t="s">
        <v>15909</v>
      </c>
      <c r="J5483" s="5" t="s">
        <v>15910</v>
      </c>
      <c r="K5483" s="7" t="str">
        <f ca="1">IFERROR(__xludf.DUMMYFUNCTION("GOOGLETRANSLATE(H5483,""EN"",""ES"")"),"COMEDEROS Y BEBEDEROS")</f>
        <v>COMEDEROS Y BEBEDEROS</v>
      </c>
      <c r="L5483" s="5" t="str">
        <f ca="1">IFERROR(__xludf.DUMMYFUNCTION("GOOGLETRANSLATE(J5483,""EN"",""ES"")"),"Rejillas para alimentar animales")</f>
        <v>Rejillas para alimentar animales</v>
      </c>
      <c r="M5483" s="8" t="s">
        <v>90</v>
      </c>
      <c r="N5483" s="8"/>
    </row>
    <row r="5484" spans="1:14" ht="11.25" customHeight="1">
      <c r="A5484" s="5" t="s">
        <v>15804</v>
      </c>
      <c r="B5484" s="5" t="s">
        <v>15888</v>
      </c>
      <c r="C5484" s="5" t="s">
        <v>15911</v>
      </c>
      <c r="D5484" s="5" t="s">
        <v>15807</v>
      </c>
      <c r="E5484" s="5" t="s">
        <v>91</v>
      </c>
      <c r="F5484" s="5" t="s">
        <v>15808</v>
      </c>
      <c r="G5484" s="5" t="s">
        <v>15809</v>
      </c>
      <c r="H5484" s="5" t="s">
        <v>15890</v>
      </c>
      <c r="I5484" s="5" t="s">
        <v>15912</v>
      </c>
      <c r="J5484" s="5" t="s">
        <v>15913</v>
      </c>
      <c r="K5484" s="7" t="str">
        <f ca="1">IFERROR(__xludf.DUMMYFUNCTION("GOOGLETRANSLATE(H5484,""EN"",""ES"")"),"COMEDEROS Y BEBEDEROS")</f>
        <v>COMEDEROS Y BEBEDEROS</v>
      </c>
      <c r="L5484" s="5" t="str">
        <f ca="1">IFERROR(__xludf.DUMMYFUNCTION("GOOGLETRANSLATE(J5484,""EN"",""ES"")"),"Tetinas para bebederos")</f>
        <v>Tetinas para bebederos</v>
      </c>
      <c r="M5484" s="8" t="s">
        <v>90</v>
      </c>
      <c r="N5484" s="8"/>
    </row>
    <row r="5485" spans="1:14" ht="11.25" customHeight="1">
      <c r="A5485" s="5" t="s">
        <v>15804</v>
      </c>
      <c r="B5485" s="5" t="s">
        <v>15888</v>
      </c>
      <c r="C5485" s="5" t="s">
        <v>15914</v>
      </c>
      <c r="D5485" s="5" t="s">
        <v>15807</v>
      </c>
      <c r="E5485" s="5" t="s">
        <v>91</v>
      </c>
      <c r="F5485" s="5" t="s">
        <v>15808</v>
      </c>
      <c r="G5485" s="5" t="s">
        <v>15809</v>
      </c>
      <c r="H5485" s="5" t="s">
        <v>15890</v>
      </c>
      <c r="I5485" s="5" t="s">
        <v>15915</v>
      </c>
      <c r="J5485" s="5" t="s">
        <v>15916</v>
      </c>
      <c r="K5485" s="7" t="str">
        <f ca="1">IFERROR(__xludf.DUMMYFUNCTION("GOOGLETRANSLATE(H5485,""EN"",""ES"")"),"COMEDEROS Y BEBEDEROS")</f>
        <v>COMEDEROS Y BEBEDEROS</v>
      </c>
      <c r="L5485" s="5" t="str">
        <f ca="1">IFERROR(__xludf.DUMMYFUNCTION("GOOGLETRANSLATE(J5485,""EN"",""ES"")"),"Mesas para pájaros")</f>
        <v>Mesas para pájaros</v>
      </c>
      <c r="M5485" s="8" t="s">
        <v>90</v>
      </c>
      <c r="N5485" s="8"/>
    </row>
    <row r="5486" spans="1:14" ht="11.25" customHeight="1">
      <c r="A5486" s="5" t="s">
        <v>15804</v>
      </c>
      <c r="B5486" s="5" t="s">
        <v>15888</v>
      </c>
      <c r="C5486" s="5" t="s">
        <v>15917</v>
      </c>
      <c r="D5486" s="5" t="s">
        <v>15807</v>
      </c>
      <c r="E5486" s="5" t="s">
        <v>91</v>
      </c>
      <c r="F5486" s="5" t="s">
        <v>15808</v>
      </c>
      <c r="G5486" s="5" t="s">
        <v>15809</v>
      </c>
      <c r="H5486" s="5" t="s">
        <v>15890</v>
      </c>
      <c r="I5486" s="5" t="s">
        <v>15918</v>
      </c>
      <c r="J5486" s="5" t="s">
        <v>15919</v>
      </c>
      <c r="K5486" s="7" t="str">
        <f ca="1">IFERROR(__xludf.DUMMYFUNCTION("GOOGLETRANSLATE(H5486,""EN"",""ES"")"),"COMEDEROS Y BEBEDEROS")</f>
        <v>COMEDEROS Y BEBEDEROS</v>
      </c>
      <c r="L5486" s="5" t="str">
        <f ca="1">IFERROR(__xludf.DUMMYFUNCTION("GOOGLETRANSLATE(J5486,""EN"",""ES"")"),"Comederos para pájaros")</f>
        <v>Comederos para pájaros</v>
      </c>
      <c r="M5486" s="8" t="s">
        <v>90</v>
      </c>
      <c r="N5486" s="8"/>
    </row>
    <row r="5487" spans="1:14" ht="11.25" customHeight="1">
      <c r="A5487" s="5" t="s">
        <v>15804</v>
      </c>
      <c r="B5487" s="5" t="s">
        <v>15888</v>
      </c>
      <c r="C5487" s="5" t="s">
        <v>15920</v>
      </c>
      <c r="D5487" s="5" t="s">
        <v>15807</v>
      </c>
      <c r="E5487" s="5" t="s">
        <v>91</v>
      </c>
      <c r="F5487" s="5" t="s">
        <v>15808</v>
      </c>
      <c r="G5487" s="5" t="s">
        <v>15809</v>
      </c>
      <c r="H5487" s="5" t="s">
        <v>15890</v>
      </c>
      <c r="I5487" s="5" t="s">
        <v>15921</v>
      </c>
      <c r="J5487" s="5" t="s">
        <v>15922</v>
      </c>
      <c r="K5487" s="7" t="str">
        <f ca="1">IFERROR(__xludf.DUMMYFUNCTION("GOOGLETRANSLATE(H5487,""EN"",""ES"")"),"COMEDEROS Y BEBEDEROS")</f>
        <v>COMEDEROS Y BEBEDEROS</v>
      </c>
      <c r="L5487" s="5" t="str">
        <f ca="1">IFERROR(__xludf.DUMMYFUNCTION("GOOGLETRANSLATE(J5487,""EN"",""ES"")"),"Soportes para lamer sal")</f>
        <v>Soportes para lamer sal</v>
      </c>
      <c r="M5487" s="8" t="s">
        <v>90</v>
      </c>
      <c r="N5487" s="8"/>
    </row>
    <row r="5488" spans="1:14" ht="11.25" customHeight="1">
      <c r="A5488" s="5" t="s">
        <v>15804</v>
      </c>
      <c r="B5488" s="5" t="s">
        <v>15888</v>
      </c>
      <c r="C5488" s="5" t="s">
        <v>15923</v>
      </c>
      <c r="D5488" s="5" t="s">
        <v>15807</v>
      </c>
      <c r="E5488" s="5" t="s">
        <v>91</v>
      </c>
      <c r="F5488" s="5" t="s">
        <v>15808</v>
      </c>
      <c r="G5488" s="5" t="s">
        <v>15809</v>
      </c>
      <c r="H5488" s="5" t="s">
        <v>15890</v>
      </c>
      <c r="I5488" s="5" t="s">
        <v>15924</v>
      </c>
      <c r="J5488" s="5" t="s">
        <v>15925</v>
      </c>
      <c r="K5488" s="7" t="str">
        <f ca="1">IFERROR(__xludf.DUMMYFUNCTION("GOOGLETRANSLATE(H5488,""EN"",""ES"")"),"COMEDEROS Y BEBEDEROS")</f>
        <v>COMEDEROS Y BEBEDEROS</v>
      </c>
      <c r="L5488" s="5" t="str">
        <f ca="1">IFERROR(__xludf.DUMMYFUNCTION("GOOGLETRANSLATE(J5488,""EN"",""ES"")"),"Comederos para mascotas con reconocimiento visual")</f>
        <v>Comederos para mascotas con reconocimiento visual</v>
      </c>
      <c r="M5488" s="8" t="s">
        <v>90</v>
      </c>
      <c r="N5488" s="8"/>
    </row>
    <row r="5489" spans="1:14" ht="11.25" customHeight="1">
      <c r="A5489" s="5" t="s">
        <v>15804</v>
      </c>
      <c r="B5489" s="5" t="s">
        <v>15926</v>
      </c>
      <c r="C5489" s="5" t="s">
        <v>15927</v>
      </c>
      <c r="D5489" s="5" t="s">
        <v>15807</v>
      </c>
      <c r="E5489" s="5" t="s">
        <v>91</v>
      </c>
      <c r="F5489" s="5" t="s">
        <v>15808</v>
      </c>
      <c r="G5489" s="5" t="s">
        <v>15809</v>
      </c>
      <c r="H5489" s="5" t="s">
        <v>15928</v>
      </c>
      <c r="I5489" s="5" t="s">
        <v>15929</v>
      </c>
      <c r="J5489" s="5" t="s">
        <v>15930</v>
      </c>
      <c r="K5489" s="7" t="str">
        <f ca="1">IFERROR(__xludf.DUMMYFUNCTION("GOOGLETRANSLATE(H5489,""EN"",""ES"")"),"TALABARTERÍA")</f>
        <v>TALABARTERÍA</v>
      </c>
      <c r="L5489" s="5" t="str">
        <f ca="1">IFERROR(__xludf.DUMMYFUNCTION("GOOGLETRANSLATE(J5489,""EN"",""ES"")"),"terrets")</f>
        <v>terrets</v>
      </c>
      <c r="M5489" s="8" t="s">
        <v>90</v>
      </c>
      <c r="N5489" s="8"/>
    </row>
    <row r="5490" spans="1:14" ht="11.25" customHeight="1">
      <c r="A5490" s="5" t="s">
        <v>15804</v>
      </c>
      <c r="B5490" s="5" t="s">
        <v>15926</v>
      </c>
      <c r="C5490" s="5" t="s">
        <v>15931</v>
      </c>
      <c r="D5490" s="5" t="s">
        <v>15807</v>
      </c>
      <c r="E5490" s="5" t="s">
        <v>91</v>
      </c>
      <c r="F5490" s="5" t="s">
        <v>15808</v>
      </c>
      <c r="G5490" s="5" t="s">
        <v>15809</v>
      </c>
      <c r="H5490" s="5" t="s">
        <v>15928</v>
      </c>
      <c r="I5490" s="5" t="s">
        <v>15932</v>
      </c>
      <c r="J5490" s="5" t="s">
        <v>15933</v>
      </c>
      <c r="K5490" s="7" t="str">
        <f ca="1">IFERROR(__xludf.DUMMYFUNCTION("GOOGLETRANSLATE(H5490,""EN"",""ES"")"),"TALABARTERÍA")</f>
        <v>TALABARTERÍA</v>
      </c>
      <c r="L5490" s="5" t="str">
        <f ca="1">IFERROR(__xludf.DUMMYFUNCTION("GOOGLETRANSLATE(J5490,""EN"",""ES"")"),"Alforjas")</f>
        <v>Alforjas</v>
      </c>
      <c r="M5490" s="8" t="s">
        <v>90</v>
      </c>
      <c r="N5490" s="8"/>
    </row>
    <row r="5491" spans="1:14" ht="11.25" customHeight="1">
      <c r="A5491" s="5" t="s">
        <v>15804</v>
      </c>
      <c r="B5491" s="5" t="s">
        <v>15926</v>
      </c>
      <c r="C5491" s="5" t="s">
        <v>15934</v>
      </c>
      <c r="D5491" s="5" t="s">
        <v>15807</v>
      </c>
      <c r="E5491" s="5" t="s">
        <v>91</v>
      </c>
      <c r="F5491" s="5" t="s">
        <v>15808</v>
      </c>
      <c r="G5491" s="5" t="s">
        <v>15809</v>
      </c>
      <c r="H5491" s="5" t="s">
        <v>15928</v>
      </c>
      <c r="I5491" s="5" t="s">
        <v>15935</v>
      </c>
      <c r="J5491" s="5" t="s">
        <v>15936</v>
      </c>
      <c r="K5491" s="7" t="str">
        <f ca="1">IFERROR(__xludf.DUMMYFUNCTION("GOOGLETRANSLATE(H5491,""EN"",""ES"")"),"TALABARTERÍA")</f>
        <v>TALABARTERÍA</v>
      </c>
      <c r="L5491" s="5" t="str">
        <f ca="1">IFERROR(__xludf.DUMMYFUNCTION("GOOGLETRANSLATE(J5491,""EN"",""ES"")"),"Hames para ejes")</f>
        <v>Hames para ejes</v>
      </c>
      <c r="M5491" s="8" t="s">
        <v>90</v>
      </c>
      <c r="N5491" s="8"/>
    </row>
    <row r="5492" spans="1:14" ht="11.25" customHeight="1">
      <c r="A5492" s="5" t="s">
        <v>15804</v>
      </c>
      <c r="B5492" s="5" t="s">
        <v>15926</v>
      </c>
      <c r="C5492" s="5" t="s">
        <v>15937</v>
      </c>
      <c r="D5492" s="5" t="s">
        <v>15807</v>
      </c>
      <c r="E5492" s="5" t="s">
        <v>91</v>
      </c>
      <c r="F5492" s="5" t="s">
        <v>15808</v>
      </c>
      <c r="G5492" s="5" t="s">
        <v>15809</v>
      </c>
      <c r="H5492" s="5" t="s">
        <v>15928</v>
      </c>
      <c r="I5492" s="5" t="s">
        <v>15938</v>
      </c>
      <c r="J5492" s="5" t="s">
        <v>15939</v>
      </c>
      <c r="K5492" s="7" t="str">
        <f ca="1">IFERROR(__xludf.DUMMYFUNCTION("GOOGLETRANSLATE(H5492,""EN"",""ES"")"),"TALABARTERÍA")</f>
        <v>TALABARTERÍA</v>
      </c>
      <c r="L5492" s="5" t="str">
        <f ca="1">IFERROR(__xludf.DUMMYFUNCTION("GOOGLETRANSLATE(J5492,""EN"",""ES"")"),"albardas")</f>
        <v>albardas</v>
      </c>
      <c r="M5492" s="8" t="s">
        <v>90</v>
      </c>
      <c r="N5492" s="8"/>
    </row>
    <row r="5493" spans="1:14" ht="11.25" customHeight="1">
      <c r="A5493" s="5" t="s">
        <v>15804</v>
      </c>
      <c r="B5493" s="5" t="s">
        <v>15926</v>
      </c>
      <c r="C5493" s="5" t="s">
        <v>15940</v>
      </c>
      <c r="D5493" s="5" t="s">
        <v>15807</v>
      </c>
      <c r="E5493" s="5" t="s">
        <v>91</v>
      </c>
      <c r="F5493" s="5" t="s">
        <v>15808</v>
      </c>
      <c r="G5493" s="5" t="s">
        <v>15809</v>
      </c>
      <c r="H5493" s="5" t="s">
        <v>15928</v>
      </c>
      <c r="I5493" s="5" t="s">
        <v>15941</v>
      </c>
      <c r="J5493" s="5" t="s">
        <v>15942</v>
      </c>
      <c r="K5493" s="7" t="str">
        <f ca="1">IFERROR(__xludf.DUMMYFUNCTION("GOOGLETRANSLATE(H5493,""EN"",""ES"")"),"TALABARTERÍA")</f>
        <v>TALABARTERÍA</v>
      </c>
      <c r="L5493" s="5" t="str">
        <f ca="1">IFERROR(__xludf.DUMMYFUNCTION("GOOGLETRANSLATE(J5493,""EN"",""ES"")"),"bridas")</f>
        <v>bridas</v>
      </c>
      <c r="M5493" s="8" t="s">
        <v>90</v>
      </c>
      <c r="N5493" s="8"/>
    </row>
    <row r="5494" spans="1:14" ht="11.25" customHeight="1">
      <c r="A5494" s="5" t="s">
        <v>15804</v>
      </c>
      <c r="B5494" s="5" t="s">
        <v>15926</v>
      </c>
      <c r="C5494" s="5" t="s">
        <v>15943</v>
      </c>
      <c r="D5494" s="5" t="s">
        <v>15807</v>
      </c>
      <c r="E5494" s="5" t="s">
        <v>91</v>
      </c>
      <c r="F5494" s="5" t="s">
        <v>15808</v>
      </c>
      <c r="G5494" s="5" t="s">
        <v>15809</v>
      </c>
      <c r="H5494" s="5" t="s">
        <v>15928</v>
      </c>
      <c r="I5494" s="5" t="s">
        <v>15944</v>
      </c>
      <c r="J5494" s="5" t="s">
        <v>15945</v>
      </c>
      <c r="K5494" s="7" t="str">
        <f ca="1">IFERROR(__xludf.DUMMYFUNCTION("GOOGLETRANSLATE(H5494,""EN"",""ES"")"),"TALABARTERÍA")</f>
        <v>TALABARTERÍA</v>
      </c>
      <c r="L5494" s="5" t="str">
        <f ca="1">IFERROR(__xludf.DUMMYFUNCTION("GOOGLETRANSLATE(J5494,""EN"",""ES"")"),"cavernas")</f>
        <v>cavernas</v>
      </c>
      <c r="M5494" s="8" t="s">
        <v>90</v>
      </c>
      <c r="N5494" s="8"/>
    </row>
    <row r="5495" spans="1:14" ht="11.25" customHeight="1">
      <c r="A5495" s="5" t="s">
        <v>15804</v>
      </c>
      <c r="B5495" s="5" t="s">
        <v>15926</v>
      </c>
      <c r="C5495" s="5" t="s">
        <v>15946</v>
      </c>
      <c r="D5495" s="5" t="s">
        <v>15807</v>
      </c>
      <c r="E5495" s="5" t="s">
        <v>91</v>
      </c>
      <c r="F5495" s="5" t="s">
        <v>15808</v>
      </c>
      <c r="G5495" s="5" t="s">
        <v>15809</v>
      </c>
      <c r="H5495" s="5" t="s">
        <v>15928</v>
      </c>
      <c r="I5495" s="5" t="s">
        <v>15947</v>
      </c>
      <c r="J5495" s="5" t="s">
        <v>15948</v>
      </c>
      <c r="K5495" s="7" t="str">
        <f ca="1">IFERROR(__xludf.DUMMYFUNCTION("GOOGLETRANSLATE(H5495,""EN"",""ES"")"),"TALABARTERÍA")</f>
        <v>TALABARTERÍA</v>
      </c>
      <c r="L5495" s="5" t="str">
        <f ca="1">IFERROR(__xludf.DUMMYFUNCTION("GOOGLETRANSLATE(J5495,""EN"",""ES"")"),"collares para animales")</f>
        <v>collares para animales</v>
      </c>
      <c r="M5495" s="8" t="s">
        <v>90</v>
      </c>
      <c r="N5495" s="8"/>
    </row>
    <row r="5496" spans="1:14" ht="11.25" customHeight="1">
      <c r="A5496" s="5" t="s">
        <v>15804</v>
      </c>
      <c r="B5496" s="5" t="s">
        <v>15926</v>
      </c>
      <c r="C5496" s="5" t="s">
        <v>15949</v>
      </c>
      <c r="D5496" s="5" t="s">
        <v>15807</v>
      </c>
      <c r="E5496" s="5" t="s">
        <v>91</v>
      </c>
      <c r="F5496" s="5" t="s">
        <v>15808</v>
      </c>
      <c r="G5496" s="5" t="s">
        <v>15809</v>
      </c>
      <c r="H5496" s="5" t="s">
        <v>15928</v>
      </c>
      <c r="I5496" s="5" t="s">
        <v>15950</v>
      </c>
      <c r="J5496" s="5" t="s">
        <v>15951</v>
      </c>
      <c r="K5496" s="7" t="str">
        <f ca="1">IFERROR(__xludf.DUMMYFUNCTION("GOOGLETRANSLATE(H5496,""EN"",""ES"")"),"TALABARTERÍA")</f>
        <v>TALABARTERÍA</v>
      </c>
      <c r="L5496" s="5" t="str">
        <f ca="1">IFERROR(__xludf.DUMMYFUNCTION("GOOGLETRANSLATE(J5496,""EN"",""ES"")"),"Ganchos para arnés")</f>
        <v>Ganchos para arnés</v>
      </c>
      <c r="M5496" s="8" t="s">
        <v>90</v>
      </c>
      <c r="N5496" s="8"/>
    </row>
    <row r="5497" spans="1:14" ht="11.25" customHeight="1">
      <c r="A5497" s="5" t="s">
        <v>15804</v>
      </c>
      <c r="B5497" s="5" t="s">
        <v>15926</v>
      </c>
      <c r="C5497" s="5" t="s">
        <v>15952</v>
      </c>
      <c r="D5497" s="5" t="s">
        <v>15807</v>
      </c>
      <c r="E5497" s="5" t="s">
        <v>91</v>
      </c>
      <c r="F5497" s="5" t="s">
        <v>15808</v>
      </c>
      <c r="G5497" s="5" t="s">
        <v>15809</v>
      </c>
      <c r="H5497" s="5" t="s">
        <v>15928</v>
      </c>
      <c r="I5497" s="5" t="s">
        <v>15953</v>
      </c>
      <c r="J5497" s="5" t="s">
        <v>15954</v>
      </c>
      <c r="K5497" s="7" t="str">
        <f ca="1">IFERROR(__xludf.DUMMYFUNCTION("GOOGLETRANSLATE(H5497,""EN"",""ES"")"),"TALABARTERÍA")</f>
        <v>TALABARTERÍA</v>
      </c>
      <c r="L5497" s="5" t="str">
        <f ca="1">IFERROR(__xludf.DUMMYFUNCTION("GOOGLETRANSLATE(J5497,""EN"",""ES"")"),"Almohadillas para arnés")</f>
        <v>Almohadillas para arnés</v>
      </c>
      <c r="M5497" s="8" t="s">
        <v>90</v>
      </c>
      <c r="N5497" s="8"/>
    </row>
    <row r="5498" spans="1:14" ht="11.25" customHeight="1">
      <c r="A5498" s="5" t="s">
        <v>15804</v>
      </c>
      <c r="B5498" s="5" t="s">
        <v>15926</v>
      </c>
      <c r="C5498" s="5" t="s">
        <v>15955</v>
      </c>
      <c r="D5498" s="5" t="s">
        <v>15807</v>
      </c>
      <c r="E5498" s="5" t="s">
        <v>91</v>
      </c>
      <c r="F5498" s="5" t="s">
        <v>15808</v>
      </c>
      <c r="G5498" s="5" t="s">
        <v>15809</v>
      </c>
      <c r="H5498" s="5" t="s">
        <v>15928</v>
      </c>
      <c r="I5498" s="5" t="s">
        <v>15956</v>
      </c>
      <c r="J5498" s="5" t="s">
        <v>15957</v>
      </c>
      <c r="K5498" s="7" t="str">
        <f ca="1">IFERROR(__xludf.DUMMYFUNCTION("GOOGLETRANSLATE(H5498,""EN"",""ES"")"),"TALABARTERÍA")</f>
        <v>TALABARTERÍA</v>
      </c>
      <c r="L5498" s="5" t="str">
        <f ca="1">IFERROR(__xludf.DUMMYFUNCTION("GOOGLETRANSLATE(J5498,""EN"",""ES"")"),"Estribos")</f>
        <v>Estribos</v>
      </c>
      <c r="M5498" s="8" t="s">
        <v>90</v>
      </c>
      <c r="N5498" s="8"/>
    </row>
    <row r="5499" spans="1:14" ht="11.25" customHeight="1">
      <c r="A5499" s="5" t="s">
        <v>15804</v>
      </c>
      <c r="B5499" s="5" t="s">
        <v>15926</v>
      </c>
      <c r="C5499" s="5" t="s">
        <v>15958</v>
      </c>
      <c r="D5499" s="5" t="s">
        <v>15807</v>
      </c>
      <c r="E5499" s="5" t="s">
        <v>91</v>
      </c>
      <c r="F5499" s="5" t="s">
        <v>15808</v>
      </c>
      <c r="G5499" s="5" t="s">
        <v>15809</v>
      </c>
      <c r="H5499" s="5" t="s">
        <v>15928</v>
      </c>
      <c r="I5499" s="5" t="s">
        <v>15959</v>
      </c>
      <c r="J5499" s="5" t="s">
        <v>15960</v>
      </c>
      <c r="K5499" s="7" t="str">
        <f ca="1">IFERROR(__xludf.DUMMYFUNCTION("GOOGLETRANSLATE(H5499,""EN"",""ES"")"),"TALABARTERÍA")</f>
        <v>TALABARTERÍA</v>
      </c>
      <c r="L5499" s="5" t="str">
        <f ca="1">IFERROR(__xludf.DUMMYFUNCTION("GOOGLETRANSLATE(J5499,""EN"",""ES"")"),"Cueros de estribo")</f>
        <v>Cueros de estribo</v>
      </c>
      <c r="M5499" s="8" t="s">
        <v>90</v>
      </c>
      <c r="N5499" s="8"/>
    </row>
    <row r="5500" spans="1:14" ht="11.25" customHeight="1">
      <c r="A5500" s="5" t="s">
        <v>15804</v>
      </c>
      <c r="B5500" s="5" t="s">
        <v>15926</v>
      </c>
      <c r="C5500" s="5" t="s">
        <v>15961</v>
      </c>
      <c r="D5500" s="5" t="s">
        <v>15807</v>
      </c>
      <c r="E5500" s="5" t="s">
        <v>91</v>
      </c>
      <c r="F5500" s="5" t="s">
        <v>15808</v>
      </c>
      <c r="G5500" s="5" t="s">
        <v>15809</v>
      </c>
      <c r="H5500" s="5" t="s">
        <v>15928</v>
      </c>
      <c r="I5500" s="5" t="s">
        <v>15962</v>
      </c>
      <c r="J5500" s="5" t="s">
        <v>15963</v>
      </c>
      <c r="K5500" s="7" t="str">
        <f ca="1">IFERROR(__xludf.DUMMYFUNCTION("GOOGLETRANSLATE(H5500,""EN"",""ES"")"),"TALABARTERÍA")</f>
        <v>TALABARTERÍA</v>
      </c>
      <c r="L5500" s="5" t="str">
        <f ca="1">IFERROR(__xludf.DUMMYFUNCTION("GOOGLETRANSLATE(J5500,""EN"",""ES"")"),"Riendas [arnés]")</f>
        <v>Riendas [arnés]</v>
      </c>
      <c r="M5500" s="8" t="s">
        <v>90</v>
      </c>
      <c r="N5500" s="8"/>
    </row>
    <row r="5501" spans="1:14" ht="11.25" customHeight="1">
      <c r="A5501" s="5" t="s">
        <v>15804</v>
      </c>
      <c r="B5501" s="5" t="s">
        <v>15926</v>
      </c>
      <c r="C5501" s="5" t="s">
        <v>15961</v>
      </c>
      <c r="D5501" s="5" t="s">
        <v>15807</v>
      </c>
      <c r="E5501" s="5" t="s">
        <v>91</v>
      </c>
      <c r="F5501" s="5" t="s">
        <v>15808</v>
      </c>
      <c r="G5501" s="5" t="s">
        <v>15809</v>
      </c>
      <c r="H5501" s="5" t="s">
        <v>15928</v>
      </c>
      <c r="I5501" s="5" t="s">
        <v>152</v>
      </c>
      <c r="J5501" s="5" t="s">
        <v>15964</v>
      </c>
      <c r="K5501" s="7" t="str">
        <f ca="1">IFERROR(__xludf.DUMMYFUNCTION("GOOGLETRANSLATE(H5501,""EN"",""ES"")"),"TALABARTERÍA")</f>
        <v>TALABARTERÍA</v>
      </c>
      <c r="L5501" s="5" t="str">
        <f ca="1">IFERROR(__xludf.DUMMYFUNCTION("GOOGLETRANSLATE(J5501,""EN"",""ES"")"),"N / A")</f>
        <v>N / A</v>
      </c>
      <c r="M5501" s="8" t="s">
        <v>90</v>
      </c>
      <c r="N5501" s="8"/>
    </row>
    <row r="5502" spans="1:14" ht="11.25" customHeight="1">
      <c r="A5502" s="5" t="s">
        <v>15804</v>
      </c>
      <c r="B5502" s="5" t="s">
        <v>15926</v>
      </c>
      <c r="C5502" s="5" t="s">
        <v>15965</v>
      </c>
      <c r="D5502" s="5" t="s">
        <v>15807</v>
      </c>
      <c r="E5502" s="5" t="s">
        <v>91</v>
      </c>
      <c r="F5502" s="5" t="s">
        <v>15808</v>
      </c>
      <c r="G5502" s="5" t="s">
        <v>15809</v>
      </c>
      <c r="H5502" s="5" t="s">
        <v>15928</v>
      </c>
      <c r="I5502" s="5" t="s">
        <v>15966</v>
      </c>
      <c r="J5502" s="5" t="s">
        <v>15967</v>
      </c>
      <c r="K5502" s="7" t="str">
        <f ca="1">IFERROR(__xludf.DUMMYFUNCTION("GOOGLETRANSLATE(H5502,""EN"",""ES"")"),"TALABARTERÍA")</f>
        <v>TALABARTERÍA</v>
      </c>
      <c r="L5502" s="5" t="str">
        <f ca="1">IFERROR(__xludf.DUMMYFUNCTION("GOOGLETRANSLATE(J5502,""EN"",""ES"")"),"Arneses")</f>
        <v>Arneses</v>
      </c>
      <c r="M5502" s="8" t="s">
        <v>90</v>
      </c>
      <c r="N5502" s="8"/>
    </row>
    <row r="5503" spans="1:14" ht="11.25" customHeight="1">
      <c r="A5503" s="5" t="s">
        <v>15804</v>
      </c>
      <c r="B5503" s="5" t="s">
        <v>15926</v>
      </c>
      <c r="C5503" s="5" t="s">
        <v>15968</v>
      </c>
      <c r="D5503" s="5" t="s">
        <v>15807</v>
      </c>
      <c r="E5503" s="5" t="s">
        <v>91</v>
      </c>
      <c r="F5503" s="5" t="s">
        <v>15808</v>
      </c>
      <c r="G5503" s="5" t="s">
        <v>15809</v>
      </c>
      <c r="H5503" s="5" t="s">
        <v>15928</v>
      </c>
      <c r="I5503" s="5" t="s">
        <v>15969</v>
      </c>
      <c r="J5503" s="5" t="s">
        <v>15970</v>
      </c>
      <c r="K5503" s="7" t="str">
        <f ca="1">IFERROR(__xludf.DUMMYFUNCTION("GOOGLETRANSLATE(H5503,""EN"",""ES"")"),"TALABARTERÍA")</f>
        <v>TALABARTERÍA</v>
      </c>
      <c r="L5503" s="5" t="str">
        <f ca="1">IFERROR(__xludf.DUMMYFUNCTION("GOOGLETRANSLATE(J5503,""EN"",""ES"")"),"Correas para animales")</f>
        <v>Correas para animales</v>
      </c>
      <c r="M5503" s="8" t="s">
        <v>90</v>
      </c>
      <c r="N5503" s="8"/>
    </row>
    <row r="5504" spans="1:14" ht="11.25" customHeight="1">
      <c r="A5504" s="5" t="s">
        <v>15804</v>
      </c>
      <c r="B5504" s="5" t="s">
        <v>15926</v>
      </c>
      <c r="C5504" s="5" t="s">
        <v>15968</v>
      </c>
      <c r="D5504" s="5" t="s">
        <v>15807</v>
      </c>
      <c r="E5504" s="5" t="s">
        <v>91</v>
      </c>
      <c r="F5504" s="5" t="s">
        <v>15808</v>
      </c>
      <c r="G5504" s="5" t="s">
        <v>15809</v>
      </c>
      <c r="H5504" s="5" t="s">
        <v>15928</v>
      </c>
      <c r="I5504" s="5" t="s">
        <v>15971</v>
      </c>
      <c r="J5504" s="5" t="s">
        <v>152</v>
      </c>
      <c r="K5504" s="7" t="str">
        <f ca="1">IFERROR(__xludf.DUMMYFUNCTION("GOOGLETRANSLATE(H5504,""EN"",""ES"")"),"TALABARTERÍA")</f>
        <v>TALABARTERÍA</v>
      </c>
      <c r="L5504" s="5" t="str">
        <f ca="1">IFERROR(__xludf.DUMMYFUNCTION("GOOGLETRANSLATE(J5504,""EN"",""ES"")"),"Correas para animales")</f>
        <v>Correas para animales</v>
      </c>
      <c r="M5504" s="8" t="s">
        <v>90</v>
      </c>
      <c r="N5504" s="8"/>
    </row>
    <row r="5505" spans="1:14" ht="11.25" customHeight="1">
      <c r="A5505" s="5" t="s">
        <v>15804</v>
      </c>
      <c r="B5505" s="5" t="s">
        <v>15926</v>
      </c>
      <c r="C5505" s="5" t="s">
        <v>15972</v>
      </c>
      <c r="D5505" s="5" t="s">
        <v>15807</v>
      </c>
      <c r="E5505" s="5" t="s">
        <v>91</v>
      </c>
      <c r="F5505" s="5" t="s">
        <v>15808</v>
      </c>
      <c r="G5505" s="5" t="s">
        <v>15809</v>
      </c>
      <c r="H5505" s="5" t="s">
        <v>15928</v>
      </c>
      <c r="I5505" s="5" t="s">
        <v>15973</v>
      </c>
      <c r="J5505" s="5" t="s">
        <v>15974</v>
      </c>
      <c r="K5505" s="7" t="str">
        <f ca="1">IFERROR(__xludf.DUMMYFUNCTION("GOOGLETRANSLATE(H5505,""EN"",""ES"")"),"TALABARTERÍA")</f>
        <v>TALABARTERÍA</v>
      </c>
      <c r="L5505" s="5" t="str">
        <f ca="1">IFERROR(__xludf.DUMMYFUNCTION("GOOGLETRANSLATE(J5505,""EN"",""ES"")"),"Cabestros")</f>
        <v>Cabestros</v>
      </c>
      <c r="M5505" s="8" t="s">
        <v>90</v>
      </c>
      <c r="N5505" s="8"/>
    </row>
    <row r="5506" spans="1:14" ht="11.25" customHeight="1">
      <c r="A5506" s="5" t="s">
        <v>15804</v>
      </c>
      <c r="B5506" s="5" t="s">
        <v>15926</v>
      </c>
      <c r="C5506" s="5" t="s">
        <v>15972</v>
      </c>
      <c r="D5506" s="5" t="s">
        <v>15807</v>
      </c>
      <c r="E5506" s="5" t="s">
        <v>91</v>
      </c>
      <c r="F5506" s="5" t="s">
        <v>15808</v>
      </c>
      <c r="G5506" s="5" t="s">
        <v>15809</v>
      </c>
      <c r="H5506" s="5" t="s">
        <v>15928</v>
      </c>
      <c r="I5506" s="5" t="s">
        <v>152</v>
      </c>
      <c r="J5506" s="5" t="s">
        <v>15975</v>
      </c>
      <c r="K5506" s="7" t="str">
        <f ca="1">IFERROR(__xludf.DUMMYFUNCTION("GOOGLETRANSLATE(H5506,""EN"",""ES"")"),"TALABARTERÍA")</f>
        <v>TALABARTERÍA</v>
      </c>
      <c r="L5506" s="5" t="str">
        <f ca="1">IFERROR(__xludf.DUMMYFUNCTION("GOOGLETRANSLATE(J5506,""EN"",""ES"")"),"N / A")</f>
        <v>N / A</v>
      </c>
      <c r="M5506" s="8" t="s">
        <v>90</v>
      </c>
      <c r="N5506" s="8"/>
    </row>
    <row r="5507" spans="1:14" ht="11.25" customHeight="1">
      <c r="A5507" s="5" t="s">
        <v>15804</v>
      </c>
      <c r="B5507" s="5" t="s">
        <v>15926</v>
      </c>
      <c r="C5507" s="5" t="s">
        <v>15976</v>
      </c>
      <c r="D5507" s="5" t="s">
        <v>15807</v>
      </c>
      <c r="E5507" s="5" t="s">
        <v>91</v>
      </c>
      <c r="F5507" s="5" t="s">
        <v>15808</v>
      </c>
      <c r="G5507" s="5" t="s">
        <v>15809</v>
      </c>
      <c r="H5507" s="5" t="s">
        <v>15928</v>
      </c>
      <c r="I5507" s="5" t="s">
        <v>15977</v>
      </c>
      <c r="J5507" s="5" t="s">
        <v>15978</v>
      </c>
      <c r="K5507" s="7" t="str">
        <f ca="1">IFERROR(__xludf.DUMMYFUNCTION("GOOGLETRANSLATE(H5507,""EN"",""ES"")"),"TALABARTERÍA")</f>
        <v>TALABARTERÍA</v>
      </c>
      <c r="L5507" s="5" t="str">
        <f ca="1">IFERROR(__xludf.DUMMYFUNCTION("GOOGLETRANSLATE(J5507,""EN"",""ES"")"),"Correas")</f>
        <v>Correas</v>
      </c>
      <c r="M5507" s="8" t="s">
        <v>90</v>
      </c>
      <c r="N5507" s="8"/>
    </row>
    <row r="5508" spans="1:14" ht="11.25" customHeight="1">
      <c r="A5508" s="5" t="s">
        <v>15804</v>
      </c>
      <c r="B5508" s="5" t="s">
        <v>15926</v>
      </c>
      <c r="C5508" s="5" t="s">
        <v>15976</v>
      </c>
      <c r="D5508" s="5" t="s">
        <v>15807</v>
      </c>
      <c r="E5508" s="5" t="s">
        <v>91</v>
      </c>
      <c r="F5508" s="5" t="s">
        <v>15808</v>
      </c>
      <c r="G5508" s="5" t="s">
        <v>15809</v>
      </c>
      <c r="H5508" s="5" t="s">
        <v>15928</v>
      </c>
      <c r="I5508" s="5" t="s">
        <v>15979</v>
      </c>
      <c r="J5508" s="5" t="s">
        <v>152</v>
      </c>
      <c r="K5508" s="7" t="str">
        <f ca="1">IFERROR(__xludf.DUMMYFUNCTION("GOOGLETRANSLATE(H5508,""EN"",""ES"")"),"TALABARTERÍA")</f>
        <v>TALABARTERÍA</v>
      </c>
      <c r="L5508" s="5" t="str">
        <f ca="1">IFERROR(__xludf.DUMMYFUNCTION("GOOGLETRANSLATE(J5508,""EN"",""ES"")"),"anhela")</f>
        <v>anhela</v>
      </c>
      <c r="M5508" s="8" t="s">
        <v>90</v>
      </c>
      <c r="N5508" s="8"/>
    </row>
    <row r="5509" spans="1:14" ht="11.25" customHeight="1">
      <c r="A5509" s="5" t="s">
        <v>15804</v>
      </c>
      <c r="B5509" s="5" t="s">
        <v>15926</v>
      </c>
      <c r="C5509" s="5" t="s">
        <v>15976</v>
      </c>
      <c r="D5509" s="5" t="s">
        <v>15807</v>
      </c>
      <c r="E5509" s="5" t="s">
        <v>91</v>
      </c>
      <c r="F5509" s="5" t="s">
        <v>15808</v>
      </c>
      <c r="G5509" s="5" t="s">
        <v>15809</v>
      </c>
      <c r="H5509" s="5" t="s">
        <v>15928</v>
      </c>
      <c r="I5509" s="5" t="s">
        <v>15980</v>
      </c>
      <c r="J5509" s="5" t="s">
        <v>152</v>
      </c>
      <c r="K5509" s="7" t="str">
        <f ca="1">IFERROR(__xludf.DUMMYFUNCTION("GOOGLETRANSLATE(H5509,""EN"",""ES"")"),"TALABARTERÍA")</f>
        <v>TALABARTERÍA</v>
      </c>
      <c r="L5509" s="5" t="str">
        <f ca="1">IFERROR(__xludf.DUMMYFUNCTION("GOOGLETRANSLATE(J5509,""EN"",""ES"")"),"Estocadas")</f>
        <v>Estocadas</v>
      </c>
      <c r="M5509" s="8" t="s">
        <v>90</v>
      </c>
      <c r="N5509" s="8"/>
    </row>
    <row r="5510" spans="1:14" ht="11.25" customHeight="1">
      <c r="A5510" s="5" t="s">
        <v>15804</v>
      </c>
      <c r="B5510" s="5" t="s">
        <v>15926</v>
      </c>
      <c r="C5510" s="5" t="s">
        <v>15981</v>
      </c>
      <c r="D5510" s="5" t="s">
        <v>15807</v>
      </c>
      <c r="E5510" s="5" t="s">
        <v>91</v>
      </c>
      <c r="F5510" s="5" t="s">
        <v>15808</v>
      </c>
      <c r="G5510" s="5" t="s">
        <v>15809</v>
      </c>
      <c r="H5510" s="5" t="s">
        <v>15928</v>
      </c>
      <c r="I5510" s="5" t="s">
        <v>15982</v>
      </c>
      <c r="J5510" s="5" t="s">
        <v>15983</v>
      </c>
      <c r="K5510" s="7" t="str">
        <f ca="1">IFERROR(__xludf.DUMMYFUNCTION("GOOGLETRANSLATE(H5510,""EN"",""ES"")"),"TALABARTERÍA")</f>
        <v>TALABARTERÍA</v>
      </c>
      <c r="L5510" s="5" t="str">
        <f ca="1">IFERROR(__xludf.DUMMYFUNCTION("GOOGLETRANSLATE(J5510,""EN"",""ES"")"),"Bocadas para caballos")</f>
        <v>Bocadas para caballos</v>
      </c>
      <c r="M5510" s="8" t="s">
        <v>90</v>
      </c>
      <c r="N5510" s="8"/>
    </row>
    <row r="5511" spans="1:14" ht="11.25" customHeight="1">
      <c r="A5511" s="5" t="s">
        <v>15804</v>
      </c>
      <c r="B5511" s="5" t="s">
        <v>15926</v>
      </c>
      <c r="C5511" s="5" t="s">
        <v>15984</v>
      </c>
      <c r="D5511" s="5" t="s">
        <v>15807</v>
      </c>
      <c r="E5511" s="5" t="s">
        <v>91</v>
      </c>
      <c r="F5511" s="5" t="s">
        <v>15808</v>
      </c>
      <c r="G5511" s="5" t="s">
        <v>15809</v>
      </c>
      <c r="H5511" s="5" t="s">
        <v>15928</v>
      </c>
      <c r="I5511" s="5" t="s">
        <v>15985</v>
      </c>
      <c r="J5511" s="5" t="s">
        <v>15986</v>
      </c>
      <c r="K5511" s="7" t="str">
        <f ca="1">IFERROR(__xludf.DUMMYFUNCTION("GOOGLETRANSLATE(H5511,""EN"",""ES"")"),"TALABARTERÍA")</f>
        <v>TALABARTERÍA</v>
      </c>
      <c r="L5511" s="5" t="str">
        <f ca="1">IFERROR(__xludf.DUMMYFUNCTION("GOOGLETRANSLATE(J5511,""EN"",""ES"")"),"bozales")</f>
        <v>bozales</v>
      </c>
      <c r="M5511" s="8" t="s">
        <v>90</v>
      </c>
      <c r="N5511" s="8"/>
    </row>
    <row r="5512" spans="1:14" ht="11.25" customHeight="1">
      <c r="A5512" s="5" t="s">
        <v>15804</v>
      </c>
      <c r="B5512" s="5" t="s">
        <v>15926</v>
      </c>
      <c r="C5512" s="5" t="s">
        <v>15987</v>
      </c>
      <c r="D5512" s="5" t="s">
        <v>15807</v>
      </c>
      <c r="E5512" s="5" t="s">
        <v>91</v>
      </c>
      <c r="F5512" s="5" t="s">
        <v>15808</v>
      </c>
      <c r="G5512" s="5" t="s">
        <v>15809</v>
      </c>
      <c r="H5512" s="5" t="s">
        <v>15928</v>
      </c>
      <c r="I5512" s="5" t="s">
        <v>15988</v>
      </c>
      <c r="J5512" s="5" t="s">
        <v>15989</v>
      </c>
      <c r="K5512" s="7" t="str">
        <f ca="1">IFERROR(__xludf.DUMMYFUNCTION("GOOGLETRANSLATE(H5512,""EN"",""ES"")"),"TALABARTERÍA")</f>
        <v>TALABARTERÍA</v>
      </c>
      <c r="L5512" s="5" t="str">
        <f ca="1">IFERROR(__xludf.DUMMYFUNCTION("GOOGLETRANSLATE(J5512,""EN"",""ES"")"),"Bandas para la nariz [arnés]")</f>
        <v>Bandas para la nariz [arnés]</v>
      </c>
      <c r="M5512" s="8" t="s">
        <v>90</v>
      </c>
      <c r="N5512" s="8"/>
    </row>
    <row r="5513" spans="1:14" ht="11.25" customHeight="1">
      <c r="A5513" s="5" t="s">
        <v>15804</v>
      </c>
      <c r="B5513" s="5" t="s">
        <v>15926</v>
      </c>
      <c r="C5513" s="5" t="s">
        <v>15990</v>
      </c>
      <c r="D5513" s="5" t="s">
        <v>15807</v>
      </c>
      <c r="E5513" s="5" t="s">
        <v>91</v>
      </c>
      <c r="F5513" s="5" t="s">
        <v>15808</v>
      </c>
      <c r="G5513" s="5" t="s">
        <v>15809</v>
      </c>
      <c r="H5513" s="5" t="s">
        <v>15928</v>
      </c>
      <c r="I5513" s="5" t="s">
        <v>15991</v>
      </c>
      <c r="J5513" s="5" t="s">
        <v>15992</v>
      </c>
      <c r="K5513" s="7" t="str">
        <f ca="1">IFERROR(__xludf.DUMMYFUNCTION("GOOGLETRANSLATE(H5513,""EN"",""ES"")"),"TALABARTERÍA")</f>
        <v>TALABARTERÍA</v>
      </c>
      <c r="L5513" s="5" t="str">
        <f ca="1">IFERROR(__xludf.DUMMYFUNCTION("GOOGLETRANSLATE(J5513,""EN"",""ES"")"),"Arnés de pecho")</f>
        <v>Arnés de pecho</v>
      </c>
      <c r="M5513" s="8" t="s">
        <v>90</v>
      </c>
      <c r="N5513" s="8"/>
    </row>
    <row r="5514" spans="1:14" ht="11.25" customHeight="1">
      <c r="A5514" s="5" t="s">
        <v>15804</v>
      </c>
      <c r="B5514" s="5" t="s">
        <v>15926</v>
      </c>
      <c r="C5514" s="5" t="s">
        <v>15993</v>
      </c>
      <c r="D5514" s="5" t="s">
        <v>15807</v>
      </c>
      <c r="E5514" s="5" t="s">
        <v>91</v>
      </c>
      <c r="F5514" s="5" t="s">
        <v>15808</v>
      </c>
      <c r="G5514" s="5" t="s">
        <v>15809</v>
      </c>
      <c r="H5514" s="5" t="s">
        <v>15928</v>
      </c>
      <c r="I5514" s="5" t="s">
        <v>15994</v>
      </c>
      <c r="J5514" s="5" t="s">
        <v>15995</v>
      </c>
      <c r="K5514" s="7" t="str">
        <f ca="1">IFERROR(__xludf.DUMMYFUNCTION("GOOGLETRANSLATE(H5514,""EN"",""ES"")"),"TALABARTERÍA")</f>
        <v>TALABARTERÍA</v>
      </c>
      <c r="L5514" s="5" t="str">
        <f ca="1">IFERROR(__xludf.DUMMYFUNCTION("GOOGLETRANSLATE(J5514,""EN"",""ES"")"),"Alforjas")</f>
        <v>Alforjas</v>
      </c>
      <c r="M5514" s="8" t="s">
        <v>90</v>
      </c>
      <c r="N5514" s="8"/>
    </row>
    <row r="5515" spans="1:14" ht="11.25" customHeight="1">
      <c r="A5515" s="5" t="s">
        <v>15804</v>
      </c>
      <c r="B5515" s="5" t="s">
        <v>15926</v>
      </c>
      <c r="C5515" s="5" t="s">
        <v>15996</v>
      </c>
      <c r="D5515" s="5" t="s">
        <v>15807</v>
      </c>
      <c r="E5515" s="5" t="s">
        <v>91</v>
      </c>
      <c r="F5515" s="5" t="s">
        <v>15808</v>
      </c>
      <c r="G5515" s="5" t="s">
        <v>15809</v>
      </c>
      <c r="H5515" s="5" t="s">
        <v>15928</v>
      </c>
      <c r="I5515" s="5" t="s">
        <v>15997</v>
      </c>
      <c r="J5515" s="5" t="s">
        <v>15998</v>
      </c>
      <c r="K5515" s="7" t="str">
        <f ca="1">IFERROR(__xludf.DUMMYFUNCTION("GOOGLETRANSLATE(H5515,""EN"",""ES"")"),"TALABARTERÍA")</f>
        <v>TALABARTERÍA</v>
      </c>
      <c r="L5515" s="5" t="str">
        <f ca="1">IFERROR(__xludf.DUMMYFUNCTION("GOOGLETRANSLATE(J5515,""EN"",""ES"")"),"Talabartería")</f>
        <v>Talabartería</v>
      </c>
      <c r="M5515" s="8" t="s">
        <v>90</v>
      </c>
      <c r="N5515" s="8"/>
    </row>
    <row r="5516" spans="1:14" ht="11.25" customHeight="1">
      <c r="A5516" s="5" t="s">
        <v>15804</v>
      </c>
      <c r="B5516" s="5" t="s">
        <v>15926</v>
      </c>
      <c r="C5516" s="5" t="s">
        <v>15999</v>
      </c>
      <c r="D5516" s="5" t="s">
        <v>15807</v>
      </c>
      <c r="E5516" s="5" t="s">
        <v>91</v>
      </c>
      <c r="F5516" s="5" t="s">
        <v>15808</v>
      </c>
      <c r="G5516" s="5" t="s">
        <v>15809</v>
      </c>
      <c r="H5516" s="5" t="s">
        <v>15928</v>
      </c>
      <c r="I5516" s="5" t="s">
        <v>16000</v>
      </c>
      <c r="J5516" s="5" t="s">
        <v>16001</v>
      </c>
      <c r="K5516" s="7" t="str">
        <f ca="1">IFERROR(__xludf.DUMMYFUNCTION("GOOGLETRANSLATE(H5516,""EN"",""ES"")"),"TALABARTERÍA")</f>
        <v>TALABARTERÍA</v>
      </c>
      <c r="L5516" s="5" t="str">
        <f ca="1">IFERROR(__xludf.DUMMYFUNCTION("GOOGLETRANSLATE(J5516,""EN"",""ES"")"),"Cantos de sillas de montar")</f>
        <v>Cantos de sillas de montar</v>
      </c>
      <c r="M5516" s="8" t="s">
        <v>90</v>
      </c>
      <c r="N5516" s="8"/>
    </row>
    <row r="5517" spans="1:14" ht="11.25" customHeight="1">
      <c r="A5517" s="5" t="s">
        <v>15804</v>
      </c>
      <c r="B5517" s="5" t="s">
        <v>15926</v>
      </c>
      <c r="C5517" s="5" t="s">
        <v>16002</v>
      </c>
      <c r="D5517" s="5" t="s">
        <v>15807</v>
      </c>
      <c r="E5517" s="5" t="s">
        <v>91</v>
      </c>
      <c r="F5517" s="5" t="s">
        <v>15808</v>
      </c>
      <c r="G5517" s="5" t="s">
        <v>15809</v>
      </c>
      <c r="H5517" s="5" t="s">
        <v>15928</v>
      </c>
      <c r="I5517" s="5" t="s">
        <v>16003</v>
      </c>
      <c r="J5517" s="5" t="s">
        <v>16004</v>
      </c>
      <c r="K5517" s="7" t="str">
        <f ca="1">IFERROR(__xludf.DUMMYFUNCTION("GOOGLETRANSLATE(H5517,""EN"",""ES"")"),"TALABARTERÍA")</f>
        <v>TALABARTERÍA</v>
      </c>
      <c r="L5517" s="5" t="str">
        <f ca="1">IFERROR(__xludf.DUMMYFUNCTION("GOOGLETRANSLATE(J5517,""EN"",""ES"")"),"Anteojeras para caballos")</f>
        <v>Anteojeras para caballos</v>
      </c>
      <c r="M5517" s="8" t="s">
        <v>90</v>
      </c>
      <c r="N5517" s="8"/>
    </row>
    <row r="5518" spans="1:14" ht="11.25" customHeight="1">
      <c r="A5518" s="5" t="s">
        <v>15804</v>
      </c>
      <c r="B5518" s="5" t="s">
        <v>15926</v>
      </c>
      <c r="C5518" s="5" t="s">
        <v>16002</v>
      </c>
      <c r="D5518" s="5" t="s">
        <v>15807</v>
      </c>
      <c r="E5518" s="5" t="s">
        <v>91</v>
      </c>
      <c r="F5518" s="5" t="s">
        <v>15808</v>
      </c>
      <c r="G5518" s="5" t="s">
        <v>15809</v>
      </c>
      <c r="H5518" s="5" t="s">
        <v>15928</v>
      </c>
      <c r="I5518" s="5" t="s">
        <v>16005</v>
      </c>
      <c r="J5518" s="5" t="s">
        <v>152</v>
      </c>
      <c r="K5518" s="7" t="str">
        <f ca="1">IFERROR(__xludf.DUMMYFUNCTION("GOOGLETRANSLATE(H5518,""EN"",""ES"")"),"TALABARTERÍA")</f>
        <v>TALABARTERÍA</v>
      </c>
      <c r="L5518" s="5" t="str">
        <f ca="1">IFERROR(__xludf.DUMMYFUNCTION("GOOGLETRANSLATE(J5518,""EN"",""ES"")"),"Anteojeras para caballos")</f>
        <v>Anteojeras para caballos</v>
      </c>
      <c r="M5518" s="8" t="s">
        <v>90</v>
      </c>
      <c r="N5518" s="8"/>
    </row>
    <row r="5519" spans="1:14" ht="11.25" customHeight="1">
      <c r="A5519" s="5" t="s">
        <v>15804</v>
      </c>
      <c r="B5519" s="5" t="s">
        <v>15926</v>
      </c>
      <c r="C5519" s="5" t="s">
        <v>16006</v>
      </c>
      <c r="D5519" s="5" t="s">
        <v>15807</v>
      </c>
      <c r="E5519" s="5" t="s">
        <v>91</v>
      </c>
      <c r="F5519" s="5" t="s">
        <v>15808</v>
      </c>
      <c r="G5519" s="5" t="s">
        <v>15809</v>
      </c>
      <c r="H5519" s="5" t="s">
        <v>15928</v>
      </c>
      <c r="I5519" s="5" t="s">
        <v>16007</v>
      </c>
      <c r="J5519" s="5" t="s">
        <v>16008</v>
      </c>
      <c r="K5519" s="7" t="str">
        <f ca="1">IFERROR(__xludf.DUMMYFUNCTION("GOOGLETRANSLATE(H5519,""EN"",""ES"")"),"TALABARTERÍA")</f>
        <v>TALABARTERÍA</v>
      </c>
      <c r="L5519" s="5" t="str">
        <f ca="1">IFERROR(__xludf.DUMMYFUNCTION("GOOGLETRANSLATE(J5519,""EN"",""ES"")"),"cadenas para perros")</f>
        <v>cadenas para perros</v>
      </c>
      <c r="M5519" s="8" t="s">
        <v>90</v>
      </c>
      <c r="N5519" s="8"/>
    </row>
    <row r="5520" spans="1:14" ht="11.25" customHeight="1">
      <c r="A5520" s="5" t="s">
        <v>15804</v>
      </c>
      <c r="B5520" s="5" t="s">
        <v>15926</v>
      </c>
      <c r="C5520" s="5" t="s">
        <v>16009</v>
      </c>
      <c r="D5520" s="5" t="s">
        <v>15807</v>
      </c>
      <c r="E5520" s="5" t="s">
        <v>91</v>
      </c>
      <c r="F5520" s="5" t="s">
        <v>15808</v>
      </c>
      <c r="G5520" s="5" t="s">
        <v>15809</v>
      </c>
      <c r="H5520" s="5" t="s">
        <v>15928</v>
      </c>
      <c r="I5520" s="5" t="s">
        <v>16010</v>
      </c>
      <c r="J5520" s="5" t="s">
        <v>16011</v>
      </c>
      <c r="K5520" s="7" t="str">
        <f ca="1">IFERROR(__xludf.DUMMYFUNCTION("GOOGLETRANSLATE(H5520,""EN"",""ES"")"),"TALABARTERÍA")</f>
        <v>TALABARTERÍA</v>
      </c>
      <c r="L5520" s="5" t="str">
        <f ca="1">IFERROR(__xludf.DUMMYFUNCTION("GOOGLETRANSLATE(J5520,""EN"",""ES"")"),"Sujetadores para cueros de estribo")</f>
        <v>Sujetadores para cueros de estribo</v>
      </c>
      <c r="M5520" s="8" t="s">
        <v>90</v>
      </c>
      <c r="N5520" s="8"/>
    </row>
    <row r="5521" spans="1:14" ht="11.25" customHeight="1">
      <c r="A5521" s="5" t="s">
        <v>15804</v>
      </c>
      <c r="B5521" s="5" t="s">
        <v>15926</v>
      </c>
      <c r="C5521" s="5" t="s">
        <v>16012</v>
      </c>
      <c r="D5521" s="5" t="s">
        <v>15807</v>
      </c>
      <c r="E5521" s="5" t="s">
        <v>91</v>
      </c>
      <c r="F5521" s="5" t="s">
        <v>15808</v>
      </c>
      <c r="G5521" s="5" t="s">
        <v>15809</v>
      </c>
      <c r="H5521" s="5" t="s">
        <v>15928</v>
      </c>
      <c r="I5521" s="5" t="s">
        <v>16013</v>
      </c>
      <c r="J5521" s="5" t="s">
        <v>16014</v>
      </c>
      <c r="K5521" s="7" t="str">
        <f ca="1">IFERROR(__xludf.DUMMYFUNCTION("GOOGLETRANSLATE(H5521,""EN"",""ES"")"),"TALABARTERÍA")</f>
        <v>TALABARTERÍA</v>
      </c>
      <c r="L5521" s="5" t="str">
        <f ca="1">IFERROR(__xludf.DUMMYFUNCTION("GOOGLETRANSLATE(J5521,""EN"",""ES"")"),"riendas")</f>
        <v>riendas</v>
      </c>
      <c r="M5521" s="8" t="s">
        <v>90</v>
      </c>
      <c r="N5521" s="8"/>
    </row>
    <row r="5522" spans="1:14" ht="11.25" customHeight="1">
      <c r="A5522" s="5" t="s">
        <v>15804</v>
      </c>
      <c r="B5522" s="5" t="s">
        <v>15926</v>
      </c>
      <c r="C5522" s="5" t="s">
        <v>16015</v>
      </c>
      <c r="D5522" s="5" t="s">
        <v>15807</v>
      </c>
      <c r="E5522" s="5" t="s">
        <v>91</v>
      </c>
      <c r="F5522" s="5" t="s">
        <v>15808</v>
      </c>
      <c r="G5522" s="5" t="s">
        <v>15809</v>
      </c>
      <c r="H5522" s="5" t="s">
        <v>15928</v>
      </c>
      <c r="I5522" s="5" t="s">
        <v>16016</v>
      </c>
      <c r="J5522" s="5" t="s">
        <v>16017</v>
      </c>
      <c r="K5522" s="7" t="str">
        <f ca="1">IFERROR(__xludf.DUMMYFUNCTION("GOOGLETRANSLATE(H5522,""EN"",""ES"")"),"TALABARTERÍA")</f>
        <v>TALABARTERÍA</v>
      </c>
      <c r="L5522" s="5" t="str">
        <f ca="1">IFERROR(__xludf.DUMMYFUNCTION("GOOGLETRANSLATE(J5522,""EN"",""ES"")"),"Hebillas del arnés")</f>
        <v>Hebillas del arnés</v>
      </c>
      <c r="M5522" s="8" t="s">
        <v>90</v>
      </c>
      <c r="N5522" s="8"/>
    </row>
    <row r="5523" spans="1:14" ht="11.25" customHeight="1">
      <c r="A5523" s="5" t="s">
        <v>15804</v>
      </c>
      <c r="B5523" s="5" t="s">
        <v>15926</v>
      </c>
      <c r="C5523" s="5" t="s">
        <v>16018</v>
      </c>
      <c r="D5523" s="5" t="s">
        <v>15807</v>
      </c>
      <c r="E5523" s="5" t="s">
        <v>91</v>
      </c>
      <c r="F5523" s="5" t="s">
        <v>15808</v>
      </c>
      <c r="G5523" s="5" t="s">
        <v>15809</v>
      </c>
      <c r="H5523" s="5" t="s">
        <v>15928</v>
      </c>
      <c r="I5523" s="5" t="s">
        <v>16019</v>
      </c>
      <c r="J5523" s="5" t="s">
        <v>16020</v>
      </c>
      <c r="K5523" s="7" t="str">
        <f ca="1">IFERROR(__xludf.DUMMYFUNCTION("GOOGLETRANSLATE(H5523,""EN"",""ES"")"),"TALABARTERÍA")</f>
        <v>TALABARTERÍA</v>
      </c>
      <c r="L5523" s="5" t="str">
        <f ca="1">IFERROR(__xludf.DUMMYFUNCTION("GOOGLETRANSLATE(J5523,""EN"",""ES"")"),"Yugos [arnés]")</f>
        <v>Yugos [arnés]</v>
      </c>
      <c r="M5523" s="8" t="s">
        <v>90</v>
      </c>
      <c r="N5523" s="8"/>
    </row>
    <row r="5524" spans="1:14" ht="11.25" customHeight="1">
      <c r="A5524" s="5" t="s">
        <v>15804</v>
      </c>
      <c r="B5524" s="5" t="s">
        <v>15926</v>
      </c>
      <c r="C5524" s="5" t="s">
        <v>16021</v>
      </c>
      <c r="D5524" s="5" t="s">
        <v>15807</v>
      </c>
      <c r="E5524" s="5" t="s">
        <v>91</v>
      </c>
      <c r="F5524" s="5" t="s">
        <v>15808</v>
      </c>
      <c r="G5524" s="5" t="s">
        <v>15809</v>
      </c>
      <c r="H5524" s="5" t="s">
        <v>15928</v>
      </c>
      <c r="I5524" s="5" t="s">
        <v>16022</v>
      </c>
      <c r="J5524" s="5" t="s">
        <v>16023</v>
      </c>
      <c r="K5524" s="7" t="str">
        <f ca="1">IFERROR(__xludf.DUMMYFUNCTION("GOOGLETRANSLATE(H5524,""EN"",""ES"")"),"TALABARTERÍA")</f>
        <v>TALABARTERÍA</v>
      </c>
      <c r="L5524" s="5" t="str">
        <f ca="1">IFERROR(__xludf.DUMMYFUNCTION("GOOGLETRANSLATE(J5524,""EN"",""ES"")"),"circunferencias")</f>
        <v>circunferencias</v>
      </c>
      <c r="M5524" s="8" t="s">
        <v>90</v>
      </c>
      <c r="N5524" s="8"/>
    </row>
    <row r="5525" spans="1:14" ht="11.25" customHeight="1">
      <c r="A5525" s="5" t="s">
        <v>15804</v>
      </c>
      <c r="B5525" s="5" t="s">
        <v>15926</v>
      </c>
      <c r="C5525" s="5" t="s">
        <v>16024</v>
      </c>
      <c r="D5525" s="5" t="s">
        <v>15807</v>
      </c>
      <c r="E5525" s="5" t="s">
        <v>91</v>
      </c>
      <c r="F5525" s="5" t="s">
        <v>15808</v>
      </c>
      <c r="G5525" s="5" t="s">
        <v>15809</v>
      </c>
      <c r="H5525" s="5" t="s">
        <v>15928</v>
      </c>
      <c r="I5525" s="5" t="s">
        <v>16025</v>
      </c>
      <c r="J5525" s="5" t="s">
        <v>16026</v>
      </c>
      <c r="K5525" s="7" t="str">
        <f ca="1">IFERROR(__xludf.DUMMYFUNCTION("GOOGLETRANSLATE(H5525,""EN"",""ES"")"),"TALABARTERÍA")</f>
        <v>TALABARTERÍA</v>
      </c>
      <c r="L5525" s="5" t="str">
        <f ca="1">IFERROR(__xludf.DUMMYFUNCTION("GOOGLETRANSLATE(J5525,""EN"",""ES"")"),"Sillas de montar")</f>
        <v>Sillas de montar</v>
      </c>
      <c r="M5525" s="8" t="s">
        <v>90</v>
      </c>
      <c r="N5525" s="8"/>
    </row>
    <row r="5526" spans="1:14" ht="11.25" customHeight="1">
      <c r="A5526" s="5" t="s">
        <v>15804</v>
      </c>
      <c r="B5526" s="5" t="s">
        <v>15926</v>
      </c>
      <c r="C5526" s="5" t="s">
        <v>16027</v>
      </c>
      <c r="D5526" s="5" t="s">
        <v>15807</v>
      </c>
      <c r="E5526" s="5" t="s">
        <v>91</v>
      </c>
      <c r="F5526" s="5" t="s">
        <v>15808</v>
      </c>
      <c r="G5526" s="5" t="s">
        <v>15809</v>
      </c>
      <c r="H5526" s="5" t="s">
        <v>15928</v>
      </c>
      <c r="I5526" s="5" t="s">
        <v>16028</v>
      </c>
      <c r="J5526" s="5" t="s">
        <v>16029</v>
      </c>
      <c r="K5526" s="7" t="str">
        <f ca="1">IFERROR(__xludf.DUMMYFUNCTION("GOOGLETRANSLATE(H5526,""EN"",""ES"")"),"TALABARTERÍA")</f>
        <v>TALABARTERÍA</v>
      </c>
      <c r="L5526" s="5" t="str">
        <f ca="1">IFERROR(__xludf.DUMMYFUNCTION("GOOGLETRANSLATE(J5526,""EN"",""ES"")"),"Remolcadores de arneses")</f>
        <v>Remolcadores de arneses</v>
      </c>
      <c r="M5526" s="8" t="s">
        <v>90</v>
      </c>
      <c r="N5526" s="8"/>
    </row>
    <row r="5527" spans="1:14" ht="11.25" customHeight="1">
      <c r="A5527" s="5" t="s">
        <v>15804</v>
      </c>
      <c r="B5527" s="5" t="s">
        <v>15926</v>
      </c>
      <c r="C5527" s="5" t="s">
        <v>16030</v>
      </c>
      <c r="D5527" s="5" t="s">
        <v>15807</v>
      </c>
      <c r="E5527" s="5" t="s">
        <v>91</v>
      </c>
      <c r="F5527" s="5" t="s">
        <v>15808</v>
      </c>
      <c r="G5527" s="5" t="s">
        <v>15809</v>
      </c>
      <c r="H5527" s="5" t="s">
        <v>15928</v>
      </c>
      <c r="I5527" s="5" t="s">
        <v>16031</v>
      </c>
      <c r="J5527" s="5" t="s">
        <v>16032</v>
      </c>
      <c r="K5527" s="7" t="str">
        <f ca="1">IFERROR(__xludf.DUMMYFUNCTION("GOOGLETRANSLATE(H5527,""EN"",""ES"")"),"TALABARTERÍA")</f>
        <v>TALABARTERÍA</v>
      </c>
      <c r="L5527" s="5" t="str">
        <f ca="1">IFERROR(__xludf.DUMMYFUNCTION("GOOGLETRANSLATE(J5527,""EN"",""ES"")"),"Collares antiladridos")</f>
        <v>Collares antiladridos</v>
      </c>
      <c r="M5527" s="8" t="s">
        <v>90</v>
      </c>
      <c r="N5527" s="8"/>
    </row>
    <row r="5528" spans="1:14" ht="11.25" customHeight="1">
      <c r="A5528" s="5" t="s">
        <v>15804</v>
      </c>
      <c r="B5528" s="5" t="s">
        <v>15926</v>
      </c>
      <c r="C5528" s="5" t="s">
        <v>16033</v>
      </c>
      <c r="D5528" s="5" t="s">
        <v>15807</v>
      </c>
      <c r="E5528" s="5" t="s">
        <v>91</v>
      </c>
      <c r="F5528" s="5" t="s">
        <v>15808</v>
      </c>
      <c r="G5528" s="5" t="s">
        <v>15809</v>
      </c>
      <c r="H5528" s="5" t="s">
        <v>15928</v>
      </c>
      <c r="I5528" s="5" t="s">
        <v>16034</v>
      </c>
      <c r="J5528" s="5" t="s">
        <v>16035</v>
      </c>
      <c r="K5528" s="7" t="str">
        <f ca="1">IFERROR(__xludf.DUMMYFUNCTION("GOOGLETRANSLATE(H5528,""EN"",""ES"")"),"TALABARTERÍA")</f>
        <v>TALABARTERÍA</v>
      </c>
      <c r="L5528" s="5" t="str">
        <f ca="1">IFERROR(__xludf.DUMMYFUNCTION("GOOGLETRANSLATE(J5528,""EN"",""ES"")"),"Mantillas")</f>
        <v>Mantillas</v>
      </c>
      <c r="M5528" s="8" t="s">
        <v>90</v>
      </c>
      <c r="N5528" s="8"/>
    </row>
    <row r="5529" spans="1:14" ht="11.25" customHeight="1">
      <c r="A5529" s="5" t="s">
        <v>15804</v>
      </c>
      <c r="B5529" s="5" t="s">
        <v>15926</v>
      </c>
      <c r="C5529" s="5" t="s">
        <v>16033</v>
      </c>
      <c r="D5529" s="5" t="s">
        <v>15807</v>
      </c>
      <c r="E5529" s="5" t="s">
        <v>91</v>
      </c>
      <c r="F5529" s="5" t="s">
        <v>15808</v>
      </c>
      <c r="G5529" s="5" t="s">
        <v>15809</v>
      </c>
      <c r="H5529" s="5" t="s">
        <v>15928</v>
      </c>
      <c r="I5529" s="5" t="s">
        <v>16036</v>
      </c>
      <c r="J5529" s="5" t="s">
        <v>152</v>
      </c>
      <c r="K5529" s="7" t="str">
        <f ca="1">IFERROR(__xludf.DUMMYFUNCTION("GOOGLETRANSLATE(H5529,""EN"",""ES"")"),"TALABARTERÍA")</f>
        <v>TALABARTERÍA</v>
      </c>
      <c r="L5529" s="5" t="str">
        <f ca="1">IFERROR(__xludf.DUMMYFUNCTION("GOOGLETRANSLATE(J5529,""EN"",""ES"")"),"Mantas para silla de montar")</f>
        <v>Mantas para silla de montar</v>
      </c>
      <c r="M5529" s="8" t="s">
        <v>90</v>
      </c>
      <c r="N5529" s="8"/>
    </row>
    <row r="5530" spans="1:14" ht="11.25" customHeight="1">
      <c r="A5530" s="5" t="s">
        <v>15804</v>
      </c>
      <c r="B5530" s="5" t="s">
        <v>15926</v>
      </c>
      <c r="C5530" s="5" t="s">
        <v>16037</v>
      </c>
      <c r="D5530" s="5" t="s">
        <v>15807</v>
      </c>
      <c r="E5530" s="5" t="s">
        <v>91</v>
      </c>
      <c r="F5530" s="5" t="s">
        <v>15808</v>
      </c>
      <c r="G5530" s="5" t="s">
        <v>15809</v>
      </c>
      <c r="H5530" s="5" t="s">
        <v>15928</v>
      </c>
      <c r="I5530" s="5" t="s">
        <v>16038</v>
      </c>
      <c r="J5530" s="5" t="s">
        <v>16039</v>
      </c>
      <c r="K5530" s="7" t="str">
        <f ca="1">IFERROR(__xludf.DUMMYFUNCTION("GOOGLETRANSLATE(H5530,""EN"",""ES"")"),"TALABARTERÍA")</f>
        <v>TALABARTERÍA</v>
      </c>
      <c r="L5530" s="5" t="str">
        <f ca="1">IFERROR(__xludf.DUMMYFUNCTION("GOOGLETRANSLATE(J5530,""EN"",""ES"")"),"Pomos de silla de montar")</f>
        <v>Pomos de silla de montar</v>
      </c>
      <c r="M5530" s="8" t="s">
        <v>90</v>
      </c>
      <c r="N5530" s="8"/>
    </row>
    <row r="5531" spans="1:14" ht="11.25" customHeight="1">
      <c r="A5531" s="5" t="s">
        <v>15804</v>
      </c>
      <c r="B5531" s="5" t="s">
        <v>16040</v>
      </c>
      <c r="C5531" s="5" t="s">
        <v>16041</v>
      </c>
      <c r="D5531" s="5" t="s">
        <v>15807</v>
      </c>
      <c r="E5531" s="5" t="s">
        <v>91</v>
      </c>
      <c r="F5531" s="5" t="s">
        <v>15808</v>
      </c>
      <c r="G5531" s="5" t="s">
        <v>15809</v>
      </c>
      <c r="H5531" s="5" t="s">
        <v>16042</v>
      </c>
      <c r="I5531" s="5" t="s">
        <v>16043</v>
      </c>
      <c r="J5531" s="5" t="s">
        <v>16044</v>
      </c>
      <c r="K5531" s="7" t="str">
        <f ca="1">IFERROR(__xludf.DUMMYFUNCTION("GOOGLETRANSLATE(H5531,""EN"",""ES"")"),"Látigos y picanas")</f>
        <v>Látigos y picanas</v>
      </c>
      <c r="L5531" s="5" t="str">
        <f ca="1">IFERROR(__xludf.DUMMYFUNCTION("GOOGLETRANSLATE(J5531,""EN"",""ES"")"),"aguijones")</f>
        <v>aguijones</v>
      </c>
      <c r="M5531" s="8" t="s">
        <v>90</v>
      </c>
      <c r="N5531" s="8"/>
    </row>
    <row r="5532" spans="1:14" ht="11.25" customHeight="1">
      <c r="A5532" s="5" t="s">
        <v>15804</v>
      </c>
      <c r="B5532" s="5" t="s">
        <v>16040</v>
      </c>
      <c r="C5532" s="5" t="s">
        <v>16041</v>
      </c>
      <c r="D5532" s="5" t="s">
        <v>15807</v>
      </c>
      <c r="E5532" s="5" t="s">
        <v>91</v>
      </c>
      <c r="F5532" s="5" t="s">
        <v>15808</v>
      </c>
      <c r="G5532" s="5" t="s">
        <v>15809</v>
      </c>
      <c r="H5532" s="5" t="s">
        <v>16042</v>
      </c>
      <c r="I5532" s="5" t="s">
        <v>16045</v>
      </c>
      <c r="J5532" s="5" t="s">
        <v>152</v>
      </c>
      <c r="K5532" s="7" t="str">
        <f ca="1">IFERROR(__xludf.DUMMYFUNCTION("GOOGLETRANSLATE(H5532,""EN"",""ES"")"),"Látigos y picanas")</f>
        <v>Látigos y picanas</v>
      </c>
      <c r="L5532" s="5" t="str">
        <f ca="1">IFERROR(__xludf.DUMMYFUNCTION("GOOGLETRANSLATE(J5532,""EN"",""ES"")"),"pinchazos")</f>
        <v>pinchazos</v>
      </c>
      <c r="M5532" s="8" t="s">
        <v>90</v>
      </c>
      <c r="N5532" s="8"/>
    </row>
    <row r="5533" spans="1:14" ht="11.25" customHeight="1">
      <c r="A5533" s="5" t="s">
        <v>15804</v>
      </c>
      <c r="B5533" s="5" t="s">
        <v>16040</v>
      </c>
      <c r="C5533" s="5" t="s">
        <v>16046</v>
      </c>
      <c r="D5533" s="5" t="s">
        <v>15807</v>
      </c>
      <c r="E5533" s="5" t="s">
        <v>91</v>
      </c>
      <c r="F5533" s="5" t="s">
        <v>15808</v>
      </c>
      <c r="G5533" s="5" t="s">
        <v>15809</v>
      </c>
      <c r="H5533" s="5" t="s">
        <v>16042</v>
      </c>
      <c r="I5533" s="5" t="s">
        <v>16047</v>
      </c>
      <c r="J5533" s="5" t="s">
        <v>16048</v>
      </c>
      <c r="K5533" s="7" t="str">
        <f ca="1">IFERROR(__xludf.DUMMYFUNCTION("GOOGLETRANSLATE(H5533,""EN"",""ES"")"),"Látigos y picanas")</f>
        <v>Látigos y picanas</v>
      </c>
      <c r="L5533" s="5" t="str">
        <f ca="1">IFERROR(__xludf.DUMMYFUNCTION("GOOGLETRANSLATE(J5533,""EN"",""ES"")"),"Cultivos para jinetes")</f>
        <v>Cultivos para jinetes</v>
      </c>
      <c r="M5533" s="8" t="s">
        <v>90</v>
      </c>
      <c r="N5533" s="8"/>
    </row>
    <row r="5534" spans="1:14" ht="11.25" customHeight="1">
      <c r="A5534" s="5" t="s">
        <v>15804</v>
      </c>
      <c r="B5534" s="5" t="s">
        <v>16040</v>
      </c>
      <c r="C5534" s="5" t="s">
        <v>16049</v>
      </c>
      <c r="D5534" s="5" t="s">
        <v>15807</v>
      </c>
      <c r="E5534" s="5" t="s">
        <v>91</v>
      </c>
      <c r="F5534" s="5" t="s">
        <v>15808</v>
      </c>
      <c r="G5534" s="5" t="s">
        <v>15809</v>
      </c>
      <c r="H5534" s="5" t="s">
        <v>16042</v>
      </c>
      <c r="I5534" s="5" t="s">
        <v>16050</v>
      </c>
      <c r="J5534" s="5" t="s">
        <v>16051</v>
      </c>
      <c r="K5534" s="7" t="str">
        <f ca="1">IFERROR(__xludf.DUMMYFUNCTION("GOOGLETRANSLATE(H5534,""EN"",""ES"")"),"Látigos y picanas")</f>
        <v>Látigos y picanas</v>
      </c>
      <c r="L5534" s="5" t="str">
        <f ca="1">IFERROR(__xludf.DUMMYFUNCTION("GOOGLETRANSLATE(J5534,""EN"",""ES"")"),"Espuelas")</f>
        <v>Espuelas</v>
      </c>
      <c r="M5534" s="8" t="s">
        <v>90</v>
      </c>
      <c r="N5534" s="8"/>
    </row>
    <row r="5535" spans="1:14" ht="11.25" customHeight="1">
      <c r="A5535" s="5" t="s">
        <v>15804</v>
      </c>
      <c r="B5535" s="5" t="s">
        <v>16040</v>
      </c>
      <c r="C5535" s="5" t="s">
        <v>16052</v>
      </c>
      <c r="D5535" s="5" t="s">
        <v>15807</v>
      </c>
      <c r="E5535" s="5" t="s">
        <v>91</v>
      </c>
      <c r="F5535" s="5" t="s">
        <v>15808</v>
      </c>
      <c r="G5535" s="5" t="s">
        <v>15809</v>
      </c>
      <c r="H5535" s="5" t="s">
        <v>16042</v>
      </c>
      <c r="I5535" s="5" t="s">
        <v>16053</v>
      </c>
      <c r="J5535" s="5" t="s">
        <v>16054</v>
      </c>
      <c r="K5535" s="7" t="str">
        <f ca="1">IFERROR(__xludf.DUMMYFUNCTION("GOOGLETRANSLATE(H5535,""EN"",""ES"")"),"Látigos y picanas")</f>
        <v>Látigos y picanas</v>
      </c>
      <c r="L5535" s="5" t="str">
        <f ca="1">IFERROR(__xludf.DUMMYFUNCTION("GOOGLETRANSLATE(J5535,""EN"",""ES"")"),"Látigos para animales")</f>
        <v>Látigos para animales</v>
      </c>
      <c r="M5535" s="8" t="s">
        <v>90</v>
      </c>
      <c r="N5535" s="8"/>
    </row>
    <row r="5536" spans="1:14" ht="11.25" customHeight="1">
      <c r="A5536" s="5" t="s">
        <v>15804</v>
      </c>
      <c r="B5536" s="5" t="s">
        <v>16055</v>
      </c>
      <c r="C5536" s="5" t="s">
        <v>16056</v>
      </c>
      <c r="D5536" s="5" t="s">
        <v>15807</v>
      </c>
      <c r="E5536" s="5" t="s">
        <v>91</v>
      </c>
      <c r="F5536" s="5" t="s">
        <v>15808</v>
      </c>
      <c r="G5536" s="5" t="s">
        <v>15809</v>
      </c>
      <c r="H5536" s="5" t="s">
        <v>16057</v>
      </c>
      <c r="I5536" s="5" t="s">
        <v>16058</v>
      </c>
      <c r="J5536" s="5" t="s">
        <v>16059</v>
      </c>
      <c r="K5536" s="7" t="str">
        <f ca="1">IFERROR(__xludf.DUMMYFUNCTION("GOOGLETRANSLATE(H5536,""EN"",""ES"")"),"Camas, nidos y muebles para animales.")</f>
        <v>Camas, nidos y muebles para animales.</v>
      </c>
      <c r="L5536" s="5" t="str">
        <f ca="1">IFERROR(__xludf.DUMMYFUNCTION("GOOGLETRANSLATE(J5536,""EN"",""ES"")"),"Camas para animales")</f>
        <v>Camas para animales</v>
      </c>
      <c r="M5536" s="8" t="s">
        <v>90</v>
      </c>
      <c r="N5536" s="8"/>
    </row>
    <row r="5537" spans="1:14" ht="11.25" customHeight="1">
      <c r="A5537" s="5" t="s">
        <v>15804</v>
      </c>
      <c r="B5537" s="5" t="s">
        <v>16055</v>
      </c>
      <c r="C5537" s="5" t="s">
        <v>16060</v>
      </c>
      <c r="D5537" s="5" t="s">
        <v>15807</v>
      </c>
      <c r="E5537" s="5" t="s">
        <v>91</v>
      </c>
      <c r="F5537" s="5" t="s">
        <v>15808</v>
      </c>
      <c r="G5537" s="5" t="s">
        <v>15809</v>
      </c>
      <c r="H5537" s="5" t="s">
        <v>16057</v>
      </c>
      <c r="I5537" s="5" t="s">
        <v>16061</v>
      </c>
      <c r="J5537" s="5" t="s">
        <v>16062</v>
      </c>
      <c r="K5537" s="7" t="str">
        <f ca="1">IFERROR(__xludf.DUMMYFUNCTION("GOOGLETRANSLATE(H5537,""EN"",""ES"")"),"Camas, nidos y muebles para animales.")</f>
        <v>Camas, nidos y muebles para animales.</v>
      </c>
      <c r="L5537" s="5" t="str">
        <f ca="1">IFERROR(__xludf.DUMMYFUNCTION("GOOGLETRANSLATE(J5537,""EN"",""ES"")"),"Nidos")</f>
        <v>Nidos</v>
      </c>
      <c r="M5537" s="8" t="s">
        <v>90</v>
      </c>
      <c r="N5537" s="8"/>
    </row>
    <row r="5538" spans="1:14" ht="11.25" customHeight="1">
      <c r="A5538" s="5" t="s">
        <v>15804</v>
      </c>
      <c r="B5538" s="5" t="s">
        <v>16055</v>
      </c>
      <c r="C5538" s="5" t="s">
        <v>16063</v>
      </c>
      <c r="D5538" s="5" t="s">
        <v>15807</v>
      </c>
      <c r="E5538" s="5" t="s">
        <v>91</v>
      </c>
      <c r="F5538" s="5" t="s">
        <v>15808</v>
      </c>
      <c r="G5538" s="5" t="s">
        <v>15809</v>
      </c>
      <c r="H5538" s="5" t="s">
        <v>16057</v>
      </c>
      <c r="I5538" s="5" t="s">
        <v>16064</v>
      </c>
      <c r="J5538" s="5" t="s">
        <v>16065</v>
      </c>
      <c r="K5538" s="7" t="str">
        <f ca="1">IFERROR(__xludf.DUMMYFUNCTION("GOOGLETRANSLATE(H5538,""EN"",""ES"")"),"Camas, nidos y muebles para animales.")</f>
        <v>Camas, nidos y muebles para animales.</v>
      </c>
      <c r="L5538" s="5" t="str">
        <f ca="1">IFERROR(__xludf.DUMMYFUNCTION("GOOGLETRANSLATE(J5538,""EN"",""ES"")"),"Cestas de dormir para animales domésticos.")</f>
        <v>Cestas de dormir para animales domésticos.</v>
      </c>
      <c r="M5538" s="8" t="s">
        <v>90</v>
      </c>
      <c r="N5538" s="8"/>
    </row>
    <row r="5539" spans="1:14" ht="11.25" customHeight="1">
      <c r="A5539" s="5" t="s">
        <v>15804</v>
      </c>
      <c r="B5539" s="5" t="s">
        <v>16055</v>
      </c>
      <c r="C5539" s="5" t="s">
        <v>16066</v>
      </c>
      <c r="D5539" s="5" t="s">
        <v>15807</v>
      </c>
      <c r="E5539" s="5" t="s">
        <v>91</v>
      </c>
      <c r="F5539" s="5" t="s">
        <v>15808</v>
      </c>
      <c r="G5539" s="5" t="s">
        <v>15809</v>
      </c>
      <c r="H5539" s="5" t="s">
        <v>16057</v>
      </c>
      <c r="I5539" s="5" t="s">
        <v>16067</v>
      </c>
      <c r="J5539" s="5" t="s">
        <v>16068</v>
      </c>
      <c r="K5539" s="7" t="str">
        <f ca="1">IFERROR(__xludf.DUMMYFUNCTION("GOOGLETRANSLATE(H5539,""EN"",""ES"")"),"Camas, nidos y muebles para animales.")</f>
        <v>Camas, nidos y muebles para animales.</v>
      </c>
      <c r="L5539" s="5" t="str">
        <f ca="1">IFERROR(__xludf.DUMMYFUNCTION("GOOGLETRANSLATE(J5539,""EN"",""ES"")"),"Rascadores para gatos")</f>
        <v>Rascadores para gatos</v>
      </c>
      <c r="M5539" s="8" t="s">
        <v>90</v>
      </c>
      <c r="N5539" s="8"/>
    </row>
    <row r="5540" spans="1:14" ht="11.25" customHeight="1">
      <c r="A5540" s="5" t="s">
        <v>15804</v>
      </c>
      <c r="B5540" s="5" t="s">
        <v>16055</v>
      </c>
      <c r="C5540" s="5" t="s">
        <v>16069</v>
      </c>
      <c r="D5540" s="5" t="s">
        <v>15807</v>
      </c>
      <c r="E5540" s="5" t="s">
        <v>91</v>
      </c>
      <c r="F5540" s="5" t="s">
        <v>15808</v>
      </c>
      <c r="G5540" s="5" t="s">
        <v>15809</v>
      </c>
      <c r="H5540" s="5" t="s">
        <v>16057</v>
      </c>
      <c r="I5540" s="5" t="s">
        <v>16070</v>
      </c>
      <c r="J5540" s="5" t="s">
        <v>16071</v>
      </c>
      <c r="K5540" s="7" t="str">
        <f ca="1">IFERROR(__xludf.DUMMYFUNCTION("GOOGLETRANSLATE(H5540,""EN"",""ES"")"),"Camas, nidos y muebles para animales.")</f>
        <v>Camas, nidos y muebles para animales.</v>
      </c>
      <c r="L5540" s="5" t="str">
        <f ca="1">IFERROR(__xludf.DUMMYFUNCTION("GOOGLETRANSLATE(J5540,""EN"",""ES"")"),"Muebles para mascotas")</f>
        <v>Muebles para mascotas</v>
      </c>
      <c r="M5540" s="8" t="s">
        <v>90</v>
      </c>
      <c r="N5540" s="8"/>
    </row>
    <row r="5541" spans="1:14" ht="11.25" customHeight="1">
      <c r="A5541" s="5" t="s">
        <v>15804</v>
      </c>
      <c r="B5541" s="5" t="s">
        <v>16072</v>
      </c>
      <c r="C5541" s="5" t="s">
        <v>16073</v>
      </c>
      <c r="D5541" s="5" t="s">
        <v>15807</v>
      </c>
      <c r="E5541" s="5" t="s">
        <v>91</v>
      </c>
      <c r="F5541" s="5" t="s">
        <v>15808</v>
      </c>
      <c r="G5541" s="5" t="s">
        <v>15809</v>
      </c>
      <c r="H5541" s="5" t="s">
        <v>16074</v>
      </c>
      <c r="I5541" s="5" t="s">
        <v>16075</v>
      </c>
      <c r="J5541" s="5" t="s">
        <v>16076</v>
      </c>
      <c r="K5541" s="7" t="str">
        <f ca="1">IFERROR(__xludf.DUMMYFUNCTION("GOOGLETRANSLATE(H5541,""EN"",""ES"")"),"PERCHAS Y OTROS ACCESORIOS PARA JAULAS")</f>
        <v>PERCHAS Y OTROS ACCESORIOS PARA JAULAS</v>
      </c>
      <c r="L5541" s="5" t="str">
        <f ca="1">IFERROR(__xludf.DUMMYFUNCTION("GOOGLETRANSLATE(J5541,""EN"",""ES"")"),"Baños para pájaros")</f>
        <v>Baños para pájaros</v>
      </c>
      <c r="M5541" s="8" t="s">
        <v>90</v>
      </c>
      <c r="N5541" s="8"/>
    </row>
    <row r="5542" spans="1:14" ht="11.25" customHeight="1">
      <c r="A5542" s="5" t="s">
        <v>15804</v>
      </c>
      <c r="B5542" s="5" t="s">
        <v>16072</v>
      </c>
      <c r="C5542" s="5" t="s">
        <v>16077</v>
      </c>
      <c r="D5542" s="5" t="s">
        <v>15807</v>
      </c>
      <c r="E5542" s="5" t="s">
        <v>91</v>
      </c>
      <c r="F5542" s="5" t="s">
        <v>15808</v>
      </c>
      <c r="G5542" s="5" t="s">
        <v>15809</v>
      </c>
      <c r="H5542" s="5" t="s">
        <v>16074</v>
      </c>
      <c r="I5542" s="5" t="s">
        <v>16078</v>
      </c>
      <c r="J5542" s="5" t="s">
        <v>16079</v>
      </c>
      <c r="K5542" s="7" t="str">
        <f ca="1">IFERROR(__xludf.DUMMYFUNCTION("GOOGLETRANSLATE(H5542,""EN"",""ES"")"),"PERCHAS Y OTROS ACCESORIOS PARA JAULAS")</f>
        <v>PERCHAS Y OTROS ACCESORIOS PARA JAULAS</v>
      </c>
      <c r="L5542" s="5" t="str">
        <f ca="1">IFERROR(__xludf.DUMMYFUNCTION("GOOGLETRANSLATE(J5542,""EN"",""ES"")"),"Perchas para aves")</f>
        <v>Perchas para aves</v>
      </c>
      <c r="M5542" s="8" t="s">
        <v>90</v>
      </c>
      <c r="N5542" s="8"/>
    </row>
    <row r="5543" spans="1:14" ht="11.25" customHeight="1">
      <c r="A5543" s="5" t="s">
        <v>15804</v>
      </c>
      <c r="B5543" s="5" t="s">
        <v>16072</v>
      </c>
      <c r="C5543" s="5" t="s">
        <v>16080</v>
      </c>
      <c r="D5543" s="5" t="s">
        <v>15807</v>
      </c>
      <c r="E5543" s="5" t="s">
        <v>91</v>
      </c>
      <c r="F5543" s="5" t="s">
        <v>15808</v>
      </c>
      <c r="G5543" s="5" t="s">
        <v>15809</v>
      </c>
      <c r="H5543" s="5" t="s">
        <v>16074</v>
      </c>
      <c r="I5543" s="5" t="s">
        <v>16081</v>
      </c>
      <c r="J5543" s="5" t="s">
        <v>16082</v>
      </c>
      <c r="K5543" s="7" t="str">
        <f ca="1">IFERROR(__xludf.DUMMYFUNCTION("GOOGLETRANSLATE(H5543,""EN"",""ES"")"),"PERCHAS Y OTROS ACCESORIOS PARA JAULAS")</f>
        <v>PERCHAS Y OTROS ACCESORIOS PARA JAULAS</v>
      </c>
      <c r="L5543" s="5" t="str">
        <f ca="1">IFERROR(__xludf.DUMMYFUNCTION("GOOGLETRANSLATE(J5543,""EN"",""ES"")"),"Perchas para pájaros")</f>
        <v>Perchas para pájaros</v>
      </c>
      <c r="M5543" s="8" t="s">
        <v>90</v>
      </c>
      <c r="N5543" s="8"/>
    </row>
    <row r="5544" spans="1:14" ht="11.25" customHeight="1">
      <c r="A5544" s="5" t="s">
        <v>15804</v>
      </c>
      <c r="B5544" s="5" t="s">
        <v>16083</v>
      </c>
      <c r="C5544" s="5" t="s">
        <v>16084</v>
      </c>
      <c r="D5544" s="5" t="s">
        <v>15807</v>
      </c>
      <c r="E5544" s="5" t="s">
        <v>91</v>
      </c>
      <c r="F5544" s="5" t="s">
        <v>15808</v>
      </c>
      <c r="G5544" s="5" t="s">
        <v>15809</v>
      </c>
      <c r="H5544" s="5" t="s">
        <v>16085</v>
      </c>
      <c r="I5544" s="5" t="s">
        <v>16086</v>
      </c>
      <c r="J5544" s="5" t="s">
        <v>16087</v>
      </c>
      <c r="K5544" s="7" t="str">
        <f ca="1">IFERROR(__xludf.DUMMYFUNCTION("GOOGLETRANSLATE(H5544,""EN"",""ES"")"),"MARCADORES, MARCAS Y GRILLETES")</f>
        <v>MARCADORES, MARCAS Y GRILLETES</v>
      </c>
      <c r="L5544" s="5" t="str">
        <f ca="1">IFERROR(__xludf.DUMMYFUNCTION("GOOGLETRANSLATE(J5544,""EN"",""ES"")"),"Anillos para pájaros")</f>
        <v>Anillos para pájaros</v>
      </c>
      <c r="M5544" s="8" t="s">
        <v>90</v>
      </c>
      <c r="N5544" s="8"/>
    </row>
    <row r="5545" spans="1:14" ht="11.25" customHeight="1">
      <c r="A5545" s="5" t="s">
        <v>15804</v>
      </c>
      <c r="B5545" s="5" t="s">
        <v>16083</v>
      </c>
      <c r="C5545" s="5" t="s">
        <v>16088</v>
      </c>
      <c r="D5545" s="5" t="s">
        <v>15807</v>
      </c>
      <c r="E5545" s="5" t="s">
        <v>91</v>
      </c>
      <c r="F5545" s="5" t="s">
        <v>15808</v>
      </c>
      <c r="G5545" s="5" t="s">
        <v>15809</v>
      </c>
      <c r="H5545" s="5" t="s">
        <v>16085</v>
      </c>
      <c r="I5545" s="5" t="s">
        <v>16089</v>
      </c>
      <c r="J5545" s="5" t="s">
        <v>16090</v>
      </c>
      <c r="K5545" s="7" t="str">
        <f ca="1">IFERROR(__xludf.DUMMYFUNCTION("GOOGLETRANSLATE(H5545,""EN"",""ES"")"),"MARCADORES, MARCAS Y GRILLETES")</f>
        <v>MARCADORES, MARCAS Y GRILLETES</v>
      </c>
      <c r="L5545" s="5" t="str">
        <f ca="1">IFERROR(__xludf.DUMMYFUNCTION("GOOGLETRANSLATE(J5545,""EN"",""ES"")"),"Cojeos para animales")</f>
        <v>Cojeos para animales</v>
      </c>
      <c r="M5545" s="8" t="s">
        <v>90</v>
      </c>
      <c r="N5545" s="8"/>
    </row>
    <row r="5546" spans="1:14" ht="11.25" customHeight="1">
      <c r="A5546" s="5" t="s">
        <v>15804</v>
      </c>
      <c r="B5546" s="5" t="s">
        <v>16083</v>
      </c>
      <c r="C5546" s="5" t="s">
        <v>16088</v>
      </c>
      <c r="D5546" s="5" t="s">
        <v>15807</v>
      </c>
      <c r="E5546" s="5" t="s">
        <v>91</v>
      </c>
      <c r="F5546" s="5" t="s">
        <v>15808</v>
      </c>
      <c r="G5546" s="5" t="s">
        <v>15809</v>
      </c>
      <c r="H5546" s="5" t="s">
        <v>16085</v>
      </c>
      <c r="I5546" s="5" t="s">
        <v>16091</v>
      </c>
      <c r="J5546" s="5" t="s">
        <v>152</v>
      </c>
      <c r="K5546" s="7" t="str">
        <f ca="1">IFERROR(__xludf.DUMMYFUNCTION("GOOGLETRANSLATE(H5546,""EN"",""ES"")"),"MARCADORES, MARCAS Y GRILLETES")</f>
        <v>MARCADORES, MARCAS Y GRILLETES</v>
      </c>
      <c r="L5546" s="5" t="str">
        <f ca="1">IFERROR(__xludf.DUMMYFUNCTION("GOOGLETRANSLATE(J5546,""EN"",""ES"")"),"Grilletes para animales")</f>
        <v>Grilletes para animales</v>
      </c>
      <c r="M5546" s="8" t="s">
        <v>90</v>
      </c>
      <c r="N5546" s="8"/>
    </row>
    <row r="5547" spans="1:14" ht="11.25" customHeight="1">
      <c r="A5547" s="5" t="s">
        <v>15804</v>
      </c>
      <c r="B5547" s="5" t="s">
        <v>16083</v>
      </c>
      <c r="C5547" s="5" t="s">
        <v>16092</v>
      </c>
      <c r="D5547" s="5" t="s">
        <v>15807</v>
      </c>
      <c r="E5547" s="5" t="s">
        <v>91</v>
      </c>
      <c r="F5547" s="5" t="s">
        <v>15808</v>
      </c>
      <c r="G5547" s="5" t="s">
        <v>15809</v>
      </c>
      <c r="H5547" s="5" t="s">
        <v>16085</v>
      </c>
      <c r="I5547" s="5" t="s">
        <v>16093</v>
      </c>
      <c r="J5547" s="5" t="s">
        <v>16094</v>
      </c>
      <c r="K5547" s="7" t="str">
        <f ca="1">IFERROR(__xludf.DUMMYFUNCTION("GOOGLETRANSLATE(H5547,""EN"",""ES"")"),"MARCADORES, MARCAS Y GRILLETES")</f>
        <v>MARCADORES, MARCAS Y GRILLETES</v>
      </c>
      <c r="L5547" s="5" t="str">
        <f ca="1">IFERROR(__xludf.DUMMYFUNCTION("GOOGLETRANSLATE(J5547,""EN"",""ES"")"),"Marcadores para animales")</f>
        <v>Marcadores para animales</v>
      </c>
      <c r="M5547" s="8" t="s">
        <v>90</v>
      </c>
      <c r="N5547" s="8"/>
    </row>
    <row r="5548" spans="1:14" ht="11.25" customHeight="1">
      <c r="A5548" s="5" t="s">
        <v>15804</v>
      </c>
      <c r="B5548" s="5" t="s">
        <v>16083</v>
      </c>
      <c r="C5548" s="5" t="s">
        <v>16095</v>
      </c>
      <c r="D5548" s="5" t="s">
        <v>15807</v>
      </c>
      <c r="E5548" s="5" t="s">
        <v>91</v>
      </c>
      <c r="F5548" s="5" t="s">
        <v>15808</v>
      </c>
      <c r="G5548" s="5" t="s">
        <v>15809</v>
      </c>
      <c r="H5548" s="5" t="s">
        <v>16085</v>
      </c>
      <c r="I5548" s="5" t="s">
        <v>16096</v>
      </c>
      <c r="J5548" s="5" t="s">
        <v>16097</v>
      </c>
      <c r="K5548" s="7" t="str">
        <f ca="1">IFERROR(__xludf.DUMMYFUNCTION("GOOGLETRANSLATE(H5548,""EN"",""ES"")"),"MARCADORES, MARCAS Y GRILLETES")</f>
        <v>MARCADORES, MARCAS Y GRILLETES</v>
      </c>
      <c r="L5548" s="5" t="str">
        <f ca="1">IFERROR(__xludf.DUMMYFUNCTION("GOOGLETRANSLATE(J5548,""EN"",""ES"")"),"marcas para animales")</f>
        <v>marcas para animales</v>
      </c>
      <c r="M5548" s="8" t="s">
        <v>90</v>
      </c>
      <c r="N5548" s="8"/>
    </row>
    <row r="5549" spans="1:14" ht="11.25" customHeight="1">
      <c r="A5549" s="5" t="s">
        <v>15804</v>
      </c>
      <c r="B5549" s="5" t="s">
        <v>16083</v>
      </c>
      <c r="C5549" s="5" t="s">
        <v>16098</v>
      </c>
      <c r="D5549" s="5" t="s">
        <v>15807</v>
      </c>
      <c r="E5549" s="5" t="s">
        <v>91</v>
      </c>
      <c r="F5549" s="5" t="s">
        <v>15808</v>
      </c>
      <c r="G5549" s="5" t="s">
        <v>15809</v>
      </c>
      <c r="H5549" s="5" t="s">
        <v>16085</v>
      </c>
      <c r="I5549" s="5" t="s">
        <v>16099</v>
      </c>
      <c r="J5549" s="5" t="s">
        <v>16100</v>
      </c>
      <c r="K5549" s="7" t="str">
        <f ca="1">IFERROR(__xludf.DUMMYFUNCTION("GOOGLETRANSLATE(H5549,""EN"",""ES"")"),"MARCADORES, MARCAS Y GRILLETES")</f>
        <v>MARCADORES, MARCAS Y GRILLETES</v>
      </c>
      <c r="L5549" s="5" t="str">
        <f ca="1">IFERROR(__xludf.DUMMYFUNCTION("GOOGLETRANSLATE(J5549,""EN"",""ES"")"),"Marcadores para animales")</f>
        <v>Marcadores para animales</v>
      </c>
      <c r="M5549" s="8" t="s">
        <v>90</v>
      </c>
      <c r="N5549" s="8"/>
    </row>
    <row r="5550" spans="1:14" ht="11.25" customHeight="1">
      <c r="A5550" s="5" t="s">
        <v>15804</v>
      </c>
      <c r="B5550" s="5" t="s">
        <v>16083</v>
      </c>
      <c r="C5550" s="5" t="s">
        <v>16101</v>
      </c>
      <c r="D5550" s="5" t="s">
        <v>15807</v>
      </c>
      <c r="E5550" s="5" t="s">
        <v>91</v>
      </c>
      <c r="F5550" s="5" t="s">
        <v>15808</v>
      </c>
      <c r="G5550" s="5" t="s">
        <v>15809</v>
      </c>
      <c r="H5550" s="5" t="s">
        <v>16085</v>
      </c>
      <c r="I5550" s="5" t="s">
        <v>16102</v>
      </c>
      <c r="J5550" s="5" t="s">
        <v>16103</v>
      </c>
      <c r="K5550" s="7" t="str">
        <f ca="1">IFERROR(__xludf.DUMMYFUNCTION("GOOGLETRANSLATE(H5550,""EN"",""ES"")"),"MARCADORES, MARCAS Y GRILLETES")</f>
        <v>MARCADORES, MARCAS Y GRILLETES</v>
      </c>
      <c r="L5550" s="5" t="str">
        <f ca="1">IFERROR(__xludf.DUMMYFUNCTION("GOOGLETRANSLATE(J5550,""EN"",""ES"")"),"Crotales para ganado")</f>
        <v>Crotales para ganado</v>
      </c>
      <c r="M5550" s="8" t="s">
        <v>90</v>
      </c>
      <c r="N5550" s="8"/>
    </row>
    <row r="5551" spans="1:14" ht="11.25" customHeight="1">
      <c r="A5551" s="5" t="s">
        <v>15804</v>
      </c>
      <c r="B5551" s="5" t="s">
        <v>16104</v>
      </c>
      <c r="C5551" s="5" t="s">
        <v>16105</v>
      </c>
      <c r="D5551" s="5" t="s">
        <v>15807</v>
      </c>
      <c r="E5551" s="5" t="s">
        <v>91</v>
      </c>
      <c r="F5551" s="5" t="s">
        <v>15808</v>
      </c>
      <c r="G5551" s="5" t="s">
        <v>15809</v>
      </c>
      <c r="H5551" s="5" t="s">
        <v>16106</v>
      </c>
      <c r="I5551" s="5" t="s">
        <v>16107</v>
      </c>
      <c r="J5551" s="5" t="s">
        <v>16108</v>
      </c>
      <c r="K5551" s="7" t="str">
        <f ca="1">IFERROR(__xludf.DUMMYFUNCTION("GOOGLETRANSLATE(H5551,""EN"",""ES"")"),"POSTES DE ENGANCHE")</f>
        <v>POSTES DE ENGANCHE</v>
      </c>
      <c r="L5551" s="5" t="str">
        <f ca="1">IFERROR(__xludf.DUMMYFUNCTION("GOOGLETRANSLATE(J5551,""EN"",""ES"")"),"Postes de enganche")</f>
        <v>Postes de enganche</v>
      </c>
      <c r="M5551" s="8" t="s">
        <v>90</v>
      </c>
      <c r="N5551" s="8"/>
    </row>
    <row r="5552" spans="1:14" ht="11.25" customHeight="1">
      <c r="A5552" s="5" t="s">
        <v>15804</v>
      </c>
      <c r="B5552" s="5" t="s">
        <v>16104</v>
      </c>
      <c r="C5552" s="5" t="s">
        <v>16109</v>
      </c>
      <c r="D5552" s="5" t="s">
        <v>15807</v>
      </c>
      <c r="E5552" s="5" t="s">
        <v>91</v>
      </c>
      <c r="F5552" s="5" t="s">
        <v>15808</v>
      </c>
      <c r="G5552" s="5" t="s">
        <v>15809</v>
      </c>
      <c r="H5552" s="5" t="s">
        <v>16106</v>
      </c>
      <c r="I5552" s="5" t="s">
        <v>16110</v>
      </c>
      <c r="J5552" s="5" t="s">
        <v>16111</v>
      </c>
      <c r="K5552" s="7" t="str">
        <f ca="1">IFERROR(__xludf.DUMMYFUNCTION("GOOGLETRANSLATE(H5552,""EN"",""ES"")"),"POSTES DE ENGANCHE")</f>
        <v>POSTES DE ENGANCHE</v>
      </c>
      <c r="L5552" s="5" t="str">
        <f ca="1">IFERROR(__xludf.DUMMYFUNCTION("GOOGLETRANSLATE(J5552,""EN"",""ES"")"),"Anclajes de fijación para animales.")</f>
        <v>Anclajes de fijación para animales.</v>
      </c>
      <c r="M5552" s="8" t="s">
        <v>90</v>
      </c>
      <c r="N5552" s="8"/>
    </row>
    <row r="5553" spans="1:14" ht="11.25" customHeight="1">
      <c r="A5553" s="5" t="s">
        <v>15804</v>
      </c>
      <c r="B5553" s="5" t="s">
        <v>16112</v>
      </c>
      <c r="C5553" s="5" t="s">
        <v>16113</v>
      </c>
      <c r="D5553" s="5" t="s">
        <v>15807</v>
      </c>
      <c r="E5553" s="5" t="s">
        <v>91</v>
      </c>
      <c r="F5553" s="5" t="s">
        <v>15808</v>
      </c>
      <c r="G5553" s="5" t="s">
        <v>15809</v>
      </c>
      <c r="H5553" s="5" t="s">
        <v>16114</v>
      </c>
      <c r="I5553" s="5" t="s">
        <v>16115</v>
      </c>
      <c r="J5553" s="5" t="s">
        <v>16116</v>
      </c>
      <c r="K5553" s="7" t="str">
        <f ca="1">IFERROR(__xludf.DUMMYFUNCTION("GOOGLETRANSLATE(H5553,""EN"",""ES"")"),"Artículos de aseo para animales.")</f>
        <v>Artículos de aseo para animales.</v>
      </c>
      <c r="L5553" s="5" t="str">
        <f ca="1">IFERROR(__xludf.DUMMYFUNCTION("GOOGLETRANSLATE(J5553,""EN"",""ES"")"),"cepillos para animales")</f>
        <v>cepillos para animales</v>
      </c>
      <c r="M5553" s="8" t="s">
        <v>90</v>
      </c>
      <c r="N5553" s="8"/>
    </row>
    <row r="5554" spans="1:14" ht="11.25" customHeight="1">
      <c r="A5554" s="5" t="s">
        <v>15804</v>
      </c>
      <c r="B5554" s="5" t="s">
        <v>16112</v>
      </c>
      <c r="C5554" s="5" t="s">
        <v>16117</v>
      </c>
      <c r="D5554" s="5" t="s">
        <v>15807</v>
      </c>
      <c r="E5554" s="5" t="s">
        <v>91</v>
      </c>
      <c r="F5554" s="5" t="s">
        <v>15808</v>
      </c>
      <c r="G5554" s="5" t="s">
        <v>15809</v>
      </c>
      <c r="H5554" s="5" t="s">
        <v>16114</v>
      </c>
      <c r="I5554" s="5" t="s">
        <v>16118</v>
      </c>
      <c r="J5554" s="5" t="s">
        <v>16119</v>
      </c>
      <c r="K5554" s="7" t="str">
        <f ca="1">IFERROR(__xludf.DUMMYFUNCTION("GOOGLETRANSLATE(H5554,""EN"",""ES"")"),"Artículos de aseo para animales.")</f>
        <v>Artículos de aseo para animales.</v>
      </c>
      <c r="L5554" s="5" t="str">
        <f ca="1">IFERROR(__xludf.DUMMYFUNCTION("GOOGLETRANSLATE(J5554,""EN"",""ES"")"),"Guantes de aseo para animales.")</f>
        <v>Guantes de aseo para animales.</v>
      </c>
      <c r="M5554" s="8" t="s">
        <v>90</v>
      </c>
      <c r="N5554" s="8"/>
    </row>
    <row r="5555" spans="1:14" ht="11.25" customHeight="1">
      <c r="A5555" s="5" t="s">
        <v>15804</v>
      </c>
      <c r="B5555" s="5" t="s">
        <v>16112</v>
      </c>
      <c r="C5555" s="5" t="s">
        <v>16120</v>
      </c>
      <c r="D5555" s="5" t="s">
        <v>15807</v>
      </c>
      <c r="E5555" s="5" t="s">
        <v>91</v>
      </c>
      <c r="F5555" s="5" t="s">
        <v>15808</v>
      </c>
      <c r="G5555" s="5" t="s">
        <v>15809</v>
      </c>
      <c r="H5555" s="5" t="s">
        <v>16114</v>
      </c>
      <c r="I5555" s="5" t="s">
        <v>16121</v>
      </c>
      <c r="J5555" s="5" t="s">
        <v>16122</v>
      </c>
      <c r="K5555" s="7" t="str">
        <f ca="1">IFERROR(__xludf.DUMMYFUNCTION("GOOGLETRANSLATE(H5555,""EN"",""ES"")"),"Artículos de aseo para animales.")</f>
        <v>Artículos de aseo para animales.</v>
      </c>
      <c r="L5555" s="5" t="str">
        <f ca="1">IFERROR(__xludf.DUMMYFUNCTION("GOOGLETRANSLATE(J5555,""EN"",""ES"")"),"peines para perros")</f>
        <v>peines para perros</v>
      </c>
      <c r="M5555" s="8" t="s">
        <v>90</v>
      </c>
      <c r="N5555" s="8"/>
    </row>
    <row r="5556" spans="1:14" ht="11.25" customHeight="1">
      <c r="A5556" s="5" t="s">
        <v>15804</v>
      </c>
      <c r="B5556" s="5" t="s">
        <v>16112</v>
      </c>
      <c r="C5556" s="5" t="s">
        <v>16123</v>
      </c>
      <c r="D5556" s="5" t="s">
        <v>15807</v>
      </c>
      <c r="E5556" s="5" t="s">
        <v>91</v>
      </c>
      <c r="F5556" s="5" t="s">
        <v>15808</v>
      </c>
      <c r="G5556" s="5" t="s">
        <v>15809</v>
      </c>
      <c r="H5556" s="5" t="s">
        <v>16114</v>
      </c>
      <c r="I5556" s="5" t="s">
        <v>16124</v>
      </c>
      <c r="J5556" s="5" t="s">
        <v>16125</v>
      </c>
      <c r="K5556" s="7" t="str">
        <f ca="1">IFERROR(__xludf.DUMMYFUNCTION("GOOGLETRANSLATE(H5556,""EN"",""ES"")"),"Artículos de aseo para animales.")</f>
        <v>Artículos de aseo para animales.</v>
      </c>
      <c r="L5556" s="5" t="str">
        <f ca="1">IFERROR(__xludf.DUMMYFUNCTION("GOOGLETRANSLATE(J5556,""EN"",""ES"")"),"peines de curry")</f>
        <v>peines de curry</v>
      </c>
      <c r="M5556" s="8" t="s">
        <v>90</v>
      </c>
      <c r="N5556" s="8"/>
    </row>
    <row r="5557" spans="1:14" ht="11.25" customHeight="1">
      <c r="A5557" s="5" t="s">
        <v>15804</v>
      </c>
      <c r="B5557" s="5" t="s">
        <v>16112</v>
      </c>
      <c r="C5557" s="5" t="s">
        <v>16126</v>
      </c>
      <c r="D5557" s="5" t="s">
        <v>15807</v>
      </c>
      <c r="E5557" s="5" t="s">
        <v>91</v>
      </c>
      <c r="F5557" s="5" t="s">
        <v>15808</v>
      </c>
      <c r="G5557" s="5" t="s">
        <v>15809</v>
      </c>
      <c r="H5557" s="5" t="s">
        <v>16114</v>
      </c>
      <c r="I5557" s="5" t="s">
        <v>16127</v>
      </c>
      <c r="J5557" s="5" t="s">
        <v>16128</v>
      </c>
      <c r="K5557" s="7" t="str">
        <f ca="1">IFERROR(__xludf.DUMMYFUNCTION("GOOGLETRANSLATE(H5557,""EN"",""ES"")"),"Artículos de aseo para animales.")</f>
        <v>Artículos de aseo para animales.</v>
      </c>
      <c r="L5557" s="5" t="str">
        <f ca="1">IFERROR(__xludf.DUMMYFUNCTION("GOOGLETRANSLATE(J5557,""EN"",""ES"")"),"Cortapelos para animales")</f>
        <v>Cortapelos para animales</v>
      </c>
      <c r="M5557" s="8" t="s">
        <v>90</v>
      </c>
      <c r="N5557" s="8"/>
    </row>
    <row r="5558" spans="1:14" ht="11.25" customHeight="1">
      <c r="A5558" s="5" t="s">
        <v>15804</v>
      </c>
      <c r="B5558" s="5" t="s">
        <v>16112</v>
      </c>
      <c r="C5558" s="5" t="s">
        <v>16129</v>
      </c>
      <c r="D5558" s="5" t="s">
        <v>15807</v>
      </c>
      <c r="E5558" s="5" t="s">
        <v>91</v>
      </c>
      <c r="F5558" s="5" t="s">
        <v>15808</v>
      </c>
      <c r="G5558" s="5" t="s">
        <v>15809</v>
      </c>
      <c r="H5558" s="5" t="s">
        <v>16114</v>
      </c>
      <c r="I5558" s="5" t="s">
        <v>16130</v>
      </c>
      <c r="J5558" s="5" t="s">
        <v>16131</v>
      </c>
      <c r="K5558" s="7" t="str">
        <f ca="1">IFERROR(__xludf.DUMMYFUNCTION("GOOGLETRANSLATE(H5558,""EN"",""ES"")"),"Artículos de aseo para animales.")</f>
        <v>Artículos de aseo para animales.</v>
      </c>
      <c r="L5558" s="5" t="str">
        <f ca="1">IFERROR(__xludf.DUMMYFUNCTION("GOOGLETRANSLATE(J5558,""EN"",""ES"")"),"Aparato de esquila de animales")</f>
        <v>Aparato de esquila de animales</v>
      </c>
      <c r="M5558" s="8" t="s">
        <v>90</v>
      </c>
      <c r="N5558" s="8"/>
    </row>
    <row r="5559" spans="1:14" ht="11.25" customHeight="1">
      <c r="A5559" s="5" t="s">
        <v>15804</v>
      </c>
      <c r="B5559" s="5" t="s">
        <v>16112</v>
      </c>
      <c r="C5559" s="5" t="s">
        <v>16132</v>
      </c>
      <c r="D5559" s="5" t="s">
        <v>15807</v>
      </c>
      <c r="E5559" s="5" t="s">
        <v>91</v>
      </c>
      <c r="F5559" s="5" t="s">
        <v>15808</v>
      </c>
      <c r="G5559" s="5" t="s">
        <v>15809</v>
      </c>
      <c r="H5559" s="5" t="s">
        <v>16114</v>
      </c>
      <c r="I5559" s="5" t="s">
        <v>16133</v>
      </c>
      <c r="J5559" s="5" t="s">
        <v>16134</v>
      </c>
      <c r="K5559" s="7" t="str">
        <f ca="1">IFERROR(__xludf.DUMMYFUNCTION("GOOGLETRANSLATE(H5559,""EN"",""ES"")"),"Artículos de aseo para animales.")</f>
        <v>Artículos de aseo para animales.</v>
      </c>
      <c r="L5559" s="5" t="str">
        <f ca="1">IFERROR(__xludf.DUMMYFUNCTION("GOOGLETRANSLATE(J5559,""EN"",""ES"")"),"Toallas de aseo para animales.")</f>
        <v>Toallas de aseo para animales.</v>
      </c>
      <c r="M5559" s="8" t="s">
        <v>90</v>
      </c>
      <c r="N5559" s="8"/>
    </row>
    <row r="5560" spans="1:14" ht="11.25" customHeight="1">
      <c r="A5560" s="5" t="s">
        <v>15804</v>
      </c>
      <c r="B5560" s="5" t="s">
        <v>16135</v>
      </c>
      <c r="C5560" s="5" t="s">
        <v>16136</v>
      </c>
      <c r="D5560" s="5" t="s">
        <v>15807</v>
      </c>
      <c r="E5560" s="5" t="s">
        <v>91</v>
      </c>
      <c r="F5560" s="5" t="s">
        <v>15808</v>
      </c>
      <c r="G5560" s="5" t="s">
        <v>15809</v>
      </c>
      <c r="H5560" s="5" t="s">
        <v>16137</v>
      </c>
      <c r="I5560" s="5" t="s">
        <v>16138</v>
      </c>
      <c r="J5560" s="5" t="s">
        <v>16139</v>
      </c>
      <c r="K5560" s="7" t="str">
        <f ca="1">IFERROR(__xludf.DUMMYFUNCTION("GOOGLETRANSLATE(H5560,""EN"",""ES"")"),"Cajas de arena y dispositivos para eliminar excrementos de animales.")</f>
        <v>Cajas de arena y dispositivos para eliminar excrementos de animales.</v>
      </c>
      <c r="L5560" s="5" t="str">
        <f ca="1">IFERROR(__xludf.DUMMYFUNCTION("GOOGLETRANSLATE(J5560,""EN"",""ES"")"),"Dispositivos para eliminar excrementos de animales.")</f>
        <v>Dispositivos para eliminar excrementos de animales.</v>
      </c>
      <c r="M5560" s="8" t="s">
        <v>90</v>
      </c>
      <c r="N5560" s="8"/>
    </row>
    <row r="5561" spans="1:14" ht="11.25" customHeight="1">
      <c r="A5561" s="5" t="s">
        <v>15804</v>
      </c>
      <c r="B5561" s="5" t="s">
        <v>16135</v>
      </c>
      <c r="C5561" s="5" t="s">
        <v>16140</v>
      </c>
      <c r="D5561" s="5" t="s">
        <v>15807</v>
      </c>
      <c r="E5561" s="5" t="s">
        <v>91</v>
      </c>
      <c r="F5561" s="5" t="s">
        <v>15808</v>
      </c>
      <c r="G5561" s="5" t="s">
        <v>15809</v>
      </c>
      <c r="H5561" s="5" t="s">
        <v>16137</v>
      </c>
      <c r="I5561" s="5" t="s">
        <v>16141</v>
      </c>
      <c r="J5561" s="5" t="s">
        <v>16142</v>
      </c>
      <c r="K5561" s="7" t="str">
        <f ca="1">IFERROR(__xludf.DUMMYFUNCTION("GOOGLETRANSLATE(H5561,""EN"",""ES"")"),"Cajas de arena y dispositivos para eliminar excrementos de animales.")</f>
        <v>Cajas de arena y dispositivos para eliminar excrementos de animales.</v>
      </c>
      <c r="L5561" s="5" t="str">
        <f ca="1">IFERROR(__xludf.DUMMYFUNCTION("GOOGLETRANSLATE(J5561,""EN"",""ES"")"),"Asientos de baño adaptados para animales.")</f>
        <v>Asientos de baño adaptados para animales.</v>
      </c>
      <c r="M5561" s="8" t="s">
        <v>90</v>
      </c>
      <c r="N5561" s="8"/>
    </row>
    <row r="5562" spans="1:14" ht="11.25" customHeight="1">
      <c r="A5562" s="5" t="s">
        <v>15804</v>
      </c>
      <c r="B5562" s="5" t="s">
        <v>16135</v>
      </c>
      <c r="C5562" s="5" t="s">
        <v>16143</v>
      </c>
      <c r="D5562" s="5" t="s">
        <v>15807</v>
      </c>
      <c r="E5562" s="5" t="s">
        <v>91</v>
      </c>
      <c r="F5562" s="5" t="s">
        <v>15808</v>
      </c>
      <c r="G5562" s="5" t="s">
        <v>15809</v>
      </c>
      <c r="H5562" s="5" t="s">
        <v>16137</v>
      </c>
      <c r="I5562" s="5" t="s">
        <v>16144</v>
      </c>
      <c r="J5562" s="5" t="s">
        <v>16145</v>
      </c>
      <c r="K5562" s="7" t="str">
        <f ca="1">IFERROR(__xludf.DUMMYFUNCTION("GOOGLETRANSLATE(H5562,""EN"",""ES"")"),"Cajas de arena y dispositivos para eliminar excrementos de animales.")</f>
        <v>Cajas de arena y dispositivos para eliminar excrementos de animales.</v>
      </c>
      <c r="L5562" s="5" t="str">
        <f ca="1">IFERROR(__xludf.DUMMYFUNCTION("GOOGLETRANSLATE(J5562,""EN"",""ES"")"),"Baños para mascotas")</f>
        <v>Baños para mascotas</v>
      </c>
      <c r="M5562" s="8" t="s">
        <v>90</v>
      </c>
      <c r="N5562" s="8"/>
    </row>
    <row r="5563" spans="1:14" ht="11.25" customHeight="1">
      <c r="A5563" s="5" t="s">
        <v>15804</v>
      </c>
      <c r="B5563" s="5" t="s">
        <v>16135</v>
      </c>
      <c r="C5563" s="5" t="s">
        <v>16146</v>
      </c>
      <c r="D5563" s="5" t="s">
        <v>15807</v>
      </c>
      <c r="E5563" s="5" t="s">
        <v>91</v>
      </c>
      <c r="F5563" s="5" t="s">
        <v>15808</v>
      </c>
      <c r="G5563" s="5" t="s">
        <v>15809</v>
      </c>
      <c r="H5563" s="5" t="s">
        <v>16137</v>
      </c>
      <c r="I5563" s="5" t="s">
        <v>16147</v>
      </c>
      <c r="J5563" s="5" t="s">
        <v>16148</v>
      </c>
      <c r="K5563" s="7" t="str">
        <f ca="1">IFERROR(__xludf.DUMMYFUNCTION("GOOGLETRANSLATE(H5563,""EN"",""ES"")"),"Cajas de arena y dispositivos para eliminar excrementos de animales.")</f>
        <v>Cajas de arena y dispositivos para eliminar excrementos de animales.</v>
      </c>
      <c r="L5563" s="5" t="str">
        <f ca="1">IFERROR(__xludf.DUMMYFUNCTION("GOOGLETRANSLATE(J5563,""EN"",""ES"")"),"Cajas de arena")</f>
        <v>Cajas de arena</v>
      </c>
      <c r="M5563" s="8" t="s">
        <v>90</v>
      </c>
      <c r="N5563" s="8"/>
    </row>
    <row r="5564" spans="1:14" ht="11.25" customHeight="1">
      <c r="A5564" s="5" t="s">
        <v>15804</v>
      </c>
      <c r="B5564" s="5" t="s">
        <v>16149</v>
      </c>
      <c r="C5564" s="5" t="s">
        <v>16150</v>
      </c>
      <c r="D5564" s="5" t="s">
        <v>15807</v>
      </c>
      <c r="E5564" s="5" t="s">
        <v>91</v>
      </c>
      <c r="F5564" s="5" t="s">
        <v>15808</v>
      </c>
      <c r="G5564" s="5" t="s">
        <v>15809</v>
      </c>
      <c r="H5564" s="5" t="s">
        <v>16151</v>
      </c>
      <c r="I5564" s="5" t="s">
        <v>16152</v>
      </c>
      <c r="J5564" s="5" t="s">
        <v>16153</v>
      </c>
      <c r="K5564" s="7" t="str">
        <f ca="1">IFERROR(__xludf.DUMMYFUNCTION("GOOGLETRANSLATE(H5564,""EN"",""ES"")"),"Juguetes Y EQUIPOS DE ENTRENAMIENTO para animales")</f>
        <v>Juguetes Y EQUIPOS DE ENTRENAMIENTO para animales</v>
      </c>
      <c r="L5564" s="5" t="str">
        <f ca="1">IFERROR(__xludf.DUMMYFUNCTION("GOOGLETRANSLATE(J5564,""EN"",""ES"")"),"juguetes para animales")</f>
        <v>juguetes para animales</v>
      </c>
      <c r="M5564" s="8" t="s">
        <v>90</v>
      </c>
      <c r="N5564" s="8"/>
    </row>
    <row r="5565" spans="1:14" ht="11.25" customHeight="1">
      <c r="A5565" s="5" t="s">
        <v>15804</v>
      </c>
      <c r="B5565" s="5" t="s">
        <v>16149</v>
      </c>
      <c r="C5565" s="5" t="s">
        <v>16154</v>
      </c>
      <c r="D5565" s="5" t="s">
        <v>15807</v>
      </c>
      <c r="E5565" s="5" t="s">
        <v>91</v>
      </c>
      <c r="F5565" s="5" t="s">
        <v>15808</v>
      </c>
      <c r="G5565" s="5" t="s">
        <v>15809</v>
      </c>
      <c r="H5565" s="5" t="s">
        <v>16151</v>
      </c>
      <c r="I5565" s="5" t="s">
        <v>16155</v>
      </c>
      <c r="J5565" s="5" t="s">
        <v>16156</v>
      </c>
      <c r="K5565" s="7" t="str">
        <f ca="1">IFERROR(__xludf.DUMMYFUNCTION("GOOGLETRANSLATE(H5565,""EN"",""ES"")"),"Juguetes Y EQUIPOS DE ENTRENAMIENTO para animales")</f>
        <v>Juguetes Y EQUIPOS DE ENTRENAMIENTO para animales</v>
      </c>
      <c r="L5565" s="5" t="str">
        <f ca="1">IFERROR(__xludf.DUMMYFUNCTION("GOOGLETRANSLATE(J5565,""EN"",""ES"")"),"Huesos para perros, artificiales.")</f>
        <v>Huesos para perros, artificiales.</v>
      </c>
      <c r="M5565" s="8" t="s">
        <v>90</v>
      </c>
      <c r="N5565" s="8"/>
    </row>
    <row r="5566" spans="1:14" ht="11.25" customHeight="1">
      <c r="A5566" s="5" t="s">
        <v>15804</v>
      </c>
      <c r="B5566" s="5" t="s">
        <v>16149</v>
      </c>
      <c r="C5566" s="5" t="s">
        <v>16157</v>
      </c>
      <c r="D5566" s="5" t="s">
        <v>15807</v>
      </c>
      <c r="E5566" s="5" t="s">
        <v>91</v>
      </c>
      <c r="F5566" s="5" t="s">
        <v>15808</v>
      </c>
      <c r="G5566" s="5" t="s">
        <v>15809</v>
      </c>
      <c r="H5566" s="5" t="s">
        <v>16151</v>
      </c>
      <c r="I5566" s="5" t="s">
        <v>16158</v>
      </c>
      <c r="J5566" s="5" t="s">
        <v>16159</v>
      </c>
      <c r="K5566" s="7" t="str">
        <f ca="1">IFERROR(__xludf.DUMMYFUNCTION("GOOGLETRANSLATE(H5566,""EN"",""ES"")"),"Juguetes Y EQUIPOS DE ENTRENAMIENTO para animales")</f>
        <v>Juguetes Y EQUIPOS DE ENTRENAMIENTO para animales</v>
      </c>
      <c r="L5566" s="5" t="str">
        <f ca="1">IFERROR(__xludf.DUMMYFUNCTION("GOOGLETRANSLATE(J5566,""EN"",""ES"")"),"Dummies para adiestramiento canino")</f>
        <v>Dummies para adiestramiento canino</v>
      </c>
      <c r="M5566" s="8" t="s">
        <v>90</v>
      </c>
      <c r="N5566" s="8"/>
    </row>
    <row r="5567" spans="1:14" ht="11.25" customHeight="1">
      <c r="A5567" s="5" t="s">
        <v>15804</v>
      </c>
      <c r="B5567" s="5" t="s">
        <v>16160</v>
      </c>
      <c r="C5567" s="5" t="s">
        <v>16161</v>
      </c>
      <c r="D5567" s="5" t="s">
        <v>15807</v>
      </c>
      <c r="E5567" s="5" t="s">
        <v>91</v>
      </c>
      <c r="F5567" s="5" t="s">
        <v>15808</v>
      </c>
      <c r="G5567" s="5" t="s">
        <v>15809</v>
      </c>
      <c r="H5567" s="5" t="s">
        <v>330</v>
      </c>
      <c r="I5567" s="5" t="s">
        <v>16162</v>
      </c>
      <c r="J5567" s="5" t="s">
        <v>16163</v>
      </c>
      <c r="K5567" s="7" t="str">
        <f ca="1">IFERROR(__xludf.DUMMYFUNCTION("GOOGLETRANSLATE(H5567,""EN"",""ES"")"),"MISCELÁNEAS")</f>
        <v>MISCELÁNEAS</v>
      </c>
      <c r="L5567" s="5" t="str">
        <f ca="1">IFERROR(__xludf.DUMMYFUNCTION("GOOGLETRANSLATE(J5567,""EN"",""ES"")"),"Trozos empapados")</f>
        <v>Trozos empapados</v>
      </c>
      <c r="M5567" s="8" t="s">
        <v>90</v>
      </c>
      <c r="N5567" s="8"/>
    </row>
    <row r="5568" spans="1:14" ht="11.25" customHeight="1">
      <c r="A5568" s="5" t="s">
        <v>15804</v>
      </c>
      <c r="B5568" s="5" t="s">
        <v>16160</v>
      </c>
      <c r="C5568" s="5" t="s">
        <v>16164</v>
      </c>
      <c r="D5568" s="5" t="s">
        <v>15807</v>
      </c>
      <c r="E5568" s="5" t="s">
        <v>91</v>
      </c>
      <c r="F5568" s="5" t="s">
        <v>15808</v>
      </c>
      <c r="G5568" s="5" t="s">
        <v>15809</v>
      </c>
      <c r="H5568" s="5" t="s">
        <v>330</v>
      </c>
      <c r="I5568" s="5" t="s">
        <v>16165</v>
      </c>
      <c r="J5568" s="5" t="s">
        <v>16166</v>
      </c>
      <c r="K5568" s="7" t="str">
        <f ca="1">IFERROR(__xludf.DUMMYFUNCTION("GOOGLETRANSLATE(H5568,""EN"",""ES"")"),"MISCELÁNEAS")</f>
        <v>MISCELÁNEAS</v>
      </c>
      <c r="L5568" s="5" t="str">
        <f ca="1">IFERROR(__xludf.DUMMYFUNCTION("GOOGLETRANSLATE(J5568,""EN"",""ES"")"),"criadoras")</f>
        <v>criadoras</v>
      </c>
      <c r="M5568" s="8" t="s">
        <v>90</v>
      </c>
      <c r="N5568" s="8"/>
    </row>
    <row r="5569" spans="1:14" ht="11.25" customHeight="1">
      <c r="A5569" s="5" t="s">
        <v>15804</v>
      </c>
      <c r="B5569" s="5" t="s">
        <v>16160</v>
      </c>
      <c r="C5569" s="5" t="s">
        <v>16164</v>
      </c>
      <c r="D5569" s="5" t="s">
        <v>15807</v>
      </c>
      <c r="E5569" s="5" t="s">
        <v>91</v>
      </c>
      <c r="F5569" s="5" t="s">
        <v>15808</v>
      </c>
      <c r="G5569" s="5" t="s">
        <v>15809</v>
      </c>
      <c r="H5569" s="5" t="s">
        <v>330</v>
      </c>
      <c r="I5569" s="5" t="s">
        <v>16167</v>
      </c>
      <c r="J5569" s="5" t="s">
        <v>152</v>
      </c>
      <c r="K5569" s="7" t="str">
        <f ca="1">IFERROR(__xludf.DUMMYFUNCTION("GOOGLETRANSLATE(H5569,""EN"",""ES"")"),"MISCELÁNEAS")</f>
        <v>MISCELÁNEAS</v>
      </c>
      <c r="L5569" s="5" t="str">
        <f ca="1">IFERROR(__xludf.DUMMYFUNCTION("GOOGLETRANSLATE(J5569,""EN"",""ES"")"),"Incubadoras para huevos")</f>
        <v>Incubadoras para huevos</v>
      </c>
      <c r="M5569" s="8" t="s">
        <v>90</v>
      </c>
      <c r="N5569" s="8"/>
    </row>
    <row r="5570" spans="1:14" ht="11.25" customHeight="1">
      <c r="A5570" s="5" t="s">
        <v>15804</v>
      </c>
      <c r="B5570" s="5" t="s">
        <v>16160</v>
      </c>
      <c r="C5570" s="5" t="s">
        <v>16168</v>
      </c>
      <c r="D5570" s="5" t="s">
        <v>15807</v>
      </c>
      <c r="E5570" s="5" t="s">
        <v>91</v>
      </c>
      <c r="F5570" s="5" t="s">
        <v>15808</v>
      </c>
      <c r="G5570" s="5" t="s">
        <v>15809</v>
      </c>
      <c r="H5570" s="5" t="s">
        <v>330</v>
      </c>
      <c r="I5570" s="5" t="s">
        <v>16169</v>
      </c>
      <c r="J5570" s="5" t="s">
        <v>16170</v>
      </c>
      <c r="K5570" s="7" t="str">
        <f ca="1">IFERROR(__xludf.DUMMYFUNCTION("GOOGLETRANSLATE(H5570,""EN"",""ES"")"),"MISCELÁNEAS")</f>
        <v>MISCELÁNEAS</v>
      </c>
      <c r="L5570" s="5" t="str">
        <f ca="1">IFERROR(__xludf.DUMMYFUNCTION("GOOGLETRANSLATE(J5570,""EN"",""ES"")"),"herraduras")</f>
        <v>herraduras</v>
      </c>
      <c r="M5570" s="8" t="s">
        <v>90</v>
      </c>
      <c r="N5570" s="8"/>
    </row>
    <row r="5571" spans="1:14" ht="11.25" customHeight="1">
      <c r="A5571" s="5" t="s">
        <v>15804</v>
      </c>
      <c r="B5571" s="5" t="s">
        <v>16160</v>
      </c>
      <c r="C5571" s="5" t="s">
        <v>16171</v>
      </c>
      <c r="D5571" s="5" t="s">
        <v>15807</v>
      </c>
      <c r="E5571" s="5" t="s">
        <v>91</v>
      </c>
      <c r="F5571" s="5" t="s">
        <v>15808</v>
      </c>
      <c r="G5571" s="5" t="s">
        <v>15809</v>
      </c>
      <c r="H5571" s="5" t="s">
        <v>330</v>
      </c>
      <c r="I5571" s="5" t="s">
        <v>16172</v>
      </c>
      <c r="J5571" s="5" t="s">
        <v>16173</v>
      </c>
      <c r="K5571" s="7" t="str">
        <f ca="1">IFERROR(__xludf.DUMMYFUNCTION("GOOGLETRANSLATE(H5571,""EN"",""ES"")"),"MISCELÁNEAS")</f>
        <v>MISCELÁNEAS</v>
      </c>
      <c r="L5571" s="5" t="str">
        <f ca="1">IFERROR(__xludf.DUMMYFUNCTION("GOOGLETRANSLATE(J5571,""EN"",""ES"")"),"Esteras para establos")</f>
        <v>Esteras para establos</v>
      </c>
      <c r="M5571" s="8" t="s">
        <v>90</v>
      </c>
      <c r="N5571" s="8"/>
    </row>
    <row r="5572" spans="1:14" ht="11.25" customHeight="1">
      <c r="A5572" s="5" t="s">
        <v>15804</v>
      </c>
      <c r="B5572" s="5" t="s">
        <v>16160</v>
      </c>
      <c r="C5572" s="5" t="s">
        <v>16174</v>
      </c>
      <c r="D5572" s="5" t="s">
        <v>15807</v>
      </c>
      <c r="E5572" s="5" t="s">
        <v>91</v>
      </c>
      <c r="F5572" s="5" t="s">
        <v>15808</v>
      </c>
      <c r="G5572" s="5" t="s">
        <v>15809</v>
      </c>
      <c r="H5572" s="5" t="s">
        <v>330</v>
      </c>
      <c r="I5572" s="5" t="s">
        <v>16175</v>
      </c>
      <c r="J5572" s="5" t="s">
        <v>16176</v>
      </c>
      <c r="K5572" s="7" t="str">
        <f ca="1">IFERROR(__xludf.DUMMYFUNCTION("GOOGLETRANSLATE(H5572,""EN"",""ES"")"),"MISCELÁNEAS")</f>
        <v>MISCELÁNEAS</v>
      </c>
      <c r="L5572" s="5" t="str">
        <f ca="1">IFERROR(__xludf.DUMMYFUNCTION("GOOGLETRANSLATE(J5572,""EN"",""ES"")"),"Puertas para gatos")</f>
        <v>Puertas para gatos</v>
      </c>
      <c r="M5572" s="8" t="s">
        <v>90</v>
      </c>
      <c r="N5572" s="8"/>
    </row>
    <row r="5573" spans="1:14" ht="11.25" customHeight="1">
      <c r="A5573" s="5" t="s">
        <v>15804</v>
      </c>
      <c r="B5573" s="5" t="s">
        <v>16160</v>
      </c>
      <c r="C5573" s="5" t="s">
        <v>16177</v>
      </c>
      <c r="D5573" s="5" t="s">
        <v>15807</v>
      </c>
      <c r="E5573" s="5" t="s">
        <v>91</v>
      </c>
      <c r="F5573" s="5" t="s">
        <v>15808</v>
      </c>
      <c r="G5573" s="5" t="s">
        <v>15809</v>
      </c>
      <c r="H5573" s="5" t="s">
        <v>330</v>
      </c>
      <c r="I5573" s="5" t="s">
        <v>16178</v>
      </c>
      <c r="J5573" s="5" t="s">
        <v>16179</v>
      </c>
      <c r="K5573" s="7" t="str">
        <f ca="1">IFERROR(__xludf.DUMMYFUNCTION("GOOGLETRANSLATE(H5573,""EN"",""ES"")"),"MISCELÁNEAS")</f>
        <v>MISCELÁNEAS</v>
      </c>
      <c r="L5573" s="5" t="str">
        <f ca="1">IFERROR(__xludf.DUMMYFUNCTION("GOOGLETRANSLATE(J5573,""EN"",""ES"")"),"Bandejas con huecos para el transporte de animales de compañía")</f>
        <v>Bandejas con huecos para el transporte de animales de compañía</v>
      </c>
      <c r="M5573" s="8" t="s">
        <v>90</v>
      </c>
      <c r="N5573" s="8"/>
    </row>
    <row r="5574" spans="1:14" ht="11.25" customHeight="1">
      <c r="A5574" s="5" t="s">
        <v>15804</v>
      </c>
      <c r="B5574" s="5" t="s">
        <v>16160</v>
      </c>
      <c r="C5574" s="5" t="s">
        <v>16180</v>
      </c>
      <c r="D5574" s="5" t="s">
        <v>15807</v>
      </c>
      <c r="E5574" s="5" t="s">
        <v>91</v>
      </c>
      <c r="F5574" s="5" t="s">
        <v>15808</v>
      </c>
      <c r="G5574" s="5" t="s">
        <v>15809</v>
      </c>
      <c r="H5574" s="5" t="s">
        <v>330</v>
      </c>
      <c r="I5574" s="5" t="s">
        <v>16181</v>
      </c>
      <c r="J5574" s="5" t="s">
        <v>16182</v>
      </c>
      <c r="K5574" s="7" t="str">
        <f ca="1">IFERROR(__xludf.DUMMYFUNCTION("GOOGLETRANSLATE(H5574,""EN"",""ES"")"),"MISCELÁNEAS")</f>
        <v>MISCELÁNEAS</v>
      </c>
      <c r="L5574" s="5" t="str">
        <f ca="1">IFERROR(__xludf.DUMMYFUNCTION("GOOGLETRANSLATE(J5574,""EN"",""ES"")"),"Transportines para mascotas")</f>
        <v>Transportines para mascotas</v>
      </c>
      <c r="M5574" s="8" t="s">
        <v>90</v>
      </c>
      <c r="N5574" s="8"/>
    </row>
    <row r="5575" spans="1:14" ht="11.25" customHeight="1">
      <c r="A5575" s="5" t="s">
        <v>15804</v>
      </c>
      <c r="B5575" s="5" t="s">
        <v>16160</v>
      </c>
      <c r="C5575" s="5" t="s">
        <v>16183</v>
      </c>
      <c r="D5575" s="5" t="s">
        <v>15807</v>
      </c>
      <c r="E5575" s="5" t="s">
        <v>91</v>
      </c>
      <c r="F5575" s="5" t="s">
        <v>15808</v>
      </c>
      <c r="G5575" s="5" t="s">
        <v>15809</v>
      </c>
      <c r="H5575" s="5" t="s">
        <v>330</v>
      </c>
      <c r="I5575" s="5" t="s">
        <v>16184</v>
      </c>
      <c r="J5575" s="5" t="s">
        <v>16185</v>
      </c>
      <c r="K5575" s="7" t="str">
        <f ca="1">IFERROR(__xludf.DUMMYFUNCTION("GOOGLETRANSLATE(H5575,""EN"",""ES"")"),"MISCELÁNEAS")</f>
        <v>MISCELÁNEAS</v>
      </c>
      <c r="L5575" s="5" t="str">
        <f ca="1">IFERROR(__xludf.DUMMYFUNCTION("GOOGLETRANSLATE(J5575,""EN"",""ES"")"),"Aparatos de masaje para animales.")</f>
        <v>Aparatos de masaje para animales.</v>
      </c>
      <c r="M5575" s="8" t="s">
        <v>90</v>
      </c>
      <c r="N5575" s="8"/>
    </row>
    <row r="5576" spans="1:14" ht="11.25" customHeight="1">
      <c r="A5576" s="5" t="s">
        <v>15804</v>
      </c>
      <c r="B5576" s="5" t="s">
        <v>16160</v>
      </c>
      <c r="C5576" s="5" t="s">
        <v>16186</v>
      </c>
      <c r="D5576" s="5" t="s">
        <v>15807</v>
      </c>
      <c r="E5576" s="5" t="s">
        <v>91</v>
      </c>
      <c r="F5576" s="5" t="s">
        <v>15808</v>
      </c>
      <c r="G5576" s="5" t="s">
        <v>15809</v>
      </c>
      <c r="H5576" s="5" t="s">
        <v>330</v>
      </c>
      <c r="I5576" s="5" t="s">
        <v>16187</v>
      </c>
      <c r="J5576" s="5" t="s">
        <v>16188</v>
      </c>
      <c r="K5576" s="7" t="str">
        <f ca="1">IFERROR(__xludf.DUMMYFUNCTION("GOOGLETRANSLATE(H5576,""EN"",""ES"")"),"MISCELÁNEAS")</f>
        <v>MISCELÁNEAS</v>
      </c>
      <c r="L5576" s="5" t="str">
        <f ca="1">IFERROR(__xludf.DUMMYFUNCTION("GOOGLETRANSLATE(J5576,""EN"",""ES"")"),"Baños para animales")</f>
        <v>Baños para animales</v>
      </c>
      <c r="M5576" s="8" t="s">
        <v>90</v>
      </c>
      <c r="N5576" s="8"/>
    </row>
    <row r="5577" spans="1:14" ht="11.25" customHeight="1">
      <c r="A5577" s="5" t="s">
        <v>15804</v>
      </c>
      <c r="B5577" s="5" t="s">
        <v>16160</v>
      </c>
      <c r="C5577" s="5" t="s">
        <v>16189</v>
      </c>
      <c r="D5577" s="5" t="s">
        <v>15807</v>
      </c>
      <c r="E5577" s="5" t="s">
        <v>91</v>
      </c>
      <c r="F5577" s="5" t="s">
        <v>15808</v>
      </c>
      <c r="G5577" s="5" t="s">
        <v>15809</v>
      </c>
      <c r="H5577" s="5" t="s">
        <v>330</v>
      </c>
      <c r="I5577" s="5" t="s">
        <v>16190</v>
      </c>
      <c r="J5577" s="5" t="s">
        <v>16191</v>
      </c>
      <c r="K5577" s="7" t="str">
        <f ca="1">IFERROR(__xludf.DUMMYFUNCTION("GOOGLETRANSLATE(H5577,""EN"",""ES"")"),"MISCELÁNEAS")</f>
        <v>MISCELÁNEAS</v>
      </c>
      <c r="L5577" s="5" t="str">
        <f ca="1">IFERROR(__xludf.DUMMYFUNCTION("GOOGLETRANSLATE(J5577,""EN"",""ES"")"),"Secadores para animales")</f>
        <v>Secadores para animales</v>
      </c>
      <c r="M5577" s="8" t="s">
        <v>90</v>
      </c>
      <c r="N5577" s="8"/>
    </row>
    <row r="5578" spans="1:14" ht="11.25" customHeight="1">
      <c r="A5578" s="5" t="s">
        <v>16192</v>
      </c>
      <c r="B5578" s="5" t="s">
        <v>16193</v>
      </c>
      <c r="C5578" s="5" t="s">
        <v>16194</v>
      </c>
      <c r="D5578" s="5" t="s">
        <v>16195</v>
      </c>
      <c r="E5578" s="5" t="s">
        <v>16196</v>
      </c>
      <c r="F5578" s="5" t="s">
        <v>16197</v>
      </c>
      <c r="G5578" s="5" t="s">
        <v>16198</v>
      </c>
      <c r="H5578" s="5" t="s">
        <v>16197</v>
      </c>
      <c r="I5578" s="5" t="s">
        <v>16199</v>
      </c>
      <c r="J5578" s="5" t="s">
        <v>16200</v>
      </c>
      <c r="K5578" s="7" t="str">
        <f ca="1">IFERROR(__xludf.DUMMYFUNCTION("GOOGLETRANSLATE(H5578,""EN"",""ES"")"),"MÁQUINAS Y APARATOS PARA PREPARAR ALIMENTOS O BEBIDAS, NO ESPECIFICADOS EN OTRA PARTE")</f>
        <v>MÁQUINAS Y APARATOS PARA PREPARAR ALIMENTOS O BEBIDAS, NO ESPECIFICADOS EN OTRA PARTE</v>
      </c>
      <c r="L5578" s="5" t="str">
        <f ca="1">IFERROR(__xludf.DUMMYFUNCTION("GOOGLETRANSLATE(J5578,""EN"",""ES"")"),"Picadoras eléctricas [domésticas]")</f>
        <v>Picadoras eléctricas [domésticas]</v>
      </c>
      <c r="M5578" s="8" t="s">
        <v>54</v>
      </c>
      <c r="N5578" s="8"/>
    </row>
    <row r="5579" spans="1:14" ht="11.25" customHeight="1">
      <c r="A5579" s="5" t="s">
        <v>16192</v>
      </c>
      <c r="B5579" s="5" t="s">
        <v>16193</v>
      </c>
      <c r="C5579" s="5" t="s">
        <v>16194</v>
      </c>
      <c r="D5579" s="5" t="s">
        <v>16195</v>
      </c>
      <c r="E5579" s="5" t="s">
        <v>16196</v>
      </c>
      <c r="F5579" s="5" t="s">
        <v>16197</v>
      </c>
      <c r="G5579" s="5" t="s">
        <v>16198</v>
      </c>
      <c r="H5579" s="5" t="s">
        <v>16197</v>
      </c>
      <c r="I5579" s="5" t="s">
        <v>16201</v>
      </c>
      <c r="J5579" s="5" t="s">
        <v>152</v>
      </c>
      <c r="K5579" s="7" t="str">
        <f ca="1">IFERROR(__xludf.DUMMYFUNCTION("GOOGLETRANSLATE(H5579,""EN"",""ES"")"),"MÁQUINAS Y APARATOS PARA PREPARAR ALIMENTOS O BEBIDAS, NO ESPECIFICADOS EN OTRA PARTE")</f>
        <v>MÁQUINAS Y APARATOS PARA PREPARAR ALIMENTOS O BEBIDAS, NO ESPECIFICADOS EN OTRA PARTE</v>
      </c>
      <c r="L5579" s="5" t="str">
        <f ca="1">IFERROR(__xludf.DUMMYFUNCTION("GOOGLETRANSLATE(J5579,""EN"",""ES"")"),"Picadoras eléctricas [domésticas]")</f>
        <v>Picadoras eléctricas [domésticas]</v>
      </c>
      <c r="M5579" s="8" t="s">
        <v>54</v>
      </c>
      <c r="N5579" s="8"/>
    </row>
    <row r="5580" spans="1:14" ht="11.25" customHeight="1">
      <c r="A5580" s="5" t="s">
        <v>16192</v>
      </c>
      <c r="B5580" s="5" t="s">
        <v>16193</v>
      </c>
      <c r="C5580" s="5" t="s">
        <v>16202</v>
      </c>
      <c r="D5580" s="5" t="s">
        <v>16195</v>
      </c>
      <c r="E5580" s="5" t="s">
        <v>16196</v>
      </c>
      <c r="F5580" s="5" t="s">
        <v>16197</v>
      </c>
      <c r="G5580" s="5" t="s">
        <v>16198</v>
      </c>
      <c r="H5580" s="5" t="s">
        <v>16197</v>
      </c>
      <c r="I5580" s="5" t="s">
        <v>16203</v>
      </c>
      <c r="J5580" s="5" t="s">
        <v>16204</v>
      </c>
      <c r="K5580" s="7" t="str">
        <f ca="1">IFERROR(__xludf.DUMMYFUNCTION("GOOGLETRANSLATE(H5580,""EN"",""ES"")"),"MÁQUINAS Y APARATOS PARA PREPARAR ALIMENTOS O BEBIDAS, NO ESPECIFICADOS EN OTRA PARTE")</f>
        <v>MÁQUINAS Y APARATOS PARA PREPARAR ALIMENTOS O BEBIDAS, NO ESPECIFICADOS EN OTRA PARTE</v>
      </c>
      <c r="L5580" s="5" t="str">
        <f ca="1">IFERROR(__xludf.DUMMYFUNCTION("GOOGLETRANSLATE(J5580,""EN"",""ES"")"),"Masticadores de alimentos")</f>
        <v>Masticadores de alimentos</v>
      </c>
      <c r="M5580" s="8" t="s">
        <v>54</v>
      </c>
      <c r="N5580" s="8"/>
    </row>
    <row r="5581" spans="1:14" ht="11.25" customHeight="1">
      <c r="A5581" s="5" t="s">
        <v>16192</v>
      </c>
      <c r="B5581" s="5" t="s">
        <v>16193</v>
      </c>
      <c r="C5581" s="5" t="s">
        <v>16205</v>
      </c>
      <c r="D5581" s="5" t="s">
        <v>16195</v>
      </c>
      <c r="E5581" s="5" t="s">
        <v>16196</v>
      </c>
      <c r="F5581" s="5" t="s">
        <v>16197</v>
      </c>
      <c r="G5581" s="5" t="s">
        <v>16198</v>
      </c>
      <c r="H5581" s="5" t="s">
        <v>16197</v>
      </c>
      <c r="I5581" s="5" t="s">
        <v>16206</v>
      </c>
      <c r="J5581" s="5" t="s">
        <v>16207</v>
      </c>
      <c r="K5581" s="7" t="str">
        <f ca="1">IFERROR(__xludf.DUMMYFUNCTION("GOOGLETRANSLATE(H5581,""EN"",""ES"")"),"MÁQUINAS Y APARATOS PARA PREPARAR ALIMENTOS O BEBIDAS, NO ESPECIFICADOS EN OTRA PARTE")</f>
        <v>MÁQUINAS Y APARATOS PARA PREPARAR ALIMENTOS O BEBIDAS, NO ESPECIFICADOS EN OTRA PARTE</v>
      </c>
      <c r="L5581" s="5" t="str">
        <f ca="1">IFERROR(__xludf.DUMMYFUNCTION("GOOGLETRANSLATE(J5581,""EN"",""ES"")"),"Rectificadoras [domésticas]")</f>
        <v>Rectificadoras [domésticas]</v>
      </c>
      <c r="M5581" s="8" t="s">
        <v>54</v>
      </c>
      <c r="N5581" s="8"/>
    </row>
    <row r="5582" spans="1:14" ht="11.25" customHeight="1">
      <c r="A5582" s="5" t="s">
        <v>16192</v>
      </c>
      <c r="B5582" s="5" t="s">
        <v>16193</v>
      </c>
      <c r="C5582" s="5" t="s">
        <v>16208</v>
      </c>
      <c r="D5582" s="5" t="s">
        <v>16195</v>
      </c>
      <c r="E5582" s="5" t="s">
        <v>16196</v>
      </c>
      <c r="F5582" s="5" t="s">
        <v>16197</v>
      </c>
      <c r="G5582" s="5" t="s">
        <v>16198</v>
      </c>
      <c r="H5582" s="5" t="s">
        <v>16197</v>
      </c>
      <c r="I5582" s="5" t="s">
        <v>16209</v>
      </c>
      <c r="J5582" s="5" t="s">
        <v>16210</v>
      </c>
      <c r="K5582" s="7" t="str">
        <f ca="1">IFERROR(__xludf.DUMMYFUNCTION("GOOGLETRANSLATE(H5582,""EN"",""ES"")"),"MÁQUINAS Y APARATOS PARA PREPARAR ALIMENTOS O BEBIDAS, NO ESPECIFICADOS EN OTRA PARTE")</f>
        <v>MÁQUINAS Y APARATOS PARA PREPARAR ALIMENTOS O BEBIDAS, NO ESPECIFICADOS EN OTRA PARTE</v>
      </c>
      <c r="L5582" s="5" t="str">
        <f ca="1">IFERROR(__xludf.DUMMYFUNCTION("GOOGLETRANSLATE(J5582,""EN"",""ES"")"),"Máquinas rebanadoras [hogar]")</f>
        <v>Máquinas rebanadoras [hogar]</v>
      </c>
      <c r="M5582" s="8" t="s">
        <v>54</v>
      </c>
      <c r="N5582" s="8"/>
    </row>
    <row r="5583" spans="1:14" ht="11.25" customHeight="1">
      <c r="A5583" s="5" t="s">
        <v>16192</v>
      </c>
      <c r="B5583" s="5" t="s">
        <v>16193</v>
      </c>
      <c r="C5583" s="5" t="s">
        <v>16211</v>
      </c>
      <c r="D5583" s="5" t="s">
        <v>16195</v>
      </c>
      <c r="E5583" s="5" t="s">
        <v>16196</v>
      </c>
      <c r="F5583" s="5" t="s">
        <v>16197</v>
      </c>
      <c r="G5583" s="5" t="s">
        <v>16198</v>
      </c>
      <c r="H5583" s="5" t="s">
        <v>16197</v>
      </c>
      <c r="I5583" s="5" t="s">
        <v>16212</v>
      </c>
      <c r="J5583" s="5" t="s">
        <v>16213</v>
      </c>
      <c r="K5583" s="7" t="str">
        <f ca="1">IFERROR(__xludf.DUMMYFUNCTION("GOOGLETRANSLATE(H5583,""EN"",""ES"")"),"MÁQUINAS Y APARATOS PARA PREPARAR ALIMENTOS O BEBIDAS, NO ESPECIFICADOS EN OTRA PARTE")</f>
        <v>MÁQUINAS Y APARATOS PARA PREPARAR ALIMENTOS O BEBIDAS, NO ESPECIFICADOS EN OTRA PARTE</v>
      </c>
      <c r="L5583" s="5" t="str">
        <f ca="1">IFERROR(__xludf.DUMMYFUNCTION("GOOGLETRANSLATE(J5583,""EN"",""ES"")"),"Trituradoras de uva")</f>
        <v>Trituradoras de uva</v>
      </c>
      <c r="M5583" s="8" t="s">
        <v>54</v>
      </c>
      <c r="N5583" s="8"/>
    </row>
    <row r="5584" spans="1:14" ht="11.25" customHeight="1">
      <c r="A5584" s="5" t="s">
        <v>16192</v>
      </c>
      <c r="B5584" s="5" t="s">
        <v>16193</v>
      </c>
      <c r="C5584" s="5" t="s">
        <v>16214</v>
      </c>
      <c r="D5584" s="5" t="s">
        <v>16195</v>
      </c>
      <c r="E5584" s="5" t="s">
        <v>16196</v>
      </c>
      <c r="F5584" s="5" t="s">
        <v>16197</v>
      </c>
      <c r="G5584" s="5" t="s">
        <v>16198</v>
      </c>
      <c r="H5584" s="5" t="s">
        <v>16197</v>
      </c>
      <c r="I5584" s="5" t="s">
        <v>16215</v>
      </c>
      <c r="J5584" s="5" t="s">
        <v>16216</v>
      </c>
      <c r="K5584" s="7" t="str">
        <f ca="1">IFERROR(__xludf.DUMMYFUNCTION("GOOGLETRANSLATE(H5584,""EN"",""ES"")"),"MÁQUINAS Y APARATOS PARA PREPARAR ALIMENTOS O BEBIDAS, NO ESPECIFICADOS EN OTRA PARTE")</f>
        <v>MÁQUINAS Y APARATOS PARA PREPARAR ALIMENTOS O BEBIDAS, NO ESPECIFICADOS EN OTRA PARTE</v>
      </c>
      <c r="L5584" s="5" t="str">
        <f ca="1">IFERROR(__xludf.DUMMYFUNCTION("GOOGLETRANSLATE(J5584,""EN"",""ES"")"),"Alambiques para destilar bebidas")</f>
        <v>Alambiques para destilar bebidas</v>
      </c>
      <c r="M5584" s="8" t="s">
        <v>54</v>
      </c>
      <c r="N5584" s="8"/>
    </row>
    <row r="5585" spans="1:14" ht="11.25" customHeight="1">
      <c r="A5585" s="5" t="s">
        <v>16192</v>
      </c>
      <c r="B5585" s="5" t="s">
        <v>16193</v>
      </c>
      <c r="C5585" s="5" t="s">
        <v>16217</v>
      </c>
      <c r="D5585" s="5" t="s">
        <v>16195</v>
      </c>
      <c r="E5585" s="5" t="s">
        <v>16196</v>
      </c>
      <c r="F5585" s="5" t="s">
        <v>16197</v>
      </c>
      <c r="G5585" s="5" t="s">
        <v>16198</v>
      </c>
      <c r="H5585" s="5" t="s">
        <v>16197</v>
      </c>
      <c r="I5585" s="5" t="s">
        <v>16218</v>
      </c>
      <c r="J5585" s="5" t="s">
        <v>16219</v>
      </c>
      <c r="K5585" s="7" t="str">
        <f ca="1">IFERROR(__xludf.DUMMYFUNCTION("GOOGLETRANSLATE(H5585,""EN"",""ES"")"),"MÁQUINAS Y APARATOS PARA PREPARAR ALIMENTOS O BEBIDAS, NO ESPECIFICADOS EN OTRA PARTE")</f>
        <v>MÁQUINAS Y APARATOS PARA PREPARAR ALIMENTOS O BEBIDAS, NO ESPECIFICADOS EN OTRA PARTE</v>
      </c>
      <c r="L5585" s="5" t="str">
        <f ca="1">IFERROR(__xludf.DUMMYFUNCTION("GOOGLETRANSLATE(J5585,""EN"",""ES"")"),"maquinas para la industria alimentaria")</f>
        <v>maquinas para la industria alimentaria</v>
      </c>
      <c r="M5585" s="8" t="s">
        <v>54</v>
      </c>
      <c r="N5585" s="8"/>
    </row>
    <row r="5586" spans="1:14" ht="11.25" customHeight="1">
      <c r="A5586" s="5" t="s">
        <v>16192</v>
      </c>
      <c r="B5586" s="5" t="s">
        <v>16193</v>
      </c>
      <c r="C5586" s="5" t="s">
        <v>16220</v>
      </c>
      <c r="D5586" s="5" t="s">
        <v>16195</v>
      </c>
      <c r="E5586" s="5" t="s">
        <v>16196</v>
      </c>
      <c r="F5586" s="5" t="s">
        <v>16197</v>
      </c>
      <c r="G5586" s="5" t="s">
        <v>16198</v>
      </c>
      <c r="H5586" s="5" t="s">
        <v>16197</v>
      </c>
      <c r="I5586" s="5" t="s">
        <v>16221</v>
      </c>
      <c r="J5586" s="5" t="s">
        <v>16222</v>
      </c>
      <c r="K5586" s="7" t="str">
        <f ca="1">IFERROR(__xludf.DUMMYFUNCTION("GOOGLETRANSLATE(H5586,""EN"",""ES"")"),"MÁQUINAS Y APARATOS PARA PREPARAR ALIMENTOS O BEBIDAS, NO ESPECIFICADOS EN OTRA PARTE")</f>
        <v>MÁQUINAS Y APARATOS PARA PREPARAR ALIMENTOS O BEBIDAS, NO ESPECIFICADOS EN OTRA PARTE</v>
      </c>
      <c r="L5586" s="5" t="str">
        <f ca="1">IFERROR(__xludf.DUMMYFUNCTION("GOOGLETRANSLATE(J5586,""EN"",""ES"")"),"Mantequeras [máquinas]")</f>
        <v>Mantequeras [máquinas]</v>
      </c>
      <c r="M5586" s="8" t="s">
        <v>54</v>
      </c>
      <c r="N5586" s="8"/>
    </row>
    <row r="5587" spans="1:14" ht="11.25" customHeight="1">
      <c r="A5587" s="5" t="s">
        <v>16192</v>
      </c>
      <c r="B5587" s="5" t="s">
        <v>16193</v>
      </c>
      <c r="C5587" s="5" t="s">
        <v>16223</v>
      </c>
      <c r="D5587" s="5" t="s">
        <v>16195</v>
      </c>
      <c r="E5587" s="5" t="s">
        <v>16196</v>
      </c>
      <c r="F5587" s="5" t="s">
        <v>16197</v>
      </c>
      <c r="G5587" s="5" t="s">
        <v>16198</v>
      </c>
      <c r="H5587" s="5" t="s">
        <v>16197</v>
      </c>
      <c r="I5587" s="5" t="s">
        <v>16224</v>
      </c>
      <c r="J5587" s="5" t="s">
        <v>16225</v>
      </c>
      <c r="K5587" s="7" t="str">
        <f ca="1">IFERROR(__xludf.DUMMYFUNCTION("GOOGLETRANSLATE(H5587,""EN"",""ES"")"),"MÁQUINAS Y APARATOS PARA PREPARAR ALIMENTOS O BEBIDAS, NO ESPECIFICADOS EN OTRA PARTE")</f>
        <v>MÁQUINAS Y APARATOS PARA PREPARAR ALIMENTOS O BEBIDAS, NO ESPECIFICADOS EN OTRA PARTE</v>
      </c>
      <c r="L5587" s="5" t="str">
        <f ca="1">IFERROR(__xludf.DUMMYFUNCTION("GOOGLETRANSLATE(J5587,""EN"",""ES"")"),"Empernadores eléctricos")</f>
        <v>Empernadores eléctricos</v>
      </c>
      <c r="M5587" s="8" t="s">
        <v>54</v>
      </c>
      <c r="N5587" s="8"/>
    </row>
    <row r="5588" spans="1:14" ht="11.25" customHeight="1">
      <c r="A5588" s="5" t="s">
        <v>16192</v>
      </c>
      <c r="B5588" s="5" t="s">
        <v>16193</v>
      </c>
      <c r="C5588" s="5" t="s">
        <v>16226</v>
      </c>
      <c r="D5588" s="5" t="s">
        <v>16195</v>
      </c>
      <c r="E5588" s="5" t="s">
        <v>16196</v>
      </c>
      <c r="F5588" s="5" t="s">
        <v>16197</v>
      </c>
      <c r="G5588" s="5" t="s">
        <v>16198</v>
      </c>
      <c r="H5588" s="5" t="s">
        <v>16197</v>
      </c>
      <c r="I5588" s="5" t="s">
        <v>16227</v>
      </c>
      <c r="J5588" s="5" t="s">
        <v>16228</v>
      </c>
      <c r="K5588" s="7" t="str">
        <f ca="1">IFERROR(__xludf.DUMMYFUNCTION("GOOGLETRANSLATE(H5588,""EN"",""ES"")"),"MÁQUINAS Y APARATOS PARA PREPARAR ALIMENTOS O BEBIDAS, NO ESPECIFICADOS EN OTRA PARTE")</f>
        <v>MÁQUINAS Y APARATOS PARA PREPARAR ALIMENTOS O BEBIDAS, NO ESPECIFICADOS EN OTRA PARTE</v>
      </c>
      <c r="L5588" s="5" t="str">
        <f ca="1">IFERROR(__xludf.DUMMYFUNCTION("GOOGLETRANSLATE(J5588,""EN"",""ES"")"),"Máquinas para la preparación industrial de bebidas.")</f>
        <v>Máquinas para la preparación industrial de bebidas.</v>
      </c>
      <c r="M5588" s="8" t="s">
        <v>54</v>
      </c>
      <c r="N5588" s="8"/>
    </row>
    <row r="5589" spans="1:14" ht="11.25" customHeight="1">
      <c r="A5589" s="5" t="s">
        <v>16192</v>
      </c>
      <c r="B5589" s="5" t="s">
        <v>16193</v>
      </c>
      <c r="C5589" s="5" t="s">
        <v>16229</v>
      </c>
      <c r="D5589" s="5" t="s">
        <v>16195</v>
      </c>
      <c r="E5589" s="5" t="s">
        <v>16196</v>
      </c>
      <c r="F5589" s="5" t="s">
        <v>16197</v>
      </c>
      <c r="G5589" s="5" t="s">
        <v>16198</v>
      </c>
      <c r="H5589" s="5" t="s">
        <v>16197</v>
      </c>
      <c r="I5589" s="5" t="s">
        <v>16230</v>
      </c>
      <c r="J5589" s="5" t="s">
        <v>16231</v>
      </c>
      <c r="K5589" s="7" t="str">
        <f ca="1">IFERROR(__xludf.DUMMYFUNCTION("GOOGLETRANSLATE(H5589,""EN"",""ES"")"),"MÁQUINAS Y APARATOS PARA PREPARAR ALIMENTOS O BEBIDAS, NO ESPECIFICADOS EN OTRA PARTE")</f>
        <v>MÁQUINAS Y APARATOS PARA PREPARAR ALIMENTOS O BEBIDAS, NO ESPECIFICADOS EN OTRA PARTE</v>
      </c>
      <c r="L5589" s="5" t="str">
        <f ca="1">IFERROR(__xludf.DUMMYFUNCTION("GOOGLETRANSLATE(J5589,""EN"",""ES"")"),"maquinas de carniceria")</f>
        <v>maquinas de carniceria</v>
      </c>
      <c r="M5589" s="8" t="s">
        <v>54</v>
      </c>
      <c r="N5589" s="8"/>
    </row>
    <row r="5590" spans="1:14" ht="11.25" customHeight="1">
      <c r="A5590" s="5" t="s">
        <v>16192</v>
      </c>
      <c r="B5590" s="5" t="s">
        <v>16193</v>
      </c>
      <c r="C5590" s="5" t="s">
        <v>16232</v>
      </c>
      <c r="D5590" s="5" t="s">
        <v>16195</v>
      </c>
      <c r="E5590" s="5" t="s">
        <v>16196</v>
      </c>
      <c r="F5590" s="5" t="s">
        <v>16197</v>
      </c>
      <c r="G5590" s="5" t="s">
        <v>16198</v>
      </c>
      <c r="H5590" s="5" t="s">
        <v>16197</v>
      </c>
      <c r="I5590" s="5" t="s">
        <v>16233</v>
      </c>
      <c r="J5590" s="5" t="s">
        <v>16234</v>
      </c>
      <c r="K5590" s="7" t="str">
        <f ca="1">IFERROR(__xludf.DUMMYFUNCTION("GOOGLETRANSLATE(H5590,""EN"",""ES"")"),"MÁQUINAS Y APARATOS PARA PREPARAR ALIMENTOS O BEBIDAS, NO ESPECIFICADOS EN OTRA PARTE")</f>
        <v>MÁQUINAS Y APARATOS PARA PREPARAR ALIMENTOS O BEBIDAS, NO ESPECIFICADOS EN OTRA PARTE</v>
      </c>
      <c r="L5590" s="5" t="str">
        <f ca="1">IFERROR(__xludf.DUMMYFUNCTION("GOOGLETRANSLATE(J5590,""EN"",""ES"")"),"Trituradoras de torta de aceite")</f>
        <v>Trituradoras de torta de aceite</v>
      </c>
      <c r="M5590" s="8" t="s">
        <v>54</v>
      </c>
      <c r="N5590" s="8"/>
    </row>
    <row r="5591" spans="1:14" ht="11.25" customHeight="1">
      <c r="A5591" s="5" t="s">
        <v>16192</v>
      </c>
      <c r="B5591" s="5" t="s">
        <v>16193</v>
      </c>
      <c r="C5591" s="5" t="s">
        <v>16235</v>
      </c>
      <c r="D5591" s="5" t="s">
        <v>16195</v>
      </c>
      <c r="E5591" s="5" t="s">
        <v>16196</v>
      </c>
      <c r="F5591" s="5" t="s">
        <v>16197</v>
      </c>
      <c r="G5591" s="5" t="s">
        <v>16198</v>
      </c>
      <c r="H5591" s="5" t="s">
        <v>16197</v>
      </c>
      <c r="I5591" s="5" t="s">
        <v>16236</v>
      </c>
      <c r="J5591" s="5" t="s">
        <v>16237</v>
      </c>
      <c r="K5591" s="7" t="str">
        <f ca="1">IFERROR(__xludf.DUMMYFUNCTION("GOOGLETRANSLATE(H5591,""EN"",""ES"")"),"MÁQUINAS Y APARATOS PARA PREPARAR ALIMENTOS O BEBIDAS, NO ESPECIFICADOS EN OTRA PARTE")</f>
        <v>MÁQUINAS Y APARATOS PARA PREPARAR ALIMENTOS O BEBIDAS, NO ESPECIFICADOS EN OTRA PARTE</v>
      </c>
      <c r="L5591" s="5" t="str">
        <f ca="1">IFERROR(__xludf.DUMMYFUNCTION("GOOGLETRANSLATE(J5591,""EN"",""ES"")"),"Máquinas troceadoras para fruta")</f>
        <v>Máquinas troceadoras para fruta</v>
      </c>
      <c r="M5591" s="8" t="s">
        <v>54</v>
      </c>
      <c r="N5591" s="8"/>
    </row>
    <row r="5592" spans="1:14" ht="11.25" customHeight="1">
      <c r="A5592" s="5" t="s">
        <v>16192</v>
      </c>
      <c r="B5592" s="5" t="s">
        <v>16193</v>
      </c>
      <c r="C5592" s="5" t="s">
        <v>16238</v>
      </c>
      <c r="D5592" s="5" t="s">
        <v>16195</v>
      </c>
      <c r="E5592" s="5" t="s">
        <v>16196</v>
      </c>
      <c r="F5592" s="5" t="s">
        <v>16197</v>
      </c>
      <c r="G5592" s="5" t="s">
        <v>16198</v>
      </c>
      <c r="H5592" s="5" t="s">
        <v>16197</v>
      </c>
      <c r="I5592" s="5" t="s">
        <v>16239</v>
      </c>
      <c r="J5592" s="5" t="s">
        <v>16240</v>
      </c>
      <c r="K5592" s="7" t="str">
        <f ca="1">IFERROR(__xludf.DUMMYFUNCTION("GOOGLETRANSLATE(H5592,""EN"",""ES"")"),"MÁQUINAS Y APARATOS PARA PREPARAR ALIMENTOS O BEBIDAS, NO ESPECIFICADOS EN OTRA PARTE")</f>
        <v>MÁQUINAS Y APARATOS PARA PREPARAR ALIMENTOS O BEBIDAS, NO ESPECIFICADOS EN OTRA PARTE</v>
      </c>
      <c r="L5592" s="5" t="str">
        <f ca="1">IFERROR(__xludf.DUMMYFUNCTION("GOOGLETRANSLATE(J5592,""EN"",""ES"")"),"Descorazonadoras para manzanas [máquinas]")</f>
        <v>Descorazonadoras para manzanas [máquinas]</v>
      </c>
      <c r="M5592" s="8" t="s">
        <v>54</v>
      </c>
      <c r="N5592" s="8"/>
    </row>
    <row r="5593" spans="1:14" ht="11.25" customHeight="1">
      <c r="A5593" s="5" t="s">
        <v>16192</v>
      </c>
      <c r="B5593" s="5" t="s">
        <v>16193</v>
      </c>
      <c r="C5593" s="5" t="s">
        <v>16241</v>
      </c>
      <c r="D5593" s="5" t="s">
        <v>16195</v>
      </c>
      <c r="E5593" s="5" t="s">
        <v>16196</v>
      </c>
      <c r="F5593" s="5" t="s">
        <v>16197</v>
      </c>
      <c r="G5593" s="5" t="s">
        <v>16198</v>
      </c>
      <c r="H5593" s="5" t="s">
        <v>16197</v>
      </c>
      <c r="I5593" s="5" t="s">
        <v>16242</v>
      </c>
      <c r="J5593" s="5" t="s">
        <v>16243</v>
      </c>
      <c r="K5593" s="7" t="str">
        <f ca="1">IFERROR(__xludf.DUMMYFUNCTION("GOOGLETRANSLATE(H5593,""EN"",""ES"")"),"MÁQUINAS Y APARATOS PARA PREPARAR ALIMENTOS O BEBIDAS, NO ESPECIFICADOS EN OTRA PARTE")</f>
        <v>MÁQUINAS Y APARATOS PARA PREPARAR ALIMENTOS O BEBIDAS, NO ESPECIFICADOS EN OTRA PARTE</v>
      </c>
      <c r="L5593" s="5" t="str">
        <f ca="1">IFERROR(__xludf.DUMMYFUNCTION("GOOGLETRANSLATE(J5593,""EN"",""ES"")"),"Separadores de nata y leche eléctricos")</f>
        <v>Separadores de nata y leche eléctricos</v>
      </c>
      <c r="M5593" s="8" t="s">
        <v>54</v>
      </c>
      <c r="N5593" s="8"/>
    </row>
    <row r="5594" spans="1:14" ht="11.25" customHeight="1">
      <c r="A5594" s="5" t="s">
        <v>16192</v>
      </c>
      <c r="B5594" s="5" t="s">
        <v>16193</v>
      </c>
      <c r="C5594" s="5" t="s">
        <v>16244</v>
      </c>
      <c r="D5594" s="5" t="s">
        <v>16195</v>
      </c>
      <c r="E5594" s="5" t="s">
        <v>16196</v>
      </c>
      <c r="F5594" s="5" t="s">
        <v>16197</v>
      </c>
      <c r="G5594" s="5" t="s">
        <v>16198</v>
      </c>
      <c r="H5594" s="5" t="s">
        <v>16197</v>
      </c>
      <c r="I5594" s="5" t="s">
        <v>16245</v>
      </c>
      <c r="J5594" s="5" t="s">
        <v>16246</v>
      </c>
      <c r="K5594" s="7" t="str">
        <f ca="1">IFERROR(__xludf.DUMMYFUNCTION("GOOGLETRANSLATE(H5594,""EN"",""ES"")"),"MÁQUINAS Y APARATOS PARA PREPARAR ALIMENTOS O BEBIDAS, NO ESPECIFICADOS EN OTRA PARTE")</f>
        <v>MÁQUINAS Y APARATOS PARA PREPARAR ALIMENTOS O BEBIDAS, NO ESPECIFICADOS EN OTRA PARTE</v>
      </c>
      <c r="L5594" s="5" t="str">
        <f ca="1">IFERROR(__xludf.DUMMYFUNCTION("GOOGLETRANSLATE(J5594,""EN"",""ES"")"),"Peladoras de frutas y verduras [industriales]")</f>
        <v>Peladoras de frutas y verduras [industriales]</v>
      </c>
      <c r="M5594" s="8" t="s">
        <v>54</v>
      </c>
      <c r="N5594" s="8"/>
    </row>
    <row r="5595" spans="1:14" ht="11.25" customHeight="1">
      <c r="A5595" s="5" t="s">
        <v>16192</v>
      </c>
      <c r="B5595" s="5" t="s">
        <v>16193</v>
      </c>
      <c r="C5595" s="5" t="s">
        <v>16247</v>
      </c>
      <c r="D5595" s="5" t="s">
        <v>16195</v>
      </c>
      <c r="E5595" s="5" t="s">
        <v>16196</v>
      </c>
      <c r="F5595" s="5" t="s">
        <v>16197</v>
      </c>
      <c r="G5595" s="5" t="s">
        <v>16198</v>
      </c>
      <c r="H5595" s="5" t="s">
        <v>16197</v>
      </c>
      <c r="I5595" s="5" t="s">
        <v>16248</v>
      </c>
      <c r="J5595" s="5" t="s">
        <v>16249</v>
      </c>
      <c r="K5595" s="7" t="str">
        <f ca="1">IFERROR(__xludf.DUMMYFUNCTION("GOOGLETRANSLATE(H5595,""EN"",""ES"")"),"MÁQUINAS Y APARATOS PARA PREPARAR ALIMENTOS O BEBIDAS, NO ESPECIFICADOS EN OTRA PARTE")</f>
        <v>MÁQUINAS Y APARATOS PARA PREPARAR ALIMENTOS O BEBIDAS, NO ESPECIFICADOS EN OTRA PARTE</v>
      </c>
      <c r="L5595" s="5" t="str">
        <f ca="1">IFERROR(__xludf.DUMMYFUNCTION("GOOGLETRANSLATE(J5595,""EN"",""ES"")"),"Secadores de azúcar")</f>
        <v>Secadores de azúcar</v>
      </c>
      <c r="M5595" s="8" t="s">
        <v>54</v>
      </c>
      <c r="N5595" s="8"/>
    </row>
    <row r="5596" spans="1:14" ht="11.25" customHeight="1">
      <c r="A5596" s="5" t="s">
        <v>16192</v>
      </c>
      <c r="B5596" s="5" t="s">
        <v>16193</v>
      </c>
      <c r="C5596" s="5" t="s">
        <v>16250</v>
      </c>
      <c r="D5596" s="5" t="s">
        <v>16195</v>
      </c>
      <c r="E5596" s="5" t="s">
        <v>16196</v>
      </c>
      <c r="F5596" s="5" t="s">
        <v>16197</v>
      </c>
      <c r="G5596" s="5" t="s">
        <v>16198</v>
      </c>
      <c r="H5596" s="5" t="s">
        <v>16197</v>
      </c>
      <c r="I5596" s="5" t="s">
        <v>16251</v>
      </c>
      <c r="J5596" s="5" t="s">
        <v>16252</v>
      </c>
      <c r="K5596" s="7" t="str">
        <f ca="1">IFERROR(__xludf.DUMMYFUNCTION("GOOGLETRANSLATE(H5596,""EN"",""ES"")"),"MÁQUINAS Y APARATOS PARA PREPARAR ALIMENTOS O BEBIDAS, NO ESPECIFICADOS EN OTRA PARTE")</f>
        <v>MÁQUINAS Y APARATOS PARA PREPARAR ALIMENTOS O BEBIDAS, NO ESPECIFICADOS EN OTRA PARTE</v>
      </c>
      <c r="L5596" s="5" t="str">
        <f ca="1">IFERROR(__xludf.DUMMYFUNCTION("GOOGLETRANSLATE(J5596,""EN"",""ES"")"),"Extractores de zumo de frutas [eléctricos]")</f>
        <v>Extractores de zumo de frutas [eléctricos]</v>
      </c>
      <c r="M5596" s="8" t="s">
        <v>54</v>
      </c>
      <c r="N5596" s="8"/>
    </row>
    <row r="5597" spans="1:14" ht="11.25" customHeight="1">
      <c r="A5597" s="5" t="s">
        <v>16192</v>
      </c>
      <c r="B5597" s="5" t="s">
        <v>16193</v>
      </c>
      <c r="C5597" s="5" t="s">
        <v>16253</v>
      </c>
      <c r="D5597" s="5" t="s">
        <v>16195</v>
      </c>
      <c r="E5597" s="5" t="s">
        <v>16196</v>
      </c>
      <c r="F5597" s="5" t="s">
        <v>16197</v>
      </c>
      <c r="G5597" s="5" t="s">
        <v>16198</v>
      </c>
      <c r="H5597" s="5" t="s">
        <v>16197</v>
      </c>
      <c r="I5597" s="5" t="s">
        <v>16254</v>
      </c>
      <c r="J5597" s="5" t="s">
        <v>16255</v>
      </c>
      <c r="K5597" s="7" t="str">
        <f ca="1">IFERROR(__xludf.DUMMYFUNCTION("GOOGLETRANSLATE(H5597,""EN"",""ES"")"),"MÁQUINAS Y APARATOS PARA PREPARAR ALIMENTOS O BEBIDAS, NO ESPECIFICADOS EN OTRA PARTE")</f>
        <v>MÁQUINAS Y APARATOS PARA PREPARAR ALIMENTOS O BEBIDAS, NO ESPECIFICADOS EN OTRA PARTE</v>
      </c>
      <c r="L5597" s="5" t="str">
        <f ca="1">IFERROR(__xludf.DUMMYFUNCTION("GOOGLETRANSLATE(J5597,""EN"",""ES"")"),"Maquinas lecheras")</f>
        <v>Maquinas lecheras</v>
      </c>
      <c r="M5597" s="8" t="s">
        <v>54</v>
      </c>
      <c r="N5597" s="8"/>
    </row>
    <row r="5598" spans="1:14" ht="11.25" customHeight="1">
      <c r="A5598" s="5" t="s">
        <v>16192</v>
      </c>
      <c r="B5598" s="5" t="s">
        <v>16193</v>
      </c>
      <c r="C5598" s="5" t="s">
        <v>16256</v>
      </c>
      <c r="D5598" s="5" t="s">
        <v>16195</v>
      </c>
      <c r="E5598" s="5" t="s">
        <v>16196</v>
      </c>
      <c r="F5598" s="5" t="s">
        <v>16197</v>
      </c>
      <c r="G5598" s="5" t="s">
        <v>16198</v>
      </c>
      <c r="H5598" s="5" t="s">
        <v>16197</v>
      </c>
      <c r="I5598" s="5" t="s">
        <v>16257</v>
      </c>
      <c r="J5598" s="5" t="s">
        <v>16258</v>
      </c>
      <c r="K5598" s="7" t="str">
        <f ca="1">IFERROR(__xludf.DUMMYFUNCTION("GOOGLETRANSLATE(H5598,""EN"",""ES"")"),"MÁQUINAS Y APARATOS PARA PREPARAR ALIMENTOS O BEBIDAS, NO ESPECIFICADOS EN OTRA PARTE")</f>
        <v>MÁQUINAS Y APARATOS PARA PREPARAR ALIMENTOS O BEBIDAS, NO ESPECIFICADOS EN OTRA PARTE</v>
      </c>
      <c r="L5598" s="5" t="str">
        <f ca="1">IFERROR(__xludf.DUMMYFUNCTION("GOOGLETRANSLATE(J5598,""EN"",""ES"")"),"maquinas de palomitas")</f>
        <v>maquinas de palomitas</v>
      </c>
      <c r="M5598" s="8" t="s">
        <v>54</v>
      </c>
      <c r="N5598" s="8"/>
    </row>
    <row r="5599" spans="1:14" ht="11.25" customHeight="1">
      <c r="A5599" s="5" t="s">
        <v>16192</v>
      </c>
      <c r="B5599" s="5" t="s">
        <v>16193</v>
      </c>
      <c r="C5599" s="5" t="s">
        <v>16259</v>
      </c>
      <c r="D5599" s="5" t="s">
        <v>16195</v>
      </c>
      <c r="E5599" s="5" t="s">
        <v>16196</v>
      </c>
      <c r="F5599" s="5" t="s">
        <v>16197</v>
      </c>
      <c r="G5599" s="5" t="s">
        <v>16198</v>
      </c>
      <c r="H5599" s="5" t="s">
        <v>16197</v>
      </c>
      <c r="I5599" s="5" t="s">
        <v>16260</v>
      </c>
      <c r="J5599" s="5" t="s">
        <v>16261</v>
      </c>
      <c r="K5599" s="7" t="str">
        <f ca="1">IFERROR(__xludf.DUMMYFUNCTION("GOOGLETRANSLATE(H5599,""EN"",""ES"")"),"MÁQUINAS Y APARATOS PARA PREPARAR ALIMENTOS O BEBIDAS, NO ESPECIFICADOS EN OTRA PARTE")</f>
        <v>MÁQUINAS Y APARATOS PARA PREPARAR ALIMENTOS O BEBIDAS, NO ESPECIFICADOS EN OTRA PARTE</v>
      </c>
      <c r="L5599" s="5" t="str">
        <f ca="1">IFERROR(__xludf.DUMMYFUNCTION("GOOGLETRANSLATE(J5599,""EN"",""ES"")"),"Máquinas de limpieza de malta")</f>
        <v>Máquinas de limpieza de malta</v>
      </c>
      <c r="M5599" s="8" t="s">
        <v>54</v>
      </c>
      <c r="N5599" s="8"/>
    </row>
    <row r="5600" spans="1:14" ht="11.25" customHeight="1">
      <c r="A5600" s="5" t="s">
        <v>16192</v>
      </c>
      <c r="B5600" s="5" t="s">
        <v>16193</v>
      </c>
      <c r="C5600" s="5" t="s">
        <v>16262</v>
      </c>
      <c r="D5600" s="5" t="s">
        <v>16195</v>
      </c>
      <c r="E5600" s="5" t="s">
        <v>16196</v>
      </c>
      <c r="F5600" s="5" t="s">
        <v>16197</v>
      </c>
      <c r="G5600" s="5" t="s">
        <v>16198</v>
      </c>
      <c r="H5600" s="5" t="s">
        <v>16197</v>
      </c>
      <c r="I5600" s="5" t="s">
        <v>16263</v>
      </c>
      <c r="J5600" s="5" t="s">
        <v>16264</v>
      </c>
      <c r="K5600" s="7" t="str">
        <f ca="1">IFERROR(__xludf.DUMMYFUNCTION("GOOGLETRANSLATE(H5600,""EN"",""ES"")"),"MÁQUINAS Y APARATOS PARA PREPARAR ALIMENTOS O BEBIDAS, NO ESPECIFICADOS EN OTRA PARTE")</f>
        <v>MÁQUINAS Y APARATOS PARA PREPARAR ALIMENTOS O BEBIDAS, NO ESPECIFICADOS EN OTRA PARTE</v>
      </c>
      <c r="L5600" s="5" t="str">
        <f ca="1">IFERROR(__xludf.DUMMYFUNCTION("GOOGLETRANSLATE(J5600,""EN"",""ES"")"),"Molinedoras de harina")</f>
        <v>Molinedoras de harina</v>
      </c>
      <c r="M5600" s="8" t="s">
        <v>54</v>
      </c>
      <c r="N5600" s="8"/>
    </row>
    <row r="5601" spans="1:14" ht="11.25" customHeight="1">
      <c r="A5601" s="5" t="s">
        <v>16192</v>
      </c>
      <c r="B5601" s="5" t="s">
        <v>16193</v>
      </c>
      <c r="C5601" s="5" t="s">
        <v>16265</v>
      </c>
      <c r="D5601" s="5" t="s">
        <v>16195</v>
      </c>
      <c r="E5601" s="5" t="s">
        <v>16196</v>
      </c>
      <c r="F5601" s="5" t="s">
        <v>16197</v>
      </c>
      <c r="G5601" s="5" t="s">
        <v>16198</v>
      </c>
      <c r="H5601" s="5" t="s">
        <v>16197</v>
      </c>
      <c r="I5601" s="5" t="s">
        <v>16266</v>
      </c>
      <c r="J5601" s="5" t="s">
        <v>16267</v>
      </c>
      <c r="K5601" s="7" t="str">
        <f ca="1">IFERROR(__xludf.DUMMYFUNCTION("GOOGLETRANSLATE(H5601,""EN"",""ES"")"),"MÁQUINAS Y APARATOS PARA PREPARAR ALIMENTOS O BEBIDAS, NO ESPECIFICADOS EN OTRA PARTE")</f>
        <v>MÁQUINAS Y APARATOS PARA PREPARAR ALIMENTOS O BEBIDAS, NO ESPECIFICADOS EN OTRA PARTE</v>
      </c>
      <c r="L5601" s="5" t="str">
        <f ca="1">IFERROR(__xludf.DUMMYFUNCTION("GOOGLETRANSLATE(J5601,""EN"",""ES"")"),"Moldes para pan [piezas de máquinas]")</f>
        <v>Moldes para pan [piezas de máquinas]</v>
      </c>
      <c r="M5601" s="8" t="s">
        <v>54</v>
      </c>
      <c r="N5601" s="8"/>
    </row>
    <row r="5602" spans="1:14" ht="11.25" customHeight="1">
      <c r="A5602" s="5" t="s">
        <v>16192</v>
      </c>
      <c r="B5602" s="5" t="s">
        <v>16193</v>
      </c>
      <c r="C5602" s="5" t="s">
        <v>16265</v>
      </c>
      <c r="D5602" s="5" t="s">
        <v>16195</v>
      </c>
      <c r="E5602" s="5" t="s">
        <v>16196</v>
      </c>
      <c r="F5602" s="5" t="s">
        <v>16197</v>
      </c>
      <c r="G5602" s="5" t="s">
        <v>16198</v>
      </c>
      <c r="H5602" s="5" t="s">
        <v>16197</v>
      </c>
      <c r="I5602" s="5" t="s">
        <v>16268</v>
      </c>
      <c r="J5602" s="5" t="s">
        <v>152</v>
      </c>
      <c r="K5602" s="7" t="str">
        <f ca="1">IFERROR(__xludf.DUMMYFUNCTION("GOOGLETRANSLATE(H5602,""EN"",""ES"")"),"MÁQUINAS Y APARATOS PARA PREPARAR ALIMENTOS O BEBIDAS, NO ESPECIFICADOS EN OTRA PARTE")</f>
        <v>MÁQUINAS Y APARATOS PARA PREPARAR ALIMENTOS O BEBIDAS, NO ESPECIFICADOS EN OTRA PARTE</v>
      </c>
      <c r="L5602" s="5" t="str">
        <f ca="1">IFERROR(__xludf.DUMMYFUNCTION("GOOGLETRANSLATE(J5602,""EN"",""ES"")"),"Moldes para pan [piezas de máquinas]")</f>
        <v>Moldes para pan [piezas de máquinas]</v>
      </c>
      <c r="M5602" s="8" t="s">
        <v>54</v>
      </c>
      <c r="N5602" s="8"/>
    </row>
    <row r="5603" spans="1:14" ht="11.25" customHeight="1">
      <c r="A5603" s="5" t="s">
        <v>16192</v>
      </c>
      <c r="B5603" s="5" t="s">
        <v>16193</v>
      </c>
      <c r="C5603" s="5" t="s">
        <v>16269</v>
      </c>
      <c r="D5603" s="5" t="s">
        <v>16195</v>
      </c>
      <c r="E5603" s="5" t="s">
        <v>16196</v>
      </c>
      <c r="F5603" s="5" t="s">
        <v>16197</v>
      </c>
      <c r="G5603" s="5" t="s">
        <v>16198</v>
      </c>
      <c r="H5603" s="5" t="s">
        <v>16197</v>
      </c>
      <c r="I5603" s="5" t="s">
        <v>16270</v>
      </c>
      <c r="J5603" s="5" t="s">
        <v>16271</v>
      </c>
      <c r="K5603" s="7" t="str">
        <f ca="1">IFERROR(__xludf.DUMMYFUNCTION("GOOGLETRANSLATE(H5603,""EN"",""ES"")"),"MÁQUINAS Y APARATOS PARA PREPARAR ALIMENTOS O BEBIDAS, NO ESPECIFICADOS EN OTRA PARTE")</f>
        <v>MÁQUINAS Y APARATOS PARA PREPARAR ALIMENTOS O BEBIDAS, NO ESPECIFICADOS EN OTRA PARTE</v>
      </c>
      <c r="L5603" s="5" t="str">
        <f ca="1">IFERROR(__xludf.DUMMYFUNCTION("GOOGLETRANSLATE(J5603,""EN"",""ES"")"),"Máquinas o aparatos [eléctricos] para extraer huesos de frutas.")</f>
        <v>Máquinas o aparatos [eléctricos] para extraer huesos de frutas.</v>
      </c>
      <c r="M5603" s="8" t="s">
        <v>54</v>
      </c>
      <c r="N5603" s="8"/>
    </row>
    <row r="5604" spans="1:14" ht="11.25" customHeight="1">
      <c r="A5604" s="5" t="s">
        <v>16192</v>
      </c>
      <c r="B5604" s="5" t="s">
        <v>16193</v>
      </c>
      <c r="C5604" s="5" t="s">
        <v>16272</v>
      </c>
      <c r="D5604" s="5" t="s">
        <v>16195</v>
      </c>
      <c r="E5604" s="5" t="s">
        <v>16196</v>
      </c>
      <c r="F5604" s="5" t="s">
        <v>16197</v>
      </c>
      <c r="G5604" s="5" t="s">
        <v>16198</v>
      </c>
      <c r="H5604" s="5" t="s">
        <v>16197</v>
      </c>
      <c r="I5604" s="5" t="s">
        <v>16273</v>
      </c>
      <c r="J5604" s="5" t="s">
        <v>16274</v>
      </c>
      <c r="K5604" s="7" t="str">
        <f ca="1">IFERROR(__xludf.DUMMYFUNCTION("GOOGLETRANSLATE(H5604,""EN"",""ES"")"),"MÁQUINAS Y APARATOS PARA PREPARAR ALIMENTOS O BEBIDAS, NO ESPECIFICADOS EN OTRA PARTE")</f>
        <v>MÁQUINAS Y APARATOS PARA PREPARAR ALIMENTOS O BEBIDAS, NO ESPECIFICADOS EN OTRA PARTE</v>
      </c>
      <c r="L5604" s="5" t="str">
        <f ca="1">IFERROR(__xludf.DUMMYFUNCTION("GOOGLETRANSLATE(J5604,""EN"",""ES"")"),"Amasadoras")</f>
        <v>Amasadoras</v>
      </c>
      <c r="M5604" s="8" t="s">
        <v>54</v>
      </c>
      <c r="N5604" s="8"/>
    </row>
    <row r="5605" spans="1:14" ht="11.25" customHeight="1">
      <c r="A5605" s="5" t="s">
        <v>16192</v>
      </c>
      <c r="B5605" s="5" t="s">
        <v>16193</v>
      </c>
      <c r="C5605" s="5" t="s">
        <v>16275</v>
      </c>
      <c r="D5605" s="5" t="s">
        <v>16195</v>
      </c>
      <c r="E5605" s="5" t="s">
        <v>16196</v>
      </c>
      <c r="F5605" s="5" t="s">
        <v>16197</v>
      </c>
      <c r="G5605" s="5" t="s">
        <v>16198</v>
      </c>
      <c r="H5605" s="5" t="s">
        <v>16197</v>
      </c>
      <c r="I5605" s="5" t="s">
        <v>16276</v>
      </c>
      <c r="J5605" s="5" t="s">
        <v>16277</v>
      </c>
      <c r="K5605" s="7" t="str">
        <f ca="1">IFERROR(__xludf.DUMMYFUNCTION("GOOGLETRANSLATE(H5605,""EN"",""ES"")"),"MÁQUINAS Y APARATOS PARA PREPARAR ALIMENTOS O BEBIDAS, NO ESPECIFICADOS EN OTRA PARTE")</f>
        <v>MÁQUINAS Y APARATOS PARA PREPARAR ALIMENTOS O BEBIDAS, NO ESPECIFICADOS EN OTRA PARTE</v>
      </c>
      <c r="L5605" s="5" t="str">
        <f ca="1">IFERROR(__xludf.DUMMYFUNCTION("GOOGLETRANSLATE(J5605,""EN"",""ES"")"),"Prensas para frutas o verduras [eléctricas]")</f>
        <v>Prensas para frutas o verduras [eléctricas]</v>
      </c>
      <c r="M5605" s="8" t="s">
        <v>54</v>
      </c>
      <c r="N5605" s="8"/>
    </row>
    <row r="5606" spans="1:14" ht="11.25" customHeight="1">
      <c r="A5606" s="5" t="s">
        <v>16192</v>
      </c>
      <c r="B5606" s="5" t="s">
        <v>16193</v>
      </c>
      <c r="C5606" s="5" t="s">
        <v>16278</v>
      </c>
      <c r="D5606" s="5" t="s">
        <v>16195</v>
      </c>
      <c r="E5606" s="5" t="s">
        <v>16196</v>
      </c>
      <c r="F5606" s="5" t="s">
        <v>16197</v>
      </c>
      <c r="G5606" s="5" t="s">
        <v>16198</v>
      </c>
      <c r="H5606" s="5" t="s">
        <v>16197</v>
      </c>
      <c r="I5606" s="5" t="s">
        <v>16279</v>
      </c>
      <c r="J5606" s="5" t="s">
        <v>16280</v>
      </c>
      <c r="K5606" s="7" t="str">
        <f ca="1">IFERROR(__xludf.DUMMYFUNCTION("GOOGLETRANSLATE(H5606,""EN"",""ES"")"),"MÁQUINAS Y APARATOS PARA PREPARAR ALIMENTOS O BEBIDAS, NO ESPECIFICADOS EN OTRA PARTE")</f>
        <v>MÁQUINAS Y APARATOS PARA PREPARAR ALIMENTOS O BEBIDAS, NO ESPECIFICADOS EN OTRA PARTE</v>
      </c>
      <c r="L5606" s="5" t="str">
        <f ca="1">IFERROR(__xludf.DUMMYFUNCTION("GOOGLETRANSLATE(J5606,""EN"",""ES"")"),"Prensas de vino eléctricas")</f>
        <v>Prensas de vino eléctricas</v>
      </c>
      <c r="M5606" s="8" t="s">
        <v>54</v>
      </c>
      <c r="N5606" s="8"/>
    </row>
    <row r="5607" spans="1:14" ht="11.25" customHeight="1">
      <c r="A5607" s="5" t="s">
        <v>16192</v>
      </c>
      <c r="B5607" s="5" t="s">
        <v>16193</v>
      </c>
      <c r="C5607" s="5" t="s">
        <v>16281</v>
      </c>
      <c r="D5607" s="5" t="s">
        <v>16195</v>
      </c>
      <c r="E5607" s="5" t="s">
        <v>16196</v>
      </c>
      <c r="F5607" s="5" t="s">
        <v>16197</v>
      </c>
      <c r="G5607" s="5" t="s">
        <v>16198</v>
      </c>
      <c r="H5607" s="5" t="s">
        <v>16197</v>
      </c>
      <c r="I5607" s="5" t="s">
        <v>16282</v>
      </c>
      <c r="J5607" s="5" t="s">
        <v>16283</v>
      </c>
      <c r="K5607" s="7" t="str">
        <f ca="1">IFERROR(__xludf.DUMMYFUNCTION("GOOGLETRANSLATE(H5607,""EN"",""ES"")"),"MÁQUINAS Y APARATOS PARA PREPARAR ALIMENTOS O BEBIDAS, NO ESPECIFICADOS EN OTRA PARTE")</f>
        <v>MÁQUINAS Y APARATOS PARA PREPARAR ALIMENTOS O BEBIDAS, NO ESPECIFICADOS EN OTRA PARTE</v>
      </c>
      <c r="L5607" s="5" t="str">
        <f ca="1">IFERROR(__xludf.DUMMYFUNCTION("GOOGLETRANSLATE(J5607,""EN"",""ES"")"),"Desplumadoras de aves de corral [máquinas]")</f>
        <v>Desplumadoras de aves de corral [máquinas]</v>
      </c>
      <c r="M5607" s="8" t="s">
        <v>54</v>
      </c>
      <c r="N5607" s="8"/>
    </row>
    <row r="5608" spans="1:14" ht="11.25" customHeight="1">
      <c r="A5608" s="5" t="s">
        <v>16192</v>
      </c>
      <c r="B5608" s="5" t="s">
        <v>16193</v>
      </c>
      <c r="C5608" s="5" t="s">
        <v>16284</v>
      </c>
      <c r="D5608" s="5" t="s">
        <v>16195</v>
      </c>
      <c r="E5608" s="5" t="s">
        <v>16196</v>
      </c>
      <c r="F5608" s="5" t="s">
        <v>16197</v>
      </c>
      <c r="G5608" s="5" t="s">
        <v>16198</v>
      </c>
      <c r="H5608" s="5" t="s">
        <v>16197</v>
      </c>
      <c r="I5608" s="5" t="s">
        <v>16285</v>
      </c>
      <c r="J5608" s="5" t="s">
        <v>16286</v>
      </c>
      <c r="K5608" s="7" t="str">
        <f ca="1">IFERROR(__xludf.DUMMYFUNCTION("GOOGLETRANSLATE(H5608,""EN"",""ES"")"),"MÁQUINAS Y APARATOS PARA PREPARAR ALIMENTOS O BEBIDAS, NO ESPECIFICADOS EN OTRA PARTE")</f>
        <v>MÁQUINAS Y APARATOS PARA PREPARAR ALIMENTOS O BEBIDAS, NO ESPECIFICADOS EN OTRA PARTE</v>
      </c>
      <c r="L5608" s="5" t="str">
        <f ca="1">IFERROR(__xludf.DUMMYFUNCTION("GOOGLETRANSLATE(J5608,""EN"",""ES"")"),"Máquinas cortadoras y evisceradoras de pescado")</f>
        <v>Máquinas cortadoras y evisceradoras de pescado</v>
      </c>
      <c r="M5608" s="8" t="s">
        <v>54</v>
      </c>
      <c r="N5608" s="8"/>
    </row>
    <row r="5609" spans="1:14" ht="11.25" customHeight="1">
      <c r="A5609" s="5" t="s">
        <v>16192</v>
      </c>
      <c r="B5609" s="5" t="s">
        <v>16193</v>
      </c>
      <c r="C5609" s="5" t="s">
        <v>16287</v>
      </c>
      <c r="D5609" s="5" t="s">
        <v>16195</v>
      </c>
      <c r="E5609" s="5" t="s">
        <v>16196</v>
      </c>
      <c r="F5609" s="5" t="s">
        <v>16197</v>
      </c>
      <c r="G5609" s="5" t="s">
        <v>16198</v>
      </c>
      <c r="H5609" s="5" t="s">
        <v>16197</v>
      </c>
      <c r="I5609" s="5" t="s">
        <v>16288</v>
      </c>
      <c r="J5609" s="5" t="s">
        <v>16289</v>
      </c>
      <c r="K5609" s="7" t="str">
        <f ca="1">IFERROR(__xludf.DUMMYFUNCTION("GOOGLETRANSLATE(H5609,""EN"",""ES"")"),"MÁQUINAS Y APARATOS PARA PREPARAR ALIMENTOS O BEBIDAS, NO ESPECIFICADOS EN OTRA PARTE")</f>
        <v>MÁQUINAS Y APARATOS PARA PREPARAR ALIMENTOS O BEBIDAS, NO ESPECIFICADOS EN OTRA PARTE</v>
      </c>
      <c r="L5609" s="5" t="str">
        <f ca="1">IFERROR(__xludf.DUMMYFUNCTION("GOOGLETRANSLATE(J5609,""EN"",""ES"")"),"Moldes para chocolate y confitería [piezas de máquinas]")</f>
        <v>Moldes para chocolate y confitería [piezas de máquinas]</v>
      </c>
      <c r="M5609" s="8" t="s">
        <v>54</v>
      </c>
      <c r="N5609" s="8"/>
    </row>
    <row r="5610" spans="1:14" ht="11.25" customHeight="1">
      <c r="A5610" s="5" t="s">
        <v>16192</v>
      </c>
      <c r="B5610" s="5" t="s">
        <v>16193</v>
      </c>
      <c r="C5610" s="5" t="s">
        <v>16287</v>
      </c>
      <c r="D5610" s="5" t="s">
        <v>16195</v>
      </c>
      <c r="E5610" s="5" t="s">
        <v>16196</v>
      </c>
      <c r="F5610" s="5" t="s">
        <v>16197</v>
      </c>
      <c r="G5610" s="5" t="s">
        <v>16198</v>
      </c>
      <c r="H5610" s="5" t="s">
        <v>16197</v>
      </c>
      <c r="I5610" s="5" t="s">
        <v>16290</v>
      </c>
      <c r="J5610" s="5" t="s">
        <v>152</v>
      </c>
      <c r="K5610" s="7" t="str">
        <f ca="1">IFERROR(__xludf.DUMMYFUNCTION("GOOGLETRANSLATE(H5610,""EN"",""ES"")"),"MÁQUINAS Y APARATOS PARA PREPARAR ALIMENTOS O BEBIDAS, NO ESPECIFICADOS EN OTRA PARTE")</f>
        <v>MÁQUINAS Y APARATOS PARA PREPARAR ALIMENTOS O BEBIDAS, NO ESPECIFICADOS EN OTRA PARTE</v>
      </c>
      <c r="L5610" s="5" t="str">
        <f ca="1">IFERROR(__xludf.DUMMYFUNCTION("GOOGLETRANSLATE(J5610,""EN"",""ES"")"),"Moldes para chocolate y confitería [piezas de máquinas]")</f>
        <v>Moldes para chocolate y confitería [piezas de máquinas]</v>
      </c>
      <c r="M5610" s="8" t="s">
        <v>54</v>
      </c>
      <c r="N5610" s="8"/>
    </row>
    <row r="5611" spans="1:14" ht="11.25" customHeight="1">
      <c r="A5611" s="5" t="s">
        <v>16192</v>
      </c>
      <c r="B5611" s="5" t="s">
        <v>16193</v>
      </c>
      <c r="C5611" s="5" t="s">
        <v>16291</v>
      </c>
      <c r="D5611" s="5" t="s">
        <v>16195</v>
      </c>
      <c r="E5611" s="5" t="s">
        <v>16196</v>
      </c>
      <c r="F5611" s="5" t="s">
        <v>16197</v>
      </c>
      <c r="G5611" s="5" t="s">
        <v>16198</v>
      </c>
      <c r="H5611" s="5" t="s">
        <v>16197</v>
      </c>
      <c r="I5611" s="5" t="s">
        <v>16292</v>
      </c>
      <c r="J5611" s="5" t="s">
        <v>16293</v>
      </c>
      <c r="K5611" s="7" t="str">
        <f ca="1">IFERROR(__xludf.DUMMYFUNCTION("GOOGLETRANSLATE(H5611,""EN"",""ES"")"),"MÁQUINAS Y APARATOS PARA PREPARAR ALIMENTOS O BEBIDAS, NO ESPECIFICADOS EN OTRA PARTE")</f>
        <v>MÁQUINAS Y APARATOS PARA PREPARAR ALIMENTOS O BEBIDAS, NO ESPECIFICADOS EN OTRA PARTE</v>
      </c>
      <c r="L5611" s="5" t="str">
        <f ca="1">IFERROR(__xludf.DUMMYFUNCTION("GOOGLETRANSLATE(J5611,""EN"",""ES"")"),"maquinas cortadoras de carne")</f>
        <v>maquinas cortadoras de carne</v>
      </c>
      <c r="M5611" s="8" t="s">
        <v>54</v>
      </c>
      <c r="N5611" s="8"/>
    </row>
    <row r="5612" spans="1:14" ht="11.25" customHeight="1">
      <c r="A5612" s="5" t="s">
        <v>16192</v>
      </c>
      <c r="B5612" s="5" t="s">
        <v>16193</v>
      </c>
      <c r="C5612" s="5" t="s">
        <v>16294</v>
      </c>
      <c r="D5612" s="5" t="s">
        <v>16195</v>
      </c>
      <c r="E5612" s="5" t="s">
        <v>16196</v>
      </c>
      <c r="F5612" s="5" t="s">
        <v>16197</v>
      </c>
      <c r="G5612" s="5" t="s">
        <v>16198</v>
      </c>
      <c r="H5612" s="5" t="s">
        <v>16197</v>
      </c>
      <c r="I5612" s="5" t="s">
        <v>16295</v>
      </c>
      <c r="J5612" s="5" t="s">
        <v>16296</v>
      </c>
      <c r="K5612" s="7" t="str">
        <f ca="1">IFERROR(__xludf.DUMMYFUNCTION("GOOGLETRANSLATE(H5612,""EN"",""ES"")"),"MÁQUINAS Y APARATOS PARA PREPARAR ALIMENTOS O BEBIDAS, NO ESPECIFICADOS EN OTRA PARTE")</f>
        <v>MÁQUINAS Y APARATOS PARA PREPARAR ALIMENTOS O BEBIDAS, NO ESPECIFICADOS EN OTRA PARTE</v>
      </c>
      <c r="L5612" s="5" t="str">
        <f ca="1">IFERROR(__xludf.DUMMYFUNCTION("GOOGLETRANSLATE(J5612,""EN"",""ES"")"),"Molinos para caña de azúcar")</f>
        <v>Molinos para caña de azúcar</v>
      </c>
      <c r="M5612" s="8" t="s">
        <v>54</v>
      </c>
      <c r="N5612" s="8"/>
    </row>
    <row r="5613" spans="1:14" ht="11.25" customHeight="1">
      <c r="A5613" s="5" t="s">
        <v>16192</v>
      </c>
      <c r="B5613" s="5" t="s">
        <v>16193</v>
      </c>
      <c r="C5613" s="5" t="s">
        <v>16297</v>
      </c>
      <c r="D5613" s="5" t="s">
        <v>16195</v>
      </c>
      <c r="E5613" s="5" t="s">
        <v>16196</v>
      </c>
      <c r="F5613" s="5" t="s">
        <v>16197</v>
      </c>
      <c r="G5613" s="5" t="s">
        <v>16198</v>
      </c>
      <c r="H5613" s="5" t="s">
        <v>16197</v>
      </c>
      <c r="I5613" s="5" t="s">
        <v>16298</v>
      </c>
      <c r="J5613" s="5" t="s">
        <v>16299</v>
      </c>
      <c r="K5613" s="7" t="str">
        <f ca="1">IFERROR(__xludf.DUMMYFUNCTION("GOOGLETRANSLATE(H5613,""EN"",""ES"")"),"MÁQUINAS Y APARATOS PARA PREPARAR ALIMENTOS O BEBIDAS, NO ESPECIFICADOS EN OTRA PARTE")</f>
        <v>MÁQUINAS Y APARATOS PARA PREPARAR ALIMENTOS O BEBIDAS, NO ESPECIFICADOS EN OTRA PARTE</v>
      </c>
      <c r="L5613" s="5" t="str">
        <f ca="1">IFERROR(__xludf.DUMMYFUNCTION("GOOGLETRANSLATE(J5613,""EN"",""ES"")"),"Tinas de puré")</f>
        <v>Tinas de puré</v>
      </c>
      <c r="M5613" s="8" t="s">
        <v>54</v>
      </c>
      <c r="N5613" s="8"/>
    </row>
    <row r="5614" spans="1:14" ht="11.25" customHeight="1">
      <c r="A5614" s="5" t="s">
        <v>16192</v>
      </c>
      <c r="B5614" s="5" t="s">
        <v>16193</v>
      </c>
      <c r="C5614" s="5" t="s">
        <v>16300</v>
      </c>
      <c r="D5614" s="5" t="s">
        <v>16195</v>
      </c>
      <c r="E5614" s="5" t="s">
        <v>16196</v>
      </c>
      <c r="F5614" s="5" t="s">
        <v>16197</v>
      </c>
      <c r="G5614" s="5" t="s">
        <v>16198</v>
      </c>
      <c r="H5614" s="5" t="s">
        <v>16197</v>
      </c>
      <c r="I5614" s="5" t="s">
        <v>16301</v>
      </c>
      <c r="J5614" s="5" t="s">
        <v>16302</v>
      </c>
      <c r="K5614" s="7" t="str">
        <f ca="1">IFERROR(__xludf.DUMMYFUNCTION("GOOGLETRANSLATE(H5614,""EN"",""ES"")"),"MÁQUINAS Y APARATOS PARA PREPARAR ALIMENTOS O BEBIDAS, NO ESPECIFICADOS EN OTRA PARTE")</f>
        <v>MÁQUINAS Y APARATOS PARA PREPARAR ALIMENTOS O BEBIDAS, NO ESPECIFICADOS EN OTRA PARTE</v>
      </c>
      <c r="L5614" s="5" t="str">
        <f ca="1">IFERROR(__xludf.DUMMYFUNCTION("GOOGLETRANSLATE(J5614,""EN"",""ES"")"),"Separadores de leche centrífugos, eléctricos")</f>
        <v>Separadores de leche centrífugos, eléctricos</v>
      </c>
      <c r="M5614" s="8" t="s">
        <v>54</v>
      </c>
      <c r="N5614" s="8"/>
    </row>
    <row r="5615" spans="1:14" ht="11.25" customHeight="1">
      <c r="A5615" s="5" t="s">
        <v>16192</v>
      </c>
      <c r="B5615" s="5" t="s">
        <v>16193</v>
      </c>
      <c r="C5615" s="5" t="s">
        <v>16303</v>
      </c>
      <c r="D5615" s="5" t="s">
        <v>16195</v>
      </c>
      <c r="E5615" s="5" t="s">
        <v>16196</v>
      </c>
      <c r="F5615" s="5" t="s">
        <v>16197</v>
      </c>
      <c r="G5615" s="5" t="s">
        <v>16198</v>
      </c>
      <c r="H5615" s="5" t="s">
        <v>16197</v>
      </c>
      <c r="I5615" s="5" t="s">
        <v>16304</v>
      </c>
      <c r="J5615" s="5" t="s">
        <v>16305</v>
      </c>
      <c r="K5615" s="7" t="str">
        <f ca="1">IFERROR(__xludf.DUMMYFUNCTION("GOOGLETRANSLATE(H5615,""EN"",""ES"")"),"MÁQUINAS Y APARATOS PARA PREPARAR ALIMENTOS O BEBIDAS, NO ESPECIFICADOS EN OTRA PARTE")</f>
        <v>MÁQUINAS Y APARATOS PARA PREPARAR ALIMENTOS O BEBIDAS, NO ESPECIFICADOS EN OTRA PARTE</v>
      </c>
      <c r="L5615" s="5" t="str">
        <f ca="1">IFERROR(__xludf.DUMMYFUNCTION("GOOGLETRANSLATE(J5615,""EN"",""ES"")"),"Secadoras de mantequilla")</f>
        <v>Secadoras de mantequilla</v>
      </c>
      <c r="M5615" s="8" t="s">
        <v>54</v>
      </c>
      <c r="N5615" s="8"/>
    </row>
    <row r="5616" spans="1:14" ht="11.25" customHeight="1">
      <c r="A5616" s="5" t="s">
        <v>16192</v>
      </c>
      <c r="B5616" s="5" t="s">
        <v>16193</v>
      </c>
      <c r="C5616" s="5" t="s">
        <v>16306</v>
      </c>
      <c r="D5616" s="5" t="s">
        <v>16195</v>
      </c>
      <c r="E5616" s="5" t="s">
        <v>16196</v>
      </c>
      <c r="F5616" s="5" t="s">
        <v>16197</v>
      </c>
      <c r="G5616" s="5" t="s">
        <v>16198</v>
      </c>
      <c r="H5616" s="5" t="s">
        <v>16197</v>
      </c>
      <c r="I5616" s="5" t="s">
        <v>16307</v>
      </c>
      <c r="J5616" s="5" t="s">
        <v>16308</v>
      </c>
      <c r="K5616" s="7" t="str">
        <f ca="1">IFERROR(__xludf.DUMMYFUNCTION("GOOGLETRANSLATE(H5616,""EN"",""ES"")"),"MÁQUINAS Y APARATOS PARA PREPARAR ALIMENTOS O BEBIDAS, NO ESPECIFICADOS EN OTRA PARTE")</f>
        <v>MÁQUINAS Y APARATOS PARA PREPARAR ALIMENTOS O BEBIDAS, NO ESPECIFICADOS EN OTRA PARTE</v>
      </c>
      <c r="L5616" s="5" t="str">
        <f ca="1">IFERROR(__xludf.DUMMYFUNCTION("GOOGLETRANSLATE(J5616,""EN"",""ES"")"),"Aparato para hacer mosto de cerveza")</f>
        <v>Aparato para hacer mosto de cerveza</v>
      </c>
      <c r="M5616" s="8" t="s">
        <v>54</v>
      </c>
      <c r="N5616" s="8"/>
    </row>
    <row r="5617" spans="1:14" ht="11.25" customHeight="1">
      <c r="A5617" s="5" t="s">
        <v>16192</v>
      </c>
      <c r="B5617" s="5" t="s">
        <v>16193</v>
      </c>
      <c r="C5617" s="5" t="s">
        <v>16309</v>
      </c>
      <c r="D5617" s="5" t="s">
        <v>16195</v>
      </c>
      <c r="E5617" s="5" t="s">
        <v>16196</v>
      </c>
      <c r="F5617" s="5" t="s">
        <v>16197</v>
      </c>
      <c r="G5617" s="5" t="s">
        <v>16198</v>
      </c>
      <c r="H5617" s="5" t="s">
        <v>16197</v>
      </c>
      <c r="I5617" s="5" t="s">
        <v>16310</v>
      </c>
      <c r="J5617" s="5" t="s">
        <v>16311</v>
      </c>
      <c r="K5617" s="7" t="str">
        <f ca="1">IFERROR(__xludf.DUMMYFUNCTION("GOOGLETRANSLATE(H5617,""EN"",""ES"")"),"MÁQUINAS Y APARATOS PARA PREPARAR ALIMENTOS O BEBIDAS, NO ESPECIFICADOS EN OTRA PARTE")</f>
        <v>MÁQUINAS Y APARATOS PARA PREPARAR ALIMENTOS O BEBIDAS, NO ESPECIFICADOS EN OTRA PARTE</v>
      </c>
      <c r="L5617" s="5" t="str">
        <f ca="1">IFERROR(__xludf.DUMMYFUNCTION("GOOGLETRANSLATE(J5617,""EN"",""ES"")"),"Máquinas cortadoras de masa")</f>
        <v>Máquinas cortadoras de masa</v>
      </c>
      <c r="M5617" s="8" t="s">
        <v>54</v>
      </c>
      <c r="N5617" s="8"/>
    </row>
    <row r="5618" spans="1:14" ht="11.25" customHeight="1">
      <c r="A5618" s="5" t="s">
        <v>16192</v>
      </c>
      <c r="B5618" s="5" t="s">
        <v>16193</v>
      </c>
      <c r="C5618" s="5" t="s">
        <v>16312</v>
      </c>
      <c r="D5618" s="5" t="s">
        <v>16195</v>
      </c>
      <c r="E5618" s="5" t="s">
        <v>16196</v>
      </c>
      <c r="F5618" s="5" t="s">
        <v>16197</v>
      </c>
      <c r="G5618" s="5" t="s">
        <v>16198</v>
      </c>
      <c r="H5618" s="5" t="s">
        <v>16197</v>
      </c>
      <c r="I5618" s="5" t="s">
        <v>16313</v>
      </c>
      <c r="J5618" s="5" t="s">
        <v>16314</v>
      </c>
      <c r="K5618" s="7" t="str">
        <f ca="1">IFERROR(__xludf.DUMMYFUNCTION("GOOGLETRANSLATE(H5618,""EN"",""ES"")"),"MÁQUINAS Y APARATOS PARA PREPARAR ALIMENTOS O BEBIDAS, NO ESPECIFICADOS EN OTRA PARTE")</f>
        <v>MÁQUINAS Y APARATOS PARA PREPARAR ALIMENTOS O BEBIDAS, NO ESPECIFICADOS EN OTRA PARTE</v>
      </c>
      <c r="L5618" s="5" t="str">
        <f ca="1">IFERROR(__xludf.DUMMYFUNCTION("GOOGLETRANSLATE(J5618,""EN"",""ES"")"),"Máquinas mezcladoras de masa")</f>
        <v>Máquinas mezcladoras de masa</v>
      </c>
      <c r="M5618" s="8" t="s">
        <v>54</v>
      </c>
      <c r="N5618" s="8"/>
    </row>
    <row r="5619" spans="1:14" ht="11.25" customHeight="1">
      <c r="A5619" s="5" t="s">
        <v>16192</v>
      </c>
      <c r="B5619" s="5" t="s">
        <v>16193</v>
      </c>
      <c r="C5619" s="5" t="s">
        <v>16315</v>
      </c>
      <c r="D5619" s="5" t="s">
        <v>16195</v>
      </c>
      <c r="E5619" s="5" t="s">
        <v>16196</v>
      </c>
      <c r="F5619" s="5" t="s">
        <v>16197</v>
      </c>
      <c r="G5619" s="5" t="s">
        <v>16198</v>
      </c>
      <c r="H5619" s="5" t="s">
        <v>16197</v>
      </c>
      <c r="I5619" s="5" t="s">
        <v>16316</v>
      </c>
      <c r="J5619" s="5" t="s">
        <v>16317</v>
      </c>
      <c r="K5619" s="7" t="str">
        <f ca="1">IFERROR(__xludf.DUMMYFUNCTION("GOOGLETRANSLATE(H5619,""EN"",""ES"")"),"MÁQUINAS Y APARATOS PARA PREPARAR ALIMENTOS O BEBIDAS, NO ESPECIFICADOS EN OTRA PARTE")</f>
        <v>MÁQUINAS Y APARATOS PARA PREPARAR ALIMENTOS O BEBIDAS, NO ESPECIFICADOS EN OTRA PARTE</v>
      </c>
      <c r="L5619" s="5" t="str">
        <f ca="1">IFERROR(__xludf.DUMMYFUNCTION("GOOGLETRANSLATE(J5619,""EN"",""ES"")"),"Prensas de aceite eléctricas")</f>
        <v>Prensas de aceite eléctricas</v>
      </c>
      <c r="M5619" s="8" t="s">
        <v>54</v>
      </c>
      <c r="N5619" s="8"/>
    </row>
    <row r="5620" spans="1:14" ht="11.25" customHeight="1">
      <c r="A5620" s="5" t="s">
        <v>16192</v>
      </c>
      <c r="B5620" s="5" t="s">
        <v>16193</v>
      </c>
      <c r="C5620" s="5" t="s">
        <v>16318</v>
      </c>
      <c r="D5620" s="5" t="s">
        <v>16195</v>
      </c>
      <c r="E5620" s="5" t="s">
        <v>16196</v>
      </c>
      <c r="F5620" s="5" t="s">
        <v>16197</v>
      </c>
      <c r="G5620" s="5" t="s">
        <v>16198</v>
      </c>
      <c r="H5620" s="5" t="s">
        <v>16197</v>
      </c>
      <c r="I5620" s="5" t="s">
        <v>16319</v>
      </c>
      <c r="J5620" s="5" t="s">
        <v>16320</v>
      </c>
      <c r="K5620" s="7" t="str">
        <f ca="1">IFERROR(__xludf.DUMMYFUNCTION("GOOGLETRANSLATE(H5620,""EN"",""ES"")"),"MÁQUINAS Y APARATOS PARA PREPARAR ALIMENTOS O BEBIDAS, NO ESPECIFICADOS EN OTRA PARTE")</f>
        <v>MÁQUINAS Y APARATOS PARA PREPARAR ALIMENTOS O BEBIDAS, NO ESPECIFICADOS EN OTRA PARTE</v>
      </c>
      <c r="L5620" s="5" t="str">
        <f ca="1">IFERROR(__xludf.DUMMYFUNCTION("GOOGLETRANSLATE(J5620,""EN"",""ES"")"),"Prensas para la fabricación de galletas.")</f>
        <v>Prensas para la fabricación de galletas.</v>
      </c>
      <c r="M5620" s="8" t="s">
        <v>54</v>
      </c>
      <c r="N5620" s="8"/>
    </row>
    <row r="5621" spans="1:14" ht="11.25" customHeight="1">
      <c r="A5621" s="5" t="s">
        <v>16192</v>
      </c>
      <c r="B5621" s="5" t="s">
        <v>16193</v>
      </c>
      <c r="C5621" s="5" t="s">
        <v>16321</v>
      </c>
      <c r="D5621" s="5" t="s">
        <v>16195</v>
      </c>
      <c r="E5621" s="5" t="s">
        <v>16196</v>
      </c>
      <c r="F5621" s="5" t="s">
        <v>16197</v>
      </c>
      <c r="G5621" s="5" t="s">
        <v>16198</v>
      </c>
      <c r="H5621" s="5" t="s">
        <v>16197</v>
      </c>
      <c r="I5621" s="5" t="s">
        <v>16322</v>
      </c>
      <c r="J5621" s="5" t="s">
        <v>16323</v>
      </c>
      <c r="K5621" s="7" t="str">
        <f ca="1">IFERROR(__xludf.DUMMYFUNCTION("GOOGLETRANSLATE(H5621,""EN"",""ES"")"),"MÁQUINAS Y APARATOS PARA PREPARAR ALIMENTOS O BEBIDAS, NO ESPECIFICADOS EN OTRA PARTE")</f>
        <v>MÁQUINAS Y APARATOS PARA PREPARAR ALIMENTOS O BEBIDAS, NO ESPECIFICADOS EN OTRA PARTE</v>
      </c>
      <c r="L5621" s="5" t="str">
        <f ca="1">IFERROR(__xludf.DUMMYFUNCTION("GOOGLETRANSLATE(J5621,""EN"",""ES"")"),"Cribas para molienda de harina")</f>
        <v>Cribas para molienda de harina</v>
      </c>
      <c r="M5621" s="8" t="s">
        <v>54</v>
      </c>
      <c r="N5621" s="8"/>
    </row>
    <row r="5622" spans="1:14" ht="11.25" customHeight="1">
      <c r="A5622" s="5" t="s">
        <v>16192</v>
      </c>
      <c r="B5622" s="5" t="s">
        <v>16193</v>
      </c>
      <c r="C5622" s="5" t="s">
        <v>16324</v>
      </c>
      <c r="D5622" s="5" t="s">
        <v>16195</v>
      </c>
      <c r="E5622" s="5" t="s">
        <v>16196</v>
      </c>
      <c r="F5622" s="5" t="s">
        <v>16197</v>
      </c>
      <c r="G5622" s="5" t="s">
        <v>16198</v>
      </c>
      <c r="H5622" s="5" t="s">
        <v>16197</v>
      </c>
      <c r="I5622" s="5" t="s">
        <v>16325</v>
      </c>
      <c r="J5622" s="5" t="s">
        <v>16326</v>
      </c>
      <c r="K5622" s="7" t="str">
        <f ca="1">IFERROR(__xludf.DUMMYFUNCTION("GOOGLETRANSLATE(H5622,""EN"",""ES"")"),"MÁQUINAS Y APARATOS PARA PREPARAR ALIMENTOS O BEBIDAS, NO ESPECIFICADOS EN OTRA PARTE")</f>
        <v>MÁQUINAS Y APARATOS PARA PREPARAR ALIMENTOS O BEBIDAS, NO ESPECIFICADOS EN OTRA PARTE</v>
      </c>
      <c r="L5622" s="5" t="str">
        <f ca="1">IFERROR(__xludf.DUMMYFUNCTION("GOOGLETRANSLATE(J5622,""EN"",""ES"")"),"Tamices para molienda de harina [máquinas]")</f>
        <v>Tamices para molienda de harina [máquinas]</v>
      </c>
      <c r="M5622" s="8" t="s">
        <v>54</v>
      </c>
      <c r="N5622" s="8"/>
    </row>
    <row r="5623" spans="1:14" ht="11.25" customHeight="1">
      <c r="A5623" s="5" t="s">
        <v>16192</v>
      </c>
      <c r="B5623" s="5" t="s">
        <v>16193</v>
      </c>
      <c r="C5623" s="5" t="s">
        <v>16327</v>
      </c>
      <c r="D5623" s="5" t="s">
        <v>16195</v>
      </c>
      <c r="E5623" s="5" t="s">
        <v>16196</v>
      </c>
      <c r="F5623" s="5" t="s">
        <v>16197</v>
      </c>
      <c r="G5623" s="5" t="s">
        <v>16198</v>
      </c>
      <c r="H5623" s="5" t="s">
        <v>16197</v>
      </c>
      <c r="I5623" s="5" t="s">
        <v>16328</v>
      </c>
      <c r="J5623" s="5" t="s">
        <v>16329</v>
      </c>
      <c r="K5623" s="7" t="str">
        <f ca="1">IFERROR(__xludf.DUMMYFUNCTION("GOOGLETRANSLATE(H5623,""EN"",""ES"")"),"MÁQUINAS Y APARATOS PARA PREPARAR ALIMENTOS O BEBIDAS, NO ESPECIFICADOS EN OTRA PARTE")</f>
        <v>MÁQUINAS Y APARATOS PARA PREPARAR ALIMENTOS O BEBIDAS, NO ESPECIFICADOS EN OTRA PARTE</v>
      </c>
      <c r="L5623" s="5" t="str">
        <f ca="1">IFERROR(__xludf.DUMMYFUNCTION("GOOGLETRANSLATE(J5623,""EN"",""ES"")"),"Tostadores de café eléctricos")</f>
        <v>Tostadores de café eléctricos</v>
      </c>
      <c r="M5623" s="8" t="s">
        <v>54</v>
      </c>
      <c r="N5623" s="8"/>
    </row>
    <row r="5624" spans="1:14" ht="11.25" customHeight="1">
      <c r="A5624" s="5" t="s">
        <v>16192</v>
      </c>
      <c r="B5624" s="5" t="s">
        <v>16193</v>
      </c>
      <c r="C5624" s="5" t="s">
        <v>16330</v>
      </c>
      <c r="D5624" s="5" t="s">
        <v>16195</v>
      </c>
      <c r="E5624" s="5" t="s">
        <v>16196</v>
      </c>
      <c r="F5624" s="5" t="s">
        <v>16197</v>
      </c>
      <c r="G5624" s="5" t="s">
        <v>16198</v>
      </c>
      <c r="H5624" s="5" t="s">
        <v>16197</v>
      </c>
      <c r="I5624" s="5" t="s">
        <v>16331</v>
      </c>
      <c r="J5624" s="5" t="s">
        <v>16332</v>
      </c>
      <c r="K5624" s="7" t="str">
        <f ca="1">IFERROR(__xludf.DUMMYFUNCTION("GOOGLETRANSLATE(H5624,""EN"",""ES"")"),"MÁQUINAS Y APARATOS PARA PREPARAR ALIMENTOS O BEBIDAS, NO ESPECIFICADOS EN OTRA PARTE")</f>
        <v>MÁQUINAS Y APARATOS PARA PREPARAR ALIMENTOS O BEBIDAS, NO ESPECIFICADOS EN OTRA PARTE</v>
      </c>
      <c r="L5624" s="5" t="str">
        <f ca="1">IFERROR(__xludf.DUMMYFUNCTION("GOOGLETRANSLATE(J5624,""EN"",""ES"")"),"Separadores de harina [máquinas]")</f>
        <v>Separadores de harina [máquinas]</v>
      </c>
      <c r="M5624" s="8" t="s">
        <v>54</v>
      </c>
      <c r="N5624" s="8"/>
    </row>
    <row r="5625" spans="1:14" ht="11.25" customHeight="1">
      <c r="A5625" s="5" t="s">
        <v>16192</v>
      </c>
      <c r="B5625" s="5" t="s">
        <v>16193</v>
      </c>
      <c r="C5625" s="5" t="s">
        <v>16333</v>
      </c>
      <c r="D5625" s="5" t="s">
        <v>16195</v>
      </c>
      <c r="E5625" s="5" t="s">
        <v>16196</v>
      </c>
      <c r="F5625" s="5" t="s">
        <v>16197</v>
      </c>
      <c r="G5625" s="5" t="s">
        <v>16198</v>
      </c>
      <c r="H5625" s="5" t="s">
        <v>16197</v>
      </c>
      <c r="I5625" s="5" t="s">
        <v>16334</v>
      </c>
      <c r="J5625" s="5" t="s">
        <v>16335</v>
      </c>
      <c r="K5625" s="7" t="str">
        <f ca="1">IFERROR(__xludf.DUMMYFUNCTION("GOOGLETRANSLATE(H5625,""EN"",""ES"")"),"MÁQUINAS Y APARATOS PARA PREPARAR ALIMENTOS O BEBIDAS, NO ESPECIFICADOS EN OTRA PARTE")</f>
        <v>MÁQUINAS Y APARATOS PARA PREPARAR ALIMENTOS O BEBIDAS, NO ESPECIFICADOS EN OTRA PARTE</v>
      </c>
      <c r="L5625" s="5" t="str">
        <f ca="1">IFERROR(__xludf.DUMMYFUNCTION("GOOGLETRANSLATE(J5625,""EN"",""ES"")"),"Batidoras eléctricas [domésticas]")</f>
        <v>Batidoras eléctricas [domésticas]</v>
      </c>
      <c r="M5625" s="8" t="s">
        <v>54</v>
      </c>
      <c r="N5625" s="8"/>
    </row>
    <row r="5626" spans="1:14" ht="11.25" customHeight="1">
      <c r="A5626" s="5" t="s">
        <v>16192</v>
      </c>
      <c r="B5626" s="5" t="s">
        <v>16193</v>
      </c>
      <c r="C5626" s="5" t="s">
        <v>16336</v>
      </c>
      <c r="D5626" s="5" t="s">
        <v>16195</v>
      </c>
      <c r="E5626" s="5" t="s">
        <v>16196</v>
      </c>
      <c r="F5626" s="5" t="s">
        <v>16197</v>
      </c>
      <c r="G5626" s="5" t="s">
        <v>16198</v>
      </c>
      <c r="H5626" s="5" t="s">
        <v>16197</v>
      </c>
      <c r="I5626" s="5" t="s">
        <v>16337</v>
      </c>
      <c r="J5626" s="5" t="s">
        <v>16338</v>
      </c>
      <c r="K5626" s="7" t="str">
        <f ca="1">IFERROR(__xludf.DUMMYFUNCTION("GOOGLETRANSLATE(H5626,""EN"",""ES"")"),"MÁQUINAS Y APARATOS PARA PREPARAR ALIMENTOS O BEBIDAS, NO ESPECIFICADOS EN OTRA PARTE")</f>
        <v>MÁQUINAS Y APARATOS PARA PREPARAR ALIMENTOS O BEBIDAS, NO ESPECIFICADOS EN OTRA PARTE</v>
      </c>
      <c r="L5626" s="5" t="str">
        <f ca="1">IFERROR(__xludf.DUMMYFUNCTION("GOOGLETRANSLATE(J5626,""EN"",""ES"")"),"Cortadoras de pan eléctricas")</f>
        <v>Cortadoras de pan eléctricas</v>
      </c>
      <c r="M5626" s="8" t="s">
        <v>54</v>
      </c>
      <c r="N5626" s="8"/>
    </row>
    <row r="5627" spans="1:14" ht="11.25" customHeight="1">
      <c r="A5627" s="5" t="s">
        <v>16192</v>
      </c>
      <c r="B5627" s="5" t="s">
        <v>16193</v>
      </c>
      <c r="C5627" s="5" t="s">
        <v>16339</v>
      </c>
      <c r="D5627" s="5" t="s">
        <v>16195</v>
      </c>
      <c r="E5627" s="5" t="s">
        <v>16196</v>
      </c>
      <c r="F5627" s="5" t="s">
        <v>16197</v>
      </c>
      <c r="G5627" s="5" t="s">
        <v>16198</v>
      </c>
      <c r="H5627" s="5" t="s">
        <v>16197</v>
      </c>
      <c r="I5627" s="5" t="s">
        <v>16340</v>
      </c>
      <c r="J5627" s="5" t="s">
        <v>16341</v>
      </c>
      <c r="K5627" s="7" t="str">
        <f ca="1">IFERROR(__xludf.DUMMYFUNCTION("GOOGLETRANSLATE(H5627,""EN"",""ES"")"),"MÁQUINAS Y APARATOS PARA PREPARAR ALIMENTOS O BEBIDAS, NO ESPECIFICADOS EN OTRA PARTE")</f>
        <v>MÁQUINAS Y APARATOS PARA PREPARAR ALIMENTOS O BEBIDAS, NO ESPECIFICADOS EN OTRA PARTE</v>
      </c>
      <c r="L5627" s="5" t="str">
        <f ca="1">IFERROR(__xludf.DUMMYFUNCTION("GOOGLETRANSLATE(J5627,""EN"",""ES"")"),"Cortadoras de queso, eléctricas")</f>
        <v>Cortadoras de queso, eléctricas</v>
      </c>
      <c r="M5627" s="8" t="s">
        <v>54</v>
      </c>
      <c r="N5627" s="8"/>
    </row>
    <row r="5628" spans="1:14" ht="11.25" customHeight="1">
      <c r="A5628" s="5" t="s">
        <v>16192</v>
      </c>
      <c r="B5628" s="5" t="s">
        <v>16193</v>
      </c>
      <c r="C5628" s="5" t="s">
        <v>16342</v>
      </c>
      <c r="D5628" s="5" t="s">
        <v>16195</v>
      </c>
      <c r="E5628" s="5" t="s">
        <v>16196</v>
      </c>
      <c r="F5628" s="5" t="s">
        <v>16197</v>
      </c>
      <c r="G5628" s="5" t="s">
        <v>16198</v>
      </c>
      <c r="H5628" s="5" t="s">
        <v>16197</v>
      </c>
      <c r="I5628" s="5" t="s">
        <v>16343</v>
      </c>
      <c r="J5628" s="5" t="s">
        <v>16344</v>
      </c>
      <c r="K5628" s="7" t="str">
        <f ca="1">IFERROR(__xludf.DUMMYFUNCTION("GOOGLETRANSLATE(H5628,""EN"",""ES"")"),"MÁQUINAS Y APARATOS PARA PREPARAR ALIMENTOS O BEBIDAS, NO ESPECIFICADOS EN OTRA PARTE")</f>
        <v>MÁQUINAS Y APARATOS PARA PREPARAR ALIMENTOS O BEBIDAS, NO ESPECIFICADOS EN OTRA PARTE</v>
      </c>
      <c r="L5628" s="5" t="str">
        <f ca="1">IFERROR(__xludf.DUMMYFUNCTION("GOOGLETRANSLATE(J5628,""EN"",""ES"")"),"Trituradoras de patatas eléctricas")</f>
        <v>Trituradoras de patatas eléctricas</v>
      </c>
      <c r="M5628" s="8" t="s">
        <v>54</v>
      </c>
      <c r="N5628" s="8"/>
    </row>
    <row r="5629" spans="1:14" ht="11.25" customHeight="1">
      <c r="A5629" s="5" t="s">
        <v>16192</v>
      </c>
      <c r="B5629" s="5" t="s">
        <v>16193</v>
      </c>
      <c r="C5629" s="5" t="s">
        <v>16342</v>
      </c>
      <c r="D5629" s="5" t="s">
        <v>16195</v>
      </c>
      <c r="E5629" s="5" t="s">
        <v>16196</v>
      </c>
      <c r="F5629" s="5" t="s">
        <v>16197</v>
      </c>
      <c r="G5629" s="5" t="s">
        <v>16198</v>
      </c>
      <c r="H5629" s="5" t="s">
        <v>16197</v>
      </c>
      <c r="I5629" s="5" t="s">
        <v>16345</v>
      </c>
      <c r="J5629" s="5" t="s">
        <v>152</v>
      </c>
      <c r="K5629" s="7" t="str">
        <f ca="1">IFERROR(__xludf.DUMMYFUNCTION("GOOGLETRANSLATE(H5629,""EN"",""ES"")"),"MÁQUINAS Y APARATOS PARA PREPARAR ALIMENTOS O BEBIDAS, NO ESPECIFICADOS EN OTRA PARTE")</f>
        <v>MÁQUINAS Y APARATOS PARA PREPARAR ALIMENTOS O BEBIDAS, NO ESPECIFICADOS EN OTRA PARTE</v>
      </c>
      <c r="L5629" s="5" t="str">
        <f ca="1">IFERROR(__xludf.DUMMYFUNCTION("GOOGLETRANSLATE(J5629,""EN"",""ES"")"),"Cortadores de patatas fritas, eléctricos")</f>
        <v>Cortadores de patatas fritas, eléctricos</v>
      </c>
      <c r="M5629" s="8" t="s">
        <v>54</v>
      </c>
      <c r="N5629" s="8"/>
    </row>
    <row r="5630" spans="1:14" ht="11.25" customHeight="1">
      <c r="A5630" s="5" t="s">
        <v>16192</v>
      </c>
      <c r="B5630" s="5" t="s">
        <v>16193</v>
      </c>
      <c r="C5630" s="5" t="s">
        <v>16346</v>
      </c>
      <c r="D5630" s="5" t="s">
        <v>16195</v>
      </c>
      <c r="E5630" s="5" t="s">
        <v>16196</v>
      </c>
      <c r="F5630" s="5" t="s">
        <v>16197</v>
      </c>
      <c r="G5630" s="5" t="s">
        <v>16198</v>
      </c>
      <c r="H5630" s="5" t="s">
        <v>16197</v>
      </c>
      <c r="I5630" s="5" t="s">
        <v>16347</v>
      </c>
      <c r="J5630" s="5" t="s">
        <v>16348</v>
      </c>
      <c r="K5630" s="7" t="str">
        <f ca="1">IFERROR(__xludf.DUMMYFUNCTION("GOOGLETRANSLATE(H5630,""EN"",""ES"")"),"MÁQUINAS Y APARATOS PARA PREPARAR ALIMENTOS O BEBIDAS, NO ESPECIFICADOS EN OTRA PARTE")</f>
        <v>MÁQUINAS Y APARATOS PARA PREPARAR ALIMENTOS O BEBIDAS, NO ESPECIFICADOS EN OTRA PARTE</v>
      </c>
      <c r="L5630" s="5" t="str">
        <f ca="1">IFERROR(__xludf.DUMMYFUNCTION("GOOGLETRANSLATE(J5630,""EN"",""ES"")"),"Picadoras de cebolla, eléctricas.")</f>
        <v>Picadoras de cebolla, eléctricas.</v>
      </c>
      <c r="M5630" s="8" t="s">
        <v>54</v>
      </c>
      <c r="N5630" s="8"/>
    </row>
    <row r="5631" spans="1:14" ht="11.25" customHeight="1">
      <c r="A5631" s="5" t="s">
        <v>16192</v>
      </c>
      <c r="B5631" s="5" t="s">
        <v>16193</v>
      </c>
      <c r="C5631" s="5" t="s">
        <v>16349</v>
      </c>
      <c r="D5631" s="5" t="s">
        <v>16195</v>
      </c>
      <c r="E5631" s="5" t="s">
        <v>16196</v>
      </c>
      <c r="F5631" s="5" t="s">
        <v>16197</v>
      </c>
      <c r="G5631" s="5" t="s">
        <v>16198</v>
      </c>
      <c r="H5631" s="5" t="s">
        <v>16197</v>
      </c>
      <c r="I5631" s="5" t="s">
        <v>16350</v>
      </c>
      <c r="J5631" s="5" t="s">
        <v>16351</v>
      </c>
      <c r="K5631" s="7" t="str">
        <f ca="1">IFERROR(__xludf.DUMMYFUNCTION("GOOGLETRANSLATE(H5631,""EN"",""ES"")"),"MÁQUINAS Y APARATOS PARA PREPARAR ALIMENTOS O BEBIDAS, NO ESPECIFICADOS EN OTRA PARTE")</f>
        <v>MÁQUINAS Y APARATOS PARA PREPARAR ALIMENTOS O BEBIDAS, NO ESPECIFICADOS EN OTRA PARTE</v>
      </c>
      <c r="L5631" s="5" t="str">
        <f ca="1">IFERROR(__xludf.DUMMYFUNCTION("GOOGLETRANSLATE(J5631,""EN"",""ES"")"),"Trituradoras [hogar]")</f>
        <v>Trituradoras [hogar]</v>
      </c>
      <c r="M5631" s="8" t="s">
        <v>54</v>
      </c>
      <c r="N5631" s="8"/>
    </row>
    <row r="5632" spans="1:14" ht="11.25" customHeight="1">
      <c r="A5632" s="5" t="s">
        <v>16192</v>
      </c>
      <c r="B5632" s="5" t="s">
        <v>16193</v>
      </c>
      <c r="C5632" s="5" t="s">
        <v>16352</v>
      </c>
      <c r="D5632" s="5" t="s">
        <v>16195</v>
      </c>
      <c r="E5632" s="5" t="s">
        <v>16196</v>
      </c>
      <c r="F5632" s="5" t="s">
        <v>16197</v>
      </c>
      <c r="G5632" s="5" t="s">
        <v>16198</v>
      </c>
      <c r="H5632" s="5" t="s">
        <v>16197</v>
      </c>
      <c r="I5632" s="5" t="s">
        <v>16353</v>
      </c>
      <c r="J5632" s="5" t="s">
        <v>16354</v>
      </c>
      <c r="K5632" s="7" t="str">
        <f ca="1">IFERROR(__xludf.DUMMYFUNCTION("GOOGLETRANSLATE(H5632,""EN"",""ES"")"),"MÁQUINAS Y APARATOS PARA PREPARAR ALIMENTOS O BEBIDAS, NO ESPECIFICADOS EN OTRA PARTE")</f>
        <v>MÁQUINAS Y APARATOS PARA PREPARAR ALIMENTOS O BEBIDAS, NO ESPECIFICADOS EN OTRA PARTE</v>
      </c>
      <c r="L5632" s="5" t="str">
        <f ca="1">IFERROR(__xludf.DUMMYFUNCTION("GOOGLETRANSLATE(J5632,""EN"",""ES"")"),"Máquinas o aparatos para preparar bebidas [eléctricos]")</f>
        <v>Máquinas o aparatos para preparar bebidas [eléctricos]</v>
      </c>
      <c r="M5632" s="8" t="s">
        <v>54</v>
      </c>
      <c r="N5632" s="8"/>
    </row>
    <row r="5633" spans="1:14" ht="11.25" customHeight="1">
      <c r="A5633" s="5" t="s">
        <v>16192</v>
      </c>
      <c r="B5633" s="5" t="s">
        <v>16193</v>
      </c>
      <c r="C5633" s="5" t="s">
        <v>16355</v>
      </c>
      <c r="D5633" s="5" t="s">
        <v>16195</v>
      </c>
      <c r="E5633" s="5" t="s">
        <v>16196</v>
      </c>
      <c r="F5633" s="5" t="s">
        <v>16197</v>
      </c>
      <c r="G5633" s="5" t="s">
        <v>16198</v>
      </c>
      <c r="H5633" s="5" t="s">
        <v>16197</v>
      </c>
      <c r="I5633" s="5" t="s">
        <v>16356</v>
      </c>
      <c r="J5633" s="5" t="s">
        <v>16357</v>
      </c>
      <c r="K5633" s="7" t="str">
        <f ca="1">IFERROR(__xludf.DUMMYFUNCTION("GOOGLETRANSLATE(H5633,""EN"",""ES"")"),"MÁQUINAS Y APARATOS PARA PREPARAR ALIMENTOS O BEBIDAS, NO ESPECIFICADOS EN OTRA PARTE")</f>
        <v>MÁQUINAS Y APARATOS PARA PREPARAR ALIMENTOS O BEBIDAS, NO ESPECIFICADOS EN OTRA PARTE</v>
      </c>
      <c r="L5633" s="5" t="str">
        <f ca="1">IFERROR(__xludf.DUMMYFUNCTION("GOOGLETRANSLATE(J5633,""EN"",""ES"")"),"Emulsionantes eléctricos para nata")</f>
        <v>Emulsionantes eléctricos para nata</v>
      </c>
      <c r="M5633" s="8" t="s">
        <v>54</v>
      </c>
      <c r="N5633" s="8"/>
    </row>
    <row r="5634" spans="1:14" ht="11.25" customHeight="1">
      <c r="A5634" s="5" t="s">
        <v>16192</v>
      </c>
      <c r="B5634" s="5" t="s">
        <v>16193</v>
      </c>
      <c r="C5634" s="5" t="s">
        <v>16358</v>
      </c>
      <c r="D5634" s="5" t="s">
        <v>16195</v>
      </c>
      <c r="E5634" s="5" t="s">
        <v>16196</v>
      </c>
      <c r="F5634" s="5" t="s">
        <v>16197</v>
      </c>
      <c r="G5634" s="5" t="s">
        <v>16198</v>
      </c>
      <c r="H5634" s="5" t="s">
        <v>16197</v>
      </c>
      <c r="I5634" s="5" t="s">
        <v>16359</v>
      </c>
      <c r="J5634" s="5" t="s">
        <v>16360</v>
      </c>
      <c r="K5634" s="7" t="str">
        <f ca="1">IFERROR(__xludf.DUMMYFUNCTION("GOOGLETRANSLATE(H5634,""EN"",""ES"")"),"MÁQUINAS Y APARATOS PARA PREPARAR ALIMENTOS O BEBIDAS, NO ESPECIFICADOS EN OTRA PARTE")</f>
        <v>MÁQUINAS Y APARATOS PARA PREPARAR ALIMENTOS O BEBIDAS, NO ESPECIFICADOS EN OTRA PARTE</v>
      </c>
      <c r="L5634" s="5" t="str">
        <f ca="1">IFERROR(__xludf.DUMMYFUNCTION("GOOGLETRANSLATE(J5634,""EN"",""ES"")"),"Congeladores para helados, eléctricos")</f>
        <v>Congeladores para helados, eléctricos</v>
      </c>
      <c r="M5634" s="8" t="s">
        <v>54</v>
      </c>
      <c r="N5634" s="8"/>
    </row>
    <row r="5635" spans="1:14" ht="11.25" customHeight="1">
      <c r="A5635" s="5" t="s">
        <v>16192</v>
      </c>
      <c r="B5635" s="5" t="s">
        <v>16193</v>
      </c>
      <c r="C5635" s="5" t="s">
        <v>16361</v>
      </c>
      <c r="D5635" s="5" t="s">
        <v>16195</v>
      </c>
      <c r="E5635" s="5" t="s">
        <v>16196</v>
      </c>
      <c r="F5635" s="5" t="s">
        <v>16197</v>
      </c>
      <c r="G5635" s="5" t="s">
        <v>16198</v>
      </c>
      <c r="H5635" s="5" t="s">
        <v>16197</v>
      </c>
      <c r="I5635" s="5" t="s">
        <v>16362</v>
      </c>
      <c r="J5635" s="5" t="s">
        <v>16363</v>
      </c>
      <c r="K5635" s="7" t="str">
        <f ca="1">IFERROR(__xludf.DUMMYFUNCTION("GOOGLETRANSLATE(H5635,""EN"",""ES"")"),"MÁQUINAS Y APARATOS PARA PREPARAR ALIMENTOS O BEBIDAS, NO ESPECIFICADOS EN OTRA PARTE")</f>
        <v>MÁQUINAS Y APARATOS PARA PREPARAR ALIMENTOS O BEBIDAS, NO ESPECIFICADOS EN OTRA PARTE</v>
      </c>
      <c r="L5635" s="5" t="str">
        <f ca="1">IFERROR(__xludf.DUMMYFUNCTION("GOOGLETRANSLATE(J5635,""EN"",""ES"")"),"Exprimidores de frutas, eléctricos")</f>
        <v>Exprimidores de frutas, eléctricos</v>
      </c>
      <c r="M5635" s="8" t="s">
        <v>54</v>
      </c>
      <c r="N5635" s="8"/>
    </row>
    <row r="5636" spans="1:14" ht="11.25" customHeight="1">
      <c r="A5636" s="5" t="s">
        <v>16192</v>
      </c>
      <c r="B5636" s="5" t="s">
        <v>16193</v>
      </c>
      <c r="C5636" s="5" t="s">
        <v>16364</v>
      </c>
      <c r="D5636" s="5" t="s">
        <v>16195</v>
      </c>
      <c r="E5636" s="5" t="s">
        <v>16196</v>
      </c>
      <c r="F5636" s="5" t="s">
        <v>16197</v>
      </c>
      <c r="G5636" s="5" t="s">
        <v>16198</v>
      </c>
      <c r="H5636" s="5" t="s">
        <v>16197</v>
      </c>
      <c r="I5636" s="5" t="s">
        <v>16365</v>
      </c>
      <c r="J5636" s="5" t="s">
        <v>16366</v>
      </c>
      <c r="K5636" s="7" t="str">
        <f ca="1">IFERROR(__xludf.DUMMYFUNCTION("GOOGLETRANSLATE(H5636,""EN"",""ES"")"),"MÁQUINAS Y APARATOS PARA PREPARAR ALIMENTOS O BEBIDAS, NO ESPECIFICADOS EN OTRA PARTE")</f>
        <v>MÁQUINAS Y APARATOS PARA PREPARAR ALIMENTOS O BEBIDAS, NO ESPECIFICADOS EN OTRA PARTE</v>
      </c>
      <c r="L5636" s="5" t="str">
        <f ca="1">IFERROR(__xludf.DUMMYFUNCTION("GOOGLETRANSLATE(J5636,""EN"",""ES"")"),"Molinillos de café eléctricos [domésticos]")</f>
        <v>Molinillos de café eléctricos [domésticos]</v>
      </c>
      <c r="M5636" s="8" t="s">
        <v>54</v>
      </c>
      <c r="N5636" s="8"/>
    </row>
    <row r="5637" spans="1:14" ht="11.25" customHeight="1">
      <c r="A5637" s="5" t="s">
        <v>16192</v>
      </c>
      <c r="B5637" s="5" t="s">
        <v>16193</v>
      </c>
      <c r="C5637" s="5" t="s">
        <v>16367</v>
      </c>
      <c r="D5637" s="5" t="s">
        <v>16195</v>
      </c>
      <c r="E5637" s="5" t="s">
        <v>16196</v>
      </c>
      <c r="F5637" s="5" t="s">
        <v>16197</v>
      </c>
      <c r="G5637" s="5" t="s">
        <v>16198</v>
      </c>
      <c r="H5637" s="5" t="s">
        <v>16197</v>
      </c>
      <c r="I5637" s="5" t="s">
        <v>16368</v>
      </c>
      <c r="J5637" s="5" t="s">
        <v>16369</v>
      </c>
      <c r="K5637" s="7" t="str">
        <f ca="1">IFERROR(__xludf.DUMMYFUNCTION("GOOGLETRANSLATE(H5637,""EN"",""ES"")"),"MÁQUINAS Y APARATOS PARA PREPARAR ALIMENTOS O BEBIDAS, NO ESPECIFICADOS EN OTRA PARTE")</f>
        <v>MÁQUINAS Y APARATOS PARA PREPARAR ALIMENTOS O BEBIDAS, NO ESPECIFICADOS EN OTRA PARTE</v>
      </c>
      <c r="L5637" s="5" t="str">
        <f ca="1">IFERROR(__xludf.DUMMYFUNCTION("GOOGLETRANSLATE(J5637,""EN"",""ES"")"),"Trituradoras-trituradoras eléctricas [domésticas]")</f>
        <v>Trituradoras-trituradoras eléctricas [domésticas]</v>
      </c>
      <c r="M5637" s="8" t="s">
        <v>54</v>
      </c>
      <c r="N5637" s="8"/>
    </row>
    <row r="5638" spans="1:14" ht="11.25" customHeight="1">
      <c r="A5638" s="5" t="s">
        <v>16192</v>
      </c>
      <c r="B5638" s="5" t="s">
        <v>16193</v>
      </c>
      <c r="C5638" s="5" t="s">
        <v>16370</v>
      </c>
      <c r="D5638" s="5" t="s">
        <v>16195</v>
      </c>
      <c r="E5638" s="5" t="s">
        <v>16196</v>
      </c>
      <c r="F5638" s="5" t="s">
        <v>16197</v>
      </c>
      <c r="G5638" s="5" t="s">
        <v>16198</v>
      </c>
      <c r="H5638" s="5" t="s">
        <v>16197</v>
      </c>
      <c r="I5638" s="5" t="s">
        <v>16371</v>
      </c>
      <c r="J5638" s="5" t="s">
        <v>16372</v>
      </c>
      <c r="K5638" s="7" t="str">
        <f ca="1">IFERROR(__xludf.DUMMYFUNCTION("GOOGLETRANSLATE(H5638,""EN"",""ES"")"),"MÁQUINAS Y APARATOS PARA PREPARAR ALIMENTOS O BEBIDAS, NO ESPECIFICADOS EN OTRA PARTE")</f>
        <v>MÁQUINAS Y APARATOS PARA PREPARAR ALIMENTOS O BEBIDAS, NO ESPECIFICADOS EN OTRA PARTE</v>
      </c>
      <c r="L5638" s="5" t="str">
        <f ca="1">IFERROR(__xludf.DUMMYFUNCTION("GOOGLETRANSLATE(J5638,""EN"",""ES"")"),"Batidoras eléctricas [domésticas]")</f>
        <v>Batidoras eléctricas [domésticas]</v>
      </c>
      <c r="M5638" s="8" t="s">
        <v>54</v>
      </c>
      <c r="N5638" s="8"/>
    </row>
    <row r="5639" spans="1:14" ht="11.25" customHeight="1">
      <c r="A5639" s="5" t="s">
        <v>16192</v>
      </c>
      <c r="B5639" s="5" t="s">
        <v>16193</v>
      </c>
      <c r="C5639" s="5" t="s">
        <v>16373</v>
      </c>
      <c r="D5639" s="5" t="s">
        <v>16195</v>
      </c>
      <c r="E5639" s="5" t="s">
        <v>16196</v>
      </c>
      <c r="F5639" s="5" t="s">
        <v>16197</v>
      </c>
      <c r="G5639" s="5" t="s">
        <v>16198</v>
      </c>
      <c r="H5639" s="5" t="s">
        <v>16197</v>
      </c>
      <c r="I5639" s="5" t="s">
        <v>16374</v>
      </c>
      <c r="J5639" s="5" t="s">
        <v>16375</v>
      </c>
      <c r="K5639" s="7" t="str">
        <f ca="1">IFERROR(__xludf.DUMMYFUNCTION("GOOGLETRANSLATE(H5639,""EN"",""ES"")"),"MÁQUINAS Y APARATOS PARA PREPARAR ALIMENTOS O BEBIDAS, NO ESPECIFICADOS EN OTRA PARTE")</f>
        <v>MÁQUINAS Y APARATOS PARA PREPARAR ALIMENTOS O BEBIDAS, NO ESPECIFICADOS EN OTRA PARTE</v>
      </c>
      <c r="L5639" s="5" t="str">
        <f ca="1">IFERROR(__xludf.DUMMYFUNCTION("GOOGLETRANSLATE(J5639,""EN"",""ES"")"),"Peladoras eléctricas")</f>
        <v>Peladoras eléctricas</v>
      </c>
      <c r="M5639" s="8" t="s">
        <v>54</v>
      </c>
      <c r="N5639" s="8"/>
    </row>
    <row r="5640" spans="1:14" ht="11.25" customHeight="1">
      <c r="A5640" s="5" t="s">
        <v>16192</v>
      </c>
      <c r="B5640" s="5" t="s">
        <v>16193</v>
      </c>
      <c r="C5640" s="5" t="s">
        <v>16376</v>
      </c>
      <c r="D5640" s="5" t="s">
        <v>16195</v>
      </c>
      <c r="E5640" s="5" t="s">
        <v>16196</v>
      </c>
      <c r="F5640" s="5" t="s">
        <v>16197</v>
      </c>
      <c r="G5640" s="5" t="s">
        <v>16198</v>
      </c>
      <c r="H5640" s="5" t="s">
        <v>16197</v>
      </c>
      <c r="I5640" s="5" t="s">
        <v>16377</v>
      </c>
      <c r="J5640" s="5" t="s">
        <v>16378</v>
      </c>
      <c r="K5640" s="7" t="str">
        <f ca="1">IFERROR(__xludf.DUMMYFUNCTION("GOOGLETRANSLATE(H5640,""EN"",""ES"")"),"MÁQUINAS Y APARATOS PARA PREPARAR ALIMENTOS O BEBIDAS, NO ESPECIFICADOS EN OTRA PARTE")</f>
        <v>MÁQUINAS Y APARATOS PARA PREPARAR ALIMENTOS O BEBIDAS, NO ESPECIFICADOS EN OTRA PARTE</v>
      </c>
      <c r="L5640" s="5" t="str">
        <f ca="1">IFERROR(__xludf.DUMMYFUNCTION("GOOGLETRANSLATE(J5640,""EN"",""ES"")"),"Cortadoras de verduras eléctricas [domésticas]")</f>
        <v>Cortadoras de verduras eléctricas [domésticas]</v>
      </c>
      <c r="M5640" s="8" t="s">
        <v>54</v>
      </c>
      <c r="N5640" s="8"/>
    </row>
    <row r="5641" spans="1:14" ht="11.25" customHeight="1">
      <c r="A5641" s="5" t="s">
        <v>16192</v>
      </c>
      <c r="B5641" s="5" t="s">
        <v>16193</v>
      </c>
      <c r="C5641" s="5" t="s">
        <v>16379</v>
      </c>
      <c r="D5641" s="5" t="s">
        <v>16195</v>
      </c>
      <c r="E5641" s="5" t="s">
        <v>16196</v>
      </c>
      <c r="F5641" s="5" t="s">
        <v>16197</v>
      </c>
      <c r="G5641" s="5" t="s">
        <v>16198</v>
      </c>
      <c r="H5641" s="5" t="s">
        <v>16197</v>
      </c>
      <c r="I5641" s="5" t="s">
        <v>16380</v>
      </c>
      <c r="J5641" s="5" t="s">
        <v>16381</v>
      </c>
      <c r="K5641" s="7" t="str">
        <f ca="1">IFERROR(__xludf.DUMMYFUNCTION("GOOGLETRANSLATE(H5641,""EN"",""ES"")"),"MÁQUINAS Y APARATOS PARA PREPARAR ALIMENTOS O BEBIDAS, NO ESPECIFICADOS EN OTRA PARTE")</f>
        <v>MÁQUINAS Y APARATOS PARA PREPARAR ALIMENTOS O BEBIDAS, NO ESPECIFICADOS EN OTRA PARTE</v>
      </c>
      <c r="L5641" s="5" t="str">
        <f ca="1">IFERROR(__xludf.DUMMYFUNCTION("GOOGLETRANSLATE(J5641,""EN"",""ES"")"),"Aparatos para hacer yogur, eléctricos")</f>
        <v>Aparatos para hacer yogur, eléctricos</v>
      </c>
      <c r="M5641" s="8" t="s">
        <v>54</v>
      </c>
      <c r="N5641" s="8"/>
    </row>
    <row r="5642" spans="1:14" ht="11.25" customHeight="1">
      <c r="A5642" s="5" t="s">
        <v>16192</v>
      </c>
      <c r="B5642" s="5" t="s">
        <v>16193</v>
      </c>
      <c r="C5642" s="5" t="s">
        <v>16379</v>
      </c>
      <c r="D5642" s="5" t="s">
        <v>16195</v>
      </c>
      <c r="E5642" s="5" t="s">
        <v>16196</v>
      </c>
      <c r="F5642" s="5" t="s">
        <v>16197</v>
      </c>
      <c r="G5642" s="5" t="s">
        <v>16198</v>
      </c>
      <c r="H5642" s="5" t="s">
        <v>16197</v>
      </c>
      <c r="I5642" s="5" t="s">
        <v>16382</v>
      </c>
      <c r="J5642" s="5" t="s">
        <v>152</v>
      </c>
      <c r="K5642" s="7" t="str">
        <f ca="1">IFERROR(__xludf.DUMMYFUNCTION("GOOGLETRANSLATE(H5642,""EN"",""ES"")"),"MÁQUINAS Y APARATOS PARA PREPARAR ALIMENTOS O BEBIDAS, NO ESPECIFICADOS EN OTRA PARTE")</f>
        <v>MÁQUINAS Y APARATOS PARA PREPARAR ALIMENTOS O BEBIDAS, NO ESPECIFICADOS EN OTRA PARTE</v>
      </c>
      <c r="L5642" s="5" t="str">
        <f ca="1">IFERROR(__xludf.DUMMYFUNCTION("GOOGLETRANSLATE(J5642,""EN"",""ES"")"),"Aparatos para hacer yogur, eléctricos")</f>
        <v>Aparatos para hacer yogur, eléctricos</v>
      </c>
      <c r="M5642" s="8" t="s">
        <v>54</v>
      </c>
      <c r="N5642" s="8"/>
    </row>
    <row r="5643" spans="1:14" ht="11.25" customHeight="1">
      <c r="A5643" s="5" t="s">
        <v>16192</v>
      </c>
      <c r="B5643" s="5" t="s">
        <v>16193</v>
      </c>
      <c r="C5643" s="5" t="s">
        <v>16383</v>
      </c>
      <c r="D5643" s="5" t="s">
        <v>16195</v>
      </c>
      <c r="E5643" s="5" t="s">
        <v>16196</v>
      </c>
      <c r="F5643" s="5" t="s">
        <v>16197</v>
      </c>
      <c r="G5643" s="5" t="s">
        <v>16198</v>
      </c>
      <c r="H5643" s="5" t="s">
        <v>16197</v>
      </c>
      <c r="I5643" s="5" t="s">
        <v>16384</v>
      </c>
      <c r="J5643" s="5" t="s">
        <v>16385</v>
      </c>
      <c r="K5643" s="7" t="str">
        <f ca="1">IFERROR(__xludf.DUMMYFUNCTION("GOOGLETRANSLATE(H5643,""EN"",""ES"")"),"MÁQUINAS Y APARATOS PARA PREPARAR ALIMENTOS O BEBIDAS, NO ESPECIFICADOS EN OTRA PARTE")</f>
        <v>MÁQUINAS Y APARATOS PARA PREPARAR ALIMENTOS O BEBIDAS, NO ESPECIFICADOS EN OTRA PARTE</v>
      </c>
      <c r="L5643" s="5" t="str">
        <f ca="1">IFERROR(__xludf.DUMMYFUNCTION("GOOGLETRANSLATE(J5643,""EN"",""ES"")"),"Soportes para servir cerveza de barril")</f>
        <v>Soportes para servir cerveza de barril</v>
      </c>
      <c r="M5643" s="8" t="s">
        <v>54</v>
      </c>
      <c r="N5643" s="8"/>
    </row>
    <row r="5644" spans="1:14" ht="11.25" customHeight="1">
      <c r="A5644" s="5" t="s">
        <v>16192</v>
      </c>
      <c r="B5644" s="5" t="s">
        <v>16193</v>
      </c>
      <c r="C5644" s="5" t="s">
        <v>16386</v>
      </c>
      <c r="D5644" s="5" t="s">
        <v>16195</v>
      </c>
      <c r="E5644" s="5" t="s">
        <v>16196</v>
      </c>
      <c r="F5644" s="5" t="s">
        <v>16197</v>
      </c>
      <c r="G5644" s="5" t="s">
        <v>16198</v>
      </c>
      <c r="H5644" s="5" t="s">
        <v>16197</v>
      </c>
      <c r="I5644" s="5" t="s">
        <v>16387</v>
      </c>
      <c r="J5644" s="5" t="s">
        <v>16388</v>
      </c>
      <c r="K5644" s="7" t="str">
        <f ca="1">IFERROR(__xludf.DUMMYFUNCTION("GOOGLETRANSLATE(H5644,""EN"",""ES"")"),"MÁQUINAS Y APARATOS PARA PREPARAR ALIMENTOS O BEBIDAS, NO ESPECIFICADOS EN OTRA PARTE")</f>
        <v>MÁQUINAS Y APARATOS PARA PREPARAR ALIMENTOS O BEBIDAS, NO ESPECIFICADOS EN OTRA PARTE</v>
      </c>
      <c r="L5644" s="5" t="str">
        <f ca="1">IFERROR(__xludf.DUMMYFUNCTION("GOOGLETRANSLATE(J5644,""EN"",""ES"")"),"Máquinas para hornear")</f>
        <v>Máquinas para hornear</v>
      </c>
      <c r="M5644" s="8" t="s">
        <v>54</v>
      </c>
      <c r="N5644" s="8"/>
    </row>
    <row r="5645" spans="1:14" ht="11.25" customHeight="1">
      <c r="A5645" s="5" t="s">
        <v>16192</v>
      </c>
      <c r="B5645" s="5" t="s">
        <v>16193</v>
      </c>
      <c r="C5645" s="5" t="s">
        <v>16389</v>
      </c>
      <c r="D5645" s="5" t="s">
        <v>16195</v>
      </c>
      <c r="E5645" s="5" t="s">
        <v>16196</v>
      </c>
      <c r="F5645" s="5" t="s">
        <v>16197</v>
      </c>
      <c r="G5645" s="5" t="s">
        <v>16198</v>
      </c>
      <c r="H5645" s="5" t="s">
        <v>16197</v>
      </c>
      <c r="I5645" s="5" t="s">
        <v>16390</v>
      </c>
      <c r="J5645" s="5" t="s">
        <v>16391</v>
      </c>
      <c r="K5645" s="7" t="str">
        <f ca="1">IFERROR(__xludf.DUMMYFUNCTION("GOOGLETRANSLATE(H5645,""EN"",""ES"")"),"MÁQUINAS Y APARATOS PARA PREPARAR ALIMENTOS O BEBIDAS, NO ESPECIFICADOS EN OTRA PARTE")</f>
        <v>MÁQUINAS Y APARATOS PARA PREPARAR ALIMENTOS O BEBIDAS, NO ESPECIFICADOS EN OTRA PARTE</v>
      </c>
      <c r="L5645" s="5" t="str">
        <f ca="1">IFERROR(__xludf.DUMMYFUNCTION("GOOGLETRANSLATE(J5645,""EN"",""ES"")"),"ralladores electricos")</f>
        <v>ralladores electricos</v>
      </c>
      <c r="M5645" s="8" t="s">
        <v>54</v>
      </c>
      <c r="N5645" s="8"/>
    </row>
    <row r="5646" spans="1:14" ht="11.25" customHeight="1">
      <c r="A5646" s="5" t="s">
        <v>16192</v>
      </c>
      <c r="B5646" s="5" t="s">
        <v>16193</v>
      </c>
      <c r="C5646" s="5" t="s">
        <v>16392</v>
      </c>
      <c r="D5646" s="5" t="s">
        <v>16195</v>
      </c>
      <c r="E5646" s="5" t="s">
        <v>16196</v>
      </c>
      <c r="F5646" s="5" t="s">
        <v>16197</v>
      </c>
      <c r="G5646" s="5" t="s">
        <v>16198</v>
      </c>
      <c r="H5646" s="5" t="s">
        <v>16197</v>
      </c>
      <c r="I5646" s="5" t="s">
        <v>16393</v>
      </c>
      <c r="J5646" s="5" t="s">
        <v>16394</v>
      </c>
      <c r="K5646" s="7" t="str">
        <f ca="1">IFERROR(__xludf.DUMMYFUNCTION("GOOGLETRANSLATE(H5646,""EN"",""ES"")"),"MÁQUINAS Y APARATOS PARA PREPARAR ALIMENTOS O BEBIDAS, NO ESPECIFICADOS EN OTRA PARTE")</f>
        <v>MÁQUINAS Y APARATOS PARA PREPARAR ALIMENTOS O BEBIDAS, NO ESPECIFICADOS EN OTRA PARTE</v>
      </c>
      <c r="L5646" s="5" t="str">
        <f ca="1">IFERROR(__xludf.DUMMYFUNCTION("GOOGLETRANSLATE(J5646,""EN"",""ES"")"),"Máquinas de café [excepto para uso doméstico]")</f>
        <v>Máquinas de café [excepto para uso doméstico]</v>
      </c>
      <c r="M5646" s="8" t="s">
        <v>54</v>
      </c>
      <c r="N5646" s="8"/>
    </row>
    <row r="5647" spans="1:14" ht="11.25" customHeight="1">
      <c r="A5647" s="5" t="s">
        <v>16192</v>
      </c>
      <c r="B5647" s="5" t="s">
        <v>16193</v>
      </c>
      <c r="C5647" s="5" t="s">
        <v>16395</v>
      </c>
      <c r="D5647" s="5" t="s">
        <v>16195</v>
      </c>
      <c r="E5647" s="5" t="s">
        <v>16196</v>
      </c>
      <c r="F5647" s="5" t="s">
        <v>16197</v>
      </c>
      <c r="G5647" s="5" t="s">
        <v>16198</v>
      </c>
      <c r="H5647" s="5" t="s">
        <v>16197</v>
      </c>
      <c r="I5647" s="5" t="s">
        <v>16396</v>
      </c>
      <c r="J5647" s="5" t="s">
        <v>16397</v>
      </c>
      <c r="K5647" s="7" t="str">
        <f ca="1">IFERROR(__xludf.DUMMYFUNCTION("GOOGLETRANSLATE(H5647,""EN"",""ES"")"),"MÁQUINAS Y APARATOS PARA PREPARAR ALIMENTOS O BEBIDAS, NO ESPECIFICADOS EN OTRA PARTE")</f>
        <v>MÁQUINAS Y APARATOS PARA PREPARAR ALIMENTOS O BEBIDAS, NO ESPECIFICADOS EN OTRA PARTE</v>
      </c>
      <c r="L5647" s="5" t="str">
        <f ca="1">IFERROR(__xludf.DUMMYFUNCTION("GOOGLETRANSLATE(J5647,""EN"",""ES"")"),"Cámaras de fermentación para hornear.")</f>
        <v>Cámaras de fermentación para hornear.</v>
      </c>
      <c r="M5647" s="8" t="s">
        <v>54</v>
      </c>
      <c r="N5647" s="8"/>
    </row>
    <row r="5648" spans="1:14" ht="11.25" customHeight="1">
      <c r="A5648" s="5" t="s">
        <v>16192</v>
      </c>
      <c r="B5648" s="5" t="s">
        <v>16193</v>
      </c>
      <c r="C5648" s="5" t="s">
        <v>16398</v>
      </c>
      <c r="D5648" s="5" t="s">
        <v>16195</v>
      </c>
      <c r="E5648" s="5" t="s">
        <v>16196</v>
      </c>
      <c r="F5648" s="5" t="s">
        <v>16197</v>
      </c>
      <c r="G5648" s="5" t="s">
        <v>16198</v>
      </c>
      <c r="H5648" s="5" t="s">
        <v>16197</v>
      </c>
      <c r="I5648" s="5" t="s">
        <v>16399</v>
      </c>
      <c r="J5648" s="5" t="s">
        <v>16400</v>
      </c>
      <c r="K5648" s="7" t="str">
        <f ca="1">IFERROR(__xludf.DUMMYFUNCTION("GOOGLETRANSLATE(H5648,""EN"",""ES"")"),"MÁQUINAS Y APARATOS PARA PREPARAR ALIMENTOS O BEBIDAS, NO ESPECIFICADOS EN OTRA PARTE")</f>
        <v>MÁQUINAS Y APARATOS PARA PREPARAR ALIMENTOS O BEBIDAS, NO ESPECIFICADOS EN OTRA PARTE</v>
      </c>
      <c r="L5648" s="5" t="str">
        <f ca="1">IFERROR(__xludf.DUMMYFUNCTION("GOOGLETRANSLATE(J5648,""EN"",""ES"")"),"Prensas de miel [máquinas]")</f>
        <v>Prensas de miel [máquinas]</v>
      </c>
      <c r="M5648" s="8" t="s">
        <v>54</v>
      </c>
      <c r="N5648" s="8"/>
    </row>
    <row r="5649" spans="1:14" ht="11.25" customHeight="1">
      <c r="A5649" s="5" t="s">
        <v>16192</v>
      </c>
      <c r="B5649" s="5" t="s">
        <v>16193</v>
      </c>
      <c r="C5649" s="5" t="s">
        <v>16401</v>
      </c>
      <c r="D5649" s="5" t="s">
        <v>16195</v>
      </c>
      <c r="E5649" s="5" t="s">
        <v>16196</v>
      </c>
      <c r="F5649" s="5" t="s">
        <v>16197</v>
      </c>
      <c r="G5649" s="5" t="s">
        <v>16198</v>
      </c>
      <c r="H5649" s="5" t="s">
        <v>16197</v>
      </c>
      <c r="I5649" s="5" t="s">
        <v>16402</v>
      </c>
      <c r="J5649" s="5" t="s">
        <v>16403</v>
      </c>
      <c r="K5649" s="7" t="str">
        <f ca="1">IFERROR(__xludf.DUMMYFUNCTION("GOOGLETRANSLATE(H5649,""EN"",""ES"")"),"MÁQUINAS Y APARATOS PARA PREPARAR ALIMENTOS O BEBIDAS, NO ESPECIFICADOS EN OTRA PARTE")</f>
        <v>MÁQUINAS Y APARATOS PARA PREPARAR ALIMENTOS O BEBIDAS, NO ESPECIFICADOS EN OTRA PARTE</v>
      </c>
      <c r="L5649" s="5" t="str">
        <f ca="1">IFERROR(__xludf.DUMMYFUNCTION("GOOGLETRANSLATE(J5649,""EN"",""ES"")"),"Honderos de miel")</f>
        <v>Honderos de miel</v>
      </c>
      <c r="M5649" s="8" t="s">
        <v>54</v>
      </c>
      <c r="N5649" s="8"/>
    </row>
    <row r="5650" spans="1:14" ht="11.25" customHeight="1">
      <c r="A5650" s="5" t="s">
        <v>16192</v>
      </c>
      <c r="B5650" s="5" t="s">
        <v>16193</v>
      </c>
      <c r="C5650" s="5" t="s">
        <v>16404</v>
      </c>
      <c r="D5650" s="5" t="s">
        <v>16195</v>
      </c>
      <c r="E5650" s="5" t="s">
        <v>16196</v>
      </c>
      <c r="F5650" s="5" t="s">
        <v>16197</v>
      </c>
      <c r="G5650" s="5" t="s">
        <v>16198</v>
      </c>
      <c r="H5650" s="5" t="s">
        <v>16197</v>
      </c>
      <c r="I5650" s="5" t="s">
        <v>16405</v>
      </c>
      <c r="J5650" s="5" t="s">
        <v>16406</v>
      </c>
      <c r="K5650" s="7" t="str">
        <f ca="1">IFERROR(__xludf.DUMMYFUNCTION("GOOGLETRANSLATE(H5650,""EN"",""ES"")"),"MÁQUINAS Y APARATOS PARA PREPARAR ALIMENTOS O BEBIDAS, NO ESPECIFICADOS EN OTRA PARTE")</f>
        <v>MÁQUINAS Y APARATOS PARA PREPARAR ALIMENTOS O BEBIDAS, NO ESPECIFICADOS EN OTRA PARTE</v>
      </c>
      <c r="L5650" s="5" t="str">
        <f ca="1">IFERROR(__xludf.DUMMYFUNCTION("GOOGLETRANSLATE(J5650,""EN"",""ES"")"),"Picadoras de carne [máquinas]")</f>
        <v>Picadoras de carne [máquinas]</v>
      </c>
      <c r="M5650" s="8" t="s">
        <v>54</v>
      </c>
      <c r="N5650" s="8"/>
    </row>
    <row r="5651" spans="1:14" ht="11.25" customHeight="1">
      <c r="A5651" s="5" t="s">
        <v>16192</v>
      </c>
      <c r="B5651" s="5" t="s">
        <v>16193</v>
      </c>
      <c r="C5651" s="5" t="s">
        <v>16407</v>
      </c>
      <c r="D5651" s="5" t="s">
        <v>16195</v>
      </c>
      <c r="E5651" s="5" t="s">
        <v>16196</v>
      </c>
      <c r="F5651" s="5" t="s">
        <v>16197</v>
      </c>
      <c r="G5651" s="5" t="s">
        <v>16198</v>
      </c>
      <c r="H5651" s="5" t="s">
        <v>16197</v>
      </c>
      <c r="I5651" s="5" t="s">
        <v>16408</v>
      </c>
      <c r="J5651" s="5" t="s">
        <v>16409</v>
      </c>
      <c r="K5651" s="7" t="str">
        <f ca="1">IFERROR(__xludf.DUMMYFUNCTION("GOOGLETRANSLATE(H5651,""EN"",""ES"")"),"MÁQUINAS Y APARATOS PARA PREPARAR ALIMENTOS O BEBIDAS, NO ESPECIFICADOS EN OTRA PARTE")</f>
        <v>MÁQUINAS Y APARATOS PARA PREPARAR ALIMENTOS O BEBIDAS, NO ESPECIFICADOS EN OTRA PARTE</v>
      </c>
      <c r="L5651" s="5" t="str">
        <f ca="1">IFERROR(__xludf.DUMMYFUNCTION("GOOGLETRANSLATE(J5651,""EN"",""ES"")"),"Bombas de cerveza [máquinas]")</f>
        <v>Bombas de cerveza [máquinas]</v>
      </c>
      <c r="M5651" s="8" t="s">
        <v>54</v>
      </c>
      <c r="N5651" s="8"/>
    </row>
    <row r="5652" spans="1:14" ht="11.25" customHeight="1">
      <c r="A5652" s="5" t="s">
        <v>16192</v>
      </c>
      <c r="B5652" s="5" t="s">
        <v>16193</v>
      </c>
      <c r="C5652" s="5" t="s">
        <v>16410</v>
      </c>
      <c r="D5652" s="5" t="s">
        <v>16195</v>
      </c>
      <c r="E5652" s="5" t="s">
        <v>16196</v>
      </c>
      <c r="F5652" s="5" t="s">
        <v>16197</v>
      </c>
      <c r="G5652" s="5" t="s">
        <v>16198</v>
      </c>
      <c r="H5652" s="5" t="s">
        <v>16197</v>
      </c>
      <c r="I5652" s="5" t="s">
        <v>16411</v>
      </c>
      <c r="J5652" s="5" t="s">
        <v>16412</v>
      </c>
      <c r="K5652" s="7" t="str">
        <f ca="1">IFERROR(__xludf.DUMMYFUNCTION("GOOGLETRANSLATE(H5652,""EN"",""ES"")"),"MÁQUINAS Y APARATOS PARA PREPARAR ALIMENTOS O BEBIDAS, NO ESPECIFICADOS EN OTRA PARTE")</f>
        <v>MÁQUINAS Y APARATOS PARA PREPARAR ALIMENTOS O BEBIDAS, NO ESPECIFICADOS EN OTRA PARTE</v>
      </c>
      <c r="L5652" s="5" t="str">
        <f ca="1">IFERROR(__xludf.DUMMYFUNCTION("GOOGLETRANSLATE(J5652,""EN"",""ES"")"),"Armarios de envejecimiento en seco")</f>
        <v>Armarios de envejecimiento en seco</v>
      </c>
      <c r="M5652" s="8" t="s">
        <v>54</v>
      </c>
      <c r="N5652" s="8"/>
    </row>
    <row r="5653" spans="1:14" ht="11.25" customHeight="1">
      <c r="A5653" s="5" t="s">
        <v>16192</v>
      </c>
      <c r="B5653" s="5" t="s">
        <v>16193</v>
      </c>
      <c r="C5653" s="5" t="s">
        <v>16413</v>
      </c>
      <c r="D5653" s="5" t="s">
        <v>16195</v>
      </c>
      <c r="E5653" s="5" t="s">
        <v>16196</v>
      </c>
      <c r="F5653" s="5" t="s">
        <v>16197</v>
      </c>
      <c r="G5653" s="5" t="s">
        <v>16198</v>
      </c>
      <c r="H5653" s="5" t="s">
        <v>16197</v>
      </c>
      <c r="I5653" s="5" t="s">
        <v>16414</v>
      </c>
      <c r="J5653" s="5" t="s">
        <v>16415</v>
      </c>
      <c r="K5653" s="7" t="str">
        <f ca="1">IFERROR(__xludf.DUMMYFUNCTION("GOOGLETRANSLATE(H5653,""EN"",""ES"")"),"MÁQUINAS Y APARATOS PARA PREPARAR ALIMENTOS O BEBIDAS, NO ESPECIFICADOS EN OTRA PARTE")</f>
        <v>MÁQUINAS Y APARATOS PARA PREPARAR ALIMENTOS O BEBIDAS, NO ESPECIFICADOS EN OTRA PARTE</v>
      </c>
      <c r="L5653" s="5" t="str">
        <f ca="1">IFERROR(__xludf.DUMMYFUNCTION("GOOGLETRANSLATE(J5653,""EN"",""ES"")"),"Robots para preparar comida o bebida.")</f>
        <v>Robots para preparar comida o bebida.</v>
      </c>
      <c r="M5653" s="8" t="s">
        <v>54</v>
      </c>
      <c r="N5653" s="8"/>
    </row>
    <row r="5654" spans="1:14" ht="11.25" customHeight="1">
      <c r="A5654" s="5" t="s">
        <v>16192</v>
      </c>
      <c r="B5654" s="5" t="s">
        <v>16193</v>
      </c>
      <c r="C5654" s="5" t="s">
        <v>16416</v>
      </c>
      <c r="D5654" s="5" t="s">
        <v>16195</v>
      </c>
      <c r="E5654" s="5" t="s">
        <v>16196</v>
      </c>
      <c r="F5654" s="5" t="s">
        <v>16197</v>
      </c>
      <c r="G5654" s="5" t="s">
        <v>16198</v>
      </c>
      <c r="H5654" s="5" t="s">
        <v>16197</v>
      </c>
      <c r="I5654" s="5" t="s">
        <v>16417</v>
      </c>
      <c r="J5654" s="5" t="s">
        <v>16418</v>
      </c>
      <c r="K5654" s="7" t="str">
        <f ca="1">IFERROR(__xludf.DUMMYFUNCTION("GOOGLETRANSLATE(H5654,""EN"",""ES"")"),"MÁQUINAS Y APARATOS PARA PREPARAR ALIMENTOS O BEBIDAS, NO ESPECIFICADOS EN OTRA PARTE")</f>
        <v>MÁQUINAS Y APARATOS PARA PREPARAR ALIMENTOS O BEBIDAS, NO ESPECIFICADOS EN OTRA PARTE</v>
      </c>
      <c r="L5654" s="5" t="str">
        <f ca="1">IFERROR(__xludf.DUMMYFUNCTION("GOOGLETRANSLATE(J5654,""EN"",""ES"")"),"Máquinas o aparatos domésticos [eléctricos] para airear agua.")</f>
        <v>Máquinas o aparatos domésticos [eléctricos] para airear agua.</v>
      </c>
      <c r="M5654" s="8" t="s">
        <v>54</v>
      </c>
      <c r="N5654" s="8"/>
    </row>
    <row r="5655" spans="1:14" ht="11.25" customHeight="1">
      <c r="A5655" s="5" t="s">
        <v>16419</v>
      </c>
      <c r="B5655" s="5" t="s">
        <v>16420</v>
      </c>
      <c r="C5655" s="5" t="s">
        <v>16421</v>
      </c>
      <c r="D5655" s="5" t="s">
        <v>16422</v>
      </c>
      <c r="E5655" s="5" t="s">
        <v>93</v>
      </c>
      <c r="F5655" s="5" t="s">
        <v>16423</v>
      </c>
      <c r="G5655" s="5" t="s">
        <v>152</v>
      </c>
      <c r="H5655" s="5" t="s">
        <v>16424</v>
      </c>
      <c r="I5655" s="5" t="s">
        <v>16425</v>
      </c>
      <c r="J5655" s="5" t="s">
        <v>16426</v>
      </c>
      <c r="K5655" s="7" t="str">
        <f ca="1">IFERROR(__xludf.DUMMYFUNCTION("GOOGLETRANSLATE(H5655,""EN"",""ES"")"),"SÍMBOLOS Y LOGOTIPOS GRÁFICOS, PATRONES DE SUPERFICIE, ORNAMENTACIÓN")</f>
        <v>SÍMBOLOS Y LOGOTIPOS GRÁFICOS, PATRONES DE SUPERFICIE, ORNAMENTACIÓN</v>
      </c>
      <c r="L5655" s="5" t="str">
        <f ca="1">IFERROR(__xludf.DUMMYFUNCTION("GOOGLETRANSLATE(J5655,""EN"",""ES"")"),"Diseños gráficos [bidimensionales]")</f>
        <v>Diseños gráficos [bidimensionales]</v>
      </c>
      <c r="M5655" s="8" t="s">
        <v>92</v>
      </c>
      <c r="N5655" s="8"/>
    </row>
    <row r="5656" spans="1:14" ht="11.25" customHeight="1">
      <c r="A5656" s="5" t="s">
        <v>16419</v>
      </c>
      <c r="B5656" s="5" t="s">
        <v>16420</v>
      </c>
      <c r="C5656" s="5" t="s">
        <v>16427</v>
      </c>
      <c r="D5656" s="5" t="s">
        <v>16422</v>
      </c>
      <c r="E5656" s="5" t="s">
        <v>93</v>
      </c>
      <c r="F5656" s="5" t="s">
        <v>16423</v>
      </c>
      <c r="G5656" s="5" t="s">
        <v>152</v>
      </c>
      <c r="H5656" s="5" t="s">
        <v>16424</v>
      </c>
      <c r="I5656" s="5" t="s">
        <v>16428</v>
      </c>
      <c r="J5656" s="5" t="s">
        <v>16429</v>
      </c>
      <c r="K5656" s="7" t="str">
        <f ca="1">IFERROR(__xludf.DUMMYFUNCTION("GOOGLETRANSLATE(H5656,""EN"",""ES"")"),"SÍMBOLOS Y LOGOTIPOS GRÁFICOS, PATRONES DE SUPERFICIE, ORNAMENTACIÓN")</f>
        <v>SÍMBOLOS Y LOGOTIPOS GRÁFICOS, PATRONES DE SUPERFICIE, ORNAMENTACIÓN</v>
      </c>
      <c r="L5656" s="5" t="str">
        <f ca="1">IFERROR(__xludf.DUMMYFUNCTION("GOOGLETRANSLATE(J5656,""EN"",""ES"")"),"Símbolos gráficos")</f>
        <v>Símbolos gráficos</v>
      </c>
      <c r="M5656" s="8" t="s">
        <v>92</v>
      </c>
      <c r="N5656" s="8"/>
    </row>
    <row r="5657" spans="1:14" ht="11.25" customHeight="1">
      <c r="A5657" s="5" t="s">
        <v>16419</v>
      </c>
      <c r="B5657" s="5" t="s">
        <v>16420</v>
      </c>
      <c r="C5657" s="5" t="s">
        <v>16430</v>
      </c>
      <c r="D5657" s="5" t="s">
        <v>16422</v>
      </c>
      <c r="E5657" s="5" t="s">
        <v>93</v>
      </c>
      <c r="F5657" s="5" t="s">
        <v>16423</v>
      </c>
      <c r="G5657" s="5" t="s">
        <v>152</v>
      </c>
      <c r="H5657" s="5" t="s">
        <v>16424</v>
      </c>
      <c r="I5657" s="5" t="s">
        <v>16431</v>
      </c>
      <c r="J5657" s="5" t="s">
        <v>16432</v>
      </c>
      <c r="K5657" s="7" t="str">
        <f ca="1">IFERROR(__xludf.DUMMYFUNCTION("GOOGLETRANSLATE(H5657,""EN"",""ES"")"),"SÍMBOLOS Y LOGOTIPOS GRÁFICOS, PATRONES DE SUPERFICIE, ORNAMENTACIÓN")</f>
        <v>SÍMBOLOS Y LOGOTIPOS GRÁFICOS, PATRONES DE SUPERFICIE, ORNAMENTACIÓN</v>
      </c>
      <c r="L5657" s="5" t="str">
        <f ca="1">IFERROR(__xludf.DUMMYFUNCTION("GOOGLETRANSLATE(J5657,""EN"",""ES"")"),"Símbolos gráficos [figuras de cómic]")</f>
        <v>Símbolos gráficos [figuras de cómic]</v>
      </c>
      <c r="M5657" s="8" t="s">
        <v>92</v>
      </c>
      <c r="N5657" s="8"/>
    </row>
    <row r="5658" spans="1:14" ht="11.25" customHeight="1">
      <c r="A5658" s="5" t="s">
        <v>16419</v>
      </c>
      <c r="B5658" s="5" t="s">
        <v>16420</v>
      </c>
      <c r="C5658" s="5" t="s">
        <v>16433</v>
      </c>
      <c r="D5658" s="5" t="s">
        <v>16422</v>
      </c>
      <c r="E5658" s="5" t="s">
        <v>93</v>
      </c>
      <c r="F5658" s="5" t="s">
        <v>16423</v>
      </c>
      <c r="G5658" s="5" t="s">
        <v>152</v>
      </c>
      <c r="H5658" s="5" t="s">
        <v>16424</v>
      </c>
      <c r="I5658" s="5" t="s">
        <v>16434</v>
      </c>
      <c r="J5658" s="5" t="s">
        <v>16434</v>
      </c>
      <c r="K5658" s="7" t="str">
        <f ca="1">IFERROR(__xludf.DUMMYFUNCTION("GOOGLETRANSLATE(H5658,""EN"",""ES"")"),"SÍMBOLOS Y LOGOTIPOS GRÁFICOS, PATRONES DE SUPERFICIE, ORNAMENTACIÓN")</f>
        <v>SÍMBOLOS Y LOGOTIPOS GRÁFICOS, PATRONES DE SUPERFICIE, ORNAMENTACIÓN</v>
      </c>
      <c r="L5658" s="5" t="str">
        <f ca="1">IFERROR(__xludf.DUMMYFUNCTION("GOOGLETRANSLATE(J5658,""EN"",""ES"")"),"Logotipos")</f>
        <v>Logotipos</v>
      </c>
      <c r="M5658" s="8" t="s">
        <v>92</v>
      </c>
      <c r="N5658" s="8"/>
    </row>
    <row r="5659" spans="1:14" ht="11.25" customHeight="1">
      <c r="A5659" s="5" t="s">
        <v>16419</v>
      </c>
      <c r="B5659" s="5" t="s">
        <v>16420</v>
      </c>
      <c r="C5659" s="5" t="s">
        <v>16435</v>
      </c>
      <c r="D5659" s="5" t="s">
        <v>16422</v>
      </c>
      <c r="E5659" s="5" t="s">
        <v>93</v>
      </c>
      <c r="F5659" s="5" t="s">
        <v>16423</v>
      </c>
      <c r="G5659" s="5" t="s">
        <v>152</v>
      </c>
      <c r="H5659" s="5" t="s">
        <v>16424</v>
      </c>
      <c r="I5659" s="5" t="s">
        <v>16436</v>
      </c>
      <c r="J5659" s="5" t="s">
        <v>16437</v>
      </c>
      <c r="K5659" s="7" t="str">
        <f ca="1">IFERROR(__xludf.DUMMYFUNCTION("GOOGLETRANSLATE(H5659,""EN"",""ES"")"),"SÍMBOLOS Y LOGOTIPOS GRÁFICOS, PATRONES DE SUPERFICIE, ORNAMENTACIÓN")</f>
        <v>SÍMBOLOS Y LOGOTIPOS GRÁFICOS, PATRONES DE SUPERFICIE, ORNAMENTACIÓN</v>
      </c>
      <c r="L5659" s="5" t="str">
        <f ca="1">IFERROR(__xludf.DUMMYFUNCTION("GOOGLETRANSLATE(J5659,""EN"",""ES"")"),"Ornamentación")</f>
        <v>Ornamentación</v>
      </c>
      <c r="M5659" s="8" t="s">
        <v>92</v>
      </c>
      <c r="N5659" s="8"/>
    </row>
    <row r="5660" spans="1:14" ht="11.25" customHeight="1">
      <c r="A5660" s="5" t="s">
        <v>16419</v>
      </c>
      <c r="B5660" s="5" t="s">
        <v>16420</v>
      </c>
      <c r="C5660" s="5" t="s">
        <v>16438</v>
      </c>
      <c r="D5660" s="5" t="s">
        <v>16422</v>
      </c>
      <c r="E5660" s="5" t="s">
        <v>93</v>
      </c>
      <c r="F5660" s="5" t="s">
        <v>16423</v>
      </c>
      <c r="G5660" s="5" t="s">
        <v>152</v>
      </c>
      <c r="H5660" s="5" t="s">
        <v>16424</v>
      </c>
      <c r="I5660" s="5" t="s">
        <v>16439</v>
      </c>
      <c r="J5660" s="5" t="s">
        <v>16440</v>
      </c>
      <c r="K5660" s="7" t="str">
        <f ca="1">IFERROR(__xludf.DUMMYFUNCTION("GOOGLETRANSLATE(H5660,""EN"",""ES"")"),"SÍMBOLOS Y LOGOTIPOS GRÁFICOS, PATRONES DE SUPERFICIE, ORNAMENTACIÓN")</f>
        <v>SÍMBOLOS Y LOGOTIPOS GRÁFICOS, PATRONES DE SUPERFICIE, ORNAMENTACIÓN</v>
      </c>
      <c r="L5660" s="5" t="str">
        <f ca="1">IFERROR(__xludf.DUMMYFUNCTION("GOOGLETRANSLATE(J5660,""EN"",""ES"")"),"Patrones de superficie")</f>
        <v>Patrones de superficie</v>
      </c>
      <c r="M5660" s="8" t="s">
        <v>92</v>
      </c>
      <c r="N5660" s="8"/>
    </row>
    <row r="5661" spans="1:14" ht="11.25" customHeight="1">
      <c r="A5661" s="5" t="s">
        <v>16419</v>
      </c>
      <c r="B5661" s="5" t="s">
        <v>16441</v>
      </c>
      <c r="C5661" s="5" t="s">
        <v>16442</v>
      </c>
      <c r="D5661" s="5" t="s">
        <v>16422</v>
      </c>
      <c r="E5661" s="5" t="s">
        <v>93</v>
      </c>
      <c r="F5661" s="5" t="s">
        <v>16423</v>
      </c>
      <c r="G5661" s="5" t="s">
        <v>152</v>
      </c>
      <c r="H5661" s="5" t="s">
        <v>16443</v>
      </c>
      <c r="I5661" s="5" t="s">
        <v>16444</v>
      </c>
      <c r="J5661" s="5" t="s">
        <v>16445</v>
      </c>
      <c r="K5661" s="7" t="str">
        <f ca="1">IFERROR(__xludf.DUMMYFUNCTION("GOOGLETRANSLATE(H5661,""EN"",""ES"")"),"DISPOSICIÓN DE INTERIORES Y EXTERIORES")</f>
        <v>DISPOSICIÓN DE INTERIORES Y EXTERIORES</v>
      </c>
      <c r="L5661" s="5" t="str">
        <f ca="1">IFERROR(__xludf.DUMMYFUNCTION("GOOGLETRANSLATE(J5661,""EN"",""ES"")"),"Disposición de los interiores del barco.")</f>
        <v>Disposición de los interiores del barco.</v>
      </c>
      <c r="M5661" s="8" t="s">
        <v>17</v>
      </c>
      <c r="N5661" s="8"/>
    </row>
    <row r="5662" spans="1:14" ht="11.25" customHeight="1">
      <c r="A5662" s="5" t="s">
        <v>16419</v>
      </c>
      <c r="B5662" s="5" t="s">
        <v>16441</v>
      </c>
      <c r="C5662" s="5" t="s">
        <v>16446</v>
      </c>
      <c r="D5662" s="5" t="s">
        <v>16422</v>
      </c>
      <c r="E5662" s="5" t="s">
        <v>93</v>
      </c>
      <c r="F5662" s="5" t="s">
        <v>16423</v>
      </c>
      <c r="G5662" s="5" t="s">
        <v>152</v>
      </c>
      <c r="H5662" s="5" t="s">
        <v>16443</v>
      </c>
      <c r="I5662" s="5" t="s">
        <v>16447</v>
      </c>
      <c r="J5662" s="5" t="s">
        <v>16448</v>
      </c>
      <c r="K5662" s="7" t="str">
        <f ca="1">IFERROR(__xludf.DUMMYFUNCTION("GOOGLETRANSLATE(H5662,""EN"",""ES"")"),"DISPOSICIÓN DE INTERIORES Y EXTERIORES")</f>
        <v>DISPOSICIÓN DE INTERIORES Y EXTERIORES</v>
      </c>
      <c r="L5662" s="5" t="str">
        <f ca="1">IFERROR(__xludf.DUMMYFUNCTION("GOOGLETRANSLATE(J5662,""EN"",""ES"")"),"Disposición de los interiores del restaurante.")</f>
        <v>Disposición de los interiores del restaurante.</v>
      </c>
      <c r="M5662" s="8" t="s">
        <v>17</v>
      </c>
      <c r="N5662" s="8"/>
    </row>
    <row r="5663" spans="1:14" ht="11.25" customHeight="1">
      <c r="A5663" s="5" t="s">
        <v>16419</v>
      </c>
      <c r="B5663" s="5" t="s">
        <v>16441</v>
      </c>
      <c r="C5663" s="5" t="s">
        <v>16449</v>
      </c>
      <c r="D5663" s="5" t="s">
        <v>16422</v>
      </c>
      <c r="E5663" s="5" t="s">
        <v>93</v>
      </c>
      <c r="F5663" s="5" t="s">
        <v>16423</v>
      </c>
      <c r="G5663" s="5" t="s">
        <v>152</v>
      </c>
      <c r="H5663" s="5" t="s">
        <v>16443</v>
      </c>
      <c r="I5663" s="5" t="s">
        <v>16450</v>
      </c>
      <c r="J5663" s="5" t="s">
        <v>16451</v>
      </c>
      <c r="K5663" s="7" t="str">
        <f ca="1">IFERROR(__xludf.DUMMYFUNCTION("GOOGLETRANSLATE(H5663,""EN"",""ES"")"),"DISPOSICIÓN DE INTERIORES Y EXTERIORES")</f>
        <v>DISPOSICIÓN DE INTERIORES Y EXTERIORES</v>
      </c>
      <c r="L5663" s="5" t="str">
        <f ca="1">IFERROR(__xludf.DUMMYFUNCTION("GOOGLETRANSLATE(J5663,""EN"",""ES"")"),"Disposición de los interiores de las tiendas.")</f>
        <v>Disposición de los interiores de las tiendas.</v>
      </c>
      <c r="M5663" s="8" t="s">
        <v>17</v>
      </c>
      <c r="N5663" s="8"/>
    </row>
    <row r="5664" spans="1:14" ht="11.25" customHeight="1">
      <c r="A5664" s="5" t="s">
        <v>16419</v>
      </c>
      <c r="B5664" s="5" t="s">
        <v>16441</v>
      </c>
      <c r="C5664" s="5" t="s">
        <v>16452</v>
      </c>
      <c r="D5664" s="5" t="s">
        <v>16422</v>
      </c>
      <c r="E5664" s="6" t="s">
        <v>93</v>
      </c>
      <c r="F5664" s="5" t="s">
        <v>16423</v>
      </c>
      <c r="G5664" s="5" t="s">
        <v>152</v>
      </c>
      <c r="H5664" s="5" t="s">
        <v>16443</v>
      </c>
      <c r="I5664" s="5" t="s">
        <v>16453</v>
      </c>
      <c r="J5664" s="5" t="s">
        <v>16454</v>
      </c>
      <c r="K5664" s="7" t="str">
        <f ca="1">IFERROR(__xludf.DUMMYFUNCTION("GOOGLETRANSLATE(H5664,""EN"",""ES"")"),"DISPOSICIÓN DE INTERIORES Y EXTERIORES")</f>
        <v>DISPOSICIÓN DE INTERIORES Y EXTERIORES</v>
      </c>
      <c r="L5664" s="5" t="str">
        <f ca="1">IFERROR(__xludf.DUMMYFUNCTION("GOOGLETRANSLATE(J5664,""EN"",""ES"")"),"Disposición del interior de una habitación.")</f>
        <v>Disposición del interior de una habitación.</v>
      </c>
      <c r="M5664" s="8" t="s">
        <v>17</v>
      </c>
      <c r="N5664" s="8"/>
    </row>
    <row r="5665" spans="1:14" ht="11.25" customHeight="1">
      <c r="A5665" s="5" t="s">
        <v>16419</v>
      </c>
      <c r="B5665" s="5" t="s">
        <v>16441</v>
      </c>
      <c r="C5665" s="5" t="s">
        <v>16455</v>
      </c>
      <c r="D5665" s="5" t="s">
        <v>16422</v>
      </c>
      <c r="E5665" s="5" t="s">
        <v>93</v>
      </c>
      <c r="F5665" s="5" t="s">
        <v>16423</v>
      </c>
      <c r="G5665" s="5" t="s">
        <v>152</v>
      </c>
      <c r="H5665" s="5" t="s">
        <v>16443</v>
      </c>
      <c r="I5665" s="5" t="s">
        <v>16456</v>
      </c>
      <c r="J5665" s="5" t="s">
        <v>16457</v>
      </c>
      <c r="K5665" s="7" t="str">
        <f ca="1">IFERROR(__xludf.DUMMYFUNCTION("GOOGLETRANSLATE(H5665,""EN"",""ES"")"),"DISPOSICIÓN DE INTERIORES Y EXTERIORES")</f>
        <v>DISPOSICIÓN DE INTERIORES Y EXTERIORES</v>
      </c>
      <c r="L5665" s="5" t="str">
        <f ca="1">IFERROR(__xludf.DUMMYFUNCTION("GOOGLETRANSLATE(J5665,""EN"",""ES"")"),"Disposición de los interiores de los trenes.")</f>
        <v>Disposición de los interiores de los trenes.</v>
      </c>
      <c r="M5665" s="8" t="s">
        <v>17</v>
      </c>
      <c r="N5665" s="8"/>
    </row>
    <row r="5666" spans="1:14" ht="11.25" customHeight="1">
      <c r="A5666" s="5" t="s">
        <v>16419</v>
      </c>
      <c r="B5666" s="5" t="s">
        <v>16441</v>
      </c>
      <c r="C5666" s="5" t="s">
        <v>16458</v>
      </c>
      <c r="D5666" s="5" t="s">
        <v>16422</v>
      </c>
      <c r="E5666" s="5" t="s">
        <v>93</v>
      </c>
      <c r="F5666" s="5" t="s">
        <v>16423</v>
      </c>
      <c r="G5666" s="5" t="s">
        <v>152</v>
      </c>
      <c r="H5666" s="5" t="s">
        <v>16443</v>
      </c>
      <c r="I5666" s="5" t="s">
        <v>16459</v>
      </c>
      <c r="J5666" s="5" t="s">
        <v>16460</v>
      </c>
      <c r="K5666" s="7" t="str">
        <f ca="1">IFERROR(__xludf.DUMMYFUNCTION("GOOGLETRANSLATE(H5666,""EN"",""ES"")"),"DISPOSICIÓN DE INTERIORES Y EXTERIORES")</f>
        <v>DISPOSICIÓN DE INTERIORES Y EXTERIORES</v>
      </c>
      <c r="L5666" s="5" t="str">
        <f ca="1">IFERROR(__xludf.DUMMYFUNCTION("GOOGLETRANSLATE(J5666,""EN"",""ES"")"),"Disposición de escaparates.")</f>
        <v>Disposición de escaparates.</v>
      </c>
      <c r="M5666" s="8" t="s">
        <v>17</v>
      </c>
      <c r="N5666" s="8"/>
    </row>
    <row r="5667" spans="1:14" ht="11.25" customHeight="1">
      <c r="A5667" s="5" t="s">
        <v>16419</v>
      </c>
      <c r="B5667" s="5" t="s">
        <v>16441</v>
      </c>
      <c r="C5667" s="5" t="s">
        <v>16461</v>
      </c>
      <c r="D5667" s="5" t="s">
        <v>16422</v>
      </c>
      <c r="E5667" s="5" t="s">
        <v>93</v>
      </c>
      <c r="F5667" s="5" t="s">
        <v>16423</v>
      </c>
      <c r="G5667" s="5" t="s">
        <v>152</v>
      </c>
      <c r="H5667" s="5" t="s">
        <v>16443</v>
      </c>
      <c r="I5667" s="5" t="s">
        <v>16462</v>
      </c>
      <c r="J5667" s="5" t="s">
        <v>16463</v>
      </c>
      <c r="K5667" s="7" t="str">
        <f ca="1">IFERROR(__xludf.DUMMYFUNCTION("GOOGLETRANSLATE(H5667,""EN"",""ES"")"),"DISPOSICIÓN DE INTERIORES Y EXTERIORES")</f>
        <v>DISPOSICIÓN DE INTERIORES Y EXTERIORES</v>
      </c>
      <c r="L5667" s="5" t="str">
        <f ca="1">IFERROR(__xludf.DUMMYFUNCTION("GOOGLETRANSLATE(J5667,""EN"",""ES"")"),"Disposición de un parque.")</f>
        <v>Disposición de un parque.</v>
      </c>
      <c r="M5667" s="8" t="s">
        <v>17</v>
      </c>
      <c r="N5667" s="8"/>
    </row>
    <row r="5668" spans="1:14" ht="11.25" customHeight="1">
      <c r="A5668" s="5" t="s">
        <v>16419</v>
      </c>
      <c r="B5668" s="5" t="s">
        <v>16441</v>
      </c>
      <c r="C5668" s="5" t="s">
        <v>16464</v>
      </c>
      <c r="D5668" s="5" t="s">
        <v>16422</v>
      </c>
      <c r="E5668" s="5" t="s">
        <v>93</v>
      </c>
      <c r="F5668" s="5" t="s">
        <v>16423</v>
      </c>
      <c r="G5668" s="5" t="s">
        <v>152</v>
      </c>
      <c r="H5668" s="5" t="s">
        <v>16443</v>
      </c>
      <c r="I5668" s="5" t="s">
        <v>16465</v>
      </c>
      <c r="J5668" s="5" t="s">
        <v>16466</v>
      </c>
      <c r="K5668" s="7" t="str">
        <f ca="1">IFERROR(__xludf.DUMMYFUNCTION("GOOGLETRANSLATE(H5668,""EN"",""ES"")"),"DISPOSICIÓN DE INTERIORES Y EXTERIORES")</f>
        <v>DISPOSICIÓN DE INTERIORES Y EXTERIORES</v>
      </c>
      <c r="L5668" s="5" t="str">
        <f ca="1">IFERROR(__xludf.DUMMYFUNCTION("GOOGLETRANSLATE(J5668,""EN"",""ES"")"),"Disposición de los interiores de los automóviles.")</f>
        <v>Disposición de los interiores de los automóviles.</v>
      </c>
      <c r="M5668" s="8" t="s">
        <v>17</v>
      </c>
      <c r="N5668" s="8"/>
    </row>
    <row r="5669" spans="1:14" ht="11.25" customHeight="1">
      <c r="A5669" s="5" t="s">
        <v>16419</v>
      </c>
      <c r="B5669" s="5" t="s">
        <v>16441</v>
      </c>
      <c r="C5669" s="5" t="s">
        <v>16467</v>
      </c>
      <c r="D5669" s="5" t="s">
        <v>16422</v>
      </c>
      <c r="E5669" s="5" t="s">
        <v>93</v>
      </c>
      <c r="F5669" s="5" t="s">
        <v>16423</v>
      </c>
      <c r="G5669" s="5" t="s">
        <v>152</v>
      </c>
      <c r="H5669" s="5" t="s">
        <v>16443</v>
      </c>
      <c r="I5669" s="5" t="s">
        <v>16468</v>
      </c>
      <c r="J5669" s="5" t="s">
        <v>16469</v>
      </c>
      <c r="K5669" s="7" t="str">
        <f ca="1">IFERROR(__xludf.DUMMYFUNCTION("GOOGLETRANSLATE(H5669,""EN"",""ES"")"),"DISPOSICIÓN DE INTERIORES Y EXTERIORES")</f>
        <v>DISPOSICIÓN DE INTERIORES Y EXTERIORES</v>
      </c>
      <c r="L5669" s="5" t="str">
        <f ca="1">IFERROR(__xludf.DUMMYFUNCTION("GOOGLETRANSLATE(J5669,""EN"",""ES"")"),"Disposición de interiores de oficinas.")</f>
        <v>Disposición de interiores de oficinas.</v>
      </c>
      <c r="M5669" s="8" t="s">
        <v>17</v>
      </c>
      <c r="N5669" s="8"/>
    </row>
    <row r="5670" spans="1:14" ht="11.25" customHeight="1">
      <c r="A5670" s="5" t="s">
        <v>16419</v>
      </c>
      <c r="B5670" s="5" t="s">
        <v>16441</v>
      </c>
      <c r="C5670" s="5" t="s">
        <v>16470</v>
      </c>
      <c r="D5670" s="5" t="s">
        <v>16422</v>
      </c>
      <c r="E5670" s="5" t="s">
        <v>93</v>
      </c>
      <c r="F5670" s="5" t="s">
        <v>16423</v>
      </c>
      <c r="G5670" s="5" t="s">
        <v>152</v>
      </c>
      <c r="H5670" s="5" t="s">
        <v>16443</v>
      </c>
      <c r="I5670" s="5" t="s">
        <v>16471</v>
      </c>
      <c r="J5670" s="5" t="s">
        <v>16472</v>
      </c>
      <c r="K5670" s="7" t="str">
        <f ca="1">IFERROR(__xludf.DUMMYFUNCTION("GOOGLETRANSLATE(H5670,""EN"",""ES"")"),"DISPOSICIÓN DE INTERIORES Y EXTERIORES")</f>
        <v>DISPOSICIÓN DE INTERIORES Y EXTERIORES</v>
      </c>
      <c r="L5670" s="5" t="str">
        <f ca="1">IFERROR(__xludf.DUMMYFUNCTION("GOOGLETRANSLATE(J5670,""EN"",""ES"")"),"Disposición de los interiores de las instalaciones educativas.")</f>
        <v>Disposición de los interiores de las instalaciones educativas.</v>
      </c>
      <c r="M5670" s="8" t="s">
        <v>17</v>
      </c>
      <c r="N5670" s="8"/>
    </row>
  </sheetData>
  <autoFilter ref="A1:Q5670" xr:uid="{00000000-0001-0000-0100-000000000000}"/>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categories!$A$2:$A$63</xm:f>
          </x14:formula1>
          <xm:sqref>N2:N818 N820:N823 N825:N828 N830:N838 N840:N841 M2:M2427 N3065:N5670 N844:N2971 N2973 N2980:N3058 M2434:M5670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2.5703125" defaultRowHeight="15" customHeight="1"/>
  <cols>
    <col min="1" max="1" width="70.42578125" customWidth="1"/>
    <col min="2" max="2" width="48.85546875" customWidth="1"/>
    <col min="3" max="26" width="11.42578125" customWidth="1"/>
  </cols>
  <sheetData>
    <row r="1" spans="1:2">
      <c r="A1" s="9" t="s">
        <v>16473</v>
      </c>
      <c r="B1" s="9" t="s">
        <v>16474</v>
      </c>
    </row>
    <row r="2" spans="1:2">
      <c r="A2" s="9" t="s">
        <v>16475</v>
      </c>
      <c r="B2" s="9" t="s">
        <v>95</v>
      </c>
    </row>
    <row r="3" spans="1:2">
      <c r="A3" s="9" t="s">
        <v>16476</v>
      </c>
      <c r="B3" s="9" t="s">
        <v>68</v>
      </c>
    </row>
    <row r="4" spans="1:2">
      <c r="A4" s="9" t="s">
        <v>16477</v>
      </c>
      <c r="B4" s="9" t="s">
        <v>35</v>
      </c>
    </row>
    <row r="5" spans="1:2">
      <c r="A5" s="9" t="s">
        <v>16478</v>
      </c>
      <c r="B5" s="9" t="s">
        <v>51</v>
      </c>
    </row>
    <row r="6" spans="1:2">
      <c r="A6" s="9" t="s">
        <v>16479</v>
      </c>
      <c r="B6" s="9" t="s">
        <v>80</v>
      </c>
    </row>
    <row r="7" spans="1:2">
      <c r="A7" s="9" t="s">
        <v>16480</v>
      </c>
      <c r="B7" s="9" t="s">
        <v>65</v>
      </c>
    </row>
    <row r="8" spans="1:2">
      <c r="A8" s="9" t="s">
        <v>16481</v>
      </c>
      <c r="B8" s="9" t="s">
        <v>33</v>
      </c>
    </row>
    <row r="9" spans="1:2">
      <c r="A9" s="9" t="s">
        <v>16482</v>
      </c>
      <c r="B9" s="9" t="s">
        <v>43</v>
      </c>
    </row>
    <row r="10" spans="1:2">
      <c r="A10" s="9" t="s">
        <v>16483</v>
      </c>
      <c r="B10" s="9" t="s">
        <v>96</v>
      </c>
    </row>
    <row r="11" spans="1:2">
      <c r="A11" s="9" t="s">
        <v>16484</v>
      </c>
      <c r="B11" s="9" t="s">
        <v>70</v>
      </c>
    </row>
    <row r="12" spans="1:2">
      <c r="A12" s="9" t="s">
        <v>16485</v>
      </c>
      <c r="B12" s="9" t="s">
        <v>22</v>
      </c>
    </row>
    <row r="13" spans="1:2">
      <c r="A13" s="9" t="s">
        <v>16486</v>
      </c>
      <c r="B13" s="9" t="s">
        <v>74</v>
      </c>
    </row>
    <row r="14" spans="1:2">
      <c r="A14" s="9" t="s">
        <v>16487</v>
      </c>
      <c r="B14" s="9" t="s">
        <v>86</v>
      </c>
    </row>
    <row r="15" spans="1:2">
      <c r="A15" s="9" t="s">
        <v>16488</v>
      </c>
      <c r="B15" s="9" t="s">
        <v>82</v>
      </c>
    </row>
    <row r="16" spans="1:2">
      <c r="A16" s="9" t="s">
        <v>16489</v>
      </c>
      <c r="B16" s="9" t="s">
        <v>58</v>
      </c>
    </row>
    <row r="17" spans="1:2">
      <c r="A17" s="9" t="s">
        <v>16490</v>
      </c>
      <c r="B17" s="9" t="s">
        <v>37</v>
      </c>
    </row>
    <row r="18" spans="1:2">
      <c r="A18" s="9" t="s">
        <v>16491</v>
      </c>
      <c r="B18" s="9" t="s">
        <v>97</v>
      </c>
    </row>
    <row r="19" spans="1:2">
      <c r="A19" s="9" t="s">
        <v>16492</v>
      </c>
      <c r="B19" s="9" t="s">
        <v>45</v>
      </c>
    </row>
    <row r="20" spans="1:2">
      <c r="A20" s="9" t="s">
        <v>16493</v>
      </c>
      <c r="B20" s="9" t="s">
        <v>83</v>
      </c>
    </row>
    <row r="21" spans="1:2" ht="15.75" customHeight="1">
      <c r="A21" s="9" t="s">
        <v>16494</v>
      </c>
      <c r="B21" s="9" t="s">
        <v>98</v>
      </c>
    </row>
    <row r="22" spans="1:2" ht="15.75" customHeight="1">
      <c r="A22" s="9" t="s">
        <v>16495</v>
      </c>
      <c r="B22" s="9" t="s">
        <v>77</v>
      </c>
    </row>
    <row r="23" spans="1:2" ht="15.75" customHeight="1">
      <c r="A23" s="9" t="s">
        <v>16496</v>
      </c>
      <c r="B23" s="9" t="s">
        <v>16496</v>
      </c>
    </row>
    <row r="24" spans="1:2" ht="15.75" customHeight="1">
      <c r="A24" s="9" t="s">
        <v>16497</v>
      </c>
      <c r="B24" s="9" t="s">
        <v>78</v>
      </c>
    </row>
    <row r="25" spans="1:2" ht="15.75" customHeight="1">
      <c r="A25" s="9" t="s">
        <v>16498</v>
      </c>
      <c r="B25" s="9" t="s">
        <v>46</v>
      </c>
    </row>
    <row r="26" spans="1:2" ht="15.75" customHeight="1">
      <c r="A26" s="9" t="s">
        <v>16499</v>
      </c>
      <c r="B26" s="9" t="s">
        <v>47</v>
      </c>
    </row>
    <row r="27" spans="1:2" ht="15.75" customHeight="1">
      <c r="A27" s="9" t="s">
        <v>16500</v>
      </c>
      <c r="B27" s="9" t="s">
        <v>24</v>
      </c>
    </row>
    <row r="28" spans="1:2" ht="15.75" customHeight="1">
      <c r="A28" s="9" t="s">
        <v>16501</v>
      </c>
      <c r="B28" s="9" t="s">
        <v>101</v>
      </c>
    </row>
    <row r="29" spans="1:2" ht="15.75" customHeight="1">
      <c r="A29" s="9" t="s">
        <v>16502</v>
      </c>
      <c r="B29" s="9" t="s">
        <v>41</v>
      </c>
    </row>
    <row r="30" spans="1:2" ht="15.75" customHeight="1">
      <c r="A30" s="9" t="s">
        <v>16503</v>
      </c>
      <c r="B30" s="9" t="s">
        <v>102</v>
      </c>
    </row>
    <row r="31" spans="1:2" ht="15.75" customHeight="1">
      <c r="A31" s="9" t="s">
        <v>16504</v>
      </c>
      <c r="B31" s="9" t="s">
        <v>103</v>
      </c>
    </row>
    <row r="32" spans="1:2" ht="15.75" customHeight="1">
      <c r="A32" s="9" t="s">
        <v>16505</v>
      </c>
      <c r="B32" s="9" t="s">
        <v>104</v>
      </c>
    </row>
    <row r="33" spans="1:2" ht="15.75" customHeight="1">
      <c r="A33" s="9" t="s">
        <v>16506</v>
      </c>
      <c r="B33" s="9" t="s">
        <v>105</v>
      </c>
    </row>
    <row r="34" spans="1:2" ht="15.75" customHeight="1">
      <c r="A34" s="9" t="s">
        <v>16507</v>
      </c>
      <c r="B34" s="9" t="s">
        <v>6</v>
      </c>
    </row>
    <row r="35" spans="1:2" ht="15.75" customHeight="1">
      <c r="A35" s="9" t="s">
        <v>16508</v>
      </c>
      <c r="B35" s="9" t="s">
        <v>9</v>
      </c>
    </row>
    <row r="36" spans="1:2" ht="15.75" customHeight="1">
      <c r="A36" s="9" t="s">
        <v>16509</v>
      </c>
      <c r="B36" s="9" t="s">
        <v>4</v>
      </c>
    </row>
    <row r="37" spans="1:2" ht="15.75" customHeight="1">
      <c r="A37" s="9" t="s">
        <v>16510</v>
      </c>
      <c r="B37" s="9" t="s">
        <v>8</v>
      </c>
    </row>
    <row r="38" spans="1:2" ht="15.75" customHeight="1">
      <c r="A38" s="9" t="s">
        <v>16511</v>
      </c>
      <c r="B38" s="9" t="s">
        <v>15</v>
      </c>
    </row>
    <row r="39" spans="1:2" ht="15.75" customHeight="1">
      <c r="A39" s="9" t="s">
        <v>16512</v>
      </c>
      <c r="B39" s="9" t="s">
        <v>13</v>
      </c>
    </row>
    <row r="40" spans="1:2" ht="15.75" customHeight="1">
      <c r="A40" s="9" t="s">
        <v>16513</v>
      </c>
      <c r="B40" s="9" t="s">
        <v>106</v>
      </c>
    </row>
    <row r="41" spans="1:2" ht="15.75" customHeight="1">
      <c r="A41" s="9" t="s">
        <v>16514</v>
      </c>
      <c r="B41" s="9" t="s">
        <v>16</v>
      </c>
    </row>
    <row r="42" spans="1:2" ht="15.75" customHeight="1">
      <c r="A42" s="9" t="s">
        <v>16515</v>
      </c>
      <c r="B42" s="9" t="s">
        <v>107</v>
      </c>
    </row>
    <row r="43" spans="1:2" ht="15.75" customHeight="1">
      <c r="A43" s="9" t="s">
        <v>16516</v>
      </c>
      <c r="B43" s="9" t="s">
        <v>92</v>
      </c>
    </row>
    <row r="44" spans="1:2" ht="15.75" customHeight="1">
      <c r="A44" s="9" t="s">
        <v>16517</v>
      </c>
      <c r="B44" s="9" t="s">
        <v>26</v>
      </c>
    </row>
    <row r="45" spans="1:2" ht="15.75" customHeight="1">
      <c r="A45" s="9" t="s">
        <v>16518</v>
      </c>
      <c r="B45" s="9" t="s">
        <v>76</v>
      </c>
    </row>
    <row r="46" spans="1:2" ht="15.75" customHeight="1">
      <c r="A46" s="9" t="s">
        <v>16519</v>
      </c>
      <c r="B46" s="9" t="s">
        <v>53</v>
      </c>
    </row>
    <row r="47" spans="1:2" ht="15.75" customHeight="1">
      <c r="A47" s="9" t="s">
        <v>16520</v>
      </c>
      <c r="B47" s="9" t="s">
        <v>25</v>
      </c>
    </row>
    <row r="48" spans="1:2" ht="15.75" customHeight="1">
      <c r="A48" s="9" t="s">
        <v>16521</v>
      </c>
      <c r="B48" s="9" t="s">
        <v>108</v>
      </c>
    </row>
    <row r="49" spans="1:2" ht="15.75" customHeight="1">
      <c r="A49" s="9" t="s">
        <v>16522</v>
      </c>
      <c r="B49" s="9" t="s">
        <v>109</v>
      </c>
    </row>
    <row r="50" spans="1:2" ht="15.75" customHeight="1">
      <c r="A50" s="9" t="s">
        <v>16523</v>
      </c>
      <c r="B50" s="9" t="s">
        <v>16524</v>
      </c>
    </row>
    <row r="51" spans="1:2" ht="15.75" customHeight="1">
      <c r="A51" s="9" t="s">
        <v>16525</v>
      </c>
      <c r="B51" s="9" t="s">
        <v>54</v>
      </c>
    </row>
    <row r="52" spans="1:2" ht="15.75" customHeight="1">
      <c r="A52" s="9" t="s">
        <v>16526</v>
      </c>
      <c r="B52" s="9" t="s">
        <v>48</v>
      </c>
    </row>
    <row r="53" spans="1:2" ht="15.75" customHeight="1">
      <c r="A53" s="9" t="s">
        <v>16527</v>
      </c>
      <c r="B53" s="9" t="s">
        <v>49</v>
      </c>
    </row>
    <row r="54" spans="1:2" ht="15.75" customHeight="1">
      <c r="A54" s="9" t="s">
        <v>16528</v>
      </c>
      <c r="B54" s="9" t="s">
        <v>17</v>
      </c>
    </row>
    <row r="55" spans="1:2" ht="15.75" customHeight="1">
      <c r="A55" s="9" t="s">
        <v>16529</v>
      </c>
      <c r="B55" s="9" t="s">
        <v>34</v>
      </c>
    </row>
    <row r="56" spans="1:2" ht="15.75" customHeight="1">
      <c r="A56" s="9" t="s">
        <v>16530</v>
      </c>
      <c r="B56" s="9" t="s">
        <v>19</v>
      </c>
    </row>
    <row r="57" spans="1:2" ht="15.75" customHeight="1">
      <c r="A57" s="9" t="s">
        <v>16531</v>
      </c>
      <c r="B57" s="9" t="s">
        <v>110</v>
      </c>
    </row>
    <row r="58" spans="1:2" ht="15.75" customHeight="1">
      <c r="A58" s="9" t="s">
        <v>16532</v>
      </c>
      <c r="B58" s="9" t="s">
        <v>84</v>
      </c>
    </row>
    <row r="59" spans="1:2" ht="15.75" customHeight="1">
      <c r="A59" s="9" t="s">
        <v>16533</v>
      </c>
      <c r="B59" s="9" t="s">
        <v>111</v>
      </c>
    </row>
    <row r="60" spans="1:2" ht="15.75" customHeight="1">
      <c r="A60" s="9" t="s">
        <v>16534</v>
      </c>
      <c r="B60" s="9" t="s">
        <v>112</v>
      </c>
    </row>
    <row r="61" spans="1:2" ht="15.75" customHeight="1">
      <c r="A61" s="9" t="s">
        <v>16535</v>
      </c>
      <c r="B61" s="9" t="s">
        <v>55</v>
      </c>
    </row>
    <row r="62" spans="1:2" ht="15.75" customHeight="1">
      <c r="A62" s="9" t="s">
        <v>16536</v>
      </c>
      <c r="B62" s="9" t="s">
        <v>79</v>
      </c>
    </row>
    <row r="63" spans="1:2" ht="15.75" customHeight="1">
      <c r="A63" s="9" t="s">
        <v>16537</v>
      </c>
      <c r="B63" s="9" t="s">
        <v>113</v>
      </c>
    </row>
    <row r="64" spans="1:2" ht="15.75" customHeight="1">
      <c r="A64" s="9" t="s">
        <v>16538</v>
      </c>
      <c r="B64" s="9" t="s">
        <v>114</v>
      </c>
    </row>
    <row r="65" spans="1:2" ht="15.75" customHeight="1">
      <c r="A65" s="9" t="s">
        <v>16539</v>
      </c>
      <c r="B65" s="9" t="s">
        <v>115</v>
      </c>
    </row>
    <row r="66" spans="1:2" ht="15.75" customHeight="1">
      <c r="A66" s="9" t="s">
        <v>16540</v>
      </c>
      <c r="B66" s="9" t="s">
        <v>116</v>
      </c>
    </row>
    <row r="67" spans="1:2" ht="15.75" customHeight="1">
      <c r="A67" s="9" t="s">
        <v>16541</v>
      </c>
      <c r="B67" s="9" t="s">
        <v>61</v>
      </c>
    </row>
    <row r="68" spans="1:2" ht="15.75" customHeight="1">
      <c r="A68" s="9" t="s">
        <v>16542</v>
      </c>
      <c r="B68" s="9" t="s">
        <v>20</v>
      </c>
    </row>
    <row r="69" spans="1:2" ht="15.75" customHeight="1">
      <c r="A69" s="9" t="s">
        <v>16543</v>
      </c>
      <c r="B69" s="9" t="s">
        <v>63</v>
      </c>
    </row>
    <row r="70" spans="1:2" ht="15.75" customHeight="1">
      <c r="A70" s="9" t="s">
        <v>16544</v>
      </c>
      <c r="B70" s="9" t="s">
        <v>71</v>
      </c>
    </row>
    <row r="71" spans="1:2" ht="15.75" customHeight="1">
      <c r="A71" s="9" t="s">
        <v>16545</v>
      </c>
      <c r="B71" s="9" t="s">
        <v>28</v>
      </c>
    </row>
    <row r="72" spans="1:2" ht="15.75" customHeight="1">
      <c r="A72" s="9" t="s">
        <v>16546</v>
      </c>
      <c r="B72" s="9" t="s">
        <v>117</v>
      </c>
    </row>
    <row r="73" spans="1:2" ht="15.75" customHeight="1">
      <c r="A73" s="9" t="s">
        <v>16547</v>
      </c>
      <c r="B73" s="9" t="s">
        <v>90</v>
      </c>
    </row>
    <row r="74" spans="1:2" ht="15.75" customHeight="1">
      <c r="A74" s="9" t="s">
        <v>16548</v>
      </c>
      <c r="B74" s="9" t="s">
        <v>118</v>
      </c>
    </row>
    <row r="75" spans="1:2" ht="15.75" customHeight="1">
      <c r="A75" s="9" t="s">
        <v>16549</v>
      </c>
      <c r="B75" s="9" t="s">
        <v>119</v>
      </c>
    </row>
    <row r="76" spans="1:2" ht="15.75" customHeight="1">
      <c r="A76" s="9" t="s">
        <v>16550</v>
      </c>
      <c r="B76" s="9" t="s">
        <v>56</v>
      </c>
    </row>
    <row r="77" spans="1:2" ht="15.75" customHeight="1">
      <c r="A77" s="9" t="s">
        <v>16551</v>
      </c>
      <c r="B77" s="9" t="s">
        <v>120</v>
      </c>
    </row>
    <row r="78" spans="1:2" ht="15.75" customHeight="1">
      <c r="A78" s="9" t="s">
        <v>16552</v>
      </c>
      <c r="B78" s="9" t="s">
        <v>57</v>
      </c>
    </row>
    <row r="79" spans="1:2" ht="15.75" customHeight="1">
      <c r="A79" s="9" t="s">
        <v>16553</v>
      </c>
      <c r="B79" s="9" t="s">
        <v>88</v>
      </c>
    </row>
    <row r="80" spans="1:2" ht="15.75" customHeight="1">
      <c r="A80" s="9" t="s">
        <v>16554</v>
      </c>
      <c r="B80" s="9" t="s">
        <v>30</v>
      </c>
    </row>
    <row r="81" spans="1:2" ht="15.75" customHeight="1">
      <c r="A81" s="9" t="s">
        <v>16555</v>
      </c>
      <c r="B81" s="9" t="s">
        <v>60</v>
      </c>
    </row>
    <row r="82" spans="1:2" ht="15.75" customHeight="1">
      <c r="A82" s="9" t="s">
        <v>16556</v>
      </c>
      <c r="B82" s="9" t="s">
        <v>16557</v>
      </c>
    </row>
    <row r="83" spans="1:2" ht="15.75" customHeight="1">
      <c r="A83" s="9" t="s">
        <v>16558</v>
      </c>
      <c r="B83" s="9" t="s">
        <v>72</v>
      </c>
    </row>
    <row r="84" spans="1:2" ht="15.75" customHeight="1">
      <c r="A84" s="9" t="s">
        <v>16559</v>
      </c>
      <c r="B84" s="9" t="s">
        <v>21</v>
      </c>
    </row>
    <row r="85" spans="1:2" ht="15.75" customHeight="1">
      <c r="A85" s="9" t="s">
        <v>16560</v>
      </c>
      <c r="B85" s="9" t="s">
        <v>94</v>
      </c>
    </row>
    <row r="86" spans="1:2" ht="15.75" customHeight="1">
      <c r="A86" s="9" t="s">
        <v>16561</v>
      </c>
      <c r="B86" s="9" t="s">
        <v>11</v>
      </c>
    </row>
    <row r="87" spans="1:2" ht="15.75" customHeight="1">
      <c r="A87" s="9" t="s">
        <v>16562</v>
      </c>
      <c r="B87" s="9" t="s">
        <v>73</v>
      </c>
    </row>
    <row r="88" spans="1:2" ht="15.75" customHeight="1">
      <c r="A88" s="9" t="s">
        <v>16563</v>
      </c>
      <c r="B88" s="9" t="s">
        <v>122</v>
      </c>
    </row>
    <row r="89" spans="1:2" ht="15.75" customHeight="1">
      <c r="A89" s="9" t="s">
        <v>16564</v>
      </c>
      <c r="B89" s="9" t="s">
        <v>38</v>
      </c>
    </row>
    <row r="90" spans="1:2" ht="15.75" customHeight="1">
      <c r="A90" s="9" t="s">
        <v>16565</v>
      </c>
      <c r="B90" s="9" t="s">
        <v>39</v>
      </c>
    </row>
    <row r="91" spans="1:2" ht="15.75" customHeight="1">
      <c r="A91" s="9" t="s">
        <v>16566</v>
      </c>
      <c r="B91" s="9" t="s">
        <v>50</v>
      </c>
    </row>
    <row r="92" spans="1:2" ht="15.75" customHeight="1">
      <c r="A92" s="9" t="s">
        <v>16567</v>
      </c>
      <c r="B92" s="9" t="s">
        <v>123</v>
      </c>
    </row>
    <row r="93" spans="1:2" ht="15.75" customHeight="1">
      <c r="A93" s="9" t="s">
        <v>16568</v>
      </c>
      <c r="B93" s="9" t="s">
        <v>124</v>
      </c>
    </row>
    <row r="94" spans="1:2" ht="15.75" customHeight="1">
      <c r="A94" s="9" t="s">
        <v>16569</v>
      </c>
      <c r="B94" s="9" t="s">
        <v>125</v>
      </c>
    </row>
    <row r="95" spans="1:2" ht="15.75" customHeight="1">
      <c r="A95" s="9" t="s">
        <v>16570</v>
      </c>
      <c r="B95" s="9" t="s">
        <v>40</v>
      </c>
    </row>
    <row r="96" spans="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839FD-ADD5-424C-85C1-0AAA5FD9DC56}">
  <dimension ref="A1:E5670"/>
  <sheetViews>
    <sheetView tabSelected="1" topLeftCell="A231" workbookViewId="0">
      <selection activeCell="D262" sqref="D262"/>
    </sheetView>
  </sheetViews>
  <sheetFormatPr baseColWidth="10" defaultColWidth="12.5703125" defaultRowHeight="13.5"/>
  <cols>
    <col min="1" max="1" width="8.42578125" style="14" customWidth="1"/>
    <col min="2" max="2" width="8.7109375" style="14" customWidth="1"/>
    <col min="3" max="3" width="56" style="14" customWidth="1"/>
    <col min="4" max="4" width="86.5703125" style="14" customWidth="1"/>
    <col min="5" max="5" width="45.85546875" style="14" bestFit="1" customWidth="1"/>
    <col min="6" max="16384" width="12.5703125" style="14"/>
  </cols>
  <sheetData>
    <row r="1" spans="1:5" ht="11.25" customHeight="1">
      <c r="A1" s="11" t="s">
        <v>126</v>
      </c>
      <c r="B1" s="11" t="s">
        <v>127</v>
      </c>
      <c r="C1" s="11" t="s">
        <v>131</v>
      </c>
      <c r="D1" s="11" t="s">
        <v>133</v>
      </c>
      <c r="E1" s="13" t="s">
        <v>137</v>
      </c>
    </row>
    <row r="2" spans="1:5" ht="11.25" customHeight="1">
      <c r="A2" s="11" t="s">
        <v>140</v>
      </c>
      <c r="B2" s="11" t="s">
        <v>141</v>
      </c>
      <c r="C2" s="11" t="s">
        <v>144</v>
      </c>
      <c r="D2" s="11" t="s">
        <v>146</v>
      </c>
      <c r="E2" s="11" t="s">
        <v>4</v>
      </c>
    </row>
    <row r="3" spans="1:5" ht="11.25" customHeight="1">
      <c r="A3" s="11" t="s">
        <v>140</v>
      </c>
      <c r="B3" s="11" t="s">
        <v>247</v>
      </c>
      <c r="C3" s="11" t="s">
        <v>144</v>
      </c>
      <c r="D3" s="11" t="s">
        <v>249</v>
      </c>
      <c r="E3" s="11" t="s">
        <v>4</v>
      </c>
    </row>
    <row r="4" spans="1:5" ht="11.25" customHeight="1">
      <c r="A4" s="11" t="s">
        <v>140</v>
      </c>
      <c r="B4" s="11" t="s">
        <v>266</v>
      </c>
      <c r="C4" s="11" t="s">
        <v>144</v>
      </c>
      <c r="D4" s="11" t="s">
        <v>268</v>
      </c>
      <c r="E4" s="11" t="s">
        <v>4</v>
      </c>
    </row>
    <row r="5" spans="1:5" ht="11.25" customHeight="1">
      <c r="A5" s="11" t="s">
        <v>140</v>
      </c>
      <c r="B5" s="11" t="s">
        <v>279</v>
      </c>
      <c r="C5" s="11" t="s">
        <v>144</v>
      </c>
      <c r="D5" s="11" t="s">
        <v>281</v>
      </c>
      <c r="E5" s="11" t="s">
        <v>4</v>
      </c>
    </row>
    <row r="6" spans="1:5" ht="11.25" customHeight="1">
      <c r="A6" s="11" t="s">
        <v>140</v>
      </c>
      <c r="B6" s="11" t="s">
        <v>299</v>
      </c>
      <c r="C6" s="11" t="s">
        <v>144</v>
      </c>
      <c r="D6" s="11" t="s">
        <v>301</v>
      </c>
      <c r="E6" s="11" t="s">
        <v>4</v>
      </c>
    </row>
    <row r="7" spans="1:5" ht="11.25" customHeight="1">
      <c r="A7" s="11" t="s">
        <v>140</v>
      </c>
      <c r="B7" s="11" t="s">
        <v>309</v>
      </c>
      <c r="C7" s="11" t="s">
        <v>144</v>
      </c>
      <c r="D7" s="11" t="s">
        <v>311</v>
      </c>
      <c r="E7" s="11" t="s">
        <v>4</v>
      </c>
    </row>
    <row r="8" spans="1:5" ht="11.25" customHeight="1">
      <c r="A8" s="11" t="s">
        <v>140</v>
      </c>
      <c r="B8" s="11" t="s">
        <v>328</v>
      </c>
      <c r="C8" s="11" t="s">
        <v>144</v>
      </c>
      <c r="D8" s="11" t="s">
        <v>330</v>
      </c>
      <c r="E8" s="11" t="s">
        <v>4</v>
      </c>
    </row>
    <row r="9" spans="1:5" ht="11.25" customHeight="1">
      <c r="A9" s="11" t="s">
        <v>345</v>
      </c>
      <c r="B9" s="11" t="s">
        <v>346</v>
      </c>
      <c r="C9" s="11" t="s">
        <v>349</v>
      </c>
      <c r="D9" s="11" t="s">
        <v>351</v>
      </c>
      <c r="E9" s="11" t="s">
        <v>9</v>
      </c>
    </row>
    <row r="10" spans="1:5" ht="11.25" customHeight="1">
      <c r="A10" s="11" t="s">
        <v>345</v>
      </c>
      <c r="B10" s="11" t="s">
        <v>440</v>
      </c>
      <c r="C10" s="11" t="s">
        <v>349</v>
      </c>
      <c r="D10" s="11" t="s">
        <v>442</v>
      </c>
      <c r="E10" s="11" t="s">
        <v>9</v>
      </c>
    </row>
    <row r="11" spans="1:5" ht="11.25" customHeight="1">
      <c r="A11" s="11" t="s">
        <v>345</v>
      </c>
      <c r="B11" s="11" t="s">
        <v>688</v>
      </c>
      <c r="C11" s="11" t="s">
        <v>349</v>
      </c>
      <c r="D11" s="11" t="s">
        <v>690</v>
      </c>
      <c r="E11" s="11" t="s">
        <v>9</v>
      </c>
    </row>
    <row r="12" spans="1:5" ht="11.25" customHeight="1">
      <c r="A12" s="11" t="s">
        <v>345</v>
      </c>
      <c r="B12" s="11" t="s">
        <v>770</v>
      </c>
      <c r="C12" s="11" t="s">
        <v>349</v>
      </c>
      <c r="D12" s="11" t="s">
        <v>772</v>
      </c>
      <c r="E12" s="11" t="s">
        <v>8</v>
      </c>
    </row>
    <row r="13" spans="1:5" ht="11.25" customHeight="1">
      <c r="A13" s="11" t="s">
        <v>345</v>
      </c>
      <c r="B13" s="11" t="s">
        <v>923</v>
      </c>
      <c r="C13" s="11" t="s">
        <v>349</v>
      </c>
      <c r="D13" s="11" t="s">
        <v>925</v>
      </c>
      <c r="E13" s="11" t="s">
        <v>9</v>
      </c>
    </row>
    <row r="14" spans="1:5" ht="11.25" customHeight="1">
      <c r="A14" s="11" t="s">
        <v>345</v>
      </c>
      <c r="B14" s="11" t="s">
        <v>962</v>
      </c>
      <c r="C14" s="11" t="s">
        <v>349</v>
      </c>
      <c r="D14" s="11" t="s">
        <v>964</v>
      </c>
      <c r="E14" s="11" t="s">
        <v>9</v>
      </c>
    </row>
    <row r="15" spans="1:5" ht="11.25" customHeight="1">
      <c r="A15" s="11" t="s">
        <v>345</v>
      </c>
      <c r="B15" s="11" t="s">
        <v>995</v>
      </c>
      <c r="C15" s="11" t="s">
        <v>349</v>
      </c>
      <c r="D15" s="11" t="s">
        <v>997</v>
      </c>
      <c r="E15" s="11" t="s">
        <v>9</v>
      </c>
    </row>
    <row r="16" spans="1:5" ht="11.25" customHeight="1">
      <c r="A16" s="11" t="s">
        <v>345</v>
      </c>
      <c r="B16" s="11" t="s">
        <v>1219</v>
      </c>
      <c r="C16" s="11" t="s">
        <v>349</v>
      </c>
      <c r="D16" s="11" t="s">
        <v>330</v>
      </c>
      <c r="E16" s="11" t="s">
        <v>9</v>
      </c>
    </row>
    <row r="17" spans="1:5" ht="11.25" customHeight="1">
      <c r="A17" s="11" t="s">
        <v>1232</v>
      </c>
      <c r="B17" s="11" t="s">
        <v>1233</v>
      </c>
      <c r="C17" s="11" t="s">
        <v>1236</v>
      </c>
      <c r="D17" s="11" t="s">
        <v>1237</v>
      </c>
      <c r="E17" s="11" t="s">
        <v>6</v>
      </c>
    </row>
    <row r="18" spans="1:5" ht="11.25" customHeight="1">
      <c r="A18" s="11" t="s">
        <v>1232</v>
      </c>
      <c r="B18" s="11" t="s">
        <v>1598</v>
      </c>
      <c r="C18" s="11" t="s">
        <v>1236</v>
      </c>
      <c r="D18" s="11" t="s">
        <v>1599</v>
      </c>
      <c r="E18" s="11" t="s">
        <v>6</v>
      </c>
    </row>
    <row r="19" spans="1:5" ht="11.25" customHeight="1">
      <c r="A19" s="11" t="s">
        <v>1232</v>
      </c>
      <c r="B19" s="11" t="s">
        <v>1600</v>
      </c>
      <c r="C19" s="11" t="s">
        <v>1236</v>
      </c>
      <c r="D19" s="11" t="s">
        <v>1602</v>
      </c>
      <c r="E19" s="11" t="s">
        <v>6</v>
      </c>
    </row>
    <row r="20" spans="1:5" ht="11.25" customHeight="1">
      <c r="A20" s="11" t="s">
        <v>1232</v>
      </c>
      <c r="B20" s="11" t="s">
        <v>1655</v>
      </c>
      <c r="C20" s="11" t="s">
        <v>1236</v>
      </c>
      <c r="D20" s="11" t="s">
        <v>1657</v>
      </c>
      <c r="E20" s="11" t="s">
        <v>6</v>
      </c>
    </row>
    <row r="21" spans="1:5" ht="11.25" customHeight="1">
      <c r="A21" s="11" t="s">
        <v>1232</v>
      </c>
      <c r="B21" s="11" t="s">
        <v>1660</v>
      </c>
      <c r="C21" s="11" t="s">
        <v>1236</v>
      </c>
      <c r="D21" s="11" t="s">
        <v>1662</v>
      </c>
      <c r="E21" s="11" t="s">
        <v>6</v>
      </c>
    </row>
    <row r="22" spans="1:5" ht="11.25" customHeight="1">
      <c r="A22" s="11" t="s">
        <v>1232</v>
      </c>
      <c r="B22" s="11" t="s">
        <v>1677</v>
      </c>
      <c r="C22" s="11" t="s">
        <v>1236</v>
      </c>
      <c r="D22" s="11" t="s">
        <v>330</v>
      </c>
      <c r="E22" s="11" t="s">
        <v>6</v>
      </c>
    </row>
    <row r="23" spans="1:5" ht="11.25" customHeight="1">
      <c r="A23" s="11" t="s">
        <v>1678</v>
      </c>
      <c r="B23" s="11" t="s">
        <v>1679</v>
      </c>
      <c r="C23" s="11" t="s">
        <v>1683</v>
      </c>
      <c r="D23" s="11" t="s">
        <v>1684</v>
      </c>
      <c r="E23" s="11" t="s">
        <v>74</v>
      </c>
    </row>
    <row r="24" spans="1:5" ht="11.25" customHeight="1">
      <c r="A24" s="11" t="s">
        <v>1678</v>
      </c>
      <c r="B24" s="11" t="s">
        <v>1738</v>
      </c>
      <c r="C24" s="11" t="s">
        <v>1683</v>
      </c>
      <c r="D24" s="11" t="s">
        <v>1740</v>
      </c>
      <c r="E24" s="11" t="s">
        <v>74</v>
      </c>
    </row>
    <row r="25" spans="1:5" ht="11.25" customHeight="1">
      <c r="A25" s="11" t="s">
        <v>1678</v>
      </c>
      <c r="B25" s="11" t="s">
        <v>1788</v>
      </c>
      <c r="C25" s="11" t="s">
        <v>1683</v>
      </c>
      <c r="D25" s="11" t="s">
        <v>1790</v>
      </c>
      <c r="E25" s="11" t="s">
        <v>53</v>
      </c>
    </row>
    <row r="26" spans="1:5" ht="11.25" customHeight="1">
      <c r="A26" s="11" t="s">
        <v>1678</v>
      </c>
      <c r="B26" s="11" t="s">
        <v>1793</v>
      </c>
      <c r="C26" s="11" t="s">
        <v>1683</v>
      </c>
      <c r="D26" s="11" t="s">
        <v>1795</v>
      </c>
      <c r="E26" s="11" t="s">
        <v>22</v>
      </c>
    </row>
    <row r="27" spans="1:5" ht="11.25" customHeight="1">
      <c r="A27" s="11" t="s">
        <v>1678</v>
      </c>
      <c r="B27" s="11" t="s">
        <v>1807</v>
      </c>
      <c r="C27" s="11" t="s">
        <v>1683</v>
      </c>
      <c r="D27" s="11" t="s">
        <v>330</v>
      </c>
      <c r="E27" s="11" t="s">
        <v>22</v>
      </c>
    </row>
    <row r="28" spans="1:5" ht="11.25" customHeight="1">
      <c r="A28" s="11" t="s">
        <v>1808</v>
      </c>
      <c r="B28" s="11" t="s">
        <v>1809</v>
      </c>
      <c r="C28" s="11" t="s">
        <v>1812</v>
      </c>
      <c r="D28" s="11" t="s">
        <v>1814</v>
      </c>
      <c r="E28" s="11" t="s">
        <v>11</v>
      </c>
    </row>
    <row r="29" spans="1:5" ht="11.25" customHeight="1">
      <c r="A29" s="11" t="s">
        <v>1808</v>
      </c>
      <c r="B29" s="11" t="s">
        <v>1822</v>
      </c>
      <c r="C29" s="11" t="s">
        <v>1812</v>
      </c>
      <c r="D29" s="11" t="s">
        <v>1824</v>
      </c>
      <c r="E29" s="11" t="s">
        <v>11</v>
      </c>
    </row>
    <row r="30" spans="1:5" ht="11.25" customHeight="1">
      <c r="A30" s="11" t="s">
        <v>1808</v>
      </c>
      <c r="B30" s="11" t="s">
        <v>1830</v>
      </c>
      <c r="C30" s="11" t="s">
        <v>1812</v>
      </c>
      <c r="D30" s="11" t="s">
        <v>1832</v>
      </c>
      <c r="E30" s="11" t="s">
        <v>11</v>
      </c>
    </row>
    <row r="31" spans="1:5" ht="11.25" customHeight="1">
      <c r="A31" s="11" t="s">
        <v>1808</v>
      </c>
      <c r="B31" s="11" t="s">
        <v>1835</v>
      </c>
      <c r="C31" s="11" t="s">
        <v>1812</v>
      </c>
      <c r="D31" s="11" t="s">
        <v>1837</v>
      </c>
      <c r="E31" s="11" t="s">
        <v>11</v>
      </c>
    </row>
    <row r="32" spans="1:5" ht="11.25" customHeight="1">
      <c r="A32" s="11" t="s">
        <v>1808</v>
      </c>
      <c r="B32" s="11" t="s">
        <v>1879</v>
      </c>
      <c r="C32" s="11" t="s">
        <v>1812</v>
      </c>
      <c r="D32" s="11" t="s">
        <v>1881</v>
      </c>
      <c r="E32" s="11" t="s">
        <v>11</v>
      </c>
    </row>
    <row r="33" spans="1:5" ht="11.25" customHeight="1">
      <c r="A33" s="11" t="s">
        <v>1808</v>
      </c>
      <c r="B33" s="11" t="s">
        <v>1979</v>
      </c>
      <c r="C33" s="11" t="s">
        <v>1812</v>
      </c>
      <c r="D33" s="11" t="s">
        <v>1981</v>
      </c>
      <c r="E33" s="11" t="s">
        <v>11</v>
      </c>
    </row>
    <row r="34" spans="1:5" ht="11.25" customHeight="1">
      <c r="A34" s="11" t="s">
        <v>1808</v>
      </c>
      <c r="B34" s="11" t="s">
        <v>2070</v>
      </c>
      <c r="C34" s="11" t="s">
        <v>1812</v>
      </c>
      <c r="D34" s="11" t="s">
        <v>330</v>
      </c>
      <c r="E34" s="11" t="s">
        <v>11</v>
      </c>
    </row>
    <row r="35" spans="1:5" ht="11.25" customHeight="1">
      <c r="A35" s="11" t="s">
        <v>2074</v>
      </c>
      <c r="B35" s="11" t="s">
        <v>2075</v>
      </c>
      <c r="C35" s="11" t="s">
        <v>2078</v>
      </c>
      <c r="D35" s="11" t="s">
        <v>2080</v>
      </c>
      <c r="E35" s="11" t="s">
        <v>13</v>
      </c>
    </row>
    <row r="36" spans="1:5" ht="11.25" customHeight="1">
      <c r="A36" s="11" t="s">
        <v>2074</v>
      </c>
      <c r="B36" s="11" t="s">
        <v>2204</v>
      </c>
      <c r="C36" s="11" t="s">
        <v>2078</v>
      </c>
      <c r="D36" s="11" t="s">
        <v>2206</v>
      </c>
      <c r="E36" s="11" t="s">
        <v>13</v>
      </c>
    </row>
    <row r="37" spans="1:5" ht="11.25" customHeight="1">
      <c r="A37" s="11" t="s">
        <v>2074</v>
      </c>
      <c r="B37" s="11" t="s">
        <v>2245</v>
      </c>
      <c r="C37" s="11" t="s">
        <v>2078</v>
      </c>
      <c r="D37" s="11" t="s">
        <v>2247</v>
      </c>
      <c r="E37" s="11" t="s">
        <v>13</v>
      </c>
    </row>
    <row r="38" spans="1:5" ht="11.25" customHeight="1">
      <c r="A38" s="11" t="s">
        <v>2074</v>
      </c>
      <c r="B38" s="11" t="s">
        <v>2324</v>
      </c>
      <c r="C38" s="11" t="s">
        <v>2078</v>
      </c>
      <c r="D38" s="11" t="s">
        <v>2326</v>
      </c>
      <c r="E38" s="11" t="s">
        <v>13</v>
      </c>
    </row>
    <row r="39" spans="1:5" ht="11.25" customHeight="1">
      <c r="A39" s="11" t="s">
        <v>2074</v>
      </c>
      <c r="B39" s="11" t="s">
        <v>2541</v>
      </c>
      <c r="C39" s="11" t="s">
        <v>2078</v>
      </c>
      <c r="D39" s="11" t="s">
        <v>2543</v>
      </c>
      <c r="E39" s="11" t="s">
        <v>13</v>
      </c>
    </row>
    <row r="40" spans="1:5" ht="11.25" customHeight="1">
      <c r="A40" s="11" t="s">
        <v>2074</v>
      </c>
      <c r="B40" s="11" t="s">
        <v>2556</v>
      </c>
      <c r="C40" s="11" t="s">
        <v>2078</v>
      </c>
      <c r="D40" s="11" t="s">
        <v>2558</v>
      </c>
      <c r="E40" s="11" t="s">
        <v>13</v>
      </c>
    </row>
    <row r="41" spans="1:5" ht="11.25" customHeight="1">
      <c r="A41" s="11" t="s">
        <v>2074</v>
      </c>
      <c r="B41" s="11" t="s">
        <v>2556</v>
      </c>
      <c r="C41" s="11" t="s">
        <v>2078</v>
      </c>
      <c r="D41" s="11" t="s">
        <v>2558</v>
      </c>
      <c r="E41" s="11" t="s">
        <v>15</v>
      </c>
    </row>
    <row r="42" spans="1:5" ht="11.25" customHeight="1">
      <c r="A42" s="11" t="s">
        <v>2074</v>
      </c>
      <c r="B42" s="11" t="s">
        <v>2729</v>
      </c>
      <c r="C42" s="11" t="s">
        <v>2078</v>
      </c>
      <c r="D42" s="11" t="s">
        <v>2731</v>
      </c>
      <c r="E42" s="11" t="s">
        <v>15</v>
      </c>
    </row>
    <row r="43" spans="1:5" ht="11.25" customHeight="1">
      <c r="A43" s="11" t="s">
        <v>2074</v>
      </c>
      <c r="B43" s="11" t="s">
        <v>2765</v>
      </c>
      <c r="C43" s="11" t="s">
        <v>2078</v>
      </c>
      <c r="D43" s="11" t="s">
        <v>2767</v>
      </c>
      <c r="E43" s="11" t="s">
        <v>15</v>
      </c>
    </row>
    <row r="44" spans="1:5" ht="11.25" customHeight="1">
      <c r="A44" s="11" t="s">
        <v>2074</v>
      </c>
      <c r="B44" s="11" t="s">
        <v>2790</v>
      </c>
      <c r="C44" s="11" t="s">
        <v>2078</v>
      </c>
      <c r="D44" s="11" t="s">
        <v>2792</v>
      </c>
      <c r="E44" s="11" t="s">
        <v>15</v>
      </c>
    </row>
    <row r="45" spans="1:5" ht="11.25" customHeight="1">
      <c r="A45" s="11" t="s">
        <v>2074</v>
      </c>
      <c r="B45" s="11" t="s">
        <v>2834</v>
      </c>
      <c r="C45" s="11" t="s">
        <v>2078</v>
      </c>
      <c r="D45" s="11" t="s">
        <v>2836</v>
      </c>
      <c r="E45" s="11" t="s">
        <v>15</v>
      </c>
    </row>
    <row r="46" spans="1:5" ht="11.25" customHeight="1">
      <c r="A46" s="11" t="s">
        <v>2074</v>
      </c>
      <c r="B46" s="11" t="s">
        <v>2864</v>
      </c>
      <c r="C46" s="11" t="s">
        <v>2078</v>
      </c>
      <c r="D46" s="11" t="s">
        <v>2866</v>
      </c>
      <c r="E46" s="11" t="s">
        <v>15</v>
      </c>
    </row>
    <row r="47" spans="1:5" ht="11.25" customHeight="1">
      <c r="A47" s="11" t="s">
        <v>2074</v>
      </c>
      <c r="B47" s="11" t="s">
        <v>2900</v>
      </c>
      <c r="C47" s="11" t="s">
        <v>2078</v>
      </c>
      <c r="D47" s="11" t="s">
        <v>2902</v>
      </c>
      <c r="E47" s="11" t="s">
        <v>15</v>
      </c>
    </row>
    <row r="48" spans="1:5" ht="11.25" customHeight="1">
      <c r="A48" s="11" t="s">
        <v>2074</v>
      </c>
      <c r="B48" s="11" t="s">
        <v>2905</v>
      </c>
      <c r="C48" s="11" t="s">
        <v>2078</v>
      </c>
      <c r="D48" s="11" t="s">
        <v>2907</v>
      </c>
      <c r="E48" s="11" t="s">
        <v>15</v>
      </c>
    </row>
    <row r="49" spans="1:5" ht="11.25" customHeight="1">
      <c r="A49" s="11" t="s">
        <v>2074</v>
      </c>
      <c r="B49" s="11" t="s">
        <v>3017</v>
      </c>
      <c r="C49" s="11" t="s">
        <v>2078</v>
      </c>
      <c r="D49" s="11" t="s">
        <v>330</v>
      </c>
      <c r="E49" s="11" t="s">
        <v>15</v>
      </c>
    </row>
    <row r="50" spans="1:5" ht="11.25" customHeight="1">
      <c r="A50" s="11" t="s">
        <v>3028</v>
      </c>
      <c r="B50" s="11" t="s">
        <v>3029</v>
      </c>
      <c r="C50" s="11" t="s">
        <v>3032</v>
      </c>
      <c r="D50" s="11" t="s">
        <v>3034</v>
      </c>
      <c r="E50" s="11" t="s">
        <v>22</v>
      </c>
    </row>
    <row r="51" spans="1:5" ht="11.25" customHeight="1">
      <c r="A51" s="11" t="s">
        <v>3028</v>
      </c>
      <c r="B51" s="11" t="s">
        <v>3255</v>
      </c>
      <c r="C51" s="11" t="s">
        <v>3032</v>
      </c>
      <c r="D51" s="11" t="s">
        <v>3257</v>
      </c>
      <c r="E51" s="11" t="s">
        <v>22</v>
      </c>
    </row>
    <row r="52" spans="1:5" ht="11.25" customHeight="1">
      <c r="A52" s="11" t="s">
        <v>3028</v>
      </c>
      <c r="B52" s="11" t="s">
        <v>3448</v>
      </c>
      <c r="C52" s="11" t="s">
        <v>3032</v>
      </c>
      <c r="D52" s="11" t="s">
        <v>3450</v>
      </c>
      <c r="E52" s="11" t="s">
        <v>22</v>
      </c>
    </row>
    <row r="53" spans="1:5" ht="11.25" customHeight="1">
      <c r="A53" s="11" t="s">
        <v>3028</v>
      </c>
      <c r="B53" s="11" t="s">
        <v>3486</v>
      </c>
      <c r="C53" s="11" t="s">
        <v>3032</v>
      </c>
      <c r="D53" s="11" t="s">
        <v>3488</v>
      </c>
      <c r="E53" s="11" t="s">
        <v>22</v>
      </c>
    </row>
    <row r="54" spans="1:5" ht="11.25" customHeight="1">
      <c r="A54" s="11" t="s">
        <v>3028</v>
      </c>
      <c r="B54" s="11" t="s">
        <v>3651</v>
      </c>
      <c r="C54" s="11" t="s">
        <v>3032</v>
      </c>
      <c r="D54" s="11" t="s">
        <v>3653</v>
      </c>
      <c r="E54" s="11" t="s">
        <v>22</v>
      </c>
    </row>
    <row r="55" spans="1:5" ht="11.25" customHeight="1">
      <c r="A55" s="11" t="s">
        <v>3028</v>
      </c>
      <c r="B55" s="11" t="s">
        <v>3776</v>
      </c>
      <c r="C55" s="11" t="s">
        <v>3032</v>
      </c>
      <c r="D55" s="11" t="s">
        <v>3778</v>
      </c>
      <c r="E55" s="11" t="s">
        <v>22</v>
      </c>
    </row>
    <row r="56" spans="1:5" ht="11.25" customHeight="1">
      <c r="A56" s="11" t="s">
        <v>3028</v>
      </c>
      <c r="B56" s="11" t="s">
        <v>3917</v>
      </c>
      <c r="C56" s="11" t="s">
        <v>3032</v>
      </c>
      <c r="D56" s="11" t="s">
        <v>3919</v>
      </c>
      <c r="E56" s="11" t="s">
        <v>22</v>
      </c>
    </row>
    <row r="57" spans="1:5" ht="11.25" customHeight="1">
      <c r="A57" s="11" t="s">
        <v>3028</v>
      </c>
      <c r="B57" s="11" t="s">
        <v>3955</v>
      </c>
      <c r="C57" s="11" t="s">
        <v>3032</v>
      </c>
      <c r="D57" s="11" t="s">
        <v>3957</v>
      </c>
      <c r="E57" s="11" t="s">
        <v>22</v>
      </c>
    </row>
    <row r="58" spans="1:5" ht="11.25" customHeight="1">
      <c r="A58" s="11" t="s">
        <v>3028</v>
      </c>
      <c r="B58" s="11" t="s">
        <v>3989</v>
      </c>
      <c r="C58" s="11" t="s">
        <v>3032</v>
      </c>
      <c r="D58" s="11" t="s">
        <v>3991</v>
      </c>
      <c r="E58" s="11" t="s">
        <v>22</v>
      </c>
    </row>
    <row r="59" spans="1:5" ht="11.25" customHeight="1">
      <c r="A59" s="11" t="s">
        <v>3028</v>
      </c>
      <c r="B59" s="11" t="s">
        <v>4038</v>
      </c>
      <c r="C59" s="11" t="s">
        <v>3032</v>
      </c>
      <c r="D59" s="11" t="s">
        <v>4040</v>
      </c>
      <c r="E59" s="11" t="s">
        <v>22</v>
      </c>
    </row>
    <row r="60" spans="1:5" ht="11.25" customHeight="1">
      <c r="A60" s="11" t="s">
        <v>3028</v>
      </c>
      <c r="B60" s="11" t="s">
        <v>4068</v>
      </c>
      <c r="C60" s="11" t="s">
        <v>3032</v>
      </c>
      <c r="D60" s="11" t="s">
        <v>330</v>
      </c>
      <c r="E60" s="11" t="s">
        <v>22</v>
      </c>
    </row>
    <row r="61" spans="1:5" ht="11.25" customHeight="1">
      <c r="A61" s="11" t="s">
        <v>4139</v>
      </c>
      <c r="B61" s="11" t="s">
        <v>4140</v>
      </c>
      <c r="C61" s="11" t="s">
        <v>4143</v>
      </c>
      <c r="D61" s="11" t="s">
        <v>4145</v>
      </c>
      <c r="E61" s="11" t="s">
        <v>26</v>
      </c>
    </row>
    <row r="62" spans="1:5" ht="11.25" customHeight="1">
      <c r="A62" s="11" t="s">
        <v>4139</v>
      </c>
      <c r="B62" s="11" t="s">
        <v>4249</v>
      </c>
      <c r="C62" s="11" t="s">
        <v>4143</v>
      </c>
      <c r="D62" s="11" t="s">
        <v>4251</v>
      </c>
      <c r="E62" s="11" t="s">
        <v>26</v>
      </c>
    </row>
    <row r="63" spans="1:5" ht="11.25" customHeight="1">
      <c r="A63" s="11" t="s">
        <v>4139</v>
      </c>
      <c r="B63" s="11" t="s">
        <v>4279</v>
      </c>
      <c r="C63" s="11" t="s">
        <v>4143</v>
      </c>
      <c r="D63" s="11" t="s">
        <v>4281</v>
      </c>
      <c r="E63" s="11" t="s">
        <v>26</v>
      </c>
    </row>
    <row r="64" spans="1:5" ht="11.25" customHeight="1">
      <c r="A64" s="11" t="s">
        <v>4139</v>
      </c>
      <c r="B64" s="11" t="s">
        <v>4473</v>
      </c>
      <c r="C64" s="11" t="s">
        <v>4143</v>
      </c>
      <c r="D64" s="11" t="s">
        <v>4475</v>
      </c>
      <c r="E64" s="11" t="s">
        <v>26</v>
      </c>
    </row>
    <row r="65" spans="1:5" ht="11.25" customHeight="1">
      <c r="A65" s="11" t="s">
        <v>4139</v>
      </c>
      <c r="B65" s="11" t="s">
        <v>4478</v>
      </c>
      <c r="C65" s="11" t="s">
        <v>4143</v>
      </c>
      <c r="D65" s="11" t="s">
        <v>4480</v>
      </c>
      <c r="E65" s="11" t="s">
        <v>26</v>
      </c>
    </row>
    <row r="66" spans="1:5" ht="11.25" customHeight="1">
      <c r="A66" s="11" t="s">
        <v>4139</v>
      </c>
      <c r="B66" s="11" t="s">
        <v>4888</v>
      </c>
      <c r="C66" s="11" t="s">
        <v>4143</v>
      </c>
      <c r="D66" s="11" t="s">
        <v>4890</v>
      </c>
      <c r="E66" s="11" t="s">
        <v>15</v>
      </c>
    </row>
    <row r="67" spans="1:5" ht="11.25" customHeight="1">
      <c r="A67" s="11" t="s">
        <v>4139</v>
      </c>
      <c r="B67" s="11" t="s">
        <v>4932</v>
      </c>
      <c r="C67" s="11" t="s">
        <v>4143</v>
      </c>
      <c r="D67" s="11" t="s">
        <v>4934</v>
      </c>
      <c r="E67" s="11" t="s">
        <v>60</v>
      </c>
    </row>
    <row r="68" spans="1:5" ht="11.25" customHeight="1">
      <c r="A68" s="11" t="s">
        <v>4139</v>
      </c>
      <c r="B68" s="11" t="s">
        <v>5059</v>
      </c>
      <c r="C68" s="11" t="s">
        <v>4143</v>
      </c>
      <c r="D68" s="11" t="s">
        <v>5061</v>
      </c>
      <c r="E68" s="11" t="s">
        <v>26</v>
      </c>
    </row>
    <row r="69" spans="1:5" ht="11.25" customHeight="1">
      <c r="A69" s="11" t="s">
        <v>4139</v>
      </c>
      <c r="B69" s="11" t="s">
        <v>5268</v>
      </c>
      <c r="C69" s="11" t="s">
        <v>4143</v>
      </c>
      <c r="D69" s="11" t="s">
        <v>5270</v>
      </c>
      <c r="E69" s="11" t="s">
        <v>26</v>
      </c>
    </row>
    <row r="70" spans="1:5" ht="11.25" customHeight="1">
      <c r="A70" s="11" t="s">
        <v>4139</v>
      </c>
      <c r="B70" s="11" t="s">
        <v>5315</v>
      </c>
      <c r="C70" s="11" t="s">
        <v>4143</v>
      </c>
      <c r="D70" s="11" t="s">
        <v>5317</v>
      </c>
      <c r="E70" s="11" t="s">
        <v>26</v>
      </c>
    </row>
    <row r="71" spans="1:5" ht="11.25" customHeight="1">
      <c r="A71" s="11" t="s">
        <v>4139</v>
      </c>
      <c r="B71" s="11" t="s">
        <v>5329</v>
      </c>
      <c r="C71" s="11" t="s">
        <v>4143</v>
      </c>
      <c r="D71" s="11" t="s">
        <v>5331</v>
      </c>
      <c r="E71" s="11" t="s">
        <v>26</v>
      </c>
    </row>
    <row r="72" spans="1:5" ht="11.25" customHeight="1">
      <c r="A72" s="11" t="s">
        <v>4139</v>
      </c>
      <c r="B72" s="11" t="s">
        <v>5362</v>
      </c>
      <c r="C72" s="11" t="s">
        <v>4143</v>
      </c>
      <c r="D72" s="11" t="s">
        <v>330</v>
      </c>
      <c r="E72" s="11" t="s">
        <v>26</v>
      </c>
    </row>
    <row r="73" spans="1:5" ht="11.25" customHeight="1">
      <c r="A73" s="11" t="s">
        <v>5449</v>
      </c>
      <c r="B73" s="11" t="s">
        <v>5450</v>
      </c>
      <c r="C73" s="11" t="s">
        <v>5453</v>
      </c>
      <c r="D73" s="11" t="s">
        <v>5454</v>
      </c>
      <c r="E73" s="11" t="s">
        <v>28</v>
      </c>
    </row>
    <row r="74" spans="1:5" ht="11.25" customHeight="1">
      <c r="A74" s="11" t="s">
        <v>5449</v>
      </c>
      <c r="B74" s="11" t="s">
        <v>5513</v>
      </c>
      <c r="C74" s="11" t="s">
        <v>5453</v>
      </c>
      <c r="D74" s="11" t="s">
        <v>5515</v>
      </c>
      <c r="E74" s="11" t="s">
        <v>28</v>
      </c>
    </row>
    <row r="75" spans="1:5" ht="11.25" customHeight="1">
      <c r="A75" s="11" t="s">
        <v>5449</v>
      </c>
      <c r="B75" s="11" t="s">
        <v>5555</v>
      </c>
      <c r="C75" s="11" t="s">
        <v>5453</v>
      </c>
      <c r="D75" s="11" t="s">
        <v>5557</v>
      </c>
      <c r="E75" s="11" t="s">
        <v>28</v>
      </c>
    </row>
    <row r="76" spans="1:5" ht="11.25" customHeight="1">
      <c r="A76" s="11" t="s">
        <v>5449</v>
      </c>
      <c r="B76" s="11" t="s">
        <v>5681</v>
      </c>
      <c r="C76" s="11" t="s">
        <v>5453</v>
      </c>
      <c r="D76" s="11" t="s">
        <v>5683</v>
      </c>
      <c r="E76" s="11" t="s">
        <v>28</v>
      </c>
    </row>
    <row r="77" spans="1:5" ht="11.25" customHeight="1">
      <c r="A77" s="11" t="s">
        <v>5449</v>
      </c>
      <c r="B77" s="11" t="s">
        <v>5699</v>
      </c>
      <c r="C77" s="11" t="s">
        <v>5453</v>
      </c>
      <c r="D77" s="11" t="s">
        <v>5701</v>
      </c>
      <c r="E77" s="11" t="s">
        <v>28</v>
      </c>
    </row>
    <row r="78" spans="1:5" ht="11.25" customHeight="1">
      <c r="A78" s="11" t="s">
        <v>5449</v>
      </c>
      <c r="B78" s="11" t="s">
        <v>5777</v>
      </c>
      <c r="C78" s="11" t="s">
        <v>5453</v>
      </c>
      <c r="D78" s="11" t="s">
        <v>5779</v>
      </c>
      <c r="E78" s="11" t="s">
        <v>28</v>
      </c>
    </row>
    <row r="79" spans="1:5" ht="11.25" customHeight="1">
      <c r="A79" s="11" t="s">
        <v>5449</v>
      </c>
      <c r="B79" s="11" t="s">
        <v>5828</v>
      </c>
      <c r="C79" s="11" t="s">
        <v>5453</v>
      </c>
      <c r="D79" s="11" t="s">
        <v>5830</v>
      </c>
      <c r="E79" s="11" t="s">
        <v>28</v>
      </c>
    </row>
    <row r="80" spans="1:5" ht="11.25" customHeight="1">
      <c r="A80" s="11" t="s">
        <v>5449</v>
      </c>
      <c r="B80" s="11" t="s">
        <v>5898</v>
      </c>
      <c r="C80" s="11" t="s">
        <v>5453</v>
      </c>
      <c r="D80" s="11" t="s">
        <v>5900</v>
      </c>
      <c r="E80" s="11" t="s">
        <v>28</v>
      </c>
    </row>
    <row r="81" spans="1:5" ht="11.25" customHeight="1">
      <c r="A81" s="11" t="s">
        <v>5449</v>
      </c>
      <c r="B81" s="11" t="s">
        <v>5909</v>
      </c>
      <c r="C81" s="11" t="s">
        <v>5453</v>
      </c>
      <c r="D81" s="11" t="s">
        <v>5911</v>
      </c>
      <c r="E81" s="11" t="s">
        <v>28</v>
      </c>
    </row>
    <row r="82" spans="1:5" ht="11.25" customHeight="1">
      <c r="A82" s="11" t="s">
        <v>5449</v>
      </c>
      <c r="B82" s="11" t="s">
        <v>5966</v>
      </c>
      <c r="C82" s="11" t="s">
        <v>5453</v>
      </c>
      <c r="D82" s="11" t="s">
        <v>5968</v>
      </c>
      <c r="E82" s="11" t="s">
        <v>28</v>
      </c>
    </row>
    <row r="83" spans="1:5" ht="11.25" customHeight="1">
      <c r="A83" s="11" t="s">
        <v>5449</v>
      </c>
      <c r="B83" s="11" t="s">
        <v>5980</v>
      </c>
      <c r="C83" s="11" t="s">
        <v>5453</v>
      </c>
      <c r="D83" s="11" t="s">
        <v>330</v>
      </c>
      <c r="E83" s="11" t="s">
        <v>28</v>
      </c>
    </row>
    <row r="84" spans="1:5" ht="11.25" customHeight="1">
      <c r="A84" s="11" t="s">
        <v>5996</v>
      </c>
      <c r="B84" s="11" t="s">
        <v>5997</v>
      </c>
      <c r="C84" s="11" t="s">
        <v>6000</v>
      </c>
      <c r="D84" s="11" t="s">
        <v>6002</v>
      </c>
      <c r="E84" s="11" t="s">
        <v>13</v>
      </c>
    </row>
    <row r="85" spans="1:5" ht="11.25" customHeight="1">
      <c r="A85" s="11" t="s">
        <v>5996</v>
      </c>
      <c r="B85" s="11" t="s">
        <v>6030</v>
      </c>
      <c r="C85" s="11" t="s">
        <v>6000</v>
      </c>
      <c r="D85" s="11" t="s">
        <v>6032</v>
      </c>
      <c r="E85" s="11" t="s">
        <v>34</v>
      </c>
    </row>
    <row r="86" spans="1:5" ht="11.25" customHeight="1">
      <c r="A86" s="11" t="s">
        <v>5996</v>
      </c>
      <c r="B86" s="11" t="s">
        <v>6050</v>
      </c>
      <c r="C86" s="11" t="s">
        <v>6000</v>
      </c>
      <c r="D86" s="11" t="s">
        <v>6052</v>
      </c>
      <c r="E86" s="11" t="s">
        <v>30</v>
      </c>
    </row>
    <row r="87" spans="1:5" ht="11.25" customHeight="1">
      <c r="A87" s="11" t="s">
        <v>5996</v>
      </c>
      <c r="B87" s="11" t="s">
        <v>6075</v>
      </c>
      <c r="C87" s="11" t="s">
        <v>6000</v>
      </c>
      <c r="D87" s="11" t="s">
        <v>6077</v>
      </c>
      <c r="E87" s="11" t="s">
        <v>30</v>
      </c>
    </row>
    <row r="88" spans="1:5" ht="11.25" customHeight="1">
      <c r="A88" s="11" t="s">
        <v>5996</v>
      </c>
      <c r="B88" s="11" t="s">
        <v>6454</v>
      </c>
      <c r="C88" s="11" t="s">
        <v>6000</v>
      </c>
      <c r="D88" s="11" t="s">
        <v>6456</v>
      </c>
      <c r="E88" s="11" t="s">
        <v>30</v>
      </c>
    </row>
    <row r="89" spans="1:5" ht="11.25" customHeight="1">
      <c r="A89" s="11" t="s">
        <v>5996</v>
      </c>
      <c r="B89" s="11" t="s">
        <v>6620</v>
      </c>
      <c r="C89" s="11" t="s">
        <v>6000</v>
      </c>
      <c r="D89" s="11" t="s">
        <v>6622</v>
      </c>
      <c r="E89" s="11" t="s">
        <v>60</v>
      </c>
    </row>
    <row r="90" spans="1:5" ht="11.25" customHeight="1">
      <c r="A90" s="11" t="s">
        <v>5996</v>
      </c>
      <c r="B90" s="11" t="s">
        <v>6737</v>
      </c>
      <c r="C90" s="11" t="s">
        <v>6000</v>
      </c>
      <c r="D90" s="11" t="s">
        <v>6739</v>
      </c>
      <c r="E90" s="11" t="s">
        <v>15</v>
      </c>
    </row>
    <row r="91" spans="1:5" ht="11.25" customHeight="1">
      <c r="A91" s="11" t="s">
        <v>5996</v>
      </c>
      <c r="B91" s="11" t="s">
        <v>6832</v>
      </c>
      <c r="C91" s="11" t="s">
        <v>6000</v>
      </c>
      <c r="D91" s="11" t="s">
        <v>330</v>
      </c>
      <c r="E91" s="11" t="s">
        <v>15</v>
      </c>
    </row>
    <row r="92" spans="1:5" ht="11.25" customHeight="1">
      <c r="A92" s="11" t="s">
        <v>6833</v>
      </c>
      <c r="B92" s="11" t="s">
        <v>6834</v>
      </c>
      <c r="C92" s="11" t="s">
        <v>6837</v>
      </c>
      <c r="D92" s="11" t="s">
        <v>6838</v>
      </c>
      <c r="E92" s="11" t="s">
        <v>34</v>
      </c>
    </row>
    <row r="93" spans="1:5" ht="11.25" customHeight="1">
      <c r="A93" s="11" t="s">
        <v>6833</v>
      </c>
      <c r="B93" s="11" t="s">
        <v>6934</v>
      </c>
      <c r="C93" s="11" t="s">
        <v>6837</v>
      </c>
      <c r="D93" s="11" t="s">
        <v>6936</v>
      </c>
      <c r="E93" s="11" t="s">
        <v>33</v>
      </c>
    </row>
    <row r="94" spans="1:5" ht="11.25" customHeight="1">
      <c r="A94" s="11" t="s">
        <v>6833</v>
      </c>
      <c r="B94" s="11" t="s">
        <v>7057</v>
      </c>
      <c r="C94" s="11" t="s">
        <v>6837</v>
      </c>
      <c r="D94" s="11" t="s">
        <v>7059</v>
      </c>
      <c r="E94" s="11" t="s">
        <v>34</v>
      </c>
    </row>
    <row r="95" spans="1:5" ht="11.25" customHeight="1">
      <c r="A95" s="11" t="s">
        <v>6833</v>
      </c>
      <c r="B95" s="11" t="s">
        <v>7074</v>
      </c>
      <c r="C95" s="11" t="s">
        <v>6837</v>
      </c>
      <c r="D95" s="11" t="s">
        <v>7076</v>
      </c>
      <c r="E95" s="11" t="s">
        <v>33</v>
      </c>
    </row>
    <row r="96" spans="1:5" ht="11.25" customHeight="1">
      <c r="A96" s="11" t="s">
        <v>6833</v>
      </c>
      <c r="B96" s="11" t="s">
        <v>7112</v>
      </c>
      <c r="C96" s="11" t="s">
        <v>6837</v>
      </c>
      <c r="D96" s="11" t="s">
        <v>7114</v>
      </c>
      <c r="E96" s="11" t="s">
        <v>33</v>
      </c>
    </row>
    <row r="97" spans="1:5" ht="11.25" customHeight="1">
      <c r="A97" s="11" t="s">
        <v>6833</v>
      </c>
      <c r="B97" s="11" t="s">
        <v>7172</v>
      </c>
      <c r="C97" s="11" t="s">
        <v>6837</v>
      </c>
      <c r="D97" s="11" t="s">
        <v>330</v>
      </c>
      <c r="E97" s="11" t="s">
        <v>33</v>
      </c>
    </row>
    <row r="98" spans="1:5" ht="11.25" customHeight="1">
      <c r="A98" s="11" t="s">
        <v>7189</v>
      </c>
      <c r="B98" s="11" t="s">
        <v>7190</v>
      </c>
      <c r="C98" s="11" t="s">
        <v>7193</v>
      </c>
      <c r="D98" s="11" t="s">
        <v>7195</v>
      </c>
      <c r="E98" s="11" t="s">
        <v>39</v>
      </c>
    </row>
    <row r="99" spans="1:5" ht="11.25" customHeight="1">
      <c r="A99" s="11" t="s">
        <v>7189</v>
      </c>
      <c r="B99" s="11" t="s">
        <v>7203</v>
      </c>
      <c r="C99" s="11" t="s">
        <v>7193</v>
      </c>
      <c r="D99" s="11" t="s">
        <v>7205</v>
      </c>
      <c r="E99" s="11" t="s">
        <v>39</v>
      </c>
    </row>
    <row r="100" spans="1:5" ht="11.25" customHeight="1">
      <c r="A100" s="11" t="s">
        <v>7189</v>
      </c>
      <c r="B100" s="11" t="s">
        <v>7264</v>
      </c>
      <c r="C100" s="11" t="s">
        <v>7193</v>
      </c>
      <c r="D100" s="11" t="s">
        <v>7266</v>
      </c>
      <c r="E100" s="11" t="s">
        <v>39</v>
      </c>
    </row>
    <row r="101" spans="1:5" ht="11.25" customHeight="1">
      <c r="A101" s="11" t="s">
        <v>7189</v>
      </c>
      <c r="B101" s="11" t="s">
        <v>7352</v>
      </c>
      <c r="C101" s="11" t="s">
        <v>7193</v>
      </c>
      <c r="D101" s="11" t="s">
        <v>7354</v>
      </c>
      <c r="E101" s="11" t="s">
        <v>39</v>
      </c>
    </row>
    <row r="102" spans="1:5" ht="11.25" customHeight="1">
      <c r="A102" s="11" t="s">
        <v>7189</v>
      </c>
      <c r="B102" s="11" t="s">
        <v>7367</v>
      </c>
      <c r="C102" s="11" t="s">
        <v>7193</v>
      </c>
      <c r="D102" s="11" t="s">
        <v>7369</v>
      </c>
      <c r="E102" s="11" t="s">
        <v>39</v>
      </c>
    </row>
    <row r="103" spans="1:5" ht="11.25" customHeight="1">
      <c r="A103" s="11" t="s">
        <v>7189</v>
      </c>
      <c r="B103" s="11" t="s">
        <v>7488</v>
      </c>
      <c r="C103" s="11" t="s">
        <v>7193</v>
      </c>
      <c r="D103" s="11" t="s">
        <v>7490</v>
      </c>
      <c r="E103" s="11" t="s">
        <v>40</v>
      </c>
    </row>
    <row r="104" spans="1:5" ht="11.25" customHeight="1">
      <c r="A104" s="11" t="s">
        <v>7189</v>
      </c>
      <c r="B104" s="11" t="s">
        <v>7627</v>
      </c>
      <c r="C104" s="11" t="s">
        <v>7193</v>
      </c>
      <c r="D104" s="11" t="s">
        <v>7629</v>
      </c>
      <c r="E104" s="11" t="s">
        <v>35</v>
      </c>
    </row>
    <row r="105" spans="1:5" ht="11.25" customHeight="1">
      <c r="A105" s="11" t="s">
        <v>7189</v>
      </c>
      <c r="B105" s="11" t="s">
        <v>7669</v>
      </c>
      <c r="C105" s="11" t="s">
        <v>7193</v>
      </c>
      <c r="D105" s="11" t="s">
        <v>7671</v>
      </c>
      <c r="E105" s="11" t="s">
        <v>37</v>
      </c>
    </row>
    <row r="106" spans="1:5" ht="11.25" customHeight="1">
      <c r="A106" s="11" t="s">
        <v>7189</v>
      </c>
      <c r="B106" s="11" t="s">
        <v>7731</v>
      </c>
      <c r="C106" s="11" t="s">
        <v>7193</v>
      </c>
      <c r="D106" s="11" t="s">
        <v>7733</v>
      </c>
      <c r="E106" s="11" t="s">
        <v>37</v>
      </c>
    </row>
    <row r="107" spans="1:5" ht="11.25" customHeight="1">
      <c r="A107" s="11" t="s">
        <v>7189</v>
      </c>
      <c r="B107" s="11" t="s">
        <v>7736</v>
      </c>
      <c r="C107" s="11" t="s">
        <v>7193</v>
      </c>
      <c r="D107" s="11" t="s">
        <v>7738</v>
      </c>
      <c r="E107" s="11" t="s">
        <v>37</v>
      </c>
    </row>
    <row r="108" spans="1:5" ht="11.25" customHeight="1">
      <c r="A108" s="11" t="s">
        <v>7189</v>
      </c>
      <c r="B108" s="11" t="s">
        <v>7750</v>
      </c>
      <c r="C108" s="11" t="s">
        <v>7193</v>
      </c>
      <c r="D108" s="11" t="s">
        <v>7752</v>
      </c>
      <c r="E108" s="11" t="s">
        <v>39</v>
      </c>
    </row>
    <row r="109" spans="1:5" ht="11.25" customHeight="1">
      <c r="A109" s="11" t="s">
        <v>7189</v>
      </c>
      <c r="B109" s="11" t="s">
        <v>7888</v>
      </c>
      <c r="C109" s="11" t="s">
        <v>7193</v>
      </c>
      <c r="D109" s="11" t="s">
        <v>7890</v>
      </c>
      <c r="E109" s="11" t="s">
        <v>39</v>
      </c>
    </row>
    <row r="110" spans="1:5" ht="11.25" customHeight="1">
      <c r="A110" s="11" t="s">
        <v>7189</v>
      </c>
      <c r="B110" s="11" t="s">
        <v>7932</v>
      </c>
      <c r="C110" s="11" t="s">
        <v>7193</v>
      </c>
      <c r="D110" s="11" t="s">
        <v>7934</v>
      </c>
      <c r="E110" s="11" t="s">
        <v>39</v>
      </c>
    </row>
    <row r="111" spans="1:5" ht="11.25" customHeight="1">
      <c r="A111" s="11" t="s">
        <v>7189</v>
      </c>
      <c r="B111" s="11" t="s">
        <v>7983</v>
      </c>
      <c r="C111" s="11" t="s">
        <v>7193</v>
      </c>
      <c r="D111" s="11" t="s">
        <v>7985</v>
      </c>
      <c r="E111" s="11" t="s">
        <v>39</v>
      </c>
    </row>
    <row r="112" spans="1:5" ht="11.25" customHeight="1">
      <c r="A112" s="11" t="s">
        <v>7189</v>
      </c>
      <c r="B112" s="11" t="s">
        <v>8023</v>
      </c>
      <c r="C112" s="11" t="s">
        <v>7193</v>
      </c>
      <c r="D112" s="11" t="s">
        <v>8025</v>
      </c>
      <c r="E112" s="11" t="s">
        <v>38</v>
      </c>
    </row>
    <row r="113" spans="1:5" ht="11.25" customHeight="1">
      <c r="A113" s="11" t="s">
        <v>7189</v>
      </c>
      <c r="B113" s="11" t="s">
        <v>8051</v>
      </c>
      <c r="C113" s="11" t="s">
        <v>7193</v>
      </c>
      <c r="D113" s="11" t="s">
        <v>8053</v>
      </c>
      <c r="E113" s="11" t="s">
        <v>38</v>
      </c>
    </row>
    <row r="114" spans="1:5" ht="11.25" customHeight="1">
      <c r="A114" s="11" t="s">
        <v>7189</v>
      </c>
      <c r="B114" s="11" t="s">
        <v>8299</v>
      </c>
      <c r="C114" s="11" t="s">
        <v>7193</v>
      </c>
      <c r="D114" s="11" t="s">
        <v>8301</v>
      </c>
      <c r="E114" s="11" t="s">
        <v>38</v>
      </c>
    </row>
    <row r="115" spans="1:5" ht="11.25" customHeight="1">
      <c r="A115" s="11" t="s">
        <v>7189</v>
      </c>
      <c r="B115" s="11" t="s">
        <v>8314</v>
      </c>
      <c r="C115" s="11" t="s">
        <v>7193</v>
      </c>
      <c r="D115" s="11" t="s">
        <v>330</v>
      </c>
      <c r="E115" s="11" t="s">
        <v>38</v>
      </c>
    </row>
    <row r="116" spans="1:5" ht="11.25" customHeight="1">
      <c r="A116" s="11" t="s">
        <v>8321</v>
      </c>
      <c r="B116" s="11" t="s">
        <v>8322</v>
      </c>
      <c r="C116" s="11" t="s">
        <v>8325</v>
      </c>
      <c r="D116" s="11" t="s">
        <v>8327</v>
      </c>
      <c r="E116" s="11" t="s">
        <v>41</v>
      </c>
    </row>
    <row r="117" spans="1:5" ht="11.25" customHeight="1">
      <c r="A117" s="11" t="s">
        <v>8321</v>
      </c>
      <c r="B117" s="11" t="s">
        <v>8341</v>
      </c>
      <c r="C117" s="11" t="s">
        <v>8325</v>
      </c>
      <c r="D117" s="11" t="s">
        <v>8343</v>
      </c>
      <c r="E117" s="11" t="s">
        <v>41</v>
      </c>
    </row>
    <row r="118" spans="1:5" ht="11.25" customHeight="1">
      <c r="A118" s="11" t="s">
        <v>8321</v>
      </c>
      <c r="B118" s="11" t="s">
        <v>8423</v>
      </c>
      <c r="C118" s="11" t="s">
        <v>8325</v>
      </c>
      <c r="D118" s="11" t="s">
        <v>8425</v>
      </c>
      <c r="E118" s="11" t="s">
        <v>41</v>
      </c>
    </row>
    <row r="119" spans="1:5" ht="11.25" customHeight="1">
      <c r="A119" s="11" t="s">
        <v>8321</v>
      </c>
      <c r="B119" s="11" t="s">
        <v>8584</v>
      </c>
      <c r="C119" s="11" t="s">
        <v>8325</v>
      </c>
      <c r="D119" s="11" t="s">
        <v>8586</v>
      </c>
      <c r="E119" s="11" t="s">
        <v>41</v>
      </c>
    </row>
    <row r="120" spans="1:5" ht="11.25" customHeight="1">
      <c r="A120" s="11" t="s">
        <v>8321</v>
      </c>
      <c r="B120" s="11" t="s">
        <v>8598</v>
      </c>
      <c r="C120" s="11" t="s">
        <v>8325</v>
      </c>
      <c r="D120" s="11" t="s">
        <v>330</v>
      </c>
      <c r="E120" s="11" t="s">
        <v>41</v>
      </c>
    </row>
    <row r="121" spans="1:5" ht="11.25" customHeight="1">
      <c r="A121" s="11" t="s">
        <v>8605</v>
      </c>
      <c r="B121" s="11" t="s">
        <v>8606</v>
      </c>
      <c r="C121" s="11" t="s">
        <v>8609</v>
      </c>
      <c r="D121" s="11" t="s">
        <v>8610</v>
      </c>
      <c r="E121" s="11" t="s">
        <v>43</v>
      </c>
    </row>
    <row r="122" spans="1:5" ht="11.25" customHeight="1">
      <c r="A122" s="11" t="s">
        <v>8605</v>
      </c>
      <c r="B122" s="11" t="s">
        <v>8709</v>
      </c>
      <c r="C122" s="11" t="s">
        <v>8609</v>
      </c>
      <c r="D122" s="11" t="s">
        <v>8711</v>
      </c>
      <c r="E122" s="11" t="s">
        <v>45</v>
      </c>
    </row>
    <row r="123" spans="1:5" ht="11.25" customHeight="1">
      <c r="A123" s="11" t="s">
        <v>8605</v>
      </c>
      <c r="B123" s="11" t="s">
        <v>8870</v>
      </c>
      <c r="C123" s="11" t="s">
        <v>8609</v>
      </c>
      <c r="D123" s="11" t="s">
        <v>8872</v>
      </c>
      <c r="E123" s="11" t="s">
        <v>50</v>
      </c>
    </row>
    <row r="124" spans="1:5" ht="11.25" customHeight="1">
      <c r="A124" s="11" t="s">
        <v>8605</v>
      </c>
      <c r="B124" s="11" t="s">
        <v>9058</v>
      </c>
      <c r="C124" s="11" t="s">
        <v>8609</v>
      </c>
      <c r="D124" s="11" t="s">
        <v>9060</v>
      </c>
      <c r="E124" s="11" t="s">
        <v>49</v>
      </c>
    </row>
    <row r="125" spans="1:5" ht="11.25" customHeight="1">
      <c r="A125" s="11" t="s">
        <v>8605</v>
      </c>
      <c r="B125" s="11" t="s">
        <v>9075</v>
      </c>
      <c r="C125" s="11" t="s">
        <v>8609</v>
      </c>
      <c r="D125" s="11" t="s">
        <v>9077</v>
      </c>
      <c r="E125" s="11" t="s">
        <v>48</v>
      </c>
    </row>
    <row r="126" spans="1:5" ht="11.25" customHeight="1">
      <c r="A126" s="11" t="s">
        <v>8605</v>
      </c>
      <c r="B126" s="11" t="s">
        <v>9102</v>
      </c>
      <c r="C126" s="11" t="s">
        <v>8609</v>
      </c>
      <c r="D126" s="11" t="s">
        <v>9104</v>
      </c>
      <c r="E126" s="11" t="s">
        <v>15</v>
      </c>
    </row>
    <row r="127" spans="1:5" ht="11.25" customHeight="1">
      <c r="A127" s="11" t="s">
        <v>8605</v>
      </c>
      <c r="B127" s="11" t="s">
        <v>9135</v>
      </c>
      <c r="C127" s="11" t="s">
        <v>8609</v>
      </c>
      <c r="D127" s="11" t="s">
        <v>330</v>
      </c>
      <c r="E127" s="11" t="s">
        <v>47</v>
      </c>
    </row>
    <row r="128" spans="1:5" ht="11.25" customHeight="1">
      <c r="A128" s="11" t="s">
        <v>9166</v>
      </c>
      <c r="B128" s="11" t="s">
        <v>9167</v>
      </c>
      <c r="C128" s="11" t="s">
        <v>9170</v>
      </c>
      <c r="D128" s="11" t="s">
        <v>9171</v>
      </c>
      <c r="E128" s="11" t="s">
        <v>56</v>
      </c>
    </row>
    <row r="129" spans="1:5" ht="11.25" customHeight="1">
      <c r="A129" s="11" t="s">
        <v>9166</v>
      </c>
      <c r="B129" s="11" t="s">
        <v>9240</v>
      </c>
      <c r="C129" s="11" t="s">
        <v>9170</v>
      </c>
      <c r="D129" s="11" t="s">
        <v>9242</v>
      </c>
      <c r="E129" s="11" t="s">
        <v>56</v>
      </c>
    </row>
    <row r="130" spans="1:5" ht="11.25" customHeight="1">
      <c r="A130" s="11" t="s">
        <v>9166</v>
      </c>
      <c r="B130" s="11" t="s">
        <v>9287</v>
      </c>
      <c r="C130" s="11" t="s">
        <v>9170</v>
      </c>
      <c r="D130" s="11" t="s">
        <v>9289</v>
      </c>
      <c r="E130" s="11" t="s">
        <v>51</v>
      </c>
    </row>
    <row r="131" spans="1:5" ht="11.25" customHeight="1">
      <c r="A131" s="11" t="s">
        <v>9166</v>
      </c>
      <c r="B131" s="11" t="s">
        <v>9435</v>
      </c>
      <c r="C131" s="11" t="s">
        <v>9170</v>
      </c>
      <c r="D131" s="11" t="s">
        <v>9437</v>
      </c>
      <c r="E131" s="11" t="s">
        <v>53</v>
      </c>
    </row>
    <row r="132" spans="1:5" ht="11.25" customHeight="1">
      <c r="A132" s="11" t="s">
        <v>9166</v>
      </c>
      <c r="B132" s="11" t="s">
        <v>9509</v>
      </c>
      <c r="C132" s="11" t="s">
        <v>9170</v>
      </c>
      <c r="D132" s="11" t="s">
        <v>9511</v>
      </c>
      <c r="E132" s="11" t="s">
        <v>54</v>
      </c>
    </row>
    <row r="133" spans="1:5" ht="11.25" customHeight="1">
      <c r="A133" s="11" t="s">
        <v>9166</v>
      </c>
      <c r="B133" s="11" t="s">
        <v>9636</v>
      </c>
      <c r="C133" s="11" t="s">
        <v>9170</v>
      </c>
      <c r="D133" s="11" t="s">
        <v>9638</v>
      </c>
      <c r="E133" s="11" t="s">
        <v>55</v>
      </c>
    </row>
    <row r="134" spans="1:5" ht="11.25" customHeight="1">
      <c r="A134" s="11" t="s">
        <v>9166</v>
      </c>
      <c r="B134" s="11" t="s">
        <v>9757</v>
      </c>
      <c r="C134" s="11" t="s">
        <v>9170</v>
      </c>
      <c r="D134" s="11" t="s">
        <v>9759</v>
      </c>
      <c r="E134" s="11" t="s">
        <v>54</v>
      </c>
    </row>
    <row r="135" spans="1:5" ht="11.25" customHeight="1">
      <c r="A135" s="11" t="s">
        <v>9166</v>
      </c>
      <c r="B135" s="11" t="s">
        <v>9780</v>
      </c>
      <c r="C135" s="11" t="s">
        <v>9170</v>
      </c>
      <c r="D135" s="11" t="s">
        <v>1599</v>
      </c>
      <c r="E135" s="11" t="s">
        <v>54</v>
      </c>
    </row>
    <row r="136" spans="1:5" ht="11.25" customHeight="1">
      <c r="A136" s="11" t="s">
        <v>9166</v>
      </c>
      <c r="B136" s="11" t="s">
        <v>9781</v>
      </c>
      <c r="C136" s="11" t="s">
        <v>9170</v>
      </c>
      <c r="D136" s="11" t="s">
        <v>9783</v>
      </c>
      <c r="E136" s="11" t="s">
        <v>55</v>
      </c>
    </row>
    <row r="137" spans="1:5" ht="11.25" customHeight="1">
      <c r="A137" s="11" t="s">
        <v>9166</v>
      </c>
      <c r="B137" s="11" t="s">
        <v>9992</v>
      </c>
      <c r="C137" s="11" t="s">
        <v>9170</v>
      </c>
      <c r="D137" s="11" t="s">
        <v>9994</v>
      </c>
      <c r="E137" s="11" t="s">
        <v>55</v>
      </c>
    </row>
    <row r="138" spans="1:5" ht="11.25" customHeight="1">
      <c r="A138" s="11" t="s">
        <v>9166</v>
      </c>
      <c r="B138" s="11" t="s">
        <v>10012</v>
      </c>
      <c r="C138" s="11" t="s">
        <v>9170</v>
      </c>
      <c r="D138" s="11" t="s">
        <v>330</v>
      </c>
      <c r="E138" s="11" t="s">
        <v>55</v>
      </c>
    </row>
    <row r="139" spans="1:5" ht="11.25" customHeight="1">
      <c r="A139" s="11" t="s">
        <v>10106</v>
      </c>
      <c r="B139" s="11" t="s">
        <v>10107</v>
      </c>
      <c r="C139" s="11" t="s">
        <v>10110</v>
      </c>
      <c r="D139" s="11" t="s">
        <v>10112</v>
      </c>
      <c r="E139" s="11" t="s">
        <v>58</v>
      </c>
    </row>
    <row r="140" spans="1:5" ht="11.25" customHeight="1">
      <c r="A140" s="11" t="s">
        <v>10106</v>
      </c>
      <c r="B140" s="11" t="s">
        <v>10149</v>
      </c>
      <c r="C140" s="11" t="s">
        <v>10110</v>
      </c>
      <c r="D140" s="11" t="s">
        <v>10151</v>
      </c>
      <c r="E140" s="11" t="s">
        <v>58</v>
      </c>
    </row>
    <row r="141" spans="1:5" ht="11.25" customHeight="1">
      <c r="A141" s="11" t="s">
        <v>10106</v>
      </c>
      <c r="B141" s="11" t="s">
        <v>10170</v>
      </c>
      <c r="C141" s="11" t="s">
        <v>10110</v>
      </c>
      <c r="D141" s="11" t="s">
        <v>10172</v>
      </c>
      <c r="E141" s="11" t="s">
        <v>58</v>
      </c>
    </row>
    <row r="142" spans="1:5" ht="11.25" customHeight="1">
      <c r="A142" s="11" t="s">
        <v>10106</v>
      </c>
      <c r="B142" s="11" t="s">
        <v>10196</v>
      </c>
      <c r="C142" s="11" t="s">
        <v>10110</v>
      </c>
      <c r="D142" s="11" t="s">
        <v>10198</v>
      </c>
      <c r="E142" s="11" t="s">
        <v>58</v>
      </c>
    </row>
    <row r="143" spans="1:5" ht="11.25" customHeight="1">
      <c r="A143" s="11" t="s">
        <v>10106</v>
      </c>
      <c r="B143" s="11" t="s">
        <v>10210</v>
      </c>
      <c r="C143" s="11" t="s">
        <v>10110</v>
      </c>
      <c r="D143" s="11" t="s">
        <v>10212</v>
      </c>
      <c r="E143" s="11" t="s">
        <v>58</v>
      </c>
    </row>
    <row r="144" spans="1:5" ht="11.25" customHeight="1">
      <c r="A144" s="11" t="s">
        <v>10106</v>
      </c>
      <c r="B144" s="11" t="s">
        <v>10297</v>
      </c>
      <c r="C144" s="11" t="s">
        <v>10110</v>
      </c>
      <c r="D144" s="11" t="s">
        <v>10299</v>
      </c>
      <c r="E144" s="11" t="s">
        <v>58</v>
      </c>
    </row>
    <row r="145" spans="1:5" ht="11.25" customHeight="1">
      <c r="A145" s="11" t="s">
        <v>10106</v>
      </c>
      <c r="B145" s="11" t="s">
        <v>10415</v>
      </c>
      <c r="C145" s="11" t="s">
        <v>10110</v>
      </c>
      <c r="D145" s="11" t="s">
        <v>330</v>
      </c>
      <c r="E145" s="11" t="s">
        <v>58</v>
      </c>
    </row>
    <row r="146" spans="1:5" ht="11.25" customHeight="1">
      <c r="A146" s="11" t="s">
        <v>10419</v>
      </c>
      <c r="B146" s="11" t="s">
        <v>10420</v>
      </c>
      <c r="C146" s="11" t="s">
        <v>10423</v>
      </c>
      <c r="D146" s="11" t="s">
        <v>10425</v>
      </c>
      <c r="E146" s="11" t="s">
        <v>61</v>
      </c>
    </row>
    <row r="147" spans="1:5" ht="11.25" customHeight="1">
      <c r="A147" s="11" t="s">
        <v>10419</v>
      </c>
      <c r="B147" s="11" t="s">
        <v>10458</v>
      </c>
      <c r="C147" s="11" t="s">
        <v>10423</v>
      </c>
      <c r="D147" s="11" t="s">
        <v>10460</v>
      </c>
      <c r="E147" s="11" t="s">
        <v>61</v>
      </c>
    </row>
    <row r="148" spans="1:5" ht="11.25" customHeight="1">
      <c r="A148" s="11" t="s">
        <v>10419</v>
      </c>
      <c r="B148" s="11" t="s">
        <v>10524</v>
      </c>
      <c r="C148" s="11" t="s">
        <v>10423</v>
      </c>
      <c r="D148" s="11" t="s">
        <v>10526</v>
      </c>
      <c r="E148" s="11" t="s">
        <v>61</v>
      </c>
    </row>
    <row r="149" spans="1:5" ht="11.25" customHeight="1">
      <c r="A149" s="11" t="s">
        <v>10419</v>
      </c>
      <c r="B149" s="11" t="s">
        <v>10578</v>
      </c>
      <c r="C149" s="11" t="s">
        <v>10423</v>
      </c>
      <c r="D149" s="11" t="s">
        <v>10580</v>
      </c>
      <c r="E149" s="11" t="s">
        <v>61</v>
      </c>
    </row>
    <row r="150" spans="1:5" ht="11.25" customHeight="1">
      <c r="A150" s="11" t="s">
        <v>10419</v>
      </c>
      <c r="B150" s="11" t="s">
        <v>10631</v>
      </c>
      <c r="C150" s="11" t="s">
        <v>10423</v>
      </c>
      <c r="D150" s="11" t="s">
        <v>10633</v>
      </c>
      <c r="E150" s="11" t="s">
        <v>61</v>
      </c>
    </row>
    <row r="151" spans="1:5" ht="11.25" customHeight="1">
      <c r="A151" s="11" t="s">
        <v>10419</v>
      </c>
      <c r="B151" s="11" t="s">
        <v>10649</v>
      </c>
      <c r="C151" s="11" t="s">
        <v>10423</v>
      </c>
      <c r="D151" s="11" t="s">
        <v>330</v>
      </c>
      <c r="E151" s="11" t="s">
        <v>61</v>
      </c>
    </row>
    <row r="152" spans="1:5" ht="11.25" customHeight="1">
      <c r="A152" s="11" t="s">
        <v>10672</v>
      </c>
      <c r="B152" s="11" t="s">
        <v>10673</v>
      </c>
      <c r="C152" s="11" t="s">
        <v>10676</v>
      </c>
      <c r="D152" s="11" t="s">
        <v>10677</v>
      </c>
      <c r="E152" s="11" t="s">
        <v>63</v>
      </c>
    </row>
    <row r="153" spans="1:5" ht="11.25" customHeight="1">
      <c r="A153" s="11" t="s">
        <v>10672</v>
      </c>
      <c r="B153" s="11" t="s">
        <v>10725</v>
      </c>
      <c r="C153" s="11" t="s">
        <v>10676</v>
      </c>
      <c r="D153" s="11" t="s">
        <v>10727</v>
      </c>
      <c r="E153" s="11" t="s">
        <v>63</v>
      </c>
    </row>
    <row r="154" spans="1:5" ht="11.25" customHeight="1">
      <c r="A154" s="11" t="s">
        <v>10672</v>
      </c>
      <c r="B154" s="11" t="s">
        <v>10784</v>
      </c>
      <c r="C154" s="11" t="s">
        <v>10676</v>
      </c>
      <c r="D154" s="11" t="s">
        <v>10786</v>
      </c>
      <c r="E154" s="11" t="s">
        <v>63</v>
      </c>
    </row>
    <row r="155" spans="1:5" ht="11.25" customHeight="1">
      <c r="A155" s="11" t="s">
        <v>10672</v>
      </c>
      <c r="B155" s="11" t="s">
        <v>10820</v>
      </c>
      <c r="C155" s="11" t="s">
        <v>10676</v>
      </c>
      <c r="D155" s="11" t="s">
        <v>10822</v>
      </c>
      <c r="E155" s="11" t="s">
        <v>63</v>
      </c>
    </row>
    <row r="156" spans="1:5" ht="11.25" customHeight="1">
      <c r="A156" s="11" t="s">
        <v>10672</v>
      </c>
      <c r="B156" s="11" t="s">
        <v>10848</v>
      </c>
      <c r="C156" s="11" t="s">
        <v>10676</v>
      </c>
      <c r="D156" s="11" t="s">
        <v>330</v>
      </c>
      <c r="E156" s="11" t="s">
        <v>63</v>
      </c>
    </row>
    <row r="157" spans="1:5" ht="11.25" customHeight="1">
      <c r="A157" s="11" t="s">
        <v>10870</v>
      </c>
      <c r="B157" s="11" t="s">
        <v>10871</v>
      </c>
      <c r="C157" s="11" t="s">
        <v>10874</v>
      </c>
      <c r="D157" s="11" t="s">
        <v>10875</v>
      </c>
      <c r="E157" s="11" t="s">
        <v>65</v>
      </c>
    </row>
    <row r="158" spans="1:5" ht="11.25" customHeight="1">
      <c r="A158" s="11" t="s">
        <v>10870</v>
      </c>
      <c r="B158" s="11" t="s">
        <v>10939</v>
      </c>
      <c r="C158" s="11" t="s">
        <v>10874</v>
      </c>
      <c r="D158" s="11" t="s">
        <v>10941</v>
      </c>
      <c r="E158" s="11" t="s">
        <v>65</v>
      </c>
    </row>
    <row r="159" spans="1:5" ht="11.25" customHeight="1">
      <c r="A159" s="11" t="s">
        <v>10870</v>
      </c>
      <c r="B159" s="11" t="s">
        <v>11123</v>
      </c>
      <c r="C159" s="11" t="s">
        <v>10874</v>
      </c>
      <c r="D159" s="11" t="s">
        <v>11125</v>
      </c>
      <c r="E159" s="11" t="s">
        <v>65</v>
      </c>
    </row>
    <row r="160" spans="1:5" ht="11.25" customHeight="1">
      <c r="A160" s="11" t="s">
        <v>10870</v>
      </c>
      <c r="B160" s="11" t="s">
        <v>11144</v>
      </c>
      <c r="C160" s="11" t="s">
        <v>10874</v>
      </c>
      <c r="D160" s="11" t="s">
        <v>11146</v>
      </c>
      <c r="E160" s="11" t="s">
        <v>65</v>
      </c>
    </row>
    <row r="161" spans="1:5" ht="11.25" customHeight="1">
      <c r="A161" s="11" t="s">
        <v>10870</v>
      </c>
      <c r="B161" s="11" t="s">
        <v>11251</v>
      </c>
      <c r="C161" s="11" t="s">
        <v>10874</v>
      </c>
      <c r="D161" s="11" t="s">
        <v>1599</v>
      </c>
      <c r="E161" s="11" t="s">
        <v>65</v>
      </c>
    </row>
    <row r="162" spans="1:5" ht="11.25" customHeight="1">
      <c r="A162" s="11" t="s">
        <v>10870</v>
      </c>
      <c r="B162" s="11" t="s">
        <v>11252</v>
      </c>
      <c r="C162" s="11" t="s">
        <v>10874</v>
      </c>
      <c r="D162" s="11" t="s">
        <v>11254</v>
      </c>
      <c r="E162" s="11" t="s">
        <v>65</v>
      </c>
    </row>
    <row r="163" spans="1:5" ht="11.25" customHeight="1">
      <c r="A163" s="11" t="s">
        <v>10870</v>
      </c>
      <c r="B163" s="11" t="s">
        <v>11444</v>
      </c>
      <c r="C163" s="11" t="s">
        <v>10874</v>
      </c>
      <c r="D163" s="11" t="s">
        <v>11446</v>
      </c>
      <c r="E163" s="11" t="s">
        <v>65</v>
      </c>
    </row>
    <row r="164" spans="1:5" ht="11.25" customHeight="1">
      <c r="A164" s="11" t="s">
        <v>10870</v>
      </c>
      <c r="B164" s="11" t="s">
        <v>11503</v>
      </c>
      <c r="C164" s="11" t="s">
        <v>10874</v>
      </c>
      <c r="D164" s="11" t="s">
        <v>11505</v>
      </c>
      <c r="E164" s="11" t="s">
        <v>65</v>
      </c>
    </row>
    <row r="165" spans="1:5" ht="11.25" customHeight="1">
      <c r="A165" s="11" t="s">
        <v>10870</v>
      </c>
      <c r="B165" s="11" t="s">
        <v>11634</v>
      </c>
      <c r="C165" s="11" t="s">
        <v>10874</v>
      </c>
      <c r="D165" s="11" t="s">
        <v>330</v>
      </c>
      <c r="E165" s="11" t="s">
        <v>65</v>
      </c>
    </row>
    <row r="166" spans="1:5" ht="11.25" customHeight="1">
      <c r="A166" s="11" t="s">
        <v>11670</v>
      </c>
      <c r="B166" s="11" t="s">
        <v>11671</v>
      </c>
      <c r="C166" s="11" t="s">
        <v>11674</v>
      </c>
      <c r="D166" s="11" t="s">
        <v>11675</v>
      </c>
      <c r="E166" s="11" t="s">
        <v>63</v>
      </c>
    </row>
    <row r="167" spans="1:5" ht="11.25" customHeight="1">
      <c r="A167" s="11" t="s">
        <v>11670</v>
      </c>
      <c r="B167" s="11" t="s">
        <v>11717</v>
      </c>
      <c r="C167" s="11" t="s">
        <v>11674</v>
      </c>
      <c r="D167" s="11" t="s">
        <v>11719</v>
      </c>
      <c r="E167" s="11" t="s">
        <v>68</v>
      </c>
    </row>
    <row r="168" spans="1:5" ht="11.25" customHeight="1">
      <c r="A168" s="11" t="s">
        <v>11670</v>
      </c>
      <c r="B168" s="11" t="s">
        <v>11810</v>
      </c>
      <c r="C168" s="11" t="s">
        <v>11674</v>
      </c>
      <c r="D168" s="11" t="s">
        <v>11812</v>
      </c>
      <c r="E168" s="11" t="s">
        <v>68</v>
      </c>
    </row>
    <row r="169" spans="1:5" ht="11.25" customHeight="1">
      <c r="A169" s="11" t="s">
        <v>11670</v>
      </c>
      <c r="B169" s="11" t="s">
        <v>11896</v>
      </c>
      <c r="C169" s="11" t="s">
        <v>11674</v>
      </c>
      <c r="D169" s="11" t="s">
        <v>330</v>
      </c>
      <c r="E169" s="11" t="s">
        <v>68</v>
      </c>
    </row>
    <row r="170" spans="1:5" ht="11.25" customHeight="1">
      <c r="A170" s="11" t="s">
        <v>11900</v>
      </c>
      <c r="B170" s="11" t="s">
        <v>11901</v>
      </c>
      <c r="C170" s="11" t="s">
        <v>11904</v>
      </c>
      <c r="D170" s="11" t="s">
        <v>11905</v>
      </c>
      <c r="E170" s="11" t="s">
        <v>73</v>
      </c>
    </row>
    <row r="171" spans="1:5" ht="11.25" customHeight="1">
      <c r="A171" s="11" t="s">
        <v>11900</v>
      </c>
      <c r="B171" s="11" t="s">
        <v>12159</v>
      </c>
      <c r="C171" s="11" t="s">
        <v>11904</v>
      </c>
      <c r="D171" s="11" t="s">
        <v>12161</v>
      </c>
      <c r="E171" s="11" t="s">
        <v>72</v>
      </c>
    </row>
    <row r="172" spans="1:5" ht="11.25" customHeight="1">
      <c r="A172" s="11" t="s">
        <v>11900</v>
      </c>
      <c r="B172" s="11" t="s">
        <v>12392</v>
      </c>
      <c r="C172" s="11" t="s">
        <v>11904</v>
      </c>
      <c r="D172" s="11" t="s">
        <v>12394</v>
      </c>
      <c r="E172" s="11" t="s">
        <v>72</v>
      </c>
    </row>
    <row r="173" spans="1:5" ht="11.25" customHeight="1">
      <c r="A173" s="11" t="s">
        <v>11900</v>
      </c>
      <c r="B173" s="11" t="s">
        <v>12476</v>
      </c>
      <c r="C173" s="11" t="s">
        <v>11904</v>
      </c>
      <c r="D173" s="11" t="s">
        <v>12478</v>
      </c>
      <c r="E173" s="11" t="s">
        <v>71</v>
      </c>
    </row>
    <row r="174" spans="1:5" ht="11.25" customHeight="1">
      <c r="A174" s="11" t="s">
        <v>11900</v>
      </c>
      <c r="B174" s="11" t="s">
        <v>12501</v>
      </c>
      <c r="C174" s="11" t="s">
        <v>11904</v>
      </c>
      <c r="D174" s="11" t="s">
        <v>330</v>
      </c>
      <c r="E174" s="11" t="s">
        <v>71</v>
      </c>
    </row>
    <row r="175" spans="1:5" ht="11.25" customHeight="1">
      <c r="A175" s="11" t="s">
        <v>12502</v>
      </c>
      <c r="B175" s="11" t="s">
        <v>12503</v>
      </c>
      <c r="C175" s="11" t="s">
        <v>12507</v>
      </c>
      <c r="D175" s="11" t="s">
        <v>12508</v>
      </c>
      <c r="E175" s="11"/>
    </row>
    <row r="176" spans="1:5" ht="11.25" customHeight="1">
      <c r="A176" s="11" t="s">
        <v>12502</v>
      </c>
      <c r="B176" s="11" t="s">
        <v>12601</v>
      </c>
      <c r="C176" s="11" t="s">
        <v>12507</v>
      </c>
      <c r="D176" s="11" t="s">
        <v>12603</v>
      </c>
      <c r="E176" s="11"/>
    </row>
    <row r="177" spans="1:5" ht="11.25" customHeight="1">
      <c r="A177" s="11" t="s">
        <v>12502</v>
      </c>
      <c r="B177" s="11" t="s">
        <v>12640</v>
      </c>
      <c r="C177" s="11" t="s">
        <v>12507</v>
      </c>
      <c r="D177" s="11" t="s">
        <v>12642</v>
      </c>
      <c r="E177" s="11"/>
    </row>
    <row r="178" spans="1:5" ht="11.25" customHeight="1">
      <c r="A178" s="11" t="s">
        <v>12502</v>
      </c>
      <c r="B178" s="11" t="s">
        <v>12710</v>
      </c>
      <c r="C178" s="11" t="s">
        <v>12507</v>
      </c>
      <c r="D178" s="11" t="s">
        <v>12712</v>
      </c>
      <c r="E178" s="11"/>
    </row>
    <row r="179" spans="1:5" ht="11.25" customHeight="1">
      <c r="A179" s="11" t="s">
        <v>12502</v>
      </c>
      <c r="B179" s="11" t="s">
        <v>12721</v>
      </c>
      <c r="C179" s="11" t="s">
        <v>12507</v>
      </c>
      <c r="D179" s="11" t="s">
        <v>12723</v>
      </c>
      <c r="E179" s="11" t="s">
        <v>71</v>
      </c>
    </row>
    <row r="180" spans="1:5" ht="11.25" customHeight="1">
      <c r="A180" s="11" t="s">
        <v>12502</v>
      </c>
      <c r="B180" s="11" t="s">
        <v>12827</v>
      </c>
      <c r="C180" s="11" t="s">
        <v>12507</v>
      </c>
      <c r="D180" s="11" t="s">
        <v>12829</v>
      </c>
      <c r="E180" s="11"/>
    </row>
    <row r="181" spans="1:5" ht="11.25" customHeight="1">
      <c r="A181" s="11" t="s">
        <v>12502</v>
      </c>
      <c r="B181" s="11" t="s">
        <v>12875</v>
      </c>
      <c r="C181" s="11" t="s">
        <v>12507</v>
      </c>
      <c r="D181" s="11" t="s">
        <v>330</v>
      </c>
      <c r="E181" s="11"/>
    </row>
    <row r="182" spans="1:5" ht="11.25" customHeight="1">
      <c r="A182" s="11" t="s">
        <v>12888</v>
      </c>
      <c r="B182" s="11" t="s">
        <v>12889</v>
      </c>
      <c r="C182" s="11" t="s">
        <v>12892</v>
      </c>
      <c r="D182" s="11" t="s">
        <v>12893</v>
      </c>
      <c r="E182" s="11" t="s">
        <v>74</v>
      </c>
    </row>
    <row r="183" spans="1:5" ht="11.25" customHeight="1">
      <c r="A183" s="11" t="s">
        <v>12888</v>
      </c>
      <c r="B183" s="11" t="s">
        <v>13084</v>
      </c>
      <c r="C183" s="11" t="s">
        <v>12892</v>
      </c>
      <c r="D183" s="11" t="s">
        <v>1599</v>
      </c>
      <c r="E183" s="11" t="s">
        <v>74</v>
      </c>
    </row>
    <row r="184" spans="1:5" ht="11.25" customHeight="1">
      <c r="A184" s="11" t="s">
        <v>12888</v>
      </c>
      <c r="B184" s="11" t="s">
        <v>13085</v>
      </c>
      <c r="C184" s="11" t="s">
        <v>12892</v>
      </c>
      <c r="D184" s="11" t="s">
        <v>13087</v>
      </c>
      <c r="E184" s="11" t="s">
        <v>76</v>
      </c>
    </row>
    <row r="185" spans="1:5" ht="11.25" customHeight="1">
      <c r="A185" s="11" t="s">
        <v>12888</v>
      </c>
      <c r="B185" s="11" t="s">
        <v>13233</v>
      </c>
      <c r="C185" s="11" t="s">
        <v>12892</v>
      </c>
      <c r="D185" s="11" t="s">
        <v>13235</v>
      </c>
      <c r="E185" s="11" t="s">
        <v>76</v>
      </c>
    </row>
    <row r="186" spans="1:5" ht="11.25" customHeight="1">
      <c r="A186" s="11" t="s">
        <v>12888</v>
      </c>
      <c r="B186" s="11" t="s">
        <v>13283</v>
      </c>
      <c r="C186" s="11" t="s">
        <v>12892</v>
      </c>
      <c r="D186" s="11" t="s">
        <v>13285</v>
      </c>
      <c r="E186" s="11" t="s">
        <v>76</v>
      </c>
    </row>
    <row r="187" spans="1:5" ht="11.25" customHeight="1">
      <c r="A187" s="11" t="s">
        <v>12888</v>
      </c>
      <c r="B187" s="11" t="s">
        <v>13306</v>
      </c>
      <c r="C187" s="11" t="s">
        <v>12892</v>
      </c>
      <c r="D187" s="11" t="s">
        <v>13308</v>
      </c>
      <c r="E187" s="11" t="s">
        <v>74</v>
      </c>
    </row>
    <row r="188" spans="1:5" ht="11.25" customHeight="1">
      <c r="A188" s="11" t="s">
        <v>12888</v>
      </c>
      <c r="B188" s="11" t="s">
        <v>13378</v>
      </c>
      <c r="C188" s="11" t="s">
        <v>12892</v>
      </c>
      <c r="D188" s="11" t="s">
        <v>13380</v>
      </c>
      <c r="E188" s="11" t="s">
        <v>74</v>
      </c>
    </row>
    <row r="189" spans="1:5" ht="11.25" customHeight="1">
      <c r="A189" s="11" t="s">
        <v>12888</v>
      </c>
      <c r="B189" s="11" t="s">
        <v>13429</v>
      </c>
      <c r="C189" s="11" t="s">
        <v>12892</v>
      </c>
      <c r="D189" s="11" t="s">
        <v>13431</v>
      </c>
      <c r="E189" s="11" t="s">
        <v>74</v>
      </c>
    </row>
    <row r="190" spans="1:5" ht="11.25" customHeight="1">
      <c r="A190" s="11" t="s">
        <v>12888</v>
      </c>
      <c r="B190" s="11" t="s">
        <v>13502</v>
      </c>
      <c r="C190" s="11" t="s">
        <v>12892</v>
      </c>
      <c r="D190" s="11" t="s">
        <v>330</v>
      </c>
      <c r="E190" s="11" t="s">
        <v>74</v>
      </c>
    </row>
    <row r="191" spans="1:5" ht="11.25" customHeight="1">
      <c r="A191" s="11" t="s">
        <v>13525</v>
      </c>
      <c r="B191" s="11" t="s">
        <v>13526</v>
      </c>
      <c r="C191" s="11" t="s">
        <v>13529</v>
      </c>
      <c r="D191" s="11" t="s">
        <v>13531</v>
      </c>
      <c r="E191" s="11" t="s">
        <v>79</v>
      </c>
    </row>
    <row r="192" spans="1:5" ht="11.25" customHeight="1">
      <c r="A192" s="11" t="s">
        <v>13525</v>
      </c>
      <c r="B192" s="11" t="s">
        <v>13718</v>
      </c>
      <c r="C192" s="11" t="s">
        <v>13529</v>
      </c>
      <c r="D192" s="11" t="s">
        <v>13720</v>
      </c>
      <c r="E192" s="11" t="s">
        <v>79</v>
      </c>
    </row>
    <row r="193" spans="1:5" ht="11.25" customHeight="1">
      <c r="A193" s="11" t="s">
        <v>13525</v>
      </c>
      <c r="B193" s="11" t="s">
        <v>13929</v>
      </c>
      <c r="C193" s="11" t="s">
        <v>13529</v>
      </c>
      <c r="D193" s="11" t="s">
        <v>13931</v>
      </c>
      <c r="E193" s="11" t="s">
        <v>77</v>
      </c>
    </row>
    <row r="194" spans="1:5" ht="11.25" customHeight="1">
      <c r="A194" s="11" t="s">
        <v>13525</v>
      </c>
      <c r="B194" s="11" t="s">
        <v>13969</v>
      </c>
      <c r="C194" s="11" t="s">
        <v>13529</v>
      </c>
      <c r="D194" s="11" t="s">
        <v>13971</v>
      </c>
      <c r="E194" s="11" t="s">
        <v>86</v>
      </c>
    </row>
    <row r="195" spans="1:5" ht="11.25" customHeight="1">
      <c r="A195" s="11" t="s">
        <v>13525</v>
      </c>
      <c r="B195" s="11" t="s">
        <v>14125</v>
      </c>
      <c r="C195" s="11" t="s">
        <v>13529</v>
      </c>
      <c r="D195" s="11" t="s">
        <v>14127</v>
      </c>
      <c r="E195" s="11" t="s">
        <v>78</v>
      </c>
    </row>
    <row r="196" spans="1:5" ht="11.25" customHeight="1">
      <c r="A196" s="11" t="s">
        <v>13525</v>
      </c>
      <c r="B196" s="11" t="s">
        <v>14148</v>
      </c>
      <c r="C196" s="11" t="s">
        <v>13529</v>
      </c>
      <c r="D196" s="11" t="s">
        <v>330</v>
      </c>
      <c r="E196" s="11" t="s">
        <v>79</v>
      </c>
    </row>
    <row r="197" spans="1:5" ht="11.25" customHeight="1">
      <c r="A197" s="11" t="s">
        <v>14170</v>
      </c>
      <c r="B197" s="11" t="s">
        <v>14171</v>
      </c>
      <c r="C197" s="11" t="s">
        <v>14174</v>
      </c>
      <c r="D197" s="11" t="s">
        <v>14175</v>
      </c>
      <c r="E197" s="11" t="s">
        <v>82</v>
      </c>
    </row>
    <row r="198" spans="1:5" ht="11.25" customHeight="1">
      <c r="A198" s="11" t="s">
        <v>14170</v>
      </c>
      <c r="B198" s="11" t="s">
        <v>14334</v>
      </c>
      <c r="C198" s="11" t="s">
        <v>14174</v>
      </c>
      <c r="D198" s="11" t="s">
        <v>14336</v>
      </c>
      <c r="E198" s="11" t="s">
        <v>82</v>
      </c>
    </row>
    <row r="199" spans="1:5" ht="11.25" customHeight="1">
      <c r="A199" s="11" t="s">
        <v>14170</v>
      </c>
      <c r="B199" s="11" t="s">
        <v>14604</v>
      </c>
      <c r="C199" s="11" t="s">
        <v>14174</v>
      </c>
      <c r="D199" s="11" t="s">
        <v>14606</v>
      </c>
      <c r="E199" s="11" t="s">
        <v>80</v>
      </c>
    </row>
    <row r="200" spans="1:5" ht="11.25" customHeight="1">
      <c r="A200" s="11" t="s">
        <v>14170</v>
      </c>
      <c r="B200" s="11" t="s">
        <v>14821</v>
      </c>
      <c r="C200" s="11" t="s">
        <v>14174</v>
      </c>
      <c r="D200" s="11" t="s">
        <v>14823</v>
      </c>
      <c r="E200" s="11" t="s">
        <v>80</v>
      </c>
    </row>
    <row r="201" spans="1:5" ht="11.25" customHeight="1">
      <c r="A201" s="11" t="s">
        <v>14170</v>
      </c>
      <c r="B201" s="11" t="s">
        <v>14851</v>
      </c>
      <c r="C201" s="11" t="s">
        <v>14174</v>
      </c>
      <c r="D201" s="11" t="s">
        <v>330</v>
      </c>
      <c r="E201" s="11"/>
    </row>
    <row r="202" spans="1:5" ht="11.25" customHeight="1">
      <c r="A202" s="11" t="s">
        <v>14883</v>
      </c>
      <c r="B202" s="11" t="s">
        <v>14884</v>
      </c>
      <c r="C202" s="11" t="s">
        <v>14887</v>
      </c>
      <c r="D202" s="11" t="s">
        <v>14888</v>
      </c>
      <c r="E202" s="11" t="s">
        <v>84</v>
      </c>
    </row>
    <row r="203" spans="1:5" ht="11.25" customHeight="1">
      <c r="A203" s="11" t="s">
        <v>14883</v>
      </c>
      <c r="B203" s="11" t="s">
        <v>14908</v>
      </c>
      <c r="C203" s="11" t="s">
        <v>14887</v>
      </c>
      <c r="D203" s="11" t="s">
        <v>14910</v>
      </c>
      <c r="E203" s="11" t="s">
        <v>84</v>
      </c>
    </row>
    <row r="204" spans="1:5" ht="11.25" customHeight="1">
      <c r="A204" s="11" t="s">
        <v>14883</v>
      </c>
      <c r="B204" s="11" t="s">
        <v>14940</v>
      </c>
      <c r="C204" s="11" t="s">
        <v>14887</v>
      </c>
      <c r="D204" s="11" t="s">
        <v>14942</v>
      </c>
      <c r="E204" s="11" t="s">
        <v>84</v>
      </c>
    </row>
    <row r="205" spans="1:5" ht="11.25" customHeight="1">
      <c r="A205" s="11" t="s">
        <v>14883</v>
      </c>
      <c r="B205" s="11" t="s">
        <v>14977</v>
      </c>
      <c r="C205" s="11" t="s">
        <v>14887</v>
      </c>
      <c r="D205" s="11" t="s">
        <v>14979</v>
      </c>
      <c r="E205" s="11" t="s">
        <v>84</v>
      </c>
    </row>
    <row r="206" spans="1:5" ht="11.25" customHeight="1">
      <c r="A206" s="11" t="s">
        <v>14883</v>
      </c>
      <c r="B206" s="11" t="s">
        <v>15066</v>
      </c>
      <c r="C206" s="11" t="s">
        <v>14887</v>
      </c>
      <c r="D206" s="11" t="s">
        <v>15068</v>
      </c>
      <c r="E206" s="11" t="s">
        <v>84</v>
      </c>
    </row>
    <row r="207" spans="1:5" ht="11.25" customHeight="1">
      <c r="A207" s="11" t="s">
        <v>14883</v>
      </c>
      <c r="B207" s="11" t="s">
        <v>15107</v>
      </c>
      <c r="C207" s="11" t="s">
        <v>14887</v>
      </c>
      <c r="D207" s="11" t="s">
        <v>15109</v>
      </c>
      <c r="E207" s="11" t="s">
        <v>84</v>
      </c>
    </row>
    <row r="208" spans="1:5" ht="11.25" customHeight="1">
      <c r="A208" s="11" t="s">
        <v>14883</v>
      </c>
      <c r="B208" s="11" t="s">
        <v>15143</v>
      </c>
      <c r="C208" s="11" t="s">
        <v>14887</v>
      </c>
      <c r="D208" s="11" t="s">
        <v>15145</v>
      </c>
      <c r="E208" s="11" t="s">
        <v>84</v>
      </c>
    </row>
    <row r="209" spans="1:5" ht="11.25" customHeight="1">
      <c r="A209" s="11" t="s">
        <v>14883</v>
      </c>
      <c r="B209" s="11" t="s">
        <v>15184</v>
      </c>
      <c r="C209" s="11" t="s">
        <v>14887</v>
      </c>
      <c r="D209" s="11" t="s">
        <v>330</v>
      </c>
      <c r="E209" s="11" t="s">
        <v>84</v>
      </c>
    </row>
    <row r="210" spans="1:5" ht="11.25" customHeight="1">
      <c r="A210" s="11" t="s">
        <v>15194</v>
      </c>
      <c r="B210" s="11" t="s">
        <v>15195</v>
      </c>
      <c r="C210" s="11" t="s">
        <v>15199</v>
      </c>
      <c r="D210" s="11" t="s">
        <v>15200</v>
      </c>
      <c r="E210" s="11"/>
    </row>
    <row r="211" spans="1:5" ht="11.25" customHeight="1">
      <c r="A211" s="11" t="s">
        <v>15194</v>
      </c>
      <c r="B211" s="11" t="s">
        <v>15225</v>
      </c>
      <c r="C211" s="11" t="s">
        <v>15199</v>
      </c>
      <c r="D211" s="11" t="s">
        <v>15227</v>
      </c>
      <c r="E211" s="11"/>
    </row>
    <row r="212" spans="1:5" ht="11.25" customHeight="1">
      <c r="A212" s="11" t="s">
        <v>15194</v>
      </c>
      <c r="B212" s="11" t="s">
        <v>15242</v>
      </c>
      <c r="C212" s="11" t="s">
        <v>15199</v>
      </c>
      <c r="D212" s="11" t="s">
        <v>15244</v>
      </c>
      <c r="E212" s="11"/>
    </row>
    <row r="213" spans="1:5" ht="11.25" customHeight="1">
      <c r="A213" s="11" t="s">
        <v>15194</v>
      </c>
      <c r="B213" s="11" t="s">
        <v>15247</v>
      </c>
      <c r="C213" s="11" t="s">
        <v>15199</v>
      </c>
      <c r="D213" s="11" t="s">
        <v>15249</v>
      </c>
      <c r="E213" s="11"/>
    </row>
    <row r="214" spans="1:5" ht="11.25" customHeight="1">
      <c r="A214" s="11" t="s">
        <v>15194</v>
      </c>
      <c r="B214" s="11" t="s">
        <v>15252</v>
      </c>
      <c r="C214" s="11" t="s">
        <v>15199</v>
      </c>
      <c r="D214" s="11" t="s">
        <v>15254</v>
      </c>
      <c r="E214" s="11"/>
    </row>
    <row r="215" spans="1:5" ht="11.25" customHeight="1">
      <c r="A215" s="11" t="s">
        <v>15194</v>
      </c>
      <c r="B215" s="11" t="s">
        <v>15263</v>
      </c>
      <c r="C215" s="11" t="s">
        <v>15199</v>
      </c>
      <c r="D215" s="11" t="s">
        <v>15265</v>
      </c>
      <c r="E215" s="11"/>
    </row>
    <row r="216" spans="1:5" ht="11.25" customHeight="1">
      <c r="A216" s="11" t="s">
        <v>15194</v>
      </c>
      <c r="B216" s="11" t="s">
        <v>15298</v>
      </c>
      <c r="C216" s="11" t="s">
        <v>15199</v>
      </c>
      <c r="D216" s="11" t="s">
        <v>15300</v>
      </c>
      <c r="E216" s="11"/>
    </row>
    <row r="217" spans="1:5" ht="11.25" customHeight="1">
      <c r="A217" s="11" t="s">
        <v>15194</v>
      </c>
      <c r="B217" s="11" t="s">
        <v>15309</v>
      </c>
      <c r="C217" s="11" t="s">
        <v>15199</v>
      </c>
      <c r="D217" s="11" t="s">
        <v>330</v>
      </c>
      <c r="E217" s="11"/>
    </row>
    <row r="218" spans="1:5" ht="11.25" customHeight="1">
      <c r="A218" s="11" t="s">
        <v>15340</v>
      </c>
      <c r="B218" s="11" t="s">
        <v>15341</v>
      </c>
      <c r="C218" s="11" t="s">
        <v>15344</v>
      </c>
      <c r="D218" s="11" t="s">
        <v>15346</v>
      </c>
      <c r="E218" s="11" t="s">
        <v>86</v>
      </c>
    </row>
    <row r="219" spans="1:5" ht="11.25" customHeight="1">
      <c r="A219" s="11" t="s">
        <v>15340</v>
      </c>
      <c r="B219" s="11" t="s">
        <v>15371</v>
      </c>
      <c r="C219" s="11" t="s">
        <v>15344</v>
      </c>
      <c r="D219" s="11" t="s">
        <v>15373</v>
      </c>
      <c r="E219" s="11" t="s">
        <v>86</v>
      </c>
    </row>
    <row r="220" spans="1:5" ht="11.25" customHeight="1">
      <c r="A220" s="11" t="s">
        <v>15340</v>
      </c>
      <c r="B220" s="11" t="s">
        <v>15394</v>
      </c>
      <c r="C220" s="11" t="s">
        <v>15344</v>
      </c>
      <c r="D220" s="11" t="s">
        <v>15396</v>
      </c>
      <c r="E220" s="11" t="s">
        <v>86</v>
      </c>
    </row>
    <row r="221" spans="1:5" ht="11.25" customHeight="1">
      <c r="A221" s="11" t="s">
        <v>15340</v>
      </c>
      <c r="B221" s="11" t="s">
        <v>15569</v>
      </c>
      <c r="C221" s="11" t="s">
        <v>15344</v>
      </c>
      <c r="D221" s="11" t="s">
        <v>15571</v>
      </c>
      <c r="E221" s="11" t="s">
        <v>86</v>
      </c>
    </row>
    <row r="222" spans="1:5" ht="11.25" customHeight="1">
      <c r="A222" s="11" t="s">
        <v>15340</v>
      </c>
      <c r="B222" s="11" t="s">
        <v>15598</v>
      </c>
      <c r="C222" s="11" t="s">
        <v>15344</v>
      </c>
      <c r="D222" s="11" t="s">
        <v>15600</v>
      </c>
      <c r="E222" s="11" t="s">
        <v>86</v>
      </c>
    </row>
    <row r="223" spans="1:5" ht="11.25" customHeight="1">
      <c r="A223" s="11" t="s">
        <v>15340</v>
      </c>
      <c r="B223" s="11" t="s">
        <v>15603</v>
      </c>
      <c r="C223" s="11" t="s">
        <v>15344</v>
      </c>
      <c r="D223" s="11" t="s">
        <v>15605</v>
      </c>
      <c r="E223" s="11" t="s">
        <v>86</v>
      </c>
    </row>
    <row r="224" spans="1:5" ht="11.25" customHeight="1">
      <c r="A224" s="11" t="s">
        <v>15340</v>
      </c>
      <c r="B224" s="11" t="s">
        <v>15679</v>
      </c>
      <c r="C224" s="11" t="s">
        <v>15344</v>
      </c>
      <c r="D224" s="11" t="s">
        <v>330</v>
      </c>
      <c r="E224" s="11" t="s">
        <v>86</v>
      </c>
    </row>
    <row r="225" spans="1:5" ht="11.25" customHeight="1">
      <c r="A225" s="11" t="s">
        <v>15689</v>
      </c>
      <c r="B225" s="11" t="s">
        <v>15690</v>
      </c>
      <c r="C225" s="11" t="s">
        <v>15693</v>
      </c>
      <c r="D225" s="11" t="s">
        <v>15694</v>
      </c>
      <c r="E225" s="11" t="s">
        <v>60</v>
      </c>
    </row>
    <row r="226" spans="1:5" ht="11.25" customHeight="1">
      <c r="A226" s="11" t="s">
        <v>15689</v>
      </c>
      <c r="B226" s="11" t="s">
        <v>15715</v>
      </c>
      <c r="C226" s="11" t="s">
        <v>15693</v>
      </c>
      <c r="D226" s="11" t="s">
        <v>15717</v>
      </c>
      <c r="E226" s="11" t="s">
        <v>88</v>
      </c>
    </row>
    <row r="227" spans="1:5" ht="11.25" customHeight="1">
      <c r="A227" s="11" t="s">
        <v>15689</v>
      </c>
      <c r="B227" s="11" t="s">
        <v>15800</v>
      </c>
      <c r="C227" s="11" t="s">
        <v>15693</v>
      </c>
      <c r="D227" s="11" t="s">
        <v>330</v>
      </c>
      <c r="E227" s="11" t="s">
        <v>88</v>
      </c>
    </row>
    <row r="228" spans="1:5" ht="11.25" customHeight="1">
      <c r="A228" s="11" t="s">
        <v>15804</v>
      </c>
      <c r="B228" s="11" t="s">
        <v>15805</v>
      </c>
      <c r="C228" s="11" t="s">
        <v>15808</v>
      </c>
      <c r="D228" s="11" t="s">
        <v>15810</v>
      </c>
      <c r="E228" s="11" t="s">
        <v>90</v>
      </c>
    </row>
    <row r="229" spans="1:5" ht="11.25" customHeight="1">
      <c r="A229" s="11" t="s">
        <v>15804</v>
      </c>
      <c r="B229" s="11" t="s">
        <v>15837</v>
      </c>
      <c r="C229" s="11" t="s">
        <v>15808</v>
      </c>
      <c r="D229" s="11" t="s">
        <v>15839</v>
      </c>
      <c r="E229" s="11" t="s">
        <v>90</v>
      </c>
    </row>
    <row r="230" spans="1:5" ht="11.25" customHeight="1">
      <c r="A230" s="11" t="s">
        <v>15804</v>
      </c>
      <c r="B230" s="11" t="s">
        <v>15888</v>
      </c>
      <c r="C230" s="11" t="s">
        <v>15808</v>
      </c>
      <c r="D230" s="11" t="s">
        <v>15890</v>
      </c>
      <c r="E230" s="11" t="s">
        <v>90</v>
      </c>
    </row>
    <row r="231" spans="1:5" ht="11.25" customHeight="1">
      <c r="A231" s="11" t="s">
        <v>15804</v>
      </c>
      <c r="B231" s="11" t="s">
        <v>15926</v>
      </c>
      <c r="C231" s="11" t="s">
        <v>15808</v>
      </c>
      <c r="D231" s="11" t="s">
        <v>15928</v>
      </c>
      <c r="E231" s="11" t="s">
        <v>90</v>
      </c>
    </row>
    <row r="232" spans="1:5" ht="11.25" customHeight="1">
      <c r="A232" s="11" t="s">
        <v>15804</v>
      </c>
      <c r="B232" s="11" t="s">
        <v>16040</v>
      </c>
      <c r="C232" s="11" t="s">
        <v>15808</v>
      </c>
      <c r="D232" s="11" t="s">
        <v>16042</v>
      </c>
      <c r="E232" s="11" t="s">
        <v>90</v>
      </c>
    </row>
    <row r="233" spans="1:5" ht="11.25" customHeight="1">
      <c r="A233" s="11" t="s">
        <v>15804</v>
      </c>
      <c r="B233" s="11" t="s">
        <v>16055</v>
      </c>
      <c r="C233" s="11" t="s">
        <v>15808</v>
      </c>
      <c r="D233" s="11" t="s">
        <v>16057</v>
      </c>
      <c r="E233" s="11" t="s">
        <v>90</v>
      </c>
    </row>
    <row r="234" spans="1:5" ht="11.25" customHeight="1">
      <c r="A234" s="11" t="s">
        <v>15804</v>
      </c>
      <c r="B234" s="11" t="s">
        <v>16072</v>
      </c>
      <c r="C234" s="11" t="s">
        <v>15808</v>
      </c>
      <c r="D234" s="11" t="s">
        <v>16074</v>
      </c>
      <c r="E234" s="11" t="s">
        <v>90</v>
      </c>
    </row>
    <row r="235" spans="1:5" ht="11.25" customHeight="1">
      <c r="A235" s="11" t="s">
        <v>15804</v>
      </c>
      <c r="B235" s="11" t="s">
        <v>16083</v>
      </c>
      <c r="C235" s="11" t="s">
        <v>15808</v>
      </c>
      <c r="D235" s="11" t="s">
        <v>16085</v>
      </c>
      <c r="E235" s="11" t="s">
        <v>90</v>
      </c>
    </row>
    <row r="236" spans="1:5" ht="11.25" customHeight="1">
      <c r="A236" s="11" t="s">
        <v>15804</v>
      </c>
      <c r="B236" s="11" t="s">
        <v>16104</v>
      </c>
      <c r="C236" s="11" t="s">
        <v>15808</v>
      </c>
      <c r="D236" s="11" t="s">
        <v>16106</v>
      </c>
      <c r="E236" s="11" t="s">
        <v>90</v>
      </c>
    </row>
    <row r="237" spans="1:5" ht="11.25" customHeight="1">
      <c r="A237" s="11" t="s">
        <v>15804</v>
      </c>
      <c r="B237" s="11" t="s">
        <v>16112</v>
      </c>
      <c r="C237" s="11" t="s">
        <v>15808</v>
      </c>
      <c r="D237" s="11" t="s">
        <v>16114</v>
      </c>
      <c r="E237" s="11" t="s">
        <v>90</v>
      </c>
    </row>
    <row r="238" spans="1:5" ht="11.25" customHeight="1">
      <c r="A238" s="11" t="s">
        <v>15804</v>
      </c>
      <c r="B238" s="11" t="s">
        <v>16135</v>
      </c>
      <c r="C238" s="11" t="s">
        <v>15808</v>
      </c>
      <c r="D238" s="11" t="s">
        <v>16137</v>
      </c>
      <c r="E238" s="11" t="s">
        <v>90</v>
      </c>
    </row>
    <row r="239" spans="1:5" ht="11.25" customHeight="1">
      <c r="A239" s="11" t="s">
        <v>15804</v>
      </c>
      <c r="B239" s="11" t="s">
        <v>16149</v>
      </c>
      <c r="C239" s="11" t="s">
        <v>15808</v>
      </c>
      <c r="D239" s="11" t="s">
        <v>16151</v>
      </c>
      <c r="E239" s="11" t="s">
        <v>90</v>
      </c>
    </row>
    <row r="240" spans="1:5" ht="11.25" customHeight="1">
      <c r="A240" s="11" t="s">
        <v>15804</v>
      </c>
      <c r="B240" s="11" t="s">
        <v>16160</v>
      </c>
      <c r="C240" s="11" t="s">
        <v>15808</v>
      </c>
      <c r="D240" s="11" t="s">
        <v>330</v>
      </c>
      <c r="E240" s="11" t="s">
        <v>90</v>
      </c>
    </row>
    <row r="241" spans="1:5" ht="11.25" customHeight="1">
      <c r="A241" s="11" t="s">
        <v>16192</v>
      </c>
      <c r="B241" s="11" t="s">
        <v>16193</v>
      </c>
      <c r="C241" s="11" t="s">
        <v>16197</v>
      </c>
      <c r="D241" s="11" t="s">
        <v>16197</v>
      </c>
      <c r="E241" s="11" t="s">
        <v>54</v>
      </c>
    </row>
    <row r="242" spans="1:5" ht="11.25" customHeight="1">
      <c r="A242" s="11" t="s">
        <v>16419</v>
      </c>
      <c r="B242" s="11" t="s">
        <v>16420</v>
      </c>
      <c r="C242" s="11" t="s">
        <v>16423</v>
      </c>
      <c r="D242" s="11" t="s">
        <v>16424</v>
      </c>
      <c r="E242" s="11" t="s">
        <v>92</v>
      </c>
    </row>
    <row r="243" spans="1:5" ht="11.25" customHeight="1">
      <c r="A243" s="11" t="s">
        <v>16419</v>
      </c>
      <c r="B243" s="11" t="s">
        <v>16441</v>
      </c>
      <c r="C243" s="11" t="s">
        <v>16423</v>
      </c>
      <c r="D243" s="11" t="s">
        <v>16443</v>
      </c>
      <c r="E243" s="11" t="s">
        <v>17</v>
      </c>
    </row>
    <row r="244" spans="1:5" ht="11.25" customHeight="1"/>
    <row r="245" spans="1:5" ht="11.25" customHeight="1"/>
    <row r="246" spans="1:5" ht="11.25" customHeight="1"/>
    <row r="247" spans="1:5" ht="11.25" customHeight="1"/>
    <row r="248" spans="1:5" ht="11.25" customHeight="1"/>
    <row r="249" spans="1:5" ht="11.25" customHeight="1"/>
    <row r="250" spans="1:5" ht="11.25" customHeight="1"/>
    <row r="251" spans="1:5" ht="11.25" customHeight="1"/>
    <row r="252" spans="1:5" ht="11.25" customHeight="1"/>
    <row r="253" spans="1:5" ht="11.25" customHeight="1"/>
    <row r="254" spans="1:5" ht="11.25" customHeight="1"/>
    <row r="255" spans="1:5" ht="11.25" customHeight="1"/>
    <row r="256" spans="1:5" ht="11.25" customHeight="1"/>
    <row r="257" ht="11.25" customHeight="1"/>
    <row r="258" ht="11.25" customHeight="1"/>
    <row r="259" ht="11.25" customHeight="1"/>
    <row r="260" ht="11.25" customHeight="1"/>
    <row r="261" ht="11.25" customHeight="1"/>
    <row r="262" ht="11.25" customHeight="1"/>
    <row r="263" ht="11.25" customHeight="1"/>
    <row r="264" ht="11.25" customHeight="1"/>
    <row r="265" ht="11.25" customHeight="1"/>
    <row r="266" ht="11.25" customHeight="1"/>
    <row r="267" ht="11.25" customHeight="1"/>
    <row r="268" ht="11.25" customHeight="1"/>
    <row r="269" ht="11.25" customHeight="1"/>
    <row r="270" ht="11.25" customHeight="1"/>
    <row r="271" ht="11.25" customHeight="1"/>
    <row r="272" ht="11.25" customHeight="1"/>
    <row r="273" ht="11.25" customHeight="1"/>
    <row r="274" ht="11.25" customHeight="1"/>
    <row r="275" ht="11.25" customHeight="1"/>
    <row r="276" ht="11.25" customHeight="1"/>
    <row r="277" ht="11.25" customHeight="1"/>
    <row r="278" ht="11.25" customHeight="1"/>
    <row r="279" ht="11.25" customHeight="1"/>
    <row r="280" ht="11.25" customHeight="1"/>
    <row r="281" ht="11.25" customHeight="1"/>
    <row r="282" ht="11.25" customHeight="1"/>
    <row r="283" ht="11.25" customHeight="1"/>
    <row r="284" ht="11.25" customHeight="1"/>
    <row r="285" ht="11.25" customHeight="1"/>
    <row r="286" ht="11.25" customHeight="1"/>
    <row r="287" ht="11.25" customHeight="1"/>
    <row r="288" ht="11.25" customHeight="1"/>
    <row r="289" ht="11.25" customHeight="1"/>
    <row r="290" ht="11.25" customHeight="1"/>
    <row r="291" ht="11.25" customHeight="1"/>
    <row r="292" ht="11.25" customHeight="1"/>
    <row r="293" ht="11.25" customHeight="1"/>
    <row r="294" ht="11.25" customHeight="1"/>
    <row r="295" ht="11.25" customHeight="1"/>
    <row r="296" ht="11.25" customHeight="1"/>
    <row r="297" ht="11.25" customHeight="1"/>
    <row r="298" ht="11.25" customHeight="1"/>
    <row r="299" ht="11.25" customHeight="1"/>
    <row r="300" ht="11.25" customHeight="1"/>
    <row r="301" ht="11.25" customHeight="1"/>
    <row r="302" ht="11.25" customHeight="1"/>
    <row r="303" ht="11.25" customHeight="1"/>
    <row r="304" ht="11.25" customHeight="1"/>
    <row r="305" ht="11.25" customHeight="1"/>
    <row r="306" ht="11.25" customHeight="1"/>
    <row r="307" ht="11.25" customHeight="1"/>
    <row r="308" ht="11.25" customHeight="1"/>
    <row r="309" ht="11.25" customHeight="1"/>
    <row r="310" ht="11.25" customHeight="1"/>
    <row r="311" ht="11.25" customHeight="1"/>
    <row r="312" ht="11.25" customHeight="1"/>
    <row r="313" ht="11.25" customHeight="1"/>
    <row r="314" ht="11.25" customHeight="1"/>
    <row r="315" ht="11.25" customHeight="1"/>
    <row r="316" ht="11.25" customHeight="1"/>
    <row r="317" ht="11.25" customHeight="1"/>
    <row r="318" ht="11.25" customHeight="1"/>
    <row r="319" ht="11.25" customHeight="1"/>
    <row r="320" ht="11.25" customHeight="1"/>
    <row r="321" ht="11.25" customHeight="1"/>
    <row r="322" ht="11.25" customHeight="1"/>
    <row r="323" ht="11.25" customHeight="1"/>
    <row r="324" ht="11.25" customHeight="1"/>
    <row r="325" ht="11.25" customHeight="1"/>
    <row r="326" ht="11.25" customHeight="1"/>
    <row r="327" ht="11.25" customHeight="1"/>
    <row r="328" ht="11.25" customHeight="1"/>
    <row r="329" ht="11.25" customHeight="1"/>
    <row r="330" ht="11.25" customHeight="1"/>
    <row r="331" ht="11.25" customHeight="1"/>
    <row r="332" ht="11.25" customHeight="1"/>
    <row r="333" ht="11.25" customHeight="1"/>
    <row r="334" ht="11.25" customHeight="1"/>
    <row r="335" ht="11.25" customHeight="1"/>
    <row r="336" ht="11.25" customHeight="1"/>
    <row r="337" ht="11.25" customHeight="1"/>
    <row r="338" ht="11.25" customHeight="1"/>
    <row r="339" ht="11.25" customHeight="1"/>
    <row r="340" ht="11.25" customHeight="1"/>
    <row r="341" ht="11.25" customHeight="1"/>
    <row r="342" ht="11.25" customHeight="1"/>
    <row r="343" ht="11.25" customHeight="1"/>
    <row r="344" ht="11.25" customHeight="1"/>
    <row r="345" ht="11.25" customHeight="1"/>
    <row r="346" ht="11.25" customHeight="1"/>
    <row r="347" ht="11.25" customHeight="1"/>
    <row r="348" ht="11.25" customHeight="1"/>
    <row r="349" ht="11.25" customHeight="1"/>
    <row r="350" ht="11.25" customHeight="1"/>
    <row r="351" ht="11.25" customHeight="1"/>
    <row r="352" ht="11.25" customHeight="1"/>
    <row r="353" ht="11.25" customHeight="1"/>
    <row r="354" ht="11.25" customHeight="1"/>
    <row r="355" ht="11.25" customHeight="1"/>
    <row r="356" ht="11.25" customHeight="1"/>
    <row r="357" ht="11.25" customHeight="1"/>
    <row r="358" ht="11.25" customHeight="1"/>
    <row r="359" ht="11.25" customHeight="1"/>
    <row r="360" ht="11.25" customHeight="1"/>
    <row r="361" ht="11.25" customHeight="1"/>
    <row r="362" ht="11.25" customHeight="1"/>
    <row r="363" ht="11.25" customHeight="1"/>
    <row r="364" ht="11.25" customHeight="1"/>
    <row r="365" ht="11.25" customHeight="1"/>
    <row r="366" ht="11.25" customHeight="1"/>
    <row r="367" ht="11.25" customHeight="1"/>
    <row r="368" ht="11.25" customHeight="1"/>
    <row r="369" ht="11.25" customHeight="1"/>
    <row r="370" ht="11.25" customHeight="1"/>
    <row r="371" ht="11.25" customHeight="1"/>
    <row r="372" ht="11.25" customHeight="1"/>
    <row r="373" ht="11.25" customHeight="1"/>
    <row r="374" ht="11.25" customHeight="1"/>
    <row r="375" ht="11.25" customHeight="1"/>
    <row r="376" ht="11.25" customHeight="1"/>
    <row r="377" ht="11.25" customHeight="1"/>
    <row r="378" ht="11.25" customHeight="1"/>
    <row r="379" ht="11.25" customHeight="1"/>
    <row r="380" ht="11.25" customHeight="1"/>
    <row r="381" ht="11.25" customHeight="1"/>
    <row r="382" ht="11.25" customHeight="1"/>
    <row r="383" ht="11.25" customHeight="1"/>
    <row r="384" ht="11.25" customHeight="1"/>
    <row r="385" ht="11.25" customHeight="1"/>
    <row r="386" ht="11.25" customHeight="1"/>
    <row r="387" ht="11.25" customHeight="1"/>
    <row r="388" ht="11.25" customHeight="1"/>
    <row r="389" ht="11.25" customHeight="1"/>
    <row r="390" ht="11.25" customHeight="1"/>
    <row r="391" ht="11.25" customHeight="1"/>
    <row r="392" ht="11.25" customHeight="1"/>
    <row r="393" ht="11.25" customHeight="1"/>
    <row r="394" ht="11.25" customHeight="1"/>
    <row r="395" ht="11.25" customHeight="1"/>
    <row r="396" ht="11.25" customHeight="1"/>
    <row r="397" ht="11.25" customHeight="1"/>
    <row r="398" ht="11.25" customHeight="1"/>
    <row r="399" ht="11.25" customHeight="1"/>
    <row r="400" ht="11.25" customHeight="1"/>
    <row r="401" ht="11.25" customHeight="1"/>
    <row r="402" ht="11.25" customHeight="1"/>
    <row r="403" ht="11.25" customHeight="1"/>
    <row r="404" ht="11.25" customHeight="1"/>
    <row r="405" ht="11.25" customHeight="1"/>
    <row r="406" ht="11.25" customHeight="1"/>
    <row r="407" ht="11.25" customHeight="1"/>
    <row r="408" ht="11.25" customHeight="1"/>
    <row r="409" ht="11.25" customHeight="1"/>
    <row r="410" ht="11.25" customHeight="1"/>
    <row r="411" ht="11.25" customHeight="1"/>
    <row r="412" ht="11.25" customHeight="1"/>
    <row r="413" ht="11.25" customHeight="1"/>
    <row r="414" ht="11.25" customHeight="1"/>
    <row r="415" ht="11.25" customHeight="1"/>
    <row r="416" ht="11.25" customHeight="1"/>
    <row r="417" ht="11.25" customHeight="1"/>
    <row r="418" ht="11.25" customHeight="1"/>
    <row r="419" ht="11.25" customHeight="1"/>
    <row r="420" ht="11.25" customHeight="1"/>
    <row r="421" ht="11.25" customHeight="1"/>
    <row r="422" ht="11.25" customHeight="1"/>
    <row r="423" ht="11.25" customHeight="1"/>
    <row r="424" ht="11.25" customHeight="1"/>
    <row r="425" ht="11.25" customHeight="1"/>
    <row r="426" ht="11.25" customHeight="1"/>
    <row r="427" ht="11.25" customHeight="1"/>
    <row r="428" ht="11.25" customHeight="1"/>
    <row r="429" ht="11.25" customHeight="1"/>
    <row r="430" ht="11.25" customHeight="1"/>
    <row r="431" ht="11.25" customHeight="1"/>
    <row r="432" ht="11.25" customHeight="1"/>
    <row r="433" ht="11.25" customHeight="1"/>
    <row r="434" ht="11.25" customHeight="1"/>
    <row r="435" ht="11.25" customHeight="1"/>
    <row r="436" ht="11.25" customHeight="1"/>
    <row r="437" ht="11.25" customHeight="1"/>
    <row r="438" ht="11.25" customHeight="1"/>
    <row r="439" ht="11.25" customHeight="1"/>
    <row r="440" ht="11.25" customHeight="1"/>
    <row r="441" ht="11.25" customHeight="1"/>
    <row r="442" ht="11.25" customHeight="1"/>
    <row r="443" ht="11.25" customHeight="1"/>
    <row r="444" ht="11.25" customHeight="1"/>
    <row r="445" ht="11.25" customHeight="1"/>
    <row r="446" ht="11.25" customHeight="1"/>
    <row r="447" ht="11.25" customHeight="1"/>
    <row r="448" ht="11.25" customHeight="1"/>
    <row r="449" ht="11.25" customHeight="1"/>
    <row r="450" ht="11.25" customHeight="1"/>
    <row r="451" ht="11.25" customHeight="1"/>
    <row r="452" ht="11.25" customHeight="1"/>
    <row r="453" ht="11.25" customHeight="1"/>
    <row r="454" ht="11.25" customHeight="1"/>
    <row r="455" ht="11.25" customHeight="1"/>
    <row r="456" ht="11.25" customHeight="1"/>
    <row r="457" ht="11.25" customHeight="1"/>
    <row r="458" ht="11.25" customHeight="1"/>
    <row r="459" ht="11.25" customHeight="1"/>
    <row r="460" ht="11.25" customHeight="1"/>
    <row r="461" ht="11.25" customHeight="1"/>
    <row r="462" ht="11.25" customHeight="1"/>
    <row r="463" ht="11.25" customHeight="1"/>
    <row r="464" ht="11.25" customHeight="1"/>
    <row r="465" ht="11.25" customHeight="1"/>
    <row r="466" ht="11.25" customHeight="1"/>
    <row r="467" ht="11.25" customHeight="1"/>
    <row r="468" ht="11.25" customHeight="1"/>
    <row r="469" ht="11.25" customHeight="1"/>
    <row r="470" ht="11.25" customHeight="1"/>
    <row r="471" ht="11.25" customHeight="1"/>
    <row r="472" ht="11.25" customHeight="1"/>
    <row r="473" ht="11.25" customHeight="1"/>
    <row r="474" ht="11.25" customHeight="1"/>
    <row r="475" ht="11.25" customHeight="1"/>
    <row r="476" ht="11.25" customHeight="1"/>
    <row r="477" ht="11.25" customHeight="1"/>
    <row r="478" ht="11.25" customHeight="1"/>
    <row r="479" ht="11.25" customHeight="1"/>
    <row r="480" ht="11.25" customHeight="1"/>
    <row r="481" ht="11.25" customHeight="1"/>
    <row r="482" ht="11.25" customHeight="1"/>
    <row r="483" ht="11.25" customHeight="1"/>
    <row r="484" ht="11.25" customHeight="1"/>
    <row r="485" ht="11.25" customHeight="1"/>
    <row r="486" ht="11.25" customHeight="1"/>
    <row r="487" ht="11.25" customHeight="1"/>
    <row r="488" ht="11.25" customHeight="1"/>
    <row r="489" ht="11.25" customHeight="1"/>
    <row r="490" ht="11.25" customHeight="1"/>
    <row r="491" ht="11.25" customHeight="1"/>
    <row r="492" ht="11.25" customHeight="1"/>
    <row r="493" ht="11.25" customHeight="1"/>
    <row r="494" ht="11.25" customHeight="1"/>
    <row r="495" ht="11.25" customHeight="1"/>
    <row r="496" ht="11.25" customHeight="1"/>
    <row r="497" ht="11.25" customHeight="1"/>
    <row r="498" ht="11.25" customHeight="1"/>
    <row r="499" ht="11.25" customHeight="1"/>
    <row r="500" ht="11.25" customHeight="1"/>
    <row r="501" ht="11.25" customHeight="1"/>
    <row r="502" ht="11.25" customHeight="1"/>
    <row r="503" ht="11.25" customHeight="1"/>
    <row r="504" ht="11.25" customHeight="1"/>
    <row r="505" ht="11.25" customHeight="1"/>
    <row r="506" ht="11.25" customHeight="1"/>
    <row r="507" ht="11.25" customHeight="1"/>
    <row r="508" ht="11.25" customHeight="1"/>
    <row r="509" ht="11.25" customHeight="1"/>
    <row r="510" ht="11.25" customHeight="1"/>
    <row r="511" ht="11.25" customHeight="1"/>
    <row r="512" ht="11.25" customHeight="1"/>
    <row r="513" ht="11.25" customHeight="1"/>
    <row r="514" ht="11.25" customHeight="1"/>
    <row r="515" ht="11.25" customHeight="1"/>
    <row r="516" ht="11.25" customHeight="1"/>
    <row r="517" ht="11.25" customHeight="1"/>
    <row r="518" ht="11.25" customHeight="1"/>
    <row r="519" ht="11.25" customHeight="1"/>
    <row r="520" ht="11.25" customHeight="1"/>
    <row r="521" ht="11.25" customHeight="1"/>
    <row r="522" ht="11.25" customHeight="1"/>
    <row r="523" ht="11.25" customHeight="1"/>
    <row r="524" ht="11.25" customHeight="1"/>
    <row r="525" ht="11.25" customHeight="1"/>
    <row r="526" ht="11.25" customHeight="1"/>
    <row r="527" ht="11.25" customHeight="1"/>
    <row r="528" ht="11.25" customHeight="1"/>
    <row r="529" ht="11.25" customHeight="1"/>
    <row r="530" ht="11.25" customHeight="1"/>
    <row r="531" ht="11.25" customHeight="1"/>
    <row r="532" ht="11.25" customHeight="1"/>
    <row r="533" ht="11.25" customHeight="1"/>
    <row r="534" ht="11.25" customHeight="1"/>
    <row r="535" ht="11.25" customHeight="1"/>
    <row r="536" ht="11.25" customHeight="1"/>
    <row r="537" ht="11.25" customHeight="1"/>
    <row r="538" ht="11.25" customHeight="1"/>
    <row r="539" ht="11.25" customHeight="1"/>
    <row r="540" ht="11.25" customHeight="1"/>
    <row r="541" ht="11.25" customHeight="1"/>
    <row r="542" ht="11.25" customHeight="1"/>
    <row r="543" ht="11.25" customHeight="1"/>
    <row r="544" ht="11.25" customHeight="1"/>
    <row r="545" ht="11.25" customHeight="1"/>
    <row r="546" ht="11.25" customHeight="1"/>
    <row r="547" ht="11.25" customHeight="1"/>
    <row r="548" ht="11.25" customHeight="1"/>
    <row r="549" ht="11.25" customHeight="1"/>
    <row r="550" ht="11.25" customHeight="1"/>
    <row r="551" ht="11.25" customHeight="1"/>
    <row r="552" ht="11.25" customHeight="1"/>
    <row r="553" ht="11.25" customHeight="1"/>
    <row r="554" ht="11.25" customHeight="1"/>
    <row r="555" ht="11.25" customHeight="1"/>
    <row r="556" ht="11.25" customHeight="1"/>
    <row r="557" ht="11.25" customHeight="1"/>
    <row r="558" ht="11.25" customHeight="1"/>
    <row r="559" ht="11.25" customHeight="1"/>
    <row r="560" ht="11.25" customHeight="1"/>
    <row r="561" ht="11.25" customHeight="1"/>
    <row r="562" ht="11.25" customHeight="1"/>
    <row r="563" ht="11.25" customHeight="1"/>
    <row r="564" ht="11.25" customHeight="1"/>
    <row r="565" ht="11.25" customHeight="1"/>
    <row r="566" ht="11.25" customHeight="1"/>
    <row r="567" ht="11.25" customHeight="1"/>
    <row r="568" ht="11.25" customHeight="1"/>
    <row r="569" ht="11.25" customHeight="1"/>
    <row r="570" ht="11.25" customHeight="1"/>
    <row r="571" ht="11.25" customHeight="1"/>
    <row r="572" ht="11.25" customHeight="1"/>
    <row r="573" ht="11.25" customHeight="1"/>
    <row r="574" ht="11.25" customHeight="1"/>
    <row r="575" ht="11.25" customHeight="1"/>
    <row r="576" ht="11.25" customHeight="1"/>
    <row r="577" ht="11.25" customHeight="1"/>
    <row r="578" ht="11.25" customHeight="1"/>
    <row r="579" ht="11.25" customHeight="1"/>
    <row r="580" ht="11.25" customHeight="1"/>
    <row r="581" ht="11.25" customHeight="1"/>
    <row r="582" ht="11.25" customHeight="1"/>
    <row r="583" ht="11.25" customHeight="1"/>
    <row r="584" ht="11.25" customHeight="1"/>
    <row r="585" ht="11.25" customHeight="1"/>
    <row r="586" ht="11.25" customHeight="1"/>
    <row r="587" ht="11.25" customHeight="1"/>
    <row r="588" ht="11.25" customHeight="1"/>
    <row r="589" ht="11.25" customHeight="1"/>
    <row r="590" ht="11.25" customHeight="1"/>
    <row r="591" ht="11.25" customHeight="1"/>
    <row r="592" ht="11.25" customHeight="1"/>
    <row r="593" ht="11.25" customHeight="1"/>
    <row r="594" ht="11.25" customHeight="1"/>
    <row r="595" ht="11.25" customHeight="1"/>
    <row r="596" ht="11.25" customHeight="1"/>
    <row r="597" ht="11.25" customHeight="1"/>
    <row r="598" ht="11.25" customHeight="1"/>
    <row r="599" ht="11.25" customHeight="1"/>
    <row r="600" ht="11.25" customHeight="1"/>
    <row r="601" ht="11.25" customHeight="1"/>
    <row r="602" ht="11.25" customHeight="1"/>
    <row r="603" ht="11.25" customHeight="1"/>
    <row r="604" ht="11.25" customHeight="1"/>
    <row r="605" ht="11.25" customHeight="1"/>
    <row r="606" ht="11.25" customHeight="1"/>
    <row r="607" ht="11.25" customHeight="1"/>
    <row r="608" ht="11.25" customHeight="1"/>
    <row r="609" ht="11.25" customHeight="1"/>
    <row r="610" ht="11.25" customHeight="1"/>
    <row r="611" ht="11.25" customHeight="1"/>
    <row r="612" ht="11.25" customHeight="1"/>
    <row r="613" ht="11.25" customHeight="1"/>
    <row r="614" ht="11.25" customHeight="1"/>
    <row r="615" ht="11.25" customHeight="1"/>
    <row r="616" ht="11.25" customHeight="1"/>
    <row r="617" ht="11.25" customHeight="1"/>
    <row r="618" ht="11.25" customHeight="1"/>
    <row r="619" ht="11.25" customHeight="1"/>
    <row r="620" ht="11.25" customHeight="1"/>
    <row r="621" ht="11.25" customHeight="1"/>
    <row r="622" ht="11.25" customHeight="1"/>
    <row r="623" ht="11.25" customHeight="1"/>
    <row r="624" ht="11.25" customHeight="1"/>
    <row r="625" ht="11.25" customHeight="1"/>
    <row r="626" ht="11.25" customHeight="1"/>
    <row r="627" ht="11.25" customHeight="1"/>
    <row r="628" ht="11.25" customHeight="1"/>
    <row r="629" ht="11.25" customHeight="1"/>
    <row r="630" ht="11.25" customHeight="1"/>
    <row r="631" ht="11.25" customHeight="1"/>
    <row r="632" ht="11.25" customHeight="1"/>
    <row r="633" ht="11.25" customHeight="1"/>
    <row r="634" ht="11.25" customHeight="1"/>
    <row r="635" ht="11.25" customHeight="1"/>
    <row r="636" ht="11.25" customHeight="1"/>
    <row r="637" ht="11.25" customHeight="1"/>
    <row r="638" ht="11.25" customHeight="1"/>
    <row r="639" ht="11.25" customHeight="1"/>
    <row r="640" ht="11.25" customHeight="1"/>
    <row r="641" ht="11.25" customHeight="1"/>
    <row r="642" ht="11.25" customHeight="1"/>
    <row r="643" ht="11.25" customHeight="1"/>
    <row r="644" ht="11.25" customHeight="1"/>
    <row r="645" ht="11.25" customHeight="1"/>
    <row r="646" ht="11.25" customHeight="1"/>
    <row r="647" ht="11.25" customHeight="1"/>
    <row r="648" ht="11.25" customHeight="1"/>
    <row r="649" ht="11.25" customHeight="1"/>
    <row r="650" ht="11.25" customHeight="1"/>
    <row r="651" ht="11.25" customHeight="1"/>
    <row r="652" ht="11.25" customHeight="1"/>
    <row r="653" ht="11.25" customHeight="1"/>
    <row r="654" ht="11.25" customHeight="1"/>
    <row r="655" ht="11.25" customHeight="1"/>
    <row r="656" ht="11.25" customHeight="1"/>
    <row r="657" ht="11.25" customHeight="1"/>
    <row r="658" ht="11.25" customHeight="1"/>
    <row r="659" ht="11.25" customHeight="1"/>
    <row r="660" ht="11.25" customHeight="1"/>
    <row r="661" ht="11.25" customHeight="1"/>
    <row r="662" ht="11.25" customHeight="1"/>
    <row r="663" ht="11.25" customHeight="1"/>
    <row r="664" ht="11.25" customHeight="1"/>
    <row r="665" ht="11.25" customHeight="1"/>
    <row r="666" ht="11.25" customHeight="1"/>
    <row r="667" ht="11.25" customHeight="1"/>
    <row r="668" ht="11.25" customHeight="1"/>
    <row r="669" ht="11.25" customHeight="1"/>
    <row r="670" ht="11.25" customHeight="1"/>
    <row r="671" ht="11.25" customHeight="1"/>
    <row r="672" ht="11.25" customHeight="1"/>
    <row r="673" ht="11.25" customHeight="1"/>
    <row r="674" ht="11.25" customHeight="1"/>
    <row r="675" ht="11.25" customHeight="1"/>
    <row r="676" ht="11.25" customHeight="1"/>
    <row r="677" ht="11.25" customHeight="1"/>
    <row r="678" ht="11.25" customHeight="1"/>
    <row r="679" ht="11.25" customHeight="1"/>
    <row r="680" ht="11.25" customHeight="1"/>
    <row r="681" ht="11.25" customHeight="1"/>
    <row r="682" ht="11.25" customHeight="1"/>
    <row r="683" ht="11.25" customHeight="1"/>
    <row r="684" ht="11.25" customHeight="1"/>
    <row r="685" ht="11.25" customHeight="1"/>
    <row r="686" ht="11.25" customHeight="1"/>
    <row r="687" ht="11.25" customHeight="1"/>
    <row r="688" ht="11.25" customHeight="1"/>
    <row r="689" ht="11.25" customHeight="1"/>
    <row r="690" ht="11.25" customHeight="1"/>
    <row r="691" ht="11.25" customHeight="1"/>
    <row r="692" ht="11.25" customHeight="1"/>
    <row r="693" ht="11.25" customHeight="1"/>
    <row r="694" ht="11.25" customHeight="1"/>
    <row r="695" ht="11.25" customHeight="1"/>
    <row r="696" ht="11.25" customHeight="1"/>
    <row r="697" ht="11.25" customHeight="1"/>
    <row r="698" ht="11.25" customHeight="1"/>
    <row r="699" ht="11.25" customHeight="1"/>
    <row r="700" ht="11.25" customHeight="1"/>
    <row r="701" ht="11.25" customHeight="1"/>
    <row r="702" ht="11.25" customHeight="1"/>
    <row r="703" ht="11.25" customHeight="1"/>
    <row r="704" ht="11.25" customHeight="1"/>
    <row r="705" ht="11.25" customHeight="1"/>
    <row r="706" ht="11.25" customHeight="1"/>
    <row r="707" ht="11.25" customHeight="1"/>
    <row r="708" ht="11.25" customHeight="1"/>
    <row r="709" ht="11.25" customHeight="1"/>
    <row r="710" ht="11.25" customHeight="1"/>
    <row r="711" ht="11.25" customHeight="1"/>
    <row r="712" ht="11.25" customHeight="1"/>
    <row r="713" ht="11.25" customHeight="1"/>
    <row r="714" ht="11.25" customHeight="1"/>
    <row r="715" ht="11.25" customHeight="1"/>
    <row r="716" ht="11.25" customHeight="1"/>
    <row r="717" ht="11.25" customHeight="1"/>
    <row r="718" ht="11.25" customHeight="1"/>
    <row r="719" ht="11.25" customHeight="1"/>
    <row r="720" ht="11.25" customHeight="1"/>
    <row r="721" ht="11.25" customHeight="1"/>
    <row r="722" ht="11.25" customHeight="1"/>
    <row r="723" ht="11.25" customHeight="1"/>
    <row r="724" ht="11.25" customHeight="1"/>
    <row r="725" ht="11.25" customHeight="1"/>
    <row r="726" ht="11.25" customHeight="1"/>
    <row r="727" ht="11.25" customHeight="1"/>
    <row r="728" ht="11.25" customHeight="1"/>
    <row r="729" ht="11.25" customHeight="1"/>
    <row r="730" ht="11.25" customHeight="1"/>
    <row r="731" ht="11.25" customHeight="1"/>
    <row r="732" ht="11.25" customHeight="1"/>
    <row r="733" ht="11.25" customHeight="1"/>
    <row r="734" ht="11.25" customHeight="1"/>
    <row r="735" ht="11.25" customHeight="1"/>
    <row r="736" ht="11.25" customHeight="1"/>
    <row r="737" ht="11.25" customHeight="1"/>
    <row r="738" ht="11.25" customHeight="1"/>
    <row r="739" ht="11.25" customHeight="1"/>
    <row r="740" ht="11.25" customHeight="1"/>
    <row r="741" ht="11.25" customHeight="1"/>
    <row r="742" ht="11.25" customHeight="1"/>
    <row r="743" ht="11.25" customHeight="1"/>
    <row r="744" ht="11.25" customHeight="1"/>
    <row r="745" ht="11.25" customHeight="1"/>
    <row r="746" ht="11.25" customHeight="1"/>
    <row r="747" ht="11.25" customHeight="1"/>
    <row r="748" ht="11.25" customHeight="1"/>
    <row r="749" ht="11.25" customHeight="1"/>
    <row r="750" ht="11.25" customHeight="1"/>
    <row r="751" ht="11.25" customHeight="1"/>
    <row r="752" ht="11.25" customHeight="1"/>
    <row r="753" ht="11.25" customHeight="1"/>
    <row r="754" ht="11.25" customHeight="1"/>
    <row r="755" ht="11.25" customHeight="1"/>
    <row r="756" ht="11.25" customHeight="1"/>
    <row r="757" ht="11.25" customHeight="1"/>
    <row r="758" ht="11.25" customHeight="1"/>
    <row r="759" ht="11.25" customHeight="1"/>
    <row r="760" ht="11.25" customHeight="1"/>
    <row r="761" ht="11.25" customHeight="1"/>
    <row r="762" ht="11.25" customHeight="1"/>
    <row r="763" ht="11.25" customHeight="1"/>
    <row r="764" ht="11.25" customHeight="1"/>
    <row r="765" ht="11.25" customHeight="1"/>
    <row r="766" ht="11.25" customHeight="1"/>
    <row r="767" ht="11.25" customHeight="1"/>
    <row r="768" ht="11.25" customHeight="1"/>
    <row r="769" ht="11.25" customHeight="1"/>
    <row r="770" ht="11.25" customHeight="1"/>
    <row r="771" ht="11.25" customHeight="1"/>
    <row r="772" ht="11.25" customHeight="1"/>
    <row r="773" ht="11.25" customHeight="1"/>
    <row r="774" ht="11.25" customHeight="1"/>
    <row r="775" ht="11.25" customHeight="1"/>
    <row r="776" ht="11.25" customHeight="1"/>
    <row r="777" ht="11.25" customHeight="1"/>
    <row r="778" ht="11.25" customHeight="1"/>
    <row r="779" ht="11.25" customHeight="1"/>
    <row r="780" ht="11.25" customHeight="1"/>
    <row r="781" ht="11.25" customHeight="1"/>
    <row r="782" ht="11.25" customHeight="1"/>
    <row r="783" ht="11.25" customHeight="1"/>
    <row r="784" ht="11.25" customHeight="1"/>
    <row r="785" ht="11.25" customHeight="1"/>
    <row r="786" ht="11.25" customHeight="1"/>
    <row r="787" ht="11.25" customHeight="1"/>
    <row r="788" ht="11.25" customHeight="1"/>
    <row r="789" ht="11.25" customHeight="1"/>
    <row r="790" ht="11.25" customHeight="1"/>
    <row r="791" ht="11.25" customHeight="1"/>
    <row r="792" ht="11.25" customHeight="1"/>
    <row r="793" ht="11.25" customHeight="1"/>
    <row r="794" ht="11.25" customHeight="1"/>
    <row r="795" ht="11.25" customHeight="1"/>
    <row r="796" ht="11.25" customHeight="1"/>
    <row r="797" ht="11.25" customHeight="1"/>
    <row r="798" ht="11.25" customHeight="1"/>
    <row r="799" ht="11.25" customHeight="1"/>
    <row r="800" ht="11.25" customHeight="1"/>
    <row r="801" ht="11.25" customHeight="1"/>
    <row r="802" ht="11.25" customHeight="1"/>
    <row r="803" ht="11.25" customHeight="1"/>
    <row r="804" ht="11.25" customHeight="1"/>
    <row r="805" ht="11.25" customHeight="1"/>
    <row r="806" ht="11.25" customHeight="1"/>
    <row r="807" ht="11.25" customHeight="1"/>
    <row r="808" ht="11.25" customHeight="1"/>
    <row r="809" ht="11.25" customHeight="1"/>
    <row r="810" ht="11.25" customHeight="1"/>
    <row r="811" ht="11.25" customHeight="1"/>
    <row r="812" ht="11.25" customHeight="1"/>
    <row r="813" ht="11.25" customHeight="1"/>
    <row r="814" ht="11.25" customHeight="1"/>
    <row r="815" ht="11.25" customHeight="1"/>
    <row r="816" ht="11.25" customHeight="1"/>
    <row r="817" ht="11.25" customHeight="1"/>
    <row r="818" ht="11.25" customHeight="1"/>
    <row r="819" ht="11.25" customHeight="1"/>
    <row r="820" ht="11.25" customHeight="1"/>
    <row r="821" ht="11.25" customHeight="1"/>
    <row r="822" ht="11.25" customHeight="1"/>
    <row r="823" ht="11.25" customHeight="1"/>
    <row r="824" ht="11.25" customHeight="1"/>
    <row r="825" ht="11.25" customHeight="1"/>
    <row r="826" ht="11.25" customHeight="1"/>
    <row r="827" ht="11.25" customHeight="1"/>
    <row r="828" ht="11.25" customHeight="1"/>
    <row r="829" ht="11.25" customHeight="1"/>
    <row r="830" ht="11.25" customHeight="1"/>
    <row r="831" ht="11.25" customHeight="1"/>
    <row r="832" ht="11.25" customHeight="1"/>
    <row r="833" ht="11.25" customHeight="1"/>
    <row r="834" ht="11.25" customHeight="1"/>
    <row r="835" ht="11.25" customHeight="1"/>
    <row r="836" ht="11.25" customHeight="1"/>
    <row r="837" ht="11.25" customHeight="1"/>
    <row r="838" ht="11.25" customHeight="1"/>
    <row r="839" ht="11.25" customHeight="1"/>
    <row r="840" ht="11.25" customHeight="1"/>
    <row r="841" ht="11.25" customHeight="1"/>
    <row r="842" ht="11.25" customHeight="1"/>
    <row r="843" ht="11.25" customHeight="1"/>
    <row r="844" ht="11.25" customHeight="1"/>
    <row r="845" ht="11.25" customHeight="1"/>
    <row r="846" ht="11.25" customHeight="1"/>
    <row r="847" ht="11.25" customHeight="1"/>
    <row r="848" ht="11.25" customHeight="1"/>
    <row r="849" ht="11.25" customHeight="1"/>
    <row r="850" ht="11.25" customHeight="1"/>
    <row r="851" ht="11.25" customHeight="1"/>
    <row r="852" ht="11.25" customHeight="1"/>
    <row r="853" ht="11.25" customHeight="1"/>
    <row r="854" ht="11.25" customHeight="1"/>
    <row r="855" ht="11.25" customHeight="1"/>
    <row r="856" ht="11.25" customHeight="1"/>
    <row r="857" ht="11.25" customHeight="1"/>
    <row r="858" ht="11.25" customHeight="1"/>
    <row r="859" ht="11.25" customHeight="1"/>
    <row r="860" ht="11.25" customHeight="1"/>
    <row r="861" ht="11.25" customHeight="1"/>
    <row r="862" ht="11.25" customHeight="1"/>
    <row r="863" ht="11.25" customHeight="1"/>
    <row r="864" ht="11.25" customHeight="1"/>
    <row r="865" ht="11.25" customHeight="1"/>
    <row r="866" ht="11.25" customHeight="1"/>
    <row r="867" ht="11.25" customHeight="1"/>
    <row r="868" ht="11.25" customHeight="1"/>
    <row r="869" ht="11.25" customHeight="1"/>
    <row r="870" ht="11.25" customHeight="1"/>
    <row r="871" ht="11.25" customHeight="1"/>
    <row r="872" ht="11.25" customHeight="1"/>
    <row r="873" ht="11.25" customHeight="1"/>
    <row r="874" ht="11.25" customHeight="1"/>
    <row r="875" ht="11.25" customHeight="1"/>
    <row r="876" ht="11.25" customHeight="1"/>
    <row r="877" ht="11.25" customHeight="1"/>
    <row r="878" ht="11.25" customHeight="1"/>
    <row r="879" ht="11.25" customHeight="1"/>
    <row r="880" ht="11.25" customHeight="1"/>
    <row r="881" ht="11.25" customHeight="1"/>
    <row r="882" ht="11.25" customHeight="1"/>
    <row r="883" ht="11.25" customHeight="1"/>
    <row r="884" ht="11.25" customHeight="1"/>
    <row r="885" ht="11.25" customHeight="1"/>
    <row r="886" ht="11.25" customHeight="1"/>
    <row r="887" ht="11.25" customHeight="1"/>
    <row r="888" ht="11.25" customHeight="1"/>
    <row r="889" ht="11.25" customHeight="1"/>
    <row r="890" ht="11.25" customHeight="1"/>
    <row r="891" ht="11.25" customHeight="1"/>
    <row r="892" ht="11.25" customHeight="1"/>
    <row r="893" ht="11.25" customHeight="1"/>
    <row r="894" ht="11.25" customHeight="1"/>
    <row r="895" ht="11.25" customHeight="1"/>
    <row r="896" ht="11.25" customHeight="1"/>
    <row r="897" ht="11.25" customHeight="1"/>
    <row r="898" ht="11.25" customHeight="1"/>
    <row r="899" ht="11.25" customHeight="1"/>
    <row r="900" ht="11.25" customHeight="1"/>
    <row r="901" ht="11.25" customHeight="1"/>
    <row r="902" ht="11.25" customHeight="1"/>
    <row r="903" ht="11.25" customHeight="1"/>
    <row r="904" ht="11.25" customHeight="1"/>
    <row r="905" ht="11.25" customHeight="1"/>
    <row r="906" ht="11.25" customHeight="1"/>
    <row r="907" ht="11.25" customHeight="1"/>
    <row r="908" ht="11.25" customHeight="1"/>
    <row r="909" ht="11.25" customHeight="1"/>
    <row r="910" ht="11.25" customHeight="1"/>
    <row r="911" ht="11.25" customHeight="1"/>
    <row r="912" ht="11.25" customHeight="1"/>
    <row r="913" ht="11.25" customHeight="1"/>
    <row r="914" ht="11.25" customHeight="1"/>
    <row r="915" ht="11.25" customHeight="1"/>
    <row r="916" ht="11.25" customHeight="1"/>
    <row r="917" ht="11.25" customHeight="1"/>
    <row r="918" ht="11.25" customHeight="1"/>
    <row r="919" ht="11.25" customHeight="1"/>
    <row r="920" ht="11.25" customHeight="1"/>
    <row r="921" ht="11.25" customHeight="1"/>
    <row r="922" ht="11.25" customHeight="1"/>
    <row r="923" ht="11.25" customHeight="1"/>
    <row r="924" ht="11.25" customHeight="1"/>
    <row r="925" ht="11.25" customHeight="1"/>
    <row r="926" ht="11.25" customHeight="1"/>
    <row r="927" ht="11.25" customHeight="1"/>
    <row r="928" ht="11.25" customHeight="1"/>
    <row r="929" ht="11.25" customHeight="1"/>
    <row r="930" ht="11.25" customHeight="1"/>
    <row r="931" ht="11.25" customHeight="1"/>
    <row r="932" ht="11.25" customHeight="1"/>
    <row r="933" ht="11.25" customHeight="1"/>
    <row r="934" ht="11.25" customHeight="1"/>
    <row r="935" ht="11.25" customHeight="1"/>
    <row r="936" ht="11.25" customHeight="1"/>
    <row r="937" ht="11.25" customHeight="1"/>
    <row r="938" ht="11.25" customHeight="1"/>
    <row r="939" ht="11.25" customHeight="1"/>
    <row r="940" ht="11.25" customHeight="1"/>
    <row r="941" ht="11.25" customHeight="1"/>
    <row r="942" ht="11.25" customHeight="1"/>
    <row r="943" ht="11.25" customHeight="1"/>
    <row r="944" ht="11.25" customHeight="1"/>
    <row r="945" ht="11.25" customHeight="1"/>
    <row r="946" ht="11.25" customHeight="1"/>
    <row r="947" ht="11.25" customHeight="1"/>
    <row r="948" ht="11.25" customHeight="1"/>
    <row r="949" ht="11.25" customHeight="1"/>
    <row r="950" ht="11.25" customHeight="1"/>
    <row r="951" ht="11.25" customHeight="1"/>
    <row r="952" ht="11.25" customHeight="1"/>
    <row r="953" ht="11.25" customHeight="1"/>
    <row r="954" ht="11.25" customHeight="1"/>
    <row r="955" ht="11.25" customHeight="1"/>
    <row r="956" ht="11.25" customHeight="1"/>
    <row r="957" ht="11.25" customHeight="1"/>
    <row r="958" ht="11.25" customHeight="1"/>
    <row r="959" ht="11.25" customHeight="1"/>
    <row r="960" ht="11.25" customHeight="1"/>
    <row r="961" ht="11.25" customHeight="1"/>
    <row r="962" ht="11.25" customHeight="1"/>
    <row r="963" ht="11.25" customHeight="1"/>
    <row r="964" ht="11.25" customHeight="1"/>
    <row r="965" ht="11.25" customHeight="1"/>
    <row r="966" ht="11.25" customHeight="1"/>
    <row r="967" ht="11.25" customHeight="1"/>
    <row r="968" ht="11.25" customHeight="1"/>
    <row r="969" ht="11.25" customHeight="1"/>
    <row r="970" ht="11.25" customHeight="1"/>
    <row r="971" ht="11.25" customHeight="1"/>
    <row r="972" ht="11.25" customHeight="1"/>
    <row r="973" ht="11.25" customHeight="1"/>
    <row r="974" ht="11.25" customHeight="1"/>
    <row r="975" ht="11.25" customHeight="1"/>
    <row r="976" ht="11.25" customHeight="1"/>
    <row r="977" ht="11.25" customHeight="1"/>
    <row r="978" ht="11.25" customHeight="1"/>
    <row r="979" ht="11.25" customHeight="1"/>
    <row r="980" ht="11.25" customHeight="1"/>
    <row r="981" ht="11.25" customHeight="1"/>
    <row r="982" ht="11.25" customHeight="1"/>
    <row r="983" ht="11.25" customHeight="1"/>
    <row r="984" ht="11.25" customHeight="1"/>
    <row r="985" ht="11.25" customHeight="1"/>
    <row r="986" ht="11.25" customHeight="1"/>
    <row r="987" ht="11.25" customHeight="1"/>
    <row r="988" ht="11.25" customHeight="1"/>
    <row r="989" ht="11.25" customHeight="1"/>
    <row r="990" ht="11.25" customHeight="1"/>
    <row r="991" ht="11.25" customHeight="1"/>
    <row r="992" ht="11.25" customHeight="1"/>
    <row r="993" ht="11.25" customHeight="1"/>
    <row r="994" ht="11.25" customHeight="1"/>
    <row r="995" ht="11.25" customHeight="1"/>
    <row r="996" ht="11.25" customHeight="1"/>
    <row r="997" ht="11.25" customHeight="1"/>
    <row r="998" ht="11.25" customHeight="1"/>
    <row r="999" ht="11.25" customHeight="1"/>
    <row r="1000" ht="11.25" customHeight="1"/>
    <row r="1001" ht="11.25" customHeight="1"/>
    <row r="1002" ht="11.25" customHeight="1"/>
    <row r="1003" ht="11.25" customHeight="1"/>
    <row r="1004" ht="11.25" customHeight="1"/>
    <row r="1005" ht="11.25" customHeight="1"/>
    <row r="1006" ht="11.25" customHeight="1"/>
    <row r="1007" ht="11.25" customHeight="1"/>
    <row r="1008" ht="11.25" customHeight="1"/>
    <row r="1009" ht="11.25" customHeight="1"/>
    <row r="1010" ht="11.25" customHeight="1"/>
    <row r="1011" ht="11.25" customHeight="1"/>
    <row r="1012" ht="11.25" customHeight="1"/>
    <row r="1013" ht="11.25" customHeight="1"/>
    <row r="1014" ht="11.25" customHeight="1"/>
    <row r="1015" ht="11.25" customHeight="1"/>
    <row r="1016" ht="11.25" customHeight="1"/>
    <row r="1017" ht="11.25" customHeight="1"/>
    <row r="1018" ht="11.25" customHeight="1"/>
    <row r="1019" ht="11.25" customHeight="1"/>
    <row r="1020" ht="11.25" customHeight="1"/>
    <row r="1021" ht="11.25" customHeight="1"/>
    <row r="1022" ht="11.25" customHeight="1"/>
    <row r="1023" ht="11.25" customHeight="1"/>
    <row r="1024" ht="11.25" customHeight="1"/>
    <row r="1025" ht="11.25" customHeight="1"/>
    <row r="1026" ht="11.25" customHeight="1"/>
    <row r="1027" ht="11.25" customHeight="1"/>
    <row r="1028" ht="11.25" customHeight="1"/>
    <row r="1029" ht="11.25" customHeight="1"/>
    <row r="1030" ht="11.25" customHeight="1"/>
    <row r="1031" ht="11.25" customHeight="1"/>
    <row r="1032" ht="11.25" customHeight="1"/>
    <row r="1033" ht="11.25" customHeight="1"/>
    <row r="1034" ht="11.25" customHeight="1"/>
    <row r="1035" ht="11.25" customHeight="1"/>
    <row r="1036" ht="11.25" customHeight="1"/>
    <row r="1037" ht="11.25" customHeight="1"/>
    <row r="1038" ht="11.25" customHeight="1"/>
    <row r="1039" ht="11.25" customHeight="1"/>
    <row r="1040" ht="11.25" customHeight="1"/>
    <row r="1041" ht="11.25" customHeight="1"/>
    <row r="1042" ht="11.25" customHeight="1"/>
    <row r="1043" ht="11.25" customHeight="1"/>
    <row r="1044" ht="11.25" customHeight="1"/>
    <row r="1045" ht="11.25" customHeight="1"/>
    <row r="1046" ht="11.25" customHeight="1"/>
    <row r="1047" ht="11.25" customHeight="1"/>
    <row r="1048" ht="11.25" customHeight="1"/>
    <row r="1049" ht="11.25" customHeight="1"/>
    <row r="1050" ht="11.25" customHeight="1"/>
    <row r="1051" ht="11.25" customHeight="1"/>
    <row r="1052" ht="11.25" customHeight="1"/>
    <row r="1053" ht="11.25" customHeight="1"/>
    <row r="1054" ht="11.25" customHeight="1"/>
    <row r="1055" ht="11.25" customHeight="1"/>
    <row r="1056" ht="11.25" customHeight="1"/>
    <row r="1057" ht="11.25" customHeight="1"/>
    <row r="1058" ht="11.25" customHeight="1"/>
    <row r="1059" ht="11.25" customHeight="1"/>
    <row r="1060" ht="11.25" customHeight="1"/>
    <row r="1061" ht="11.25" customHeight="1"/>
    <row r="1062" ht="11.25" customHeight="1"/>
    <row r="1063" ht="11.25" customHeight="1"/>
    <row r="1064" ht="11.25" customHeight="1"/>
    <row r="1065" ht="11.25" customHeight="1"/>
    <row r="1066" ht="11.25" customHeight="1"/>
    <row r="1067" ht="11.25" customHeight="1"/>
    <row r="1068" ht="11.25" customHeight="1"/>
    <row r="1069" ht="11.25" customHeight="1"/>
    <row r="1070" ht="11.25" customHeight="1"/>
    <row r="1071" ht="11.25" customHeight="1"/>
    <row r="1072" ht="11.25" customHeight="1"/>
    <row r="1073" ht="11.25" customHeight="1"/>
    <row r="1074" ht="11.25" customHeight="1"/>
    <row r="1075" ht="11.25" customHeight="1"/>
    <row r="1076" ht="11.25" customHeight="1"/>
    <row r="1077" ht="11.25" customHeight="1"/>
    <row r="1078" ht="11.25" customHeight="1"/>
    <row r="1079" ht="11.25" customHeight="1"/>
    <row r="1080" ht="11.25" customHeight="1"/>
    <row r="1081" ht="11.25" customHeight="1"/>
    <row r="1082" ht="11.25" customHeight="1"/>
    <row r="1083" ht="11.25" customHeight="1"/>
    <row r="1084" ht="11.25" customHeight="1"/>
    <row r="1085" ht="11.25" customHeight="1"/>
    <row r="1086" ht="11.25" customHeight="1"/>
    <row r="1087" ht="11.25" customHeight="1"/>
    <row r="1088" ht="11.25" customHeight="1"/>
    <row r="1089" ht="11.25" customHeight="1"/>
    <row r="1090" ht="11.25" customHeight="1"/>
    <row r="1091" ht="11.25" customHeight="1"/>
    <row r="1092" ht="11.25" customHeight="1"/>
    <row r="1093" ht="11.25" customHeight="1"/>
    <row r="1094" ht="11.25" customHeight="1"/>
    <row r="1095" ht="11.25" customHeight="1"/>
    <row r="1096" ht="11.25" customHeight="1"/>
    <row r="1097" ht="11.25" customHeight="1"/>
    <row r="1098" ht="11.25" customHeight="1"/>
    <row r="1099" ht="11.25" customHeight="1"/>
    <row r="1100" ht="11.25" customHeight="1"/>
    <row r="1101" ht="11.25" customHeight="1"/>
    <row r="1102" ht="11.25" customHeight="1"/>
    <row r="1103" ht="11.25" customHeight="1"/>
    <row r="1104" ht="11.25" customHeight="1"/>
    <row r="1105" ht="11.25" customHeight="1"/>
    <row r="1106" ht="11.25" customHeight="1"/>
    <row r="1107" ht="11.25" customHeight="1"/>
    <row r="1108" ht="11.25" customHeight="1"/>
    <row r="1109" ht="11.25" customHeight="1"/>
    <row r="1110" ht="11.25" customHeight="1"/>
    <row r="1111" ht="11.25" customHeight="1"/>
    <row r="1112" ht="11.25" customHeight="1"/>
    <row r="1113" ht="11.25" customHeight="1"/>
    <row r="1114" ht="11.25" customHeight="1"/>
    <row r="1115" ht="11.25" customHeight="1"/>
    <row r="1116" ht="11.25" customHeight="1"/>
    <row r="1117" ht="11.25" customHeight="1"/>
    <row r="1118" ht="11.25" customHeight="1"/>
    <row r="1119" ht="11.25" customHeight="1"/>
    <row r="1120" ht="11.25" customHeight="1"/>
    <row r="1121" ht="11.25" customHeight="1"/>
    <row r="1122" ht="11.25" customHeight="1"/>
    <row r="1123" ht="11.25" customHeight="1"/>
    <row r="1124" ht="11.25" customHeight="1"/>
    <row r="1125" ht="11.25" customHeight="1"/>
    <row r="1126" ht="11.25" customHeight="1"/>
    <row r="1127" ht="11.25" customHeight="1"/>
    <row r="1128" ht="11.25" customHeight="1"/>
    <row r="1129" ht="11.25" customHeight="1"/>
    <row r="1130" ht="11.25" customHeight="1"/>
    <row r="1131" ht="11.25" customHeight="1"/>
    <row r="1132" ht="11.25" customHeight="1"/>
    <row r="1133" ht="11.25" customHeight="1"/>
    <row r="1134" ht="11.25" customHeight="1"/>
    <row r="1135" ht="11.25" customHeight="1"/>
    <row r="1136" ht="11.25" customHeight="1"/>
    <row r="1137" ht="11.25" customHeight="1"/>
    <row r="1138" ht="11.25" customHeight="1"/>
    <row r="1139" ht="11.25" customHeight="1"/>
    <row r="1140" ht="11.25" customHeight="1"/>
    <row r="1141" ht="11.25" customHeight="1"/>
    <row r="1142" ht="11.25" customHeight="1"/>
    <row r="1143" ht="11.25" customHeight="1"/>
    <row r="1144" ht="11.25" customHeight="1"/>
    <row r="1145" ht="11.25" customHeight="1"/>
    <row r="1146" ht="11.25" customHeight="1"/>
    <row r="1147" ht="11.25" customHeight="1"/>
    <row r="1148" ht="11.25" customHeight="1"/>
    <row r="1149" ht="11.25" customHeight="1"/>
    <row r="1150" ht="11.25" customHeight="1"/>
    <row r="1151" ht="11.25" customHeight="1"/>
    <row r="1152" ht="11.25" customHeight="1"/>
    <row r="1153" ht="11.25" customHeight="1"/>
    <row r="1154" ht="11.25" customHeight="1"/>
    <row r="1155" ht="11.25" customHeight="1"/>
    <row r="1156" ht="11.25" customHeight="1"/>
    <row r="1157" ht="11.25" customHeight="1"/>
    <row r="1158" ht="11.25" customHeight="1"/>
    <row r="1159" ht="11.25" customHeight="1"/>
    <row r="1160" ht="11.25" customHeight="1"/>
    <row r="1161" ht="11.25" customHeight="1"/>
    <row r="1162" ht="11.25" customHeight="1"/>
    <row r="1163" ht="11.25" customHeight="1"/>
    <row r="1164" ht="11.25" customHeight="1"/>
    <row r="1165" ht="11.25" customHeight="1"/>
    <row r="1166" ht="11.25" customHeight="1"/>
    <row r="1167" ht="11.25" customHeight="1"/>
    <row r="1168" ht="11.25" customHeight="1"/>
    <row r="1169" ht="11.25" customHeight="1"/>
    <row r="1170" ht="11.25" customHeight="1"/>
    <row r="1171" ht="11.25" customHeight="1"/>
    <row r="1172" ht="11.25" customHeight="1"/>
    <row r="1173" ht="11.25" customHeight="1"/>
    <row r="1174" ht="11.25" customHeight="1"/>
    <row r="1175" ht="11.25" customHeight="1"/>
    <row r="1176" ht="11.25" customHeight="1"/>
    <row r="1177" ht="11.25" customHeight="1"/>
    <row r="1178" ht="11.25" customHeight="1"/>
    <row r="1179" ht="11.25" customHeight="1"/>
    <row r="1180" ht="11.25" customHeight="1"/>
    <row r="1181" ht="11.25" customHeight="1"/>
    <row r="1182" ht="11.25" customHeight="1"/>
    <row r="1183" ht="11.25" customHeight="1"/>
    <row r="1184" ht="11.25" customHeight="1"/>
    <row r="1185" ht="11.25" customHeight="1"/>
    <row r="1186" ht="11.25" customHeight="1"/>
    <row r="1187" ht="11.25" customHeight="1"/>
    <row r="1188" ht="11.25" customHeight="1"/>
    <row r="1189" ht="11.25" customHeight="1"/>
    <row r="1190" ht="11.25" customHeight="1"/>
    <row r="1191" ht="11.25" customHeight="1"/>
    <row r="1192" ht="11.25" customHeight="1"/>
    <row r="1193" ht="11.25" customHeight="1"/>
    <row r="1194" ht="11.25" customHeight="1"/>
    <row r="1195" ht="11.25" customHeight="1"/>
    <row r="1196" ht="11.25" customHeight="1"/>
    <row r="1197" ht="11.25" customHeight="1"/>
    <row r="1198" ht="11.25" customHeight="1"/>
    <row r="1199" ht="11.25" customHeight="1"/>
    <row r="1200" ht="11.25" customHeight="1"/>
    <row r="1201" ht="11.25" customHeight="1"/>
    <row r="1202" ht="11.25" customHeight="1"/>
    <row r="1203" ht="11.25" customHeight="1"/>
    <row r="1204" ht="11.25" customHeight="1"/>
    <row r="1205" ht="11.25" customHeight="1"/>
    <row r="1206" ht="11.25" customHeight="1"/>
    <row r="1207" ht="11.25" customHeight="1"/>
    <row r="1208" ht="11.25" customHeight="1"/>
    <row r="1209" ht="11.25" customHeight="1"/>
    <row r="1210" ht="11.25" customHeight="1"/>
    <row r="1211" ht="11.25" customHeight="1"/>
    <row r="1212" ht="11.25" customHeight="1"/>
    <row r="1213" ht="11.25" customHeight="1"/>
    <row r="1214" ht="11.25" customHeight="1"/>
    <row r="1215" ht="11.25" customHeight="1"/>
    <row r="1216" ht="11.25" customHeight="1"/>
    <row r="1217" ht="11.25" customHeight="1"/>
    <row r="1218" ht="11.25" customHeight="1"/>
    <row r="1219" ht="11.25" customHeight="1"/>
    <row r="1220" ht="11.25" customHeight="1"/>
    <row r="1221" ht="11.25" customHeight="1"/>
    <row r="1222" ht="11.25" customHeight="1"/>
    <row r="1223" ht="11.25" customHeight="1"/>
    <row r="1224" ht="11.25" customHeight="1"/>
    <row r="1225" ht="11.25" customHeight="1"/>
    <row r="1226" ht="11.25" customHeight="1"/>
    <row r="1227" ht="11.25" customHeight="1"/>
    <row r="1228" ht="11.25" customHeight="1"/>
    <row r="1229" ht="11.25" customHeight="1"/>
    <row r="1230" ht="11.25" customHeight="1"/>
    <row r="1231" ht="11.25" customHeight="1"/>
    <row r="1232" ht="11.25" customHeight="1"/>
    <row r="1233" ht="11.25" customHeight="1"/>
    <row r="1234" ht="11.25" customHeight="1"/>
    <row r="1235" ht="11.25" customHeight="1"/>
    <row r="1236" ht="11.25" customHeight="1"/>
    <row r="1237" ht="11.25" customHeight="1"/>
    <row r="1238" ht="11.25" customHeight="1"/>
    <row r="1239" ht="11.25" customHeight="1"/>
    <row r="1240" ht="11.25" customHeight="1"/>
    <row r="1241" ht="11.25" customHeight="1"/>
    <row r="1242" ht="11.25" customHeight="1"/>
    <row r="1243" ht="11.25" customHeight="1"/>
    <row r="1244" ht="11.25" customHeight="1"/>
    <row r="1245" ht="11.25" customHeight="1"/>
    <row r="1246" ht="11.25" customHeight="1"/>
    <row r="1247" ht="11.25" customHeight="1"/>
    <row r="1248" ht="11.25" customHeight="1"/>
    <row r="1249" ht="11.25" customHeight="1"/>
    <row r="1250" ht="11.25" customHeight="1"/>
    <row r="1251" ht="11.25" customHeight="1"/>
    <row r="1252" ht="11.25" customHeight="1"/>
    <row r="1253" ht="11.25" customHeight="1"/>
    <row r="1254" ht="11.25" customHeight="1"/>
    <row r="1255" ht="11.25" customHeight="1"/>
    <row r="1256" ht="11.25" customHeight="1"/>
    <row r="1257" ht="11.25" customHeight="1"/>
    <row r="1258" ht="11.25" customHeight="1"/>
    <row r="1259" ht="11.25" customHeight="1"/>
    <row r="1260" ht="11.25" customHeight="1"/>
    <row r="1261" ht="11.25" customHeight="1"/>
    <row r="1262" ht="11.25" customHeight="1"/>
    <row r="1263" ht="11.25" customHeight="1"/>
    <row r="1264" ht="11.25" customHeight="1"/>
    <row r="1265" ht="11.25" customHeight="1"/>
    <row r="1266" ht="11.25" customHeight="1"/>
    <row r="1267" ht="11.25" customHeight="1"/>
    <row r="1268" ht="11.25" customHeight="1"/>
    <row r="1269" ht="11.25" customHeight="1"/>
    <row r="1270" ht="11.25" customHeight="1"/>
    <row r="1271" ht="11.25" customHeight="1"/>
    <row r="1272" ht="11.25" customHeight="1"/>
    <row r="1273" ht="11.25" customHeight="1"/>
    <row r="1274" ht="11.25" customHeight="1"/>
    <row r="1275" ht="11.25" customHeight="1"/>
    <row r="1276" ht="11.25" customHeight="1"/>
    <row r="1277" ht="11.25" customHeight="1"/>
    <row r="1278" ht="11.25" customHeight="1"/>
    <row r="1279" ht="11.25" customHeight="1"/>
    <row r="1280" ht="11.25" customHeight="1"/>
    <row r="1281" ht="11.25" customHeight="1"/>
    <row r="1282" ht="11.25" customHeight="1"/>
    <row r="1283" ht="11.25" customHeight="1"/>
    <row r="1284" ht="11.25" customHeight="1"/>
    <row r="1285" ht="11.25" customHeight="1"/>
    <row r="1286" ht="11.25" customHeight="1"/>
    <row r="1287" ht="11.25" customHeight="1"/>
    <row r="1288" ht="11.25" customHeight="1"/>
    <row r="1289" ht="11.25" customHeight="1"/>
    <row r="1290" ht="11.25" customHeight="1"/>
    <row r="1291" ht="11.25" customHeight="1"/>
    <row r="1292" ht="11.25" customHeight="1"/>
    <row r="1293" ht="11.25" customHeight="1"/>
    <row r="1294" ht="11.25" customHeight="1"/>
    <row r="1295" ht="11.25" customHeight="1"/>
    <row r="1296" ht="11.25" customHeight="1"/>
    <row r="1297" ht="11.25" customHeight="1"/>
    <row r="1298" ht="11.25" customHeight="1"/>
    <row r="1299" ht="11.25" customHeight="1"/>
    <row r="1300" ht="11.25" customHeight="1"/>
    <row r="1301" ht="11.25" customHeight="1"/>
    <row r="1302" ht="11.25" customHeight="1"/>
    <row r="1303" ht="11.25" customHeight="1"/>
    <row r="1304" ht="11.25" customHeight="1"/>
    <row r="1305" ht="11.25" customHeight="1"/>
    <row r="1306" ht="11.25" customHeight="1"/>
    <row r="1307" ht="11.25" customHeight="1"/>
    <row r="1308" ht="11.25" customHeight="1"/>
    <row r="1309" ht="11.25" customHeight="1"/>
    <row r="1310" ht="11.25" customHeight="1"/>
    <row r="1311" ht="11.25" customHeight="1"/>
    <row r="1312" ht="11.25" customHeight="1"/>
    <row r="1313" ht="11.25" customHeight="1"/>
    <row r="1314" ht="11.25" customHeight="1"/>
    <row r="1315" ht="11.25" customHeight="1"/>
    <row r="1316" ht="11.25" customHeight="1"/>
    <row r="1317" ht="11.25" customHeight="1"/>
    <row r="1318" ht="11.25" customHeight="1"/>
    <row r="1319" ht="11.25" customHeight="1"/>
    <row r="1320" ht="11.25" customHeight="1"/>
    <row r="1321" ht="11.25" customHeight="1"/>
    <row r="1322" ht="11.25" customHeight="1"/>
    <row r="1323" ht="11.25" customHeight="1"/>
    <row r="1324" ht="11.25" customHeight="1"/>
    <row r="1325" ht="11.25" customHeight="1"/>
    <row r="1326" ht="11.25" customHeight="1"/>
    <row r="1327" ht="11.25" customHeight="1"/>
    <row r="1328" ht="11.25" customHeight="1"/>
    <row r="1329" ht="11.25" customHeight="1"/>
    <row r="1330" ht="11.25" customHeight="1"/>
    <row r="1331" ht="11.25" customHeight="1"/>
    <row r="1332" ht="11.25" customHeight="1"/>
    <row r="1333" ht="11.25" customHeight="1"/>
    <row r="1334" ht="11.25" customHeight="1"/>
    <row r="1335" ht="11.25" customHeight="1"/>
    <row r="1336" ht="11.25" customHeight="1"/>
    <row r="1337" ht="11.25" customHeight="1"/>
    <row r="1338" ht="11.25" customHeight="1"/>
    <row r="1339" ht="11.25" customHeight="1"/>
    <row r="1340" ht="11.25" customHeight="1"/>
    <row r="1341" ht="11.25" customHeight="1"/>
    <row r="1342" ht="11.25" customHeight="1"/>
    <row r="1343" ht="11.25" customHeight="1"/>
    <row r="1344" ht="11.25" customHeight="1"/>
    <row r="1345" ht="11.25" customHeight="1"/>
    <row r="1346" ht="11.25" customHeight="1"/>
    <row r="1347" ht="11.25" customHeight="1"/>
    <row r="1348" ht="11.25" customHeight="1"/>
    <row r="1349" ht="11.25" customHeight="1"/>
    <row r="1350" ht="11.25" customHeight="1"/>
    <row r="1351" ht="11.25" customHeight="1"/>
    <row r="1352" ht="11.25" customHeight="1"/>
    <row r="1353" ht="11.25" customHeight="1"/>
    <row r="1354" ht="11.25" customHeight="1"/>
    <row r="1355" ht="11.25" customHeight="1"/>
    <row r="1356" ht="11.25" customHeight="1"/>
    <row r="1357" ht="11.25" customHeight="1"/>
    <row r="1358" ht="11.25" customHeight="1"/>
    <row r="1359" ht="11.25" customHeight="1"/>
    <row r="1360" ht="11.25" customHeight="1"/>
    <row r="1361" ht="11.25" customHeight="1"/>
    <row r="1362" ht="11.25" customHeight="1"/>
    <row r="1363" ht="11.25" customHeight="1"/>
    <row r="1364" ht="11.25" customHeight="1"/>
    <row r="1365" ht="11.25" customHeight="1"/>
    <row r="1366" ht="11.25" customHeight="1"/>
    <row r="1367" ht="11.25" customHeight="1"/>
    <row r="1368" ht="11.25" customHeight="1"/>
    <row r="1369" ht="11.25" customHeight="1"/>
    <row r="1370" ht="11.25" customHeight="1"/>
    <row r="1371" ht="11.25" customHeight="1"/>
    <row r="1372" ht="11.25" customHeight="1"/>
    <row r="1373" ht="11.25" customHeight="1"/>
    <row r="1374" ht="11.25" customHeight="1"/>
    <row r="1375" ht="11.25" customHeight="1"/>
    <row r="1376" ht="11.25" customHeight="1"/>
    <row r="1377" ht="11.25" customHeight="1"/>
    <row r="1378" ht="11.25" customHeight="1"/>
    <row r="1379" ht="11.25" customHeight="1"/>
    <row r="1380" ht="11.25" customHeight="1"/>
    <row r="1381" ht="11.25" customHeight="1"/>
    <row r="1382" ht="11.25" customHeight="1"/>
    <row r="1383" ht="11.25" customHeight="1"/>
    <row r="1384" ht="11.25" customHeight="1"/>
    <row r="1385" ht="11.25" customHeight="1"/>
    <row r="1386" ht="11.25" customHeight="1"/>
    <row r="1387" ht="11.25" customHeight="1"/>
    <row r="1388" ht="11.25" customHeight="1"/>
    <row r="1389" ht="11.25" customHeight="1"/>
    <row r="1390" ht="11.25" customHeight="1"/>
    <row r="1391" ht="11.25" customHeight="1"/>
    <row r="1392" ht="11.25" customHeight="1"/>
    <row r="1393" ht="11.25" customHeight="1"/>
    <row r="1394" ht="11.25" customHeight="1"/>
    <row r="1395" ht="11.25" customHeight="1"/>
    <row r="1396" ht="11.25" customHeight="1"/>
    <row r="1397" ht="11.25" customHeight="1"/>
    <row r="1398" ht="11.25" customHeight="1"/>
    <row r="1399" ht="11.25" customHeight="1"/>
    <row r="1400" ht="11.25" customHeight="1"/>
    <row r="1401" ht="11.25" customHeight="1"/>
    <row r="1402" ht="11.25" customHeight="1"/>
    <row r="1403" ht="11.25" customHeight="1"/>
    <row r="1404" ht="11.25" customHeight="1"/>
    <row r="1405" ht="11.25" customHeight="1"/>
    <row r="1406" ht="11.25" customHeight="1"/>
    <row r="1407" ht="11.25" customHeight="1"/>
    <row r="1408" ht="11.25" customHeight="1"/>
    <row r="1409" ht="11.25" customHeight="1"/>
    <row r="1410" ht="11.25" customHeight="1"/>
    <row r="1411" ht="11.25" customHeight="1"/>
    <row r="1412" ht="11.25" customHeight="1"/>
    <row r="1413" ht="11.25" customHeight="1"/>
    <row r="1414" ht="11.25" customHeight="1"/>
    <row r="1415" ht="11.25" customHeight="1"/>
    <row r="1416" ht="11.25" customHeight="1"/>
    <row r="1417" ht="11.25" customHeight="1"/>
    <row r="1418" ht="11.25" customHeight="1"/>
    <row r="1419" ht="11.25" customHeight="1"/>
    <row r="1420" ht="11.25" customHeight="1"/>
    <row r="1421" ht="11.25" customHeight="1"/>
    <row r="1422" ht="11.25" customHeight="1"/>
    <row r="1423" ht="11.25" customHeight="1"/>
    <row r="1424" ht="11.25" customHeight="1"/>
    <row r="1425" ht="11.25" customHeight="1"/>
    <row r="1426" ht="11.25" customHeight="1"/>
    <row r="1427" ht="11.25" customHeight="1"/>
    <row r="1428" ht="11.25" customHeight="1"/>
    <row r="1429" ht="11.25" customHeight="1"/>
    <row r="1430" ht="11.25" customHeight="1"/>
    <row r="1431" ht="11.25" customHeight="1"/>
    <row r="1432" ht="11.25" customHeight="1"/>
    <row r="1433" ht="11.25" customHeight="1"/>
    <row r="1434" ht="11.25" customHeight="1"/>
    <row r="1435" ht="11.25" customHeight="1"/>
    <row r="1436" ht="11.25" customHeight="1"/>
    <row r="1437" ht="11.25" customHeight="1"/>
    <row r="1438" ht="11.25" customHeight="1"/>
    <row r="1439" ht="11.25" customHeight="1"/>
    <row r="1440" ht="11.25" customHeight="1"/>
    <row r="1441" ht="11.25" customHeight="1"/>
    <row r="1442" ht="11.25" customHeight="1"/>
    <row r="1443" ht="11.25" customHeight="1"/>
    <row r="1444" ht="11.25" customHeight="1"/>
    <row r="1445" ht="11.25" customHeight="1"/>
    <row r="1446" ht="11.25" customHeight="1"/>
    <row r="1447" ht="11.25" customHeight="1"/>
    <row r="1448" ht="11.25" customHeight="1"/>
    <row r="1449" ht="11.25" customHeight="1"/>
    <row r="1450" ht="11.25" customHeight="1"/>
    <row r="1451" ht="11.25" customHeight="1"/>
    <row r="1452" ht="11.25" customHeight="1"/>
    <row r="1453" ht="11.25" customHeight="1"/>
    <row r="1454" ht="11.25" customHeight="1"/>
    <row r="1455" ht="11.25" customHeight="1"/>
    <row r="1456" ht="11.25" customHeight="1"/>
    <row r="1457" ht="11.25" customHeight="1"/>
    <row r="1458" ht="11.25" customHeight="1"/>
    <row r="1459" ht="11.25" customHeight="1"/>
    <row r="1460" ht="11.25" customHeight="1"/>
    <row r="1461" ht="11.25" customHeight="1"/>
    <row r="1462" ht="11.25" customHeight="1"/>
    <row r="1463" ht="11.25" customHeight="1"/>
    <row r="1464" ht="11.25" customHeight="1"/>
    <row r="1465" ht="11.25" customHeight="1"/>
    <row r="1466" ht="11.25" customHeight="1"/>
    <row r="1467" ht="11.25" customHeight="1"/>
    <row r="1468" ht="11.25" customHeight="1"/>
    <row r="1469" ht="11.25" customHeight="1"/>
    <row r="1470" ht="11.25" customHeight="1"/>
    <row r="1471" ht="11.25" customHeight="1"/>
    <row r="1472" ht="11.25" customHeight="1"/>
    <row r="1473" ht="11.25" customHeight="1"/>
    <row r="1474" ht="11.25" customHeight="1"/>
    <row r="1475" ht="11.25" customHeight="1"/>
    <row r="1476" ht="11.25" customHeight="1"/>
    <row r="1477" ht="11.25" customHeight="1"/>
    <row r="1478" ht="11.25" customHeight="1"/>
    <row r="1479" ht="11.25" customHeight="1"/>
    <row r="1480" ht="11.25" customHeight="1"/>
    <row r="1481" ht="11.25" customHeight="1"/>
    <row r="1482" ht="11.25" customHeight="1"/>
    <row r="1483" ht="11.25" customHeight="1"/>
    <row r="1484" ht="11.25" customHeight="1"/>
    <row r="1485" ht="11.25" customHeight="1"/>
    <row r="1486" ht="11.25" customHeight="1"/>
    <row r="1487" ht="11.25" customHeight="1"/>
    <row r="1488" ht="11.25" customHeight="1"/>
    <row r="1489" ht="11.25" customHeight="1"/>
    <row r="1490" ht="11.25" customHeight="1"/>
    <row r="1491" ht="11.25" customHeight="1"/>
    <row r="1492" ht="11.25" customHeight="1"/>
    <row r="1493" ht="11.25" customHeight="1"/>
    <row r="1494" ht="11.25" customHeight="1"/>
    <row r="1495" ht="11.25" customHeight="1"/>
    <row r="1496" ht="11.25" customHeight="1"/>
    <row r="1497" ht="11.25" customHeight="1"/>
    <row r="1498" ht="11.25" customHeight="1"/>
    <row r="1499" ht="11.25" customHeight="1"/>
    <row r="1500" ht="11.25" customHeight="1"/>
    <row r="1501" ht="11.25" customHeight="1"/>
    <row r="1502" ht="11.25" customHeight="1"/>
    <row r="1503" ht="11.25" customHeight="1"/>
    <row r="1504" ht="11.25" customHeight="1"/>
    <row r="1505" ht="11.25" customHeight="1"/>
    <row r="1506" ht="11.25" customHeight="1"/>
    <row r="1507" ht="11.25" customHeight="1"/>
    <row r="1508" ht="11.25" customHeight="1"/>
    <row r="1509" ht="11.25" customHeight="1"/>
    <row r="1510" ht="11.25" customHeight="1"/>
    <row r="1511" ht="11.25" customHeight="1"/>
    <row r="1512" ht="11.25" customHeight="1"/>
    <row r="1513" ht="11.25" customHeight="1"/>
    <row r="1514" ht="11.25" customHeight="1"/>
    <row r="1515" ht="11.25" customHeight="1"/>
    <row r="1516" ht="11.25" customHeight="1"/>
    <row r="1517" ht="11.25" customHeight="1"/>
    <row r="1518" ht="11.25" customHeight="1"/>
    <row r="1519" ht="11.25" customHeight="1"/>
    <row r="1520" ht="11.25" customHeight="1"/>
    <row r="1521" ht="11.25" customHeight="1"/>
    <row r="1522" ht="11.25" customHeight="1"/>
    <row r="1523" ht="11.25" customHeight="1"/>
    <row r="1524" ht="11.25" customHeight="1"/>
    <row r="1525" ht="11.25" customHeight="1"/>
    <row r="1526" ht="11.25" customHeight="1"/>
    <row r="1527" ht="11.25" customHeight="1"/>
    <row r="1528" ht="11.25" customHeight="1"/>
    <row r="1529" ht="11.25" customHeight="1"/>
    <row r="1530" ht="11.25" customHeight="1"/>
    <row r="1531" ht="11.25" customHeight="1"/>
    <row r="1532" ht="11.25" customHeight="1"/>
    <row r="1533" ht="11.25" customHeight="1"/>
    <row r="1534" ht="11.25" customHeight="1"/>
    <row r="1535" ht="11.25" customHeight="1"/>
    <row r="1536" ht="11.25" customHeight="1"/>
    <row r="1537" ht="11.25" customHeight="1"/>
    <row r="1538" ht="11.25" customHeight="1"/>
    <row r="1539" ht="11.25" customHeight="1"/>
    <row r="1540" ht="11.25" customHeight="1"/>
    <row r="1541" ht="11.25" customHeight="1"/>
    <row r="1542" ht="11.25" customHeight="1"/>
    <row r="1543" ht="11.25" customHeight="1"/>
    <row r="1544" ht="11.25" customHeight="1"/>
    <row r="1545" ht="11.25" customHeight="1"/>
    <row r="1546" ht="11.25" customHeight="1"/>
    <row r="1547" ht="11.25" customHeight="1"/>
    <row r="1548" ht="11.25" customHeight="1"/>
    <row r="1549" ht="11.25" customHeight="1"/>
    <row r="1550" ht="11.25" customHeight="1"/>
    <row r="1551" ht="11.25" customHeight="1"/>
    <row r="1552" ht="11.25" customHeight="1"/>
    <row r="1553" ht="11.25" customHeight="1"/>
    <row r="1554" ht="11.25" customHeight="1"/>
    <row r="1555" ht="11.25" customHeight="1"/>
    <row r="1556" ht="11.25" customHeight="1"/>
    <row r="1557" ht="11.25" customHeight="1"/>
    <row r="1558" ht="11.25" customHeight="1"/>
    <row r="1559" ht="11.25" customHeight="1"/>
    <row r="1560" ht="11.25" customHeight="1"/>
    <row r="1561" ht="11.25" customHeight="1"/>
    <row r="1562" ht="11.25" customHeight="1"/>
    <row r="1563" ht="11.25" customHeight="1"/>
    <row r="1564" ht="11.25" customHeight="1"/>
    <row r="1565" ht="11.25" customHeight="1"/>
    <row r="1566" ht="11.25" customHeight="1"/>
    <row r="1567" ht="11.25" customHeight="1"/>
    <row r="1568" ht="11.25" customHeight="1"/>
    <row r="1569" ht="11.25" customHeight="1"/>
    <row r="1570" ht="11.25" customHeight="1"/>
    <row r="1571" ht="11.25" customHeight="1"/>
    <row r="1572" ht="11.25" customHeight="1"/>
    <row r="1573" ht="11.25" customHeight="1"/>
    <row r="1574" ht="11.25" customHeight="1"/>
    <row r="1575" ht="11.25" customHeight="1"/>
    <row r="1576" ht="11.25" customHeight="1"/>
    <row r="1577" ht="11.25" customHeight="1"/>
    <row r="1578" ht="11.25" customHeight="1"/>
    <row r="1579" ht="11.25" customHeight="1"/>
    <row r="1580" ht="11.25" customHeight="1"/>
    <row r="1581" ht="11.25" customHeight="1"/>
    <row r="1582" ht="11.25" customHeight="1"/>
    <row r="1583" ht="11.25" customHeight="1"/>
    <row r="1584" ht="11.25" customHeight="1"/>
    <row r="1585" ht="11.25" customHeight="1"/>
    <row r="1586" ht="11.25" customHeight="1"/>
    <row r="1587" ht="11.25" customHeight="1"/>
    <row r="1588" ht="11.25" customHeight="1"/>
    <row r="1589" ht="11.25" customHeight="1"/>
    <row r="1590" ht="11.25" customHeight="1"/>
    <row r="1591" ht="11.25" customHeight="1"/>
    <row r="1592" ht="11.25" customHeight="1"/>
    <row r="1593" ht="11.25" customHeight="1"/>
    <row r="1594" ht="11.25" customHeight="1"/>
    <row r="1595" ht="11.25" customHeight="1"/>
    <row r="1596" ht="11.25" customHeight="1"/>
    <row r="1597" ht="11.25" customHeight="1"/>
    <row r="1598" ht="11.25" customHeight="1"/>
    <row r="1599" ht="11.25" customHeight="1"/>
    <row r="1600" ht="11.25" customHeight="1"/>
    <row r="1601" ht="11.25" customHeight="1"/>
    <row r="1602" ht="11.25" customHeight="1"/>
    <row r="1603" ht="11.25" customHeight="1"/>
    <row r="1604" ht="11.25" customHeight="1"/>
    <row r="1605" ht="11.25" customHeight="1"/>
    <row r="1606" ht="11.25" customHeight="1"/>
    <row r="1607" ht="11.25" customHeight="1"/>
    <row r="1608" ht="11.25" customHeight="1"/>
    <row r="1609" ht="11.25" customHeight="1"/>
    <row r="1610" ht="11.25" customHeight="1"/>
    <row r="1611" ht="11.25" customHeight="1"/>
    <row r="1612" ht="11.25" customHeight="1"/>
    <row r="1613" ht="11.25" customHeight="1"/>
    <row r="1614" ht="11.25" customHeight="1"/>
    <row r="1615" ht="11.25" customHeight="1"/>
    <row r="1616" ht="11.25" customHeight="1"/>
    <row r="1617" ht="11.25" customHeight="1"/>
    <row r="1618" ht="11.25" customHeight="1"/>
    <row r="1619" ht="11.25" customHeight="1"/>
    <row r="1620" ht="11.25" customHeight="1"/>
    <row r="1621" ht="11.25" customHeight="1"/>
    <row r="1622" ht="11.25" customHeight="1"/>
    <row r="1623" ht="11.25" customHeight="1"/>
    <row r="1624" ht="11.25" customHeight="1"/>
    <row r="1625" ht="11.25" customHeight="1"/>
    <row r="1626" ht="11.25" customHeight="1"/>
    <row r="1627" ht="11.25" customHeight="1"/>
    <row r="1628" ht="11.25" customHeight="1"/>
    <row r="1629" ht="11.25" customHeight="1"/>
    <row r="1630" ht="11.25" customHeight="1"/>
    <row r="1631" ht="11.25" customHeight="1"/>
    <row r="1632" ht="11.25" customHeight="1"/>
    <row r="1633" ht="11.25" customHeight="1"/>
    <row r="1634" ht="11.25" customHeight="1"/>
    <row r="1635" ht="11.25" customHeight="1"/>
    <row r="1636" ht="11.25" customHeight="1"/>
    <row r="1637" ht="11.25" customHeight="1"/>
    <row r="1638" ht="11.25" customHeight="1"/>
    <row r="1639" ht="11.25" customHeight="1"/>
    <row r="1640" ht="11.25" customHeight="1"/>
    <row r="1641" ht="11.25" customHeight="1"/>
    <row r="1642" ht="11.25" customHeight="1"/>
    <row r="1643" ht="11.25" customHeight="1"/>
    <row r="1644" ht="11.25" customHeight="1"/>
    <row r="1645" ht="11.25" customHeight="1"/>
    <row r="1646" ht="11.25" customHeight="1"/>
    <row r="1647" ht="11.25" customHeight="1"/>
    <row r="1648" ht="11.25" customHeight="1"/>
    <row r="1649" ht="11.25" customHeight="1"/>
    <row r="1650" ht="11.25" customHeight="1"/>
    <row r="1651" ht="11.25" customHeight="1"/>
    <row r="1652" ht="11.25" customHeight="1"/>
    <row r="1653" ht="11.25" customHeight="1"/>
    <row r="1654" ht="11.25" customHeight="1"/>
    <row r="1655" ht="11.25" customHeight="1"/>
    <row r="1656" ht="11.25" customHeight="1"/>
    <row r="1657" ht="11.25" customHeight="1"/>
    <row r="1658" ht="11.25" customHeight="1"/>
    <row r="1659" ht="11.25" customHeight="1"/>
    <row r="1660" ht="11.25" customHeight="1"/>
    <row r="1661" ht="11.25" customHeight="1"/>
    <row r="1662" ht="11.25" customHeight="1"/>
    <row r="1663" ht="11.25" customHeight="1"/>
    <row r="1664" ht="11.25" customHeight="1"/>
    <row r="1665" ht="11.25" customHeight="1"/>
    <row r="1666" ht="11.25" customHeight="1"/>
    <row r="1667" ht="11.25" customHeight="1"/>
    <row r="1668" ht="11.25" customHeight="1"/>
    <row r="1669" ht="11.25" customHeight="1"/>
    <row r="1670" ht="11.25" customHeight="1"/>
    <row r="1671" ht="11.25" customHeight="1"/>
    <row r="1672" ht="11.25" customHeight="1"/>
    <row r="1673" ht="11.25" customHeight="1"/>
    <row r="1674" ht="11.25" customHeight="1"/>
    <row r="1675" ht="11.25" customHeight="1"/>
    <row r="1676" ht="11.25" customHeight="1"/>
    <row r="1677" ht="11.25" customHeight="1"/>
    <row r="1678" ht="11.25" customHeight="1"/>
    <row r="1679" ht="11.25" customHeight="1"/>
    <row r="1680" ht="11.25" customHeight="1"/>
    <row r="1681" ht="11.25" customHeight="1"/>
    <row r="1682" ht="11.25" customHeight="1"/>
    <row r="1683" ht="11.25" customHeight="1"/>
    <row r="1684" ht="11.25" customHeight="1"/>
    <row r="1685" ht="11.25" customHeight="1"/>
    <row r="1686" ht="11.25" customHeight="1"/>
    <row r="1687" ht="11.25" customHeight="1"/>
    <row r="1688" ht="11.25" customHeight="1"/>
    <row r="1689" ht="11.25" customHeight="1"/>
    <row r="1690" ht="11.25" customHeight="1"/>
    <row r="1691" ht="11.25" customHeight="1"/>
    <row r="1692" ht="11.25" customHeight="1"/>
    <row r="1693" ht="11.25" customHeight="1"/>
    <row r="1694" ht="11.25" customHeight="1"/>
    <row r="1695" ht="11.25" customHeight="1"/>
    <row r="1696" ht="11.25" customHeight="1"/>
    <row r="1697" ht="11.25" customHeight="1"/>
    <row r="1698" ht="11.25" customHeight="1"/>
    <row r="1699" ht="11.25" customHeight="1"/>
    <row r="1700" ht="11.25" customHeight="1"/>
    <row r="1701" ht="11.25" customHeight="1"/>
    <row r="1702" ht="11.25" customHeight="1"/>
    <row r="1703" ht="11.25" customHeight="1"/>
    <row r="1704" ht="11.25" customHeight="1"/>
    <row r="1705" ht="11.25" customHeight="1"/>
    <row r="1706" ht="11.25" customHeight="1"/>
    <row r="1707" ht="11.25" customHeight="1"/>
    <row r="1708" ht="11.25" customHeight="1"/>
    <row r="1709" ht="11.25" customHeight="1"/>
    <row r="1710" ht="11.25" customHeight="1"/>
    <row r="1711" ht="11.25" customHeight="1"/>
    <row r="1712" ht="11.25" customHeight="1"/>
    <row r="1713" ht="11.25" customHeight="1"/>
    <row r="1714" ht="11.25" customHeight="1"/>
    <row r="1715" ht="11.25" customHeight="1"/>
    <row r="1716" ht="11.25" customHeight="1"/>
    <row r="1717" ht="11.25" customHeight="1"/>
    <row r="1718" ht="11.25" customHeight="1"/>
    <row r="1719" ht="11.25" customHeight="1"/>
    <row r="1720" ht="11.25" customHeight="1"/>
    <row r="1721" ht="11.25" customHeight="1"/>
    <row r="1722" ht="11.25" customHeight="1"/>
    <row r="1723" ht="11.25" customHeight="1"/>
    <row r="1724" ht="11.25" customHeight="1"/>
    <row r="1725" ht="11.25" customHeight="1"/>
    <row r="1726" ht="11.25" customHeight="1"/>
    <row r="1727" ht="11.25" customHeight="1"/>
    <row r="1728" ht="11.25" customHeight="1"/>
    <row r="1729" ht="11.25" customHeight="1"/>
    <row r="1730" ht="11.25" customHeight="1"/>
    <row r="1731" ht="11.25" customHeight="1"/>
    <row r="1732" ht="11.25" customHeight="1"/>
    <row r="1733" ht="11.25" customHeight="1"/>
    <row r="1734" ht="11.25" customHeight="1"/>
    <row r="1735" ht="11.25" customHeight="1"/>
    <row r="1736" ht="11.25" customHeight="1"/>
    <row r="1737" ht="11.25" customHeight="1"/>
    <row r="1738" ht="11.25" customHeight="1"/>
    <row r="1739" ht="11.25" customHeight="1"/>
    <row r="1740" ht="11.25" customHeight="1"/>
    <row r="1741" ht="11.25" customHeight="1"/>
    <row r="1742" ht="11.25" customHeight="1"/>
    <row r="1743" ht="11.25" customHeight="1"/>
    <row r="1744" ht="11.25" customHeight="1"/>
    <row r="1745" ht="11.25" customHeight="1"/>
    <row r="1746" ht="11.25" customHeight="1"/>
    <row r="1747" ht="11.25" customHeight="1"/>
    <row r="1748" ht="11.25" customHeight="1"/>
    <row r="1749" ht="11.25" customHeight="1"/>
    <row r="1750" ht="11.25" customHeight="1"/>
    <row r="1751" ht="11.25" customHeight="1"/>
    <row r="1752" ht="11.25" customHeight="1"/>
    <row r="1753" ht="11.25" customHeight="1"/>
    <row r="1754" ht="11.25" customHeight="1"/>
    <row r="1755" ht="11.25" customHeight="1"/>
    <row r="1756" ht="11.25" customHeight="1"/>
    <row r="1757" ht="11.25" customHeight="1"/>
    <row r="1758" ht="11.25" customHeight="1"/>
    <row r="1759" ht="11.25" customHeight="1"/>
    <row r="1760" ht="11.25" customHeight="1"/>
    <row r="1761" ht="11.25" customHeight="1"/>
    <row r="1762" ht="11.25" customHeight="1"/>
    <row r="1763" ht="11.25" customHeight="1"/>
    <row r="1764" ht="11.25" customHeight="1"/>
    <row r="1765" ht="11.25" customHeight="1"/>
    <row r="1766" ht="11.25" customHeight="1"/>
    <row r="1767" ht="11.25" customHeight="1"/>
    <row r="1768" ht="11.25" customHeight="1"/>
    <row r="1769" ht="11.25" customHeight="1"/>
    <row r="1770" ht="11.25" customHeight="1"/>
    <row r="1771" ht="11.25" customHeight="1"/>
    <row r="1772" ht="11.25" customHeight="1"/>
    <row r="1773" ht="11.25" customHeight="1"/>
    <row r="1774" ht="11.25" customHeight="1"/>
    <row r="1775" ht="11.25" customHeight="1"/>
    <row r="1776" ht="11.25" customHeight="1"/>
    <row r="1777" ht="11.25" customHeight="1"/>
    <row r="1778" ht="11.25" customHeight="1"/>
    <row r="1779" ht="11.25" customHeight="1"/>
    <row r="1780" ht="11.25" customHeight="1"/>
    <row r="1781" ht="11.25" customHeight="1"/>
    <row r="1782" ht="11.25" customHeight="1"/>
    <row r="1783" ht="11.25" customHeight="1"/>
    <row r="1784" ht="11.25" customHeight="1"/>
    <row r="1785" ht="11.25" customHeight="1"/>
    <row r="1786" ht="11.25" customHeight="1"/>
    <row r="1787" ht="11.25" customHeight="1"/>
    <row r="1788" ht="11.25" customHeight="1"/>
    <row r="1789" ht="11.25" customHeight="1"/>
    <row r="1790" ht="11.25" customHeight="1"/>
    <row r="1791" ht="11.25" customHeight="1"/>
    <row r="1792" ht="11.25" customHeight="1"/>
    <row r="1793" ht="11.25" customHeight="1"/>
    <row r="1794" ht="11.25" customHeight="1"/>
    <row r="1795" ht="11.25" customHeight="1"/>
    <row r="1796" ht="11.25" customHeight="1"/>
    <row r="1797" ht="11.25" customHeight="1"/>
    <row r="1798" ht="11.25" customHeight="1"/>
    <row r="1799" ht="11.25" customHeight="1"/>
    <row r="1800" ht="11.25" customHeight="1"/>
    <row r="1801" ht="11.25" customHeight="1"/>
    <row r="1802" ht="11.25" customHeight="1"/>
    <row r="1803" ht="11.25" customHeight="1"/>
    <row r="1804" ht="11.25" customHeight="1"/>
    <row r="1805" ht="11.25" customHeight="1"/>
    <row r="1806" ht="11.25" customHeight="1"/>
    <row r="1807" ht="11.25" customHeight="1"/>
    <row r="1808" ht="11.25" customHeight="1"/>
    <row r="1809" ht="11.25" customHeight="1"/>
    <row r="1810" ht="11.25" customHeight="1"/>
    <row r="1811" ht="11.25" customHeight="1"/>
    <row r="1812" ht="11.25" customHeight="1"/>
    <row r="1813" ht="11.25" customHeight="1"/>
    <row r="1814" ht="11.25" customHeight="1"/>
    <row r="1815" ht="11.25" customHeight="1"/>
    <row r="1816" ht="11.25" customHeight="1"/>
    <row r="1817" ht="11.25" customHeight="1"/>
    <row r="1818" ht="11.25" customHeight="1"/>
    <row r="1819" ht="11.25" customHeight="1"/>
    <row r="1820" ht="11.25" customHeight="1"/>
    <row r="1821" ht="11.25" customHeight="1"/>
    <row r="1822" ht="11.25" customHeight="1"/>
    <row r="1823" ht="11.25" customHeight="1"/>
    <row r="1824" ht="11.25" customHeight="1"/>
    <row r="1825" ht="11.25" customHeight="1"/>
    <row r="1826" ht="11.25" customHeight="1"/>
    <row r="1827" ht="11.25" customHeight="1"/>
    <row r="1828" ht="11.25" customHeight="1"/>
    <row r="1829" ht="11.25" customHeight="1"/>
    <row r="1830" ht="11.25" customHeight="1"/>
    <row r="1831" ht="11.25" customHeight="1"/>
    <row r="1832" ht="11.25" customHeight="1"/>
    <row r="1833" ht="11.25" customHeight="1"/>
    <row r="1834" ht="11.25" customHeight="1"/>
    <row r="1835" ht="11.25" customHeight="1"/>
    <row r="1836" ht="11.25" customHeight="1"/>
    <row r="1837" ht="11.25" customHeight="1"/>
    <row r="1838" ht="11.25" customHeight="1"/>
    <row r="1839" ht="11.25" customHeight="1"/>
    <row r="1840" ht="11.25" customHeight="1"/>
    <row r="1841" ht="11.25" customHeight="1"/>
    <row r="1842" ht="11.25" customHeight="1"/>
    <row r="1843" ht="11.25" customHeight="1"/>
    <row r="1844" ht="11.25" customHeight="1"/>
    <row r="1845" ht="11.25" customHeight="1"/>
    <row r="1846" ht="11.25" customHeight="1"/>
    <row r="1847" ht="11.25" customHeight="1"/>
    <row r="1848" ht="11.25" customHeight="1"/>
    <row r="1849" ht="11.25" customHeight="1"/>
    <row r="1850" ht="11.25" customHeight="1"/>
    <row r="1851" ht="11.25" customHeight="1"/>
    <row r="1852" ht="11.25" customHeight="1"/>
    <row r="1853" ht="11.25" customHeight="1"/>
    <row r="1854" ht="11.25" customHeight="1"/>
    <row r="1855" ht="11.25" customHeight="1"/>
    <row r="1856" ht="11.25" customHeight="1"/>
    <row r="1857" ht="11.25" customHeight="1"/>
    <row r="1858" ht="11.25" customHeight="1"/>
    <row r="1859" ht="11.25" customHeight="1"/>
    <row r="1860" ht="11.25" customHeight="1"/>
    <row r="1861" ht="11.25" customHeight="1"/>
    <row r="1862" ht="11.25" customHeight="1"/>
    <row r="1863" ht="11.25" customHeight="1"/>
    <row r="1864" ht="11.25" customHeight="1"/>
    <row r="1865" ht="11.25" customHeight="1"/>
    <row r="1866" ht="11.25" customHeight="1"/>
    <row r="1867" ht="11.25" customHeight="1"/>
    <row r="1868" ht="11.25" customHeight="1"/>
    <row r="1869" ht="11.25" customHeight="1"/>
    <row r="1870" ht="11.25" customHeight="1"/>
    <row r="1871" ht="11.25" customHeight="1"/>
    <row r="1872" ht="11.25" customHeight="1"/>
    <row r="1873" ht="11.25" customHeight="1"/>
    <row r="1874" ht="11.25" customHeight="1"/>
    <row r="1875" ht="11.25" customHeight="1"/>
    <row r="1876" ht="11.25" customHeight="1"/>
    <row r="1877" ht="11.25" customHeight="1"/>
    <row r="1878" ht="11.25" customHeight="1"/>
    <row r="1879" ht="11.25" customHeight="1"/>
    <row r="1880" ht="11.25" customHeight="1"/>
    <row r="1881" ht="11.25" customHeight="1"/>
    <row r="1882" ht="11.25" customHeight="1"/>
    <row r="1883" ht="11.25" customHeight="1"/>
    <row r="1884" ht="11.25" customHeight="1"/>
    <row r="1885" ht="11.25" customHeight="1"/>
    <row r="1886" ht="11.25" customHeight="1"/>
    <row r="1887" ht="11.25" customHeight="1"/>
    <row r="1888" ht="11.25" customHeight="1"/>
    <row r="1889" ht="11.25" customHeight="1"/>
    <row r="1890" ht="11.25" customHeight="1"/>
    <row r="1891" ht="11.25" customHeight="1"/>
    <row r="1892" ht="11.25" customHeight="1"/>
    <row r="1893" ht="11.25" customHeight="1"/>
    <row r="1894" ht="11.25" customHeight="1"/>
    <row r="1895" ht="11.25" customHeight="1"/>
    <row r="1896" ht="11.25" customHeight="1"/>
    <row r="1897" ht="11.25" customHeight="1"/>
    <row r="1898" ht="11.25" customHeight="1"/>
    <row r="1899" ht="11.25" customHeight="1"/>
    <row r="1900" ht="11.25" customHeight="1"/>
    <row r="1901" ht="11.25" customHeight="1"/>
    <row r="1902" ht="11.25" customHeight="1"/>
    <row r="1903" ht="11.25" customHeight="1"/>
    <row r="1904" ht="11.25" customHeight="1"/>
    <row r="1905" ht="11.25" customHeight="1"/>
    <row r="1906" ht="11.25" customHeight="1"/>
    <row r="1907" ht="11.25" customHeight="1"/>
    <row r="1908" ht="11.25" customHeight="1"/>
    <row r="1909" ht="11.25" customHeight="1"/>
    <row r="1910" ht="11.25" customHeight="1"/>
    <row r="1911" ht="11.25" customHeight="1"/>
    <row r="1912" ht="11.25" customHeight="1"/>
    <row r="1913" ht="11.25" customHeight="1"/>
    <row r="1914" ht="11.25" customHeight="1"/>
    <row r="1915" ht="11.25" customHeight="1"/>
    <row r="1916" ht="11.25" customHeight="1"/>
    <row r="1917" ht="11.25" customHeight="1"/>
    <row r="1918" ht="11.25" customHeight="1"/>
    <row r="1919" ht="11.25" customHeight="1"/>
    <row r="1920" ht="11.25" customHeight="1"/>
    <row r="1921" ht="11.25" customHeight="1"/>
    <row r="1922" ht="11.25" customHeight="1"/>
    <row r="1923" ht="11.25" customHeight="1"/>
    <row r="1924" ht="11.25" customHeight="1"/>
    <row r="1925" ht="11.25" customHeight="1"/>
    <row r="1926" ht="11.25" customHeight="1"/>
    <row r="1927" ht="11.25" customHeight="1"/>
    <row r="1928" ht="11.25" customHeight="1"/>
    <row r="1929" ht="11.25" customHeight="1"/>
    <row r="1930" ht="11.25" customHeight="1"/>
    <row r="1931" ht="11.25" customHeight="1"/>
    <row r="1932" ht="11.25" customHeight="1"/>
    <row r="1933" ht="11.25" customHeight="1"/>
    <row r="1934" ht="11.25" customHeight="1"/>
    <row r="1935" ht="11.25" customHeight="1"/>
    <row r="1936" ht="11.25" customHeight="1"/>
    <row r="1937" ht="11.25" customHeight="1"/>
    <row r="1938" ht="11.25" customHeight="1"/>
    <row r="1939" ht="11.25" customHeight="1"/>
    <row r="1940" ht="11.25" customHeight="1"/>
    <row r="1941" ht="11.25" customHeight="1"/>
    <row r="1942" ht="11.25" customHeight="1"/>
    <row r="1943" ht="11.25" customHeight="1"/>
    <row r="1944" ht="11.25" customHeight="1"/>
    <row r="1945" ht="11.25" customHeight="1"/>
    <row r="1946" ht="11.25" customHeight="1"/>
    <row r="1947" ht="11.25" customHeight="1"/>
    <row r="1948" ht="11.25" customHeight="1"/>
    <row r="1949" ht="11.25" customHeight="1"/>
    <row r="1950" ht="11.25" customHeight="1"/>
    <row r="1951" ht="11.25" customHeight="1"/>
    <row r="1952" ht="11.25" customHeight="1"/>
    <row r="1953" ht="11.25" customHeight="1"/>
    <row r="1954" ht="11.25" customHeight="1"/>
    <row r="1955" ht="11.25" customHeight="1"/>
    <row r="1956" ht="11.25" customHeight="1"/>
    <row r="1957" ht="11.25" customHeight="1"/>
    <row r="1958" ht="11.25" customHeight="1"/>
    <row r="1959" ht="11.25" customHeight="1"/>
    <row r="1960" ht="11.25" customHeight="1"/>
    <row r="1961" ht="11.25" customHeight="1"/>
    <row r="1962" ht="11.25" customHeight="1"/>
    <row r="1963" ht="11.25" customHeight="1"/>
    <row r="1964" ht="11.25" customHeight="1"/>
    <row r="1965" ht="11.25" customHeight="1"/>
    <row r="1966" ht="11.25" customHeight="1"/>
    <row r="1967" ht="11.25" customHeight="1"/>
    <row r="1968" ht="11.25" customHeight="1"/>
    <row r="1969" ht="11.25" customHeight="1"/>
    <row r="1970" ht="11.25" customHeight="1"/>
    <row r="1971" ht="11.25" customHeight="1"/>
    <row r="1972" ht="11.25" customHeight="1"/>
    <row r="1973" ht="11.25" customHeight="1"/>
    <row r="1974" ht="11.25" customHeight="1"/>
    <row r="1975" ht="11.25" customHeight="1"/>
    <row r="1976" ht="11.25" customHeight="1"/>
    <row r="1977" ht="11.25" customHeight="1"/>
    <row r="1978" ht="11.25" customHeight="1"/>
    <row r="1979" ht="11.25" customHeight="1"/>
    <row r="1980" ht="11.25" customHeight="1"/>
    <row r="1981" ht="11.25" customHeight="1"/>
    <row r="1982" ht="11.25" customHeight="1"/>
    <row r="1983" ht="11.25" customHeight="1"/>
    <row r="1984" ht="11.25" customHeight="1"/>
    <row r="1985" ht="11.25" customHeight="1"/>
    <row r="1986" ht="11.25" customHeight="1"/>
    <row r="1987" ht="11.25" customHeight="1"/>
    <row r="1988" ht="11.25" customHeight="1"/>
    <row r="1989" ht="11.25" customHeight="1"/>
    <row r="1990" ht="11.25" customHeight="1"/>
    <row r="1991" ht="11.25" customHeight="1"/>
    <row r="1992" ht="11.25" customHeight="1"/>
    <row r="1993" ht="11.25" customHeight="1"/>
    <row r="1994" ht="11.25" customHeight="1"/>
    <row r="1995" ht="11.25" customHeight="1"/>
    <row r="1996" ht="11.25" customHeight="1"/>
    <row r="1997" ht="11.25" customHeight="1"/>
    <row r="1998" ht="11.25" customHeight="1"/>
    <row r="1999" ht="11.25" customHeight="1"/>
    <row r="2000" ht="11.25" customHeight="1"/>
    <row r="2001" ht="11.25" customHeight="1"/>
    <row r="2002" ht="11.25" customHeight="1"/>
    <row r="2003" ht="11.25" customHeight="1"/>
    <row r="2004" ht="11.25" customHeight="1"/>
    <row r="2005" ht="11.25" customHeight="1"/>
    <row r="2006" ht="11.25" customHeight="1"/>
    <row r="2007" ht="11.25" customHeight="1"/>
    <row r="2008" ht="11.25" customHeight="1"/>
    <row r="2009" ht="11.25" customHeight="1"/>
    <row r="2010" ht="11.25" customHeight="1"/>
    <row r="2011" ht="11.25" customHeight="1"/>
    <row r="2012" ht="11.25" customHeight="1"/>
    <row r="2013" ht="11.25" customHeight="1"/>
    <row r="2014" ht="11.25" customHeight="1"/>
    <row r="2015" ht="11.25" customHeight="1"/>
    <row r="2016" ht="11.25" customHeight="1"/>
    <row r="2017" ht="11.25" customHeight="1"/>
    <row r="2018" ht="11.25" customHeight="1"/>
    <row r="2019" ht="11.25" customHeight="1"/>
    <row r="2020" ht="11.25" customHeight="1"/>
    <row r="2021" ht="11.25" customHeight="1"/>
    <row r="2022" ht="11.25" customHeight="1"/>
    <row r="2023" ht="11.25" customHeight="1"/>
    <row r="2024" ht="11.25" customHeight="1"/>
    <row r="2025" ht="11.25" customHeight="1"/>
    <row r="2026" ht="11.25" customHeight="1"/>
    <row r="2027" ht="11.25" customHeight="1"/>
    <row r="2028" ht="11.25" customHeight="1"/>
    <row r="2029" ht="11.25" customHeight="1"/>
    <row r="2030" ht="11.25" customHeight="1"/>
    <row r="2031" ht="11.25" customHeight="1"/>
    <row r="2032" ht="11.25" customHeight="1"/>
    <row r="2033" ht="11.25" customHeight="1"/>
    <row r="2034" ht="11.25" customHeight="1"/>
    <row r="2035" ht="11.25" customHeight="1"/>
    <row r="2036" ht="11.25" customHeight="1"/>
    <row r="2037" ht="11.25" customHeight="1"/>
    <row r="2038" ht="11.25" customHeight="1"/>
    <row r="2039" ht="11.25" customHeight="1"/>
    <row r="2040" ht="11.25" customHeight="1"/>
    <row r="2041" ht="11.25" customHeight="1"/>
    <row r="2042" ht="11.25" customHeight="1"/>
    <row r="2043" ht="11.25" customHeight="1"/>
    <row r="2044" ht="11.25" customHeight="1"/>
    <row r="2045" ht="11.25" customHeight="1"/>
    <row r="2046" ht="11.25" customHeight="1"/>
    <row r="2047" ht="11.25" customHeight="1"/>
    <row r="2048" ht="11.25" customHeight="1"/>
    <row r="2049" ht="11.25" customHeight="1"/>
    <row r="2050" ht="11.25" customHeight="1"/>
    <row r="2051" ht="11.25" customHeight="1"/>
    <row r="2052" ht="11.25" customHeight="1"/>
    <row r="2053" ht="11.25" customHeight="1"/>
    <row r="2054" ht="11.25" customHeight="1"/>
    <row r="2055" ht="11.25" customHeight="1"/>
    <row r="2056" ht="11.25" customHeight="1"/>
    <row r="2057" ht="11.25" customHeight="1"/>
    <row r="2058" ht="11.25" customHeight="1"/>
    <row r="2059" ht="11.25" customHeight="1"/>
    <row r="2060" ht="11.25" customHeight="1"/>
    <row r="2061" ht="11.25" customHeight="1"/>
    <row r="2062" ht="11.25" customHeight="1"/>
    <row r="2063" ht="11.25" customHeight="1"/>
    <row r="2064" ht="11.25" customHeight="1"/>
    <row r="2065" ht="11.25" customHeight="1"/>
    <row r="2066" ht="11.25" customHeight="1"/>
    <row r="2067" ht="11.25" customHeight="1"/>
    <row r="2068" ht="11.25" customHeight="1"/>
    <row r="2069" ht="11.25" customHeight="1"/>
    <row r="2070" ht="11.25" customHeight="1"/>
    <row r="2071" ht="11.25" customHeight="1"/>
    <row r="2072" ht="11.25" customHeight="1"/>
    <row r="2073" ht="11.25" customHeight="1"/>
    <row r="2074" ht="11.25" customHeight="1"/>
    <row r="2075" ht="11.25" customHeight="1"/>
    <row r="2076" ht="11.25" customHeight="1"/>
    <row r="2077" ht="11.25" customHeight="1"/>
    <row r="2078" ht="11.25" customHeight="1"/>
    <row r="2079" ht="11.25" customHeight="1"/>
    <row r="2080" ht="11.25" customHeight="1"/>
    <row r="2081" ht="11.25" customHeight="1"/>
    <row r="2082" ht="11.25" customHeight="1"/>
    <row r="2083" ht="11.25" customHeight="1"/>
    <row r="2084" ht="11.25" customHeight="1"/>
    <row r="2085" ht="11.25" customHeight="1"/>
    <row r="2086" ht="11.25" customHeight="1"/>
    <row r="2087" ht="11.25" customHeight="1"/>
    <row r="2088" ht="11.25" customHeight="1"/>
    <row r="2089" ht="11.25" customHeight="1"/>
    <row r="2090" ht="11.25" customHeight="1"/>
    <row r="2091" ht="11.25" customHeight="1"/>
    <row r="2092" ht="11.25" customHeight="1"/>
    <row r="2093" ht="11.25" customHeight="1"/>
    <row r="2094" ht="11.25" customHeight="1"/>
    <row r="2095" ht="11.25" customHeight="1"/>
    <row r="2096" ht="11.25" customHeight="1"/>
    <row r="2097" ht="11.25" customHeight="1"/>
    <row r="2098" ht="11.25" customHeight="1"/>
    <row r="2099" ht="11.25" customHeight="1"/>
    <row r="2100" ht="11.25" customHeight="1"/>
    <row r="2101" ht="11.25" customHeight="1"/>
    <row r="2102" ht="11.25" customHeight="1"/>
    <row r="2103" ht="11.25" customHeight="1"/>
    <row r="2104" ht="11.25" customHeight="1"/>
    <row r="2105" ht="11.25" customHeight="1"/>
    <row r="2106" ht="11.25" customHeight="1"/>
    <row r="2107" ht="11.25" customHeight="1"/>
    <row r="2108" ht="11.25" customHeight="1"/>
    <row r="2109" ht="11.25" customHeight="1"/>
    <row r="2110" ht="11.25" customHeight="1"/>
    <row r="2111" ht="11.25" customHeight="1"/>
    <row r="2112" ht="11.25" customHeight="1"/>
    <row r="2113" ht="11.25" customHeight="1"/>
    <row r="2114" ht="11.25" customHeight="1"/>
    <row r="2115" ht="11.25" customHeight="1"/>
    <row r="2116" ht="11.25" customHeight="1"/>
    <row r="2117" ht="11.25" customHeight="1"/>
    <row r="2118" ht="11.25" customHeight="1"/>
    <row r="2119" ht="11.25" customHeight="1"/>
    <row r="2120" ht="11.25" customHeight="1"/>
    <row r="2121" ht="11.25" customHeight="1"/>
    <row r="2122" ht="11.25" customHeight="1"/>
    <row r="2123" ht="11.25" customHeight="1"/>
    <row r="2124" ht="11.25" customHeight="1"/>
    <row r="2125" ht="11.25" customHeight="1"/>
    <row r="2126" ht="11.25" customHeight="1"/>
    <row r="2127" ht="11.25" customHeight="1"/>
    <row r="2128" ht="11.25" customHeight="1"/>
    <row r="2129" ht="11.25" customHeight="1"/>
    <row r="2130" ht="11.25" customHeight="1"/>
    <row r="2131" ht="11.25" customHeight="1"/>
    <row r="2132" ht="11.25" customHeight="1"/>
    <row r="2133" ht="11.25" customHeight="1"/>
    <row r="2134" ht="11.25" customHeight="1"/>
    <row r="2135" ht="11.25" customHeight="1"/>
    <row r="2136" ht="11.25" customHeight="1"/>
    <row r="2137" ht="11.25" customHeight="1"/>
    <row r="2138" ht="11.25" customHeight="1"/>
    <row r="2139" ht="11.25" customHeight="1"/>
    <row r="2140" ht="11.25" customHeight="1"/>
    <row r="2141" ht="11.25" customHeight="1"/>
    <row r="2142" ht="11.25" customHeight="1"/>
    <row r="2143" ht="11.25" customHeight="1"/>
    <row r="2144" ht="11.25" customHeight="1"/>
    <row r="2145" ht="11.25" customHeight="1"/>
    <row r="2146" ht="11.25" customHeight="1"/>
    <row r="2147" ht="11.25" customHeight="1"/>
    <row r="2148" ht="11.25" customHeight="1"/>
    <row r="2149" ht="11.25" customHeight="1"/>
    <row r="2150" ht="11.25" customHeight="1"/>
    <row r="2151" ht="11.25" customHeight="1"/>
    <row r="2152" ht="11.25" customHeight="1"/>
    <row r="2153" ht="11.25" customHeight="1"/>
    <row r="2154" ht="11.25" customHeight="1"/>
    <row r="2155" ht="11.25" customHeight="1"/>
    <row r="2156" ht="11.25" customHeight="1"/>
    <row r="2157" ht="11.25" customHeight="1"/>
    <row r="2158" ht="11.25" customHeight="1"/>
    <row r="2159" ht="11.25" customHeight="1"/>
    <row r="2160" ht="11.25" customHeight="1"/>
    <row r="2161" ht="11.25" customHeight="1"/>
    <row r="2162" ht="11.25" customHeight="1"/>
    <row r="2163" ht="11.25" customHeight="1"/>
    <row r="2164" ht="11.25" customHeight="1"/>
    <row r="2165" ht="11.25" customHeight="1"/>
    <row r="2166" ht="11.25" customHeight="1"/>
    <row r="2167" ht="11.25" customHeight="1"/>
    <row r="2168" ht="11.25" customHeight="1"/>
    <row r="2169" ht="11.25" customHeight="1"/>
    <row r="2170" ht="11.25" customHeight="1"/>
    <row r="2171" ht="11.25" customHeight="1"/>
    <row r="2172" ht="11.25" customHeight="1"/>
    <row r="2173" ht="11.25" customHeight="1"/>
    <row r="2174" ht="11.25" customHeight="1"/>
    <row r="2175" ht="11.25" customHeight="1"/>
    <row r="2176" ht="11.25" customHeight="1"/>
    <row r="2177" ht="11.25" customHeight="1"/>
    <row r="2178" ht="11.25" customHeight="1"/>
    <row r="2179" ht="11.25" customHeight="1"/>
    <row r="2180" ht="11.25" customHeight="1"/>
    <row r="2181" ht="11.25" customHeight="1"/>
    <row r="2182" ht="11.25" customHeight="1"/>
    <row r="2183" ht="11.25" customHeight="1"/>
    <row r="2184" ht="11.25" customHeight="1"/>
    <row r="2185" ht="11.25" customHeight="1"/>
    <row r="2186" ht="11.25" customHeight="1"/>
    <row r="2187" ht="11.25" customHeight="1"/>
    <row r="2188" ht="11.25" customHeight="1"/>
    <row r="2189" ht="11.25" customHeight="1"/>
    <row r="2190" ht="11.25" customHeight="1"/>
    <row r="2191" ht="11.25" customHeight="1"/>
    <row r="2192" ht="11.25" customHeight="1"/>
    <row r="2193" ht="11.25" customHeight="1"/>
    <row r="2194" ht="11.25" customHeight="1"/>
    <row r="2195" ht="11.25" customHeight="1"/>
    <row r="2196" ht="11.25" customHeight="1"/>
    <row r="2197" ht="11.25" customHeight="1"/>
    <row r="2198" ht="11.25" customHeight="1"/>
    <row r="2199" ht="11.25" customHeight="1"/>
    <row r="2200" ht="11.25" customHeight="1"/>
    <row r="2201" ht="11.25" customHeight="1"/>
    <row r="2202" ht="11.25" customHeight="1"/>
    <row r="2203" ht="11.25" customHeight="1"/>
    <row r="2204" ht="11.25" customHeight="1"/>
    <row r="2205" ht="11.25" customHeight="1"/>
    <row r="2206" ht="11.25" customHeight="1"/>
    <row r="2207" ht="11.25" customHeight="1"/>
    <row r="2208" ht="11.25" customHeight="1"/>
    <row r="2209" ht="11.25" customHeight="1"/>
    <row r="2210" ht="11.25" customHeight="1"/>
    <row r="2211" ht="11.25" customHeight="1"/>
    <row r="2212" ht="11.25" customHeight="1"/>
    <row r="2213" ht="11.25" customHeight="1"/>
    <row r="2214" ht="11.25" customHeight="1"/>
    <row r="2215" ht="11.25" customHeight="1"/>
    <row r="2216" ht="11.25" customHeight="1"/>
    <row r="2217" ht="11.25" customHeight="1"/>
    <row r="2218" ht="11.25" customHeight="1"/>
    <row r="2219" ht="11.25" customHeight="1"/>
    <row r="2220" ht="11.25" customHeight="1"/>
    <row r="2221" ht="11.25" customHeight="1"/>
    <row r="2222" ht="11.25" customHeight="1"/>
    <row r="2223" ht="11.25" customHeight="1"/>
    <row r="2224" ht="11.25" customHeight="1"/>
    <row r="2225" ht="11.25" customHeight="1"/>
    <row r="2226" ht="11.25" customHeight="1"/>
    <row r="2227" ht="11.25" customHeight="1"/>
    <row r="2228" ht="11.25" customHeight="1"/>
    <row r="2229" ht="11.25" customHeight="1"/>
    <row r="2230" ht="11.25" customHeight="1"/>
    <row r="2231" ht="11.25" customHeight="1"/>
    <row r="2232" ht="11.25" customHeight="1"/>
    <row r="2233" ht="11.25" customHeight="1"/>
    <row r="2234" ht="11.25" customHeight="1"/>
    <row r="2235" ht="11.25" customHeight="1"/>
    <row r="2236" ht="11.25" customHeight="1"/>
    <row r="2237" ht="11.25" customHeight="1"/>
    <row r="2238" ht="11.25" customHeight="1"/>
    <row r="2239" ht="11.25" customHeight="1"/>
    <row r="2240" ht="11.25" customHeight="1"/>
    <row r="2241" ht="11.25" customHeight="1"/>
    <row r="2242" ht="11.25" customHeight="1"/>
    <row r="2243" ht="11.25" customHeight="1"/>
    <row r="2244" ht="11.25" customHeight="1"/>
    <row r="2245" ht="11.25" customHeight="1"/>
    <row r="2246" ht="11.25" customHeight="1"/>
    <row r="2247" ht="11.25" customHeight="1"/>
    <row r="2248" ht="11.25" customHeight="1"/>
    <row r="2249" ht="11.25" customHeight="1"/>
    <row r="2250" ht="11.25" customHeight="1"/>
    <row r="2251" ht="11.25" customHeight="1"/>
    <row r="2252" ht="11.25" customHeight="1"/>
    <row r="2253" ht="11.25" customHeight="1"/>
    <row r="2254" ht="11.25" customHeight="1"/>
    <row r="2255" ht="11.25" customHeight="1"/>
    <row r="2256" ht="11.25" customHeight="1"/>
    <row r="2257" ht="11.25" customHeight="1"/>
    <row r="2258" ht="11.25" customHeight="1"/>
    <row r="2259" ht="11.25" customHeight="1"/>
    <row r="2260" ht="11.25" customHeight="1"/>
    <row r="2261" ht="11.25" customHeight="1"/>
    <row r="2262" ht="11.25" customHeight="1"/>
    <row r="2263" ht="11.25" customHeight="1"/>
    <row r="2264" ht="11.25" customHeight="1"/>
    <row r="2265" ht="11.25" customHeight="1"/>
    <row r="2266" ht="11.25" customHeight="1"/>
    <row r="2267" ht="11.25" customHeight="1"/>
    <row r="2268" ht="11.25" customHeight="1"/>
    <row r="2269" ht="11.25" customHeight="1"/>
    <row r="2270" ht="11.25" customHeight="1"/>
    <row r="2271" ht="11.25" customHeight="1"/>
    <row r="2272" ht="11.25" customHeight="1"/>
    <row r="2273" ht="11.25" customHeight="1"/>
    <row r="2274" ht="11.25" customHeight="1"/>
    <row r="2275" ht="11.25" customHeight="1"/>
    <row r="2276" ht="11.25" customHeight="1"/>
    <row r="2277" ht="11.25" customHeight="1"/>
    <row r="2278" ht="11.25" customHeight="1"/>
    <row r="2279" ht="11.25" customHeight="1"/>
    <row r="2280" ht="11.25" customHeight="1"/>
    <row r="2281" ht="11.25" customHeight="1"/>
    <row r="2282" ht="11.25" customHeight="1"/>
    <row r="2283" ht="11.25" customHeight="1"/>
    <row r="2284" ht="11.25" customHeight="1"/>
    <row r="2285" ht="11.25" customHeight="1"/>
    <row r="2286" ht="11.25" customHeight="1"/>
    <row r="2287" ht="11.25" customHeight="1"/>
    <row r="2288" ht="11.25" customHeight="1"/>
    <row r="2289" ht="11.25" customHeight="1"/>
    <row r="2290" ht="11.25" customHeight="1"/>
    <row r="2291" ht="11.25" customHeight="1"/>
    <row r="2292" ht="11.25" customHeight="1"/>
    <row r="2293" ht="11.25" customHeight="1"/>
    <row r="2294" ht="11.25" customHeight="1"/>
    <row r="2295" ht="11.25" customHeight="1"/>
    <row r="2296" ht="11.25" customHeight="1"/>
    <row r="2297" ht="11.25" customHeight="1"/>
    <row r="2298" ht="11.25" customHeight="1"/>
    <row r="2299" ht="11.25" customHeight="1"/>
    <row r="2300" ht="11.25" customHeight="1"/>
    <row r="2301" ht="11.25" customHeight="1"/>
    <row r="2302" ht="11.25" customHeight="1"/>
    <row r="2303" ht="11.25" customHeight="1"/>
    <row r="2304" ht="11.25" customHeight="1"/>
    <row r="2305" ht="11.25" customHeight="1"/>
    <row r="2306" ht="11.25" customHeight="1"/>
    <row r="2307" ht="11.25" customHeight="1"/>
    <row r="2308" ht="11.25" customHeight="1"/>
    <row r="2309" ht="11.25" customHeight="1"/>
    <row r="2310" ht="11.25" customHeight="1"/>
    <row r="2311" ht="11.25" customHeight="1"/>
    <row r="2312" ht="11.25" customHeight="1"/>
    <row r="2313" ht="11.25" customHeight="1"/>
    <row r="2314" ht="11.25" customHeight="1"/>
    <row r="2315" ht="11.25" customHeight="1"/>
    <row r="2316" ht="11.25" customHeight="1"/>
    <row r="2317" ht="11.25" customHeight="1"/>
    <row r="2318" ht="11.25" customHeight="1"/>
    <row r="2319" ht="11.25" customHeight="1"/>
    <row r="2320" ht="11.25" customHeight="1"/>
    <row r="2321" ht="11.25" customHeight="1"/>
    <row r="2322" ht="11.25" customHeight="1"/>
    <row r="2323" ht="11.25" customHeight="1"/>
    <row r="2324" ht="11.25" customHeight="1"/>
    <row r="2325" ht="11.25" customHeight="1"/>
    <row r="2326" ht="11.25" customHeight="1"/>
    <row r="2327" ht="11.25" customHeight="1"/>
    <row r="2328" ht="11.25" customHeight="1"/>
    <row r="2329" ht="11.25" customHeight="1"/>
    <row r="2330" ht="11.25" customHeight="1"/>
    <row r="2331" ht="11.25" customHeight="1"/>
    <row r="2332" ht="11.25" customHeight="1"/>
    <row r="2333" ht="11.25" customHeight="1"/>
    <row r="2334" ht="11.25" customHeight="1"/>
    <row r="2335" ht="11.25" customHeight="1"/>
    <row r="2336" ht="11.25" customHeight="1"/>
    <row r="2337" ht="11.25" customHeight="1"/>
    <row r="2338" ht="11.25" customHeight="1"/>
    <row r="2339" ht="11.25" customHeight="1"/>
    <row r="2340" ht="11.25" customHeight="1"/>
    <row r="2341" ht="11.25" customHeight="1"/>
    <row r="2342" ht="11.25" customHeight="1"/>
    <row r="2343" ht="11.25" customHeight="1"/>
    <row r="2344" ht="11.25" customHeight="1"/>
    <row r="2345" ht="11.25" customHeight="1"/>
    <row r="2346" ht="11.25" customHeight="1"/>
    <row r="2347" ht="11.25" customHeight="1"/>
    <row r="2348" ht="11.25" customHeight="1"/>
    <row r="2349" ht="11.25" customHeight="1"/>
    <row r="2350" ht="11.25" customHeight="1"/>
    <row r="2351" ht="11.25" customHeight="1"/>
    <row r="2352" ht="11.25" customHeight="1"/>
    <row r="2353" ht="11.25" customHeight="1"/>
    <row r="2354" ht="11.25" customHeight="1"/>
    <row r="2355" ht="11.25" customHeight="1"/>
    <row r="2356" ht="11.25" customHeight="1"/>
    <row r="2357" ht="11.25" customHeight="1"/>
    <row r="2358" ht="11.25" customHeight="1"/>
    <row r="2359" ht="11.25" customHeight="1"/>
    <row r="2360" ht="11.25" customHeight="1"/>
    <row r="2361" ht="11.25" customHeight="1"/>
    <row r="2362" ht="11.25" customHeight="1"/>
    <row r="2363" ht="11.25" customHeight="1"/>
    <row r="2364" ht="11.25" customHeight="1"/>
    <row r="2365" ht="11.25" customHeight="1"/>
    <row r="2366" ht="11.25" customHeight="1"/>
    <row r="2367" ht="11.25" customHeight="1"/>
    <row r="2368" ht="11.25" customHeight="1"/>
    <row r="2369" ht="11.25" customHeight="1"/>
    <row r="2370" ht="11.25" customHeight="1"/>
    <row r="2371" ht="11.25" customHeight="1"/>
    <row r="2372" ht="11.25" customHeight="1"/>
    <row r="2373" ht="11.25" customHeight="1"/>
    <row r="2374" ht="11.25" customHeight="1"/>
    <row r="2375" ht="11.25" customHeight="1"/>
    <row r="2376" ht="11.25" customHeight="1"/>
    <row r="2377" ht="11.25" customHeight="1"/>
    <row r="2378" ht="11.25" customHeight="1"/>
    <row r="2379" ht="11.25" customHeight="1"/>
    <row r="2380" ht="11.25" customHeight="1"/>
    <row r="2381" ht="11.25" customHeight="1"/>
    <row r="2382" ht="11.25" customHeight="1"/>
    <row r="2383" ht="11.25" customHeight="1"/>
    <row r="2384" ht="11.25" customHeight="1"/>
    <row r="2385" ht="11.25" customHeight="1"/>
    <row r="2386" ht="11.25" customHeight="1"/>
    <row r="2387" ht="11.25" customHeight="1"/>
    <row r="2388" ht="11.25" customHeight="1"/>
    <row r="2389" ht="11.25" customHeight="1"/>
    <row r="2390" ht="11.25" customHeight="1"/>
    <row r="2391" ht="11.25" customHeight="1"/>
    <row r="2392" ht="11.25" customHeight="1"/>
    <row r="2393" ht="11.25" customHeight="1"/>
    <row r="2394" ht="11.25" customHeight="1"/>
    <row r="2395" ht="11.25" customHeight="1"/>
    <row r="2396" ht="11.25" customHeight="1"/>
    <row r="2397" ht="11.25" customHeight="1"/>
    <row r="2398" ht="11.25" customHeight="1"/>
    <row r="2399" ht="11.25" customHeight="1"/>
    <row r="2400" ht="11.25" customHeight="1"/>
    <row r="2401" ht="11.25" customHeight="1"/>
    <row r="2402" ht="11.25" customHeight="1"/>
    <row r="2403" ht="11.25" customHeight="1"/>
    <row r="2404" ht="11.25" customHeight="1"/>
    <row r="2405" ht="11.25" customHeight="1"/>
    <row r="2406" ht="11.25" customHeight="1"/>
    <row r="2407" ht="11.25" customHeight="1"/>
    <row r="2408" ht="11.25" customHeight="1"/>
    <row r="2409" ht="11.25" customHeight="1"/>
    <row r="2410" ht="11.25" customHeight="1"/>
    <row r="2411" ht="11.25" customHeight="1"/>
    <row r="2412" ht="11.25" customHeight="1"/>
    <row r="2413" ht="11.25" customHeight="1"/>
    <row r="2414" ht="11.25" customHeight="1"/>
    <row r="2415" ht="11.25" customHeight="1"/>
    <row r="2416" ht="11.25" customHeight="1"/>
    <row r="2417" ht="11.25" customHeight="1"/>
    <row r="2418" ht="11.25" customHeight="1"/>
    <row r="2419" ht="11.25" customHeight="1"/>
    <row r="2420" ht="11.25" customHeight="1"/>
    <row r="2421" ht="11.25" customHeight="1"/>
    <row r="2422" ht="11.25" customHeight="1"/>
    <row r="2423" ht="11.25" customHeight="1"/>
    <row r="2424" ht="11.25" customHeight="1"/>
    <row r="2425" ht="11.25" customHeight="1"/>
    <row r="2426" ht="11.25" customHeight="1"/>
    <row r="2427" ht="11.25" customHeight="1"/>
    <row r="2428" ht="11.25" customHeight="1"/>
    <row r="2429" ht="11.25" customHeight="1"/>
    <row r="2430" ht="11.25" customHeight="1"/>
    <row r="2431" ht="11.25" customHeight="1"/>
    <row r="2432" ht="11.25" customHeight="1"/>
    <row r="2433" ht="11.25" customHeight="1"/>
    <row r="2434" ht="11.25" customHeight="1"/>
    <row r="2435" ht="11.25" customHeight="1"/>
    <row r="2436" ht="11.25" customHeight="1"/>
    <row r="2437" ht="11.25" customHeight="1"/>
    <row r="2438" ht="11.25" customHeight="1"/>
    <row r="2439" ht="11.25" customHeight="1"/>
    <row r="2440" ht="11.25" customHeight="1"/>
    <row r="2441" ht="11.25" customHeight="1"/>
    <row r="2442" ht="11.25" customHeight="1"/>
    <row r="2443" ht="11.25" customHeight="1"/>
    <row r="2444" ht="11.25" customHeight="1"/>
    <row r="2445" ht="11.25" customHeight="1"/>
    <row r="2446" ht="11.25" customHeight="1"/>
    <row r="2447" ht="11.25" customHeight="1"/>
    <row r="2448" ht="11.25" customHeight="1"/>
    <row r="2449" ht="11.25" customHeight="1"/>
    <row r="2450" ht="11.25" customHeight="1"/>
    <row r="2451" ht="11.25" customHeight="1"/>
    <row r="2452" ht="11.25" customHeight="1"/>
    <row r="2453" ht="11.25" customHeight="1"/>
    <row r="2454" ht="11.25" customHeight="1"/>
    <row r="2455" ht="11.25" customHeight="1"/>
    <row r="2456" ht="11.25" customHeight="1"/>
    <row r="2457" ht="11.25" customHeight="1"/>
    <row r="2458" ht="11.25" customHeight="1"/>
    <row r="2459" ht="11.25" customHeight="1"/>
    <row r="2460" ht="11.25" customHeight="1"/>
    <row r="2461" ht="11.25" customHeight="1"/>
    <row r="2462" ht="11.25" customHeight="1"/>
    <row r="2463" ht="11.25" customHeight="1"/>
    <row r="2464" ht="11.25" customHeight="1"/>
    <row r="2465" ht="11.25" customHeight="1"/>
    <row r="2466" ht="11.25" customHeight="1"/>
    <row r="2467" ht="11.25" customHeight="1"/>
    <row r="2468" ht="11.25" customHeight="1"/>
    <row r="2469" ht="11.25" customHeight="1"/>
    <row r="2470" ht="11.25" customHeight="1"/>
    <row r="2471" ht="11.25" customHeight="1"/>
    <row r="2472" ht="11.25" customHeight="1"/>
    <row r="2473" ht="11.25" customHeight="1"/>
    <row r="2474" ht="11.25" customHeight="1"/>
    <row r="2475" ht="11.25" customHeight="1"/>
    <row r="2476" ht="11.25" customHeight="1"/>
    <row r="2477" ht="11.25" customHeight="1"/>
    <row r="2478" ht="11.25" customHeight="1"/>
    <row r="2479" ht="11.25" customHeight="1"/>
    <row r="2480" ht="11.25" customHeight="1"/>
    <row r="2481" ht="11.25" customHeight="1"/>
    <row r="2482" ht="11.25" customHeight="1"/>
    <row r="2483" ht="11.25" customHeight="1"/>
    <row r="2484" ht="11.25" customHeight="1"/>
    <row r="2485" ht="11.25" customHeight="1"/>
    <row r="2486" ht="11.25" customHeight="1"/>
    <row r="2487" ht="11.25" customHeight="1"/>
    <row r="2488" ht="11.25" customHeight="1"/>
    <row r="2489" ht="11.25" customHeight="1"/>
    <row r="2490" ht="11.25" customHeight="1"/>
    <row r="2491" ht="11.25" customHeight="1"/>
    <row r="2492" ht="11.25" customHeight="1"/>
    <row r="2493" ht="11.25" customHeight="1"/>
    <row r="2494" ht="11.25" customHeight="1"/>
    <row r="2495" ht="11.25" customHeight="1"/>
    <row r="2496" ht="11.25" customHeight="1"/>
    <row r="2497" ht="11.25" customHeight="1"/>
    <row r="2498" ht="11.25" customHeight="1"/>
    <row r="2499" ht="11.25" customHeight="1"/>
    <row r="2500" ht="11.25" customHeight="1"/>
    <row r="2501" ht="11.25" customHeight="1"/>
    <row r="2502" ht="11.25" customHeight="1"/>
    <row r="2503" ht="11.25" customHeight="1"/>
    <row r="2504" ht="11.25" customHeight="1"/>
    <row r="2505" ht="11.25" customHeight="1"/>
    <row r="2506" ht="11.25" customHeight="1"/>
    <row r="2507" ht="11.25" customHeight="1"/>
    <row r="2508" ht="11.25" customHeight="1"/>
    <row r="2509" ht="11.25" customHeight="1"/>
    <row r="2510" ht="11.25" customHeight="1"/>
    <row r="2511" ht="11.25" customHeight="1"/>
    <row r="2512" ht="11.25" customHeight="1"/>
    <row r="2513" ht="11.25" customHeight="1"/>
    <row r="2514" ht="11.25" customHeight="1"/>
    <row r="2515" ht="11.25" customHeight="1"/>
    <row r="2516" ht="11.25" customHeight="1"/>
    <row r="2517" ht="11.25" customHeight="1"/>
    <row r="2518" ht="11.25" customHeight="1"/>
    <row r="2519" ht="11.25" customHeight="1"/>
    <row r="2520" ht="11.25" customHeight="1"/>
    <row r="2521" ht="11.25" customHeight="1"/>
    <row r="2522" ht="11.25" customHeight="1"/>
    <row r="2523" ht="11.25" customHeight="1"/>
    <row r="2524" ht="11.25" customHeight="1"/>
    <row r="2525" ht="11.25" customHeight="1"/>
    <row r="2526" ht="11.25" customHeight="1"/>
    <row r="2527" ht="11.25" customHeight="1"/>
    <row r="2528" ht="11.25" customHeight="1"/>
    <row r="2529" ht="11.25" customHeight="1"/>
    <row r="2530" ht="11.25" customHeight="1"/>
    <row r="2531" ht="11.25" customHeight="1"/>
    <row r="2532" ht="11.25" customHeight="1"/>
    <row r="2533" ht="11.25" customHeight="1"/>
    <row r="2534" ht="11.25" customHeight="1"/>
    <row r="2535" ht="11.25" customHeight="1"/>
    <row r="2536" ht="11.25" customHeight="1"/>
    <row r="2537" ht="11.25" customHeight="1"/>
    <row r="2538" ht="11.25" customHeight="1"/>
    <row r="2539" ht="11.25" customHeight="1"/>
    <row r="2540" ht="11.25" customHeight="1"/>
    <row r="2541" ht="11.25" customHeight="1"/>
    <row r="2542" ht="11.25" customHeight="1"/>
    <row r="2543" ht="11.25" customHeight="1"/>
    <row r="2544" ht="11.25" customHeight="1"/>
    <row r="2545" ht="11.25" customHeight="1"/>
    <row r="2546" ht="11.25" customHeight="1"/>
    <row r="2547" ht="11.25" customHeight="1"/>
    <row r="2548" ht="11.25" customHeight="1"/>
    <row r="2549" ht="11.25" customHeight="1"/>
    <row r="2550" ht="11.25" customHeight="1"/>
    <row r="2551" ht="11.25" customHeight="1"/>
    <row r="2552" ht="11.25" customHeight="1"/>
    <row r="2553" ht="11.25" customHeight="1"/>
    <row r="2554" ht="11.25" customHeight="1"/>
    <row r="2555" ht="11.25" customHeight="1"/>
    <row r="2556" ht="11.25" customHeight="1"/>
    <row r="2557" ht="11.25" customHeight="1"/>
    <row r="2558" ht="11.25" customHeight="1"/>
    <row r="2559" ht="11.25" customHeight="1"/>
    <row r="2560" ht="11.25" customHeight="1"/>
    <row r="2561" ht="11.25" customHeight="1"/>
    <row r="2562" ht="11.25" customHeight="1"/>
    <row r="2563" ht="11.25" customHeight="1"/>
    <row r="2564" ht="11.25" customHeight="1"/>
    <row r="2565" ht="11.25" customHeight="1"/>
    <row r="2566" ht="11.25" customHeight="1"/>
    <row r="2567" ht="11.25" customHeight="1"/>
    <row r="2568" ht="11.25" customHeight="1"/>
    <row r="2569" ht="11.25" customHeight="1"/>
    <row r="2570" ht="11.25" customHeight="1"/>
    <row r="2571" ht="11.25" customHeight="1"/>
    <row r="2572" ht="11.25" customHeight="1"/>
    <row r="2573" ht="11.25" customHeight="1"/>
    <row r="2574" ht="11.25" customHeight="1"/>
    <row r="2575" ht="11.25" customHeight="1"/>
    <row r="2576" ht="11.25" customHeight="1"/>
    <row r="2577" ht="11.25" customHeight="1"/>
    <row r="2578" ht="11.25" customHeight="1"/>
    <row r="2579" ht="11.25" customHeight="1"/>
    <row r="2580" ht="11.25" customHeight="1"/>
    <row r="2581" ht="11.25" customHeight="1"/>
    <row r="2582" ht="11.25" customHeight="1"/>
    <row r="2583" ht="11.25" customHeight="1"/>
    <row r="2584" ht="11.25" customHeight="1"/>
    <row r="2585" ht="11.25" customHeight="1"/>
    <row r="2586" ht="11.25" customHeight="1"/>
    <row r="2587" ht="11.25" customHeight="1"/>
    <row r="2588" ht="11.25" customHeight="1"/>
    <row r="2589" ht="11.25" customHeight="1"/>
    <row r="2590" ht="11.25" customHeight="1"/>
    <row r="2591" ht="11.25" customHeight="1"/>
    <row r="2592" ht="11.25" customHeight="1"/>
    <row r="2593" ht="11.25" customHeight="1"/>
    <row r="2594" ht="11.25" customHeight="1"/>
    <row r="2595" ht="11.25" customHeight="1"/>
    <row r="2596" ht="11.25" customHeight="1"/>
    <row r="2597" ht="11.25" customHeight="1"/>
    <row r="2598" ht="11.25" customHeight="1"/>
    <row r="2599" ht="11.25" customHeight="1"/>
    <row r="2600" ht="11.25" customHeight="1"/>
    <row r="2601" ht="11.25" customHeight="1"/>
    <row r="2602" ht="11.25" customHeight="1"/>
    <row r="2603" ht="11.25" customHeight="1"/>
    <row r="2604" ht="11.25" customHeight="1"/>
    <row r="2605" ht="11.25" customHeight="1"/>
    <row r="2606" ht="11.25" customHeight="1"/>
    <row r="2607" ht="11.25" customHeight="1"/>
    <row r="2608" ht="11.25" customHeight="1"/>
    <row r="2609" ht="11.25" customHeight="1"/>
    <row r="2610" ht="11.25" customHeight="1"/>
    <row r="2611" ht="11.25" customHeight="1"/>
    <row r="2612" ht="11.25" customHeight="1"/>
    <row r="2613" ht="11.25" customHeight="1"/>
    <row r="2614" ht="11.25" customHeight="1"/>
    <row r="2615" ht="11.25" customHeight="1"/>
    <row r="2616" ht="11.25" customHeight="1"/>
    <row r="2617" ht="11.25" customHeight="1"/>
    <row r="2618" ht="11.25" customHeight="1"/>
    <row r="2619" ht="11.25" customHeight="1"/>
    <row r="2620" ht="11.25" customHeight="1"/>
    <row r="2621" ht="11.25" customHeight="1"/>
    <row r="2622" ht="11.25" customHeight="1"/>
    <row r="2623" ht="11.25" customHeight="1"/>
    <row r="2624" ht="11.25" customHeight="1"/>
    <row r="2625" ht="11.25" customHeight="1"/>
    <row r="2626" ht="11.25" customHeight="1"/>
    <row r="2627" ht="11.25" customHeight="1"/>
    <row r="2628" ht="11.25" customHeight="1"/>
    <row r="2629" ht="11.25" customHeight="1"/>
    <row r="2630" ht="11.25" customHeight="1"/>
    <row r="2631" ht="11.25" customHeight="1"/>
    <row r="2632" ht="11.25" customHeight="1"/>
    <row r="2633" ht="11.25" customHeight="1"/>
    <row r="2634" ht="11.25" customHeight="1"/>
    <row r="2635" ht="11.25" customHeight="1"/>
    <row r="2636" ht="11.25" customHeight="1"/>
    <row r="2637" ht="11.25" customHeight="1"/>
    <row r="2638" ht="11.25" customHeight="1"/>
    <row r="2639" ht="11.25" customHeight="1"/>
    <row r="2640" ht="11.25" customHeight="1"/>
    <row r="2641" ht="11.25" customHeight="1"/>
    <row r="2642" ht="11.25" customHeight="1"/>
    <row r="2643" ht="11.25" customHeight="1"/>
    <row r="2644" ht="11.25" customHeight="1"/>
    <row r="2645" ht="11.25" customHeight="1"/>
    <row r="2646" ht="11.25" customHeight="1"/>
    <row r="2647" ht="11.25" customHeight="1"/>
    <row r="2648" ht="11.25" customHeight="1"/>
    <row r="2649" ht="11.25" customHeight="1"/>
    <row r="2650" ht="11.25" customHeight="1"/>
    <row r="2651" ht="11.25" customHeight="1"/>
    <row r="2652" ht="11.25" customHeight="1"/>
    <row r="2653" ht="11.25" customHeight="1"/>
    <row r="2654" ht="11.25" customHeight="1"/>
    <row r="2655" ht="11.25" customHeight="1"/>
    <row r="2656" ht="11.25" customHeight="1"/>
    <row r="2657" ht="11.25" customHeight="1"/>
    <row r="2658" ht="11.25" customHeight="1"/>
    <row r="2659" ht="11.25" customHeight="1"/>
    <row r="2660" ht="11.25" customHeight="1"/>
    <row r="2661" ht="11.25" customHeight="1"/>
    <row r="2662" ht="11.25" customHeight="1"/>
    <row r="2663" ht="11.25" customHeight="1"/>
    <row r="2664" ht="11.25" customHeight="1"/>
    <row r="2665" ht="11.25" customHeight="1"/>
    <row r="2666" ht="11.25" customHeight="1"/>
    <row r="2667" ht="11.25" customHeight="1"/>
    <row r="2668" ht="11.25" customHeight="1"/>
    <row r="2669" ht="11.25" customHeight="1"/>
    <row r="2670" ht="11.25" customHeight="1"/>
    <row r="2671" ht="11.25" customHeight="1"/>
    <row r="2672" ht="11.25" customHeight="1"/>
    <row r="2673" ht="11.25" customHeight="1"/>
    <row r="2674" ht="11.25" customHeight="1"/>
    <row r="2675" ht="11.25" customHeight="1"/>
    <row r="2676" ht="11.25" customHeight="1"/>
    <row r="2677" ht="11.25" customHeight="1"/>
    <row r="2678" ht="11.25" customHeight="1"/>
    <row r="2679" ht="11.25" customHeight="1"/>
    <row r="2680" ht="11.25" customHeight="1"/>
    <row r="2681" ht="11.25" customHeight="1"/>
    <row r="2682" ht="11.25" customHeight="1"/>
    <row r="2683" ht="11.25" customHeight="1"/>
    <row r="2684" ht="11.25" customHeight="1"/>
    <row r="2685" ht="11.25" customHeight="1"/>
    <row r="2686" ht="11.25" customHeight="1"/>
    <row r="2687" ht="11.25" customHeight="1"/>
    <row r="2688" ht="11.25" customHeight="1"/>
    <row r="2689" ht="11.25" customHeight="1"/>
    <row r="2690" ht="11.25" customHeight="1"/>
    <row r="2691" ht="11.25" customHeight="1"/>
    <row r="2692" ht="11.25" customHeight="1"/>
    <row r="2693" ht="11.25" customHeight="1"/>
    <row r="2694" ht="11.25" customHeight="1"/>
    <row r="2695" ht="11.25" customHeight="1"/>
    <row r="2696" ht="11.25" customHeight="1"/>
    <row r="2697" ht="11.25" customHeight="1"/>
    <row r="2698" ht="11.25" customHeight="1"/>
    <row r="2699" ht="11.25" customHeight="1"/>
    <row r="2700" ht="11.25" customHeight="1"/>
    <row r="2701" ht="11.25" customHeight="1"/>
    <row r="2702" ht="11.25" customHeight="1"/>
    <row r="2703" ht="11.25" customHeight="1"/>
    <row r="2704" ht="11.25" customHeight="1"/>
    <row r="2705" ht="11.25" customHeight="1"/>
    <row r="2706" ht="11.25" customHeight="1"/>
    <row r="2707" ht="11.25" customHeight="1"/>
    <row r="2708" ht="11.25" customHeight="1"/>
    <row r="2709" ht="11.25" customHeight="1"/>
    <row r="2710" ht="11.25" customHeight="1"/>
    <row r="2711" ht="11.25" customHeight="1"/>
    <row r="2712" ht="11.25" customHeight="1"/>
    <row r="2713" ht="11.25" customHeight="1"/>
    <row r="2714" ht="11.25" customHeight="1"/>
    <row r="2715" ht="11.25" customHeight="1"/>
    <row r="2716" ht="11.25" customHeight="1"/>
    <row r="2717" ht="11.25" customHeight="1"/>
    <row r="2718" ht="11.25" customHeight="1"/>
    <row r="2719" ht="11.25" customHeight="1"/>
    <row r="2720" ht="11.25" customHeight="1"/>
    <row r="2721" ht="11.25" customHeight="1"/>
    <row r="2722" ht="11.25" customHeight="1"/>
    <row r="2723" ht="11.25" customHeight="1"/>
    <row r="2724" ht="11.25" customHeight="1"/>
    <row r="2725" ht="11.25" customHeight="1"/>
    <row r="2726" ht="11.25" customHeight="1"/>
    <row r="2727" ht="11.25" customHeight="1"/>
    <row r="2728" ht="11.25" customHeight="1"/>
    <row r="2729" ht="11.25" customHeight="1"/>
    <row r="2730" ht="11.25" customHeight="1"/>
    <row r="2731" ht="11.25" customHeight="1"/>
    <row r="2732" ht="11.25" customHeight="1"/>
    <row r="2733" ht="11.25" customHeight="1"/>
    <row r="2734" ht="11.25" customHeight="1"/>
    <row r="2735" ht="11.25" customHeight="1"/>
    <row r="2736" ht="11.25" customHeight="1"/>
    <row r="2737" ht="11.25" customHeight="1"/>
    <row r="2738" ht="11.25" customHeight="1"/>
    <row r="2739" ht="11.25" customHeight="1"/>
    <row r="2740" ht="11.25" customHeight="1"/>
    <row r="2741" ht="11.25" customHeight="1"/>
    <row r="2742" ht="11.25" customHeight="1"/>
    <row r="2743" ht="11.25" customHeight="1"/>
    <row r="2744" ht="11.25" customHeight="1"/>
    <row r="2745" ht="11.25" customHeight="1"/>
    <row r="2746" ht="11.25" customHeight="1"/>
    <row r="2747" ht="11.25" customHeight="1"/>
    <row r="2748" ht="11.25" customHeight="1"/>
    <row r="2749" ht="11.25" customHeight="1"/>
    <row r="2750" ht="11.25" customHeight="1"/>
    <row r="2751" ht="11.25" customHeight="1"/>
    <row r="2752" ht="11.25" customHeight="1"/>
    <row r="2753" ht="11.25" customHeight="1"/>
    <row r="2754" ht="11.25" customHeight="1"/>
    <row r="2755" ht="11.25" customHeight="1"/>
    <row r="2756" ht="11.25" customHeight="1"/>
    <row r="2757" ht="11.25" customHeight="1"/>
    <row r="2758" ht="11.25" customHeight="1"/>
    <row r="2759" ht="11.25" customHeight="1"/>
    <row r="2760" ht="11.25" customHeight="1"/>
    <row r="2761" ht="11.25" customHeight="1"/>
    <row r="2762" ht="11.25" customHeight="1"/>
    <row r="2763" ht="11.25" customHeight="1"/>
    <row r="2764" ht="11.25" customHeight="1"/>
    <row r="2765" ht="11.25" customHeight="1"/>
    <row r="2766" ht="11.25" customHeight="1"/>
    <row r="2767" ht="11.25" customHeight="1"/>
    <row r="2768" ht="11.25" customHeight="1"/>
    <row r="2769" ht="11.25" customHeight="1"/>
    <row r="2770" ht="11.25" customHeight="1"/>
    <row r="2771" ht="11.25" customHeight="1"/>
    <row r="2772" ht="11.25" customHeight="1"/>
    <row r="2773" ht="11.25" customHeight="1"/>
    <row r="2774" ht="11.25" customHeight="1"/>
    <row r="2775" ht="11.25" customHeight="1"/>
    <row r="2776" ht="11.25" customHeight="1"/>
    <row r="2777" ht="11.25" customHeight="1"/>
    <row r="2778" ht="11.25" customHeight="1"/>
    <row r="2779" ht="11.25" customHeight="1"/>
    <row r="2780" ht="11.25" customHeight="1"/>
    <row r="2781" ht="11.25" customHeight="1"/>
    <row r="2782" ht="11.25" customHeight="1"/>
    <row r="2783" ht="11.25" customHeight="1"/>
    <row r="2784" ht="11.25" customHeight="1"/>
    <row r="2785" ht="11.25" customHeight="1"/>
    <row r="2786" ht="11.25" customHeight="1"/>
    <row r="2787" ht="11.25" customHeight="1"/>
    <row r="2788" ht="11.25" customHeight="1"/>
    <row r="2789" ht="11.25" customHeight="1"/>
    <row r="2790" ht="11.25" customHeight="1"/>
    <row r="2791" ht="11.25" customHeight="1"/>
    <row r="2792" ht="11.25" customHeight="1"/>
    <row r="2793" ht="11.25" customHeight="1"/>
    <row r="2794" ht="11.25" customHeight="1"/>
    <row r="2795" ht="11.25" customHeight="1"/>
    <row r="2796" ht="11.25" customHeight="1"/>
    <row r="2797" ht="11.25" customHeight="1"/>
    <row r="2798" ht="11.25" customHeight="1"/>
    <row r="2799" ht="11.25" customHeight="1"/>
    <row r="2800" ht="11.25" customHeight="1"/>
    <row r="2801" ht="11.25" customHeight="1"/>
    <row r="2802" ht="11.25" customHeight="1"/>
    <row r="2803" ht="11.25" customHeight="1"/>
    <row r="2804" ht="11.25" customHeight="1"/>
    <row r="2805" ht="11.25" customHeight="1"/>
    <row r="2806" ht="11.25" customHeight="1"/>
    <row r="2807" ht="11.25" customHeight="1"/>
    <row r="2808" ht="11.25" customHeight="1"/>
    <row r="2809" ht="11.25" customHeight="1"/>
    <row r="2810" ht="11.25" customHeight="1"/>
    <row r="2811" ht="11.25" customHeight="1"/>
    <row r="2812" ht="11.25" customHeight="1"/>
    <row r="2813" ht="11.25" customHeight="1"/>
    <row r="2814" ht="11.25" customHeight="1"/>
    <row r="2815" ht="11.25" customHeight="1"/>
    <row r="2816" ht="11.25" customHeight="1"/>
    <row r="2817" ht="11.25" customHeight="1"/>
    <row r="2818" ht="11.25" customHeight="1"/>
    <row r="2819" ht="11.25" customHeight="1"/>
    <row r="2820" ht="11.25" customHeight="1"/>
    <row r="2821" ht="11.25" customHeight="1"/>
    <row r="2822" ht="11.25" customHeight="1"/>
    <row r="2823" ht="11.25" customHeight="1"/>
    <row r="2824" ht="11.25" customHeight="1"/>
    <row r="2825" ht="11.25" customHeight="1"/>
    <row r="2826" ht="11.25" customHeight="1"/>
    <row r="2827" ht="11.25" customHeight="1"/>
    <row r="2828" ht="11.25" customHeight="1"/>
    <row r="2829" ht="11.25" customHeight="1"/>
    <row r="2830" ht="11.25" customHeight="1"/>
    <row r="2831" ht="11.25" customHeight="1"/>
    <row r="2832" ht="11.25" customHeight="1"/>
    <row r="2833" ht="11.25" customHeight="1"/>
    <row r="2834" ht="11.25" customHeight="1"/>
    <row r="2835" ht="11.25" customHeight="1"/>
    <row r="2836" ht="11.25" customHeight="1"/>
    <row r="2837" ht="11.25" customHeight="1"/>
    <row r="2838" ht="11.25" customHeight="1"/>
    <row r="2839" ht="11.25" customHeight="1"/>
    <row r="2840" ht="11.25" customHeight="1"/>
    <row r="2841" ht="11.25" customHeight="1"/>
    <row r="2842" ht="11.25" customHeight="1"/>
    <row r="2843" ht="11.25" customHeight="1"/>
    <row r="2844" ht="11.25" customHeight="1"/>
    <row r="2845" ht="11.25" customHeight="1"/>
    <row r="2846" ht="11.25" customHeight="1"/>
    <row r="2847" ht="11.25" customHeight="1"/>
    <row r="2848" ht="11.25" customHeight="1"/>
    <row r="2849" ht="11.25" customHeight="1"/>
    <row r="2850" ht="11.25" customHeight="1"/>
    <row r="2851" ht="11.25" customHeight="1"/>
    <row r="2852" ht="11.25" customHeight="1"/>
    <row r="2853" ht="11.25" customHeight="1"/>
    <row r="2854" ht="11.25" customHeight="1"/>
    <row r="2855" ht="11.25" customHeight="1"/>
    <row r="2856" ht="11.25" customHeight="1"/>
    <row r="2857" ht="11.25" customHeight="1"/>
    <row r="2858" ht="11.25" customHeight="1"/>
    <row r="2859" ht="11.25" customHeight="1"/>
    <row r="2860" ht="11.25" customHeight="1"/>
    <row r="2861" ht="11.25" customHeight="1"/>
    <row r="2862" ht="11.25" customHeight="1"/>
    <row r="2863" ht="11.25" customHeight="1"/>
    <row r="2864" ht="11.25" customHeight="1"/>
    <row r="2865" ht="11.25" customHeight="1"/>
    <row r="2866" ht="11.25" customHeight="1"/>
    <row r="2867" ht="11.25" customHeight="1"/>
    <row r="2868" ht="11.25" customHeight="1"/>
    <row r="2869" ht="11.25" customHeight="1"/>
    <row r="2870" ht="11.25" customHeight="1"/>
    <row r="2871" ht="11.25" customHeight="1"/>
    <row r="2872" ht="11.25" customHeight="1"/>
    <row r="2873" ht="11.25" customHeight="1"/>
    <row r="2874" ht="11.25" customHeight="1"/>
    <row r="2875" ht="11.25" customHeight="1"/>
    <row r="2876" ht="11.25" customHeight="1"/>
    <row r="2877" ht="11.25" customHeight="1"/>
    <row r="2878" ht="11.25" customHeight="1"/>
    <row r="2879" ht="11.25" customHeight="1"/>
    <row r="2880" ht="11.25" customHeight="1"/>
    <row r="2881" ht="11.25" customHeight="1"/>
    <row r="2882" ht="11.25" customHeight="1"/>
    <row r="2883" ht="11.25" customHeight="1"/>
    <row r="2884" ht="11.25" customHeight="1"/>
    <row r="2885" ht="11.25" customHeight="1"/>
    <row r="2886" ht="11.25" customHeight="1"/>
    <row r="2887" ht="11.25" customHeight="1"/>
    <row r="2888" ht="11.25" customHeight="1"/>
    <row r="2889" ht="11.25" customHeight="1"/>
    <row r="2890" ht="11.25" customHeight="1"/>
    <row r="2891" ht="11.25" customHeight="1"/>
    <row r="2892" ht="11.25" customHeight="1"/>
    <row r="2893" ht="11.25" customHeight="1"/>
    <row r="2894" ht="11.25" customHeight="1"/>
    <row r="2895" ht="11.25" customHeight="1"/>
    <row r="2896" ht="11.25" customHeight="1"/>
    <row r="2897" ht="11.25" customHeight="1"/>
    <row r="2898" ht="11.25" customHeight="1"/>
    <row r="2899" ht="11.25" customHeight="1"/>
    <row r="2900" ht="11.25" customHeight="1"/>
    <row r="2901" ht="11.25" customHeight="1"/>
    <row r="2902" ht="11.25" customHeight="1"/>
    <row r="2903" ht="11.25" customHeight="1"/>
    <row r="2904" ht="11.25" customHeight="1"/>
    <row r="2905" ht="11.25" customHeight="1"/>
    <row r="2906" ht="11.25" customHeight="1"/>
    <row r="2907" ht="11.25" customHeight="1"/>
    <row r="2908" ht="11.25" customHeight="1"/>
    <row r="2909" ht="11.25" customHeight="1"/>
    <row r="2910" ht="11.25" customHeight="1"/>
    <row r="2911" ht="11.25" customHeight="1"/>
    <row r="2912" ht="11.25" customHeight="1"/>
    <row r="2913" ht="11.25" customHeight="1"/>
    <row r="2914" ht="11.25" customHeight="1"/>
    <row r="2915" ht="11.25" customHeight="1"/>
    <row r="2916" ht="11.25" customHeight="1"/>
    <row r="2917" ht="11.25" customHeight="1"/>
    <row r="2918" ht="11.25" customHeight="1"/>
    <row r="2919" ht="11.25" customHeight="1"/>
    <row r="2920" ht="11.25" customHeight="1"/>
    <row r="2921" ht="11.25" customHeight="1"/>
    <row r="2922" ht="11.25" customHeight="1"/>
    <row r="2923" ht="11.25" customHeight="1"/>
    <row r="2924" ht="11.25" customHeight="1"/>
    <row r="2925" ht="11.25" customHeight="1"/>
    <row r="2926" ht="11.25" customHeight="1"/>
    <row r="2927" ht="11.25" customHeight="1"/>
    <row r="2928" ht="11.25" customHeight="1"/>
    <row r="2929" ht="11.25" customHeight="1"/>
    <row r="2930" ht="11.25" customHeight="1"/>
    <row r="2931" ht="11.25" customHeight="1"/>
    <row r="2932" ht="11.25" customHeight="1"/>
    <row r="2933" ht="11.25" customHeight="1"/>
    <row r="2934" ht="11.25" customHeight="1"/>
    <row r="2935" ht="11.25" customHeight="1"/>
    <row r="2936" ht="11.25" customHeight="1"/>
    <row r="2937" ht="11.25" customHeight="1"/>
    <row r="2938" ht="11.25" customHeight="1"/>
    <row r="2939" ht="11.25" customHeight="1"/>
    <row r="2940" ht="11.25" customHeight="1"/>
    <row r="2941" ht="11.25" customHeight="1"/>
    <row r="2942" ht="11.25" customHeight="1"/>
    <row r="2943" ht="11.25" customHeight="1"/>
    <row r="2944" ht="11.25" customHeight="1"/>
    <row r="2945" ht="11.25" customHeight="1"/>
    <row r="2946" ht="11.25" customHeight="1"/>
    <row r="2947" ht="11.25" customHeight="1"/>
    <row r="2948" ht="11.25" customHeight="1"/>
    <row r="2949" ht="11.25" customHeight="1"/>
    <row r="2950" ht="11.25" customHeight="1"/>
    <row r="2951" ht="11.25" customHeight="1"/>
    <row r="2952" ht="11.25" customHeight="1"/>
    <row r="2953" ht="11.25" customHeight="1"/>
    <row r="2954" ht="11.25" customHeight="1"/>
    <row r="2955" ht="11.25" customHeight="1"/>
    <row r="2956" ht="11.25" customHeight="1"/>
    <row r="2957" ht="11.25" customHeight="1"/>
    <row r="2958" ht="11.25" customHeight="1"/>
    <row r="2959" ht="11.25" customHeight="1"/>
    <row r="2960" ht="11.25" customHeight="1"/>
    <row r="2961" ht="11.25" customHeight="1"/>
    <row r="2962" ht="11.25" customHeight="1"/>
    <row r="2963" ht="11.25" customHeight="1"/>
    <row r="2964" ht="11.25" customHeight="1"/>
    <row r="2965" ht="11.25" customHeight="1"/>
    <row r="2966" ht="11.25" customHeight="1"/>
    <row r="2967" ht="11.25" customHeight="1"/>
    <row r="2968" ht="11.25" customHeight="1"/>
    <row r="2969" ht="11.25" customHeight="1"/>
    <row r="2970" ht="11.25" customHeight="1"/>
    <row r="2971" ht="11.25" customHeight="1"/>
    <row r="2972" ht="11.25" customHeight="1"/>
    <row r="2973" ht="11.25" customHeight="1"/>
    <row r="2974" ht="11.25" customHeight="1"/>
    <row r="2975" ht="11.25" customHeight="1"/>
    <row r="2976" ht="11.25" customHeight="1"/>
    <row r="2977" ht="11.25" customHeight="1"/>
    <row r="2978" ht="11.25" customHeight="1"/>
    <row r="2979" ht="11.25" customHeight="1"/>
    <row r="2980" ht="11.25" customHeight="1"/>
    <row r="2981" ht="11.25" customHeight="1"/>
    <row r="2982" ht="11.25" customHeight="1"/>
    <row r="2983" ht="11.25" customHeight="1"/>
    <row r="2984" ht="11.25" customHeight="1"/>
    <row r="2985" ht="11.25" customHeight="1"/>
    <row r="2986" ht="11.25" customHeight="1"/>
    <row r="2987" ht="11.25" customHeight="1"/>
    <row r="2988" ht="11.25" customHeight="1"/>
    <row r="2989" ht="11.25" customHeight="1"/>
    <row r="2990" ht="11.25" customHeight="1"/>
    <row r="2991" ht="11.25" customHeight="1"/>
    <row r="2992" ht="11.25" customHeight="1"/>
    <row r="2993" ht="11.25" customHeight="1"/>
    <row r="2994" ht="11.25" customHeight="1"/>
    <row r="2995" ht="11.25" customHeight="1"/>
    <row r="2996" ht="11.25" customHeight="1"/>
    <row r="2997" ht="11.25" customHeight="1"/>
    <row r="2998" ht="11.25" customHeight="1"/>
    <row r="2999" ht="11.25" customHeight="1"/>
    <row r="3000" ht="11.25" customHeight="1"/>
    <row r="3001" ht="11.25" customHeight="1"/>
    <row r="3002" ht="11.25" customHeight="1"/>
    <row r="3003" ht="11.25" customHeight="1"/>
    <row r="3004" ht="11.25" customHeight="1"/>
    <row r="3005" ht="11.25" customHeight="1"/>
    <row r="3006" ht="11.25" customHeight="1"/>
    <row r="3007" ht="11.25" customHeight="1"/>
    <row r="3008" ht="11.25" customHeight="1"/>
    <row r="3009" ht="11.25" customHeight="1"/>
    <row r="3010" ht="11.25" customHeight="1"/>
    <row r="3011" ht="11.25" customHeight="1"/>
    <row r="3012" ht="11.25" customHeight="1"/>
    <row r="3013" ht="11.25" customHeight="1"/>
    <row r="3014" ht="11.25" customHeight="1"/>
    <row r="3015" ht="11.25" customHeight="1"/>
    <row r="3016" ht="11.25" customHeight="1"/>
    <row r="3017" ht="11.25" customHeight="1"/>
    <row r="3018" ht="11.25" customHeight="1"/>
    <row r="3019" ht="11.25" customHeight="1"/>
    <row r="3020" ht="11.25" customHeight="1"/>
    <row r="3021" ht="11.25" customHeight="1"/>
    <row r="3022" ht="11.25" customHeight="1"/>
    <row r="3023" ht="11.25" customHeight="1"/>
    <row r="3024" ht="11.25" customHeight="1"/>
    <row r="3025" ht="11.25" customHeight="1"/>
    <row r="3026" ht="11.25" customHeight="1"/>
    <row r="3027" ht="11.25" customHeight="1"/>
    <row r="3028" ht="11.25" customHeight="1"/>
    <row r="3029" ht="11.25" customHeight="1"/>
    <row r="3030" ht="11.25" customHeight="1"/>
    <row r="3031" ht="11.25" customHeight="1"/>
    <row r="3032" ht="11.25" customHeight="1"/>
    <row r="3033" ht="11.25" customHeight="1"/>
    <row r="3034" ht="11.25" customHeight="1"/>
    <row r="3035" ht="11.25" customHeight="1"/>
    <row r="3036" ht="11.25" customHeight="1"/>
    <row r="3037" ht="11.25" customHeight="1"/>
    <row r="3038" ht="11.25" customHeight="1"/>
    <row r="3039" ht="11.25" customHeight="1"/>
    <row r="3040" ht="11.25" customHeight="1"/>
    <row r="3041" ht="11.25" customHeight="1"/>
    <row r="3042" ht="11.25" customHeight="1"/>
    <row r="3043" ht="11.25" customHeight="1"/>
    <row r="3044" ht="11.25" customHeight="1"/>
    <row r="3045" ht="11.25" customHeight="1"/>
    <row r="3046" ht="11.25" customHeight="1"/>
    <row r="3047" ht="11.25" customHeight="1"/>
    <row r="3048" ht="11.25" customHeight="1"/>
    <row r="3049" ht="11.25" customHeight="1"/>
    <row r="3050" ht="11.25" customHeight="1"/>
    <row r="3051" ht="11.25" customHeight="1"/>
    <row r="3052" ht="11.25" customHeight="1"/>
    <row r="3053" ht="11.25" customHeight="1"/>
    <row r="3054" ht="11.25" customHeight="1"/>
    <row r="3055" ht="11.25" customHeight="1"/>
    <row r="3056" ht="11.25" customHeight="1"/>
    <row r="3057" ht="11.25" customHeight="1"/>
    <row r="3058" ht="11.25" customHeight="1"/>
    <row r="3059" ht="11.25" customHeight="1"/>
    <row r="3060" ht="11.25" customHeight="1"/>
    <row r="3061" ht="11.25" customHeight="1"/>
    <row r="3062" ht="11.25" customHeight="1"/>
    <row r="3063" ht="11.25" customHeight="1"/>
    <row r="3064" ht="11.25" customHeight="1"/>
    <row r="3065" ht="11.25" customHeight="1"/>
    <row r="3066" ht="11.25" customHeight="1"/>
    <row r="3067" ht="11.25" customHeight="1"/>
    <row r="3068" ht="11.25" customHeight="1"/>
    <row r="3069" ht="11.25" customHeight="1"/>
    <row r="3070" ht="11.25" customHeight="1"/>
    <row r="3071" ht="11.25" customHeight="1"/>
    <row r="3072" ht="11.25" customHeight="1"/>
    <row r="3073" ht="11.25" customHeight="1"/>
    <row r="3074" ht="11.25" customHeight="1"/>
    <row r="3075" ht="11.25" customHeight="1"/>
    <row r="3076" ht="11.25" customHeight="1"/>
    <row r="3077" ht="11.25" customHeight="1"/>
    <row r="3078" ht="11.25" customHeight="1"/>
    <row r="3079" ht="11.25" customHeight="1"/>
    <row r="3080" ht="11.25" customHeight="1"/>
    <row r="3081" ht="11.25" customHeight="1"/>
    <row r="3082" ht="11.25" customHeight="1"/>
    <row r="3083" ht="11.25" customHeight="1"/>
    <row r="3084" ht="11.25" customHeight="1"/>
    <row r="3085" ht="11.25" customHeight="1"/>
    <row r="3086" ht="11.25" customHeight="1"/>
    <row r="3087" ht="11.25" customHeight="1"/>
    <row r="3088" ht="11.25" customHeight="1"/>
    <row r="3089" ht="11.25" customHeight="1"/>
    <row r="3090" ht="11.25" customHeight="1"/>
    <row r="3091" ht="11.25" customHeight="1"/>
    <row r="3092" ht="11.25" customHeight="1"/>
    <row r="3093" ht="11.25" customHeight="1"/>
    <row r="3094" ht="11.25" customHeight="1"/>
    <row r="3095" ht="11.25" customHeight="1"/>
    <row r="3096" ht="11.25" customHeight="1"/>
    <row r="3097" ht="11.25" customHeight="1"/>
    <row r="3098" ht="11.25" customHeight="1"/>
    <row r="3099" ht="11.25" customHeight="1"/>
    <row r="3100" ht="11.25" customHeight="1"/>
    <row r="3101" ht="11.25" customHeight="1"/>
    <row r="3102" ht="11.25" customHeight="1"/>
    <row r="3103" ht="11.25" customHeight="1"/>
    <row r="3104" ht="11.25" customHeight="1"/>
    <row r="3105" ht="11.25" customHeight="1"/>
    <row r="3106" ht="11.25" customHeight="1"/>
    <row r="3107" ht="11.25" customHeight="1"/>
    <row r="3108" ht="11.25" customHeight="1"/>
    <row r="3109" ht="11.25" customHeight="1"/>
    <row r="3110" ht="11.25" customHeight="1"/>
    <row r="3111" ht="11.25" customHeight="1"/>
    <row r="3112" ht="11.25" customHeight="1"/>
    <row r="3113" ht="11.25" customHeight="1"/>
    <row r="3114" ht="11.25" customHeight="1"/>
    <row r="3115" ht="11.25" customHeight="1"/>
    <row r="3116" ht="11.25" customHeight="1"/>
    <row r="3117" ht="11.25" customHeight="1"/>
    <row r="3118" ht="11.25" customHeight="1"/>
    <row r="3119" ht="11.25" customHeight="1"/>
    <row r="3120" ht="11.25" customHeight="1"/>
    <row r="3121" ht="11.25" customHeight="1"/>
    <row r="3122" ht="11.25" customHeight="1"/>
    <row r="3123" ht="11.25" customHeight="1"/>
    <row r="3124" ht="11.25" customHeight="1"/>
    <row r="3125" ht="11.25" customHeight="1"/>
    <row r="3126" ht="11.25" customHeight="1"/>
    <row r="3127" ht="11.25" customHeight="1"/>
    <row r="3128" ht="11.25" customHeight="1"/>
    <row r="3129" ht="11.25" customHeight="1"/>
    <row r="3130" ht="11.25" customHeight="1"/>
    <row r="3131" ht="11.25" customHeight="1"/>
    <row r="3132" ht="11.25" customHeight="1"/>
    <row r="3133" ht="11.25" customHeight="1"/>
    <row r="3134" ht="11.25" customHeight="1"/>
    <row r="3135" ht="11.25" customHeight="1"/>
    <row r="3136" ht="11.25" customHeight="1"/>
    <row r="3137" ht="11.25" customHeight="1"/>
    <row r="3138" ht="11.25" customHeight="1"/>
    <row r="3139" ht="11.25" customHeight="1"/>
    <row r="3140" ht="11.25" customHeight="1"/>
    <row r="3141" ht="11.25" customHeight="1"/>
    <row r="3142" ht="11.25" customHeight="1"/>
    <row r="3143" ht="11.25" customHeight="1"/>
    <row r="3144" ht="11.25" customHeight="1"/>
    <row r="3145" ht="11.25" customHeight="1"/>
    <row r="3146" ht="11.25" customHeight="1"/>
    <row r="3147" ht="11.25" customHeight="1"/>
    <row r="3148" ht="11.25" customHeight="1"/>
    <row r="3149" ht="11.25" customHeight="1"/>
    <row r="3150" ht="11.25" customHeight="1"/>
    <row r="3151" ht="11.25" customHeight="1"/>
    <row r="3152" ht="11.25" customHeight="1"/>
    <row r="3153" ht="11.25" customHeight="1"/>
    <row r="3154" ht="11.25" customHeight="1"/>
    <row r="3155" ht="11.25" customHeight="1"/>
    <row r="3156" ht="11.25" customHeight="1"/>
    <row r="3157" ht="11.25" customHeight="1"/>
    <row r="3158" ht="11.25" customHeight="1"/>
    <row r="3159" ht="11.25" customHeight="1"/>
    <row r="3160" ht="11.25" customHeight="1"/>
    <row r="3161" ht="11.25" customHeight="1"/>
    <row r="3162" ht="11.25" customHeight="1"/>
    <row r="3163" ht="11.25" customHeight="1"/>
    <row r="3164" ht="11.25" customHeight="1"/>
    <row r="3165" ht="11.25" customHeight="1"/>
    <row r="3166" ht="11.25" customHeight="1"/>
    <row r="3167" ht="11.25" customHeight="1"/>
    <row r="3168" ht="11.25" customHeight="1"/>
    <row r="3169" ht="11.25" customHeight="1"/>
    <row r="3170" ht="11.25" customHeight="1"/>
    <row r="3171" ht="11.25" customHeight="1"/>
    <row r="3172" ht="11.25" customHeight="1"/>
    <row r="3173" ht="11.25" customHeight="1"/>
    <row r="3174" ht="11.25" customHeight="1"/>
    <row r="3175" ht="11.25" customHeight="1"/>
    <row r="3176" ht="11.25" customHeight="1"/>
    <row r="3177" ht="11.25" customHeight="1"/>
    <row r="3178" ht="11.25" customHeight="1"/>
    <row r="3179" ht="11.25" customHeight="1"/>
    <row r="3180" ht="11.25" customHeight="1"/>
    <row r="3181" ht="11.25" customHeight="1"/>
    <row r="3182" ht="11.25" customHeight="1"/>
    <row r="3183" ht="11.25" customHeight="1"/>
    <row r="3184" ht="11.25" customHeight="1"/>
    <row r="3185" ht="11.25" customHeight="1"/>
    <row r="3186" ht="11.25" customHeight="1"/>
    <row r="3187" ht="11.25" customHeight="1"/>
    <row r="3188" ht="11.25" customHeight="1"/>
    <row r="3189" ht="11.25" customHeight="1"/>
    <row r="3190" ht="11.25" customHeight="1"/>
    <row r="3191" ht="11.25" customHeight="1"/>
    <row r="3192" ht="11.25" customHeight="1"/>
    <row r="3193" ht="11.25" customHeight="1"/>
    <row r="3194" ht="11.25" customHeight="1"/>
    <row r="3195" ht="11.25" customHeight="1"/>
    <row r="3196" ht="11.25" customHeight="1"/>
    <row r="3197" ht="11.25" customHeight="1"/>
    <row r="3198" ht="11.25" customHeight="1"/>
    <row r="3199" ht="11.25" customHeight="1"/>
    <row r="3200" ht="11.25" customHeight="1"/>
    <row r="3201" ht="11.25" customHeight="1"/>
    <row r="3202" ht="11.25" customHeight="1"/>
    <row r="3203" ht="11.25" customHeight="1"/>
    <row r="3204" ht="11.25" customHeight="1"/>
    <row r="3205" ht="11.25" customHeight="1"/>
    <row r="3206" ht="11.25" customHeight="1"/>
    <row r="3207" ht="11.25" customHeight="1"/>
    <row r="3208" ht="11.25" customHeight="1"/>
    <row r="3209" ht="11.25" customHeight="1"/>
    <row r="3210" ht="11.25" customHeight="1"/>
    <row r="3211" ht="11.25" customHeight="1"/>
    <row r="3212" ht="11.25" customHeight="1"/>
    <row r="3213" ht="11.25" customHeight="1"/>
    <row r="3214" ht="11.25" customHeight="1"/>
    <row r="3215" ht="11.25" customHeight="1"/>
    <row r="3216" ht="11.25" customHeight="1"/>
    <row r="3217" ht="11.25" customHeight="1"/>
    <row r="3218" ht="11.25" customHeight="1"/>
    <row r="3219" ht="11.25" customHeight="1"/>
    <row r="3220" ht="11.25" customHeight="1"/>
    <row r="3221" ht="11.25" customHeight="1"/>
    <row r="3222" ht="11.25" customHeight="1"/>
    <row r="3223" ht="11.25" customHeight="1"/>
    <row r="3224" ht="11.25" customHeight="1"/>
    <row r="3225" ht="11.25" customHeight="1"/>
    <row r="3226" ht="11.25" customHeight="1"/>
    <row r="3227" ht="11.25" customHeight="1"/>
    <row r="3228" ht="11.25" customHeight="1"/>
    <row r="3229" ht="11.25" customHeight="1"/>
    <row r="3230" ht="11.25" customHeight="1"/>
    <row r="3231" ht="11.25" customHeight="1"/>
    <row r="3232" ht="11.25" customHeight="1"/>
    <row r="3233" ht="11.25" customHeight="1"/>
    <row r="3234" ht="11.25" customHeight="1"/>
    <row r="3235" ht="11.25" customHeight="1"/>
    <row r="3236" ht="11.25" customHeight="1"/>
    <row r="3237" ht="11.25" customHeight="1"/>
    <row r="3238" ht="11.25" customHeight="1"/>
    <row r="3239" ht="11.25" customHeight="1"/>
    <row r="3240" ht="11.25" customHeight="1"/>
    <row r="3241" ht="11.25" customHeight="1"/>
    <row r="3242" ht="11.25" customHeight="1"/>
    <row r="3243" ht="11.25" customHeight="1"/>
    <row r="3244" ht="11.25" customHeight="1"/>
    <row r="3245" ht="11.25" customHeight="1"/>
    <row r="3246" ht="11.25" customHeight="1"/>
    <row r="3247" ht="11.25" customHeight="1"/>
    <row r="3248" ht="11.25" customHeight="1"/>
    <row r="3249" ht="11.25" customHeight="1"/>
    <row r="3250" ht="11.25" customHeight="1"/>
    <row r="3251" ht="11.25" customHeight="1"/>
    <row r="3252" ht="11.25" customHeight="1"/>
    <row r="3253" ht="11.25" customHeight="1"/>
    <row r="3254" ht="11.25" customHeight="1"/>
    <row r="3255" ht="11.25" customHeight="1"/>
    <row r="3256" ht="11.25" customHeight="1"/>
    <row r="3257" ht="11.25" customHeight="1"/>
    <row r="3258" ht="11.25" customHeight="1"/>
    <row r="3259" ht="11.25" customHeight="1"/>
    <row r="3260" ht="11.25" customHeight="1"/>
    <row r="3261" ht="11.25" customHeight="1"/>
    <row r="3262" ht="11.25" customHeight="1"/>
    <row r="3263" ht="11.25" customHeight="1"/>
    <row r="3264" ht="11.25" customHeight="1"/>
    <row r="3265" ht="11.25" customHeight="1"/>
    <row r="3266" ht="11.25" customHeight="1"/>
    <row r="3267" ht="11.25" customHeight="1"/>
    <row r="3268" ht="11.25" customHeight="1"/>
    <row r="3269" ht="11.25" customHeight="1"/>
    <row r="3270" ht="11.25" customHeight="1"/>
    <row r="3271" ht="11.25" customHeight="1"/>
    <row r="3272" ht="11.25" customHeight="1"/>
    <row r="3273" ht="11.25" customHeight="1"/>
    <row r="3274" ht="11.25" customHeight="1"/>
    <row r="3275" ht="11.25" customHeight="1"/>
    <row r="3276" ht="11.25" customHeight="1"/>
    <row r="3277" ht="11.25" customHeight="1"/>
    <row r="3278" ht="11.25" customHeight="1"/>
    <row r="3279" ht="11.25" customHeight="1"/>
    <row r="3280" ht="11.25" customHeight="1"/>
    <row r="3281" ht="11.25" customHeight="1"/>
    <row r="3282" ht="11.25" customHeight="1"/>
    <row r="3283" ht="11.25" customHeight="1"/>
    <row r="3284" ht="11.25" customHeight="1"/>
    <row r="3285" ht="11.25" customHeight="1"/>
    <row r="3286" ht="11.25" customHeight="1"/>
    <row r="3287" ht="11.25" customHeight="1"/>
    <row r="3288" ht="11.25" customHeight="1"/>
    <row r="3289" ht="11.25" customHeight="1"/>
    <row r="3290" ht="11.25" customHeight="1"/>
    <row r="3291" ht="11.25" customHeight="1"/>
    <row r="3292" ht="11.25" customHeight="1"/>
    <row r="3293" ht="11.25" customHeight="1"/>
    <row r="3294" ht="11.25" customHeight="1"/>
    <row r="3295" ht="11.25" customHeight="1"/>
    <row r="3296" ht="11.25" customHeight="1"/>
    <row r="3297" ht="11.25" customHeight="1"/>
    <row r="3298" ht="11.25" customHeight="1"/>
    <row r="3299" ht="11.25" customHeight="1"/>
    <row r="3300" ht="11.25" customHeight="1"/>
    <row r="3301" ht="11.25" customHeight="1"/>
    <row r="3302" ht="11.25" customHeight="1"/>
    <row r="3303" ht="11.25" customHeight="1"/>
    <row r="3304" ht="11.25" customHeight="1"/>
    <row r="3305" ht="11.25" customHeight="1"/>
    <row r="3306" ht="11.25" customHeight="1"/>
    <row r="3307" ht="11.25" customHeight="1"/>
    <row r="3308" ht="11.25" customHeight="1"/>
    <row r="3309" ht="11.25" customHeight="1"/>
    <row r="3310" ht="11.25" customHeight="1"/>
    <row r="3311" ht="11.25" customHeight="1"/>
    <row r="3312" ht="11.25" customHeight="1"/>
    <row r="3313" ht="11.25" customHeight="1"/>
    <row r="3314" ht="11.25" customHeight="1"/>
    <row r="3315" ht="11.25" customHeight="1"/>
    <row r="3316" ht="11.25" customHeight="1"/>
    <row r="3317" ht="11.25" customHeight="1"/>
    <row r="3318" ht="11.25" customHeight="1"/>
    <row r="3319" ht="11.25" customHeight="1"/>
    <row r="3320" ht="11.25" customHeight="1"/>
    <row r="3321" ht="11.25" customHeight="1"/>
    <row r="3322" ht="11.25" customHeight="1"/>
    <row r="3323" ht="11.25" customHeight="1"/>
    <row r="3324" ht="11.25" customHeight="1"/>
    <row r="3325" ht="11.25" customHeight="1"/>
    <row r="3326" ht="11.25" customHeight="1"/>
    <row r="3327" ht="11.25" customHeight="1"/>
    <row r="3328" ht="11.25" customHeight="1"/>
    <row r="3329" ht="11.25" customHeight="1"/>
    <row r="3330" ht="11.25" customHeight="1"/>
    <row r="3331" ht="11.25" customHeight="1"/>
    <row r="3332" ht="11.25" customHeight="1"/>
    <row r="3333" ht="11.25" customHeight="1"/>
    <row r="3334" ht="11.25" customHeight="1"/>
    <row r="3335" ht="11.25" customHeight="1"/>
    <row r="3336" ht="11.25" customHeight="1"/>
    <row r="3337" ht="11.25" customHeight="1"/>
    <row r="3338" ht="11.25" customHeight="1"/>
    <row r="3339" ht="11.25" customHeight="1"/>
    <row r="3340" ht="11.25" customHeight="1"/>
    <row r="3341" ht="11.25" customHeight="1"/>
    <row r="3342" ht="11.25" customHeight="1"/>
    <row r="3343" ht="11.25" customHeight="1"/>
    <row r="3344" ht="11.25" customHeight="1"/>
    <row r="3345" ht="11.25" customHeight="1"/>
    <row r="3346" ht="11.25" customHeight="1"/>
    <row r="3347" ht="11.25" customHeight="1"/>
    <row r="3348" ht="11.25" customHeight="1"/>
    <row r="3349" ht="11.25" customHeight="1"/>
    <row r="3350" ht="11.25" customHeight="1"/>
    <row r="3351" ht="11.25" customHeight="1"/>
    <row r="3352" ht="11.25" customHeight="1"/>
    <row r="3353" ht="11.25" customHeight="1"/>
    <row r="3354" ht="11.25" customHeight="1"/>
    <row r="3355" ht="11.25" customHeight="1"/>
    <row r="3356" ht="11.25" customHeight="1"/>
    <row r="3357" ht="11.25" customHeight="1"/>
    <row r="3358" ht="11.25" customHeight="1"/>
    <row r="3359" ht="11.25" customHeight="1"/>
    <row r="3360" ht="11.25" customHeight="1"/>
    <row r="3361" ht="11.25" customHeight="1"/>
    <row r="3362" ht="11.25" customHeight="1"/>
    <row r="3363" ht="11.25" customHeight="1"/>
    <row r="3364" ht="11.25" customHeight="1"/>
    <row r="3365" ht="11.25" customHeight="1"/>
    <row r="3366" ht="11.25" customHeight="1"/>
    <row r="3367" ht="11.25" customHeight="1"/>
    <row r="3368" ht="11.25" customHeight="1"/>
    <row r="3369" ht="11.25" customHeight="1"/>
    <row r="3370" ht="11.25" customHeight="1"/>
    <row r="3371" ht="11.25" customHeight="1"/>
    <row r="3372" ht="11.25" customHeight="1"/>
    <row r="3373" ht="11.25" customHeight="1"/>
    <row r="3374" ht="11.25" customHeight="1"/>
    <row r="3375" ht="11.25" customHeight="1"/>
    <row r="3376" ht="11.25" customHeight="1"/>
    <row r="3377" ht="11.25" customHeight="1"/>
    <row r="3378" ht="11.25" customHeight="1"/>
    <row r="3379" ht="11.25" customHeight="1"/>
    <row r="3380" ht="11.25" customHeight="1"/>
    <row r="3381" ht="11.25" customHeight="1"/>
    <row r="3382" ht="11.25" customHeight="1"/>
    <row r="3383" ht="11.25" customHeight="1"/>
    <row r="3384" ht="11.25" customHeight="1"/>
    <row r="3385" ht="11.25" customHeight="1"/>
    <row r="3386" ht="11.25" customHeight="1"/>
    <row r="3387" ht="11.25" customHeight="1"/>
    <row r="3388" ht="11.25" customHeight="1"/>
    <row r="3389" ht="11.25" customHeight="1"/>
    <row r="3390" ht="11.25" customHeight="1"/>
    <row r="3391" ht="11.25" customHeight="1"/>
    <row r="3392" ht="11.25" customHeight="1"/>
    <row r="3393" ht="11.25" customHeight="1"/>
    <row r="3394" ht="11.25" customHeight="1"/>
    <row r="3395" ht="11.25" customHeight="1"/>
    <row r="3396" ht="11.25" customHeight="1"/>
    <row r="3397" ht="11.25" customHeight="1"/>
    <row r="3398" ht="11.25" customHeight="1"/>
    <row r="3399" ht="11.25" customHeight="1"/>
    <row r="3400" ht="11.25" customHeight="1"/>
    <row r="3401" ht="11.25" customHeight="1"/>
    <row r="3402" ht="11.25" customHeight="1"/>
    <row r="3403" ht="11.25" customHeight="1"/>
    <row r="3404" ht="11.25" customHeight="1"/>
    <row r="3405" ht="11.25" customHeight="1"/>
    <row r="3406" ht="11.25" customHeight="1"/>
    <row r="3407" ht="11.25" customHeight="1"/>
    <row r="3408" ht="11.25" customHeight="1"/>
    <row r="3409" ht="11.25" customHeight="1"/>
    <row r="3410" ht="11.25" customHeight="1"/>
    <row r="3411" ht="11.25" customHeight="1"/>
    <row r="3412" ht="11.25" customHeight="1"/>
    <row r="3413" ht="11.25" customHeight="1"/>
    <row r="3414" ht="11.25" customHeight="1"/>
    <row r="3415" ht="11.25" customHeight="1"/>
    <row r="3416" ht="11.25" customHeight="1"/>
    <row r="3417" ht="11.25" customHeight="1"/>
    <row r="3418" ht="11.25" customHeight="1"/>
    <row r="3419" ht="11.25" customHeight="1"/>
    <row r="3420" ht="11.25" customHeight="1"/>
    <row r="3421" ht="11.25" customHeight="1"/>
    <row r="3422" ht="11.25" customHeight="1"/>
    <row r="3423" ht="11.25" customHeight="1"/>
    <row r="3424" ht="11.25" customHeight="1"/>
    <row r="3425" ht="11.25" customHeight="1"/>
    <row r="3426" ht="11.25" customHeight="1"/>
    <row r="3427" ht="11.25" customHeight="1"/>
    <row r="3428" ht="11.25" customHeight="1"/>
    <row r="3429" ht="11.25" customHeight="1"/>
    <row r="3430" ht="11.25" customHeight="1"/>
    <row r="3431" ht="11.25" customHeight="1"/>
    <row r="3432" ht="11.25" customHeight="1"/>
    <row r="3433" ht="11.25" customHeight="1"/>
    <row r="3434" ht="11.25" customHeight="1"/>
    <row r="3435" ht="11.25" customHeight="1"/>
    <row r="3436" ht="11.25" customHeight="1"/>
    <row r="3437" ht="11.25" customHeight="1"/>
    <row r="3438" ht="11.25" customHeight="1"/>
    <row r="3439" ht="11.25" customHeight="1"/>
    <row r="3440" ht="11.25" customHeight="1"/>
    <row r="3441" ht="11.25" customHeight="1"/>
    <row r="3442" ht="11.25" customHeight="1"/>
    <row r="3443" ht="11.25" customHeight="1"/>
    <row r="3444" ht="11.25" customHeight="1"/>
    <row r="3445" ht="11.25" customHeight="1"/>
    <row r="3446" ht="11.25" customHeight="1"/>
    <row r="3447" ht="11.25" customHeight="1"/>
    <row r="3448" ht="11.25" customHeight="1"/>
    <row r="3449" ht="11.25" customHeight="1"/>
    <row r="3450" ht="11.25" customHeight="1"/>
    <row r="3451" ht="11.25" customHeight="1"/>
    <row r="3452" ht="11.25" customHeight="1"/>
    <row r="3453" ht="11.25" customHeight="1"/>
    <row r="3454" ht="11.25" customHeight="1"/>
    <row r="3455" ht="11.25" customHeight="1"/>
    <row r="3456" ht="11.25" customHeight="1"/>
    <row r="3457" ht="11.25" customHeight="1"/>
    <row r="3458" ht="11.25" customHeight="1"/>
    <row r="3459" ht="11.25" customHeight="1"/>
    <row r="3460" ht="11.25" customHeight="1"/>
    <row r="3461" ht="11.25" customHeight="1"/>
    <row r="3462" ht="11.25" customHeight="1"/>
    <row r="3463" ht="11.25" customHeight="1"/>
    <row r="3464" ht="11.25" customHeight="1"/>
    <row r="3465" ht="11.25" customHeight="1"/>
    <row r="3466" ht="11.25" customHeight="1"/>
    <row r="3467" ht="11.25" customHeight="1"/>
    <row r="3468" ht="11.25" customHeight="1"/>
    <row r="3469" ht="11.25" customHeight="1"/>
    <row r="3470" ht="11.25" customHeight="1"/>
    <row r="3471" ht="11.25" customHeight="1"/>
    <row r="3472" ht="11.25" customHeight="1"/>
    <row r="3473" ht="11.25" customHeight="1"/>
    <row r="3474" ht="11.25" customHeight="1"/>
    <row r="3475" ht="11.25" customHeight="1"/>
    <row r="3476" ht="11.25" customHeight="1"/>
    <row r="3477" ht="11.25" customHeight="1"/>
    <row r="3478" ht="11.25" customHeight="1"/>
    <row r="3479" ht="11.25" customHeight="1"/>
    <row r="3480" ht="11.25" customHeight="1"/>
    <row r="3481" ht="11.25" customHeight="1"/>
    <row r="3482" ht="11.25" customHeight="1"/>
    <row r="3483" ht="11.25" customHeight="1"/>
    <row r="3484" ht="11.25" customHeight="1"/>
    <row r="3485" ht="11.25" customHeight="1"/>
    <row r="3486" ht="11.25" customHeight="1"/>
    <row r="3487" ht="11.25" customHeight="1"/>
    <row r="3488" ht="11.25" customHeight="1"/>
    <row r="3489" ht="11.25" customHeight="1"/>
    <row r="3490" ht="11.25" customHeight="1"/>
    <row r="3491" ht="11.25" customHeight="1"/>
    <row r="3492" ht="11.25" customHeight="1"/>
    <row r="3493" ht="11.25" customHeight="1"/>
    <row r="3494" ht="11.25" customHeight="1"/>
    <row r="3495" ht="11.25" customHeight="1"/>
    <row r="3496" ht="11.25" customHeight="1"/>
    <row r="3497" ht="11.25" customHeight="1"/>
    <row r="3498" ht="11.25" customHeight="1"/>
    <row r="3499" ht="11.25" customHeight="1"/>
    <row r="3500" ht="11.25" customHeight="1"/>
    <row r="3501" ht="11.25" customHeight="1"/>
    <row r="3502" ht="11.25" customHeight="1"/>
    <row r="3503" ht="11.25" customHeight="1"/>
    <row r="3504" ht="11.25" customHeight="1"/>
    <row r="3505" ht="11.25" customHeight="1"/>
    <row r="3506" ht="11.25" customHeight="1"/>
    <row r="3507" ht="11.25" customHeight="1"/>
    <row r="3508" ht="11.25" customHeight="1"/>
    <row r="3509" ht="11.25" customHeight="1"/>
    <row r="3510" ht="11.25" customHeight="1"/>
    <row r="3511" ht="11.25" customHeight="1"/>
    <row r="3512" ht="11.25" customHeight="1"/>
    <row r="3513" ht="11.25" customHeight="1"/>
    <row r="3514" ht="11.25" customHeight="1"/>
    <row r="3515" ht="11.25" customHeight="1"/>
    <row r="3516" ht="11.25" customHeight="1"/>
    <row r="3517" ht="11.25" customHeight="1"/>
    <row r="3518" ht="11.25" customHeight="1"/>
    <row r="3519" ht="11.25" customHeight="1"/>
    <row r="3520" ht="11.25" customHeight="1"/>
    <row r="3521" ht="11.25" customHeight="1"/>
    <row r="3522" ht="11.25" customHeight="1"/>
    <row r="3523" ht="11.25" customHeight="1"/>
    <row r="3524" ht="11.25" customHeight="1"/>
    <row r="3525" ht="11.25" customHeight="1"/>
    <row r="3526" ht="11.25" customHeight="1"/>
    <row r="3527" ht="11.25" customHeight="1"/>
    <row r="3528" ht="11.25" customHeight="1"/>
    <row r="3529" ht="11.25" customHeight="1"/>
    <row r="3530" ht="11.25" customHeight="1"/>
    <row r="3531" ht="11.25" customHeight="1"/>
    <row r="3532" ht="11.25" customHeight="1"/>
    <row r="3533" ht="11.25" customHeight="1"/>
    <row r="3534" ht="11.25" customHeight="1"/>
    <row r="3535" ht="11.25" customHeight="1"/>
    <row r="3536" ht="11.25" customHeight="1"/>
    <row r="3537" ht="11.25" customHeight="1"/>
    <row r="3538" ht="11.25" customHeight="1"/>
    <row r="3539" ht="11.25" customHeight="1"/>
    <row r="3540" ht="11.25" customHeight="1"/>
    <row r="3541" ht="11.25" customHeight="1"/>
    <row r="3542" ht="11.25" customHeight="1"/>
    <row r="3543" ht="11.25" customHeight="1"/>
    <row r="3544" ht="11.25" customHeight="1"/>
    <row r="3545" ht="11.25" customHeight="1"/>
    <row r="3546" ht="11.25" customHeight="1"/>
    <row r="3547" ht="11.25" customHeight="1"/>
    <row r="3548" ht="11.25" customHeight="1"/>
    <row r="3549" ht="11.25" customHeight="1"/>
    <row r="3550" ht="11.25" customHeight="1"/>
    <row r="3551" ht="11.25" customHeight="1"/>
    <row r="3552" ht="11.25" customHeight="1"/>
    <row r="3553" ht="11.25" customHeight="1"/>
    <row r="3554" ht="11.25" customHeight="1"/>
    <row r="3555" ht="11.25" customHeight="1"/>
    <row r="3556" ht="11.25" customHeight="1"/>
    <row r="3557" ht="11.25" customHeight="1"/>
    <row r="3558" ht="11.25" customHeight="1"/>
    <row r="3559" ht="11.25" customHeight="1"/>
    <row r="3560" ht="11.25" customHeight="1"/>
    <row r="3561" ht="11.25" customHeight="1"/>
    <row r="3562" ht="11.25" customHeight="1"/>
    <row r="3563" ht="11.25" customHeight="1"/>
    <row r="3564" ht="11.25" customHeight="1"/>
    <row r="3565" ht="11.25" customHeight="1"/>
    <row r="3566" ht="11.25" customHeight="1"/>
    <row r="3567" ht="11.25" customHeight="1"/>
    <row r="3568" ht="11.25" customHeight="1"/>
    <row r="3569" ht="11.25" customHeight="1"/>
    <row r="3570" ht="11.25" customHeight="1"/>
    <row r="3571" ht="11.25" customHeight="1"/>
    <row r="3572" ht="11.25" customHeight="1"/>
    <row r="3573" ht="11.25" customHeight="1"/>
    <row r="3574" ht="11.25" customHeight="1"/>
    <row r="3575" ht="11.25" customHeight="1"/>
    <row r="3576" ht="11.25" customHeight="1"/>
    <row r="3577" ht="11.25" customHeight="1"/>
    <row r="3578" ht="11.25" customHeight="1"/>
    <row r="3579" ht="11.25" customHeight="1"/>
    <row r="3580" ht="11.25" customHeight="1"/>
    <row r="3581" ht="11.25" customHeight="1"/>
    <row r="3582" ht="11.25" customHeight="1"/>
    <row r="3583" ht="11.25" customHeight="1"/>
    <row r="3584" ht="11.25" customHeight="1"/>
    <row r="3585" ht="11.25" customHeight="1"/>
    <row r="3586" ht="11.25" customHeight="1"/>
    <row r="3587" ht="11.25" customHeight="1"/>
    <row r="3588" ht="11.25" customHeight="1"/>
    <row r="3589" ht="11.25" customHeight="1"/>
    <row r="3590" ht="11.25" customHeight="1"/>
    <row r="3591" ht="11.25" customHeight="1"/>
    <row r="3592" ht="11.25" customHeight="1"/>
    <row r="3593" ht="11.25" customHeight="1"/>
    <row r="3594" ht="11.25" customHeight="1"/>
    <row r="3595" ht="11.25" customHeight="1"/>
    <row r="3596" ht="11.25" customHeight="1"/>
    <row r="3597" ht="11.25" customHeight="1"/>
    <row r="3598" ht="11.25" customHeight="1"/>
    <row r="3599" ht="11.25" customHeight="1"/>
    <row r="3600" ht="11.25" customHeight="1"/>
    <row r="3601" ht="11.25" customHeight="1"/>
    <row r="3602" ht="11.25" customHeight="1"/>
    <row r="3603" ht="11.25" customHeight="1"/>
    <row r="3604" ht="11.25" customHeight="1"/>
    <row r="3605" ht="11.25" customHeight="1"/>
    <row r="3606" ht="11.25" customHeight="1"/>
    <row r="3607" ht="11.25" customHeight="1"/>
    <row r="3608" ht="11.25" customHeight="1"/>
    <row r="3609" ht="11.25" customHeight="1"/>
    <row r="3610" ht="11.25" customHeight="1"/>
    <row r="3611" ht="11.25" customHeight="1"/>
    <row r="3612" ht="11.25" customHeight="1"/>
    <row r="3613" ht="11.25" customHeight="1"/>
    <row r="3614" ht="11.25" customHeight="1"/>
    <row r="3615" ht="11.25" customHeight="1"/>
    <row r="3616" ht="11.25" customHeight="1"/>
    <row r="3617" ht="11.25" customHeight="1"/>
    <row r="3618" ht="11.25" customHeight="1"/>
    <row r="3619" ht="11.25" customHeight="1"/>
    <row r="3620" ht="11.25" customHeight="1"/>
    <row r="3621" ht="11.25" customHeight="1"/>
    <row r="3622" ht="11.25" customHeight="1"/>
    <row r="3623" ht="11.25" customHeight="1"/>
    <row r="3624" ht="11.25" customHeight="1"/>
    <row r="3625" ht="11.25" customHeight="1"/>
    <row r="3626" ht="11.25" customHeight="1"/>
    <row r="3627" ht="11.25" customHeight="1"/>
    <row r="3628" ht="11.25" customHeight="1"/>
    <row r="3629" ht="11.25" customHeight="1"/>
    <row r="3630" ht="11.25" customHeight="1"/>
    <row r="3631" ht="11.25" customHeight="1"/>
    <row r="3632" ht="11.25" customHeight="1"/>
    <row r="3633" ht="11.25" customHeight="1"/>
    <row r="3634" ht="11.25" customHeight="1"/>
    <row r="3635" ht="11.25" customHeight="1"/>
    <row r="3636" ht="11.25" customHeight="1"/>
    <row r="3637" ht="11.25" customHeight="1"/>
    <row r="3638" ht="11.25" customHeight="1"/>
    <row r="3639" ht="11.25" customHeight="1"/>
    <row r="3640" ht="11.25" customHeight="1"/>
    <row r="3641" ht="11.25" customHeight="1"/>
    <row r="3642" ht="11.25" customHeight="1"/>
    <row r="3643" ht="11.25" customHeight="1"/>
    <row r="3644" ht="11.25" customHeight="1"/>
    <row r="3645" ht="11.25" customHeight="1"/>
    <row r="3646" ht="11.25" customHeight="1"/>
    <row r="3647" ht="11.25" customHeight="1"/>
    <row r="3648" ht="11.25" customHeight="1"/>
    <row r="3649" ht="11.25" customHeight="1"/>
    <row r="3650" ht="11.25" customHeight="1"/>
    <row r="3651" ht="11.25" customHeight="1"/>
    <row r="3652" ht="11.25" customHeight="1"/>
    <row r="3653" ht="11.25" customHeight="1"/>
    <row r="3654" ht="11.25" customHeight="1"/>
    <row r="3655" ht="11.25" customHeight="1"/>
    <row r="3656" ht="11.25" customHeight="1"/>
    <row r="3657" ht="11.25" customHeight="1"/>
    <row r="3658" ht="11.25" customHeight="1"/>
    <row r="3659" ht="11.25" customHeight="1"/>
    <row r="3660" ht="11.25" customHeight="1"/>
    <row r="3661" ht="11.25" customHeight="1"/>
    <row r="3662" ht="11.25" customHeight="1"/>
    <row r="3663" ht="11.25" customHeight="1"/>
    <row r="3664" ht="11.25" customHeight="1"/>
    <row r="3665" ht="11.25" customHeight="1"/>
    <row r="3666" ht="11.25" customHeight="1"/>
    <row r="3667" ht="11.25" customHeight="1"/>
    <row r="3668" ht="11.25" customHeight="1"/>
    <row r="3669" ht="11.25" customHeight="1"/>
    <row r="3670" ht="11.25" customHeight="1"/>
    <row r="3671" ht="11.25" customHeight="1"/>
    <row r="3672" ht="11.25" customHeight="1"/>
    <row r="3673" ht="11.25" customHeight="1"/>
    <row r="3674" ht="11.25" customHeight="1"/>
    <row r="3675" ht="11.25" customHeight="1"/>
    <row r="3676" ht="11.25" customHeight="1"/>
    <row r="3677" ht="11.25" customHeight="1"/>
    <row r="3678" ht="11.25" customHeight="1"/>
    <row r="3679" ht="11.25" customHeight="1"/>
    <row r="3680" ht="11.25" customHeight="1"/>
    <row r="3681" ht="11.25" customHeight="1"/>
    <row r="3682" ht="11.25" customHeight="1"/>
    <row r="3683" ht="11.25" customHeight="1"/>
    <row r="3684" ht="11.25" customHeight="1"/>
    <row r="3685" ht="11.25" customHeight="1"/>
    <row r="3686" ht="11.25" customHeight="1"/>
    <row r="3687" ht="11.25" customHeight="1"/>
    <row r="3688" ht="11.25" customHeight="1"/>
    <row r="3689" ht="11.25" customHeight="1"/>
    <row r="3690" ht="11.25" customHeight="1"/>
    <row r="3691" ht="11.25" customHeight="1"/>
    <row r="3692" ht="11.25" customHeight="1"/>
    <row r="3693" ht="11.25" customHeight="1"/>
    <row r="3694" ht="11.25" customHeight="1"/>
    <row r="3695" ht="11.25" customHeight="1"/>
    <row r="3696" ht="11.25" customHeight="1"/>
    <row r="3697" ht="11.25" customHeight="1"/>
    <row r="3698" ht="11.25" customHeight="1"/>
    <row r="3699" ht="11.25" customHeight="1"/>
    <row r="3700" ht="11.25" customHeight="1"/>
    <row r="3701" ht="11.25" customHeight="1"/>
    <row r="3702" ht="11.25" customHeight="1"/>
    <row r="3703" ht="11.25" customHeight="1"/>
    <row r="3704" ht="11.25" customHeight="1"/>
    <row r="3705" ht="11.25" customHeight="1"/>
    <row r="3706" ht="11.25" customHeight="1"/>
    <row r="3707" ht="11.25" customHeight="1"/>
    <row r="3708" ht="11.25" customHeight="1"/>
    <row r="3709" ht="11.25" customHeight="1"/>
    <row r="3710" ht="11.25" customHeight="1"/>
    <row r="3711" ht="11.25" customHeight="1"/>
    <row r="3712" ht="11.25" customHeight="1"/>
    <row r="3713" ht="11.25" customHeight="1"/>
    <row r="3714" ht="11.25" customHeight="1"/>
    <row r="3715" ht="11.25" customHeight="1"/>
    <row r="3716" ht="11.25" customHeight="1"/>
    <row r="3717" ht="11.25" customHeight="1"/>
    <row r="3718" ht="11.25" customHeight="1"/>
    <row r="3719" ht="11.25" customHeight="1"/>
    <row r="3720" ht="11.25" customHeight="1"/>
    <row r="3721" ht="11.25" customHeight="1"/>
    <row r="3722" ht="11.25" customHeight="1"/>
    <row r="3723" ht="11.25" customHeight="1"/>
    <row r="3724" ht="11.25" customHeight="1"/>
    <row r="3725" ht="11.25" customHeight="1"/>
    <row r="3726" ht="11.25" customHeight="1"/>
    <row r="3727" ht="11.25" customHeight="1"/>
    <row r="3728" ht="11.25" customHeight="1"/>
    <row r="3729" ht="11.25" customHeight="1"/>
    <row r="3730" ht="11.25" customHeight="1"/>
    <row r="3731" ht="11.25" customHeight="1"/>
    <row r="3732" ht="11.25" customHeight="1"/>
    <row r="3733" ht="11.25" customHeight="1"/>
    <row r="3734" ht="11.25" customHeight="1"/>
    <row r="3735" ht="11.25" customHeight="1"/>
    <row r="3736" ht="11.25" customHeight="1"/>
    <row r="3737" ht="11.25" customHeight="1"/>
    <row r="3738" ht="11.25" customHeight="1"/>
    <row r="3739" ht="11.25" customHeight="1"/>
    <row r="3740" ht="11.25" customHeight="1"/>
    <row r="3741" ht="11.25" customHeight="1"/>
    <row r="3742" ht="11.25" customHeight="1"/>
    <row r="3743" ht="11.25" customHeight="1"/>
    <row r="3744" ht="11.25" customHeight="1"/>
    <row r="3745" ht="11.25" customHeight="1"/>
    <row r="3746" ht="11.25" customHeight="1"/>
    <row r="3747" ht="11.25" customHeight="1"/>
    <row r="3748" ht="11.25" customHeight="1"/>
    <row r="3749" ht="11.25" customHeight="1"/>
    <row r="3750" ht="11.25" customHeight="1"/>
    <row r="3751" ht="11.25" customHeight="1"/>
    <row r="3752" ht="11.25" customHeight="1"/>
    <row r="3753" ht="11.25" customHeight="1"/>
    <row r="3754" ht="11.25" customHeight="1"/>
    <row r="3755" ht="11.25" customHeight="1"/>
    <row r="3756" ht="11.25" customHeight="1"/>
    <row r="3757" ht="11.25" customHeight="1"/>
    <row r="3758" ht="11.25" customHeight="1"/>
    <row r="3759" ht="11.25" customHeight="1"/>
    <row r="3760" ht="11.25" customHeight="1"/>
    <row r="3761" ht="11.25" customHeight="1"/>
    <row r="3762" ht="11.25" customHeight="1"/>
    <row r="3763" ht="11.25" customHeight="1"/>
    <row r="3764" ht="11.25" customHeight="1"/>
    <row r="3765" ht="11.25" customHeight="1"/>
    <row r="3766" ht="11.25" customHeight="1"/>
    <row r="3767" ht="11.25" customHeight="1"/>
    <row r="3768" ht="11.25" customHeight="1"/>
    <row r="3769" ht="11.25" customHeight="1"/>
    <row r="3770" ht="11.25" customHeight="1"/>
    <row r="3771" ht="11.25" customHeight="1"/>
    <row r="3772" ht="11.25" customHeight="1"/>
    <row r="3773" ht="11.25" customHeight="1"/>
    <row r="3774" ht="11.25" customHeight="1"/>
    <row r="3775" ht="11.25" customHeight="1"/>
    <row r="3776" ht="11.25" customHeight="1"/>
    <row r="3777" ht="11.25" customHeight="1"/>
    <row r="3778" ht="11.25" customHeight="1"/>
    <row r="3779" ht="11.25" customHeight="1"/>
    <row r="3780" ht="11.25" customHeight="1"/>
    <row r="3781" ht="11.25" customHeight="1"/>
    <row r="3782" ht="11.25" customHeight="1"/>
    <row r="3783" ht="11.25" customHeight="1"/>
    <row r="3784" ht="11.25" customHeight="1"/>
    <row r="3785" ht="11.25" customHeight="1"/>
    <row r="3786" ht="11.25" customHeight="1"/>
    <row r="3787" ht="11.25" customHeight="1"/>
    <row r="3788" ht="11.25" customHeight="1"/>
    <row r="3789" ht="11.25" customHeight="1"/>
    <row r="3790" ht="11.25" customHeight="1"/>
    <row r="3791" ht="11.25" customHeight="1"/>
    <row r="3792" ht="11.25" customHeight="1"/>
    <row r="3793" ht="11.25" customHeight="1"/>
    <row r="3794" ht="11.25" customHeight="1"/>
    <row r="3795" ht="11.25" customHeight="1"/>
    <row r="3796" ht="11.25" customHeight="1"/>
    <row r="3797" ht="11.25" customHeight="1"/>
    <row r="3798" ht="11.25" customHeight="1"/>
    <row r="3799" ht="11.25" customHeight="1"/>
    <row r="3800" ht="11.25" customHeight="1"/>
    <row r="3801" ht="11.25" customHeight="1"/>
    <row r="3802" ht="11.25" customHeight="1"/>
    <row r="3803" ht="11.25" customHeight="1"/>
    <row r="3804" ht="11.25" customHeight="1"/>
    <row r="3805" ht="11.25" customHeight="1"/>
    <row r="3806" ht="11.25" customHeight="1"/>
    <row r="3807" ht="11.25" customHeight="1"/>
    <row r="3808" ht="11.25" customHeight="1"/>
    <row r="3809" ht="11.25" customHeight="1"/>
    <row r="3810" ht="11.25" customHeight="1"/>
    <row r="3811" ht="11.25" customHeight="1"/>
    <row r="3812" ht="11.25" customHeight="1"/>
    <row r="3813" ht="11.25" customHeight="1"/>
    <row r="3814" ht="11.25" customHeight="1"/>
    <row r="3815" ht="11.25" customHeight="1"/>
    <row r="3816" ht="11.25" customHeight="1"/>
    <row r="3817" ht="11.25" customHeight="1"/>
    <row r="3818" ht="11.25" customHeight="1"/>
    <row r="3819" ht="11.25" customHeight="1"/>
    <row r="3820" ht="11.25" customHeight="1"/>
    <row r="3821" ht="11.25" customHeight="1"/>
    <row r="3822" ht="11.25" customHeight="1"/>
    <row r="3823" ht="11.25" customHeight="1"/>
    <row r="3824" ht="11.25" customHeight="1"/>
    <row r="3825" ht="11.25" customHeight="1"/>
    <row r="3826" ht="11.25" customHeight="1"/>
    <row r="3827" ht="11.25" customHeight="1"/>
    <row r="3828" ht="11.25" customHeight="1"/>
    <row r="3829" ht="11.25" customHeight="1"/>
    <row r="3830" ht="11.25" customHeight="1"/>
    <row r="3831" ht="11.25" customHeight="1"/>
    <row r="3832" ht="11.25" customHeight="1"/>
    <row r="3833" ht="11.25" customHeight="1"/>
    <row r="3834" ht="11.25" customHeight="1"/>
    <row r="3835" ht="11.25" customHeight="1"/>
    <row r="3836" ht="11.25" customHeight="1"/>
    <row r="3837" ht="11.25" customHeight="1"/>
    <row r="3838" ht="11.25" customHeight="1"/>
    <row r="3839" ht="11.25" customHeight="1"/>
    <row r="3840" ht="11.25" customHeight="1"/>
    <row r="3841" ht="11.25" customHeight="1"/>
    <row r="3842" ht="11.25" customHeight="1"/>
    <row r="3843" ht="11.25" customHeight="1"/>
    <row r="3844" ht="11.25" customHeight="1"/>
    <row r="3845" ht="11.25" customHeight="1"/>
    <row r="3846" ht="11.25" customHeight="1"/>
    <row r="3847" ht="11.25" customHeight="1"/>
    <row r="3848" ht="11.25" customHeight="1"/>
    <row r="3849" ht="11.25" customHeight="1"/>
    <row r="3850" ht="11.25" customHeight="1"/>
    <row r="3851" ht="11.25" customHeight="1"/>
    <row r="3852" ht="11.25" customHeight="1"/>
    <row r="3853" ht="11.25" customHeight="1"/>
    <row r="3854" ht="11.25" customHeight="1"/>
    <row r="3855" ht="11.25" customHeight="1"/>
    <row r="3856" ht="11.25" customHeight="1"/>
    <row r="3857" ht="11.25" customHeight="1"/>
    <row r="3858" ht="11.25" customHeight="1"/>
    <row r="3859" ht="11.25" customHeight="1"/>
    <row r="3860" ht="11.25" customHeight="1"/>
    <row r="3861" ht="11.25" customHeight="1"/>
    <row r="3862" ht="11.25" customHeight="1"/>
    <row r="3863" ht="11.25" customHeight="1"/>
    <row r="3864" ht="11.25" customHeight="1"/>
    <row r="3865" ht="11.25" customHeight="1"/>
    <row r="3866" ht="11.25" customHeight="1"/>
    <row r="3867" ht="11.25" customHeight="1"/>
    <row r="3868" ht="11.25" customHeight="1"/>
    <row r="3869" ht="11.25" customHeight="1"/>
    <row r="3870" ht="11.25" customHeight="1"/>
    <row r="3871" ht="11.25" customHeight="1"/>
    <row r="3872" ht="11.25" customHeight="1"/>
    <row r="3873" ht="11.25" customHeight="1"/>
    <row r="3874" ht="11.25" customHeight="1"/>
    <row r="3875" ht="11.25" customHeight="1"/>
    <row r="3876" ht="11.25" customHeight="1"/>
    <row r="3877" ht="11.25" customHeight="1"/>
    <row r="3878" ht="11.25" customHeight="1"/>
    <row r="3879" ht="11.25" customHeight="1"/>
    <row r="3880" ht="11.25" customHeight="1"/>
    <row r="3881" ht="11.25" customHeight="1"/>
    <row r="3882" ht="11.25" customHeight="1"/>
    <row r="3883" ht="11.25" customHeight="1"/>
    <row r="3884" ht="11.25" customHeight="1"/>
    <row r="3885" ht="11.25" customHeight="1"/>
    <row r="3886" ht="11.25" customHeight="1"/>
    <row r="3887" ht="11.25" customHeight="1"/>
    <row r="3888" ht="11.25" customHeight="1"/>
    <row r="3889" ht="11.25" customHeight="1"/>
    <row r="3890" ht="11.25" customHeight="1"/>
    <row r="3891" ht="11.25" customHeight="1"/>
    <row r="3892" ht="11.25" customHeight="1"/>
    <row r="3893" ht="11.25" customHeight="1"/>
    <row r="3894" ht="11.25" customHeight="1"/>
    <row r="3895" ht="11.25" customHeight="1"/>
    <row r="3896" ht="11.25" customHeight="1"/>
    <row r="3897" ht="11.25" customHeight="1"/>
    <row r="3898" ht="11.25" customHeight="1"/>
    <row r="3899" ht="11.25" customHeight="1"/>
    <row r="3900" ht="11.25" customHeight="1"/>
    <row r="3901" ht="11.25" customHeight="1"/>
    <row r="3902" ht="11.25" customHeight="1"/>
    <row r="3903" ht="11.25" customHeight="1"/>
    <row r="3904" ht="11.25" customHeight="1"/>
    <row r="3905" ht="11.25" customHeight="1"/>
    <row r="3906" ht="11.25" customHeight="1"/>
    <row r="3907" ht="11.25" customHeight="1"/>
    <row r="3908" ht="11.25" customHeight="1"/>
    <row r="3909" ht="11.25" customHeight="1"/>
    <row r="3910" ht="11.25" customHeight="1"/>
    <row r="3911" ht="11.25" customHeight="1"/>
    <row r="3912" ht="11.25" customHeight="1"/>
    <row r="3913" ht="11.25" customHeight="1"/>
    <row r="3914" ht="11.25" customHeight="1"/>
    <row r="3915" ht="11.25" customHeight="1"/>
    <row r="3916" ht="11.25" customHeight="1"/>
    <row r="3917" ht="11.25" customHeight="1"/>
    <row r="3918" ht="11.25" customHeight="1"/>
    <row r="3919" ht="11.25" customHeight="1"/>
    <row r="3920" ht="11.25" customHeight="1"/>
    <row r="3921" ht="11.25" customHeight="1"/>
    <row r="3922" ht="11.25" customHeight="1"/>
    <row r="3923" ht="11.25" customHeight="1"/>
    <row r="3924" ht="11.25" customHeight="1"/>
    <row r="3925" ht="11.25" customHeight="1"/>
    <row r="3926" ht="11.25" customHeight="1"/>
    <row r="3927" ht="11.25" customHeight="1"/>
    <row r="3928" ht="11.25" customHeight="1"/>
    <row r="3929" ht="11.25" customHeight="1"/>
    <row r="3930" ht="11.25" customHeight="1"/>
    <row r="3931" ht="11.25" customHeight="1"/>
    <row r="3932" ht="11.25" customHeight="1"/>
    <row r="3933" ht="11.25" customHeight="1"/>
    <row r="3934" ht="11.25" customHeight="1"/>
    <row r="3935" ht="11.25" customHeight="1"/>
    <row r="3936" ht="11.25" customHeight="1"/>
    <row r="3937" ht="11.25" customHeight="1"/>
    <row r="3938" ht="11.25" customHeight="1"/>
    <row r="3939" ht="11.25" customHeight="1"/>
    <row r="3940" ht="11.25" customHeight="1"/>
    <row r="3941" ht="11.25" customHeight="1"/>
    <row r="3942" ht="11.25" customHeight="1"/>
    <row r="3943" ht="11.25" customHeight="1"/>
    <row r="3944" ht="11.25" customHeight="1"/>
    <row r="3945" ht="11.25" customHeight="1"/>
    <row r="3946" ht="11.25" customHeight="1"/>
    <row r="3947" ht="11.25" customHeight="1"/>
    <row r="3948" ht="11.25" customHeight="1"/>
    <row r="3949" ht="11.25" customHeight="1"/>
    <row r="3950" ht="11.25" customHeight="1"/>
    <row r="3951" ht="11.25" customHeight="1"/>
    <row r="3952" ht="11.25" customHeight="1"/>
    <row r="3953" ht="11.25" customHeight="1"/>
    <row r="3954" ht="11.25" customHeight="1"/>
    <row r="3955" ht="11.25" customHeight="1"/>
    <row r="3956" ht="11.25" customHeight="1"/>
    <row r="3957" ht="11.25" customHeight="1"/>
    <row r="3958" ht="11.25" customHeight="1"/>
    <row r="3959" ht="11.25" customHeight="1"/>
    <row r="3960" ht="11.25" customHeight="1"/>
    <row r="3961" ht="11.25" customHeight="1"/>
    <row r="3962" ht="11.25" customHeight="1"/>
    <row r="3963" ht="11.25" customHeight="1"/>
    <row r="3964" ht="11.25" customHeight="1"/>
    <row r="3965" ht="11.25" customHeight="1"/>
    <row r="3966" ht="11.25" customHeight="1"/>
    <row r="3967" ht="11.25" customHeight="1"/>
    <row r="3968" ht="11.25" customHeight="1"/>
    <row r="3969" ht="11.25" customHeight="1"/>
    <row r="3970" ht="11.25" customHeight="1"/>
    <row r="3971" ht="11.25" customHeight="1"/>
    <row r="3972" ht="11.25" customHeight="1"/>
    <row r="3973" ht="11.25" customHeight="1"/>
    <row r="3974" ht="11.25" customHeight="1"/>
    <row r="3975" ht="11.25" customHeight="1"/>
    <row r="3976" ht="11.25" customHeight="1"/>
    <row r="3977" ht="11.25" customHeight="1"/>
    <row r="3978" ht="11.25" customHeight="1"/>
    <row r="3979" ht="11.25" customHeight="1"/>
    <row r="3980" ht="11.25" customHeight="1"/>
    <row r="3981" ht="11.25" customHeight="1"/>
    <row r="3982" ht="11.25" customHeight="1"/>
    <row r="3983" ht="11.25" customHeight="1"/>
    <row r="3984" ht="11.25" customHeight="1"/>
    <row r="3985" ht="11.25" customHeight="1"/>
    <row r="3986" ht="11.25" customHeight="1"/>
    <row r="3987" ht="11.25" customHeight="1"/>
    <row r="3988" ht="11.25" customHeight="1"/>
    <row r="3989" ht="11.25" customHeight="1"/>
    <row r="3990" ht="11.25" customHeight="1"/>
    <row r="3991" ht="11.25" customHeight="1"/>
    <row r="3992" ht="11.25" customHeight="1"/>
    <row r="3993" ht="11.25" customHeight="1"/>
    <row r="3994" ht="11.25" customHeight="1"/>
    <row r="3995" ht="11.25" customHeight="1"/>
    <row r="3996" ht="11.25" customHeight="1"/>
    <row r="3997" ht="11.25" customHeight="1"/>
    <row r="3998" ht="11.25" customHeight="1"/>
    <row r="3999" ht="11.25" customHeight="1"/>
    <row r="4000" ht="11.25" customHeight="1"/>
    <row r="4001" ht="11.25" customHeight="1"/>
    <row r="4002" ht="11.25" customHeight="1"/>
    <row r="4003" ht="11.25" customHeight="1"/>
    <row r="4004" ht="11.25" customHeight="1"/>
    <row r="4005" ht="11.25" customHeight="1"/>
    <row r="4006" ht="11.25" customHeight="1"/>
    <row r="4007" ht="11.25" customHeight="1"/>
    <row r="4008" ht="11.25" customHeight="1"/>
    <row r="4009" ht="11.25" customHeight="1"/>
    <row r="4010" ht="11.25" customHeight="1"/>
    <row r="4011" ht="11.25" customHeight="1"/>
    <row r="4012" ht="11.25" customHeight="1"/>
    <row r="4013" ht="11.25" customHeight="1"/>
    <row r="4014" ht="11.25" customHeight="1"/>
    <row r="4015" ht="11.25" customHeight="1"/>
    <row r="4016" ht="11.25" customHeight="1"/>
    <row r="4017" ht="11.25" customHeight="1"/>
    <row r="4018" ht="11.25" customHeight="1"/>
    <row r="4019" ht="11.25" customHeight="1"/>
    <row r="4020" ht="11.25" customHeight="1"/>
    <row r="4021" ht="11.25" customHeight="1"/>
    <row r="4022" ht="11.25" customHeight="1"/>
    <row r="4023" ht="11.25" customHeight="1"/>
    <row r="4024" ht="11.25" customHeight="1"/>
    <row r="4025" ht="11.25" customHeight="1"/>
    <row r="4026" ht="11.25" customHeight="1"/>
    <row r="4027" ht="11.25" customHeight="1"/>
    <row r="4028" ht="11.25" customHeight="1"/>
    <row r="4029" ht="11.25" customHeight="1"/>
    <row r="4030" ht="11.25" customHeight="1"/>
    <row r="4031" ht="11.25" customHeight="1"/>
    <row r="4032" ht="11.25" customHeight="1"/>
    <row r="4033" ht="11.25" customHeight="1"/>
    <row r="4034" ht="11.25" customHeight="1"/>
    <row r="4035" ht="11.25" customHeight="1"/>
    <row r="4036" ht="11.25" customHeight="1"/>
    <row r="4037" ht="11.25" customHeight="1"/>
    <row r="4038" ht="11.25" customHeight="1"/>
    <row r="4039" ht="11.25" customHeight="1"/>
    <row r="4040" ht="11.25" customHeight="1"/>
    <row r="4041" ht="11.25" customHeight="1"/>
    <row r="4042" ht="11.25" customHeight="1"/>
    <row r="4043" ht="11.25" customHeight="1"/>
    <row r="4044" ht="11.25" customHeight="1"/>
    <row r="4045" ht="11.25" customHeight="1"/>
    <row r="4046" ht="11.25" customHeight="1"/>
    <row r="4047" ht="11.25" customHeight="1"/>
    <row r="4048" ht="11.25" customHeight="1"/>
    <row r="4049" ht="11.25" customHeight="1"/>
    <row r="4050" ht="11.25" customHeight="1"/>
    <row r="4051" ht="11.25" customHeight="1"/>
    <row r="4052" ht="11.25" customHeight="1"/>
    <row r="4053" ht="11.25" customHeight="1"/>
    <row r="4054" ht="11.25" customHeight="1"/>
    <row r="4055" ht="11.25" customHeight="1"/>
    <row r="4056" ht="11.25" customHeight="1"/>
    <row r="4057" ht="11.25" customHeight="1"/>
    <row r="4058" ht="11.25" customHeight="1"/>
    <row r="4059" ht="11.25" customHeight="1"/>
    <row r="4060" ht="11.25" customHeight="1"/>
    <row r="4061" ht="11.25" customHeight="1"/>
    <row r="4062" ht="11.25" customHeight="1"/>
    <row r="4063" ht="11.25" customHeight="1"/>
    <row r="4064" ht="11.25" customHeight="1"/>
    <row r="4065" ht="11.25" customHeight="1"/>
    <row r="4066" ht="11.25" customHeight="1"/>
    <row r="4067" ht="11.25" customHeight="1"/>
    <row r="4068" ht="11.25" customHeight="1"/>
    <row r="4069" ht="11.25" customHeight="1"/>
    <row r="4070" ht="11.25" customHeight="1"/>
    <row r="4071" ht="11.25" customHeight="1"/>
    <row r="4072" ht="11.25" customHeight="1"/>
    <row r="4073" ht="11.25" customHeight="1"/>
    <row r="4074" ht="11.25" customHeight="1"/>
    <row r="4075" ht="11.25" customHeight="1"/>
    <row r="4076" ht="11.25" customHeight="1"/>
    <row r="4077" ht="11.25" customHeight="1"/>
    <row r="4078" ht="11.25" customHeight="1"/>
    <row r="4079" ht="11.25" customHeight="1"/>
    <row r="4080" ht="11.25" customHeight="1"/>
    <row r="4081" ht="11.25" customHeight="1"/>
    <row r="4082" ht="11.25" customHeight="1"/>
    <row r="4083" ht="11.25" customHeight="1"/>
    <row r="4084" ht="11.25" customHeight="1"/>
    <row r="4085" ht="11.25" customHeight="1"/>
    <row r="4086" ht="11.25" customHeight="1"/>
    <row r="4087" ht="11.25" customHeight="1"/>
    <row r="4088" ht="11.25" customHeight="1"/>
    <row r="4089" ht="11.25" customHeight="1"/>
    <row r="4090" ht="11.25" customHeight="1"/>
    <row r="4091" ht="11.25" customHeight="1"/>
    <row r="4092" ht="11.25" customHeight="1"/>
    <row r="4093" ht="11.25" customHeight="1"/>
    <row r="4094" ht="11.25" customHeight="1"/>
    <row r="4095" ht="11.25" customHeight="1"/>
    <row r="4096" ht="11.25" customHeight="1"/>
    <row r="4097" ht="11.25" customHeight="1"/>
    <row r="4098" ht="11.25" customHeight="1"/>
    <row r="4099" ht="11.25" customHeight="1"/>
    <row r="4100" ht="11.25" customHeight="1"/>
    <row r="4101" ht="11.25" customHeight="1"/>
    <row r="4102" ht="11.25" customHeight="1"/>
    <row r="4103" ht="11.25" customHeight="1"/>
    <row r="4104" ht="11.25" customHeight="1"/>
    <row r="4105" ht="11.25" customHeight="1"/>
    <row r="4106" ht="11.25" customHeight="1"/>
    <row r="4107" ht="11.25" customHeight="1"/>
    <row r="4108" ht="11.25" customHeight="1"/>
    <row r="4109" ht="11.25" customHeight="1"/>
    <row r="4110" ht="11.25" customHeight="1"/>
    <row r="4111" ht="11.25" customHeight="1"/>
    <row r="4112" ht="11.25" customHeight="1"/>
    <row r="4113" ht="11.25" customHeight="1"/>
    <row r="4114" ht="11.25" customHeight="1"/>
    <row r="4115" ht="11.25" customHeight="1"/>
    <row r="4116" ht="11.25" customHeight="1"/>
    <row r="4117" ht="11.25" customHeight="1"/>
    <row r="4118" ht="11.25" customHeight="1"/>
    <row r="4119" ht="11.25" customHeight="1"/>
    <row r="4120" ht="11.25" customHeight="1"/>
    <row r="4121" ht="11.25" customHeight="1"/>
    <row r="4122" ht="11.25" customHeight="1"/>
    <row r="4123" ht="11.25" customHeight="1"/>
    <row r="4124" ht="11.25" customHeight="1"/>
    <row r="4125" ht="11.25" customHeight="1"/>
    <row r="4126" ht="11.25" customHeight="1"/>
    <row r="4127" ht="11.25" customHeight="1"/>
    <row r="4128" ht="11.25" customHeight="1"/>
    <row r="4129" ht="11.25" customHeight="1"/>
    <row r="4130" ht="11.25" customHeight="1"/>
    <row r="4131" ht="11.25" customHeight="1"/>
    <row r="4132" ht="11.25" customHeight="1"/>
    <row r="4133" ht="11.25" customHeight="1"/>
    <row r="4134" ht="11.25" customHeight="1"/>
    <row r="4135" ht="11.25" customHeight="1"/>
    <row r="4136" ht="11.25" customHeight="1"/>
    <row r="4137" ht="11.25" customHeight="1"/>
    <row r="4138" ht="11.25" customHeight="1"/>
    <row r="4139" ht="11.25" customHeight="1"/>
    <row r="4140" ht="11.25" customHeight="1"/>
    <row r="4141" ht="11.25" customHeight="1"/>
    <row r="4142" ht="11.25" customHeight="1"/>
    <row r="4143" ht="11.25" customHeight="1"/>
    <row r="4144" ht="11.25" customHeight="1"/>
    <row r="4145" ht="11.25" customHeight="1"/>
    <row r="4146" ht="11.25" customHeight="1"/>
    <row r="4147" ht="11.25" customHeight="1"/>
    <row r="4148" ht="11.25" customHeight="1"/>
    <row r="4149" ht="11.25" customHeight="1"/>
    <row r="4150" ht="11.25" customHeight="1"/>
    <row r="4151" ht="11.25" customHeight="1"/>
    <row r="4152" ht="11.25" customHeight="1"/>
    <row r="4153" ht="11.25" customHeight="1"/>
    <row r="4154" ht="11.25" customHeight="1"/>
    <row r="4155" ht="11.25" customHeight="1"/>
    <row r="4156" ht="11.25" customHeight="1"/>
    <row r="4157" ht="11.25" customHeight="1"/>
    <row r="4158" ht="11.25" customHeight="1"/>
    <row r="4159" ht="11.25" customHeight="1"/>
    <row r="4160" ht="11.25" customHeight="1"/>
    <row r="4161" ht="11.25" customHeight="1"/>
    <row r="4162" ht="11.25" customHeight="1"/>
    <row r="4163" ht="11.25" customHeight="1"/>
    <row r="4164" ht="11.25" customHeight="1"/>
    <row r="4165" ht="11.25" customHeight="1"/>
    <row r="4166" ht="11.25" customHeight="1"/>
    <row r="4167" ht="11.25" customHeight="1"/>
    <row r="4168" ht="11.25" customHeight="1"/>
    <row r="4169" ht="11.25" customHeight="1"/>
    <row r="4170" ht="11.25" customHeight="1"/>
    <row r="4171" ht="11.25" customHeight="1"/>
    <row r="4172" ht="11.25" customHeight="1"/>
    <row r="4173" ht="11.25" customHeight="1"/>
    <row r="4174" ht="11.25" customHeight="1"/>
    <row r="4175" ht="11.25" customHeight="1"/>
    <row r="4176" ht="11.25" customHeight="1"/>
    <row r="4177" ht="11.25" customHeight="1"/>
    <row r="4178" ht="11.25" customHeight="1"/>
    <row r="4179" ht="11.25" customHeight="1"/>
    <row r="4180" ht="11.25" customHeight="1"/>
    <row r="4181" ht="11.25" customHeight="1"/>
    <row r="4182" ht="11.25" customHeight="1"/>
    <row r="4183" ht="11.25" customHeight="1"/>
    <row r="4184" ht="11.25" customHeight="1"/>
    <row r="4185" ht="11.25" customHeight="1"/>
    <row r="4186" ht="11.25" customHeight="1"/>
    <row r="4187" ht="11.25" customHeight="1"/>
    <row r="4188" ht="11.25" customHeight="1"/>
    <row r="4189" ht="11.25" customHeight="1"/>
    <row r="4190" ht="11.25" customHeight="1"/>
    <row r="4191" ht="11.25" customHeight="1"/>
    <row r="4192" ht="11.25" customHeight="1"/>
    <row r="4193" ht="11.25" customHeight="1"/>
    <row r="4194" ht="11.25" customHeight="1"/>
    <row r="4195" ht="11.25" customHeight="1"/>
    <row r="4196" ht="11.25" customHeight="1"/>
    <row r="4197" ht="11.25" customHeight="1"/>
    <row r="4198" ht="11.25" customHeight="1"/>
    <row r="4199" ht="11.25" customHeight="1"/>
    <row r="4200" ht="11.25" customHeight="1"/>
    <row r="4201" ht="11.25" customHeight="1"/>
    <row r="4202" ht="11.25" customHeight="1"/>
    <row r="4203" ht="11.25" customHeight="1"/>
    <row r="4204" ht="11.25" customHeight="1"/>
    <row r="4205" ht="11.25" customHeight="1"/>
    <row r="4206" ht="11.25" customHeight="1"/>
    <row r="4207" ht="11.25" customHeight="1"/>
    <row r="4208" ht="11.25" customHeight="1"/>
    <row r="4209" ht="11.25" customHeight="1"/>
    <row r="4210" ht="11.25" customHeight="1"/>
    <row r="4211" ht="11.25" customHeight="1"/>
    <row r="4212" ht="11.25" customHeight="1"/>
    <row r="4213" ht="11.25" customHeight="1"/>
    <row r="4214" ht="11.25" customHeight="1"/>
    <row r="4215" ht="11.25" customHeight="1"/>
    <row r="4216" ht="11.25" customHeight="1"/>
    <row r="4217" ht="11.25" customHeight="1"/>
    <row r="4218" ht="11.25" customHeight="1"/>
    <row r="4219" ht="11.25" customHeight="1"/>
    <row r="4220" ht="11.25" customHeight="1"/>
    <row r="4221" ht="11.25" customHeight="1"/>
    <row r="4222" ht="11.25" customHeight="1"/>
    <row r="4223" ht="11.25" customHeight="1"/>
    <row r="4224" ht="11.25" customHeight="1"/>
    <row r="4225" ht="11.25" customHeight="1"/>
    <row r="4226" ht="11.25" customHeight="1"/>
    <row r="4227" ht="11.25" customHeight="1"/>
    <row r="4228" ht="11.25" customHeight="1"/>
    <row r="4229" ht="11.25" customHeight="1"/>
    <row r="4230" ht="11.25" customHeight="1"/>
    <row r="4231" ht="11.25" customHeight="1"/>
    <row r="4232" ht="11.25" customHeight="1"/>
    <row r="4233" ht="11.25" customHeight="1"/>
    <row r="4234" ht="11.25" customHeight="1"/>
    <row r="4235" ht="11.25" customHeight="1"/>
    <row r="4236" ht="11.25" customHeight="1"/>
    <row r="4237" ht="11.25" customHeight="1"/>
    <row r="4238" ht="11.25" customHeight="1"/>
    <row r="4239" ht="11.25" customHeight="1"/>
    <row r="4240" ht="11.25" customHeight="1"/>
    <row r="4241" ht="11.25" customHeight="1"/>
    <row r="4242" ht="11.25" customHeight="1"/>
    <row r="4243" ht="11.25" customHeight="1"/>
    <row r="4244" ht="11.25" customHeight="1"/>
    <row r="4245" ht="11.25" customHeight="1"/>
    <row r="4246" ht="11.25" customHeight="1"/>
    <row r="4247" ht="11.25" customHeight="1"/>
    <row r="4248" ht="11.25" customHeight="1"/>
    <row r="4249" ht="11.25" customHeight="1"/>
    <row r="4250" ht="11.25" customHeight="1"/>
    <row r="4251" ht="11.25" customHeight="1"/>
    <row r="4252" ht="11.25" customHeight="1"/>
    <row r="4253" ht="11.25" customHeight="1"/>
    <row r="4254" ht="11.25" customHeight="1"/>
    <row r="4255" ht="11.25" customHeight="1"/>
    <row r="4256" ht="11.25" customHeight="1"/>
    <row r="4257" ht="11.25" customHeight="1"/>
    <row r="4258" ht="11.25" customHeight="1"/>
    <row r="4259" ht="11.25" customHeight="1"/>
    <row r="4260" ht="11.25" customHeight="1"/>
    <row r="4261" ht="11.25" customHeight="1"/>
    <row r="4262" ht="11.25" customHeight="1"/>
    <row r="4263" ht="11.25" customHeight="1"/>
    <row r="4264" ht="11.25" customHeight="1"/>
    <row r="4265" ht="11.25" customHeight="1"/>
    <row r="4266" ht="11.25" customHeight="1"/>
    <row r="4267" ht="11.25" customHeight="1"/>
    <row r="4268" ht="11.25" customHeight="1"/>
    <row r="4269" ht="11.25" customHeight="1"/>
    <row r="4270" ht="11.25" customHeight="1"/>
    <row r="4271" ht="11.25" customHeight="1"/>
    <row r="4272" ht="11.25" customHeight="1"/>
    <row r="4273" ht="11.25" customHeight="1"/>
    <row r="4274" ht="11.25" customHeight="1"/>
    <row r="4275" ht="11.25" customHeight="1"/>
    <row r="4276" ht="11.25" customHeight="1"/>
    <row r="4277" ht="11.25" customHeight="1"/>
    <row r="4278" ht="11.25" customHeight="1"/>
    <row r="4279" ht="11.25" customHeight="1"/>
    <row r="4280" ht="11.25" customHeight="1"/>
    <row r="4281" ht="11.25" customHeight="1"/>
    <row r="4282" ht="11.25" customHeight="1"/>
    <row r="4283" ht="11.25" customHeight="1"/>
    <row r="4284" ht="11.25" customHeight="1"/>
    <row r="4285" ht="11.25" customHeight="1"/>
    <row r="4286" ht="11.25" customHeight="1"/>
    <row r="4287" ht="11.25" customHeight="1"/>
    <row r="4288" ht="11.25" customHeight="1"/>
    <row r="4289" ht="11.25" customHeight="1"/>
    <row r="4290" ht="11.25" customHeight="1"/>
    <row r="4291" ht="11.25" customHeight="1"/>
    <row r="4292" ht="11.25" customHeight="1"/>
    <row r="4293" ht="11.25" customHeight="1"/>
    <row r="4294" ht="11.25" customHeight="1"/>
    <row r="4295" ht="11.25" customHeight="1"/>
    <row r="4296" ht="11.25" customHeight="1"/>
    <row r="4297" ht="11.25" customHeight="1"/>
    <row r="4298" ht="11.25" customHeight="1"/>
    <row r="4299" ht="11.25" customHeight="1"/>
    <row r="4300" ht="11.25" customHeight="1"/>
    <row r="4301" ht="11.25" customHeight="1"/>
    <row r="4302" ht="11.25" customHeight="1"/>
    <row r="4303" ht="11.25" customHeight="1"/>
    <row r="4304" ht="11.25" customHeight="1"/>
    <row r="4305" ht="11.25" customHeight="1"/>
    <row r="4306" ht="11.25" customHeight="1"/>
    <row r="4307" ht="11.25" customHeight="1"/>
    <row r="4308" ht="11.25" customHeight="1"/>
    <row r="4309" ht="11.25" customHeight="1"/>
    <row r="4310" ht="11.25" customHeight="1"/>
    <row r="4311" ht="11.25" customHeight="1"/>
    <row r="4312" ht="11.25" customHeight="1"/>
    <row r="4313" ht="11.25" customHeight="1"/>
    <row r="4314" ht="11.25" customHeight="1"/>
    <row r="4315" ht="11.25" customHeight="1"/>
    <row r="4316" ht="11.25" customHeight="1"/>
    <row r="4317" ht="11.25" customHeight="1"/>
    <row r="4318" ht="11.25" customHeight="1"/>
    <row r="4319" ht="11.25" customHeight="1"/>
    <row r="4320" ht="11.25" customHeight="1"/>
    <row r="4321" ht="11.25" customHeight="1"/>
    <row r="4322" ht="11.25" customHeight="1"/>
    <row r="4323" ht="11.25" customHeight="1"/>
    <row r="4324" ht="11.25" customHeight="1"/>
    <row r="4325" ht="11.25" customHeight="1"/>
    <row r="4326" ht="11.25" customHeight="1"/>
    <row r="4327" ht="11.25" customHeight="1"/>
    <row r="4328" ht="11.25" customHeight="1"/>
    <row r="4329" ht="11.25" customHeight="1"/>
    <row r="4330" ht="11.25" customHeight="1"/>
    <row r="4331" ht="11.25" customHeight="1"/>
    <row r="4332" ht="11.25" customHeight="1"/>
    <row r="4333" ht="11.25" customHeight="1"/>
    <row r="4334" ht="11.25" customHeight="1"/>
    <row r="4335" ht="11.25" customHeight="1"/>
    <row r="4336" ht="11.25" customHeight="1"/>
    <row r="4337" ht="11.25" customHeight="1"/>
    <row r="4338" ht="11.25" customHeight="1"/>
    <row r="4339" ht="11.25" customHeight="1"/>
    <row r="4340" ht="11.25" customHeight="1"/>
    <row r="4341" ht="11.25" customHeight="1"/>
    <row r="4342" ht="11.25" customHeight="1"/>
    <row r="4343" ht="11.25" customHeight="1"/>
    <row r="4344" ht="11.25" customHeight="1"/>
    <row r="4345" ht="11.25" customHeight="1"/>
    <row r="4346" ht="11.25" customHeight="1"/>
    <row r="4347" ht="11.25" customHeight="1"/>
    <row r="4348" ht="11.25" customHeight="1"/>
    <row r="4349" ht="11.25" customHeight="1"/>
    <row r="4350" ht="11.25" customHeight="1"/>
    <row r="4351" ht="11.25" customHeight="1"/>
    <row r="4352" ht="11.25" customHeight="1"/>
    <row r="4353" ht="11.25" customHeight="1"/>
    <row r="4354" ht="11.25" customHeight="1"/>
    <row r="4355" ht="11.25" customHeight="1"/>
    <row r="4356" ht="11.25" customHeight="1"/>
    <row r="4357" ht="11.25" customHeight="1"/>
    <row r="4358" ht="11.25" customHeight="1"/>
    <row r="4359" ht="11.25" customHeight="1"/>
    <row r="4360" ht="11.25" customHeight="1"/>
    <row r="4361" ht="11.25" customHeight="1"/>
    <row r="4362" ht="11.25" customHeight="1"/>
    <row r="4363" ht="11.25" customHeight="1"/>
    <row r="4364" ht="11.25" customHeight="1"/>
    <row r="4365" ht="11.25" customHeight="1"/>
    <row r="4366" ht="11.25" customHeight="1"/>
    <row r="4367" ht="11.25" customHeight="1"/>
    <row r="4368" ht="11.25" customHeight="1"/>
    <row r="4369" ht="11.25" customHeight="1"/>
    <row r="4370" ht="11.25" customHeight="1"/>
    <row r="4371" ht="11.25" customHeight="1"/>
    <row r="4372" ht="11.25" customHeight="1"/>
    <row r="4373" ht="11.25" customHeight="1"/>
    <row r="4374" ht="11.25" customHeight="1"/>
    <row r="4375" ht="11.25" customHeight="1"/>
    <row r="4376" ht="11.25" customHeight="1"/>
    <row r="4377" ht="11.25" customHeight="1"/>
    <row r="4378" ht="11.25" customHeight="1"/>
    <row r="4379" ht="11.25" customHeight="1"/>
    <row r="4380" ht="11.25" customHeight="1"/>
    <row r="4381" ht="11.25" customHeight="1"/>
    <row r="4382" ht="11.25" customHeight="1"/>
    <row r="4383" ht="11.25" customHeight="1"/>
    <row r="4384" ht="11.25" customHeight="1"/>
    <row r="4385" ht="11.25" customHeight="1"/>
    <row r="4386" ht="11.25" customHeight="1"/>
    <row r="4387" ht="11.25" customHeight="1"/>
    <row r="4388" ht="11.25" customHeight="1"/>
    <row r="4389" ht="11.25" customHeight="1"/>
    <row r="4390" ht="11.25" customHeight="1"/>
    <row r="4391" ht="11.25" customHeight="1"/>
    <row r="4392" ht="11.25" customHeight="1"/>
    <row r="4393" ht="11.25" customHeight="1"/>
    <row r="4394" ht="11.25" customHeight="1"/>
    <row r="4395" ht="11.25" customHeight="1"/>
    <row r="4396" ht="11.25" customHeight="1"/>
    <row r="4397" ht="11.25" customHeight="1"/>
    <row r="4398" ht="11.25" customHeight="1"/>
    <row r="4399" ht="11.25" customHeight="1"/>
    <row r="4400" ht="11.25" customHeight="1"/>
    <row r="4401" ht="11.25" customHeight="1"/>
    <row r="4402" ht="11.25" customHeight="1"/>
    <row r="4403" ht="11.25" customHeight="1"/>
    <row r="4404" ht="11.25" customHeight="1"/>
    <row r="4405" ht="11.25" customHeight="1"/>
    <row r="4406" ht="11.25" customHeight="1"/>
    <row r="4407" ht="11.25" customHeight="1"/>
    <row r="4408" ht="11.25" customHeight="1"/>
    <row r="4409" ht="11.25" customHeight="1"/>
    <row r="4410" ht="11.25" customHeight="1"/>
    <row r="4411" ht="11.25" customHeight="1"/>
    <row r="4412" ht="11.25" customHeight="1"/>
    <row r="4413" ht="11.25" customHeight="1"/>
    <row r="4414" ht="11.25" customHeight="1"/>
    <row r="4415" ht="11.25" customHeight="1"/>
    <row r="4416" ht="11.25" customHeight="1"/>
    <row r="4417" ht="11.25" customHeight="1"/>
    <row r="4418" ht="11.25" customHeight="1"/>
    <row r="4419" ht="11.25" customHeight="1"/>
    <row r="4420" ht="11.25" customHeight="1"/>
    <row r="4421" ht="11.25" customHeight="1"/>
    <row r="4422" ht="11.25" customHeight="1"/>
    <row r="4423" ht="11.25" customHeight="1"/>
    <row r="4424" ht="11.25" customHeight="1"/>
    <row r="4425" ht="11.25" customHeight="1"/>
    <row r="4426" ht="11.25" customHeight="1"/>
    <row r="4427" ht="11.25" customHeight="1"/>
    <row r="4428" ht="11.25" customHeight="1"/>
    <row r="4429" ht="11.25" customHeight="1"/>
    <row r="4430" ht="11.25" customHeight="1"/>
    <row r="4431" ht="11.25" customHeight="1"/>
    <row r="4432" ht="11.25" customHeight="1"/>
    <row r="4433" ht="11.25" customHeight="1"/>
    <row r="4434" ht="11.25" customHeight="1"/>
    <row r="4435" ht="11.25" customHeight="1"/>
    <row r="4436" ht="11.25" customHeight="1"/>
    <row r="4437" ht="11.25" customHeight="1"/>
    <row r="4438" ht="11.25" customHeight="1"/>
    <row r="4439" ht="11.25" customHeight="1"/>
    <row r="4440" ht="11.25" customHeight="1"/>
    <row r="4441" ht="11.25" customHeight="1"/>
    <row r="4442" ht="11.25" customHeight="1"/>
    <row r="4443" ht="11.25" customHeight="1"/>
    <row r="4444" ht="11.25" customHeight="1"/>
    <row r="4445" ht="11.25" customHeight="1"/>
    <row r="4446" ht="11.25" customHeight="1"/>
    <row r="4447" ht="11.25" customHeight="1"/>
    <row r="4448" ht="11.25" customHeight="1"/>
    <row r="4449" ht="11.25" customHeight="1"/>
    <row r="4450" ht="11.25" customHeight="1"/>
    <row r="4451" ht="11.25" customHeight="1"/>
    <row r="4452" ht="11.25" customHeight="1"/>
    <row r="4453" ht="11.25" customHeight="1"/>
    <row r="4454" ht="11.25" customHeight="1"/>
    <row r="4455" ht="11.25" customHeight="1"/>
    <row r="4456" ht="11.25" customHeight="1"/>
    <row r="4457" ht="11.25" customHeight="1"/>
    <row r="4458" ht="11.25" customHeight="1"/>
    <row r="4459" ht="11.25" customHeight="1"/>
    <row r="4460" ht="11.25" customHeight="1"/>
    <row r="4461" ht="11.25" customHeight="1"/>
    <row r="4462" ht="11.25" customHeight="1"/>
    <row r="4463" ht="11.25" customHeight="1"/>
    <row r="4464" ht="11.25" customHeight="1"/>
    <row r="4465" ht="11.25" customHeight="1"/>
    <row r="4466" ht="11.25" customHeight="1"/>
    <row r="4467" ht="11.25" customHeight="1"/>
    <row r="4468" ht="11.25" customHeight="1"/>
    <row r="4469" ht="11.25" customHeight="1"/>
    <row r="4470" ht="11.25" customHeight="1"/>
    <row r="4471" ht="11.25" customHeight="1"/>
    <row r="4472" ht="11.25" customHeight="1"/>
    <row r="4473" ht="11.25" customHeight="1"/>
    <row r="4474" ht="11.25" customHeight="1"/>
    <row r="4475" ht="11.25" customHeight="1"/>
    <row r="4476" ht="11.25" customHeight="1"/>
    <row r="4477" ht="11.25" customHeight="1"/>
    <row r="4478" ht="11.25" customHeight="1"/>
    <row r="4479" ht="11.25" customHeight="1"/>
    <row r="4480" ht="11.25" customHeight="1"/>
    <row r="4481" ht="11.25" customHeight="1"/>
    <row r="4482" ht="11.25" customHeight="1"/>
    <row r="4483" ht="11.25" customHeight="1"/>
    <row r="4484" ht="11.25" customHeight="1"/>
    <row r="4485" ht="11.25" customHeight="1"/>
    <row r="4486" ht="11.25" customHeight="1"/>
    <row r="4487" ht="11.25" customHeight="1"/>
    <row r="4488" ht="11.25" customHeight="1"/>
    <row r="4489" ht="11.25" customHeight="1"/>
    <row r="4490" ht="11.25" customHeight="1"/>
    <row r="4491" ht="11.25" customHeight="1"/>
    <row r="4492" ht="11.25" customHeight="1"/>
    <row r="4493" ht="11.25" customHeight="1"/>
    <row r="4494" ht="11.25" customHeight="1"/>
    <row r="4495" ht="11.25" customHeight="1"/>
    <row r="4496" ht="11.25" customHeight="1"/>
    <row r="4497" ht="11.25" customHeight="1"/>
    <row r="4498" ht="11.25" customHeight="1"/>
    <row r="4499" ht="11.25" customHeight="1"/>
    <row r="4500" ht="11.25" customHeight="1"/>
    <row r="4501" ht="11.25" customHeight="1"/>
    <row r="4502" ht="11.25" customHeight="1"/>
    <row r="4503" ht="11.25" customHeight="1"/>
    <row r="4504" ht="11.25" customHeight="1"/>
    <row r="4505" ht="11.25" customHeight="1"/>
    <row r="4506" ht="11.25" customHeight="1"/>
    <row r="4507" ht="11.25" customHeight="1"/>
    <row r="4508" ht="11.25" customHeight="1"/>
    <row r="4509" ht="11.25" customHeight="1"/>
    <row r="4510" ht="11.25" customHeight="1"/>
    <row r="4511" ht="11.25" customHeight="1"/>
    <row r="4512" ht="11.25" customHeight="1"/>
    <row r="4513" ht="11.25" customHeight="1"/>
    <row r="4514" ht="11.25" customHeight="1"/>
    <row r="4515" ht="11.25" customHeight="1"/>
    <row r="4516" ht="11.25" customHeight="1"/>
    <row r="4517" ht="11.25" customHeight="1"/>
    <row r="4518" ht="11.25" customHeight="1"/>
    <row r="4519" ht="11.25" customHeight="1"/>
    <row r="4520" ht="11.25" customHeight="1"/>
    <row r="4521" ht="11.25" customHeight="1"/>
    <row r="4522" ht="11.25" customHeight="1"/>
    <row r="4523" ht="11.25" customHeight="1"/>
    <row r="4524" ht="11.25" customHeight="1"/>
    <row r="4525" ht="11.25" customHeight="1"/>
    <row r="4526" ht="11.25" customHeight="1"/>
    <row r="4527" ht="11.25" customHeight="1"/>
    <row r="4528" ht="11.25" customHeight="1"/>
    <row r="4529" ht="11.25" customHeight="1"/>
    <row r="4530" ht="11.25" customHeight="1"/>
    <row r="4531" ht="11.25" customHeight="1"/>
    <row r="4532" ht="11.25" customHeight="1"/>
    <row r="4533" ht="11.25" customHeight="1"/>
    <row r="4534" ht="11.25" customHeight="1"/>
    <row r="4535" ht="11.25" customHeight="1"/>
    <row r="4536" ht="11.25" customHeight="1"/>
    <row r="4537" ht="11.25" customHeight="1"/>
    <row r="4538" ht="11.25" customHeight="1"/>
    <row r="4539" ht="11.25" customHeight="1"/>
    <row r="4540" ht="11.25" customHeight="1"/>
    <row r="4541" ht="11.25" customHeight="1"/>
    <row r="4542" ht="11.25" customHeight="1"/>
    <row r="4543" ht="11.25" customHeight="1"/>
    <row r="4544" ht="11.25" customHeight="1"/>
    <row r="4545" ht="11.25" customHeight="1"/>
    <row r="4546" ht="11.25" customHeight="1"/>
    <row r="4547" ht="11.25" customHeight="1"/>
    <row r="4548" ht="11.25" customHeight="1"/>
    <row r="4549" ht="11.25" customHeight="1"/>
    <row r="4550" ht="11.25" customHeight="1"/>
    <row r="4551" ht="11.25" customHeight="1"/>
    <row r="4552" ht="11.25" customHeight="1"/>
    <row r="4553" ht="11.25" customHeight="1"/>
    <row r="4554" ht="11.25" customHeight="1"/>
    <row r="4555" ht="11.25" customHeight="1"/>
    <row r="4556" ht="11.25" customHeight="1"/>
    <row r="4557" ht="11.25" customHeight="1"/>
    <row r="4558" ht="11.25" customHeight="1"/>
    <row r="4559" ht="11.25" customHeight="1"/>
    <row r="4560" ht="11.25" customHeight="1"/>
    <row r="4561" ht="11.25" customHeight="1"/>
    <row r="4562" ht="11.25" customHeight="1"/>
    <row r="4563" ht="11.25" customHeight="1"/>
    <row r="4564" ht="11.25" customHeight="1"/>
    <row r="4565" ht="11.25" customHeight="1"/>
    <row r="4566" ht="11.25" customHeight="1"/>
    <row r="4567" ht="11.25" customHeight="1"/>
    <row r="4568" ht="11.25" customHeight="1"/>
    <row r="4569" ht="11.25" customHeight="1"/>
    <row r="4570" ht="11.25" customHeight="1"/>
    <row r="4571" ht="11.25" customHeight="1"/>
    <row r="4572" ht="11.25" customHeight="1"/>
    <row r="4573" ht="11.25" customHeight="1"/>
    <row r="4574" ht="11.25" customHeight="1"/>
    <row r="4575" ht="11.25" customHeight="1"/>
    <row r="4576" ht="11.25" customHeight="1"/>
    <row r="4577" ht="11.25" customHeight="1"/>
    <row r="4578" ht="11.25" customHeight="1"/>
    <row r="4579" ht="11.25" customHeight="1"/>
    <row r="4580" ht="11.25" customHeight="1"/>
    <row r="4581" ht="11.25" customHeight="1"/>
    <row r="4582" ht="11.25" customHeight="1"/>
    <row r="4583" ht="11.25" customHeight="1"/>
    <row r="4584" ht="11.25" customHeight="1"/>
    <row r="4585" ht="11.25" customHeight="1"/>
    <row r="4586" ht="11.25" customHeight="1"/>
    <row r="4587" ht="11.25" customHeight="1"/>
    <row r="4588" ht="11.25" customHeight="1"/>
    <row r="4589" ht="11.25" customHeight="1"/>
    <row r="4590" ht="11.25" customHeight="1"/>
    <row r="4591" ht="11.25" customHeight="1"/>
    <row r="4592" ht="11.25" customHeight="1"/>
    <row r="4593" ht="11.25" customHeight="1"/>
    <row r="4594" ht="11.25" customHeight="1"/>
    <row r="4595" ht="11.25" customHeight="1"/>
    <row r="4596" ht="11.25" customHeight="1"/>
    <row r="4597" ht="11.25" customHeight="1"/>
    <row r="4598" ht="11.25" customHeight="1"/>
    <row r="4599" ht="11.25" customHeight="1"/>
    <row r="4600" ht="11.25" customHeight="1"/>
    <row r="4601" ht="11.25" customHeight="1"/>
    <row r="4602" ht="11.25" customHeight="1"/>
    <row r="4603" ht="11.25" customHeight="1"/>
    <row r="4604" ht="11.25" customHeight="1"/>
    <row r="4605" ht="11.25" customHeight="1"/>
    <row r="4606" ht="11.25" customHeight="1"/>
    <row r="4607" ht="11.25" customHeight="1"/>
    <row r="4608" ht="11.25" customHeight="1"/>
    <row r="4609" ht="11.25" customHeight="1"/>
    <row r="4610" ht="11.25" customHeight="1"/>
    <row r="4611" ht="11.25" customHeight="1"/>
    <row r="4612" ht="11.25" customHeight="1"/>
    <row r="4613" ht="11.25" customHeight="1"/>
    <row r="4614" ht="11.25" customHeight="1"/>
    <row r="4615" ht="11.25" customHeight="1"/>
    <row r="4616" ht="11.25" customHeight="1"/>
    <row r="4617" ht="11.25" customHeight="1"/>
    <row r="4618" ht="11.25" customHeight="1"/>
    <row r="4619" ht="11.25" customHeight="1"/>
    <row r="4620" ht="11.25" customHeight="1"/>
    <row r="4621" ht="11.25" customHeight="1"/>
    <row r="4622" ht="11.25" customHeight="1"/>
    <row r="4623" ht="11.25" customHeight="1"/>
    <row r="4624" ht="11.25" customHeight="1"/>
    <row r="4625" ht="11.25" customHeight="1"/>
    <row r="4626" ht="11.25" customHeight="1"/>
    <row r="4627" ht="11.25" customHeight="1"/>
    <row r="4628" ht="11.25" customHeight="1"/>
    <row r="4629" ht="11.25" customHeight="1"/>
    <row r="4630" ht="11.25" customHeight="1"/>
    <row r="4631" ht="11.25" customHeight="1"/>
    <row r="4632" ht="11.25" customHeight="1"/>
    <row r="4633" ht="11.25" customHeight="1"/>
    <row r="4634" ht="11.25" customHeight="1"/>
    <row r="4635" ht="11.25" customHeight="1"/>
    <row r="4636" ht="11.25" customHeight="1"/>
    <row r="4637" ht="11.25" customHeight="1"/>
    <row r="4638" ht="11.25" customHeight="1"/>
    <row r="4639" ht="11.25" customHeight="1"/>
    <row r="4640" ht="11.25" customHeight="1"/>
    <row r="4641" ht="11.25" customHeight="1"/>
    <row r="4642" ht="11.25" customHeight="1"/>
    <row r="4643" ht="11.25" customHeight="1"/>
    <row r="4644" ht="11.25" customHeight="1"/>
    <row r="4645" ht="11.25" customHeight="1"/>
    <row r="4646" ht="11.25" customHeight="1"/>
    <row r="4647" ht="11.25" customHeight="1"/>
    <row r="4648" ht="11.25" customHeight="1"/>
    <row r="4649" ht="11.25" customHeight="1"/>
    <row r="4650" ht="11.25" customHeight="1"/>
    <row r="4651" ht="11.25" customHeight="1"/>
    <row r="4652" ht="11.25" customHeight="1"/>
    <row r="4653" ht="11.25" customHeight="1"/>
    <row r="4654" ht="11.25" customHeight="1"/>
    <row r="4655" ht="11.25" customHeight="1"/>
    <row r="4656" ht="11.25" customHeight="1"/>
    <row r="4657" ht="11.25" customHeight="1"/>
    <row r="4658" ht="11.25" customHeight="1"/>
    <row r="4659" ht="11.25" customHeight="1"/>
    <row r="4660" ht="11.25" customHeight="1"/>
    <row r="4661" ht="11.25" customHeight="1"/>
    <row r="4662" ht="11.25" customHeight="1"/>
    <row r="4663" ht="11.25" customHeight="1"/>
    <row r="4664" ht="11.25" customHeight="1"/>
    <row r="4665" ht="11.25" customHeight="1"/>
    <row r="4666" ht="11.25" customHeight="1"/>
    <row r="4667" ht="11.25" customHeight="1"/>
    <row r="4668" ht="11.25" customHeight="1"/>
    <row r="4669" ht="11.25" customHeight="1"/>
    <row r="4670" ht="11.25" customHeight="1"/>
    <row r="4671" ht="11.25" customHeight="1"/>
    <row r="4672" ht="11.25" customHeight="1"/>
    <row r="4673" ht="11.25" customHeight="1"/>
    <row r="4674" ht="11.25" customHeight="1"/>
    <row r="4675" ht="11.25" customHeight="1"/>
    <row r="4676" ht="11.25" customHeight="1"/>
    <row r="4677" ht="11.25" customHeight="1"/>
    <row r="4678" ht="11.25" customHeight="1"/>
    <row r="4679" ht="11.25" customHeight="1"/>
    <row r="4680" ht="11.25" customHeight="1"/>
    <row r="4681" ht="11.25" customHeight="1"/>
    <row r="4682" ht="11.25" customHeight="1"/>
    <row r="4683" ht="11.25" customHeight="1"/>
    <row r="4684" ht="11.25" customHeight="1"/>
    <row r="4685" ht="11.25" customHeight="1"/>
    <row r="4686" ht="11.25" customHeight="1"/>
    <row r="4687" ht="11.25" customHeight="1"/>
    <row r="4688" ht="11.25" customHeight="1"/>
    <row r="4689" ht="11.25" customHeight="1"/>
    <row r="4690" ht="11.25" customHeight="1"/>
    <row r="4691" ht="11.25" customHeight="1"/>
    <row r="4692" ht="11.25" customHeight="1"/>
    <row r="4693" ht="11.25" customHeight="1"/>
    <row r="4694" ht="11.25" customHeight="1"/>
    <row r="4695" ht="11.25" customHeight="1"/>
    <row r="4696" ht="11.25" customHeight="1"/>
    <row r="4697" ht="11.25" customHeight="1"/>
    <row r="4698" ht="11.25" customHeight="1"/>
    <row r="4699" ht="11.25" customHeight="1"/>
    <row r="4700" ht="11.25" customHeight="1"/>
    <row r="4701" ht="11.25" customHeight="1"/>
    <row r="4702" ht="11.25" customHeight="1"/>
    <row r="4703" ht="11.25" customHeight="1"/>
    <row r="4704" ht="11.25" customHeight="1"/>
    <row r="4705" ht="11.25" customHeight="1"/>
    <row r="4706" ht="11.25" customHeight="1"/>
    <row r="4707" ht="11.25" customHeight="1"/>
    <row r="4708" ht="11.25" customHeight="1"/>
    <row r="4709" ht="11.25" customHeight="1"/>
    <row r="4710" ht="11.25" customHeight="1"/>
    <row r="4711" ht="11.25" customHeight="1"/>
    <row r="4712" ht="11.25" customHeight="1"/>
    <row r="4713" ht="11.25" customHeight="1"/>
    <row r="4714" ht="11.25" customHeight="1"/>
    <row r="4715" ht="11.25" customHeight="1"/>
    <row r="4716" ht="11.25" customHeight="1"/>
    <row r="4717" ht="11.25" customHeight="1"/>
    <row r="4718" ht="11.25" customHeight="1"/>
    <row r="4719" ht="11.25" customHeight="1"/>
    <row r="4720" ht="11.25" customHeight="1"/>
    <row r="4721" ht="11.25" customHeight="1"/>
    <row r="4722" ht="11.25" customHeight="1"/>
    <row r="4723" ht="11.25" customHeight="1"/>
    <row r="4724" ht="11.25" customHeight="1"/>
    <row r="4725" ht="11.25" customHeight="1"/>
    <row r="4726" ht="11.25" customHeight="1"/>
    <row r="4727" ht="11.25" customHeight="1"/>
    <row r="4728" ht="11.25" customHeight="1"/>
    <row r="4729" ht="11.25" customHeight="1"/>
    <row r="4730" ht="11.25" customHeight="1"/>
    <row r="4731" ht="11.25" customHeight="1"/>
    <row r="4732" ht="11.25" customHeight="1"/>
    <row r="4733" ht="11.25" customHeight="1"/>
    <row r="4734" ht="11.25" customHeight="1"/>
    <row r="4735" ht="11.25" customHeight="1"/>
    <row r="4736" ht="11.25" customHeight="1"/>
    <row r="4737" ht="11.25" customHeight="1"/>
    <row r="4738" ht="11.25" customHeight="1"/>
    <row r="4739" ht="11.25" customHeight="1"/>
    <row r="4740" ht="11.25" customHeight="1"/>
    <row r="4741" ht="11.25" customHeight="1"/>
    <row r="4742" ht="11.25" customHeight="1"/>
    <row r="4743" ht="11.25" customHeight="1"/>
    <row r="4744" ht="11.25" customHeight="1"/>
    <row r="4745" ht="11.25" customHeight="1"/>
    <row r="4746" ht="11.25" customHeight="1"/>
    <row r="4747" ht="11.25" customHeight="1"/>
    <row r="4748" ht="11.25" customHeight="1"/>
    <row r="4749" ht="11.25" customHeight="1"/>
    <row r="4750" ht="11.25" customHeight="1"/>
    <row r="4751" ht="11.25" customHeight="1"/>
    <row r="4752" ht="11.25" customHeight="1"/>
    <row r="4753" ht="11.25" customHeight="1"/>
    <row r="4754" ht="11.25" customHeight="1"/>
    <row r="4755" ht="11.25" customHeight="1"/>
    <row r="4756" ht="11.25" customHeight="1"/>
    <row r="4757" ht="11.25" customHeight="1"/>
    <row r="4758" ht="11.25" customHeight="1"/>
    <row r="4759" ht="11.25" customHeight="1"/>
    <row r="4760" ht="11.25" customHeight="1"/>
    <row r="4761" ht="11.25" customHeight="1"/>
    <row r="4762" ht="11.25" customHeight="1"/>
    <row r="4763" ht="11.25" customHeight="1"/>
    <row r="4764" ht="11.25" customHeight="1"/>
    <row r="4765" ht="11.25" customHeight="1"/>
    <row r="4766" ht="11.25" customHeight="1"/>
    <row r="4767" ht="11.25" customHeight="1"/>
    <row r="4768" ht="11.25" customHeight="1"/>
    <row r="4769" ht="11.25" customHeight="1"/>
    <row r="4770" ht="11.25" customHeight="1"/>
    <row r="4771" ht="11.25" customHeight="1"/>
    <row r="4772" ht="11.25" customHeight="1"/>
    <row r="4773" ht="11.25" customHeight="1"/>
    <row r="4774" ht="11.25" customHeight="1"/>
    <row r="4775" ht="11.25" customHeight="1"/>
    <row r="4776" ht="11.25" customHeight="1"/>
    <row r="4777" ht="11.25" customHeight="1"/>
    <row r="4778" ht="11.25" customHeight="1"/>
    <row r="4779" ht="11.25" customHeight="1"/>
    <row r="4780" ht="11.25" customHeight="1"/>
    <row r="4781" ht="11.25" customHeight="1"/>
    <row r="4782" ht="11.25" customHeight="1"/>
    <row r="4783" ht="11.25" customHeight="1"/>
    <row r="4784" ht="11.25" customHeight="1"/>
    <row r="4785" ht="11.25" customHeight="1"/>
    <row r="4786" ht="11.25" customHeight="1"/>
    <row r="4787" ht="11.25" customHeight="1"/>
    <row r="4788" ht="11.25" customHeight="1"/>
    <row r="4789" ht="11.25" customHeight="1"/>
    <row r="4790" ht="11.25" customHeight="1"/>
    <row r="4791" ht="11.25" customHeight="1"/>
    <row r="4792" ht="11.25" customHeight="1"/>
    <row r="4793" ht="11.25" customHeight="1"/>
    <row r="4794" ht="11.25" customHeight="1"/>
    <row r="4795" ht="11.25" customHeight="1"/>
    <row r="4796" ht="11.25" customHeight="1"/>
    <row r="4797" ht="11.25" customHeight="1"/>
    <row r="4798" ht="11.25" customHeight="1"/>
    <row r="4799" ht="11.25" customHeight="1"/>
    <row r="4800" ht="11.25" customHeight="1"/>
    <row r="4801" ht="11.25" customHeight="1"/>
    <row r="4802" ht="11.25" customHeight="1"/>
    <row r="4803" ht="11.25" customHeight="1"/>
    <row r="4804" ht="11.25" customHeight="1"/>
    <row r="4805" ht="11.25" customHeight="1"/>
    <row r="4806" ht="11.25" customHeight="1"/>
    <row r="4807" ht="11.25" customHeight="1"/>
    <row r="4808" ht="11.25" customHeight="1"/>
    <row r="4809" ht="11.25" customHeight="1"/>
    <row r="4810" ht="11.25" customHeight="1"/>
    <row r="4811" ht="11.25" customHeight="1"/>
    <row r="4812" ht="11.25" customHeight="1"/>
    <row r="4813" ht="11.25" customHeight="1"/>
    <row r="4814" ht="11.25" customHeight="1"/>
    <row r="4815" ht="11.25" customHeight="1"/>
    <row r="4816" ht="11.25" customHeight="1"/>
    <row r="4817" ht="11.25" customHeight="1"/>
    <row r="4818" ht="11.25" customHeight="1"/>
    <row r="4819" ht="11.25" customHeight="1"/>
    <row r="4820" ht="11.25" customHeight="1"/>
    <row r="4821" ht="11.25" customHeight="1"/>
    <row r="4822" ht="11.25" customHeight="1"/>
    <row r="4823" ht="11.25" customHeight="1"/>
    <row r="4824" ht="11.25" customHeight="1"/>
    <row r="4825" ht="11.25" customHeight="1"/>
    <row r="4826" ht="11.25" customHeight="1"/>
    <row r="4827" ht="11.25" customHeight="1"/>
    <row r="4828" ht="11.25" customHeight="1"/>
    <row r="4829" ht="11.25" customHeight="1"/>
    <row r="4830" ht="11.25" customHeight="1"/>
    <row r="4831" ht="11.25" customHeight="1"/>
    <row r="4832" ht="11.25" customHeight="1"/>
    <row r="4833" ht="11.25" customHeight="1"/>
    <row r="4834" ht="11.25" customHeight="1"/>
    <row r="4835" ht="11.25" customHeight="1"/>
    <row r="4836" ht="11.25" customHeight="1"/>
    <row r="4837" ht="11.25" customHeight="1"/>
    <row r="4838" ht="11.25" customHeight="1"/>
    <row r="4839" ht="11.25" customHeight="1"/>
    <row r="4840" ht="11.25" customHeight="1"/>
    <row r="4841" ht="11.25" customHeight="1"/>
    <row r="4842" ht="11.25" customHeight="1"/>
    <row r="4843" ht="11.25" customHeight="1"/>
    <row r="4844" ht="11.25" customHeight="1"/>
    <row r="4845" ht="11.25" customHeight="1"/>
    <row r="4846" ht="11.25" customHeight="1"/>
    <row r="4847" ht="11.25" customHeight="1"/>
    <row r="4848" ht="11.25" customHeight="1"/>
    <row r="4849" ht="11.25" customHeight="1"/>
    <row r="4850" ht="11.25" customHeight="1"/>
    <row r="4851" ht="11.25" customHeight="1"/>
    <row r="4852" ht="11.25" customHeight="1"/>
    <row r="4853" ht="11.25" customHeight="1"/>
    <row r="4854" ht="11.25" customHeight="1"/>
    <row r="4855" ht="11.25" customHeight="1"/>
    <row r="4856" ht="11.25" customHeight="1"/>
    <row r="4857" ht="11.25" customHeight="1"/>
    <row r="4858" ht="11.25" customHeight="1"/>
    <row r="4859" ht="11.25" customHeight="1"/>
    <row r="4860" ht="11.25" customHeight="1"/>
    <row r="4861" ht="11.25" customHeight="1"/>
    <row r="4862" ht="11.25" customHeight="1"/>
    <row r="4863" ht="11.25" customHeight="1"/>
    <row r="4864" ht="11.25" customHeight="1"/>
    <row r="4865" ht="11.25" customHeight="1"/>
    <row r="4866" ht="11.25" customHeight="1"/>
    <row r="4867" ht="11.25" customHeight="1"/>
    <row r="4868" ht="11.25" customHeight="1"/>
    <row r="4869" ht="11.25" customHeight="1"/>
    <row r="4870" ht="11.25" customHeight="1"/>
    <row r="4871" ht="11.25" customHeight="1"/>
    <row r="4872" ht="11.25" customHeight="1"/>
    <row r="4873" ht="11.25" customHeight="1"/>
    <row r="4874" ht="11.25" customHeight="1"/>
    <row r="4875" ht="11.25" customHeight="1"/>
    <row r="4876" ht="11.25" customHeight="1"/>
    <row r="4877" ht="11.25" customHeight="1"/>
    <row r="4878" ht="11.25" customHeight="1"/>
    <row r="4879" ht="11.25" customHeight="1"/>
    <row r="4880" ht="11.25" customHeight="1"/>
    <row r="4881" ht="11.25" customHeight="1"/>
    <row r="4882" ht="11.25" customHeight="1"/>
    <row r="4883" ht="11.25" customHeight="1"/>
    <row r="4884" ht="11.25" customHeight="1"/>
    <row r="4885" ht="11.25" customHeight="1"/>
    <row r="4886" ht="11.25" customHeight="1"/>
    <row r="4887" ht="11.25" customHeight="1"/>
    <row r="4888" ht="11.25" customHeight="1"/>
    <row r="4889" ht="11.25" customHeight="1"/>
    <row r="4890" ht="11.25" customHeight="1"/>
    <row r="4891" ht="11.25" customHeight="1"/>
    <row r="4892" ht="11.25" customHeight="1"/>
    <row r="4893" ht="11.25" customHeight="1"/>
    <row r="4894" ht="11.25" customHeight="1"/>
    <row r="4895" ht="11.25" customHeight="1"/>
    <row r="4896" ht="11.25" customHeight="1"/>
    <row r="4897" ht="11.25" customHeight="1"/>
    <row r="4898" ht="11.25" customHeight="1"/>
    <row r="4899" ht="11.25" customHeight="1"/>
    <row r="4900" ht="11.25" customHeight="1"/>
    <row r="4901" ht="11.25" customHeight="1"/>
    <row r="4902" ht="11.25" customHeight="1"/>
    <row r="4903" ht="11.25" customHeight="1"/>
    <row r="4904" ht="11.25" customHeight="1"/>
    <row r="4905" ht="11.25" customHeight="1"/>
    <row r="4906" ht="11.25" customHeight="1"/>
    <row r="4907" ht="11.25" customHeight="1"/>
    <row r="4908" ht="11.25" customHeight="1"/>
    <row r="4909" ht="11.25" customHeight="1"/>
    <row r="4910" ht="11.25" customHeight="1"/>
    <row r="4911" ht="11.25" customHeight="1"/>
    <row r="4912" ht="11.25" customHeight="1"/>
    <row r="4913" ht="11.25" customHeight="1"/>
    <row r="4914" ht="11.25" customHeight="1"/>
    <row r="4915" ht="11.25" customHeight="1"/>
    <row r="4916" ht="11.25" customHeight="1"/>
    <row r="4917" ht="11.25" customHeight="1"/>
    <row r="4918" ht="11.25" customHeight="1"/>
    <row r="4919" ht="11.25" customHeight="1"/>
    <row r="4920" ht="11.25" customHeight="1"/>
    <row r="4921" ht="11.25" customHeight="1"/>
    <row r="4922" ht="11.25" customHeight="1"/>
    <row r="4923" ht="11.25" customHeight="1"/>
    <row r="4924" ht="11.25" customHeight="1"/>
    <row r="4925" ht="11.25" customHeight="1"/>
    <row r="4926" ht="11.25" customHeight="1"/>
    <row r="4927" ht="11.25" customHeight="1"/>
    <row r="4928" ht="11.25" customHeight="1"/>
    <row r="4929" ht="11.25" customHeight="1"/>
    <row r="4930" ht="11.25" customHeight="1"/>
    <row r="4931" ht="11.25" customHeight="1"/>
    <row r="4932" ht="11.25" customHeight="1"/>
    <row r="4933" ht="11.25" customHeight="1"/>
    <row r="4934" ht="11.25" customHeight="1"/>
    <row r="4935" ht="11.25" customHeight="1"/>
    <row r="4936" ht="11.25" customHeight="1"/>
    <row r="4937" ht="11.25" customHeight="1"/>
    <row r="4938" ht="11.25" customHeight="1"/>
    <row r="4939" ht="11.25" customHeight="1"/>
    <row r="4940" ht="11.25" customHeight="1"/>
    <row r="4941" ht="11.25" customHeight="1"/>
    <row r="4942" ht="11.25" customHeight="1"/>
    <row r="4943" ht="11.25" customHeight="1"/>
    <row r="4944" ht="11.25" customHeight="1"/>
    <row r="4945" ht="11.25" customHeight="1"/>
    <row r="4946" ht="11.25" customHeight="1"/>
    <row r="4947" ht="11.25" customHeight="1"/>
    <row r="4948" ht="11.25" customHeight="1"/>
    <row r="4949" ht="11.25" customHeight="1"/>
    <row r="4950" ht="11.25" customHeight="1"/>
    <row r="4951" ht="11.25" customHeight="1"/>
    <row r="4952" ht="11.25" customHeight="1"/>
    <row r="4953" ht="11.25" customHeight="1"/>
    <row r="4954" ht="11.25" customHeight="1"/>
    <row r="4955" ht="11.25" customHeight="1"/>
    <row r="4956" ht="11.25" customHeight="1"/>
    <row r="4957" ht="11.25" customHeight="1"/>
    <row r="4958" ht="11.25" customHeight="1"/>
    <row r="4959" ht="11.25" customHeight="1"/>
    <row r="4960" ht="11.25" customHeight="1"/>
    <row r="4961" ht="11.25" customHeight="1"/>
    <row r="4962" ht="11.25" customHeight="1"/>
    <row r="4963" ht="11.25" customHeight="1"/>
    <row r="4964" ht="11.25" customHeight="1"/>
    <row r="4965" ht="11.25" customHeight="1"/>
    <row r="4966" ht="11.25" customHeight="1"/>
    <row r="4967" ht="11.25" customHeight="1"/>
    <row r="4968" ht="11.25" customHeight="1"/>
    <row r="4969" ht="11.25" customHeight="1"/>
    <row r="4970" ht="11.25" customHeight="1"/>
    <row r="4971" ht="11.25" customHeight="1"/>
    <row r="4972" ht="11.25" customHeight="1"/>
    <row r="4973" ht="11.25" customHeight="1"/>
    <row r="4974" ht="11.25" customHeight="1"/>
    <row r="4975" ht="11.25" customHeight="1"/>
    <row r="4976" ht="11.25" customHeight="1"/>
    <row r="4977" ht="11.25" customHeight="1"/>
    <row r="4978" ht="11.25" customHeight="1"/>
    <row r="4979" ht="11.25" customHeight="1"/>
    <row r="4980" ht="11.25" customHeight="1"/>
    <row r="4981" ht="11.25" customHeight="1"/>
    <row r="4982" ht="11.25" customHeight="1"/>
    <row r="4983" ht="11.25" customHeight="1"/>
    <row r="4984" ht="11.25" customHeight="1"/>
    <row r="4985" ht="11.25" customHeight="1"/>
    <row r="4986" ht="11.25" customHeight="1"/>
    <row r="4987" ht="11.25" customHeight="1"/>
    <row r="4988" ht="11.25" customHeight="1"/>
    <row r="4989" ht="11.25" customHeight="1"/>
    <row r="4990" ht="11.25" customHeight="1"/>
    <row r="4991" ht="11.25" customHeight="1"/>
    <row r="4992" ht="11.25" customHeight="1"/>
    <row r="4993" ht="11.25" customHeight="1"/>
    <row r="4994" ht="11.25" customHeight="1"/>
    <row r="4995" ht="11.25" customHeight="1"/>
    <row r="4996" ht="11.25" customHeight="1"/>
    <row r="4997" ht="11.25" customHeight="1"/>
    <row r="4998" ht="11.25" customHeight="1"/>
    <row r="4999" ht="11.25" customHeight="1"/>
    <row r="5000" ht="11.25" customHeight="1"/>
    <row r="5001" ht="11.25" customHeight="1"/>
    <row r="5002" ht="11.25" customHeight="1"/>
    <row r="5003" ht="11.25" customHeight="1"/>
    <row r="5004" ht="11.25" customHeight="1"/>
    <row r="5005" ht="11.25" customHeight="1"/>
    <row r="5006" ht="11.25" customHeight="1"/>
    <row r="5007" ht="11.25" customHeight="1"/>
    <row r="5008" ht="11.25" customHeight="1"/>
    <row r="5009" ht="11.25" customHeight="1"/>
    <row r="5010" ht="11.25" customHeight="1"/>
    <row r="5011" ht="11.25" customHeight="1"/>
    <row r="5012" ht="11.25" customHeight="1"/>
    <row r="5013" ht="11.25" customHeight="1"/>
    <row r="5014" ht="11.25" customHeight="1"/>
    <row r="5015" ht="11.25" customHeight="1"/>
    <row r="5016" ht="11.25" customHeight="1"/>
    <row r="5017" ht="11.25" customHeight="1"/>
    <row r="5018" ht="11.25" customHeight="1"/>
    <row r="5019" ht="11.25" customHeight="1"/>
    <row r="5020" ht="11.25" customHeight="1"/>
    <row r="5021" ht="11.25" customHeight="1"/>
    <row r="5022" ht="11.25" customHeight="1"/>
    <row r="5023" ht="11.25" customHeight="1"/>
    <row r="5024" ht="11.25" customHeight="1"/>
    <row r="5025" ht="11.25" customHeight="1"/>
    <row r="5026" ht="11.25" customHeight="1"/>
    <row r="5027" ht="11.25" customHeight="1"/>
    <row r="5028" ht="11.25" customHeight="1"/>
    <row r="5029" ht="11.25" customHeight="1"/>
    <row r="5030" ht="11.25" customHeight="1"/>
    <row r="5031" ht="11.25" customHeight="1"/>
    <row r="5032" ht="11.25" customHeight="1"/>
    <row r="5033" ht="11.25" customHeight="1"/>
    <row r="5034" ht="11.25" customHeight="1"/>
    <row r="5035" ht="11.25" customHeight="1"/>
    <row r="5036" ht="11.25" customHeight="1"/>
    <row r="5037" ht="11.25" customHeight="1"/>
    <row r="5038" ht="11.25" customHeight="1"/>
    <row r="5039" ht="11.25" customHeight="1"/>
    <row r="5040" ht="11.25" customHeight="1"/>
    <row r="5041" ht="11.25" customHeight="1"/>
    <row r="5042" ht="11.25" customHeight="1"/>
    <row r="5043" ht="11.25" customHeight="1"/>
    <row r="5044" ht="11.25" customHeight="1"/>
    <row r="5045" ht="11.25" customHeight="1"/>
    <row r="5046" ht="11.25" customHeight="1"/>
    <row r="5047" ht="11.25" customHeight="1"/>
    <row r="5048" ht="11.25" customHeight="1"/>
    <row r="5049" ht="11.25" customHeight="1"/>
    <row r="5050" ht="11.25" customHeight="1"/>
    <row r="5051" ht="11.25" customHeight="1"/>
    <row r="5052" ht="11.25" customHeight="1"/>
    <row r="5053" ht="11.25" customHeight="1"/>
    <row r="5054" ht="11.25" customHeight="1"/>
    <row r="5055" ht="11.25" customHeight="1"/>
    <row r="5056" ht="11.25" customHeight="1"/>
    <row r="5057" ht="11.25" customHeight="1"/>
    <row r="5058" ht="11.25" customHeight="1"/>
    <row r="5059" ht="11.25" customHeight="1"/>
    <row r="5060" ht="11.25" customHeight="1"/>
    <row r="5061" ht="11.25" customHeight="1"/>
    <row r="5062" ht="11.25" customHeight="1"/>
    <row r="5063" ht="11.25" customHeight="1"/>
    <row r="5064" ht="11.25" customHeight="1"/>
    <row r="5065" ht="11.25" customHeight="1"/>
    <row r="5066" ht="11.25" customHeight="1"/>
    <row r="5067" ht="11.25" customHeight="1"/>
    <row r="5068" ht="11.25" customHeight="1"/>
    <row r="5069" ht="11.25" customHeight="1"/>
    <row r="5070" ht="11.25" customHeight="1"/>
    <row r="5071" ht="11.25" customHeight="1"/>
    <row r="5072" ht="11.25" customHeight="1"/>
    <row r="5073" ht="11.25" customHeight="1"/>
    <row r="5074" ht="11.25" customHeight="1"/>
    <row r="5075" ht="11.25" customHeight="1"/>
    <row r="5076" ht="11.25" customHeight="1"/>
    <row r="5077" ht="11.25" customHeight="1"/>
    <row r="5078" ht="11.25" customHeight="1"/>
    <row r="5079" ht="11.25" customHeight="1"/>
    <row r="5080" ht="11.25" customHeight="1"/>
    <row r="5081" ht="11.25" customHeight="1"/>
    <row r="5082" ht="11.25" customHeight="1"/>
    <row r="5083" ht="11.25" customHeight="1"/>
    <row r="5084" ht="11.25" customHeight="1"/>
    <row r="5085" ht="11.25" customHeight="1"/>
    <row r="5086" ht="11.25" customHeight="1"/>
    <row r="5087" ht="11.25" customHeight="1"/>
    <row r="5088" ht="11.25" customHeight="1"/>
    <row r="5089" ht="11.25" customHeight="1"/>
    <row r="5090" ht="11.25" customHeight="1"/>
    <row r="5091" ht="11.25" customHeight="1"/>
    <row r="5092" ht="11.25" customHeight="1"/>
    <row r="5093" ht="11.25" customHeight="1"/>
    <row r="5094" ht="11.25" customHeight="1"/>
    <row r="5095" ht="11.25" customHeight="1"/>
    <row r="5096" ht="11.25" customHeight="1"/>
    <row r="5097" ht="11.25" customHeight="1"/>
    <row r="5098" ht="11.25" customHeight="1"/>
    <row r="5099" ht="11.25" customHeight="1"/>
    <row r="5100" ht="11.25" customHeight="1"/>
    <row r="5101" ht="11.25" customHeight="1"/>
    <row r="5102" ht="11.25" customHeight="1"/>
    <row r="5103" ht="11.25" customHeight="1"/>
    <row r="5104" ht="11.25" customHeight="1"/>
    <row r="5105" ht="11.25" customHeight="1"/>
    <row r="5106" ht="11.25" customHeight="1"/>
    <row r="5107" ht="11.25" customHeight="1"/>
    <row r="5108" ht="11.25" customHeight="1"/>
    <row r="5109" ht="11.25" customHeight="1"/>
    <row r="5110" ht="11.25" customHeight="1"/>
    <row r="5111" ht="11.25" customHeight="1"/>
    <row r="5112" ht="11.25" customHeight="1"/>
    <row r="5113" ht="11.25" customHeight="1"/>
    <row r="5114" ht="11.25" customHeight="1"/>
    <row r="5115" ht="11.25" customHeight="1"/>
    <row r="5116" ht="11.25" customHeight="1"/>
    <row r="5117" ht="11.25" customHeight="1"/>
    <row r="5118" ht="11.25" customHeight="1"/>
    <row r="5119" ht="11.25" customHeight="1"/>
    <row r="5120" ht="11.25" customHeight="1"/>
    <row r="5121" ht="11.25" customHeight="1"/>
    <row r="5122" ht="11.25" customHeight="1"/>
    <row r="5123" ht="11.25" customHeight="1"/>
    <row r="5124" ht="11.25" customHeight="1"/>
    <row r="5125" ht="11.25" customHeight="1"/>
    <row r="5126" ht="11.25" customHeight="1"/>
    <row r="5127" ht="11.25" customHeight="1"/>
    <row r="5128" ht="11.25" customHeight="1"/>
    <row r="5129" ht="11.25" customHeight="1"/>
    <row r="5130" ht="11.25" customHeight="1"/>
    <row r="5131" ht="11.25" customHeight="1"/>
    <row r="5132" ht="11.25" customHeight="1"/>
    <row r="5133" ht="11.25" customHeight="1"/>
    <row r="5134" ht="11.25" customHeight="1"/>
    <row r="5135" ht="11.25" customHeight="1"/>
    <row r="5136" ht="11.25" customHeight="1"/>
    <row r="5137" ht="11.25" customHeight="1"/>
    <row r="5138" ht="11.25" customHeight="1"/>
    <row r="5139" ht="11.25" customHeight="1"/>
    <row r="5140" ht="11.25" customHeight="1"/>
    <row r="5141" ht="11.25" customHeight="1"/>
    <row r="5142" ht="11.25" customHeight="1"/>
    <row r="5143" ht="11.25" customHeight="1"/>
    <row r="5144" ht="11.25" customHeight="1"/>
    <row r="5145" ht="11.25" customHeight="1"/>
    <row r="5146" ht="11.25" customHeight="1"/>
    <row r="5147" ht="11.25" customHeight="1"/>
    <row r="5148" ht="11.25" customHeight="1"/>
    <row r="5149" ht="11.25" customHeight="1"/>
    <row r="5150" ht="11.25" customHeight="1"/>
    <row r="5151" ht="11.25" customHeight="1"/>
    <row r="5152" ht="11.25" customHeight="1"/>
    <row r="5153" ht="11.25" customHeight="1"/>
    <row r="5154" ht="11.25" customHeight="1"/>
    <row r="5155" ht="11.25" customHeight="1"/>
    <row r="5156" ht="11.25" customHeight="1"/>
    <row r="5157" ht="11.25" customHeight="1"/>
    <row r="5158" ht="11.25" customHeight="1"/>
    <row r="5159" ht="11.25" customHeight="1"/>
    <row r="5160" ht="11.25" customHeight="1"/>
    <row r="5161" ht="11.25" customHeight="1"/>
    <row r="5162" ht="11.25" customHeight="1"/>
    <row r="5163" ht="11.25" customHeight="1"/>
    <row r="5164" ht="11.25" customHeight="1"/>
    <row r="5165" ht="11.25" customHeight="1"/>
    <row r="5166" ht="11.25" customHeight="1"/>
    <row r="5167" ht="11.25" customHeight="1"/>
    <row r="5168" ht="11.25" customHeight="1"/>
    <row r="5169" ht="11.25" customHeight="1"/>
    <row r="5170" ht="11.25" customHeight="1"/>
    <row r="5171" ht="11.25" customHeight="1"/>
    <row r="5172" ht="11.25" customHeight="1"/>
    <row r="5173" ht="11.25" customHeight="1"/>
    <row r="5174" ht="11.25" customHeight="1"/>
    <row r="5175" ht="11.25" customHeight="1"/>
    <row r="5176" ht="11.25" customHeight="1"/>
    <row r="5177" ht="11.25" customHeight="1"/>
    <row r="5178" ht="11.25" customHeight="1"/>
    <row r="5179" ht="11.25" customHeight="1"/>
    <row r="5180" ht="11.25" customHeight="1"/>
    <row r="5181" ht="11.25" customHeight="1"/>
    <row r="5182" ht="11.25" customHeight="1"/>
    <row r="5183" ht="11.25" customHeight="1"/>
    <row r="5184" ht="11.25" customHeight="1"/>
    <row r="5185" ht="11.25" customHeight="1"/>
    <row r="5186" ht="11.25" customHeight="1"/>
    <row r="5187" ht="11.25" customHeight="1"/>
    <row r="5188" ht="11.25" customHeight="1"/>
    <row r="5189" ht="11.25" customHeight="1"/>
    <row r="5190" ht="11.25" customHeight="1"/>
    <row r="5191" ht="11.25" customHeight="1"/>
    <row r="5192" ht="11.25" customHeight="1"/>
    <row r="5193" ht="11.25" customHeight="1"/>
    <row r="5194" ht="11.25" customHeight="1"/>
    <row r="5195" ht="11.25" customHeight="1"/>
    <row r="5196" ht="11.25" customHeight="1"/>
    <row r="5197" ht="11.25" customHeight="1"/>
    <row r="5198" ht="11.25" customHeight="1"/>
    <row r="5199" ht="11.25" customHeight="1"/>
    <row r="5200" ht="11.25" customHeight="1"/>
    <row r="5201" ht="11.25" customHeight="1"/>
    <row r="5202" ht="11.25" customHeight="1"/>
    <row r="5203" ht="11.25" customHeight="1"/>
    <row r="5204" ht="11.25" customHeight="1"/>
    <row r="5205" ht="11.25" customHeight="1"/>
    <row r="5206" ht="11.25" customHeight="1"/>
    <row r="5207" ht="11.25" customHeight="1"/>
    <row r="5208" ht="11.25" customHeight="1"/>
    <row r="5209" ht="11.25" customHeight="1"/>
    <row r="5210" ht="11.25" customHeight="1"/>
    <row r="5211" ht="11.25" customHeight="1"/>
    <row r="5212" ht="11.25" customHeight="1"/>
    <row r="5213" ht="11.25" customHeight="1"/>
    <row r="5214" ht="11.25" customHeight="1"/>
    <row r="5215" ht="11.25" customHeight="1"/>
    <row r="5216" ht="11.25" customHeight="1"/>
    <row r="5217" ht="11.25" customHeight="1"/>
    <row r="5218" ht="11.25" customHeight="1"/>
    <row r="5219" ht="11.25" customHeight="1"/>
    <row r="5220" ht="11.25" customHeight="1"/>
    <row r="5221" ht="11.25" customHeight="1"/>
    <row r="5222" ht="11.25" customHeight="1"/>
    <row r="5223" ht="11.25" customHeight="1"/>
    <row r="5224" ht="11.25" customHeight="1"/>
    <row r="5225" ht="11.25" customHeight="1"/>
    <row r="5226" ht="11.25" customHeight="1"/>
    <row r="5227" ht="11.25" customHeight="1"/>
    <row r="5228" ht="11.25" customHeight="1"/>
    <row r="5229" ht="11.25" customHeight="1"/>
    <row r="5230" ht="11.25" customHeight="1"/>
    <row r="5231" ht="11.25" customHeight="1"/>
    <row r="5232" ht="11.25" customHeight="1"/>
    <row r="5233" ht="11.25" customHeight="1"/>
    <row r="5234" ht="11.25" customHeight="1"/>
    <row r="5235" ht="11.25" customHeight="1"/>
    <row r="5236" ht="11.25" customHeight="1"/>
    <row r="5237" ht="11.25" customHeight="1"/>
    <row r="5238" ht="11.25" customHeight="1"/>
    <row r="5239" ht="11.25" customHeight="1"/>
    <row r="5240" ht="11.25" customHeight="1"/>
    <row r="5241" ht="11.25" customHeight="1"/>
    <row r="5242" ht="11.25" customHeight="1"/>
    <row r="5243" ht="11.25" customHeight="1"/>
    <row r="5244" ht="11.25" customHeight="1"/>
    <row r="5245" ht="11.25" customHeight="1"/>
    <row r="5246" ht="11.25" customHeight="1"/>
    <row r="5247" ht="11.25" customHeight="1"/>
    <row r="5248" ht="11.25" customHeight="1"/>
    <row r="5249" ht="11.25" customHeight="1"/>
    <row r="5250" ht="11.25" customHeight="1"/>
    <row r="5251" ht="11.25" customHeight="1"/>
    <row r="5252" ht="11.25" customHeight="1"/>
    <row r="5253" ht="11.25" customHeight="1"/>
    <row r="5254" ht="11.25" customHeight="1"/>
    <row r="5255" ht="11.25" customHeight="1"/>
    <row r="5256" ht="11.25" customHeight="1"/>
    <row r="5257" ht="11.25" customHeight="1"/>
    <row r="5258" ht="11.25" customHeight="1"/>
    <row r="5259" ht="11.25" customHeight="1"/>
    <row r="5260" ht="11.25" customHeight="1"/>
    <row r="5261" ht="11.25" customHeight="1"/>
    <row r="5262" ht="11.25" customHeight="1"/>
    <row r="5263" ht="11.25" customHeight="1"/>
    <row r="5264" ht="11.25" customHeight="1"/>
    <row r="5265" ht="11.25" customHeight="1"/>
    <row r="5266" ht="11.25" customHeight="1"/>
    <row r="5267" ht="11.25" customHeight="1"/>
    <row r="5268" ht="11.25" customHeight="1"/>
    <row r="5269" ht="11.25" customHeight="1"/>
    <row r="5270" ht="11.25" customHeight="1"/>
    <row r="5271" ht="11.25" customHeight="1"/>
    <row r="5272" ht="11.25" customHeight="1"/>
    <row r="5273" ht="11.25" customHeight="1"/>
    <row r="5274" ht="11.25" customHeight="1"/>
    <row r="5275" ht="11.25" customHeight="1"/>
    <row r="5276" ht="11.25" customHeight="1"/>
    <row r="5277" ht="11.25" customHeight="1"/>
    <row r="5278" ht="11.25" customHeight="1"/>
    <row r="5279" ht="11.25" customHeight="1"/>
    <row r="5280" ht="11.25" customHeight="1"/>
    <row r="5281" ht="11.25" customHeight="1"/>
    <row r="5282" ht="11.25" customHeight="1"/>
    <row r="5283" ht="11.25" customHeight="1"/>
    <row r="5284" ht="11.25" customHeight="1"/>
    <row r="5285" ht="11.25" customHeight="1"/>
    <row r="5286" ht="11.25" customHeight="1"/>
    <row r="5287" ht="11.25" customHeight="1"/>
    <row r="5288" ht="11.25" customHeight="1"/>
    <row r="5289" ht="11.25" customHeight="1"/>
    <row r="5290" ht="11.25" customHeight="1"/>
    <row r="5291" ht="11.25" customHeight="1"/>
    <row r="5292" ht="11.25" customHeight="1"/>
    <row r="5293" ht="11.25" customHeight="1"/>
    <row r="5294" ht="11.25" customHeight="1"/>
    <row r="5295" ht="11.25" customHeight="1"/>
    <row r="5296" ht="11.25" customHeight="1"/>
    <row r="5297" ht="11.25" customHeight="1"/>
    <row r="5298" ht="11.25" customHeight="1"/>
    <row r="5299" ht="11.25" customHeight="1"/>
    <row r="5300" ht="11.25" customHeight="1"/>
    <row r="5301" ht="11.25" customHeight="1"/>
    <row r="5302" ht="11.25" customHeight="1"/>
    <row r="5303" ht="11.25" customHeight="1"/>
    <row r="5304" ht="11.25" customHeight="1"/>
    <row r="5305" ht="11.25" customHeight="1"/>
    <row r="5306" ht="11.25" customHeight="1"/>
    <row r="5307" ht="11.25" customHeight="1"/>
    <row r="5308" ht="11.25" customHeight="1"/>
    <row r="5309" ht="11.25" customHeight="1"/>
    <row r="5310" ht="11.25" customHeight="1"/>
    <row r="5311" ht="11.25" customHeight="1"/>
    <row r="5312" ht="11.25" customHeight="1"/>
    <row r="5313" ht="11.25" customHeight="1"/>
    <row r="5314" ht="11.25" customHeight="1"/>
    <row r="5315" ht="11.25" customHeight="1"/>
    <row r="5316" ht="11.25" customHeight="1"/>
    <row r="5317" ht="11.25" customHeight="1"/>
    <row r="5318" ht="11.25" customHeight="1"/>
    <row r="5319" ht="11.25" customHeight="1"/>
    <row r="5320" ht="11.25" customHeight="1"/>
    <row r="5321" ht="11.25" customHeight="1"/>
    <row r="5322" ht="11.25" customHeight="1"/>
    <row r="5323" ht="11.25" customHeight="1"/>
    <row r="5324" ht="11.25" customHeight="1"/>
    <row r="5325" ht="11.25" customHeight="1"/>
    <row r="5326" ht="11.25" customHeight="1"/>
    <row r="5327" ht="11.25" customHeight="1"/>
    <row r="5328" ht="11.25" customHeight="1"/>
    <row r="5329" ht="11.25" customHeight="1"/>
    <row r="5330" ht="11.25" customHeight="1"/>
    <row r="5331" ht="11.25" customHeight="1"/>
    <row r="5332" ht="11.25" customHeight="1"/>
    <row r="5333" ht="11.25" customHeight="1"/>
    <row r="5334" ht="11.25" customHeight="1"/>
    <row r="5335" ht="11.25" customHeight="1"/>
    <row r="5336" ht="11.25" customHeight="1"/>
    <row r="5337" ht="11.25" customHeight="1"/>
    <row r="5338" ht="11.25" customHeight="1"/>
    <row r="5339" ht="11.25" customHeight="1"/>
    <row r="5340" ht="11.25" customHeight="1"/>
    <row r="5341" ht="11.25" customHeight="1"/>
    <row r="5342" ht="11.25" customHeight="1"/>
    <row r="5343" ht="11.25" customHeight="1"/>
    <row r="5344" ht="11.25" customHeight="1"/>
    <row r="5345" ht="11.25" customHeight="1"/>
    <row r="5346" ht="11.25" customHeight="1"/>
    <row r="5347" ht="11.25" customHeight="1"/>
    <row r="5348" ht="11.25" customHeight="1"/>
    <row r="5349" ht="11.25" customHeight="1"/>
    <row r="5350" ht="11.25" customHeight="1"/>
    <row r="5351" ht="11.25" customHeight="1"/>
    <row r="5352" ht="11.25" customHeight="1"/>
    <row r="5353" ht="11.25" customHeight="1"/>
    <row r="5354" ht="11.25" customHeight="1"/>
    <row r="5355" ht="11.25" customHeight="1"/>
    <row r="5356" ht="11.25" customHeight="1"/>
    <row r="5357" ht="11.25" customHeight="1"/>
    <row r="5358" ht="11.25" customHeight="1"/>
    <row r="5359" ht="11.25" customHeight="1"/>
    <row r="5360" ht="11.25" customHeight="1"/>
    <row r="5361" ht="11.25" customHeight="1"/>
    <row r="5362" ht="11.25" customHeight="1"/>
    <row r="5363" ht="11.25" customHeight="1"/>
    <row r="5364" ht="11.25" customHeight="1"/>
    <row r="5365" ht="11.25" customHeight="1"/>
    <row r="5366" ht="11.25" customHeight="1"/>
    <row r="5367" ht="11.25" customHeight="1"/>
    <row r="5368" ht="11.25" customHeight="1"/>
    <row r="5369" ht="11.25" customHeight="1"/>
    <row r="5370" ht="11.25" customHeight="1"/>
    <row r="5371" ht="11.25" customHeight="1"/>
    <row r="5372" ht="11.25" customHeight="1"/>
    <row r="5373" ht="11.25" customHeight="1"/>
    <row r="5374" ht="11.25" customHeight="1"/>
    <row r="5375" ht="11.25" customHeight="1"/>
    <row r="5376" ht="11.25" customHeight="1"/>
    <row r="5377" ht="11.25" customHeight="1"/>
    <row r="5378" ht="11.25" customHeight="1"/>
    <row r="5379" ht="11.25" customHeight="1"/>
    <row r="5380" ht="11.25" customHeight="1"/>
    <row r="5381" ht="11.25" customHeight="1"/>
    <row r="5382" ht="11.25" customHeight="1"/>
    <row r="5383" ht="11.25" customHeight="1"/>
    <row r="5384" ht="11.25" customHeight="1"/>
    <row r="5385" ht="11.25" customHeight="1"/>
    <row r="5386" ht="11.25" customHeight="1"/>
    <row r="5387" ht="11.25" customHeight="1"/>
    <row r="5388" ht="11.25" customHeight="1"/>
    <row r="5389" ht="11.25" customHeight="1"/>
    <row r="5390" ht="11.25" customHeight="1"/>
    <row r="5391" ht="11.25" customHeight="1"/>
    <row r="5392" ht="11.25" customHeight="1"/>
    <row r="5393" ht="11.25" customHeight="1"/>
    <row r="5394" ht="11.25" customHeight="1"/>
    <row r="5395" ht="11.25" customHeight="1"/>
    <row r="5396" ht="11.25" customHeight="1"/>
    <row r="5397" ht="11.25" customHeight="1"/>
    <row r="5398" ht="11.25" customHeight="1"/>
    <row r="5399" ht="11.25" customHeight="1"/>
    <row r="5400" ht="11.25" customHeight="1"/>
    <row r="5401" ht="11.25" customHeight="1"/>
    <row r="5402" ht="11.25" customHeight="1"/>
    <row r="5403" ht="11.25" customHeight="1"/>
    <row r="5404" ht="11.25" customHeight="1"/>
    <row r="5405" ht="11.25" customHeight="1"/>
    <row r="5406" ht="11.25" customHeight="1"/>
    <row r="5407" ht="11.25" customHeight="1"/>
    <row r="5408" ht="11.25" customHeight="1"/>
    <row r="5409" ht="11.25" customHeight="1"/>
    <row r="5410" ht="11.25" customHeight="1"/>
    <row r="5411" ht="11.25" customHeight="1"/>
    <row r="5412" ht="11.25" customHeight="1"/>
    <row r="5413" ht="11.25" customHeight="1"/>
    <row r="5414" ht="11.25" customHeight="1"/>
    <row r="5415" ht="11.25" customHeight="1"/>
    <row r="5416" ht="11.25" customHeight="1"/>
    <row r="5417" ht="11.25" customHeight="1"/>
    <row r="5418" ht="11.25" customHeight="1"/>
    <row r="5419" ht="11.25" customHeight="1"/>
    <row r="5420" ht="11.25" customHeight="1"/>
    <row r="5421" ht="11.25" customHeight="1"/>
    <row r="5422" ht="11.25" customHeight="1"/>
    <row r="5423" ht="11.25" customHeight="1"/>
    <row r="5424" ht="11.25" customHeight="1"/>
    <row r="5425" ht="11.25" customHeight="1"/>
    <row r="5426" ht="11.25" customHeight="1"/>
    <row r="5427" ht="11.25" customHeight="1"/>
    <row r="5428" ht="11.25" customHeight="1"/>
    <row r="5429" ht="11.25" customHeight="1"/>
    <row r="5430" ht="11.25" customHeight="1"/>
    <row r="5431" ht="11.25" customHeight="1"/>
    <row r="5432" ht="11.25" customHeight="1"/>
    <row r="5433" ht="11.25" customHeight="1"/>
    <row r="5434" ht="11.25" customHeight="1"/>
    <row r="5435" ht="11.25" customHeight="1"/>
    <row r="5436" ht="11.25" customHeight="1"/>
    <row r="5437" ht="11.25" customHeight="1"/>
    <row r="5438" ht="11.25" customHeight="1"/>
    <row r="5439" ht="11.25" customHeight="1"/>
    <row r="5440" ht="11.25" customHeight="1"/>
    <row r="5441" ht="11.25" customHeight="1"/>
    <row r="5442" ht="11.25" customHeight="1"/>
    <row r="5443" ht="11.25" customHeight="1"/>
    <row r="5444" ht="11.25" customHeight="1"/>
    <row r="5445" ht="11.25" customHeight="1"/>
    <row r="5446" ht="11.25" customHeight="1"/>
    <row r="5447" ht="11.25" customHeight="1"/>
    <row r="5448" ht="11.25" customHeight="1"/>
    <row r="5449" ht="11.25" customHeight="1"/>
    <row r="5450" ht="11.25" customHeight="1"/>
    <row r="5451" ht="11.25" customHeight="1"/>
    <row r="5452" ht="11.25" customHeight="1"/>
    <row r="5453" ht="11.25" customHeight="1"/>
    <row r="5454" ht="11.25" customHeight="1"/>
    <row r="5455" ht="11.25" customHeight="1"/>
    <row r="5456" ht="11.25" customHeight="1"/>
    <row r="5457" ht="11.25" customHeight="1"/>
    <row r="5458" ht="11.25" customHeight="1"/>
    <row r="5459" ht="11.25" customHeight="1"/>
    <row r="5460" ht="11.25" customHeight="1"/>
    <row r="5461" ht="11.25" customHeight="1"/>
    <row r="5462" ht="11.25" customHeight="1"/>
    <row r="5463" ht="11.25" customHeight="1"/>
    <row r="5464" ht="11.25" customHeight="1"/>
    <row r="5465" ht="11.25" customHeight="1"/>
    <row r="5466" ht="11.25" customHeight="1"/>
    <row r="5467" ht="11.25" customHeight="1"/>
    <row r="5468" ht="11.25" customHeight="1"/>
    <row r="5469" ht="11.25" customHeight="1"/>
    <row r="5470" ht="11.25" customHeight="1"/>
    <row r="5471" ht="11.25" customHeight="1"/>
    <row r="5472" ht="11.25" customHeight="1"/>
    <row r="5473" ht="11.25" customHeight="1"/>
    <row r="5474" ht="11.25" customHeight="1"/>
    <row r="5475" ht="11.25" customHeight="1"/>
    <row r="5476" ht="11.25" customHeight="1"/>
    <row r="5477" ht="11.25" customHeight="1"/>
    <row r="5478" ht="11.25" customHeight="1"/>
    <row r="5479" ht="11.25" customHeight="1"/>
    <row r="5480" ht="11.25" customHeight="1"/>
    <row r="5481" ht="11.25" customHeight="1"/>
    <row r="5482" ht="11.25" customHeight="1"/>
    <row r="5483" ht="11.25" customHeight="1"/>
    <row r="5484" ht="11.25" customHeight="1"/>
    <row r="5485" ht="11.25" customHeight="1"/>
    <row r="5486" ht="11.25" customHeight="1"/>
    <row r="5487" ht="11.25" customHeight="1"/>
    <row r="5488" ht="11.25" customHeight="1"/>
    <row r="5489" ht="11.25" customHeight="1"/>
    <row r="5490" ht="11.25" customHeight="1"/>
    <row r="5491" ht="11.25" customHeight="1"/>
    <row r="5492" ht="11.25" customHeight="1"/>
    <row r="5493" ht="11.25" customHeight="1"/>
    <row r="5494" ht="11.25" customHeight="1"/>
    <row r="5495" ht="11.25" customHeight="1"/>
    <row r="5496" ht="11.25" customHeight="1"/>
    <row r="5497" ht="11.25" customHeight="1"/>
    <row r="5498" ht="11.25" customHeight="1"/>
    <row r="5499" ht="11.25" customHeight="1"/>
    <row r="5500" ht="11.25" customHeight="1"/>
    <row r="5501" ht="11.25" customHeight="1"/>
    <row r="5502" ht="11.25" customHeight="1"/>
    <row r="5503" ht="11.25" customHeight="1"/>
    <row r="5504" ht="11.25" customHeight="1"/>
    <row r="5505" ht="11.25" customHeight="1"/>
    <row r="5506" ht="11.25" customHeight="1"/>
    <row r="5507" ht="11.25" customHeight="1"/>
    <row r="5508" ht="11.25" customHeight="1"/>
    <row r="5509" ht="11.25" customHeight="1"/>
    <row r="5510" ht="11.25" customHeight="1"/>
    <row r="5511" ht="11.25" customHeight="1"/>
    <row r="5512" ht="11.25" customHeight="1"/>
    <row r="5513" ht="11.25" customHeight="1"/>
    <row r="5514" ht="11.25" customHeight="1"/>
    <row r="5515" ht="11.25" customHeight="1"/>
    <row r="5516" ht="11.25" customHeight="1"/>
    <row r="5517" ht="11.25" customHeight="1"/>
    <row r="5518" ht="11.25" customHeight="1"/>
    <row r="5519" ht="11.25" customHeight="1"/>
    <row r="5520" ht="11.25" customHeight="1"/>
    <row r="5521" ht="11.25" customHeight="1"/>
    <row r="5522" ht="11.25" customHeight="1"/>
    <row r="5523" ht="11.25" customHeight="1"/>
    <row r="5524" ht="11.25" customHeight="1"/>
    <row r="5525" ht="11.25" customHeight="1"/>
    <row r="5526" ht="11.25" customHeight="1"/>
    <row r="5527" ht="11.25" customHeight="1"/>
    <row r="5528" ht="11.25" customHeight="1"/>
    <row r="5529" ht="11.25" customHeight="1"/>
    <row r="5530" ht="11.25" customHeight="1"/>
    <row r="5531" ht="11.25" customHeight="1"/>
    <row r="5532" ht="11.25" customHeight="1"/>
    <row r="5533" ht="11.25" customHeight="1"/>
    <row r="5534" ht="11.25" customHeight="1"/>
    <row r="5535" ht="11.25" customHeight="1"/>
    <row r="5536" ht="11.25" customHeight="1"/>
    <row r="5537" ht="11.25" customHeight="1"/>
    <row r="5538" ht="11.25" customHeight="1"/>
    <row r="5539" ht="11.25" customHeight="1"/>
    <row r="5540" ht="11.25" customHeight="1"/>
    <row r="5541" ht="11.25" customHeight="1"/>
    <row r="5542" ht="11.25" customHeight="1"/>
    <row r="5543" ht="11.25" customHeight="1"/>
    <row r="5544" ht="11.25" customHeight="1"/>
    <row r="5545" ht="11.25" customHeight="1"/>
    <row r="5546" ht="11.25" customHeight="1"/>
    <row r="5547" ht="11.25" customHeight="1"/>
    <row r="5548" ht="11.25" customHeight="1"/>
    <row r="5549" ht="11.25" customHeight="1"/>
    <row r="5550" ht="11.25" customHeight="1"/>
    <row r="5551" ht="11.25" customHeight="1"/>
    <row r="5552" ht="11.25" customHeight="1"/>
    <row r="5553" ht="11.25" customHeight="1"/>
    <row r="5554" ht="11.25" customHeight="1"/>
    <row r="5555" ht="11.25" customHeight="1"/>
    <row r="5556" ht="11.25" customHeight="1"/>
    <row r="5557" ht="11.25" customHeight="1"/>
    <row r="5558" ht="11.25" customHeight="1"/>
    <row r="5559" ht="11.25" customHeight="1"/>
    <row r="5560" ht="11.25" customHeight="1"/>
    <row r="5561" ht="11.25" customHeight="1"/>
    <row r="5562" ht="11.25" customHeight="1"/>
    <row r="5563" ht="11.25" customHeight="1"/>
    <row r="5564" ht="11.25" customHeight="1"/>
    <row r="5565" ht="11.25" customHeight="1"/>
    <row r="5566" ht="11.25" customHeight="1"/>
    <row r="5567" ht="11.25" customHeight="1"/>
    <row r="5568" ht="11.25" customHeight="1"/>
    <row r="5569" ht="11.25" customHeight="1"/>
    <row r="5570" ht="11.25" customHeight="1"/>
    <row r="5571" ht="11.25" customHeight="1"/>
    <row r="5572" ht="11.25" customHeight="1"/>
    <row r="5573" ht="11.25" customHeight="1"/>
    <row r="5574" ht="11.25" customHeight="1"/>
    <row r="5575" ht="11.25" customHeight="1"/>
    <row r="5576" ht="11.25" customHeight="1"/>
    <row r="5577" ht="11.25" customHeight="1"/>
    <row r="5578" ht="11.25" customHeight="1"/>
    <row r="5579" ht="11.25" customHeight="1"/>
    <row r="5580" ht="11.25" customHeight="1"/>
    <row r="5581" ht="11.25" customHeight="1"/>
    <row r="5582" ht="11.25" customHeight="1"/>
    <row r="5583" ht="11.25" customHeight="1"/>
    <row r="5584" ht="11.25" customHeight="1"/>
    <row r="5585" ht="11.25" customHeight="1"/>
    <row r="5586" ht="11.25" customHeight="1"/>
    <row r="5587" ht="11.25" customHeight="1"/>
    <row r="5588" ht="11.25" customHeight="1"/>
    <row r="5589" ht="11.25" customHeight="1"/>
    <row r="5590" ht="11.25" customHeight="1"/>
    <row r="5591" ht="11.25" customHeight="1"/>
    <row r="5592" ht="11.25" customHeight="1"/>
    <row r="5593" ht="11.25" customHeight="1"/>
    <row r="5594" ht="11.25" customHeight="1"/>
    <row r="5595" ht="11.25" customHeight="1"/>
    <row r="5596" ht="11.25" customHeight="1"/>
    <row r="5597" ht="11.25" customHeight="1"/>
    <row r="5598" ht="11.25" customHeight="1"/>
    <row r="5599" ht="11.25" customHeight="1"/>
    <row r="5600" ht="11.25" customHeight="1"/>
    <row r="5601" ht="11.25" customHeight="1"/>
    <row r="5602" ht="11.25" customHeight="1"/>
    <row r="5603" ht="11.25" customHeight="1"/>
    <row r="5604" ht="11.25" customHeight="1"/>
    <row r="5605" ht="11.25" customHeight="1"/>
    <row r="5606" ht="11.25" customHeight="1"/>
    <row r="5607" ht="11.25" customHeight="1"/>
    <row r="5608" ht="11.25" customHeight="1"/>
    <row r="5609" ht="11.25" customHeight="1"/>
    <row r="5610" ht="11.25" customHeight="1"/>
    <row r="5611" ht="11.25" customHeight="1"/>
    <row r="5612" ht="11.25" customHeight="1"/>
    <row r="5613" ht="11.25" customHeight="1"/>
    <row r="5614" ht="11.25" customHeight="1"/>
    <row r="5615" ht="11.25" customHeight="1"/>
    <row r="5616" ht="11.25" customHeight="1"/>
    <row r="5617" ht="11.25" customHeight="1"/>
    <row r="5618" ht="11.25" customHeight="1"/>
    <row r="5619" ht="11.25" customHeight="1"/>
    <row r="5620" ht="11.25" customHeight="1"/>
    <row r="5621" ht="11.25" customHeight="1"/>
    <row r="5622" ht="11.25" customHeight="1"/>
    <row r="5623" ht="11.25" customHeight="1"/>
    <row r="5624" ht="11.25" customHeight="1"/>
    <row r="5625" ht="11.25" customHeight="1"/>
    <row r="5626" ht="11.25" customHeight="1"/>
    <row r="5627" ht="11.25" customHeight="1"/>
    <row r="5628" ht="11.25" customHeight="1"/>
    <row r="5629" ht="11.25" customHeight="1"/>
    <row r="5630" ht="11.25" customHeight="1"/>
    <row r="5631" ht="11.25" customHeight="1"/>
    <row r="5632" ht="11.25" customHeight="1"/>
    <row r="5633" ht="11.25" customHeight="1"/>
    <row r="5634" ht="11.25" customHeight="1"/>
    <row r="5635" ht="11.25" customHeight="1"/>
    <row r="5636" ht="11.25" customHeight="1"/>
    <row r="5637" ht="11.25" customHeight="1"/>
    <row r="5638" ht="11.25" customHeight="1"/>
    <row r="5639" ht="11.25" customHeight="1"/>
    <row r="5640" ht="11.25" customHeight="1"/>
    <row r="5641" ht="11.25" customHeight="1"/>
    <row r="5642" ht="11.25" customHeight="1"/>
    <row r="5643" ht="11.25" customHeight="1"/>
    <row r="5644" ht="11.25" customHeight="1"/>
    <row r="5645" ht="11.25" customHeight="1"/>
    <row r="5646" ht="11.25" customHeight="1"/>
    <row r="5647" ht="11.25" customHeight="1"/>
    <row r="5648" ht="11.25" customHeight="1"/>
    <row r="5649" ht="11.25" customHeight="1"/>
    <row r="5650" ht="11.25" customHeight="1"/>
    <row r="5651" ht="11.25" customHeight="1"/>
    <row r="5652" ht="11.25" customHeight="1"/>
    <row r="5653" ht="11.25" customHeight="1"/>
    <row r="5654" ht="11.25" customHeight="1"/>
    <row r="5655" ht="11.25" customHeight="1"/>
    <row r="5656" ht="11.25" customHeight="1"/>
    <row r="5657" ht="11.25" customHeight="1"/>
    <row r="5658" ht="11.25" customHeight="1"/>
    <row r="5659" ht="11.25" customHeight="1"/>
    <row r="5660" ht="11.25" customHeight="1"/>
    <row r="5661" ht="11.25" customHeight="1"/>
    <row r="5662" ht="11.25" customHeight="1"/>
    <row r="5663" ht="11.25" customHeight="1"/>
    <row r="5664" ht="11.25" customHeight="1"/>
    <row r="5665" ht="11.25" customHeight="1"/>
    <row r="5666" ht="11.25" customHeight="1"/>
    <row r="5667" ht="11.25" customHeight="1"/>
    <row r="5668" ht="11.25" customHeight="1"/>
    <row r="5669" ht="11.25" customHeight="1"/>
    <row r="5670" ht="11.25" customHeight="1"/>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6DC791E1-82F5-4A35-80DA-C892BCFA7742}">
          <x14:formula1>
            <xm:f>categories!$A$2:$A$63</xm:f>
          </x14:formula1>
          <xm:sqref>E3:E244</xm:sqref>
        </x14:dataValidation>
        <x14:dataValidation type="list" allowBlank="1" showErrorMessage="1" xr:uid="{7B1B414E-C458-4E7D-BE1F-F9C1AE868F51}">
          <x14:formula1>
            <xm:f>categories!$A$2:$A$96</xm:f>
          </x14:formula1>
          <xm:sqref>E2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categories</vt:lpstr>
      <vt:lpstr>locarno</vt:lpstr>
      <vt:lpstr>awards</vt:lpstr>
      <vt:lpstr>Hoja1</vt:lpstr>
      <vt:lpstr>awards!DatosExternos_1</vt:lpstr>
      <vt:lpstr>locarno!DatosExternos_1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dc:creator>
  <cp:lastModifiedBy>Ignacio Galvarino Toledo Roman</cp:lastModifiedBy>
  <dcterms:created xsi:type="dcterms:W3CDTF">2024-10-03T18:07:52Z</dcterms:created>
  <dcterms:modified xsi:type="dcterms:W3CDTF">2024-10-16T21:40:49Z</dcterms:modified>
</cp:coreProperties>
</file>